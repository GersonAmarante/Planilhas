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37" activeTab="40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RTDP_0561" sheetId="41" r:id="rId42"/>
    <sheet name="RTPP_0561" sheetId="40" r:id="rId43"/>
    <sheet name="RTPO_0561" sheetId="39" r:id="rId44"/>
    <sheet name="RTRT_0561" sheetId="28" r:id="rId45"/>
    <sheet name="BPJDEC" sheetId="35" state="hidden" r:id="rId46"/>
    <sheet name="BPFDEC_0561" sheetId="29" r:id="rId47"/>
    <sheet name="IDREC" sheetId="30" r:id="rId48"/>
    <sheet name="DECPJ" sheetId="31" r:id="rId49"/>
    <sheet name="DECPF" sheetId="34" state="hidden" r:id="rId50"/>
    <sheet name="RESPO" sheetId="32" r:id="rId51"/>
    <sheet name="DIRF" sheetId="33" r:id="rId5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<sst xmlns="http://schemas.openxmlformats.org/spreadsheetml/2006/main" count="203" uniqueCount="97">
  <si>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</si>
  <si>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</si>
  <si>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</si>
  <si>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</si>
  <si>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</si>
  <si>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</si>
  <si>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</si>
  <si>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</si>
  <si>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</si>
  <si>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</si>
  <si>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</si>
  <si>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</si>
  <si>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</si>
  <si>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</si>
  <si>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</si>
  <si>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</si>
  <si>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</si>
  <si>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</si>
  <si>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</si>
  <si>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</si>
  <si>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</si>
  <si>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</si>
  <si>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</si>
  <si>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</si>
  <si>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</si>
  <si>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</si>
  <si>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</si>
  <si>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</si>
  <si>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</si>
  <si>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</si>
  <si>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</si>
  <si>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</si>
  <si>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</si>
  <si>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</si>
  <si>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</si>
  <si>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</si>
  <si>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</si>
  <si>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</si>
  <si>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</si>
  <si>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</si>
  <si>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</si>
  <si>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</si>
  <si>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</si>
  <si>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</si>
  <si>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</si>
  <si>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</si>
  <si>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</si>
  <si>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</si>
  <si>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</si>
  <si>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</si>
  <si>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</si>
  <si>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</si>
  <si>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</si>
  <si>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</si>
  <si>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</si>
  <si>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</si>
  <si>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</si>
  <si>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</si>
  <si>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</si>
  <si>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</si>
  <si>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</si>
  <si>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</si>
  <si>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</si>
  <si>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</si>
  <si>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</si>
  <si>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</si>
  <si>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</si>
  <si>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</si>
  <si>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</si>
  <si>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</si>
  <si>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</si>
  <si>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</si>
  <si>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</si>
  <si>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2016</t>
  </si>
  <si>
    <t>N</t>
  </si>
  <si>
    <t/>
  </si>
  <si>
    <t>11</t>
  </si>
  <si>
    <t>0</t>
  </si>
  <si>
    <t>S</t>
  </si>
  <si>
    <t>0561</t>
  </si>
  <si>
    <t>3562</t>
  </si>
  <si>
    <t>2017</t>
  </si>
  <si>
    <t>P49VS72</t>
  </si>
  <si>
    <t>12796766802</t>
  </si>
  <si>
    <t>ANA PAULA MARZANO CERQUEIRA</t>
  </si>
  <si>
    <t>21997604</t>
  </si>
  <si>
    <t>7942</t>
  </si>
  <si>
    <t>44614034</t>
  </si>
  <si>
    <t>ANA.CERQUEIRA@PARANAPANEMA.COM.BR</t>
  </si>
  <si>
    <t>67959015000152</t>
  </si>
  <si>
    <t>NEOPLASTIC EMBALAGENS PLASTICAS EIRELI</t>
  </si>
  <si>
    <t>04271108820</t>
  </si>
  <si>
    <t>17697897822</t>
  </si>
  <si>
    <t>ROBERTO CARLOS ALVES TAVEIRA</t>
  </si>
  <si>
    <t>44649812000138</t>
  </si>
  <si>
    <t>INTERMEDICA SISTEMA DE SAUDE S A</t>
  </si>
  <si>
    <t>359017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</si>
</sst>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1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3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E21" sqref="E2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workbookViewId="0">
      <selection activeCell="G2" sqref="G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48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3"/>
  <sheetViews>
    <sheetView workbookViewId="0">
      <selection activeCell="D3" sqref="D3"/>
    </sheetView>
  </sheetViews>
  <sheetFormatPr defaultRowHeight="15" x14ac:dyDescent="0.25"/>
  <cols>
    <col min="1" max="1" width="9" style="9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1109</v>
      </c>
    </row>
    <row r="3" spans="1:5" x14ac:dyDescent="0.25">
      <c r="A3" s="9" t="s">
        <v>95</v>
      </c>
      <c r="B3" s="10" t="s">
        <v>92</v>
      </c>
      <c r="C3" s="9" t="s">
        <v>93</v>
      </c>
      <c r="D3" s="15">
        <v>1109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3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  <row r="3" spans="1:4" x14ac:dyDescent="0.25">
      <c r="A3">
        <v>17697897822</v>
      </c>
      <c r="B3" s="10" t="s">
        <v>94</v>
      </c>
      <c r="C3" s="10" t="s">
        <v>95</v>
      </c>
      <c r="D3" s="10" t="s">
        <v>96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4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  <row r="3" spans="1:2" x14ac:dyDescent="0.25">
      <c r="A3" s="10" t="s">
        <v>92</v>
      </c>
      <c r="B3" s="15">
        <v>0</v>
      </c>
    </row>
    <row r="4" spans="1:2" x14ac:dyDescent="0.25">
      <c r="A4" s="10" t="s">
        <v>92</v>
      </c>
      <c r="B4" s="15"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3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1030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">
      <c r="A3" s="10" t="s">
        <v>92</v>
      </c>
      <c r="B3" s="15">
        <v>0</v>
      </c>
      <c r="C3" s="15">
        <v>0</v>
      </c>
      <c r="D3" s="15">
        <v>1030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3"/>
  <sheetViews>
    <sheetView topLeftCell="B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92</v>
      </c>
      <c r="B3" s="10" t="s">
        <v>92</v>
      </c>
      <c r="C3" s="9" t="s">
        <v>93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8" sqref="I8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222747998,14</v>
      </c>
      <c r="C2" s="14" t="str">
        <f>CONCATENATE("FEVEREIRO",CHAR(10),"TOTAL: ",ROUND(SUM(C3:C1048576),2))</f>
        <v>FEVEREIRO
TOTAL: 200411,05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0,04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47,58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4" x14ac:dyDescent="0.25">
      <c r="A3" s="10" t="s">
        <v>92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47.58</v>
      </c>
      <c r="K3" s="15">
        <v>0</v>
      </c>
      <c r="L3" s="15">
        <v>0</v>
      </c>
      <c r="M3" s="15">
        <v>0</v>
      </c>
      <c r="N3" s="15">
        <v>0</v>
      </c>
    </row>
    <row r="4" spans="1:14" x14ac:dyDescent="0.25">
      <c r="A4" s="10" t="s">
        <v>92</v>
      </c>
      <c r="B4" s="15">
        <v>222747998.13999999</v>
      </c>
      <c r="C4" s="15">
        <v>200411.05</v>
      </c>
      <c r="E4" s="15">
        <v>0.04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N5"/>
  <sheetViews>
    <sheetView tabSelected="1" workbookViewId="0">
      <selection activeCell="C4" sqref="C4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480407832,42</v>
      </c>
      <c r="C2" s="14" t="str">
        <f>CONCATENATE("FEVEREIRO",CHAR(10),"TOTAL: ",ROUND(SUM(C3:C1048576),2))</f>
        <v>FEVEREIRO
TOTAL: 200349,18</v>
      </c>
      <c r="D2" s="14" t="str">
        <f>CONCATENATE("MARÇO",CHAR(10),"TOTAL: ",ROUND(SUM(D3:D1048576),2))</f>
        <v>MARÇO
TOTAL: 440</v>
      </c>
      <c r="E2" s="14" t="str">
        <f>CONCATENATE("ABRIL",CHAR(10),"TOTAL: ",ROUND(SUM(E3:E1048576),2))</f>
        <v>ABRIL
TOTAL: 440,04</v>
      </c>
      <c r="F2" s="14" t="str">
        <f>CONCATENATE("MAIO",CHAR(10),"TOTAL: ",ROUND(SUM(F3:F1048576),2))</f>
        <v>MAIO
TOTAL: 440</v>
      </c>
      <c r="G2" s="14" t="str">
        <f>CONCATENATE("JUNHO",CHAR(10),"TOTAL: ",ROUND(SUM(G3:G1048576),2))</f>
        <v>JUNHO
TOTAL: 440</v>
      </c>
      <c r="H2" s="14" t="str">
        <f>CONCATENATE("JULHO",CHAR(10),"TOTAL: ",ROUND(SUM(H3:H1048576),2))</f>
        <v>JULHO
TOTAL: 440</v>
      </c>
      <c r="I2" s="14" t="str">
        <f>CONCATENATE("AGOSTO",CHAR(10),"TOTAL: ",ROUND(SUM(I3:I1048576),2))</f>
        <v>AGOSTO
TOTAL: 440</v>
      </c>
      <c r="J2" s="14" t="str">
        <f>CONCATENATE("SETEMBRO",CHAR(10),"TOTAL: ",ROUND(SUM(J3:J1048576),2))</f>
        <v>SETEMBRO
TOTAL: 440</v>
      </c>
      <c r="K2" s="14" t="str">
        <f>CONCATENATE("OUTUBRO",CHAR(10),"TOTAL: ",ROUND(SUM(K3:K1048576),2))</f>
        <v>OUTUBRO
TOTAL: 440</v>
      </c>
      <c r="L2" s="14" t="str">
        <f>CONCATENATE("NOVEMBRO",CHAR(10),"TOTAL: ",ROUND(SUM(L3:L1048576),2))</f>
        <v>NOVEMBRO
TOTAL: 440</v>
      </c>
      <c r="M2" s="14" t="str">
        <f>CONCATENATE("DEZEMBRO",CHAR(10),"TOTAL: ",ROUND(SUM(M3:M1048576),2))</f>
        <v>DEZEMBRO
TOTAL: 440</v>
      </c>
      <c r="N2" s="14" t="str">
        <f>CONCATENATE("DEC. TERCEIRO",CHAR(10),"TOTAL: ",ROUND(SUM(N3:N1048576),2))</f>
        <v>DEC. TERCEIRO
TOTAL: 438,18</v>
      </c>
    </row>
    <row r="3" spans="1:14" x14ac:dyDescent="0.25">
      <c r="A3" s="10" t="s">
        <v>92</v>
      </c>
      <c r="B3" s="15">
        <v>197</v>
      </c>
      <c r="C3" s="15">
        <v>220</v>
      </c>
      <c r="D3" s="15">
        <v>220</v>
      </c>
      <c r="E3" s="15">
        <v>220</v>
      </c>
      <c r="F3" s="15">
        <v>220</v>
      </c>
      <c r="G3" s="15">
        <v>220</v>
      </c>
      <c r="H3" s="15">
        <v>220</v>
      </c>
      <c r="I3" s="15">
        <v>220</v>
      </c>
      <c r="J3" s="15">
        <v>220</v>
      </c>
      <c r="K3" s="15">
        <v>220</v>
      </c>
      <c r="L3" s="15">
        <v>220</v>
      </c>
      <c r="M3" s="15">
        <v>220</v>
      </c>
      <c r="N3" s="15">
        <v>219.09</v>
      </c>
    </row>
    <row r="4" spans="1:14" x14ac:dyDescent="0.25">
      <c r="A4" s="10" t="s">
        <v>92</v>
      </c>
      <c r="B4" s="15">
        <v>480407438.42000002</v>
      </c>
      <c r="C4" s="15">
        <v>199909.18</v>
      </c>
      <c r="E4" s="15">
        <v>0.04</v>
      </c>
    </row>
    <row r="5" spans="1:14" x14ac:dyDescent="0.25">
      <c r="A5" s="10" t="s">
        <v>92</v>
      </c>
      <c r="B5" s="15">
        <v>197</v>
      </c>
      <c r="C5" s="15">
        <v>220</v>
      </c>
      <c r="D5" s="15">
        <v>220</v>
      </c>
      <c r="E5" s="15">
        <v>220</v>
      </c>
      <c r="F5" s="15">
        <v>220</v>
      </c>
      <c r="G5" s="15">
        <v>220</v>
      </c>
      <c r="H5" s="15">
        <v>220</v>
      </c>
      <c r="I5" s="15">
        <v>220</v>
      </c>
      <c r="J5" s="15">
        <v>220</v>
      </c>
      <c r="K5" s="15">
        <v>220</v>
      </c>
      <c r="L5" s="15">
        <v>220</v>
      </c>
      <c r="M5" s="15">
        <v>220</v>
      </c>
      <c r="N5" s="15">
        <v>219.09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3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568,77</v>
      </c>
      <c r="C2" s="14" t="str">
        <f>CONCATENATE("FEVEREIRO",CHAR(10),"TOTAL: ",ROUND(SUM(C3:C1048576),2))</f>
        <v>FEVEREIRO
TOTAL: 568,77</v>
      </c>
      <c r="D2" s="14" t="str">
        <f>CONCATENATE("MARÇO",CHAR(10),"TOTAL: ",ROUND(SUM(D3:D1048576),2))</f>
        <v>MARÇO
TOTAL: 568,77</v>
      </c>
      <c r="E2" s="14" t="str">
        <f>CONCATENATE("ABRIL",CHAR(10),"TOTAL: ",ROUND(SUM(E3:E1048576),2))</f>
        <v>ABRIL
TOTAL: 568,77</v>
      </c>
      <c r="F2" s="14" t="str">
        <f>CONCATENATE("MAIO",CHAR(10),"TOTAL: ",ROUND(SUM(F3:F1048576),2))</f>
        <v>MAIO
TOTAL: 568,77</v>
      </c>
      <c r="G2" s="14" t="str">
        <f>CONCATENATE("JUNHO",CHAR(10),"TOTAL: ",ROUND(SUM(G3:G1048576),2))</f>
        <v>JUNHO
TOTAL: 568,77</v>
      </c>
      <c r="H2" s="14" t="str">
        <f>CONCATENATE("JULHO",CHAR(10),"TOTAL: ",ROUND(SUM(H3:H1048576),2))</f>
        <v>JULHO
TOTAL: 568,77</v>
      </c>
      <c r="I2" s="14" t="str">
        <f>CONCATENATE("AGOSTO",CHAR(10),"TOTAL: ",ROUND(SUM(I3:I1048576),2))</f>
        <v>AGOSTO
TOTAL: 568,77</v>
      </c>
      <c r="J2" s="14" t="str">
        <f>CONCATENATE("SETEMBRO",CHAR(10),"TOTAL: ",ROUND(SUM(J3:J1048576),2))</f>
        <v>SETEMBRO
TOTAL: 1137,54</v>
      </c>
      <c r="K2" s="14" t="str">
        <f>CONCATENATE("OUTUBRO",CHAR(10),"TOTAL: ",ROUND(SUM(K3:K1048576),2))</f>
        <v>OUTUBRO
TOTAL: 568,77</v>
      </c>
      <c r="L2" s="14" t="str">
        <f>CONCATENATE("NOVEMBRO",CHAR(10),"TOTAL: ",ROUND(SUM(L3:L1048576),2))</f>
        <v>NOVEMBRO
TOTAL: 568,77</v>
      </c>
      <c r="M2" s="14" t="str">
        <f>CONCATENATE("DEZEMBRO",CHAR(10),"TOTAL: ",ROUND(SUM(M3:M1048576),2))</f>
        <v>DEZEMBRO
TOTAL: 568,77</v>
      </c>
      <c r="N2" s="14" t="str">
        <f>CONCATENATE("DEC. TERCEIRO",CHAR(10),"TOTAL: ",ROUND(SUM(N3:N1048576),2))</f>
        <v>DEC. TERCEIRO
TOTAL: 568,77</v>
      </c>
    </row>
    <row r="3" spans="1:14" x14ac:dyDescent="0.25">
      <c r="A3" s="10" t="s">
        <v>92</v>
      </c>
      <c r="B3" s="15">
        <v>568.77</v>
      </c>
      <c r="C3" s="15">
        <v>568.77</v>
      </c>
      <c r="D3" s="15">
        <v>568.77</v>
      </c>
      <c r="E3" s="15">
        <v>568.77</v>
      </c>
      <c r="F3" s="15">
        <v>568.77</v>
      </c>
      <c r="G3" s="15">
        <v>568.77</v>
      </c>
      <c r="H3" s="15">
        <v>568.77</v>
      </c>
      <c r="I3" s="15">
        <v>568.77</v>
      </c>
      <c r="J3" s="15">
        <v>1137.54</v>
      </c>
      <c r="K3" s="15">
        <v>568.77</v>
      </c>
      <c r="L3" s="15">
        <v>568.77</v>
      </c>
      <c r="M3" s="15">
        <v>568.77</v>
      </c>
      <c r="N3" s="15">
        <v>568.77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3"/>
  <sheetViews>
    <sheetView workbookViewId="0">
      <selection activeCell="B2" sqref="B2:N2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28" t="s">
        <v>31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311,22</v>
      </c>
      <c r="C2" s="14" t="str">
        <f>CONCATENATE("FEVEREIRO",CHAR(10),"TOTAL: ",ROUND(SUM(C3:C1048576),2))</f>
        <v>FEVEREIRO
TOTAL: 122,74</v>
      </c>
      <c r="D2" s="14" t="str">
        <f>CONCATENATE("MARÇO",CHAR(10),"TOTAL: ",ROUND(SUM(D3:D1048576),2))</f>
        <v>MARÇO
TOTAL: 210,01</v>
      </c>
      <c r="E2" s="14" t="str">
        <f>CONCATENATE("ABRIL",CHAR(10),"TOTAL: ",ROUND(SUM(E3:E1048576),2))</f>
        <v>ABRIL
TOTAL: 213,38</v>
      </c>
      <c r="F2" s="14" t="str">
        <f>CONCATENATE("MAIO",CHAR(10),"TOTAL: ",ROUND(SUM(F3:F1048576),2))</f>
        <v>MAIO
TOTAL: 228,87</v>
      </c>
      <c r="G2" s="14" t="str">
        <f>CONCATENATE("JUNHO",CHAR(10),"TOTAL: ",ROUND(SUM(G3:G1048576),2))</f>
        <v>JUNHO
TOTAL: 197,71</v>
      </c>
      <c r="H2" s="14" t="str">
        <f>CONCATENATE("JULHO",CHAR(10),"TOTAL: ",ROUND(SUM(H3:H1048576),2))</f>
        <v>JULHO
TOTAL: 197,91</v>
      </c>
      <c r="I2" s="14" t="str">
        <f>CONCATENATE("AGOSTO",CHAR(10),"TOTAL: ",ROUND(SUM(I3:I1048576),2))</f>
        <v>AGOSTO
TOTAL: 294</v>
      </c>
      <c r="J2" s="14" t="str">
        <f>CONCATENATE("SETEMBRO",CHAR(10),"TOTAL: ",ROUND(SUM(J3:J1048576),2))</f>
        <v>SETEMBRO
TOTAL: 571,42</v>
      </c>
      <c r="K2" s="14" t="str">
        <f>CONCATENATE("OUTUBRO",CHAR(10),"TOTAL: ",ROUND(SUM(K3:K1048576),2))</f>
        <v>OUTUBRO
TOTAL: 202,2</v>
      </c>
      <c r="L2" s="14" t="str">
        <f>CONCATENATE("NOVEMBRO",CHAR(10),"TOTAL: ",ROUND(SUM(L3:L1048576),2))</f>
        <v>NOVEMBRO
TOTAL: 8,49</v>
      </c>
      <c r="M2" s="14" t="str">
        <f>CONCATENATE("DEZEMBRO",CHAR(10),"TOTAL: ",ROUND(SUM(M3:M1048576),2))</f>
        <v>DEZEMBRO
TOTAL: 276,93</v>
      </c>
      <c r="N2" s="14" t="str">
        <f>CONCATENATE("DEC. TERCEIRO",CHAR(10),"TOTAL: ",ROUND(SUM(N3:N1048576),2))</f>
        <v>DEC. TERCEIRO
TOTAL: 227,46</v>
      </c>
    </row>
    <row r="3" spans="1:14" x14ac:dyDescent="0.25">
      <c r="A3" s="10" t="s">
        <v>92</v>
      </c>
      <c r="B3" s="15">
        <v>311.22000000000003</v>
      </c>
      <c r="C3" s="15">
        <v>122.74</v>
      </c>
      <c r="D3" s="15">
        <v>210.01</v>
      </c>
      <c r="E3" s="15">
        <v>213.38</v>
      </c>
      <c r="F3" s="15">
        <v>228.87</v>
      </c>
      <c r="G3" s="15">
        <v>197.71</v>
      </c>
      <c r="H3" s="15">
        <v>197.91</v>
      </c>
      <c r="I3" s="15">
        <v>294</v>
      </c>
      <c r="J3" s="15">
        <v>571.41999999999996</v>
      </c>
      <c r="K3" s="15">
        <v>202.2</v>
      </c>
      <c r="L3" s="15">
        <v>8.49</v>
      </c>
      <c r="M3" s="15">
        <v>276.93</v>
      </c>
      <c r="N3" s="15">
        <v>227.46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3"/>
  <sheetViews>
    <sheetView workbookViewId="0">
      <selection activeCell="B2" sqref="B2:N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2006,04</v>
      </c>
      <c r="C2" s="14" t="str">
        <f>CONCATENATE("FEVEREIRO",CHAR(10),"TOTAL: ",ROUND(SUM(C3:C1048576),2))</f>
        <v>FEVEREIRO
TOTAL: 1939,07</v>
      </c>
      <c r="D2" s="14" t="str">
        <f>CONCATENATE("MARÇO",CHAR(10),"TOTAL: ",ROUND(SUM(D3:D1048576),2))</f>
        <v>MARÇO
TOTAL: 2333,51</v>
      </c>
      <c r="E2" s="14" t="str">
        <f>CONCATENATE("ABRIL",CHAR(10),"TOTAL: ",ROUND(SUM(E3:E1048576),2))</f>
        <v>ABRIL
TOTAL: 2370,92</v>
      </c>
      <c r="F2" s="14" t="str">
        <f>CONCATENATE("MAIO",CHAR(10),"TOTAL: ",ROUND(SUM(F3:F1048576),2))</f>
        <v>MAIO
TOTAL: 2543,1</v>
      </c>
      <c r="G2" s="14" t="str">
        <f>CONCATENATE("JUNHO",CHAR(10),"TOTAL: ",ROUND(SUM(G3:G1048576),2))</f>
        <v>JUNHO
TOTAL: 2196,82</v>
      </c>
      <c r="H2" s="14" t="str">
        <f>CONCATENATE("JULHO",CHAR(10),"TOTAL: ",ROUND(SUM(H3:H1048576),2))</f>
        <v>JULHO
TOTAL: 2199,08</v>
      </c>
      <c r="I2" s="14" t="str">
        <f>CONCATENATE("AGOSTO",CHAR(10),"TOTAL: ",ROUND(SUM(I3:I1048576),2))</f>
        <v>AGOSTO
TOTAL: 2672,76</v>
      </c>
      <c r="J2" s="14" t="str">
        <f>CONCATENATE("SETEMBRO",CHAR(10),"TOTAL: ",ROUND(SUM(J3:J1048576),2))</f>
        <v>SETEMBRO
TOTAL: 5613,02</v>
      </c>
      <c r="K2" s="14" t="str">
        <f>CONCATENATE("OUTUBRO",CHAR(10),"TOTAL: ",ROUND(SUM(K3:K1048576),2))</f>
        <v>OUTUBRO
TOTAL: 1423,37</v>
      </c>
      <c r="L2" s="14" t="str">
        <f>CONCATENATE("NOVEMBRO",CHAR(10),"TOTAL: ",ROUND(SUM(L3:L1048576),2))</f>
        <v>NOVEMBRO
TOTAL: 873,06</v>
      </c>
      <c r="M2" s="14" t="str">
        <f>CONCATENATE("DEZEMBRO",CHAR(10),"TOTAL: ",ROUND(SUM(M3:M1048576),2))</f>
        <v>DEZEMBRO
TOTAL: 1690</v>
      </c>
      <c r="N2" s="14" t="str">
        <f>CONCATENATE("DEC. TERCEIRO",CHAR(10),"TOTAL: ",ROUND(SUM(N3:N1048576),2))</f>
        <v>DEC. TERCEIRO
TOTAL: 2505,44</v>
      </c>
    </row>
    <row r="3" spans="1:14" x14ac:dyDescent="0.25">
      <c r="A3" s="10" t="s">
        <v>92</v>
      </c>
      <c r="B3" s="15">
        <v>2006.04</v>
      </c>
      <c r="C3" s="15">
        <v>1939.07</v>
      </c>
      <c r="D3" s="15">
        <v>2333.5100000000002</v>
      </c>
      <c r="E3" s="15">
        <v>2370.92</v>
      </c>
      <c r="F3" s="15">
        <v>2543.1</v>
      </c>
      <c r="G3" s="15">
        <v>2196.8200000000002</v>
      </c>
      <c r="H3" s="15">
        <v>2199.08</v>
      </c>
      <c r="I3" s="15">
        <v>2672.76</v>
      </c>
      <c r="J3" s="15">
        <v>5613.02</v>
      </c>
      <c r="K3" s="15">
        <v>1423.37</v>
      </c>
      <c r="L3" s="15">
        <v>873.06</v>
      </c>
      <c r="M3" s="15">
        <v>1690</v>
      </c>
      <c r="N3" s="15">
        <v>2505.44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3"/>
  <sheetViews>
    <sheetView topLeftCell="B1" workbookViewId="0">
      <selection activeCell="A2" sqref="A2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  <row r="3" spans="1:4" x14ac:dyDescent="0.25">
      <c r="A3" s="10" t="s">
        <v>92</v>
      </c>
      <c r="B3" s="10" t="s">
        <v>92</v>
      </c>
      <c r="C3" s="9" t="s">
        <v>93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4"/>
  <sheetViews>
    <sheetView topLeftCell="B1" workbookViewId="0">
      <selection activeCell="C3" sqref="C3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  <row r="3" spans="1:2" x14ac:dyDescent="0.25">
      <c r="B3" s="10" t="s">
        <v>79</v>
      </c>
    </row>
    <row r="4" spans="1:2" x14ac:dyDescent="0.25">
      <c r="A4">
        <v>17697897822</v>
      </c>
      <c r="B4" s="10" t="s">
        <v>80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89</v>
      </c>
      <c r="C3" s="7" t="s">
        <v>90</v>
      </c>
      <c r="D3" s="7" t="s">
        <v>77</v>
      </c>
      <c r="E3" s="7" t="s">
        <v>91</v>
      </c>
      <c r="F3" s="7" t="s">
        <v>74</v>
      </c>
      <c r="G3" s="7" t="s">
        <v>74</v>
      </c>
      <c r="H3" s="7" t="s">
        <v>74</v>
      </c>
      <c r="I3" s="7" t="s">
        <v>74</v>
      </c>
      <c r="J3" s="7" t="s">
        <v>78</v>
      </c>
      <c r="K3" s="7" t="s">
        <v>74</v>
      </c>
      <c r="L3" s="7" t="s">
        <v>74</v>
      </c>
      <c r="M3" s="7" t="s">
        <v>75</v>
      </c>
      <c r="N3" s="7" t="s">
        <v>75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29" t="s">
        <v>51</v>
      </c>
      <c r="B1" s="30"/>
      <c r="C1" s="30"/>
      <c r="D1" s="30"/>
      <c r="E1" s="30"/>
      <c r="F1" s="30"/>
      <c r="G1" s="30"/>
      <c r="H1" s="30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83</v>
      </c>
      <c r="C3" s="7" t="s">
        <v>84</v>
      </c>
      <c r="D3" s="7" t="s">
        <v>76</v>
      </c>
      <c r="E3" s="7" t="s">
        <v>85</v>
      </c>
      <c r="F3" s="7" t="s">
        <v>86</v>
      </c>
      <c r="G3" s="7" t="s">
        <v>87</v>
      </c>
      <c r="H3" s="7" t="s">
        <v>88</v>
      </c>
      <c r="I3" s="2" t="s">
        <v>75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3"/>
  <sheetViews>
    <sheetView topLeftCell="B1" workbookViewId="0">
      <selection activeCell="L9" sqref="L9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1" t="s">
        <v>71</v>
      </c>
      <c r="C1" s="32"/>
      <c r="D1" s="32"/>
      <c r="E1" s="32"/>
      <c r="F1" s="33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6" x14ac:dyDescent="0.25">
      <c r="B3" s="7" t="s">
        <v>81</v>
      </c>
      <c r="C3" s="7" t="s">
        <v>73</v>
      </c>
      <c r="D3" s="7" t="s">
        <v>74</v>
      </c>
      <c r="E3" s="7" t="s">
        <v>75</v>
      </c>
      <c r="F3" s="7" t="s">
        <v>82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52</vt:i4>
      </vt:variant>
    </vt:vector>
  </HeadingPairs>
  <TitlesOfParts>
    <vt:vector size="52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2017-02-15T11:00:52Z</dcterms:modified>
</cp:coreProperties>
</file>