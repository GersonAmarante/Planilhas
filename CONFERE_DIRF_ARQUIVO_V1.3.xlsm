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marante\MACROS\"/>
    </mc:Choice>
  </mc:AlternateContent>
  <bookViews>
    <workbookView xWindow="0" yWindow="0" windowWidth="20490" windowHeight="8115" tabRatio="958" firstSheet="37" activeTab="41"/>
  </bookViews>
  <sheets>
    <sheet name="FIMDIRF" sheetId="3" r:id="rId1"/>
    <sheet name="RDTPSE" sheetId="60" r:id="rId2"/>
    <sheet name="DTPSE" sheetId="4" r:id="rId3"/>
    <sheet name="TPSE" sheetId="5" r:id="rId4"/>
    <sheet name="OPSE" sheetId="6" r:id="rId5"/>
    <sheet name="RIRSR" sheetId="59" r:id="rId6"/>
    <sheet name="RIPSTS" sheetId="58" r:id="rId7"/>
    <sheet name="RIL96" sheetId="9" r:id="rId8"/>
    <sheet name="RIBMR_3562" sheetId="57" state="hidden" r:id="rId9"/>
    <sheet name="RIAP_3562" sheetId="56" state="hidden" r:id="rId10"/>
    <sheet name="RIIRP_3562" sheetId="55" state="hidden" r:id="rId11"/>
    <sheet name="RIDAC_3562" sheetId="54" state="hidden" r:id="rId12"/>
    <sheet name="ESDJ_3562" sheetId="52" state="hidden" r:id="rId13"/>
    <sheet name="ESIR_3562" sheetId="51" state="hidden" r:id="rId14"/>
    <sheet name="ESPA_3562" sheetId="50" state="hidden" r:id="rId15"/>
    <sheet name="ESDP_3562" sheetId="49" state="hidden" r:id="rId16"/>
    <sheet name="ESPP_3562" sheetId="48" state="hidden" r:id="rId17"/>
    <sheet name="ESPO_3562" sheetId="47" state="hidden" r:id="rId18"/>
    <sheet name="ESRT_3562" sheetId="46" state="hidden" r:id="rId19"/>
    <sheet name="CJAA_3562" sheetId="45" state="hidden" r:id="rId20"/>
    <sheet name="CJAC_3562" sheetId="44" state="hidden" r:id="rId21"/>
    <sheet name="RTIRF_3562" sheetId="43" r:id="rId22"/>
    <sheet name="RTPA_3562" sheetId="42" state="hidden" r:id="rId23"/>
    <sheet name="RTDP_3562" sheetId="65" state="hidden" r:id="rId24"/>
    <sheet name="RTRT_3562" sheetId="61" r:id="rId25"/>
    <sheet name="BPFDEC_3562" sheetId="63" r:id="rId26"/>
    <sheet name="RIBMR_0561" sheetId="80" r:id="rId27"/>
    <sheet name="RIAP_0561" sheetId="79" r:id="rId28"/>
    <sheet name="RIIRP_0561" sheetId="78" r:id="rId29"/>
    <sheet name="RIDAC_0561" sheetId="77" r:id="rId30"/>
    <sheet name="ESDJ_0561" sheetId="76" r:id="rId31"/>
    <sheet name="ESPA_0561" sheetId="74" r:id="rId32"/>
    <sheet name="ESDP_0561" sheetId="73" r:id="rId33"/>
    <sheet name="ESPP_0561" sheetId="72" r:id="rId34"/>
    <sheet name="ESPO_0561" sheetId="71" r:id="rId35"/>
    <sheet name="ESIR__0561" sheetId="75" r:id="rId36"/>
    <sheet name="ESRT_0561" sheetId="70" r:id="rId37"/>
    <sheet name="CJAA_0561" sheetId="69" r:id="rId38"/>
    <sheet name="CJAC_0561" sheetId="68" r:id="rId39"/>
    <sheet name="RTIRF_0561" sheetId="67" r:id="rId40"/>
    <sheet name="RTPA_0561" sheetId="66" r:id="rId41"/>
    <sheet name="INFPA" sheetId="81" r:id="rId42"/>
    <sheet name="RTDP_0561" sheetId="41" r:id="rId43"/>
    <sheet name="RTPP_0561" sheetId="40" r:id="rId44"/>
    <sheet name="RTPO_0561" sheetId="39" r:id="rId45"/>
    <sheet name="RTRT_0561" sheetId="28" r:id="rId46"/>
    <sheet name="BPJDEC" sheetId="35" state="hidden" r:id="rId47"/>
    <sheet name="BPFDEC_0561" sheetId="29" r:id="rId48"/>
    <sheet name="IDREC" sheetId="30" r:id="rId49"/>
    <sheet name="DECPJ" sheetId="31" r:id="rId50"/>
    <sheet name="DECPF" sheetId="34" state="hidden" r:id="rId51"/>
    <sheet name="RESPO" sheetId="32" r:id="rId52"/>
    <sheet name="DIRF" sheetId="33" r:id="rId5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66" l="1"/>
  <c r="N2" i="66"/>
  <c r="M2" i="66"/>
  <c r="L2" i="66"/>
  <c r="K2" i="66"/>
  <c r="J2" i="66"/>
  <c r="I2" i="66"/>
  <c r="H2" i="66"/>
  <c r="G2" i="66"/>
  <c r="F2" i="66"/>
  <c r="E2" i="66"/>
  <c r="D2" i="66"/>
  <c r="C2" i="66"/>
  <c r="N2" i="28" l="1"/>
  <c r="M2" i="28"/>
  <c r="L2" i="28"/>
  <c r="K2" i="28"/>
  <c r="J2" i="28"/>
  <c r="I2" i="28"/>
  <c r="H2" i="28"/>
  <c r="G2" i="28"/>
  <c r="F2" i="28"/>
  <c r="E2" i="28"/>
  <c r="D2" i="28"/>
  <c r="C2" i="28"/>
  <c r="B2" i="28"/>
  <c r="N2" i="39"/>
  <c r="M2" i="39"/>
  <c r="L2" i="39"/>
  <c r="K2" i="39"/>
  <c r="J2" i="39"/>
  <c r="I2" i="39"/>
  <c r="H2" i="39"/>
  <c r="G2" i="39"/>
  <c r="F2" i="39"/>
  <c r="E2" i="39"/>
  <c r="D2" i="39"/>
  <c r="C2" i="39"/>
  <c r="B2" i="39"/>
  <c r="N2" i="40"/>
  <c r="M2" i="40"/>
  <c r="L2" i="40"/>
  <c r="K2" i="40"/>
  <c r="J2" i="40"/>
  <c r="I2" i="40"/>
  <c r="H2" i="40"/>
  <c r="G2" i="40"/>
  <c r="F2" i="40"/>
  <c r="E2" i="40"/>
  <c r="D2" i="40"/>
  <c r="C2" i="40"/>
  <c r="B2" i="40"/>
  <c r="N2" i="41"/>
  <c r="M2" i="41"/>
  <c r="L2" i="41"/>
  <c r="K2" i="41"/>
  <c r="J2" i="41"/>
  <c r="I2" i="41"/>
  <c r="H2" i="41"/>
  <c r="G2" i="41"/>
  <c r="F2" i="41"/>
  <c r="E2" i="41"/>
  <c r="D2" i="41"/>
  <c r="C2" i="41"/>
  <c r="B2" i="41"/>
  <c r="N2" i="67"/>
  <c r="M2" i="67"/>
  <c r="L2" i="67"/>
  <c r="K2" i="67"/>
  <c r="J2" i="67"/>
  <c r="I2" i="67"/>
  <c r="H2" i="67"/>
  <c r="G2" i="67"/>
  <c r="F2" i="67"/>
  <c r="E2" i="67"/>
  <c r="D2" i="67"/>
  <c r="C2" i="67"/>
  <c r="B2" i="67"/>
  <c r="N2" i="68"/>
  <c r="M2" i="68"/>
  <c r="L2" i="68"/>
  <c r="K2" i="68"/>
  <c r="J2" i="68"/>
  <c r="I2" i="68"/>
  <c r="H2" i="68"/>
  <c r="G2" i="68"/>
  <c r="F2" i="68"/>
  <c r="E2" i="68"/>
  <c r="D2" i="68"/>
  <c r="C2" i="68"/>
  <c r="B2" i="68"/>
  <c r="N2" i="69"/>
  <c r="M2" i="69"/>
  <c r="L2" i="69"/>
  <c r="K2" i="69"/>
  <c r="J2" i="69"/>
  <c r="I2" i="69"/>
  <c r="H2" i="69"/>
  <c r="G2" i="69"/>
  <c r="F2" i="69"/>
  <c r="E2" i="69"/>
  <c r="D2" i="69"/>
  <c r="C2" i="69"/>
  <c r="B2" i="69"/>
  <c r="N2" i="70"/>
  <c r="M2" i="70"/>
  <c r="L2" i="70"/>
  <c r="K2" i="70"/>
  <c r="J2" i="70"/>
  <c r="I2" i="70"/>
  <c r="H2" i="70"/>
  <c r="G2" i="70"/>
  <c r="F2" i="70"/>
  <c r="E2" i="70"/>
  <c r="D2" i="70"/>
  <c r="C2" i="70"/>
  <c r="B2" i="70"/>
  <c r="N2" i="75"/>
  <c r="M2" i="75"/>
  <c r="L2" i="75"/>
  <c r="K2" i="75"/>
  <c r="J2" i="75"/>
  <c r="I2" i="75"/>
  <c r="H2" i="75"/>
  <c r="G2" i="75"/>
  <c r="F2" i="75"/>
  <c r="E2" i="75"/>
  <c r="D2" i="75"/>
  <c r="C2" i="75"/>
  <c r="B2" i="75"/>
  <c r="N2" i="71"/>
  <c r="M2" i="71"/>
  <c r="L2" i="71"/>
  <c r="K2" i="71"/>
  <c r="J2" i="71"/>
  <c r="I2" i="71"/>
  <c r="H2" i="71"/>
  <c r="G2" i="71"/>
  <c r="F2" i="71"/>
  <c r="E2" i="71"/>
  <c r="D2" i="71"/>
  <c r="C2" i="71"/>
  <c r="B2" i="71"/>
  <c r="N2" i="72"/>
  <c r="M2" i="72"/>
  <c r="L2" i="72"/>
  <c r="K2" i="72"/>
  <c r="J2" i="72"/>
  <c r="I2" i="72"/>
  <c r="H2" i="72"/>
  <c r="G2" i="72"/>
  <c r="F2" i="72"/>
  <c r="E2" i="72"/>
  <c r="D2" i="72"/>
  <c r="C2" i="72"/>
  <c r="B2" i="72"/>
  <c r="N2" i="73"/>
  <c r="M2" i="73"/>
  <c r="L2" i="73"/>
  <c r="K2" i="73"/>
  <c r="J2" i="73"/>
  <c r="I2" i="73"/>
  <c r="H2" i="73"/>
  <c r="G2" i="73"/>
  <c r="F2" i="73"/>
  <c r="E2" i="73"/>
  <c r="D2" i="73"/>
  <c r="C2" i="73"/>
  <c r="B2" i="73"/>
  <c r="N2" i="74"/>
  <c r="M2" i="74"/>
  <c r="L2" i="74"/>
  <c r="K2" i="74"/>
  <c r="J2" i="74"/>
  <c r="I2" i="74"/>
  <c r="H2" i="74"/>
  <c r="G2" i="74"/>
  <c r="F2" i="74"/>
  <c r="E2" i="74"/>
  <c r="D2" i="74"/>
  <c r="C2" i="74"/>
  <c r="B2" i="74"/>
  <c r="N2" i="76"/>
  <c r="M2" i="76"/>
  <c r="L2" i="76"/>
  <c r="K2" i="76"/>
  <c r="J2" i="76"/>
  <c r="I2" i="76"/>
  <c r="H2" i="76"/>
  <c r="G2" i="76"/>
  <c r="F2" i="76"/>
  <c r="E2" i="76"/>
  <c r="D2" i="76"/>
  <c r="C2" i="76"/>
  <c r="B2" i="76"/>
  <c r="N2" i="77"/>
  <c r="M2" i="77"/>
  <c r="L2" i="77"/>
  <c r="K2" i="77"/>
  <c r="J2" i="77"/>
  <c r="I2" i="77"/>
  <c r="H2" i="77"/>
  <c r="G2" i="77"/>
  <c r="F2" i="77"/>
  <c r="E2" i="77"/>
  <c r="D2" i="77"/>
  <c r="C2" i="77"/>
  <c r="B2" i="77"/>
  <c r="N2" i="78"/>
  <c r="M2" i="78"/>
  <c r="L2" i="78"/>
  <c r="K2" i="78"/>
  <c r="J2" i="78"/>
  <c r="I2" i="78"/>
  <c r="H2" i="78"/>
  <c r="G2" i="78"/>
  <c r="F2" i="78"/>
  <c r="E2" i="78"/>
  <c r="D2" i="78"/>
  <c r="C2" i="78"/>
  <c r="B2" i="78"/>
  <c r="N2" i="79"/>
  <c r="M2" i="79"/>
  <c r="L2" i="79"/>
  <c r="K2" i="79"/>
  <c r="J2" i="79"/>
  <c r="I2" i="79"/>
  <c r="H2" i="79"/>
  <c r="G2" i="79"/>
  <c r="F2" i="79"/>
  <c r="E2" i="79"/>
  <c r="D2" i="79"/>
  <c r="C2" i="79"/>
  <c r="B2" i="79"/>
  <c r="N2" i="80"/>
  <c r="M2" i="80"/>
  <c r="L2" i="80"/>
  <c r="K2" i="80"/>
  <c r="J2" i="80"/>
  <c r="I2" i="80"/>
  <c r="H2" i="80"/>
  <c r="G2" i="80"/>
  <c r="F2" i="80"/>
  <c r="E2" i="80"/>
  <c r="D2" i="80"/>
  <c r="C2" i="80"/>
  <c r="B2" i="80"/>
  <c r="N2" i="61"/>
  <c r="M2" i="61"/>
  <c r="L2" i="61"/>
  <c r="K2" i="61"/>
  <c r="J2" i="61"/>
  <c r="I2" i="61"/>
  <c r="H2" i="61"/>
  <c r="G2" i="61"/>
  <c r="F2" i="61"/>
  <c r="E2" i="61"/>
  <c r="D2" i="61"/>
  <c r="C2" i="61"/>
  <c r="B2" i="61"/>
  <c r="N2" i="42"/>
  <c r="M2" i="42"/>
  <c r="L2" i="42"/>
  <c r="K2" i="42"/>
  <c r="J2" i="42"/>
  <c r="I2" i="42"/>
  <c r="H2" i="42"/>
  <c r="G2" i="42"/>
  <c r="F2" i="42"/>
  <c r="E2" i="42"/>
  <c r="D2" i="42"/>
  <c r="C2" i="42"/>
  <c r="B2" i="42"/>
  <c r="N2" i="43"/>
  <c r="M2" i="43"/>
  <c r="L2" i="43"/>
  <c r="K2" i="43"/>
  <c r="J2" i="43"/>
  <c r="I2" i="43"/>
  <c r="H2" i="43"/>
  <c r="G2" i="43"/>
  <c r="F2" i="43"/>
  <c r="E2" i="43"/>
  <c r="D2" i="43"/>
  <c r="C2" i="43"/>
  <c r="B2" i="43"/>
  <c r="B2" i="9"/>
  <c r="B2" i="58"/>
  <c r="B2" i="59"/>
  <c r="D2" i="5"/>
  <c r="G2" i="4"/>
  <c r="N2" i="65" l="1"/>
  <c r="M2" i="65"/>
  <c r="L2" i="65"/>
  <c r="K2" i="65"/>
  <c r="J2" i="65"/>
  <c r="I2" i="65"/>
  <c r="H2" i="65"/>
  <c r="G2" i="65"/>
  <c r="F2" i="65"/>
  <c r="E2" i="65"/>
  <c r="D2" i="65"/>
  <c r="C2" i="65"/>
  <c r="B2" i="65"/>
  <c r="E2" i="60"/>
  <c r="D2" i="60"/>
  <c r="N2" i="57"/>
  <c r="M2" i="57"/>
  <c r="L2" i="57"/>
  <c r="K2" i="57"/>
  <c r="J2" i="57"/>
  <c r="I2" i="57"/>
  <c r="H2" i="57"/>
  <c r="G2" i="57"/>
  <c r="F2" i="57"/>
  <c r="E2" i="57"/>
  <c r="D2" i="57"/>
  <c r="C2" i="57"/>
  <c r="B2" i="57"/>
  <c r="N2" i="56"/>
  <c r="M2" i="56"/>
  <c r="L2" i="56"/>
  <c r="K2" i="56"/>
  <c r="J2" i="56"/>
  <c r="I2" i="56"/>
  <c r="H2" i="56"/>
  <c r="G2" i="56"/>
  <c r="F2" i="56"/>
  <c r="E2" i="56"/>
  <c r="D2" i="56"/>
  <c r="C2" i="56"/>
  <c r="B2" i="56"/>
  <c r="B2" i="55"/>
  <c r="N2" i="55"/>
  <c r="M2" i="55"/>
  <c r="L2" i="55"/>
  <c r="K2" i="55"/>
  <c r="J2" i="55"/>
  <c r="I2" i="55"/>
  <c r="H2" i="55"/>
  <c r="G2" i="55"/>
  <c r="F2" i="55"/>
  <c r="E2" i="55"/>
  <c r="D2" i="55"/>
  <c r="C2" i="55"/>
  <c r="N2" i="54"/>
  <c r="M2" i="54"/>
  <c r="L2" i="54"/>
  <c r="K2" i="54"/>
  <c r="J2" i="54"/>
  <c r="I2" i="54"/>
  <c r="H2" i="54"/>
  <c r="G2" i="54"/>
  <c r="F2" i="54"/>
  <c r="E2" i="54"/>
  <c r="D2" i="54"/>
  <c r="C2" i="54"/>
  <c r="B2" i="54"/>
  <c r="N2" i="52"/>
  <c r="M2" i="52"/>
  <c r="L2" i="52"/>
  <c r="K2" i="52"/>
  <c r="J2" i="52"/>
  <c r="I2" i="52"/>
  <c r="H2" i="52"/>
  <c r="G2" i="52"/>
  <c r="F2" i="52"/>
  <c r="E2" i="52"/>
  <c r="D2" i="52"/>
  <c r="C2" i="52"/>
  <c r="B2" i="52"/>
  <c r="N2" i="51"/>
  <c r="M2" i="51"/>
  <c r="L2" i="51"/>
  <c r="K2" i="51"/>
  <c r="J2" i="51"/>
  <c r="I2" i="51"/>
  <c r="H2" i="51"/>
  <c r="G2" i="51"/>
  <c r="F2" i="51"/>
  <c r="E2" i="51"/>
  <c r="D2" i="51"/>
  <c r="C2" i="51"/>
  <c r="B2" i="51"/>
  <c r="B2" i="50"/>
  <c r="N2" i="50"/>
  <c r="M2" i="50"/>
  <c r="L2" i="50"/>
  <c r="K2" i="50"/>
  <c r="J2" i="50"/>
  <c r="I2" i="50"/>
  <c r="H2" i="50"/>
  <c r="G2" i="50"/>
  <c r="F2" i="50"/>
  <c r="E2" i="50"/>
  <c r="D2" i="50"/>
  <c r="C2" i="50"/>
  <c r="B2" i="49"/>
  <c r="N2" i="49"/>
  <c r="M2" i="49"/>
  <c r="L2" i="49"/>
  <c r="K2" i="49"/>
  <c r="J2" i="49"/>
  <c r="I2" i="49"/>
  <c r="H2" i="49"/>
  <c r="G2" i="49"/>
  <c r="F2" i="49"/>
  <c r="E2" i="49"/>
  <c r="D2" i="49"/>
  <c r="C2" i="49"/>
  <c r="B2" i="48"/>
  <c r="N2" i="48"/>
  <c r="M2" i="48"/>
  <c r="L2" i="48"/>
  <c r="K2" i="48"/>
  <c r="J2" i="48"/>
  <c r="I2" i="48"/>
  <c r="H2" i="48"/>
  <c r="G2" i="48"/>
  <c r="F2" i="48"/>
  <c r="E2" i="48"/>
  <c r="D2" i="48"/>
  <c r="C2" i="48"/>
  <c r="N2" i="47"/>
  <c r="M2" i="47"/>
  <c r="L2" i="47"/>
  <c r="K2" i="47"/>
  <c r="J2" i="47"/>
  <c r="I2" i="47"/>
  <c r="H2" i="47"/>
  <c r="G2" i="47"/>
  <c r="F2" i="47"/>
  <c r="E2" i="47"/>
  <c r="D2" i="47"/>
  <c r="C2" i="47"/>
  <c r="B2" i="47"/>
  <c r="N2" i="46"/>
  <c r="M2" i="46"/>
  <c r="L2" i="46"/>
  <c r="K2" i="46"/>
  <c r="J2" i="46"/>
  <c r="I2" i="46"/>
  <c r="H2" i="46"/>
  <c r="G2" i="46"/>
  <c r="F2" i="46"/>
  <c r="E2" i="46"/>
  <c r="D2" i="46"/>
  <c r="C2" i="46"/>
  <c r="B2" i="46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N2" i="44"/>
  <c r="M2" i="44"/>
  <c r="L2" i="44"/>
  <c r="K2" i="44"/>
  <c r="J2" i="44"/>
  <c r="I2" i="44"/>
  <c r="H2" i="44"/>
  <c r="G2" i="44"/>
  <c r="F2" i="44"/>
  <c r="E2" i="44"/>
  <c r="D2" i="44"/>
  <c r="C2" i="44"/>
  <c r="B2" i="44"/>
</calcChain>
</file>

<file path=xl/comments1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sz val="9"/>
            <color indexed="81"/>
            <rFont val="Segoe UI"/>
            <family val="2"/>
          </rPr>
          <t>Nome da pessoa física
até 60 posições;
Nome empresarial da
pessoa jurídica até 150
posições.</t>
        </r>
      </text>
    </comment>
  </commentList>
</comments>
</file>

<file path=xl/comments2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Preenchimento obrigatório para menores de 18 anos completos até 31 de dezembro
do ano-calendário da declaração, que não tenham informado o CPF.</t>
        </r>
      </text>
    </comment>
    <comment ref="F2" authorId="0" shapeId="0">
      <text>
        <r>
          <rPr>
            <sz val="9"/>
            <color indexed="81"/>
            <rFont val="Segoe UI"/>
            <family val="2"/>
          </rPr>
          <t>03 - Cônjuge/
Companheiro(a)
04 - Filho(a)
06 - Enteado(a)
08 - Pai/Mãe
10 - Agregado/Outros</t>
        </r>
      </text>
    </comment>
  </commentList>
</comments>
</file>

<file path=xl/comments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1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2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0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1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2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3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4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</commentList>
</comments>
</file>

<file path=xl/comments35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B2" authorId="0" shapeId="0">
      <text>
        <r>
          <rPr>
            <sz val="9"/>
            <color indexed="81"/>
            <rFont val="Segoe UI"/>
            <family val="2"/>
          </rPr>
          <t>Preenchimento obrigatório para maiores de 18 anos completos até 31 de dezembro
do ano-calendário da declaração.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Preenchimento obrigatório para menores de 18 anos completos até 31 de dezembro
do ano-calendário da declaração, que não tenham informado o CPF.</t>
        </r>
      </text>
    </comment>
    <comment ref="E2" authorId="0" shapeId="0">
      <text>
        <r>
          <rPr>
            <sz val="9"/>
            <color indexed="81"/>
            <rFont val="Segoe UI"/>
            <family val="2"/>
          </rPr>
          <t>03 - Cônjuge/
Companheiro(a)
04 - Filho(a)
06 - Enteado(a)
08 - Pai/Mãe
10 - Agregado/Outros</t>
        </r>
      </text>
    </comment>
  </commentList>
</comments>
</file>

<file path=xl/comments36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7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8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39.xml><?xml version="1.0" encoding="utf-8"?>
<comments xmlns="http://schemas.openxmlformats.org/spreadsheetml/2006/main">
  <authors>
    <author>Gerson Pinto Amarante</author>
  </authors>
  <commentList>
    <comment ref="A2" authorId="0" shapeId="0">
      <text>
        <r>
          <rPr>
            <sz val="9"/>
            <color indexed="81"/>
            <rFont val="Segoe UI"/>
            <family val="2"/>
          </rPr>
          <t xml:space="preserve">Campo definido na importação do leiaute, não faz parte do arquivo DIRF.001
</t>
        </r>
      </text>
    </comment>
  </commentList>
</comments>
</file>

<file path=xl/comments40.xml><?xml version="1.0" encoding="utf-8"?>
<comments xmlns="http://schemas.openxmlformats.org/spreadsheetml/2006/main">
  <authors>
    <author>Gerson Pinto Amarante</author>
  </authors>
  <commentList>
    <comment ref="B2" authorId="0" shapeId="0">
      <text>
        <r>
          <rPr>
            <sz val="9"/>
            <color indexed="81"/>
            <rFont val="Segoe UI"/>
            <family val="2"/>
          </rPr>
          <t>De acordo com a tabela de
códigos de receitas constante
na IN que dispõe sobre a Dirf.</t>
        </r>
      </text>
    </comment>
  </commentList>
</comments>
</file>

<file path=xl/comments41.xml><?xml version="1.0" encoding="utf-8"?>
<comments xmlns="http://schemas.openxmlformats.org/spreadsheetml/2006/main">
  <authors>
    <author>Gerson Pinto Amarante</author>
  </authors>
  <commentList>
    <comment ref="D2" authorId="0" shapeId="0">
      <text>
        <r>
          <rPr>
            <sz val="9"/>
            <color indexed="81"/>
            <rFont val="Segoe UI"/>
            <family val="2"/>
          </rPr>
          <t>0 - Pessoa jurídica de
direito privado.
1 - Órgãos, autarquias e
fundações da
administração pública
federal.
Sim
2 - Órgãos, autarquias e
fundações da
administração pública
estadual, municipal ou do
Distrito Federal.
3 – Empresa pública ou
sociedade de economia
mista federal.
4 - Empresa pública ou
sociedade de economia
mista estadual, municipal
ou do Distrito Federal.
8 – Entidade com
alteração de natureza
jurídica (uso restrito).</t>
        </r>
      </text>
    </comment>
    <comment ref="F2" authorId="0" shapeId="0">
      <text>
        <r>
          <rPr>
            <sz val="9"/>
            <color indexed="81"/>
            <rFont val="Segoe UI"/>
            <family val="2"/>
          </rPr>
          <t xml:space="preserve">S - Sócio ostensivo.
N - Não é sócio ostensivo.
</t>
        </r>
      </text>
    </comment>
    <comment ref="G2" authorId="0" shapeId="0">
      <text>
        <r>
          <rPr>
            <sz val="9"/>
            <color indexed="81"/>
            <rFont val="Segoe UI"/>
            <family val="2"/>
          </rPr>
          <t>S - Depositário de crédito
decorrente de decisão
judicial.
N – Não é depositário de
crédito decorrente de
decisão judicial.</t>
        </r>
      </text>
    </comment>
    <comment ref="H2" authorId="0" shapeId="0">
      <text>
        <r>
          <rPr>
            <sz val="9"/>
            <color indexed="81"/>
            <rFont val="Segoe UI"/>
            <family val="2"/>
          </rPr>
          <t>S - Instituição
administradora ou
intermediadora de fundo
ou clube de investimento.
N – Não é instituição
administradora ou
intermediadora de fundo
ou clube de investimento.</t>
        </r>
      </text>
    </comment>
    <comment ref="I2" authorId="0" shapeId="0">
      <text>
        <r>
          <rPr>
            <sz val="9"/>
            <color indexed="81"/>
            <rFont val="Segoe UI"/>
            <family val="2"/>
          </rPr>
          <t>S - Pagou rendimentos a
residentes ou domiciliados
no exterior.
N - Não pagou
rendimentos a residentes
ou domiciliados no exterior.</t>
        </r>
      </text>
    </comment>
    <comment ref="J2" authorId="0" shapeId="0">
      <text>
        <r>
          <rPr>
            <sz val="9"/>
            <color indexed="81"/>
            <rFont val="Segoe UI"/>
            <family val="2"/>
          </rPr>
          <t>S – Existe pagamento de
valor pelo
titular/dependente do plano
de saúde.
N – Não existe pagamento
de valor pelo
titular/dependente do plano
de saúde.</t>
        </r>
      </text>
    </comment>
    <comment ref="K2" authorId="0" shapeId="0">
      <text>
        <r>
          <rPr>
            <sz val="9"/>
            <color indexed="81"/>
            <rFont val="Segoe UI"/>
            <family val="2"/>
          </rPr>
          <t>S - Existe pagamento
relacionado às Olimpíadas.
N - Não existe pagamento
relacionado às Olimpíadas.</t>
        </r>
      </text>
    </comment>
    <comment ref="L2" authorId="0" shapeId="0">
      <text>
        <r>
          <rPr>
            <sz val="9"/>
            <color indexed="81"/>
            <rFont val="Segoe UI"/>
            <family val="2"/>
          </rPr>
          <t>S - Declaração de situação
especial.
N - Não é declaração de
situação especial.</t>
        </r>
      </text>
    </comment>
  </commentList>
</comments>
</file>

<file path=xl/sharedStrings.xml><?xml version="1.0" encoding="utf-8"?>
<sst xmlns="http://schemas.openxmlformats.org/spreadsheetml/2006/main" count="25309" uniqueCount="3029">
  <si>
    <t>CPF</t>
  </si>
  <si>
    <t>NOME</t>
  </si>
  <si>
    <t>DDD</t>
  </si>
  <si>
    <t>Indicador de Titular de Serviços
Notariais e de Registros</t>
  </si>
  <si>
    <t>Indicador de declarante de
rendimentos pagos a residentes
ou domiciliados no exterior</t>
  </si>
  <si>
    <t>Indicador de plano privado de
assistência à saúde - coletivo
empresarial</t>
  </si>
  <si>
    <t>Indicador de sócio ostensivo
responsável por sociedade em
conta de participação - SCP</t>
  </si>
  <si>
    <t>Indicador de situação especial da
declaração</t>
  </si>
  <si>
    <t>Data do Evento</t>
  </si>
  <si>
    <t>Tipo de Evento</t>
  </si>
  <si>
    <t>Nome empresarial</t>
  </si>
  <si>
    <t>Natureza do declarante</t>
  </si>
  <si>
    <t>CPF responsável perante o CNPJ</t>
  </si>
  <si>
    <t>Indicador de declarante
depositário de crédito decorrente
de decisão judicial</t>
  </si>
  <si>
    <t>Indicador de declarante de
instituição administradora ou
intermediadora de fundo ou clube
de investimento</t>
  </si>
  <si>
    <t>Indicador de pagamentos
relacionados aos Jogos
Olímpicos de 2016 e aos Jogos
Paraolímpicos de 2016</t>
  </si>
  <si>
    <t>Data do evento</t>
  </si>
  <si>
    <t>Natureza do
declarante</t>
  </si>
  <si>
    <t>Ano referência</t>
  </si>
  <si>
    <t>Ano-calendário</t>
  </si>
  <si>
    <t>Indicador de retificadora</t>
  </si>
  <si>
    <t>Número do recibo</t>
  </si>
  <si>
    <t>Identificador de estrutura do
leiaute</t>
  </si>
  <si>
    <t>Nome</t>
  </si>
  <si>
    <t>Telefone</t>
  </si>
  <si>
    <t>Ramal</t>
  </si>
  <si>
    <t>Fax</t>
  </si>
  <si>
    <t>Correio eletrônico</t>
  </si>
  <si>
    <t>Registro de identificação do código de receita (identificador IDREC)</t>
  </si>
  <si>
    <t>Data atribuída pelo laudo da
moléstia grave</t>
  </si>
  <si>
    <t>CNPJ</t>
  </si>
  <si>
    <t>RTPO - Rendimentos Tributáveis - Dedução - Previdência Oficial</t>
  </si>
  <si>
    <t>RTPP - Rendimentos Tributáveis - Dedução - Previdência Privada</t>
  </si>
  <si>
    <t>RTDP - Rendimentos Tributáveis - Dedução – Dependentes</t>
  </si>
  <si>
    <t>RTPA - Rendimentos Tributáveis - Dedução - Pensão Alimentícia</t>
  </si>
  <si>
    <t>RTIRF - Rendimentos Tributáveis - Imposto sobre a Renda Retido na Fonte</t>
  </si>
  <si>
    <t>CJAC - Compensação de Imposto por Decisão Judicial - Ano-calendário</t>
  </si>
  <si>
    <t>CJAA - Compensação de Imposto por Decisão Judicial - Anos Anteriores</t>
  </si>
  <si>
    <t>ESRT - Tributação com Exigibilidade Suspensa - Rendimento Tributável</t>
  </si>
  <si>
    <t>ESPO - Tributação com Exigibilidade Suspensa - Dedução - Previdência Oficial</t>
  </si>
  <si>
    <t>ESPP - Tributação com Exigibilidade Suspensa - Dedução - Previdência Privada</t>
  </si>
  <si>
    <t>ESDP - Tributação com Exigibilidade Suspensa - Dedução - Dependentes</t>
  </si>
  <si>
    <t>ESPA - Tributação com Exigibilidade Suspensa - Dedução - Pensão Alimentícia</t>
  </si>
  <si>
    <t>ESIR - Tributação com Exigibilidade Suspensa - Imposto sobre a Renda na Fonte</t>
  </si>
  <si>
    <t>ESDJ - Tributação com Exigibilidade Suspensa - Depósito Judicial</t>
  </si>
  <si>
    <t>RIDAC - Rendimentos Isentos - Diária e Ajuda de Custo</t>
  </si>
  <si>
    <t>RIIRP - Rendimentos Isentos - Indenizações por Rescisão de Contrato de Trabalho, inclusive
a título de PDV</t>
  </si>
  <si>
    <t>RIAP - Rendimentos Isentos - Abono Pecuniário</t>
  </si>
  <si>
    <t>RIBMR - Rendimentos Isentos - Bolsa de Estudo Recebida por Médico-Residente</t>
  </si>
  <si>
    <t>Valor pago no ano</t>
  </si>
  <si>
    <t>Código de receita</t>
  </si>
  <si>
    <t>Registro do Responsável pelo preenchimento da declaração 
(identificador RESPO)</t>
  </si>
  <si>
    <t>Registro de identificação do declarante pessoa física 
(identificador DECPF)</t>
  </si>
  <si>
    <t>Registro de identificação do declarante pessoa jurídica 
(identificador DECPJ)</t>
  </si>
  <si>
    <t>RTRT - Rendimentos Tributáveis</t>
  </si>
  <si>
    <t>RIL96 - Rendimentos Isentos Anuais 
Lucros e dividendos pagos a partir de 1996</t>
  </si>
  <si>
    <t>RIPTS - Rendimentos Isentos Anuais 
Valores pagos a titular ou sócio ou empresa de
pequeno porte, exceto pró-labore e aluguéis</t>
  </si>
  <si>
    <t>RIRSR – Rendimentos Isentos Anuais 
 Rendimentos pagos sem retenção do IR na fonte –
Lei nº 10.833/2003</t>
  </si>
  <si>
    <t>Registro de operadora do plano privado de assistência à saúde - coletivo empresarial (identificador OPSE)</t>
  </si>
  <si>
    <t>CNPJ da operadora de plano
privado de assistência à saúde -
coletivo empresarial</t>
  </si>
  <si>
    <t>Registro ANS</t>
  </si>
  <si>
    <t>Registro de titular do plano privado de assistência à saúde - coletivo empresarial (identificador TPSE)</t>
  </si>
  <si>
    <t>CPF do titular</t>
  </si>
  <si>
    <t>CPF do dependente</t>
  </si>
  <si>
    <t>Data de nascimento</t>
  </si>
  <si>
    <t>Relação de dependência</t>
  </si>
  <si>
    <t>CPF/CNPJ do prestador de
serviço</t>
  </si>
  <si>
    <t>Nome/Nome Empresarial do
prestador de serviço</t>
  </si>
  <si>
    <t>Registro de beneficiário pessoa jurídica do declarante (identificador BPJDEC)</t>
  </si>
  <si>
    <t>Registro de beneficiário pessoa física do declarante (identificador BPFDEC)</t>
  </si>
  <si>
    <t>Plano</t>
  </si>
  <si>
    <t>Registro de identificação da declaração (identificador Dirf)</t>
  </si>
  <si>
    <t>CPF Titular</t>
  </si>
  <si>
    <t>2016</t>
  </si>
  <si>
    <t>N</t>
  </si>
  <si>
    <t/>
  </si>
  <si>
    <t>11</t>
  </si>
  <si>
    <t>0</t>
  </si>
  <si>
    <t>S</t>
  </si>
  <si>
    <t>0561</t>
  </si>
  <si>
    <t>3562</t>
  </si>
  <si>
    <t>2017</t>
  </si>
  <si>
    <t>P49VS72</t>
  </si>
  <si>
    <t>359017</t>
  </si>
  <si>
    <t>INFPA – Informações do beneficiário da pensão alimentícia(identificador INFPA)</t>
  </si>
  <si>
    <t>21714954803</t>
  </si>
  <si>
    <t>GEISE FERREIRA DE ANDRADE</t>
  </si>
  <si>
    <t>41569030</t>
  </si>
  <si>
    <t>9030</t>
  </si>
  <si>
    <t>GEISE.ANDRADE@HARALD.COM.BR</t>
  </si>
  <si>
    <t>88304001000170</t>
  </si>
  <si>
    <t>HARALD INDUSTRIA E COMERCIO DE ALIMENTOS SA</t>
  </si>
  <si>
    <t>38733250049</t>
  </si>
  <si>
    <t>00056694059</t>
  </si>
  <si>
    <t>DIOGO SILVA GUIMARAES</t>
  </si>
  <si>
    <t>01331153301</t>
  </si>
  <si>
    <t>RAIMUNDO NONATO DOS SANTOS</t>
  </si>
  <si>
    <t>01336136588</t>
  </si>
  <si>
    <t>ELIEL GUIMARAES CARVALHO</t>
  </si>
  <si>
    <t>01624874525</t>
  </si>
  <si>
    <t>JURACI FERREIRA LOPES</t>
  </si>
  <si>
    <t>01949345866</t>
  </si>
  <si>
    <t>JOEL LUCIO DO PRADO</t>
  </si>
  <si>
    <t>02355607311</t>
  </si>
  <si>
    <t>RONALDO ADRIANO DA SILVA PEREIRA</t>
  </si>
  <si>
    <t>02463683570</t>
  </si>
  <si>
    <t>ALBERLAN DE ANDRADE ARAGAO</t>
  </si>
  <si>
    <t>02695131402</t>
  </si>
  <si>
    <t>HERMES FELIPE DOS SANTOS</t>
  </si>
  <si>
    <t>02744850446</t>
  </si>
  <si>
    <t>SILVIA CRISTINA ALVES DE ALMEIDA</t>
  </si>
  <si>
    <t>02817514122</t>
  </si>
  <si>
    <t>ANTONIO CAMILO DE OLIVEIRA</t>
  </si>
  <si>
    <t>03009646410</t>
  </si>
  <si>
    <t>FRANCISCO JOSE FELISBERTO NETO</t>
  </si>
  <si>
    <t>03030427536</t>
  </si>
  <si>
    <t>BRUNO DE SOUZA GOMES</t>
  </si>
  <si>
    <t>03035044988</t>
  </si>
  <si>
    <t>ALMIR GUEDES</t>
  </si>
  <si>
    <t>03047624313</t>
  </si>
  <si>
    <t>JOSE ALMIR SOUZA DA SILVA</t>
  </si>
  <si>
    <t>03100411803</t>
  </si>
  <si>
    <t>EDSON INACIO DA SILVA</t>
  </si>
  <si>
    <t>03138791689</t>
  </si>
  <si>
    <t>ADEVAINE CRISTINA SOUZA DA SILVA NUNES</t>
  </si>
  <si>
    <t>03328035540</t>
  </si>
  <si>
    <t>JEFFERSON OLIVEIRA DE ANDRADE</t>
  </si>
  <si>
    <t>03340781567</t>
  </si>
  <si>
    <t>MANOEL JULIO BARBOSA DOS SANTOS</t>
  </si>
  <si>
    <t>03382831376</t>
  </si>
  <si>
    <t>IGOR CARVALHO DA SILVA</t>
  </si>
  <si>
    <t>03388481504</t>
  </si>
  <si>
    <t>CRISTIANO ALMEIDA ALVES DE JESUS</t>
  </si>
  <si>
    <t>03536880452</t>
  </si>
  <si>
    <t>DENISE GOMES DE OLIVEIRA</t>
  </si>
  <si>
    <t>03751893431</t>
  </si>
  <si>
    <t>ANTONIO JUCIMARIO RODRIGUES CORREIA</t>
  </si>
  <si>
    <t>03761845740</t>
  </si>
  <si>
    <t>CARLOS HENRIQUE DOS SANTOS</t>
  </si>
  <si>
    <t>03790572390</t>
  </si>
  <si>
    <t>LEANDRO FEITOSA DOS SANTOS</t>
  </si>
  <si>
    <t>03819227822</t>
  </si>
  <si>
    <t>AUREA RODRIGUES DOS SANTOS</t>
  </si>
  <si>
    <t>04017347576</t>
  </si>
  <si>
    <t>AILTON DA SILVA RAMOS</t>
  </si>
  <si>
    <t>04029182402</t>
  </si>
  <si>
    <t>VANIA FERREIRA ACIOLI</t>
  </si>
  <si>
    <t>04184911510</t>
  </si>
  <si>
    <t>JOSIAS SILVA LIMA</t>
  </si>
  <si>
    <t>04223302990</t>
  </si>
  <si>
    <t>RILDO ALVES DE OLIVEIRA</t>
  </si>
  <si>
    <t>04224603462</t>
  </si>
  <si>
    <t>MARIO SALVINO SILVA</t>
  </si>
  <si>
    <t>04270435496</t>
  </si>
  <si>
    <t>SANDROALEX FERREIRA DA SILVA</t>
  </si>
  <si>
    <t>04306861457</t>
  </si>
  <si>
    <t>PAULO JOSE VIANA DA SILVA</t>
  </si>
  <si>
    <t>04411140837</t>
  </si>
  <si>
    <t>PAULO DOMINGOS ARANTES FERRAZ</t>
  </si>
  <si>
    <t>04457695564</t>
  </si>
  <si>
    <t>GENARIO PEREIRA DOS SANTOS</t>
  </si>
  <si>
    <t>04577813866</t>
  </si>
  <si>
    <t>MAURO DO CARMO BERNARDO</t>
  </si>
  <si>
    <t>39579952809</t>
  </si>
  <si>
    <t>19910911</t>
  </si>
  <si>
    <t>JAIME SILVA BERNARDO</t>
  </si>
  <si>
    <t>04657109642</t>
  </si>
  <si>
    <t>IZAIAS NUNES SANTOS</t>
  </si>
  <si>
    <t>20071229</t>
  </si>
  <si>
    <t>JULIA FARIAS SANTOS</t>
  </si>
  <si>
    <t>04683591413</t>
  </si>
  <si>
    <t>MARCONDES ALVES PEREIRA</t>
  </si>
  <si>
    <t>04702641875</t>
  </si>
  <si>
    <t>SERGIO RICARDO MERICI</t>
  </si>
  <si>
    <t>05011804518</t>
  </si>
  <si>
    <t>JOSE FERNANDO SILVA CARNEIRO</t>
  </si>
  <si>
    <t>05061278690</t>
  </si>
  <si>
    <t>OSVALDO PEREIRA MARTINS</t>
  </si>
  <si>
    <t>05064141670</t>
  </si>
  <si>
    <t>LUIZINHO MEDEIROS LEAL</t>
  </si>
  <si>
    <t>05125922412</t>
  </si>
  <si>
    <t>QUITERIA MARIA DA SILVA</t>
  </si>
  <si>
    <t>05218836605</t>
  </si>
  <si>
    <t>ALDINEY BOA DOS SANTOS</t>
  </si>
  <si>
    <t>05245200465</t>
  </si>
  <si>
    <t>ISAIAS CARIRI DE LIMA</t>
  </si>
  <si>
    <t>05309607889</t>
  </si>
  <si>
    <t>FRANCISCO PAULO DA SILVA</t>
  </si>
  <si>
    <t>05343915329</t>
  </si>
  <si>
    <t>EDELSON DA ROCHA DE CARVALHO</t>
  </si>
  <si>
    <t>05396249854</t>
  </si>
  <si>
    <t>ADAUTO JOSE DOS SANTOS</t>
  </si>
  <si>
    <t>05696926444</t>
  </si>
  <si>
    <t>FELIPE MARCEL PINHEIRO DA PAZ</t>
  </si>
  <si>
    <t>05833034477</t>
  </si>
  <si>
    <t>WELLINGTON MAGALHAES LINS</t>
  </si>
  <si>
    <t>05907823470</t>
  </si>
  <si>
    <t>JOSE DOMINGOS DOS SANTOS</t>
  </si>
  <si>
    <t>06012552599</t>
  </si>
  <si>
    <t>ROMARIO DOS SANTOS FERREIRA</t>
  </si>
  <si>
    <t>06019083845</t>
  </si>
  <si>
    <t>HANANE YOUSSEF MANSOUR</t>
  </si>
  <si>
    <t>06045646860</t>
  </si>
  <si>
    <t>CICERO MACIEL DOS SANTOS</t>
  </si>
  <si>
    <t>06054974432</t>
  </si>
  <si>
    <t>RONALDO GONCALO NELO</t>
  </si>
  <si>
    <t>06060960863</t>
  </si>
  <si>
    <t>GILBERTO JOSE FURTADO</t>
  </si>
  <si>
    <t>06068899810</t>
  </si>
  <si>
    <t>JOSE HELENO DOS SANTOS</t>
  </si>
  <si>
    <t>06162907481</t>
  </si>
  <si>
    <t>JOSE TARGINO HONORATO DA SILVA</t>
  </si>
  <si>
    <t>06189668895</t>
  </si>
  <si>
    <t>CLAUDEMIR APARECIDO DOS SANTOS</t>
  </si>
  <si>
    <t>06276739537</t>
  </si>
  <si>
    <t>JONHNATA MENDES REIS</t>
  </si>
  <si>
    <t>06299991470</t>
  </si>
  <si>
    <t>LAMARCK ANTONIO OLIVEIRA CAVALCANTI</t>
  </si>
  <si>
    <t>06324317684</t>
  </si>
  <si>
    <t>LUCAS FIORITO MENDES</t>
  </si>
  <si>
    <t>20040827</t>
  </si>
  <si>
    <t>ERIKA LIMA FIORITO</t>
  </si>
  <si>
    <t>06377144407</t>
  </si>
  <si>
    <t>ANDERSON CARLOS DA SILVA</t>
  </si>
  <si>
    <t>06439264532</t>
  </si>
  <si>
    <t>EDIEMISSON SANTOS SILVA</t>
  </si>
  <si>
    <t>06565339600</t>
  </si>
  <si>
    <t>JOSE APARECIDO NOGUEIRA LISBOA</t>
  </si>
  <si>
    <t>06750551807</t>
  </si>
  <si>
    <t>SELMA FRANCISCA DA SILVA ALMEIDA</t>
  </si>
  <si>
    <t>06759188551</t>
  </si>
  <si>
    <t>JOABSON LOPES SILVA</t>
  </si>
  <si>
    <t>06824742821</t>
  </si>
  <si>
    <t>ELIAS DE JESUS SANTANA</t>
  </si>
  <si>
    <t>06833972494</t>
  </si>
  <si>
    <t>JESIVAL JOSE DE OLIVEIRA</t>
  </si>
  <si>
    <t>07099004492</t>
  </si>
  <si>
    <t>ANDERSON LUIZ DA SILVA</t>
  </si>
  <si>
    <t>07103862818</t>
  </si>
  <si>
    <t>CARLOS EDUARDO DE AQUINO MUNHOZ</t>
  </si>
  <si>
    <t>07221785490</t>
  </si>
  <si>
    <t>JOSE ROBERTO MANOEL DE OLIVEIRA</t>
  </si>
  <si>
    <t>07416675413</t>
  </si>
  <si>
    <t>JAIRO SILVA DE LIMA</t>
  </si>
  <si>
    <t>07439915674</t>
  </si>
  <si>
    <t>RAFAEL MURAD DE AZEVEDO</t>
  </si>
  <si>
    <t>07480337850</t>
  </si>
  <si>
    <t>MARCOS KENJI ALVES</t>
  </si>
  <si>
    <t>07482429530</t>
  </si>
  <si>
    <t>DERENILSON ALVES BATISTA</t>
  </si>
  <si>
    <t>07602711432</t>
  </si>
  <si>
    <t>JOSE MAURICELIO DOS SANTOS</t>
  </si>
  <si>
    <t>07772949820</t>
  </si>
  <si>
    <t>VAGNER VIEIRA</t>
  </si>
  <si>
    <t>07842834431</t>
  </si>
  <si>
    <t>VALDIR DE OLIVEIRA SILVA</t>
  </si>
  <si>
    <t>07914615803</t>
  </si>
  <si>
    <t>CONSTANTINO FELIZARDO</t>
  </si>
  <si>
    <t>07916545837</t>
  </si>
  <si>
    <t>JOSE ANTONIO BISPO ALVES DA SILVA</t>
  </si>
  <si>
    <t>07955638840</t>
  </si>
  <si>
    <t>LUCIANA GALDINO</t>
  </si>
  <si>
    <t>08001226662</t>
  </si>
  <si>
    <t>MARCELO CONCEICAO</t>
  </si>
  <si>
    <t>08217512477</t>
  </si>
  <si>
    <t>JOSE ROSEVALDO DOS SANTOS</t>
  </si>
  <si>
    <t>08248173623</t>
  </si>
  <si>
    <t>OSMAR FERREIRA DA CRUZ</t>
  </si>
  <si>
    <t>08330845699</t>
  </si>
  <si>
    <t>RAFAEL OLIVEIRA DA CRUZ</t>
  </si>
  <si>
    <t>08415019807</t>
  </si>
  <si>
    <t>MARCELO DE AVILA PARINI</t>
  </si>
  <si>
    <t>08682180812</t>
  </si>
  <si>
    <t>RENATA BELLUOMINI</t>
  </si>
  <si>
    <t>08953448824</t>
  </si>
  <si>
    <t>CARLOS OLIMPIO DOS SANTOS</t>
  </si>
  <si>
    <t>09192256406</t>
  </si>
  <si>
    <t>ALEXANDRE BEZERRA MAIA</t>
  </si>
  <si>
    <t>09249403879</t>
  </si>
  <si>
    <t>MARCELO APARECIDO GOMES BIANCHI</t>
  </si>
  <si>
    <t>09267213644</t>
  </si>
  <si>
    <t>ARLINDO GRESPAN BATISTA</t>
  </si>
  <si>
    <t>09385365835</t>
  </si>
  <si>
    <t>CELSO ANTONIO DOS SANTOS RIBEIRO</t>
  </si>
  <si>
    <t>09385813846</t>
  </si>
  <si>
    <t>SHEILA CHRISTINA KOMATSU DE MATTOS</t>
  </si>
  <si>
    <t>09386011808</t>
  </si>
  <si>
    <t>GERALDO EVANGELISTA FERREIRA</t>
  </si>
  <si>
    <t>09418895641</t>
  </si>
  <si>
    <t>GUILHERME HENRIQUE DE OLIVEIRA NATAL</t>
  </si>
  <si>
    <t>09458789664</t>
  </si>
  <si>
    <t>RICARDO NUNES MOTA</t>
  </si>
  <si>
    <t>09858509499</t>
  </si>
  <si>
    <t>LEANDRO LIRA DA SILVA</t>
  </si>
  <si>
    <t>10038046830</t>
  </si>
  <si>
    <t>EDSON DOS SANTOS MARTINS</t>
  </si>
  <si>
    <t>10223063835</t>
  </si>
  <si>
    <t>DONIZETE APARECIDO DOS SANTOS</t>
  </si>
  <si>
    <t>10242289835</t>
  </si>
  <si>
    <t>SANDRO ANTONIO DOS SANTOS SILVA</t>
  </si>
  <si>
    <t>10256713847</t>
  </si>
  <si>
    <t>MAURICIO RAMOS DE CAMARGO</t>
  </si>
  <si>
    <t>10483652806</t>
  </si>
  <si>
    <t>EDIVALDO SECATO</t>
  </si>
  <si>
    <t>10564902411</t>
  </si>
  <si>
    <t>JOSE MARIA DA SILVA DE ARAUJO</t>
  </si>
  <si>
    <t>10633272884</t>
  </si>
  <si>
    <t>CARLOS ROBERTO DOS SANTOS</t>
  </si>
  <si>
    <t>10673488837</t>
  </si>
  <si>
    <t>SEVERINO MARIANO</t>
  </si>
  <si>
    <t>10793545811</t>
  </si>
  <si>
    <t>MARCELO LUIS FUKUYAMA</t>
  </si>
  <si>
    <t>11028502842</t>
  </si>
  <si>
    <t>RENATA ADRIANA HERNANDES RODRIGUES LEAO</t>
  </si>
  <si>
    <t>11231383895</t>
  </si>
  <si>
    <t>ANTONIO PEREIRA DOS REIS</t>
  </si>
  <si>
    <t>11537080431</t>
  </si>
  <si>
    <t>JOSE EUDES DE SOUZA DOS SANTOS</t>
  </si>
  <si>
    <t>11551816890</t>
  </si>
  <si>
    <t>MARCELO RIBEIRO DE SOUZA</t>
  </si>
  <si>
    <t>11613928823</t>
  </si>
  <si>
    <t>MARLIZE DE JESUS FERREIRA</t>
  </si>
  <si>
    <t>11705573843</t>
  </si>
  <si>
    <t>ANA LUCIA VINHA HEMKE</t>
  </si>
  <si>
    <t>11726004813</t>
  </si>
  <si>
    <t>RENIEIRE CELY CALDEIRA</t>
  </si>
  <si>
    <t>12080831631</t>
  </si>
  <si>
    <t>RANIERE PEREIRA DA SILVA</t>
  </si>
  <si>
    <t>12155714610</t>
  </si>
  <si>
    <t>ALMIR ALMEIDA TEIXEIRA</t>
  </si>
  <si>
    <t>12545487856</t>
  </si>
  <si>
    <t>ANA LUCIA RIBEIRO DA SILVA FERREIRA</t>
  </si>
  <si>
    <t>12593809809</t>
  </si>
  <si>
    <t>RILDO DE ARAUJO DA SILVA</t>
  </si>
  <si>
    <t>12628618885</t>
  </si>
  <si>
    <t>ROBEVAL ALVES DE BRITO</t>
  </si>
  <si>
    <t>20070207</t>
  </si>
  <si>
    <t>IZABELA CHAVES DE BRITO</t>
  </si>
  <si>
    <t>12741932816</t>
  </si>
  <si>
    <t>LUCIANA DOS REIS COSTA DAS NEVES</t>
  </si>
  <si>
    <t>12747833801</t>
  </si>
  <si>
    <t>MARTA DA SILVA CARVALHO</t>
  </si>
  <si>
    <t>12775956823</t>
  </si>
  <si>
    <t>JOEL GONCALVES MARQUES</t>
  </si>
  <si>
    <t>12885337800</t>
  </si>
  <si>
    <t>HELCIO COSTA</t>
  </si>
  <si>
    <t>13186169801</t>
  </si>
  <si>
    <t>MARILENE DA SILVA NUNES</t>
  </si>
  <si>
    <t>13288600862</t>
  </si>
  <si>
    <t>EDVALDO MANUEL DA SILVA</t>
  </si>
  <si>
    <t>13298249890</t>
  </si>
  <si>
    <t>PAULO ROGERIO BARBOSA</t>
  </si>
  <si>
    <t>13533696847</t>
  </si>
  <si>
    <t>JOICE DOS SANTOS SILVA</t>
  </si>
  <si>
    <t>13723029809</t>
  </si>
  <si>
    <t>MARCIA REGINA STEFANIO VIEIRA</t>
  </si>
  <si>
    <t>13733633806</t>
  </si>
  <si>
    <t>ABELARDO FERREIRA DE ALMEIDA</t>
  </si>
  <si>
    <t>13771961866</t>
  </si>
  <si>
    <t>CLAUDIO ROBERTO DA SILVA</t>
  </si>
  <si>
    <t>13787006869</t>
  </si>
  <si>
    <t>EDIVALDO APARECIDO FABRIANO DA SILVA</t>
  </si>
  <si>
    <t>13822957828</t>
  </si>
  <si>
    <t>HOFNY HERBERT MANIEZO SANTIAGO</t>
  </si>
  <si>
    <t>13833027827</t>
  </si>
  <si>
    <t>GERSON DE SOUZA</t>
  </si>
  <si>
    <t>13877214614</t>
  </si>
  <si>
    <t>MARIA LOPO DA CRUZ FERREIRA</t>
  </si>
  <si>
    <t>14085988840</t>
  </si>
  <si>
    <t>JOSE HIGINO DOS SANTOS SILVA</t>
  </si>
  <si>
    <t>14511585806</t>
  </si>
  <si>
    <t>LUCINEIDE DE JESUS SILVA AMORIM</t>
  </si>
  <si>
    <t>14607870803</t>
  </si>
  <si>
    <t>JOSE CELSO SILVA GONCALVES</t>
  </si>
  <si>
    <t>14612922808</t>
  </si>
  <si>
    <t>RAIMUNDO RODRIGUES DIAS FILHO</t>
  </si>
  <si>
    <t>14863859821</t>
  </si>
  <si>
    <t>ALESSANDRO ANTONIO FERREIRA</t>
  </si>
  <si>
    <t>14874923836</t>
  </si>
  <si>
    <t>CRISTIANE DE FATIMA MENDES MACEDO</t>
  </si>
  <si>
    <t>14899071817</t>
  </si>
  <si>
    <t>JOSE JUNIOR VENANCIO PEREIRA</t>
  </si>
  <si>
    <t>14899084803</t>
  </si>
  <si>
    <t>FRANCISCO DE ASSIS PEREIRA</t>
  </si>
  <si>
    <t>14998059858</t>
  </si>
  <si>
    <t>ROGERIO PITORI</t>
  </si>
  <si>
    <t>15161663880</t>
  </si>
  <si>
    <t>MARIA HELENA REIS DOS SANTOS</t>
  </si>
  <si>
    <t>15221040387</t>
  </si>
  <si>
    <t>JOSINA BARBOSA DE CARVALHO PIAUI</t>
  </si>
  <si>
    <t>15243645842</t>
  </si>
  <si>
    <t>JOABE MIGUEL DOS SANTOS</t>
  </si>
  <si>
    <t>15335572841</t>
  </si>
  <si>
    <t>ROGERIO LOPES DE OLIVEIRA</t>
  </si>
  <si>
    <t>15511370894</t>
  </si>
  <si>
    <t>MARCIO AURELIO BIGARDI</t>
  </si>
  <si>
    <t>16097332823</t>
  </si>
  <si>
    <t>GERSON DOMINGUES DA SILVA</t>
  </si>
  <si>
    <t>16103453801</t>
  </si>
  <si>
    <t>LUIZ PAULO MONTEIRO CHAVES</t>
  </si>
  <si>
    <t>16108316837</t>
  </si>
  <si>
    <t>ARNALDO BENEDITO VIEIRA DE OLIVEIRA</t>
  </si>
  <si>
    <t>16248781800</t>
  </si>
  <si>
    <t>MARCO ANTONIO RODRIGUES</t>
  </si>
  <si>
    <t>16319365811</t>
  </si>
  <si>
    <t>MARCELO LUIZ LOPES</t>
  </si>
  <si>
    <t>16368276835</t>
  </si>
  <si>
    <t>JAILTON LOPES DE ANDRADE</t>
  </si>
  <si>
    <t>16530757830</t>
  </si>
  <si>
    <t>ANTONIO CARLOS DA SILVA</t>
  </si>
  <si>
    <t>16575330851</t>
  </si>
  <si>
    <t>ENEZIO DAMAZIO</t>
  </si>
  <si>
    <t>16813292803</t>
  </si>
  <si>
    <t>FRANCISCO FERREIRA DOS ANJOS</t>
  </si>
  <si>
    <t>16853248864</t>
  </si>
  <si>
    <t>SERGIO AMARAL</t>
  </si>
  <si>
    <t>16868843895</t>
  </si>
  <si>
    <t>FRANCISCA IVONE ALMEIDA SOARES</t>
  </si>
  <si>
    <t>16896382813</t>
  </si>
  <si>
    <t>VALDINEI RODRIGUES PEREIRA</t>
  </si>
  <si>
    <t>16930008818</t>
  </si>
  <si>
    <t>ISRAEL LUIZ DE MOURA</t>
  </si>
  <si>
    <t>16930593800</t>
  </si>
  <si>
    <t>ANGELA DE FARIAS SILVA</t>
  </si>
  <si>
    <t>17038919881</t>
  </si>
  <si>
    <t>GISLENE GUEDES DOS SANTOS</t>
  </si>
  <si>
    <t>17112854806</t>
  </si>
  <si>
    <t>VALMIR ROGERIO TROVO</t>
  </si>
  <si>
    <t>17264298817</t>
  </si>
  <si>
    <t>CELSO RICARDO LEITE SEVERO</t>
  </si>
  <si>
    <t>17272574801</t>
  </si>
  <si>
    <t>APARECIDO CARDOSO DOS SANTOS</t>
  </si>
  <si>
    <t>17371879813</t>
  </si>
  <si>
    <t>JOSIMAR DAS CHAGAS</t>
  </si>
  <si>
    <t>17431309880</t>
  </si>
  <si>
    <t>EDNILSON BISPO DOS SANTOS</t>
  </si>
  <si>
    <t>17582803876</t>
  </si>
  <si>
    <t>RAIMUNDA MARIA DA CONCEICAO CARDOSO</t>
  </si>
  <si>
    <t>17614436822</t>
  </si>
  <si>
    <t>REGINALDO JOSE DE NOVAES</t>
  </si>
  <si>
    <t>17667994854</t>
  </si>
  <si>
    <t>ALEXANDRE LUIZ DOS REIS</t>
  </si>
  <si>
    <t>17706773809</t>
  </si>
  <si>
    <t>WILLIAN CASTRO ALVES</t>
  </si>
  <si>
    <t>17740234826</t>
  </si>
  <si>
    <t>ANDERSON BARBOSA</t>
  </si>
  <si>
    <t>20000328</t>
  </si>
  <si>
    <t>JULIO CESAR OLIVEIRA BARBOSA</t>
  </si>
  <si>
    <t>20040328</t>
  </si>
  <si>
    <t>DANIEL CAMARGO BARBOSA</t>
  </si>
  <si>
    <t>17746836879</t>
  </si>
  <si>
    <t>SIRLENE MARIA DA COSTA OLIVEIRA</t>
  </si>
  <si>
    <t>17754083884</t>
  </si>
  <si>
    <t>ALESSANDRO DE VARGAS VIEIRA</t>
  </si>
  <si>
    <t>17953636816</t>
  </si>
  <si>
    <t>VALDIR CICERO DA SILVA</t>
  </si>
  <si>
    <t>17994706878</t>
  </si>
  <si>
    <t>ADRIANO LUDICSA</t>
  </si>
  <si>
    <t>17994709893</t>
  </si>
  <si>
    <t>VALERIA CARNEIRO DE SOUSA</t>
  </si>
  <si>
    <t>17994744885</t>
  </si>
  <si>
    <t>VALDINEI BORGES DOS SANTOS</t>
  </si>
  <si>
    <t>18079020809</t>
  </si>
  <si>
    <t>LUCIANO EVANGELISTA DE OLIVEIRA</t>
  </si>
  <si>
    <t>18176576824</t>
  </si>
  <si>
    <t>EVERSON ROMEU MARTINS DA SILVA</t>
  </si>
  <si>
    <t>18181206827</t>
  </si>
  <si>
    <t>FULVIO MANOEL TIMOTEO ROCHA</t>
  </si>
  <si>
    <t>18343690885</t>
  </si>
  <si>
    <t>LUCIMARIO ALVES MEIRA</t>
  </si>
  <si>
    <t>18488654812</t>
  </si>
  <si>
    <t>FLAVIO MARCOS RODRIGUES PUBLIO</t>
  </si>
  <si>
    <t>18556937802</t>
  </si>
  <si>
    <t>VALTER GONCALVES DA SILVA</t>
  </si>
  <si>
    <t>18620895826</t>
  </si>
  <si>
    <t>KELREI HONORATO DA SILVA</t>
  </si>
  <si>
    <t>18706147801</t>
  </si>
  <si>
    <t>JOSETE OLIVEIRA CRUZ DOS SANTOS</t>
  </si>
  <si>
    <t>18772309873</t>
  </si>
  <si>
    <t>GILSON JOSE BATISTA FREITAS</t>
  </si>
  <si>
    <t>19099020805</t>
  </si>
  <si>
    <t>MARCELO EDSON FRANCA</t>
  </si>
  <si>
    <t>19146110801</t>
  </si>
  <si>
    <t>LAERCIO DE SOUZA SILVA</t>
  </si>
  <si>
    <t>19991516824</t>
  </si>
  <si>
    <t>LEUZO ZEFERINO DE LIMA</t>
  </si>
  <si>
    <t>20005077869</t>
  </si>
  <si>
    <t>VINICIUS DE SOUZA</t>
  </si>
  <si>
    <t>20012741817</t>
  </si>
  <si>
    <t>SEBASTIAO LUIS GOMES</t>
  </si>
  <si>
    <t>20023690895</t>
  </si>
  <si>
    <t>CARLOS ROCHA ANDRADE</t>
  </si>
  <si>
    <t>20507098897</t>
  </si>
  <si>
    <t>IVAIR ANTONIO FERNANDES</t>
  </si>
  <si>
    <t>20555336816</t>
  </si>
  <si>
    <t>ROGERIO ANACLETO DA SILVA</t>
  </si>
  <si>
    <t>20600629856</t>
  </si>
  <si>
    <t>NELIO PEREIRA DA SILVA</t>
  </si>
  <si>
    <t>20021117</t>
  </si>
  <si>
    <t>MARIA FERNANDA TORRES SILVA</t>
  </si>
  <si>
    <t>21257561880</t>
  </si>
  <si>
    <t>ALEX DOUGLAS DUARTE FAVRIN</t>
  </si>
  <si>
    <t>21270660730</t>
  </si>
  <si>
    <t>CARLOS HENRIQUE DE OLIVEIRA FIGUEIREDO</t>
  </si>
  <si>
    <t>21348112859</t>
  </si>
  <si>
    <t>CARLOS ROBERTO GOMES DA SILVA</t>
  </si>
  <si>
    <t>21626622809</t>
  </si>
  <si>
    <t>ADAO MARQUES GUIMARAES</t>
  </si>
  <si>
    <t>21672360854</t>
  </si>
  <si>
    <t>ROSANGELA SEPULVEDA</t>
  </si>
  <si>
    <t>21701988810</t>
  </si>
  <si>
    <t>DANIEL TOME FERNANDES</t>
  </si>
  <si>
    <t>21744538867</t>
  </si>
  <si>
    <t>LUIS CESAR TREVIZAM</t>
  </si>
  <si>
    <t>21837173869</t>
  </si>
  <si>
    <t>RAFAEL PACIFICO DE LIMA</t>
  </si>
  <si>
    <t>21893211827</t>
  </si>
  <si>
    <t>TIAGO ALVES DE OLIVEIRA</t>
  </si>
  <si>
    <t>21906233837</t>
  </si>
  <si>
    <t>ANDERSON TEIXEIRA DE OLIVEIRA</t>
  </si>
  <si>
    <t>21992972842</t>
  </si>
  <si>
    <t>WALAS DE ANDRADE SANTOS</t>
  </si>
  <si>
    <t>22097710808</t>
  </si>
  <si>
    <t>REGIS CESAR COSTA</t>
  </si>
  <si>
    <t>22108055894</t>
  </si>
  <si>
    <t>PAULO CESAR DE SOUZA</t>
  </si>
  <si>
    <t>22246246890</t>
  </si>
  <si>
    <t>EVERTON DE MOURA FERNANDES</t>
  </si>
  <si>
    <t>22352548888</t>
  </si>
  <si>
    <t>CAROLINE TOZATTI ROSA BONANCA</t>
  </si>
  <si>
    <t>22375926838</t>
  </si>
  <si>
    <t>ANTONIO CLAUDINEUDO LEITE BEZERRA</t>
  </si>
  <si>
    <t>22383147842</t>
  </si>
  <si>
    <t>HAMILTON JOSE DE MELO PEREIRA</t>
  </si>
  <si>
    <t>22394607840</t>
  </si>
  <si>
    <t>RODRIGO FORNER RODRIGUES DO NASCIMENTO</t>
  </si>
  <si>
    <t>22408376831</t>
  </si>
  <si>
    <t>CESAR ALVES DE OLIVEIRA</t>
  </si>
  <si>
    <t>22446445888</t>
  </si>
  <si>
    <t>FLAVIO RODRIGO DO PRADO</t>
  </si>
  <si>
    <t>22478432803</t>
  </si>
  <si>
    <t>CRISTIAN PEREIRA LEAL</t>
  </si>
  <si>
    <t>22487752882</t>
  </si>
  <si>
    <t>ROGELIO FERREIRA VAZ</t>
  </si>
  <si>
    <t>22499505800</t>
  </si>
  <si>
    <t>CAROLINA DOS SANTOS</t>
  </si>
  <si>
    <t>22577127812</t>
  </si>
  <si>
    <t>ANDERSON ANTONIO PAGOTO</t>
  </si>
  <si>
    <t>22608911870</t>
  </si>
  <si>
    <t>ALESSANDRA CASTELANI TOLEDO</t>
  </si>
  <si>
    <t>22625053810</t>
  </si>
  <si>
    <t>MAGNO ARAUJO COSTA</t>
  </si>
  <si>
    <t>22781022810</t>
  </si>
  <si>
    <t>ANDERSON DA SILVA PASSOS</t>
  </si>
  <si>
    <t>22789042802</t>
  </si>
  <si>
    <t>LEANDRO DE JESUS FARIA</t>
  </si>
  <si>
    <t>22975227892</t>
  </si>
  <si>
    <t>JAIR DA SILVA LIANO</t>
  </si>
  <si>
    <t>22993278860</t>
  </si>
  <si>
    <t>FLAVIO VINICIUS ALFREDO DA LUZ</t>
  </si>
  <si>
    <t>22997608813</t>
  </si>
  <si>
    <t>MARCO ANTONIO FOGACA JUNIOR</t>
  </si>
  <si>
    <t>23045782841</t>
  </si>
  <si>
    <t>MAYARA RODRIGUES SILVEIRA</t>
  </si>
  <si>
    <t>23161129865</t>
  </si>
  <si>
    <t>ROBERT DE SOUSA SANTOS</t>
  </si>
  <si>
    <t>23177289808</t>
  </si>
  <si>
    <t>CECILIA SIYUAN WANG</t>
  </si>
  <si>
    <t>23401061844</t>
  </si>
  <si>
    <t>OSCAR PEDRO DEVOTTO SILVEIRA</t>
  </si>
  <si>
    <t>23471432809</t>
  </si>
  <si>
    <t>DOUGLAS RODRIGUES OLIVEIRA</t>
  </si>
  <si>
    <t>23516990848</t>
  </si>
  <si>
    <t>SHUICHI YAMAGUCHI</t>
  </si>
  <si>
    <t>23543309870</t>
  </si>
  <si>
    <t>EDGAR ENRIQUE MENDOZA SERVIN</t>
  </si>
  <si>
    <t>23715972874</t>
  </si>
  <si>
    <t>ADRIELLY CHRISTINA TOLEDO</t>
  </si>
  <si>
    <t>23840884837</t>
  </si>
  <si>
    <t>TAKASHI INOUE</t>
  </si>
  <si>
    <t>23840886880</t>
  </si>
  <si>
    <t>HIDEHITO NIBU</t>
  </si>
  <si>
    <t>23840892856</t>
  </si>
  <si>
    <t>TOSHIHIRO SUZUKI</t>
  </si>
  <si>
    <t>23840896843</t>
  </si>
  <si>
    <t>HIROYUKI TANAKA</t>
  </si>
  <si>
    <t>24542158888</t>
  </si>
  <si>
    <t>JULIO CEZAR REIS</t>
  </si>
  <si>
    <t>24581292859</t>
  </si>
  <si>
    <t>RODRIGO APARECIDO DAVID</t>
  </si>
  <si>
    <t>24653793808</t>
  </si>
  <si>
    <t>CIRLANIA FERREIRA COSTA QUEIROZ</t>
  </si>
  <si>
    <t>24922963855</t>
  </si>
  <si>
    <t>MAURO RODRIGO DEGRAF</t>
  </si>
  <si>
    <t>24966866847</t>
  </si>
  <si>
    <t>MILENA AFFONSO BOGGIO</t>
  </si>
  <si>
    <t>25011614832</t>
  </si>
  <si>
    <t>LEANDRO POCIDONI OLIVEIRA</t>
  </si>
  <si>
    <t>25049014883</t>
  </si>
  <si>
    <t>ELISABETH LIMA DA SILVA</t>
  </si>
  <si>
    <t>25169675860</t>
  </si>
  <si>
    <t>ABDIAS DA CRUZ PEREIRA FERREIRA</t>
  </si>
  <si>
    <t>25213827870</t>
  </si>
  <si>
    <t>JOANITO DOS SANTOS SILVA</t>
  </si>
  <si>
    <t>25241312897</t>
  </si>
  <si>
    <t>SILVIA DE FATIMA DA SILVA</t>
  </si>
  <si>
    <t>25320842864</t>
  </si>
  <si>
    <t>MARCOS ANGELO SAKUNO</t>
  </si>
  <si>
    <t>25455691864</t>
  </si>
  <si>
    <t>CRISTIANO DA SILVA VIANA</t>
  </si>
  <si>
    <t>25499026882</t>
  </si>
  <si>
    <t>FABIO LUIS PIO</t>
  </si>
  <si>
    <t>25619962806</t>
  </si>
  <si>
    <t>DANIELA ARAO SILVA</t>
  </si>
  <si>
    <t>25755037876</t>
  </si>
  <si>
    <t>CRISTIANE APARECIDA KOSHEVNIKOFF BAISSI</t>
  </si>
  <si>
    <t>25863552883</t>
  </si>
  <si>
    <t>ALEXANDRE COSTA ZANELLA</t>
  </si>
  <si>
    <t>25906533877</t>
  </si>
  <si>
    <t>ELIS REGINA NUNES DA GAMA SILVA</t>
  </si>
  <si>
    <t>25943382810</t>
  </si>
  <si>
    <t>ANISIA DE ARAUJO</t>
  </si>
  <si>
    <t>25944722800</t>
  </si>
  <si>
    <t>AURINETE DO NASCIMENTO</t>
  </si>
  <si>
    <t>25966567875</t>
  </si>
  <si>
    <t>LUCIMAR RODRIGUES DA FONSECA</t>
  </si>
  <si>
    <t>25969360899</t>
  </si>
  <si>
    <t>MARCOS MANUEL DA SILVA</t>
  </si>
  <si>
    <t>25984998831</t>
  </si>
  <si>
    <t>TELMA REGINA DA PAZ</t>
  </si>
  <si>
    <t>26149190803</t>
  </si>
  <si>
    <t>SILVIO DUARTE SOARES</t>
  </si>
  <si>
    <t>26365595824</t>
  </si>
  <si>
    <t>PAULO HENRIQUE FERREIRA DA SILVA</t>
  </si>
  <si>
    <t>26379117865</t>
  </si>
  <si>
    <t>AMANDA FERREIRA UCHOA CANDIDO</t>
  </si>
  <si>
    <t>26383029886</t>
  </si>
  <si>
    <t>EDISON FERNANDES DINIZ</t>
  </si>
  <si>
    <t>26387398800</t>
  </si>
  <si>
    <t>JORGE LUIS GON</t>
  </si>
  <si>
    <t>26491812812</t>
  </si>
  <si>
    <t>ELVES CARLOS COELHO</t>
  </si>
  <si>
    <t>26534760886</t>
  </si>
  <si>
    <t>CLEONICE MESQUITA DOS SANTOS</t>
  </si>
  <si>
    <t>26536399803</t>
  </si>
  <si>
    <t>ELAINE SILVA DE BRITO</t>
  </si>
  <si>
    <t>26615857880</t>
  </si>
  <si>
    <t>SERGIO LUIZ MAGALHAES</t>
  </si>
  <si>
    <t>26638078852</t>
  </si>
  <si>
    <t>MILENE APARECIDA DUARTE COUTINHO</t>
  </si>
  <si>
    <t>26791571845</t>
  </si>
  <si>
    <t>SILVIO FERNANDO SOARES</t>
  </si>
  <si>
    <t>26864890813</t>
  </si>
  <si>
    <t>CLAYTON OLIVEIRA SANTOS LOPES</t>
  </si>
  <si>
    <t>26874834860</t>
  </si>
  <si>
    <t>CRISTIANE BALEN MENEGHEL</t>
  </si>
  <si>
    <t>26935133831</t>
  </si>
  <si>
    <t>ADILSON INGLEZ</t>
  </si>
  <si>
    <t>26995980891</t>
  </si>
  <si>
    <t>JACOB DALVANIL CREMASCO</t>
  </si>
  <si>
    <t>27017347897</t>
  </si>
  <si>
    <t>CICERO DE OLIVEIRA BARROS</t>
  </si>
  <si>
    <t>27052712873</t>
  </si>
  <si>
    <t>ELIANE DOS SANTOS</t>
  </si>
  <si>
    <t>27117199873</t>
  </si>
  <si>
    <t>GISELA CRISTINA FERIAN SUTTO</t>
  </si>
  <si>
    <t>27132713809</t>
  </si>
  <si>
    <t>CLEBER JUNIOR BRABO</t>
  </si>
  <si>
    <t>27160632818</t>
  </si>
  <si>
    <t>RENATO KALAF COSSI</t>
  </si>
  <si>
    <t>27240905861</t>
  </si>
  <si>
    <t>RODNEY DOS SANTOS INACIO</t>
  </si>
  <si>
    <t>27343667890</t>
  </si>
  <si>
    <t>LUSINETE DOS SANTOS ANDRADE</t>
  </si>
  <si>
    <t>27459206857</t>
  </si>
  <si>
    <t>DAYANA CASARINI VIEIRA</t>
  </si>
  <si>
    <t>27466049818</t>
  </si>
  <si>
    <t>LUIS ARAUJO DE MIRANDA</t>
  </si>
  <si>
    <t>27483254866</t>
  </si>
  <si>
    <t>MARCIO FLORENTINO FERNANDES</t>
  </si>
  <si>
    <t>27486101807</t>
  </si>
  <si>
    <t>REGINALDO ROGERIO DA SILVA DE CAMARGO</t>
  </si>
  <si>
    <t>27622801844</t>
  </si>
  <si>
    <t>FABIO MANZATTO</t>
  </si>
  <si>
    <t>27641590802</t>
  </si>
  <si>
    <t>THIAGO GONZALEZ PIRES</t>
  </si>
  <si>
    <t>27765843850</t>
  </si>
  <si>
    <t>GILBERTO SANTOS DE OLIVEIRA</t>
  </si>
  <si>
    <t>27879661875</t>
  </si>
  <si>
    <t>FRANCISCO NOBERTO PEREIRA DA SILVA</t>
  </si>
  <si>
    <t>27884936810</t>
  </si>
  <si>
    <t>20060513</t>
  </si>
  <si>
    <t>KAIQUE DO NASCIMENTO SILVA</t>
  </si>
  <si>
    <t>27936008810</t>
  </si>
  <si>
    <t>ROSANA SILVA ZANETONI</t>
  </si>
  <si>
    <t>27978914810</t>
  </si>
  <si>
    <t>SANDRO DARLAN SILVA CARDOSO</t>
  </si>
  <si>
    <t>28065066895</t>
  </si>
  <si>
    <t>KELLI CRISTINE SOLER PARRA</t>
  </si>
  <si>
    <t>28067147884</t>
  </si>
  <si>
    <t>MARIA MADALENA DA SILVA CARVALHO</t>
  </si>
  <si>
    <t>28118711870</t>
  </si>
  <si>
    <t>ROBERT MARQUES DOS SANTOS</t>
  </si>
  <si>
    <t>28124396884</t>
  </si>
  <si>
    <t>MARCELO KROCHMALNIK</t>
  </si>
  <si>
    <t>28192043843</t>
  </si>
  <si>
    <t>PAULA GALVANI SILVA</t>
  </si>
  <si>
    <t>28216362889</t>
  </si>
  <si>
    <t>ADEMIR BASILIO DOS SANTOS</t>
  </si>
  <si>
    <t>28226701880</t>
  </si>
  <si>
    <t>MARCOS AUGUSTO RODRIGUES CORREA</t>
  </si>
  <si>
    <t>28234261835</t>
  </si>
  <si>
    <t>ANTONIO DE FREITAS</t>
  </si>
  <si>
    <t>28254153833</t>
  </si>
  <si>
    <t>SILVANO IBIAPINO DOS SANTOS</t>
  </si>
  <si>
    <t>28257907880</t>
  </si>
  <si>
    <t>ANDRE NOGUEIRA DE MELO</t>
  </si>
  <si>
    <t>47917905888</t>
  </si>
  <si>
    <t>20050929</t>
  </si>
  <si>
    <t>JULIA RODRIGUES NOGUEIRA</t>
  </si>
  <si>
    <t>28305308880</t>
  </si>
  <si>
    <t>ADRIANO SANT ANA DE ABREU</t>
  </si>
  <si>
    <t>28305312801</t>
  </si>
  <si>
    <t>ADRIANO SOUZA SANTOS</t>
  </si>
  <si>
    <t>28359185824</t>
  </si>
  <si>
    <t>MARCO ANTONIO DE FREITAS</t>
  </si>
  <si>
    <t>28468850870</t>
  </si>
  <si>
    <t>RONIVON OLIVEIRA DE SENA</t>
  </si>
  <si>
    <t>28472368807</t>
  </si>
  <si>
    <t>CLEITON ARAUJO DA COSTA</t>
  </si>
  <si>
    <t>28509487804</t>
  </si>
  <si>
    <t>CLAUDIO ROBERTO BASSAN</t>
  </si>
  <si>
    <t>28541963845</t>
  </si>
  <si>
    <t>RODOLFO MARANGONI</t>
  </si>
  <si>
    <t>28547153810</t>
  </si>
  <si>
    <t>MARCIA FRANCA OLIVEIRA</t>
  </si>
  <si>
    <t>28559069895</t>
  </si>
  <si>
    <t>DANIELA MAGALHAES FERRANTE</t>
  </si>
  <si>
    <t>28561706848</t>
  </si>
  <si>
    <t>FABIO PERINA PRATA</t>
  </si>
  <si>
    <t>28579940877</t>
  </si>
  <si>
    <t>ALEX DE MORAIS PEDROSO</t>
  </si>
  <si>
    <t>28703551814</t>
  </si>
  <si>
    <t>JUCIELE RODRIGUES ALVES FRANCISCO</t>
  </si>
  <si>
    <t>28707456808</t>
  </si>
  <si>
    <t>SIRLANE SILVA DA COSTA</t>
  </si>
  <si>
    <t>28718596800</t>
  </si>
  <si>
    <t>FABIO CAMELO DE CARVALHO</t>
  </si>
  <si>
    <t>28736440876</t>
  </si>
  <si>
    <t>ANDERSON FERREIRA DA SILVA</t>
  </si>
  <si>
    <t>28870524892</t>
  </si>
  <si>
    <t>CARLOS MARQUES MORETAO</t>
  </si>
  <si>
    <t>28871903854</t>
  </si>
  <si>
    <t>ELAINE DA SILVA SOUSA</t>
  </si>
  <si>
    <t>28910115890</t>
  </si>
  <si>
    <t>ALEX MIRANDA DE OLIVEIRA</t>
  </si>
  <si>
    <t>28969076883</t>
  </si>
  <si>
    <t>ELENICE DE JESUS CORDEIRO</t>
  </si>
  <si>
    <t>28990839882</t>
  </si>
  <si>
    <t>ALESSANDRA MARCIA KOBAYASHI</t>
  </si>
  <si>
    <t>29009720861</t>
  </si>
  <si>
    <t>JOEL MARCOS DA SILVA</t>
  </si>
  <si>
    <t>29098427898</t>
  </si>
  <si>
    <t>VIRGINIO MARQUES DE MENESES</t>
  </si>
  <si>
    <t>29129106842</t>
  </si>
  <si>
    <t>FRANCISCO DE ASSIS SOARES DOS SANTOS</t>
  </si>
  <si>
    <t>29135692855</t>
  </si>
  <si>
    <t>CARLOS EDUARDO RIBEIRO DOS SANTOS</t>
  </si>
  <si>
    <t>29246929896</t>
  </si>
  <si>
    <t>ANDERSON RICARDO LIMA</t>
  </si>
  <si>
    <t>29251865809</t>
  </si>
  <si>
    <t>EDUARDO STANICHESCH</t>
  </si>
  <si>
    <t>29259537860</t>
  </si>
  <si>
    <t>LUCIVAL SILVA TRINDADE</t>
  </si>
  <si>
    <t>29299133808</t>
  </si>
  <si>
    <t>GILMAR DOS SANTOS</t>
  </si>
  <si>
    <t>29327955897</t>
  </si>
  <si>
    <t>CICERO GOMES CARDOSO</t>
  </si>
  <si>
    <t>29360933848</t>
  </si>
  <si>
    <t>NELSON MARTINS GALHARDO JUNIOR</t>
  </si>
  <si>
    <t>29368883874</t>
  </si>
  <si>
    <t>GILLIANO TOME FERREIRA</t>
  </si>
  <si>
    <t>29372408875</t>
  </si>
  <si>
    <t>NAZIEL JURADO DE SOUZA</t>
  </si>
  <si>
    <t>29525957802</t>
  </si>
  <si>
    <t>ROMILDO PEDRO DA SILVA</t>
  </si>
  <si>
    <t>20060516</t>
  </si>
  <si>
    <t>ANA BREATRIZ DOS SANTOS MARCELINO</t>
  </si>
  <si>
    <t>29565350801</t>
  </si>
  <si>
    <t>MARCELO DOS SANTOS MACHADO MARTINS</t>
  </si>
  <si>
    <t>29567081808</t>
  </si>
  <si>
    <t>MAURICIO DE SOUZA ESTEVAO</t>
  </si>
  <si>
    <t>29598441814</t>
  </si>
  <si>
    <t>ALEX SANDRO DA SILVA FERREIRA</t>
  </si>
  <si>
    <t>29610456812</t>
  </si>
  <si>
    <t>RODRIGO SILVA MAMEDE</t>
  </si>
  <si>
    <t>29614036850</t>
  </si>
  <si>
    <t>RODRIGO SOARES DE SOUZA</t>
  </si>
  <si>
    <t>29642208830</t>
  </si>
  <si>
    <t>EDMILSON MARINHO SANTOS</t>
  </si>
  <si>
    <t>29658666809</t>
  </si>
  <si>
    <t>CARLOS GERALDO MENDES</t>
  </si>
  <si>
    <t>06797216656</t>
  </si>
  <si>
    <t>20041009</t>
  </si>
  <si>
    <t>EMILY MONIQUE FERRAZ MENDES</t>
  </si>
  <si>
    <t>29692922898</t>
  </si>
  <si>
    <t>ERIBERTO DE FREITAS SILVA</t>
  </si>
  <si>
    <t>29767974806</t>
  </si>
  <si>
    <t>JULIO CESAR BEZERRA DA SILVA</t>
  </si>
  <si>
    <t>29772249120</t>
  </si>
  <si>
    <t>EUNICE REGINA BARREIROS POVEDA</t>
  </si>
  <si>
    <t>29782574821</t>
  </si>
  <si>
    <t>LIAN OLIVEIRA SIMAO</t>
  </si>
  <si>
    <t>29798181867</t>
  </si>
  <si>
    <t>EVERTON CORDEIRO GOMES</t>
  </si>
  <si>
    <t>29823371857</t>
  </si>
  <si>
    <t>MARLI GORETTI APARECIDO</t>
  </si>
  <si>
    <t>29889131889</t>
  </si>
  <si>
    <t>GEFERSON CARLOS DA SILVA MENEGUIM</t>
  </si>
  <si>
    <t>29923789845</t>
  </si>
  <si>
    <t>RICARDO ALEXANDRE TRIUMPHO</t>
  </si>
  <si>
    <t>29981511838</t>
  </si>
  <si>
    <t>RENATO SOUSA DOURADO</t>
  </si>
  <si>
    <t>30030930880</t>
  </si>
  <si>
    <t>CLAYTON FERREIRA DA COSTA</t>
  </si>
  <si>
    <t>30051524805</t>
  </si>
  <si>
    <t>RAMIRO LIMA RABELO</t>
  </si>
  <si>
    <t>30684710870</t>
  </si>
  <si>
    <t>20061226</t>
  </si>
  <si>
    <t>ISABELA CARNIER RABELO</t>
  </si>
  <si>
    <t>30118153803</t>
  </si>
  <si>
    <t>CLAUDINAR FIRMINO DE SOUSA</t>
  </si>
  <si>
    <t>30173903819</t>
  </si>
  <si>
    <t>FABIO JUNIOR DE LIMA</t>
  </si>
  <si>
    <t>30209752807</t>
  </si>
  <si>
    <t>RICARDO PINHEIRO DE CARVALHO</t>
  </si>
  <si>
    <t>20090414</t>
  </si>
  <si>
    <t>VICTOR HUGO GONCALVES</t>
  </si>
  <si>
    <t>30242075894</t>
  </si>
  <si>
    <t>MANOEL CHARLES DOS SANTOS</t>
  </si>
  <si>
    <t>30257924850</t>
  </si>
  <si>
    <t>VINICIUS JOSE ULIANA</t>
  </si>
  <si>
    <t>30260121819</t>
  </si>
  <si>
    <t>ALEXANDRE ROGERIO DOS SANTOS OLIVEIRA</t>
  </si>
  <si>
    <t>30281720894</t>
  </si>
  <si>
    <t>FABIO DE OLIVEIRA SILVA</t>
  </si>
  <si>
    <t>30293933804</t>
  </si>
  <si>
    <t>ROMULO ALVES DE AZEVEDO</t>
  </si>
  <si>
    <t>30305544810</t>
  </si>
  <si>
    <t>CLEBER AUGUSTO REIS SANTANA</t>
  </si>
  <si>
    <t>30327770899</t>
  </si>
  <si>
    <t>REINALDO DA FONSECA</t>
  </si>
  <si>
    <t>30335025803</t>
  </si>
  <si>
    <t>WILSON JOSE DUBAS DE CARVALHO</t>
  </si>
  <si>
    <t>30341438855</t>
  </si>
  <si>
    <t>CLAUDIO JOSE BRITO DA SILVA</t>
  </si>
  <si>
    <t>30350002800</t>
  </si>
  <si>
    <t>MARCIO VERISSIMO FEITOSA</t>
  </si>
  <si>
    <t>30367136899</t>
  </si>
  <si>
    <t>MARIA EUNICE GONZAGA DA SILVA</t>
  </si>
  <si>
    <t>30382627814</t>
  </si>
  <si>
    <t>HAYLTON DE SOUZA GUEDES VIANA</t>
  </si>
  <si>
    <t>30463843860</t>
  </si>
  <si>
    <t>CELIO ESTEVES LOURENCO</t>
  </si>
  <si>
    <t>30504021800</t>
  </si>
  <si>
    <t>JOAO PAULO MACEDO RODRIGUES</t>
  </si>
  <si>
    <t>30513402861</t>
  </si>
  <si>
    <t>EDUARDO VIEIRA ILACE JUNIOR</t>
  </si>
  <si>
    <t>30514246847</t>
  </si>
  <si>
    <t>FLAVIO DE SIQUEIRA</t>
  </si>
  <si>
    <t>30542329808</t>
  </si>
  <si>
    <t>JOSE APARECIDO DA SILVA</t>
  </si>
  <si>
    <t>30666374848</t>
  </si>
  <si>
    <t>JOANES DA SILVA OLIVEIRA</t>
  </si>
  <si>
    <t>30738697869</t>
  </si>
  <si>
    <t>JOSE APARECIDO PEREIRA LOPES</t>
  </si>
  <si>
    <t>30750058862</t>
  </si>
  <si>
    <t>LUIZ ANTONIO EVANGELISTA DE OLIVEIRA</t>
  </si>
  <si>
    <t>30758104871</t>
  </si>
  <si>
    <t>JOSE FABIO DE ALMEIDA</t>
  </si>
  <si>
    <t>30767374819</t>
  </si>
  <si>
    <t>ANA PAULA DE OLIVEIRA</t>
  </si>
  <si>
    <t>30815388829</t>
  </si>
  <si>
    <t>PAULO FELIPE FERREIRA DAMASCO</t>
  </si>
  <si>
    <t>30848693833</t>
  </si>
  <si>
    <t>WELLINGTON FERREIRA DA SILVA</t>
  </si>
  <si>
    <t>30859062821</t>
  </si>
  <si>
    <t>FABIO LUIS DA SILVA</t>
  </si>
  <si>
    <t>30892455829</t>
  </si>
  <si>
    <t>ELIAS MIRANDA COSTA</t>
  </si>
  <si>
    <t>30906955882</t>
  </si>
  <si>
    <t>MARIANA ALVES DE SOUZA</t>
  </si>
  <si>
    <t>30922479810</t>
  </si>
  <si>
    <t>JULIO CARLOS CRISTOVAL DE ALMEIDA</t>
  </si>
  <si>
    <t>30954869877</t>
  </si>
  <si>
    <t>VALDEMIR PINHEIRO DE SOUZA</t>
  </si>
  <si>
    <t>30970934866</t>
  </si>
  <si>
    <t>ELANIA COSTA ROSSI</t>
  </si>
  <si>
    <t>31064198813</t>
  </si>
  <si>
    <t>LEANDRO PEREIRA DE CASTRO</t>
  </si>
  <si>
    <t>31108514820</t>
  </si>
  <si>
    <t>JOEL SANTOS DE ANDRADE</t>
  </si>
  <si>
    <t>31121913822</t>
  </si>
  <si>
    <t>WAGNER TORRES DO NASCIMENTO</t>
  </si>
  <si>
    <t>31131501837</t>
  </si>
  <si>
    <t>MELQUIAS MORAIS MOREL</t>
  </si>
  <si>
    <t>31146674813</t>
  </si>
  <si>
    <t>CLEYTON SOARES DE NOVAES BARBOSA</t>
  </si>
  <si>
    <t>31150166894</t>
  </si>
  <si>
    <t>GEORGE DE SOUZA SANTOS</t>
  </si>
  <si>
    <t>31181083800</t>
  </si>
  <si>
    <t>PABLO APARECIDO DE SOUZA</t>
  </si>
  <si>
    <t>31231271841</t>
  </si>
  <si>
    <t>DANIELI DA LUZ OLIVEIRA</t>
  </si>
  <si>
    <t>31235304850</t>
  </si>
  <si>
    <t>ANDERSON GOMES DA SILVA</t>
  </si>
  <si>
    <t>31244936804</t>
  </si>
  <si>
    <t>ALEXANDRE ARAUJO LIMA</t>
  </si>
  <si>
    <t>31279026898</t>
  </si>
  <si>
    <t>ALESSANDRO DA SILVA OLIVEIRA</t>
  </si>
  <si>
    <t>31291588809</t>
  </si>
  <si>
    <t>RAFAEL RIBEIRO</t>
  </si>
  <si>
    <t>31322282811</t>
  </si>
  <si>
    <t>MARCELO MOTA DE OLIVEIRA</t>
  </si>
  <si>
    <t>31348677880</t>
  </si>
  <si>
    <t>JURANDIR CAVALCANTI DOS SANTOS</t>
  </si>
  <si>
    <t>31425302823</t>
  </si>
  <si>
    <t>JANICE DA CRUZ AMBROSIO</t>
  </si>
  <si>
    <t>31492124800</t>
  </si>
  <si>
    <t>AURELUCIO PEREIRA DA CRUZ</t>
  </si>
  <si>
    <t>31500860867</t>
  </si>
  <si>
    <t>CRISTOFER RISTER SANT ANNA</t>
  </si>
  <si>
    <t>31591237823</t>
  </si>
  <si>
    <t>ANDERSON ROBERTO DE CAMPOS</t>
  </si>
  <si>
    <t>31598698818</t>
  </si>
  <si>
    <t>PAMELA CRISTIAN DE ASSIS CASTRO</t>
  </si>
  <si>
    <t>31668889854</t>
  </si>
  <si>
    <t>ANTONIO DA SILVA SANTOS</t>
  </si>
  <si>
    <t>31799713806</t>
  </si>
  <si>
    <t>MILENE APARECIDA PADOIN PEREIRA</t>
  </si>
  <si>
    <t>31799918874</t>
  </si>
  <si>
    <t>ALBERTO DOS SANTOS FOSCHINE</t>
  </si>
  <si>
    <t>31849807825</t>
  </si>
  <si>
    <t>LEIDA OLIVEIRA DOS SANTOS</t>
  </si>
  <si>
    <t>31868701867</t>
  </si>
  <si>
    <t>ANA PAULA DA SILVA LACERDA</t>
  </si>
  <si>
    <t>31894027876</t>
  </si>
  <si>
    <t>ELTON DE CARVALHO MIRANDA</t>
  </si>
  <si>
    <t>31901236838</t>
  </si>
  <si>
    <t>RENATO CARDOSO DOS SANTOS</t>
  </si>
  <si>
    <t>20120926</t>
  </si>
  <si>
    <t>GABRIEL FERREIRA CARDOSO</t>
  </si>
  <si>
    <t>20141211</t>
  </si>
  <si>
    <t>SAMUEL CARDOSO DOS SANTOS REIS</t>
  </si>
  <si>
    <t>31919694897</t>
  </si>
  <si>
    <t>RICARDO LIMA VIEIRA</t>
  </si>
  <si>
    <t>31941601847</t>
  </si>
  <si>
    <t>EDINEI CARDOSO BORCHAT</t>
  </si>
  <si>
    <t>32098203845</t>
  </si>
  <si>
    <t>RODRIGO ALVES SILVA</t>
  </si>
  <si>
    <t>32109885874</t>
  </si>
  <si>
    <t>PATRICIA DE LIMA VIEIRA CAVALCANTE</t>
  </si>
  <si>
    <t>32121897895</t>
  </si>
  <si>
    <t>CAROLINE ALVES</t>
  </si>
  <si>
    <t>32132679886</t>
  </si>
  <si>
    <t>RUBERLEI DE ANDRADE</t>
  </si>
  <si>
    <t>32151032817</t>
  </si>
  <si>
    <t>WELLINGTON EGYDIO DE ARAUJO</t>
  </si>
  <si>
    <t>32157334807</t>
  </si>
  <si>
    <t>MANOEL NETO DA SILVA</t>
  </si>
  <si>
    <t>32166838855</t>
  </si>
  <si>
    <t>PAULO HENRIQUE AFONSO MENDES</t>
  </si>
  <si>
    <t>32184488836</t>
  </si>
  <si>
    <t>ANDERSON DOS SANTOS MARTINS</t>
  </si>
  <si>
    <t>32258315816</t>
  </si>
  <si>
    <t>JOSE TENIS DA SILVA SA</t>
  </si>
  <si>
    <t>32300349884</t>
  </si>
  <si>
    <t>LUCAS CATELANI FORTE</t>
  </si>
  <si>
    <t>32304028802</t>
  </si>
  <si>
    <t>PRISCILA FERREIRA CALEGIA</t>
  </si>
  <si>
    <t>32313724883</t>
  </si>
  <si>
    <t>ADRIELLE DE ALMEIDA CARVALHO</t>
  </si>
  <si>
    <t>32316064892</t>
  </si>
  <si>
    <t>RICARDO DAVID DOS SANTOS</t>
  </si>
  <si>
    <t>32442896818</t>
  </si>
  <si>
    <t>ERIVALDO JOAO DA SILVA</t>
  </si>
  <si>
    <t>32444134800</t>
  </si>
  <si>
    <t>LUIZ FERNANDES DA SILVA</t>
  </si>
  <si>
    <t>32489097814</t>
  </si>
  <si>
    <t>SIDNEI GOIS PEREIRA</t>
  </si>
  <si>
    <t>32559245884</t>
  </si>
  <si>
    <t>WEVERTON CAETANO DOS SANTOS</t>
  </si>
  <si>
    <t>32588009875</t>
  </si>
  <si>
    <t>PAULO SERGIO SANTOS SOUZA</t>
  </si>
  <si>
    <t>32730153810</t>
  </si>
  <si>
    <t>RAIMUNDO NONATO RIBEIRO ALVES</t>
  </si>
  <si>
    <t>32777222878</t>
  </si>
  <si>
    <t>PAULO SERGIO DE OLIVEIRA</t>
  </si>
  <si>
    <t>32804018873</t>
  </si>
  <si>
    <t>CAROLINE FRANCISCA TORRICHELLE</t>
  </si>
  <si>
    <t>32807712851</t>
  </si>
  <si>
    <t>RAFAEL LAZARO DE ALMEIDA</t>
  </si>
  <si>
    <t>32809159882</t>
  </si>
  <si>
    <t>NILTON CESAR CASTELO</t>
  </si>
  <si>
    <t>32849634808</t>
  </si>
  <si>
    <t>TIAGO CESAR DE CARVALHO</t>
  </si>
  <si>
    <t>32912770823</t>
  </si>
  <si>
    <t>GILBERTO BARBOSA DE LIMA</t>
  </si>
  <si>
    <t>32923013867</t>
  </si>
  <si>
    <t>FERNANDO DA SILVA CONSTANTINO</t>
  </si>
  <si>
    <t>33195663856</t>
  </si>
  <si>
    <t>OSIEL GOMES DOS SANTOS</t>
  </si>
  <si>
    <t>33199778810</t>
  </si>
  <si>
    <t>RUBERVAL FERREIRA LIMA</t>
  </si>
  <si>
    <t>33261280883</t>
  </si>
  <si>
    <t>DIEGO BRANDAO MOISES</t>
  </si>
  <si>
    <t>33280752833</t>
  </si>
  <si>
    <t>RODRIGO DE ANDREIS</t>
  </si>
  <si>
    <t>33330505877</t>
  </si>
  <si>
    <t>CESAR ALVES MOREIRA</t>
  </si>
  <si>
    <t>33405179831</t>
  </si>
  <si>
    <t>RODRIGO DO CARMO DE PAULA</t>
  </si>
  <si>
    <t>33419100850</t>
  </si>
  <si>
    <t>CAMILA BANDEIRA SCHIAVELLI MARQUES</t>
  </si>
  <si>
    <t>33424242810</t>
  </si>
  <si>
    <t>ALESSANDRO DOS SANTOS LIRA</t>
  </si>
  <si>
    <t>33496473835</t>
  </si>
  <si>
    <t>EDERSON GOMES DA SILVA</t>
  </si>
  <si>
    <t>33510766814</t>
  </si>
  <si>
    <t>MARCIO ALVES DE LIMA</t>
  </si>
  <si>
    <t>33567408810</t>
  </si>
  <si>
    <t>RUDNEI ESTEVAM DO NASCIMENTO</t>
  </si>
  <si>
    <t>33583925890</t>
  </si>
  <si>
    <t>RONNY GALDINO RIBEIRO</t>
  </si>
  <si>
    <t>33586655851</t>
  </si>
  <si>
    <t>LUCIANO DE OLIVEIRA NASCIMENTO</t>
  </si>
  <si>
    <t>20130322</t>
  </si>
  <si>
    <t>HIGOR RODRIGUES DE OLIVEIRA</t>
  </si>
  <si>
    <t>33589196840</t>
  </si>
  <si>
    <t>RERISON GOMES SILVA SANTOS</t>
  </si>
  <si>
    <t>33595654870</t>
  </si>
  <si>
    <t>MARCELO DE SOUZA ESTEVAO</t>
  </si>
  <si>
    <t>33621957847</t>
  </si>
  <si>
    <t>DIEGO DE OLIVEIRA SOUSA</t>
  </si>
  <si>
    <t>35307037880</t>
  </si>
  <si>
    <t>20090630</t>
  </si>
  <si>
    <t>HUGO DIEGO DE CAMARGO SOUSA</t>
  </si>
  <si>
    <t>33647775860</t>
  </si>
  <si>
    <t>FLAVIA HELOISA CAPELLINI</t>
  </si>
  <si>
    <t>33696406864</t>
  </si>
  <si>
    <t>ADRIANA CASTELANI TOLEDO</t>
  </si>
  <si>
    <t>33745974832</t>
  </si>
  <si>
    <t>VIVIANE MARIA MACIEL DE OLIVEIRA</t>
  </si>
  <si>
    <t>33756235858</t>
  </si>
  <si>
    <t>DANILO CASTRO DO NASCIMENTO</t>
  </si>
  <si>
    <t>20060414</t>
  </si>
  <si>
    <t>EVELYN VITORIA DE ASSIS CASTRO</t>
  </si>
  <si>
    <t>33778244809</t>
  </si>
  <si>
    <t>EVERTON DE CARVALHO</t>
  </si>
  <si>
    <t>33781430880</t>
  </si>
  <si>
    <t>JORGE LUIS NOGUEIRA FERREIRA</t>
  </si>
  <si>
    <t>33786560854</t>
  </si>
  <si>
    <t>JEFERSON JESUS DAS NEVES</t>
  </si>
  <si>
    <t>33793731847</t>
  </si>
  <si>
    <t>RAUL RODRIGUES DE SOUZA</t>
  </si>
  <si>
    <t>33817920830</t>
  </si>
  <si>
    <t>ROSELI REIS DE OLIVEIRA</t>
  </si>
  <si>
    <t>33869607823</t>
  </si>
  <si>
    <t>VITOR CASSIMIRO PEREIRA</t>
  </si>
  <si>
    <t>33973207801</t>
  </si>
  <si>
    <t>THIAGO DA PAIXAO RAMOS</t>
  </si>
  <si>
    <t>33996861885</t>
  </si>
  <si>
    <t>ROBERTO TOLEDO PIZA</t>
  </si>
  <si>
    <t>34029581803</t>
  </si>
  <si>
    <t>DIEGO RIBEIRO DOS SANTOS</t>
  </si>
  <si>
    <t>34040767888</t>
  </si>
  <si>
    <t>ERICA ALVES DE FREITAS</t>
  </si>
  <si>
    <t>34072874884</t>
  </si>
  <si>
    <t>NATALIA PILLON</t>
  </si>
  <si>
    <t>34099524892</t>
  </si>
  <si>
    <t>KLEBER DA SILVA PASSOS</t>
  </si>
  <si>
    <t>34148081880</t>
  </si>
  <si>
    <t>HERIK VINICIUS RODRIGUES SOUZA</t>
  </si>
  <si>
    <t>34161278896</t>
  </si>
  <si>
    <t>VANESSA ALVES PEREIRA</t>
  </si>
  <si>
    <t>34182319850</t>
  </si>
  <si>
    <t>DENIVALDO NABAS</t>
  </si>
  <si>
    <t>34260305867</t>
  </si>
  <si>
    <t>TIAGO APARECIDO SPORNRAFT</t>
  </si>
  <si>
    <t>34282735830</t>
  </si>
  <si>
    <t>WASHINGTON LUIZ BARBOSA</t>
  </si>
  <si>
    <t>34427768806</t>
  </si>
  <si>
    <t>ISAIAS CARVALHO DE ARAUJO</t>
  </si>
  <si>
    <t>34474317840</t>
  </si>
  <si>
    <t>THIAGO SANTOS NEPOMUCENO</t>
  </si>
  <si>
    <t>34510511841</t>
  </si>
  <si>
    <t>ELTON RIBEIRO DE ALMEIDA SOUZA</t>
  </si>
  <si>
    <t>34510894830</t>
  </si>
  <si>
    <t>TIAGO GOMES DA SILVA</t>
  </si>
  <si>
    <t>34521359850</t>
  </si>
  <si>
    <t>TIAGO DIONISIO MACHADO</t>
  </si>
  <si>
    <t>34566234886</t>
  </si>
  <si>
    <t>GLAUCIA DA SILVA MALTA SANTOS</t>
  </si>
  <si>
    <t>34686732808</t>
  </si>
  <si>
    <t>ANDERSON DE OLIVEIRA SANTOS</t>
  </si>
  <si>
    <t>34690283893</t>
  </si>
  <si>
    <t>ESTELA ROBERTA SILVA</t>
  </si>
  <si>
    <t>34691087818</t>
  </si>
  <si>
    <t>CARLOS EDUARDO MEZA DE ARAUJO</t>
  </si>
  <si>
    <t>34713074861</t>
  </si>
  <si>
    <t>EDSON VIDAL DO PRADO</t>
  </si>
  <si>
    <t>34733860811</t>
  </si>
  <si>
    <t>DOUGLAS WILLIAN FERREIRA VITALINO</t>
  </si>
  <si>
    <t>34751499823</t>
  </si>
  <si>
    <t>DAVI ALVES DE OLIVEIRA</t>
  </si>
  <si>
    <t>34756753825</t>
  </si>
  <si>
    <t>EXPEDITO TADEU DE OLIVEIRA PINTO</t>
  </si>
  <si>
    <t>34782188889</t>
  </si>
  <si>
    <t>RUBENS REZENDE DE LIMA FILHO</t>
  </si>
  <si>
    <t>34787960830</t>
  </si>
  <si>
    <t>LUCIANA DA SILVA</t>
  </si>
  <si>
    <t>34814599803</t>
  </si>
  <si>
    <t>ANA CLAUDIA PIASSE DE AZEVEDO</t>
  </si>
  <si>
    <t>34824400856</t>
  </si>
  <si>
    <t>VANDERLEI ALVES FORTUNATO</t>
  </si>
  <si>
    <t>34956538804</t>
  </si>
  <si>
    <t>ALESSANDRA RIBEIRO SAADI</t>
  </si>
  <si>
    <t>34972671807</t>
  </si>
  <si>
    <t>FERNANDO ETORE EVANGELISTA</t>
  </si>
  <si>
    <t>35013134897</t>
  </si>
  <si>
    <t>JACKSON VIANA DA SILVA</t>
  </si>
  <si>
    <t>35025691850</t>
  </si>
  <si>
    <t>CAMILA AKEMI KURUMOTO</t>
  </si>
  <si>
    <t>35057158830</t>
  </si>
  <si>
    <t>DAIANE KAIP SEBASTIAO</t>
  </si>
  <si>
    <t>35079303824</t>
  </si>
  <si>
    <t>PAULO FERNANDO BARBOSA CAVALCANTE</t>
  </si>
  <si>
    <t>35167994802</t>
  </si>
  <si>
    <t>ADILSON DOS SANTOS SILVA</t>
  </si>
  <si>
    <t>35221789809</t>
  </si>
  <si>
    <t>REGINEI SOBRINHO DO NASCIMENTO</t>
  </si>
  <si>
    <t>35262518869</t>
  </si>
  <si>
    <t>RAFAEL NOGUEIRA</t>
  </si>
  <si>
    <t>35279609889</t>
  </si>
  <si>
    <t>RODOLFO DA SILVA PERBONI</t>
  </si>
  <si>
    <t>35287956894</t>
  </si>
  <si>
    <t>AMARILDO JOSE DA SILVA</t>
  </si>
  <si>
    <t>35322134867</t>
  </si>
  <si>
    <t>JULIANA DUARTE DE OLIVEIRA GERLAH</t>
  </si>
  <si>
    <t>35342231876</t>
  </si>
  <si>
    <t>ANDRE NOGUEIRA DE SOUZA</t>
  </si>
  <si>
    <t>35363698803</t>
  </si>
  <si>
    <t>ANGELA MARIA MILANES DA SILVA</t>
  </si>
  <si>
    <t>35376138810</t>
  </si>
  <si>
    <t>PLINIO DOMINGOS DE SOUSA FILHO</t>
  </si>
  <si>
    <t>35468510804</t>
  </si>
  <si>
    <t>EDINEI SARAIVA</t>
  </si>
  <si>
    <t>20070312</t>
  </si>
  <si>
    <t>MATHEUS MACEDO SARAIVA</t>
  </si>
  <si>
    <t>35472968895</t>
  </si>
  <si>
    <t>DANIEL MIGUEL DE MENEZES</t>
  </si>
  <si>
    <t>35508254803</t>
  </si>
  <si>
    <t>VITOR HUGO NASCIMENTO DA SILVA</t>
  </si>
  <si>
    <t>35530428851</t>
  </si>
  <si>
    <t>MARIA ELSA FERREIRA DA SILVA BIGARDI</t>
  </si>
  <si>
    <t>35557637842</t>
  </si>
  <si>
    <t>TIAGO GALDINO BEZERRA</t>
  </si>
  <si>
    <t>35563779858</t>
  </si>
  <si>
    <t>DIOGO ANDRE DA SILVA</t>
  </si>
  <si>
    <t>35635187854</t>
  </si>
  <si>
    <t>TATIANE ROSA ALMEIDA SCARABELLI</t>
  </si>
  <si>
    <t>35684260802</t>
  </si>
  <si>
    <t>FELIPE DE SOUZA FERREIRA</t>
  </si>
  <si>
    <t>35828671880</t>
  </si>
  <si>
    <t>DANILO DA SILVA</t>
  </si>
  <si>
    <t>35863871806</t>
  </si>
  <si>
    <t>GILDASIO PROENCA SANTOS DE OLIVEIRA</t>
  </si>
  <si>
    <t>35881713800</t>
  </si>
  <si>
    <t>FABIA BISPO DE ALMEIDA</t>
  </si>
  <si>
    <t>35917128847</t>
  </si>
  <si>
    <t>ROBSON DOS SANTOS BARBOSA</t>
  </si>
  <si>
    <t>35987062861</t>
  </si>
  <si>
    <t>VINICIUS SILVEIRA JESUATTO</t>
  </si>
  <si>
    <t>36014771816</t>
  </si>
  <si>
    <t>CARLOS ALBERTO RAMOS</t>
  </si>
  <si>
    <t>36085169809</t>
  </si>
  <si>
    <t>PAULO HENRIQUE DOS SANTOS ALMEIDA</t>
  </si>
  <si>
    <t>36216538802</t>
  </si>
  <si>
    <t>ROBSON COSTA SANTOS</t>
  </si>
  <si>
    <t>20081201</t>
  </si>
  <si>
    <t>TIAGO COSTA SANTOS</t>
  </si>
  <si>
    <t>36378603847</t>
  </si>
  <si>
    <t>MARCOS PAULO DE ASSIS FIDENCIO</t>
  </si>
  <si>
    <t>36440521829</t>
  </si>
  <si>
    <t>RAPHAEL ALVES FURTADO</t>
  </si>
  <si>
    <t>36449254882</t>
  </si>
  <si>
    <t>FABIO NUNES MUNIZ</t>
  </si>
  <si>
    <t>36497190880</t>
  </si>
  <si>
    <t>JEFFERSON HENRIQUE DE SOUZA CAVERSAN</t>
  </si>
  <si>
    <t>36501448832</t>
  </si>
  <si>
    <t>PRISCILA DE SOUZA LIMEIRA</t>
  </si>
  <si>
    <t>36565417873</t>
  </si>
  <si>
    <t>MAICOL SALES GUIMARAES</t>
  </si>
  <si>
    <t>36577347832</t>
  </si>
  <si>
    <t>ANDERSON FREDERICO DE SOUZA</t>
  </si>
  <si>
    <t>36577840806</t>
  </si>
  <si>
    <t>LAYZA JULIANA DE PAULA</t>
  </si>
  <si>
    <t>36583524856</t>
  </si>
  <si>
    <t>ERICK DE OLIVEIRA PEREIRA</t>
  </si>
  <si>
    <t>36588597843</t>
  </si>
  <si>
    <t>THAYNA DA SILVA MORAES FREITAS</t>
  </si>
  <si>
    <t>36597181816</t>
  </si>
  <si>
    <t>JAMES PERES DA SILVA SANTOS</t>
  </si>
  <si>
    <t>36604718875</t>
  </si>
  <si>
    <t>SAULO NASCIMENTO DE FREITAS</t>
  </si>
  <si>
    <t>36646046875</t>
  </si>
  <si>
    <t>LUIS MICHAEL DOS SANTOS</t>
  </si>
  <si>
    <t>36710510867</t>
  </si>
  <si>
    <t>MARIANA HELENA DA SILVA GASPARI</t>
  </si>
  <si>
    <t>36761529808</t>
  </si>
  <si>
    <t>DAVID GONCALVES CAMELO</t>
  </si>
  <si>
    <t>36761671809</t>
  </si>
  <si>
    <t>RENAN ZANFORLIN FIDENCIO</t>
  </si>
  <si>
    <t>36828966864</t>
  </si>
  <si>
    <t>SEBASTIAO MARQUES JUNIOR</t>
  </si>
  <si>
    <t>36849029851</t>
  </si>
  <si>
    <t>LUA GONCALVES TEIXEIRA</t>
  </si>
  <si>
    <t>36886924893</t>
  </si>
  <si>
    <t>STEFAN RICHARD SCHOLZEL BONTUS</t>
  </si>
  <si>
    <t>36904576880</t>
  </si>
  <si>
    <t>FERNANDA MARCHI DURIGON</t>
  </si>
  <si>
    <t>36920464802</t>
  </si>
  <si>
    <t>ANA CAROLINA AVILA DE CASTRO</t>
  </si>
  <si>
    <t>37295548831</t>
  </si>
  <si>
    <t>THIAGO ALCANTARA DA SILVA</t>
  </si>
  <si>
    <t>37388434852</t>
  </si>
  <si>
    <t>HERISON CLEIDMAN DA SILVA DE OLIVEIRA</t>
  </si>
  <si>
    <t>37404372860</t>
  </si>
  <si>
    <t>GUILHERME SORIA SOUZA</t>
  </si>
  <si>
    <t>37434889810</t>
  </si>
  <si>
    <t>FERNANDO ALVES CANDIDO</t>
  </si>
  <si>
    <t>37511526870</t>
  </si>
  <si>
    <t>ROSSELI NASCIMENTO DE ANDRADE</t>
  </si>
  <si>
    <t>37586984808</t>
  </si>
  <si>
    <t>DIEGO LIMA VIEIRA</t>
  </si>
  <si>
    <t>37588518820</t>
  </si>
  <si>
    <t>TIAGO ANDRE CORREA PINTO</t>
  </si>
  <si>
    <t>37699945824</t>
  </si>
  <si>
    <t>CASSIO VINICIO DO NASCIMENTO SILVA</t>
  </si>
  <si>
    <t>37728187813</t>
  </si>
  <si>
    <t>LUCIANA MAXIMO RICARDO</t>
  </si>
  <si>
    <t>37734549888</t>
  </si>
  <si>
    <t>CLEILDO SOUSA DOS ANJOS</t>
  </si>
  <si>
    <t>37760788800</t>
  </si>
  <si>
    <t>DOUGLAS MARIANO SAMPAIO DOS SANTOS</t>
  </si>
  <si>
    <t>37912211837</t>
  </si>
  <si>
    <t>PATRICIA LIMEIRA FERRAZ</t>
  </si>
  <si>
    <t>37938166804</t>
  </si>
  <si>
    <t>ROSILEIDE SIQUEIRA FERREIRA</t>
  </si>
  <si>
    <t>37945336825</t>
  </si>
  <si>
    <t>CAMILA DOS SANTOS PERPETUO</t>
  </si>
  <si>
    <t>37960111871</t>
  </si>
  <si>
    <t>ELANE MEDEIROS CIPRIANO</t>
  </si>
  <si>
    <t>38056698876</t>
  </si>
  <si>
    <t>JAILTON SOUSA MARTINS</t>
  </si>
  <si>
    <t>38092748870</t>
  </si>
  <si>
    <t>WESLLEY VIEIRA NUNES</t>
  </si>
  <si>
    <t>38158569811</t>
  </si>
  <si>
    <t>LEONARDO MORAES FRANCA</t>
  </si>
  <si>
    <t>38207232854</t>
  </si>
  <si>
    <t>GABRIEL DE JESUS DIAS</t>
  </si>
  <si>
    <t>38219845899</t>
  </si>
  <si>
    <t>JAIRO LAMARCA DE OLIVEIRA</t>
  </si>
  <si>
    <t>38259681897</t>
  </si>
  <si>
    <t>DOUGLAS ARNALDO DE LIMA SOUZA</t>
  </si>
  <si>
    <t>38262348800</t>
  </si>
  <si>
    <t>JAQUELINE DIAS MORENO</t>
  </si>
  <si>
    <t>38319407893</t>
  </si>
  <si>
    <t>LUIZ CRISTIANO VALERIO FERREIRA</t>
  </si>
  <si>
    <t>38355181867</t>
  </si>
  <si>
    <t>DAIANE VICENTE SILVA</t>
  </si>
  <si>
    <t>38387405809</t>
  </si>
  <si>
    <t>ALISSON BENTO DOUETTS</t>
  </si>
  <si>
    <t>38407316822</t>
  </si>
  <si>
    <t>FELIPE GONCALVES CAVICHIA</t>
  </si>
  <si>
    <t>38425576806</t>
  </si>
  <si>
    <t>BARBARA DE SOUZA FERREIRA SANTOS</t>
  </si>
  <si>
    <t>38516496805</t>
  </si>
  <si>
    <t>RENAN ALGARTE CREMONESI</t>
  </si>
  <si>
    <t>38527403803</t>
  </si>
  <si>
    <t>RONILDO DE ALMEIDA SOUSA</t>
  </si>
  <si>
    <t>38565039862</t>
  </si>
  <si>
    <t>DIEGO HENRIQUE ALVES DOS SANTOS</t>
  </si>
  <si>
    <t>38614061870</t>
  </si>
  <si>
    <t>MATEUS WURZBACHER ANSELMO</t>
  </si>
  <si>
    <t>38635962850</t>
  </si>
  <si>
    <t>FELIPE CAMILO MENDES</t>
  </si>
  <si>
    <t>38707636806</t>
  </si>
  <si>
    <t>ALAN FERREIRA DA SILVA</t>
  </si>
  <si>
    <t>38712874825</t>
  </si>
  <si>
    <t>RAFAEL MUNIZ PEREIRA</t>
  </si>
  <si>
    <t>38715049809</t>
  </si>
  <si>
    <t>RENAN SANTOS ALVES</t>
  </si>
  <si>
    <t>ERNESTO ARY NEUGEBAUER</t>
  </si>
  <si>
    <t>38782362807</t>
  </si>
  <si>
    <t>LEONARDO FERREIRA DE CARVALHO</t>
  </si>
  <si>
    <t>38782656894</t>
  </si>
  <si>
    <t>JHONEE SOARES DOS SANTOS</t>
  </si>
  <si>
    <t>38786872818</t>
  </si>
  <si>
    <t>HERBERT CHRISTOFEER FEDEL SOARES</t>
  </si>
  <si>
    <t>20141015</t>
  </si>
  <si>
    <t>DAVI LUCCA DE OLIVEIRA FEDEL SOARES</t>
  </si>
  <si>
    <t>38786889893</t>
  </si>
  <si>
    <t>DUARTI ROSA COSTA</t>
  </si>
  <si>
    <t>38793141874</t>
  </si>
  <si>
    <t>MARILIA CAROLINA DE PAULA ALMEIDA</t>
  </si>
  <si>
    <t>38797611832</t>
  </si>
  <si>
    <t>RICARDO DE OLIVEIRA REIS</t>
  </si>
  <si>
    <t>38864998802</t>
  </si>
  <si>
    <t>ALINE SCARTON</t>
  </si>
  <si>
    <t>38934030860</t>
  </si>
  <si>
    <t>VANILDO ALVES DOS SANTOS</t>
  </si>
  <si>
    <t>38957696814</t>
  </si>
  <si>
    <t>GUILHERME GUEDES</t>
  </si>
  <si>
    <t>38975636810</t>
  </si>
  <si>
    <t>JULIANA DA SILVA DOS SANTOS MARTINS</t>
  </si>
  <si>
    <t>39049237819</t>
  </si>
  <si>
    <t>DANIEL THOMAZ DA SILVA</t>
  </si>
  <si>
    <t>39082715848</t>
  </si>
  <si>
    <t>CASSIO EVANGELISTA DE ALMEIDA</t>
  </si>
  <si>
    <t>39102172810</t>
  </si>
  <si>
    <t>ROBSON LOPES BARBOSA</t>
  </si>
  <si>
    <t>39130552826</t>
  </si>
  <si>
    <t>GABRIEL VITOR ARAUJO SANTOS</t>
  </si>
  <si>
    <t>39146581855</t>
  </si>
  <si>
    <t>WILLIAM GONCALVES</t>
  </si>
  <si>
    <t>39157123888</t>
  </si>
  <si>
    <t>VINICIUS SALDANHA ROSA</t>
  </si>
  <si>
    <t>39195021833</t>
  </si>
  <si>
    <t>HENRIQUE VENANCIO NEVES</t>
  </si>
  <si>
    <t>39202166870</t>
  </si>
  <si>
    <t>DIEGO MODESTO CAMARGO FARIAS</t>
  </si>
  <si>
    <t>39205267830</t>
  </si>
  <si>
    <t>OSVALDO BARBOSA PEREIRA</t>
  </si>
  <si>
    <t>39311353817</t>
  </si>
  <si>
    <t>WILLIAN FERREIRA DA SILVA</t>
  </si>
  <si>
    <t>39379148895</t>
  </si>
  <si>
    <t>LUCAS DOS SANTOS SILVA</t>
  </si>
  <si>
    <t>39400023804</t>
  </si>
  <si>
    <t>GENIVALDO RODRIGUES CAMPOS</t>
  </si>
  <si>
    <t>42878679806</t>
  </si>
  <si>
    <t>19920725</t>
  </si>
  <si>
    <t>LETICIA MAYARA DE OLIVEIRA</t>
  </si>
  <si>
    <t>39425313806</t>
  </si>
  <si>
    <t>EMERSON DE SOUZA ALVES</t>
  </si>
  <si>
    <t>39542623801</t>
  </si>
  <si>
    <t>RENATO HENRIQUE GOMES DOS SANTOS</t>
  </si>
  <si>
    <t>39568584846</t>
  </si>
  <si>
    <t>GABRIEL RIBEIRO</t>
  </si>
  <si>
    <t>39630850885</t>
  </si>
  <si>
    <t>ADAILTON ALVES DOS SANTOS</t>
  </si>
  <si>
    <t>39640128821</t>
  </si>
  <si>
    <t>KLEBER VIEIRA DOS SANTOS</t>
  </si>
  <si>
    <t>39731621822</t>
  </si>
  <si>
    <t>RENATO RODRIGUES ANTONIO DOS SANTOS</t>
  </si>
  <si>
    <t>39799842816</t>
  </si>
  <si>
    <t>CARLOS FERNANDO DOS SANTOS</t>
  </si>
  <si>
    <t>40076543870</t>
  </si>
  <si>
    <t>DANIEL JAPECANGA SANTANA</t>
  </si>
  <si>
    <t>40297323806</t>
  </si>
  <si>
    <t>DANILO DA SILVA PEREIRA</t>
  </si>
  <si>
    <t>40519909828</t>
  </si>
  <si>
    <t>RHANIEL HERMANO BARBOSA</t>
  </si>
  <si>
    <t>40553117882</t>
  </si>
  <si>
    <t>RHUAN VIEIRA SILVA</t>
  </si>
  <si>
    <t>40566525895</t>
  </si>
  <si>
    <t>FERNANDA MARCELA MARTINS</t>
  </si>
  <si>
    <t>40581299809</t>
  </si>
  <si>
    <t>CAROLINE DIAS REQUENA</t>
  </si>
  <si>
    <t>40729348873</t>
  </si>
  <si>
    <t>DAVID ALVES CAVALCANTI DOS SANTOS</t>
  </si>
  <si>
    <t>40750060425</t>
  </si>
  <si>
    <t>MARIA DO SOCORRO LOPES</t>
  </si>
  <si>
    <t>40758009895</t>
  </si>
  <si>
    <t>RAFHAEL POLONIO ERENO</t>
  </si>
  <si>
    <t>40886660890</t>
  </si>
  <si>
    <t>LEANDRO MARCELINO DE OLIVEIRA</t>
  </si>
  <si>
    <t>40889638810</t>
  </si>
  <si>
    <t>JOAO DE SOUSA FERREIRA</t>
  </si>
  <si>
    <t>40936675861</t>
  </si>
  <si>
    <t>BRUNA BISPO DOS SANTOS</t>
  </si>
  <si>
    <t>40968349803</t>
  </si>
  <si>
    <t>JANAINA DE SOUZA PINA</t>
  </si>
  <si>
    <t>41147199892</t>
  </si>
  <si>
    <t>LUI ANDER RODRIGUES DE SOUZA</t>
  </si>
  <si>
    <t>41169250807</t>
  </si>
  <si>
    <t>CLEITON DE PAULA RODRIGUES</t>
  </si>
  <si>
    <t>41302208888</t>
  </si>
  <si>
    <t>VINICIUS VICTOR ALBARES DA SILVA</t>
  </si>
  <si>
    <t>41319056806</t>
  </si>
  <si>
    <t>MAYCON SANTOS DA SILVA</t>
  </si>
  <si>
    <t>41325731846</t>
  </si>
  <si>
    <t>VIVIANE SUELIN DA SILVA</t>
  </si>
  <si>
    <t>41344783830</t>
  </si>
  <si>
    <t>LILIAN APARECIDA SILVA</t>
  </si>
  <si>
    <t>41555641814</t>
  </si>
  <si>
    <t>MARCOS MORAIS PEDROSO</t>
  </si>
  <si>
    <t>41585822884</t>
  </si>
  <si>
    <t>ANA BEATRIZ RITO GALAFACI</t>
  </si>
  <si>
    <t>41623980895</t>
  </si>
  <si>
    <t>BEATRIZ MENDES SILVA</t>
  </si>
  <si>
    <t>41627702806</t>
  </si>
  <si>
    <t>ALEXANDRE CARLOS DE MORAIS</t>
  </si>
  <si>
    <t>41710305878</t>
  </si>
  <si>
    <t>JOHNNY SILVA OLIVEIRA</t>
  </si>
  <si>
    <t>41781219877</t>
  </si>
  <si>
    <t>ROGERIO PEREIRA DOS SANTOS</t>
  </si>
  <si>
    <t>41876276851</t>
  </si>
  <si>
    <t>ALINE MOMESSO MORENO</t>
  </si>
  <si>
    <t>41879938863</t>
  </si>
  <si>
    <t>FELIPE WEBER GARCIA</t>
  </si>
  <si>
    <t>41995361836</t>
  </si>
  <si>
    <t>GIOVANI IERVOLINO BOVENZO</t>
  </si>
  <si>
    <t>42016617845</t>
  </si>
  <si>
    <t>LUIZ ANTONIO DA SILVA</t>
  </si>
  <si>
    <t>42066709867</t>
  </si>
  <si>
    <t>GUILHERME DE SOUSA DA SILVA</t>
  </si>
  <si>
    <t>42248824858</t>
  </si>
  <si>
    <t>ROMERSON DA SILVA FELIZARDO</t>
  </si>
  <si>
    <t>42303686822</t>
  </si>
  <si>
    <t>JONATHAN PEREIRA NEMES</t>
  </si>
  <si>
    <t>42320243879</t>
  </si>
  <si>
    <t>ALEX FERNANDO INGLES DA SILVA</t>
  </si>
  <si>
    <t>42437123873</t>
  </si>
  <si>
    <t>PAULO MONTINI BATISTA DE SOUSA</t>
  </si>
  <si>
    <t>42439910813</t>
  </si>
  <si>
    <t>JONATHAN CARVALHO AMORIM</t>
  </si>
  <si>
    <t>42521385824</t>
  </si>
  <si>
    <t>ALEXANDRE SEVERINO DA SILVA</t>
  </si>
  <si>
    <t>34733852800</t>
  </si>
  <si>
    <t>19941205</t>
  </si>
  <si>
    <t>MARIA DE FATIMA SANTOS POLICARPO</t>
  </si>
  <si>
    <t>42538313899</t>
  </si>
  <si>
    <t>GEOVANI DE JESUS SILVA</t>
  </si>
  <si>
    <t>42576535828</t>
  </si>
  <si>
    <t>JEFFERSON FRANCA GUIMARAES</t>
  </si>
  <si>
    <t>42582414824</t>
  </si>
  <si>
    <t>GLEISSON GOMES MENDES</t>
  </si>
  <si>
    <t>42600662855</t>
  </si>
  <si>
    <t>CLEITON TELES SANTOS OLIVEIRA</t>
  </si>
  <si>
    <t>42608661840</t>
  </si>
  <si>
    <t>NAIANE BISPO DOS SANTOS</t>
  </si>
  <si>
    <t>42610752881</t>
  </si>
  <si>
    <t>NATHAN ALVES DO NASCIMENTO BITHENCOURT</t>
  </si>
  <si>
    <t>42615113801</t>
  </si>
  <si>
    <t>FRANKLIN SILVA SOUSA</t>
  </si>
  <si>
    <t>42698722843</t>
  </si>
  <si>
    <t>MAYCON DOS SANTOS RIBEIRO</t>
  </si>
  <si>
    <t>42952553866</t>
  </si>
  <si>
    <t>MILENA CARDOSO MELO</t>
  </si>
  <si>
    <t>42956268805</t>
  </si>
  <si>
    <t>LEONARDO DOS SANTOS CASTRO</t>
  </si>
  <si>
    <t>43122399830</t>
  </si>
  <si>
    <t>ROSEANE SANTIAGO DE SOUSA</t>
  </si>
  <si>
    <t>43166430881</t>
  </si>
  <si>
    <t>DEISYANE DOS SANTOS COSTA</t>
  </si>
  <si>
    <t>43187060870</t>
  </si>
  <si>
    <t>GEAM MESSIAS ALVES DA SILVA</t>
  </si>
  <si>
    <t>43251610821</t>
  </si>
  <si>
    <t>ALEX MONTEIRO DE LIMA</t>
  </si>
  <si>
    <t>43291873882</t>
  </si>
  <si>
    <t>CAIQUE PEREIRA ALVES</t>
  </si>
  <si>
    <t>43299634852</t>
  </si>
  <si>
    <t>RUBENS SOUSA SILVA</t>
  </si>
  <si>
    <t>43300097819</t>
  </si>
  <si>
    <t>EVERTON BATISTA DA SILVA</t>
  </si>
  <si>
    <t>43301962807</t>
  </si>
  <si>
    <t>MAIKE PEREIRA ALECRIM</t>
  </si>
  <si>
    <t>43495298886</t>
  </si>
  <si>
    <t>WILLIAN DIAS MARTINS</t>
  </si>
  <si>
    <t>43662195810</t>
  </si>
  <si>
    <t>TIAGO CARVALHO SILVA</t>
  </si>
  <si>
    <t>43726904875</t>
  </si>
  <si>
    <t>PEDRO HENRIQUE DE OLIVEIRA</t>
  </si>
  <si>
    <t>43730465813</t>
  </si>
  <si>
    <t>FELIPPE MORENO FIGUEIREDO DOS SANTOS</t>
  </si>
  <si>
    <t>43740737875</t>
  </si>
  <si>
    <t>ERICA DO AMPARO SANTOS</t>
  </si>
  <si>
    <t>43803165806</t>
  </si>
  <si>
    <t>VICTOR GARCIA</t>
  </si>
  <si>
    <t>43853802877</t>
  </si>
  <si>
    <t>EMERSON GOMES DE MEIRA</t>
  </si>
  <si>
    <t>43956168879</t>
  </si>
  <si>
    <t>LEANDRO RAMOS DA SILVA</t>
  </si>
  <si>
    <t>43964308846</t>
  </si>
  <si>
    <t>AMANDA SANTOS MENEZES</t>
  </si>
  <si>
    <t>44042641865</t>
  </si>
  <si>
    <t>KAROLINE LOISE FORMIGA DE MORAES</t>
  </si>
  <si>
    <t>44159675824</t>
  </si>
  <si>
    <t>JOAO VICTOR SIGULINI NOGUEIRA</t>
  </si>
  <si>
    <t>44178794353</t>
  </si>
  <si>
    <t>RAIMUNDO CARNEIRO PEREIRA</t>
  </si>
  <si>
    <t>44210414832</t>
  </si>
  <si>
    <t>MATHEUS OLIVEIRA SILVA</t>
  </si>
  <si>
    <t>44376329827</t>
  </si>
  <si>
    <t>ARIANE CRISTINA SILVA MELO</t>
  </si>
  <si>
    <t>44469834823</t>
  </si>
  <si>
    <t>MAURICIO TONHOLI MEDEIROS</t>
  </si>
  <si>
    <t>44694071866</t>
  </si>
  <si>
    <t>LEONARDO HENRIQUE DA SILVA COSTA</t>
  </si>
  <si>
    <t>44749806897</t>
  </si>
  <si>
    <t>FABIO VIEIRA DIAS</t>
  </si>
  <si>
    <t>44875162855</t>
  </si>
  <si>
    <t>NAILSON SILVA DA PAIXAO</t>
  </si>
  <si>
    <t>44898764835</t>
  </si>
  <si>
    <t>EDEMILSON DE ASSIS DA SILVA</t>
  </si>
  <si>
    <t>44934898808</t>
  </si>
  <si>
    <t>AMANDA CRISTINA DE ALMEIDA</t>
  </si>
  <si>
    <t>45091469818</t>
  </si>
  <si>
    <t>ANDREZA PESTANA DE OLIVEIRA</t>
  </si>
  <si>
    <t>45214001835</t>
  </si>
  <si>
    <t>WELLINGTON LIMA DE ALMEIDA</t>
  </si>
  <si>
    <t>45523714879</t>
  </si>
  <si>
    <t>FERNANDA GABRIELA NUNES DA SILVA</t>
  </si>
  <si>
    <t>45763390873</t>
  </si>
  <si>
    <t>FELIPE BARBOSA DA COSTA SILVA</t>
  </si>
  <si>
    <t>45914037859</t>
  </si>
  <si>
    <t>LUIZ GUSTAVO REIS DA SILVA</t>
  </si>
  <si>
    <t>46144898859</t>
  </si>
  <si>
    <t>ANTONIO MARCOS DOS SANTOS ALMEIDA</t>
  </si>
  <si>
    <t>47124656893</t>
  </si>
  <si>
    <t>GUSTAVO DA SILVA BUENO</t>
  </si>
  <si>
    <t>47529472852</t>
  </si>
  <si>
    <t>GUSTAVO FIGUEIREDO ALVES</t>
  </si>
  <si>
    <t>47580509881</t>
  </si>
  <si>
    <t>JOICE LAURA LUPPO</t>
  </si>
  <si>
    <t>47596182879</t>
  </si>
  <si>
    <t>GUSTAVO DA SILVA RODRIGUES</t>
  </si>
  <si>
    <t>48191317885</t>
  </si>
  <si>
    <t>NUBIA MORAIS OLIVEIRA</t>
  </si>
  <si>
    <t>48562847895</t>
  </si>
  <si>
    <t>ELIAS JOSE DOS SANTOS SIQUEIRA</t>
  </si>
  <si>
    <t>48613234879</t>
  </si>
  <si>
    <t>HENRIQUE LIMA PIASSA</t>
  </si>
  <si>
    <t>49082968800</t>
  </si>
  <si>
    <t>TAINARA RODRIGUES DE OLIVEIRA</t>
  </si>
  <si>
    <t>54436869768</t>
  </si>
  <si>
    <t>ETIENE LISBOA DA COSTA</t>
  </si>
  <si>
    <t>56915756353</t>
  </si>
  <si>
    <t>ANTONIO MARCOS GOMES</t>
  </si>
  <si>
    <t>60005688949</t>
  </si>
  <si>
    <t>MAURO NATO</t>
  </si>
  <si>
    <t>60387335668</t>
  </si>
  <si>
    <t>MARCOS SAMPAIO FIALHO</t>
  </si>
  <si>
    <t>61204404291</t>
  </si>
  <si>
    <t>FRANCISCO FERREIRA DE SOUSA</t>
  </si>
  <si>
    <t>63318687987</t>
  </si>
  <si>
    <t>MARILIZI PIVATTO</t>
  </si>
  <si>
    <t>63619466068</t>
  </si>
  <si>
    <t>ALOISIO LUCAS DOS SANTOS</t>
  </si>
  <si>
    <t>67816983468</t>
  </si>
  <si>
    <t>JOSE CICERO SILVA DE OLIVEIRA</t>
  </si>
  <si>
    <t>69394016104</t>
  </si>
  <si>
    <t>JAILSON FIRMINO ABADE</t>
  </si>
  <si>
    <t>69509042404</t>
  </si>
  <si>
    <t>JOSE ALVES DE LIMA</t>
  </si>
  <si>
    <t>74098500434</t>
  </si>
  <si>
    <t>JOAO JOSE DA SILVA</t>
  </si>
  <si>
    <t>74172018491</t>
  </si>
  <si>
    <t>JAIRO XAVIER DE LIMA</t>
  </si>
  <si>
    <t>75513714515</t>
  </si>
  <si>
    <t>EDIVALDO GONCALVES SILVA</t>
  </si>
  <si>
    <t>76424359834</t>
  </si>
  <si>
    <t>VIVALDO ALVELINO DA SILVA</t>
  </si>
  <si>
    <t>79516548334</t>
  </si>
  <si>
    <t>EGBERTO ALVES DE SOUSA</t>
  </si>
  <si>
    <t>80111386420</t>
  </si>
  <si>
    <t>JOSE PERGENTINO DA SILVA FILHO</t>
  </si>
  <si>
    <t>80292119453</t>
  </si>
  <si>
    <t>GIZOBERTO ALVES DE OLIVEIRA</t>
  </si>
  <si>
    <t>81782276491</t>
  </si>
  <si>
    <t>MARCELO SEVERINO DA SILVA</t>
  </si>
  <si>
    <t>82026700478</t>
  </si>
  <si>
    <t>JOSE VICENTE DA SILVA FILHO</t>
  </si>
  <si>
    <t>85392286534</t>
  </si>
  <si>
    <t>NIELSON DOS SANTOS ROSA</t>
  </si>
  <si>
    <t>85863184507</t>
  </si>
  <si>
    <t>OSEIAS SILVA LIMA</t>
  </si>
  <si>
    <t>88112551472</t>
  </si>
  <si>
    <t>GILVAM FERREIRA DA SILVA</t>
  </si>
  <si>
    <t>88434206587</t>
  </si>
  <si>
    <t>JUSCELINO SODRE ARAUJO</t>
  </si>
  <si>
    <t>90429729634</t>
  </si>
  <si>
    <t>VALDIVO PEREIRA MARTINS</t>
  </si>
  <si>
    <t>92361048868</t>
  </si>
  <si>
    <t>CESAR DE SOUSA LIMA</t>
  </si>
  <si>
    <t>92699723991</t>
  </si>
  <si>
    <t>CRESPIM KLOUCK</t>
  </si>
  <si>
    <t>92902855249</t>
  </si>
  <si>
    <t>LEANDRO LIMA DA SILVA</t>
  </si>
  <si>
    <t>93186533520</t>
  </si>
  <si>
    <t>MANACEIS DOS SANTOS BARBOSA</t>
  </si>
  <si>
    <t>26883575812</t>
  </si>
  <si>
    <t>20040425</t>
  </si>
  <si>
    <t>HUGO DE CASTRO GUILGER BARBOSA</t>
  </si>
  <si>
    <t>94594562434</t>
  </si>
  <si>
    <t>EVILANDIO FRANCELINO FERREIRA</t>
  </si>
  <si>
    <t>95868852672</t>
  </si>
  <si>
    <t>ISMAIR GONCALVES VIANA FILHO</t>
  </si>
  <si>
    <t>96071036534</t>
  </si>
  <si>
    <t>JOVENTINO DE SOUZA NEVES</t>
  </si>
  <si>
    <t>97715484504</t>
  </si>
  <si>
    <t>KLEBER CONCEICAO SANTANA MACHADO</t>
  </si>
  <si>
    <t>98620363620</t>
  </si>
  <si>
    <t>EDER JACKS OLIVEIRA</t>
  </si>
  <si>
    <t>12385126826</t>
  </si>
  <si>
    <t>RAIMUNDO FERREIRA DO NASCIMENTO</t>
  </si>
  <si>
    <t>18274434803</t>
  </si>
  <si>
    <t>GILMAR BARBOSA DA SILVA</t>
  </si>
  <si>
    <t>28647269802</t>
  </si>
  <si>
    <t>EMERSON GOMES DE JESUS</t>
  </si>
  <si>
    <t>01685053000156</t>
  </si>
  <si>
    <t>SUL AMERICA COMPANHIA DE SEGURO SAUDE SA</t>
  </si>
  <si>
    <t>006246</t>
  </si>
  <si>
    <t>29676814822</t>
  </si>
  <si>
    <t>19800816</t>
  </si>
  <si>
    <t>CLAUDINEIA DE CARVALHO</t>
  </si>
  <si>
    <t>03</t>
  </si>
  <si>
    <t>47272293829</t>
  </si>
  <si>
    <t>20121207</t>
  </si>
  <si>
    <t>LUCA CARVALHO GOMES</t>
  </si>
  <si>
    <t>04</t>
  </si>
  <si>
    <t>01735337790</t>
  </si>
  <si>
    <t>19720815</t>
  </si>
  <si>
    <t>GERALDO TADEU NUNES</t>
  </si>
  <si>
    <t>07525393702</t>
  </si>
  <si>
    <t>19711130</t>
  </si>
  <si>
    <t>MONICA LEIRA DE OLIVEIRA DOS SANTOS</t>
  </si>
  <si>
    <t>16013036705</t>
  </si>
  <si>
    <t>20090504</t>
  </si>
  <si>
    <t>VITORIA LEIRA DOS SANTOS</t>
  </si>
  <si>
    <t>20050421</t>
  </si>
  <si>
    <t>PEDRO MERICI</t>
  </si>
  <si>
    <t>10148177816</t>
  </si>
  <si>
    <t>19671011</t>
  </si>
  <si>
    <t>NILDA FERNANDES MERICI</t>
  </si>
  <si>
    <t>46752736880</t>
  </si>
  <si>
    <t>20010605</t>
  </si>
  <si>
    <t>MURILO MERICI</t>
  </si>
  <si>
    <t>20120123</t>
  </si>
  <si>
    <t>ARTHUR CARIRI DE LIMA ARAUJO</t>
  </si>
  <si>
    <t>20160122</t>
  </si>
  <si>
    <t>VICTOR HENRIQUE CARIRI DE LIMA ARAUJO</t>
  </si>
  <si>
    <t>17147991826</t>
  </si>
  <si>
    <t>19521230</t>
  </si>
  <si>
    <t>MARIA APARECIDA PEREIRA FURTADO</t>
  </si>
  <si>
    <t>20080117</t>
  </si>
  <si>
    <t>ANTONIO LUCAS DA SILVA ALMEIDA</t>
  </si>
  <si>
    <t>16507494810</t>
  </si>
  <si>
    <t>19730529</t>
  </si>
  <si>
    <t>ELICIO JOSE DE ALMEIDA FILHO</t>
  </si>
  <si>
    <t>13767272857</t>
  </si>
  <si>
    <t>19670929</t>
  </si>
  <si>
    <t>SUELY DE PASCHOAL PEREIRA</t>
  </si>
  <si>
    <t>41140549871</t>
  </si>
  <si>
    <t>19960531</t>
  </si>
  <si>
    <t>LUCA PEREIRA ALVES</t>
  </si>
  <si>
    <t>41140617893</t>
  </si>
  <si>
    <t>19980424</t>
  </si>
  <si>
    <t>NICOLAS PEREIRA ALVES</t>
  </si>
  <si>
    <t>07932044880</t>
  </si>
  <si>
    <t>19651227</t>
  </si>
  <si>
    <t>CHRISTIANE APARECIDA ROCHA QUIRINO PARINI</t>
  </si>
  <si>
    <t>48454065865</t>
  </si>
  <si>
    <t>20000807</t>
  </si>
  <si>
    <t>GABRIEL QUIRINO PARINI</t>
  </si>
  <si>
    <t>20040211</t>
  </si>
  <si>
    <t>JOANA BELLUOMINI DE BARROS</t>
  </si>
  <si>
    <t>01704209730</t>
  </si>
  <si>
    <t>19701224</t>
  </si>
  <si>
    <t>JAVERT BONINO DE BARROS</t>
  </si>
  <si>
    <t>07963678848</t>
  </si>
  <si>
    <t>19670912</t>
  </si>
  <si>
    <t>MONICA VIEIRA BIANCHI</t>
  </si>
  <si>
    <t>41552333809</t>
  </si>
  <si>
    <t>19970731</t>
  </si>
  <si>
    <t>GUILHERME VIEIRA BIANCHI</t>
  </si>
  <si>
    <t>41559294817</t>
  </si>
  <si>
    <t>20020104</t>
  </si>
  <si>
    <t>GUSTAVO VIEIRA BIANCHI</t>
  </si>
  <si>
    <t>BRUNO NIERO CAMARGO</t>
  </si>
  <si>
    <t>25656285871</t>
  </si>
  <si>
    <t>19760813</t>
  </si>
  <si>
    <t>GISELE NIERO SCARAMEL</t>
  </si>
  <si>
    <t>05795218855</t>
  </si>
  <si>
    <t>19670307</t>
  </si>
  <si>
    <t>MARCELO LEAO JULIO</t>
  </si>
  <si>
    <t>43658645806</t>
  </si>
  <si>
    <t>20010422</t>
  </si>
  <si>
    <t>BRUNO HERNANDES LEAO</t>
  </si>
  <si>
    <t>14253091865</t>
  </si>
  <si>
    <t>19671003</t>
  </si>
  <si>
    <t>RICHARD HEMKE</t>
  </si>
  <si>
    <t>47916041804</t>
  </si>
  <si>
    <t>20030506</t>
  </si>
  <si>
    <t>CATARINA VINHA HEMKE</t>
  </si>
  <si>
    <t>13014451851</t>
  </si>
  <si>
    <t>19750317</t>
  </si>
  <si>
    <t>GILDO PAULO DAS NEVES</t>
  </si>
  <si>
    <t>20040926</t>
  </si>
  <si>
    <t>LETICIA AMORIM BARBOSA</t>
  </si>
  <si>
    <t>25858881858</t>
  </si>
  <si>
    <t>19701006</t>
  </si>
  <si>
    <t>LENISE AMORIM</t>
  </si>
  <si>
    <t>48475988814</t>
  </si>
  <si>
    <t>19981122</t>
  </si>
  <si>
    <t>HENRIQUE AMORIM BARBOSA</t>
  </si>
  <si>
    <t>20050827</t>
  </si>
  <si>
    <t>MIGUEL STEIN LOPES</t>
  </si>
  <si>
    <t>31235308847</t>
  </si>
  <si>
    <t>19820824</t>
  </si>
  <si>
    <t>JESSICA STEINFIGUEREDO LOPES</t>
  </si>
  <si>
    <t>41559861835</t>
  </si>
  <si>
    <t>20020207</t>
  </si>
  <si>
    <t>JULIA STEIN LOPES</t>
  </si>
  <si>
    <t>20121227</t>
  </si>
  <si>
    <t>LUCAS CRUZ TROVO</t>
  </si>
  <si>
    <t>18779639844</t>
  </si>
  <si>
    <t>19780412</t>
  </si>
  <si>
    <t>ZULEIKA MARIA ALVES CRUZ TROVO</t>
  </si>
  <si>
    <t>45022851881</t>
  </si>
  <si>
    <t>20051121</t>
  </si>
  <si>
    <t>CARLOS EDUARDO CRUZ TROVO</t>
  </si>
  <si>
    <t>20071007</t>
  </si>
  <si>
    <t>GUSTAVO BERESCA DOS REIS</t>
  </si>
  <si>
    <t>20110304</t>
  </si>
  <si>
    <t>BEATRIZ BERESCA DOS REIS</t>
  </si>
  <si>
    <t>14296453858</t>
  </si>
  <si>
    <t>19710127</t>
  </si>
  <si>
    <t>LUCIANA CAMARGO BERESCA DOS REIS</t>
  </si>
  <si>
    <t>47407405832</t>
  </si>
  <si>
    <t>19991106</t>
  </si>
  <si>
    <t>MARIA GABRIELA MORAIS DA SILVA</t>
  </si>
  <si>
    <t>19926063829</t>
  </si>
  <si>
    <t>19730918</t>
  </si>
  <si>
    <t>LUCIANA GALDINO OZORIO FREITAS</t>
  </si>
  <si>
    <t>48816532882</t>
  </si>
  <si>
    <t>19981123</t>
  </si>
  <si>
    <t>CAROLINA OZORIO FREITAS</t>
  </si>
  <si>
    <t>50760225818</t>
  </si>
  <si>
    <t>20030315</t>
  </si>
  <si>
    <t>GABRIELA OZORIO FREITAS</t>
  </si>
  <si>
    <t>20090216</t>
  </si>
  <si>
    <t>ANA JULIA FERREIRA ANACLETO</t>
  </si>
  <si>
    <t>25412234801</t>
  </si>
  <si>
    <t>19771210</t>
  </si>
  <si>
    <t>SILVIA C F ANACLETO DA SILVA</t>
  </si>
  <si>
    <t>20120630</t>
  </si>
  <si>
    <t>JULIA ANDRADE FERREIRA</t>
  </si>
  <si>
    <t>21594590893</t>
  </si>
  <si>
    <t>19800218</t>
  </si>
  <si>
    <t>GILSON APARECIDO FERREIRA</t>
  </si>
  <si>
    <t>20131228</t>
  </si>
  <si>
    <t>VALENTINA BANDARO TREVIZAM</t>
  </si>
  <si>
    <t>34454323844</t>
  </si>
  <si>
    <t>19850729</t>
  </si>
  <si>
    <t>JULIANA RODRIGUES BADARO</t>
  </si>
  <si>
    <t>28584271864</t>
  </si>
  <si>
    <t>19790219</t>
  </si>
  <si>
    <t>LEANDRO JOSE CARDOSO BONANCA</t>
  </si>
  <si>
    <t>01672433738</t>
  </si>
  <si>
    <t>19710902</t>
  </si>
  <si>
    <t>RITA PIMENTA DE DEVOTTO</t>
  </si>
  <si>
    <t>13730979655</t>
  </si>
  <si>
    <t>20091204</t>
  </si>
  <si>
    <t>MARCO DEVOTTO PIMENTA</t>
  </si>
  <si>
    <t>13730984659</t>
  </si>
  <si>
    <t>20031123</t>
  </si>
  <si>
    <t>LARA DEVOTTO PIMENTA</t>
  </si>
  <si>
    <t>13730986600</t>
  </si>
  <si>
    <t>20020101</t>
  </si>
  <si>
    <t>MARINA DEVOTTO PIMENTA</t>
  </si>
  <si>
    <t>07979163850</t>
  </si>
  <si>
    <t>19740118</t>
  </si>
  <si>
    <t>VIVIANE ROSSETTO DAVID</t>
  </si>
  <si>
    <t>43672622869</t>
  </si>
  <si>
    <t>20081016</t>
  </si>
  <si>
    <t>AUGUSTO ROSSETTO DAVID</t>
  </si>
  <si>
    <t>24582695833</t>
  </si>
  <si>
    <t>19761119</t>
  </si>
  <si>
    <t>LUCIANA ANTONIOLLI</t>
  </si>
  <si>
    <t>25999764807</t>
  </si>
  <si>
    <t>19990815</t>
  </si>
  <si>
    <t>ANA CAROLINE ANTONIOLLI ZANELLA</t>
  </si>
  <si>
    <t>40309269830</t>
  </si>
  <si>
    <t>19951227</t>
  </si>
  <si>
    <t>LUCAS DOS SANTOS ZANELA</t>
  </si>
  <si>
    <t>02461494770</t>
  </si>
  <si>
    <t>19521122</t>
  </si>
  <si>
    <t>MARIA CECILIA MINARRO CREMASCO</t>
  </si>
  <si>
    <t>39828818892</t>
  </si>
  <si>
    <t>19911226</t>
  </si>
  <si>
    <t>CAROLINA MINARRO CREMASCO</t>
  </si>
  <si>
    <t>29128708873</t>
  </si>
  <si>
    <t>19790224</t>
  </si>
  <si>
    <t>ESDRAS FRANCISCO MARTINS</t>
  </si>
  <si>
    <t>30190354810</t>
  </si>
  <si>
    <t>19771217</t>
  </si>
  <si>
    <t>CAMILA CESERESE MESQUITA COSSI</t>
  </si>
  <si>
    <t>20080311</t>
  </si>
  <si>
    <t>ISABELLA FRANCISCO FERNANDES</t>
  </si>
  <si>
    <t>20091103</t>
  </si>
  <si>
    <t>GIOVANNA FRANCISCO FERNANDES</t>
  </si>
  <si>
    <t>26158963852</t>
  </si>
  <si>
    <t>19780411</t>
  </si>
  <si>
    <t>KELLY CRISTINE FRANCISCO FERNANDES</t>
  </si>
  <si>
    <t>20050122</t>
  </si>
  <si>
    <t>GUILHERME HENRIQUE SOLER PINTO</t>
  </si>
  <si>
    <t>MARIA CLARA SOLER PINTO</t>
  </si>
  <si>
    <t>17884493802</t>
  </si>
  <si>
    <t>19740701</t>
  </si>
  <si>
    <t>ALESSANDRO RODRIGO PINTO</t>
  </si>
  <si>
    <t>20090826</t>
  </si>
  <si>
    <t>NICOLAS GALLES KROCHMALNIK</t>
  </si>
  <si>
    <t>20140714</t>
  </si>
  <si>
    <t>SOPHIA GALLES KROCHMALNIK</t>
  </si>
  <si>
    <t>17713880801</t>
  </si>
  <si>
    <t>19711108</t>
  </si>
  <si>
    <t>ADRIANA GALLES KROCHMALNIK</t>
  </si>
  <si>
    <t>20140909</t>
  </si>
  <si>
    <t>JOAO VICTOR BASSAN</t>
  </si>
  <si>
    <t>22021637867</t>
  </si>
  <si>
    <t>19820321</t>
  </si>
  <si>
    <t>PAMELA ALVES DE OLIVEIRA BASSAN</t>
  </si>
  <si>
    <t>44031438818</t>
  </si>
  <si>
    <t>20090609</t>
  </si>
  <si>
    <t>NATALY CAROLINI BASSAN</t>
  </si>
  <si>
    <t>41949543862</t>
  </si>
  <si>
    <t>19930525</t>
  </si>
  <si>
    <t>JOYCE BANHADO DA ROCHA GALHARDO</t>
  </si>
  <si>
    <t>15327143600</t>
  </si>
  <si>
    <t>20151203</t>
  </si>
  <si>
    <t>SOFIA ASS MENDES</t>
  </si>
  <si>
    <t>16210322808</t>
  </si>
  <si>
    <t>19730816</t>
  </si>
  <si>
    <t>BEATRIZ APARECIDA PEREIRA ASS MENDES</t>
  </si>
  <si>
    <t>20160730</t>
  </si>
  <si>
    <t>FRANCISCO GOMES REGINATO</t>
  </si>
  <si>
    <t>30149005830</t>
  </si>
  <si>
    <t>19810819</t>
  </si>
  <si>
    <t>GABRIELA GOMES REGINATO</t>
  </si>
  <si>
    <t>20121215</t>
  </si>
  <si>
    <t>ARTHUR MARTINS SANTANA</t>
  </si>
  <si>
    <t>20150114</t>
  </si>
  <si>
    <t>BERNARDO MARTINS SANTANA</t>
  </si>
  <si>
    <t>35940584845</t>
  </si>
  <si>
    <t>19860519</t>
  </si>
  <si>
    <t>JULIANA SILVA MARTINS SANTANA</t>
  </si>
  <si>
    <t>20160708</t>
  </si>
  <si>
    <t>EDUARDO BODNAR SAADI</t>
  </si>
  <si>
    <t>31285566874</t>
  </si>
  <si>
    <t>19830316</t>
  </si>
  <si>
    <t>JOAO BODNAR SILVA</t>
  </si>
  <si>
    <t>20161023</t>
  </si>
  <si>
    <t>ANA LUIZA DIAS DE SOUZA</t>
  </si>
  <si>
    <t>19911209</t>
  </si>
  <si>
    <t>38973694863</t>
  </si>
  <si>
    <t>19900708</t>
  </si>
  <si>
    <t>THAMIE TUSI FONTES CREMONESI</t>
  </si>
  <si>
    <t>39046448827</t>
  </si>
  <si>
    <t>19970125</t>
  </si>
  <si>
    <t>PEDRO HENRIQUE MACIEL FIALHO</t>
  </si>
  <si>
    <t>87522276691</t>
  </si>
  <si>
    <t>19720222</t>
  </si>
  <si>
    <t>GIOVANA CAMPELO MACIEL FIALHO</t>
  </si>
  <si>
    <t>10</t>
  </si>
  <si>
    <t>06372386305</t>
  </si>
  <si>
    <t>19971009</t>
  </si>
  <si>
    <t>MATEUS DIAS LUCAS DOS SANTOS</t>
  </si>
  <si>
    <t>28230461864</t>
  </si>
  <si>
    <t>19790111</t>
  </si>
  <si>
    <t>ROSANGELA BARBOSA DOS SANTOS</t>
  </si>
  <si>
    <t>11778603840</t>
  </si>
  <si>
    <t>19681110</t>
  </si>
  <si>
    <t>MARIA CECILIA GALORO DE SOUSA LIMA</t>
  </si>
  <si>
    <t>49414927816</t>
  </si>
  <si>
    <t>20030911</t>
  </si>
  <si>
    <t>JULIA GALORO DE SOUSA LIMA</t>
  </si>
  <si>
    <t>49414977830</t>
  </si>
  <si>
    <t>PEDRO GALORO DE SOUSA LIMA</t>
  </si>
  <si>
    <t>49415015861</t>
  </si>
  <si>
    <t>BEATRIZ GALORO DE SOUSA LIMA</t>
  </si>
  <si>
    <t>43202472000130</t>
  </si>
  <si>
    <t>UNIMED PAULISTANA SOC COOP DE TRABALHO MEDICO</t>
  </si>
  <si>
    <t>301337</t>
  </si>
  <si>
    <t>44649812001614</t>
  </si>
  <si>
    <t>INTERMEDICA SISTEMA DE SAUDE SA</t>
  </si>
  <si>
    <t>15680808838</t>
  </si>
  <si>
    <t>19740625</t>
  </si>
  <si>
    <t>VALDILENE ANTONIO DA SILVA MARQUES</t>
  </si>
  <si>
    <t>81006101853</t>
  </si>
  <si>
    <t>19550926</t>
  </si>
  <si>
    <t>WAGNER GONCALVES</t>
  </si>
  <si>
    <t>20160826</t>
  </si>
  <si>
    <t>LIVIA MORAES FREITAS</t>
  </si>
  <si>
    <t>36982949826</t>
  </si>
  <si>
    <t>19880717</t>
  </si>
  <si>
    <t>NILSON GOMES DE FREITAS JUNIOR</t>
  </si>
  <si>
    <t>51502821001139</t>
  </si>
  <si>
    <t>ASSISTENCIA MEDICO HOSPITALAR SAO LUCAS SA</t>
  </si>
  <si>
    <t>469629</t>
  </si>
  <si>
    <t>58119199000151</t>
  </si>
  <si>
    <t>ODONTOPREV SA</t>
  </si>
  <si>
    <t>301949</t>
  </si>
  <si>
    <t>20020409</t>
  </si>
  <si>
    <t>GABRIELA DUTRA GUIMARAES</t>
  </si>
  <si>
    <t>58553797953</t>
  </si>
  <si>
    <t>19681111</t>
  </si>
  <si>
    <t>ENEZITA ADRIANA CE</t>
  </si>
  <si>
    <t>00000390399</t>
  </si>
  <si>
    <t>19800724</t>
  </si>
  <si>
    <t>CLEANE COELHO ALVES</t>
  </si>
  <si>
    <t>20060511</t>
  </si>
  <si>
    <t>LEDNA GONCALVES CARVALHO</t>
  </si>
  <si>
    <t>03439657558</t>
  </si>
  <si>
    <t>19860922</t>
  </si>
  <si>
    <t>JACIENE GONCALVES DE ARAUJO</t>
  </si>
  <si>
    <t>23606861869</t>
  </si>
  <si>
    <t>19960827</t>
  </si>
  <si>
    <t>EMILY STEFFANY BATISTA PRADO</t>
  </si>
  <si>
    <t>60432535500</t>
  </si>
  <si>
    <t>19710131</t>
  </si>
  <si>
    <t>ELIENE BATISTA DO NASCIMENTO</t>
  </si>
  <si>
    <t>02530994552</t>
  </si>
  <si>
    <t>19860405</t>
  </si>
  <si>
    <t>TAILANE VIEIRA DE ARAGAO</t>
  </si>
  <si>
    <t>45765513883</t>
  </si>
  <si>
    <t>20050330</t>
  </si>
  <si>
    <t>ROSINEIDE VIEIRA DE ANDRADE ARAGAO</t>
  </si>
  <si>
    <t>20030207</t>
  </si>
  <si>
    <t>ANDERSON FELIPE DA SILVA SANTOS</t>
  </si>
  <si>
    <t>20151106</t>
  </si>
  <si>
    <t>AUGUSTUS FELIPE DA SILVA SANTOS</t>
  </si>
  <si>
    <t>05914790441</t>
  </si>
  <si>
    <t>19820203</t>
  </si>
  <si>
    <t>MARIA DAS GRACAS DA SILVA SANTOS</t>
  </si>
  <si>
    <t>50655375856</t>
  </si>
  <si>
    <t>20000406</t>
  </si>
  <si>
    <t>ARTHUR FELIPE DA SILVA SANTOS</t>
  </si>
  <si>
    <t>37291753864</t>
  </si>
  <si>
    <t>19890717</t>
  </si>
  <si>
    <t>VALDIRENE DE JESUS LUIZ</t>
  </si>
  <si>
    <t>35363088304</t>
  </si>
  <si>
    <t>19691012</t>
  </si>
  <si>
    <t>SONIA MARIA GONCALVES SOARES</t>
  </si>
  <si>
    <t>32124047876</t>
  </si>
  <si>
    <t>19860625</t>
  </si>
  <si>
    <t>ADRIANA DA SILVA MILANO SANTOS</t>
  </si>
  <si>
    <t>36357949884</t>
  </si>
  <si>
    <t>19880723</t>
  </si>
  <si>
    <t>GEILMA DA SILVA ALMEIDA</t>
  </si>
  <si>
    <t>03236797495</t>
  </si>
  <si>
    <t>19791008</t>
  </si>
  <si>
    <t>GILVANIO CORREIA DOS SANTOS</t>
  </si>
  <si>
    <t>48285766810</t>
  </si>
  <si>
    <t>20040419</t>
  </si>
  <si>
    <t>DIOGO ACIOLI DOS SANTOS</t>
  </si>
  <si>
    <t>20110718</t>
  </si>
  <si>
    <t>DEBORA CARVALHO OLIVEIRA</t>
  </si>
  <si>
    <t>37116836810</t>
  </si>
  <si>
    <t>19890418</t>
  </si>
  <si>
    <t>ISRAELA MARIA SANTOS CARVALHO DE OLIVEIRA</t>
  </si>
  <si>
    <t>20020208</t>
  </si>
  <si>
    <t>VINICIUS VIANA DA SILVA</t>
  </si>
  <si>
    <t>20041126</t>
  </si>
  <si>
    <t>VICTOR VIANA DA SILVA</t>
  </si>
  <si>
    <t>20070911</t>
  </si>
  <si>
    <t>VANESSA MAYRA VIANA DA SILVA</t>
  </si>
  <si>
    <t>81783752491</t>
  </si>
  <si>
    <t>19740907</t>
  </si>
  <si>
    <t>SANDRA MARIA VIANA DA SILVA</t>
  </si>
  <si>
    <t>20040415</t>
  </si>
  <si>
    <t>LARISSA FARIAS GOMES</t>
  </si>
  <si>
    <t>06</t>
  </si>
  <si>
    <t>04347665504</t>
  </si>
  <si>
    <t>19850513</t>
  </si>
  <si>
    <t>MARLI FARIAS DOS SANTOS</t>
  </si>
  <si>
    <t>04348447560</t>
  </si>
  <si>
    <t>19870220</t>
  </si>
  <si>
    <t>VANDELIA ALVES DOS SANTOS</t>
  </si>
  <si>
    <t>48669916827</t>
  </si>
  <si>
    <t>20040511</t>
  </si>
  <si>
    <t>KARINE ALVES OLIVEIRA</t>
  </si>
  <si>
    <t>37491140807</t>
  </si>
  <si>
    <t>19880209</t>
  </si>
  <si>
    <t>FRANCISCA MAITE DE MARIA MARTINS</t>
  </si>
  <si>
    <t>20141222</t>
  </si>
  <si>
    <t>DAVI LUIZ LEAL DA SILVA</t>
  </si>
  <si>
    <t>29673817804</t>
  </si>
  <si>
    <t>19820309</t>
  </si>
  <si>
    <t>ITAMARA DA SILVA LEAL</t>
  </si>
  <si>
    <t>47820753838</t>
  </si>
  <si>
    <t>20081119</t>
  </si>
  <si>
    <t>MARIA FERNANDA LEAL DA SILVA</t>
  </si>
  <si>
    <t>13641595894</t>
  </si>
  <si>
    <t>19710327</t>
  </si>
  <si>
    <t>CRISTIANE HOROSINSKIS</t>
  </si>
  <si>
    <t>45775119835</t>
  </si>
  <si>
    <t>20000921</t>
  </si>
  <si>
    <t>DEIVID HOROSINSKIS SILVA</t>
  </si>
  <si>
    <t>45775145836</t>
  </si>
  <si>
    <t>ANDERSON HOROSINSKIS SILVA</t>
  </si>
  <si>
    <t>20101228</t>
  </si>
  <si>
    <t>DEYSE KELLI DA SILVA SANTOS</t>
  </si>
  <si>
    <t>07331601407</t>
  </si>
  <si>
    <t>19870116</t>
  </si>
  <si>
    <t>CLEIDE FERREIRA DA SILVA SANTOS</t>
  </si>
  <si>
    <t>18547619860</t>
  </si>
  <si>
    <t>19720216</t>
  </si>
  <si>
    <t>LANI CRISTINA FONSECA DA SILVA SANTOS</t>
  </si>
  <si>
    <t>44899471866</t>
  </si>
  <si>
    <t>19961224</t>
  </si>
  <si>
    <t>MELISSA CRISTINA SANTOS</t>
  </si>
  <si>
    <t>48013396894</t>
  </si>
  <si>
    <t>19990620</t>
  </si>
  <si>
    <t>MATHEUS MACIEL DOS SANTOS</t>
  </si>
  <si>
    <t>01826075348</t>
  </si>
  <si>
    <t>19860425</t>
  </si>
  <si>
    <t>CAMILA COSTA CHAVES</t>
  </si>
  <si>
    <t>20050804</t>
  </si>
  <si>
    <t>TALISSA HELENA DOS SANTOS</t>
  </si>
  <si>
    <t>13613490854</t>
  </si>
  <si>
    <t>19710409</t>
  </si>
  <si>
    <t>SIMONE CONCEICAO PINTO DE OLIVEIRA SANTOS</t>
  </si>
  <si>
    <t>44706582865</t>
  </si>
  <si>
    <t>19971223</t>
  </si>
  <si>
    <t>TAINAN APARECIDO DOS SANTOS</t>
  </si>
  <si>
    <t>08321283411</t>
  </si>
  <si>
    <t>19890809</t>
  </si>
  <si>
    <t>CLECIANA BRITO DOS SANTOS</t>
  </si>
  <si>
    <t>23782398823</t>
  </si>
  <si>
    <t>19960821</t>
  </si>
  <si>
    <t>ALINE FERREIRA DA SILVA</t>
  </si>
  <si>
    <t>42008080803</t>
  </si>
  <si>
    <t>19930425</t>
  </si>
  <si>
    <t>DANIELE MESQUISTA DOS SANTOS</t>
  </si>
  <si>
    <t>20090621</t>
  </si>
  <si>
    <t>GUSTAVO ALVES DOS SANTOS</t>
  </si>
  <si>
    <t>32831776864</t>
  </si>
  <si>
    <t>19850120</t>
  </si>
  <si>
    <t>REGIANE ALVES DE LIMA</t>
  </si>
  <si>
    <t>10042427436</t>
  </si>
  <si>
    <t>19900304</t>
  </si>
  <si>
    <t>FERNANDA FLAVIA LOPES SILVA</t>
  </si>
  <si>
    <t>04315972860</t>
  </si>
  <si>
    <t>19631016</t>
  </si>
  <si>
    <t>DAMIANA PEREIRA ROCHA</t>
  </si>
  <si>
    <t>09063467893</t>
  </si>
  <si>
    <t>19661217</t>
  </si>
  <si>
    <t>ELIANE GODOY DA SILVA</t>
  </si>
  <si>
    <t>31932740899</t>
  </si>
  <si>
    <t>19840718</t>
  </si>
  <si>
    <t>CRISTIANE ARAUJO DOS SANTOS</t>
  </si>
  <si>
    <t>20111217</t>
  </si>
  <si>
    <t>MARIA ROSIVANIA DA SILVA SANTOS</t>
  </si>
  <si>
    <t>09378143423</t>
  </si>
  <si>
    <t>19901215</t>
  </si>
  <si>
    <t>MARIA ISVANIA DA SILVA</t>
  </si>
  <si>
    <t>08930268676</t>
  </si>
  <si>
    <t>19880317</t>
  </si>
  <si>
    <t>FLAVIA SUELLEN MOURAO</t>
  </si>
  <si>
    <t>20051214</t>
  </si>
  <si>
    <t>MARCOS PAULO OLIMPIO DOS SANTOS</t>
  </si>
  <si>
    <t>32470202841</t>
  </si>
  <si>
    <t>19801010</t>
  </si>
  <si>
    <t>ROBERTA CRISTINA TRISTANTE</t>
  </si>
  <si>
    <t>46772052803</t>
  </si>
  <si>
    <t>19970620</t>
  </si>
  <si>
    <t>DEBORA CRISTINA TRISTANTE</t>
  </si>
  <si>
    <t>38146192858</t>
  </si>
  <si>
    <t>19910904</t>
  </si>
  <si>
    <t>EDUARDA COSTA LARA</t>
  </si>
  <si>
    <t>10892722606</t>
  </si>
  <si>
    <t>19910402</t>
  </si>
  <si>
    <t>SIMONE LISBOA CARNEIRO</t>
  </si>
  <si>
    <t>28361374876</t>
  </si>
  <si>
    <t>19671105</t>
  </si>
  <si>
    <t>MARLI DE FREITAS SANTOS</t>
  </si>
  <si>
    <t>38176758876</t>
  </si>
  <si>
    <t>19901020</t>
  </si>
  <si>
    <t>GABRIELA CRISTINA DE FREITAS SANTOS</t>
  </si>
  <si>
    <t>29052547858</t>
  </si>
  <si>
    <t>19770921</t>
  </si>
  <si>
    <t>ROSIMARA DE FATIMA SARTO</t>
  </si>
  <si>
    <t>38835679818</t>
  </si>
  <si>
    <t>19911006</t>
  </si>
  <si>
    <t>ERIC VINICIUS DA SILVA</t>
  </si>
  <si>
    <t>40174890877</t>
  </si>
  <si>
    <t>19930806</t>
  </si>
  <si>
    <t>DENER AUGUSTO DA SILVA</t>
  </si>
  <si>
    <t>11171536496</t>
  </si>
  <si>
    <t>19940917</t>
  </si>
  <si>
    <t>RAYANI ESPINDOLA FERREIRA ARAUJO</t>
  </si>
  <si>
    <t>20030826</t>
  </si>
  <si>
    <t>JOSE JUNIOR JACINTO MARIANO</t>
  </si>
  <si>
    <t>26689594890</t>
  </si>
  <si>
    <t>19720812</t>
  </si>
  <si>
    <t>CINTIA JACINTO MARIANO</t>
  </si>
  <si>
    <t>43311138848</t>
  </si>
  <si>
    <t>19941018</t>
  </si>
  <si>
    <t>ELIAB DE SOUZA REIS</t>
  </si>
  <si>
    <t>50426876881</t>
  </si>
  <si>
    <t>19990713</t>
  </si>
  <si>
    <t>ELLEN SOUZA REIS</t>
  </si>
  <si>
    <t>16870167800</t>
  </si>
  <si>
    <t>19731115</t>
  </si>
  <si>
    <t>FERNANDA FERREIRA DE SOUZA</t>
  </si>
  <si>
    <t>43021602843</t>
  </si>
  <si>
    <t>20100304</t>
  </si>
  <si>
    <t>ISADORA FERREIRA RIBEIRO DE SOUZA</t>
  </si>
  <si>
    <t>47187860889</t>
  </si>
  <si>
    <t>20130702</t>
  </si>
  <si>
    <t>LAURA FERREIRA RIBEIRO DE SOUZA</t>
  </si>
  <si>
    <t>44503713809</t>
  </si>
  <si>
    <t>20091104</t>
  </si>
  <si>
    <t>PIETRO BAROSSI</t>
  </si>
  <si>
    <t>22843163870</t>
  </si>
  <si>
    <t>19950207</t>
  </si>
  <si>
    <t>PAMELA DA SILVA PEREIRA</t>
  </si>
  <si>
    <t>46929443824</t>
  </si>
  <si>
    <t>JENIFFER DA SILVA FERREIRA</t>
  </si>
  <si>
    <t>89584961691</t>
  </si>
  <si>
    <t>19700320</t>
  </si>
  <si>
    <t>NELSON FERREIRA</t>
  </si>
  <si>
    <t>20100909</t>
  </si>
  <si>
    <t>PEDRO HENRIQUE COSTA</t>
  </si>
  <si>
    <t>19577947808</t>
  </si>
  <si>
    <t>19780314</t>
  </si>
  <si>
    <t>ERICLEIDE VITAL DA SILVA</t>
  </si>
  <si>
    <t>42564011802</t>
  </si>
  <si>
    <t>19951016</t>
  </si>
  <si>
    <t>ARIANA KETLEEN SILVA COSTA</t>
  </si>
  <si>
    <t>46414424870</t>
  </si>
  <si>
    <t>19990902</t>
  </si>
  <si>
    <t>ANA BEATRIZ SILVA COSTA</t>
  </si>
  <si>
    <t>20020121</t>
  </si>
  <si>
    <t>LARA DE OLIVEIRA DA SILVA</t>
  </si>
  <si>
    <t>11157688837</t>
  </si>
  <si>
    <t>19690606</t>
  </si>
  <si>
    <t>ELISABETE DE OLIVEIRA DA SILVA</t>
  </si>
  <si>
    <t>45229944862</t>
  </si>
  <si>
    <t>19960227</t>
  </si>
  <si>
    <t>MATHEUS DE OLIVEIRA DA SILVA</t>
  </si>
  <si>
    <t>20000612</t>
  </si>
  <si>
    <t>LORENA STEFANIO VIEIRA</t>
  </si>
  <si>
    <t>03355593877</t>
  </si>
  <si>
    <t>19610513</t>
  </si>
  <si>
    <t>LUIZ CARLOS VIEIRA</t>
  </si>
  <si>
    <t>20000111</t>
  </si>
  <si>
    <t>STEPHANIE CIRIACO DA SILVA</t>
  </si>
  <si>
    <t>20021105</t>
  </si>
  <si>
    <t>LORRANE CIRIACO DA SILVA</t>
  </si>
  <si>
    <t>28688337802</t>
  </si>
  <si>
    <t>19781211</t>
  </si>
  <si>
    <t>ROZELI NUNES CIRIACO</t>
  </si>
  <si>
    <t>44250634817</t>
  </si>
  <si>
    <t>19950605</t>
  </si>
  <si>
    <t>RODRIGO NUNES CIRIACO</t>
  </si>
  <si>
    <t>20000515</t>
  </si>
  <si>
    <t>THIAGO SANTOS DA SILVA</t>
  </si>
  <si>
    <t>14239685818</t>
  </si>
  <si>
    <t>19660922</t>
  </si>
  <si>
    <t>MARIA DE LURDES SOUZA DOS SANTOS</t>
  </si>
  <si>
    <t>44228881882</t>
  </si>
  <si>
    <t>19950814</t>
  </si>
  <si>
    <t>LUCAS SANTOS DA SILVA</t>
  </si>
  <si>
    <t>47157105870</t>
  </si>
  <si>
    <t>19971028</t>
  </si>
  <si>
    <t>HIGOR SANTOS SILVA</t>
  </si>
  <si>
    <t>19995930811</t>
  </si>
  <si>
    <t>19740602</t>
  </si>
  <si>
    <t>MARINALVA FERREIRA DE SOUZA</t>
  </si>
  <si>
    <t>48941046874</t>
  </si>
  <si>
    <t>20000421</t>
  </si>
  <si>
    <t>LARISSA SOUZA RODRIGUES DIAS</t>
  </si>
  <si>
    <t>20020518</t>
  </si>
  <si>
    <t>EDUARDA ANDRADE FERREIRA</t>
  </si>
  <si>
    <t>20060101</t>
  </si>
  <si>
    <t>ALESSANDRO ANTONIO FERREIRA JUNIOR</t>
  </si>
  <si>
    <t>28426344895</t>
  </si>
  <si>
    <t>19810130</t>
  </si>
  <si>
    <t>JAQUELINE SIQUEIRA ANDRADE FERREIRA</t>
  </si>
  <si>
    <t>13455721826</t>
  </si>
  <si>
    <t>19710919</t>
  </si>
  <si>
    <t>LUIS FERNANDO DA SILVA MACEDO</t>
  </si>
  <si>
    <t>48884299870</t>
  </si>
  <si>
    <t>20031026</t>
  </si>
  <si>
    <t>BEATRIZ MENDES MACEDO</t>
  </si>
  <si>
    <t>26424049860</t>
  </si>
  <si>
    <t>19771128</t>
  </si>
  <si>
    <t>SIMONE VICENTINI PITORI</t>
  </si>
  <si>
    <t>09999795315</t>
  </si>
  <si>
    <t>19531227</t>
  </si>
  <si>
    <t>JOSE AVELAR PIAUI</t>
  </si>
  <si>
    <t>33738124888</t>
  </si>
  <si>
    <t>19840913</t>
  </si>
  <si>
    <t>DANIELA DA GUIA CARVALHO PIAUI SOUZA</t>
  </si>
  <si>
    <t>20011024</t>
  </si>
  <si>
    <t>DOMINICK RODRIGUES DOS SANTOS</t>
  </si>
  <si>
    <t>28063144880</t>
  </si>
  <si>
    <t>19780830</t>
  </si>
  <si>
    <t>GEILDA RODRIGUES DA SILVA</t>
  </si>
  <si>
    <t>20110211</t>
  </si>
  <si>
    <t>ALINE PEREIRA CHAVES</t>
  </si>
  <si>
    <t>29907344818</t>
  </si>
  <si>
    <t>19820727</t>
  </si>
  <si>
    <t>EDILEUSA PEREIRA CHAVES</t>
  </si>
  <si>
    <t>13755341816</t>
  </si>
  <si>
    <t>19720508</t>
  </si>
  <si>
    <t>SIDINEIA DIAS DA SILVA AMARAL</t>
  </si>
  <si>
    <t>46696791809</t>
  </si>
  <si>
    <t>19980614</t>
  </si>
  <si>
    <t>THAMIRES SILVA AMARAL</t>
  </si>
  <si>
    <t>51061351840</t>
  </si>
  <si>
    <t>20011128</t>
  </si>
  <si>
    <t>JHONATA SILVA AMARAL</t>
  </si>
  <si>
    <t>20140910</t>
  </si>
  <si>
    <t>GEOVANA VICTORIA GONCALVES DOS SANTOS RODRIGUES PEREIRA</t>
  </si>
  <si>
    <t>35538111881</t>
  </si>
  <si>
    <t>19920920</t>
  </si>
  <si>
    <t>SUZANA GONCALVES DOS SANTOS</t>
  </si>
  <si>
    <t>47855005811</t>
  </si>
  <si>
    <t>19981114</t>
  </si>
  <si>
    <t>VICTOR RODRIGUES PEREIRA</t>
  </si>
  <si>
    <t>20030425</t>
  </si>
  <si>
    <t>GIOVANNA KAROLINE CARNEIRO DOS SANTOS</t>
  </si>
  <si>
    <t>34950630210</t>
  </si>
  <si>
    <t>19680902</t>
  </si>
  <si>
    <t>NEIVA CARNEIRO DOS SANTOS</t>
  </si>
  <si>
    <t>20091202</t>
  </si>
  <si>
    <t>ANNA LAURA DA SILVA CHAGAS</t>
  </si>
  <si>
    <t>26490109832</t>
  </si>
  <si>
    <t>19770531</t>
  </si>
  <si>
    <t>CHEILA CRISTINA DA SILVA</t>
  </si>
  <si>
    <t>48470253859</t>
  </si>
  <si>
    <t>19991213</t>
  </si>
  <si>
    <t>WILLIAN DA SILVA CHAGAS</t>
  </si>
  <si>
    <t>22223387861</t>
  </si>
  <si>
    <t>19820603</t>
  </si>
  <si>
    <t>MARINA LILIAN PEREIRA</t>
  </si>
  <si>
    <t>42370028882</t>
  </si>
  <si>
    <t>20001101</t>
  </si>
  <si>
    <t>MATHEUS FELIPE PEREIRA ALVES</t>
  </si>
  <si>
    <t>42370029854</t>
  </si>
  <si>
    <t>20091117</t>
  </si>
  <si>
    <t>SAMUEL PEREIRA ALVES</t>
  </si>
  <si>
    <t>19991214</t>
  </si>
  <si>
    <t>KENIA DA COSTA OLIVEIRA</t>
  </si>
  <si>
    <t>45812593809</t>
  </si>
  <si>
    <t>19970417</t>
  </si>
  <si>
    <t>REYLANE COSTA OLIVEIRA</t>
  </si>
  <si>
    <t>20050127</t>
  </si>
  <si>
    <t>LUIZA VARGAS</t>
  </si>
  <si>
    <t>14799011804</t>
  </si>
  <si>
    <t>19730628</t>
  </si>
  <si>
    <t>MARILIRDES ROSALINA DOS SANTOS</t>
  </si>
  <si>
    <t>20090218</t>
  </si>
  <si>
    <t>ISABELA RODRIGUES DA SILVA</t>
  </si>
  <si>
    <t>30609932896</t>
  </si>
  <si>
    <t>19821108</t>
  </si>
  <si>
    <t>DANIELA RODRIGUES DE OLIVEIRA</t>
  </si>
  <si>
    <t>20030617</t>
  </si>
  <si>
    <t>FLAVIO MARTINS DE SOUSA JUNIOR</t>
  </si>
  <si>
    <t>45637144885</t>
  </si>
  <si>
    <t>19960620</t>
  </si>
  <si>
    <t>DOUGLAS MARTINS DE SOUZA</t>
  </si>
  <si>
    <t>46531437812</t>
  </si>
  <si>
    <t>19980310</t>
  </si>
  <si>
    <t>GUILHERME MARTINS DE SOUZA</t>
  </si>
  <si>
    <t>43349674852</t>
  </si>
  <si>
    <t>20070910</t>
  </si>
  <si>
    <t>MATHEUS MAURO GONCALVES DE OLIVEIRA</t>
  </si>
  <si>
    <t>48889639830</t>
  </si>
  <si>
    <t>20140331</t>
  </si>
  <si>
    <t>DAVI GONCALVES DE OLIVEIRA</t>
  </si>
  <si>
    <t>98027115515</t>
  </si>
  <si>
    <t>19790311</t>
  </si>
  <si>
    <t>FLAVIANA DA COSTA RIBEIRO</t>
  </si>
  <si>
    <t>30735235880</t>
  </si>
  <si>
    <t>19750825</t>
  </si>
  <si>
    <t>THAIS CANTON DE O PUBLIO</t>
  </si>
  <si>
    <t>46448740864</t>
  </si>
  <si>
    <t>19980724</t>
  </si>
  <si>
    <t>FELIPE CANTON DE O PUBLIO</t>
  </si>
  <si>
    <t>25391512808</t>
  </si>
  <si>
    <t>19760309</t>
  </si>
  <si>
    <t>EVA VIVIANE BATISTA</t>
  </si>
  <si>
    <t>43008185843</t>
  </si>
  <si>
    <t>19980718</t>
  </si>
  <si>
    <t>BRENDON HONORATO DA SILVA</t>
  </si>
  <si>
    <t>43350614809</t>
  </si>
  <si>
    <t>20080530</t>
  </si>
  <si>
    <t>PABLO HONORATO DA SILVA</t>
  </si>
  <si>
    <t>21632228882</t>
  </si>
  <si>
    <t>19651003</t>
  </si>
  <si>
    <t>ADNA PIRES BOMFIM</t>
  </si>
  <si>
    <t>42151479803</t>
  </si>
  <si>
    <t>19990219</t>
  </si>
  <si>
    <t>LUCAS BOMFIM FRANCA</t>
  </si>
  <si>
    <t>43425660870</t>
  </si>
  <si>
    <t>19951113</t>
  </si>
  <si>
    <t>RENAN HENRIQUE BONFIM FRANCA</t>
  </si>
  <si>
    <t>44425077830</t>
  </si>
  <si>
    <t>20010222</t>
  </si>
  <si>
    <t>LUCAS DE SOUZA SILVA</t>
  </si>
  <si>
    <t>28148670838</t>
  </si>
  <si>
    <t>19800620</t>
  </si>
  <si>
    <t>ANDREIA TORRES ESPINOSA</t>
  </si>
  <si>
    <t>20040820</t>
  </si>
  <si>
    <t>OTAVIO MARQUES GUIMARAES</t>
  </si>
  <si>
    <t>11390945804</t>
  </si>
  <si>
    <t>19720107</t>
  </si>
  <si>
    <t>MARIA TANIA FERREIRA DOS SANTOS</t>
  </si>
  <si>
    <t>46134303801</t>
  </si>
  <si>
    <t>19990602</t>
  </si>
  <si>
    <t>KAIQUE NATAN MARTINS</t>
  </si>
  <si>
    <t>29742018812</t>
  </si>
  <si>
    <t>19810430</t>
  </si>
  <si>
    <t>SILVIA CRISTINA MACHADO</t>
  </si>
  <si>
    <t>49568498850</t>
  </si>
  <si>
    <t>20130208</t>
  </si>
  <si>
    <t>VITOR MACHADO TOME</t>
  </si>
  <si>
    <t>35569521810</t>
  </si>
  <si>
    <t>19821112</t>
  </si>
  <si>
    <t>PAULA REGINA DOS SANTOS FERREIRA DE LIMA</t>
  </si>
  <si>
    <t>46377322801</t>
  </si>
  <si>
    <t>20020628</t>
  </si>
  <si>
    <t>RAFAELLA DOS SANTOS FERREIRA LIMA</t>
  </si>
  <si>
    <t>46377342829</t>
  </si>
  <si>
    <t>20100530</t>
  </si>
  <si>
    <t>RENAN FERREIRA PACIFICO LIMA</t>
  </si>
  <si>
    <t>20050227</t>
  </si>
  <si>
    <t>MARIA VITORIA SANTARELLO COSTA</t>
  </si>
  <si>
    <t>20110715</t>
  </si>
  <si>
    <t>PAULO HENRIQUE SANTARELLO COSTA</t>
  </si>
  <si>
    <t>36007040879</t>
  </si>
  <si>
    <t>19860203</t>
  </si>
  <si>
    <t>KELLY SANTARELLO DA SILVA</t>
  </si>
  <si>
    <t>39322608803</t>
  </si>
  <si>
    <t>20060625</t>
  </si>
  <si>
    <t>GIOVANA PEREIRA DE SOUZA</t>
  </si>
  <si>
    <t>20000619</t>
  </si>
  <si>
    <t>SUZAN APARECIDA</t>
  </si>
  <si>
    <t>ALANA DOS SANTOS FERNANDES</t>
  </si>
  <si>
    <t>11057354864</t>
  </si>
  <si>
    <t>19681022</t>
  </si>
  <si>
    <t>VANILDE RITA DOS SANTOS</t>
  </si>
  <si>
    <t>70437904415</t>
  </si>
  <si>
    <t>19650628</t>
  </si>
  <si>
    <t>MARIA LENI DE MELO PEREIRA</t>
  </si>
  <si>
    <t>20060818</t>
  </si>
  <si>
    <t>SAMUEL VITOR MENDES LEAL</t>
  </si>
  <si>
    <t>20071102</t>
  </si>
  <si>
    <t>MATHEUS VICTOR MENDES LEAL</t>
  </si>
  <si>
    <t>35076045824</t>
  </si>
  <si>
    <t>19851226</t>
  </si>
  <si>
    <t>VIVIANE CRISTINA MENDES LEAL</t>
  </si>
  <si>
    <t>20100627</t>
  </si>
  <si>
    <t>ISABELLA DE OLIVEIRA PAGOTO</t>
  </si>
  <si>
    <t>32435018819</t>
  </si>
  <si>
    <t>19821123</t>
  </si>
  <si>
    <t>FABIANA PIRES DE ALMEIDA</t>
  </si>
  <si>
    <t>12762815606</t>
  </si>
  <si>
    <t>19950206</t>
  </si>
  <si>
    <t>JAKELINE CRYSTINA DOS SANTOS SILVA</t>
  </si>
  <si>
    <t>20160831</t>
  </si>
  <si>
    <t>ANA LUIZA DE OLIVEIRA SANTOS</t>
  </si>
  <si>
    <t>38044197800</t>
  </si>
  <si>
    <t>19890403</t>
  </si>
  <si>
    <t>RAYANNE RODRIGUES DE OLIVEIRA SANTOS</t>
  </si>
  <si>
    <t>08</t>
  </si>
  <si>
    <t>20070601</t>
  </si>
  <si>
    <t>JULIA SUTIL REIS</t>
  </si>
  <si>
    <t>26124415810</t>
  </si>
  <si>
    <t>19770712</t>
  </si>
  <si>
    <t>LENIR SUTIL REIS</t>
  </si>
  <si>
    <t>47063499823</t>
  </si>
  <si>
    <t>19970829</t>
  </si>
  <si>
    <t>VICTOR SUTIL GUIMARAES DE SOUZA</t>
  </si>
  <si>
    <t>15195815801</t>
  </si>
  <si>
    <t>19740111</t>
  </si>
  <si>
    <t>ODAIR APARECIDO TEIXEIRA</t>
  </si>
  <si>
    <t>28815710850</t>
  </si>
  <si>
    <t>19820106</t>
  </si>
  <si>
    <t>VANESSA LOURENCO MENDES PIO</t>
  </si>
  <si>
    <t>49289393874</t>
  </si>
  <si>
    <t>20140604</t>
  </si>
  <si>
    <t>JULIA LOURENCO PIO</t>
  </si>
  <si>
    <t>20120208</t>
  </si>
  <si>
    <t>ERIC ARAO SILVA</t>
  </si>
  <si>
    <t>26667788862</t>
  </si>
  <si>
    <t>19730219</t>
  </si>
  <si>
    <t>MARCO AURELIO DA SILVA</t>
  </si>
  <si>
    <t>43205517881</t>
  </si>
  <si>
    <t>20001208</t>
  </si>
  <si>
    <t>BEATRIZ ARAO SILVA</t>
  </si>
  <si>
    <t>27032613810</t>
  </si>
  <si>
    <t>19800614</t>
  </si>
  <si>
    <t>JEFFERSON BAISSI</t>
  </si>
  <si>
    <t>20060210</t>
  </si>
  <si>
    <t>THIAGO DO NASCIMENTO LIRA</t>
  </si>
  <si>
    <t>20070614</t>
  </si>
  <si>
    <t>GABRIEL HENRIQUE DO NASCIMENTO LIRA</t>
  </si>
  <si>
    <t>46480598830</t>
  </si>
  <si>
    <t>19961208</t>
  </si>
  <si>
    <t>YARA DO NASCIMENTO REIS</t>
  </si>
  <si>
    <t>44975005867</t>
  </si>
  <si>
    <t>19960125</t>
  </si>
  <si>
    <t>GABRIEL RODRIGUES DA SILVA</t>
  </si>
  <si>
    <t>20070119</t>
  </si>
  <si>
    <t>KEMILLY PEREIRA DA SILVA</t>
  </si>
  <si>
    <t>34027079850</t>
  </si>
  <si>
    <t>19800510</t>
  </si>
  <si>
    <t>ROBERTA PEREIRA DA SILVA</t>
  </si>
  <si>
    <t>45717830866</t>
  </si>
  <si>
    <t>19980725</t>
  </si>
  <si>
    <t>KETLLY PEREIRA DA SILVA</t>
  </si>
  <si>
    <t>16369312860</t>
  </si>
  <si>
    <t>19760717</t>
  </si>
  <si>
    <t>ALEXANDRE AMADOR</t>
  </si>
  <si>
    <t>46653196852</t>
  </si>
  <si>
    <t>19970825</t>
  </si>
  <si>
    <t>JULIANA REGINA DE SOUZA</t>
  </si>
  <si>
    <t>20040616</t>
  </si>
  <si>
    <t>MAICON DOS SANTOS SOARES</t>
  </si>
  <si>
    <t>29673263809</t>
  </si>
  <si>
    <t>19780328</t>
  </si>
  <si>
    <t>ELISABETE DO NASCIMENTO ALVES</t>
  </si>
  <si>
    <t>20060531</t>
  </si>
  <si>
    <t>NATAN FERREIRA UCHOA CANDIDO</t>
  </si>
  <si>
    <t>44281790306</t>
  </si>
  <si>
    <t>19710519</t>
  </si>
  <si>
    <t>FRANSUILO UCHOA CANDIDO</t>
  </si>
  <si>
    <t>49021667800</t>
  </si>
  <si>
    <t>19990830</t>
  </si>
  <si>
    <t>FRANCIELE FERREIRA UCHOA</t>
  </si>
  <si>
    <t>22347284878</t>
  </si>
  <si>
    <t>19820417</t>
  </si>
  <si>
    <t>ELIANE REGINA DOS SANTOS</t>
  </si>
  <si>
    <t>45928102879</t>
  </si>
  <si>
    <t>20060721</t>
  </si>
  <si>
    <t>MARIA EDUARDA DOS SANTOS COELHO</t>
  </si>
  <si>
    <t>45928147899</t>
  </si>
  <si>
    <t>20000915</t>
  </si>
  <si>
    <t>ANA CAROLINA DOS SANTOS COELHO</t>
  </si>
  <si>
    <t>20080415</t>
  </si>
  <si>
    <t>VINICIUS MESQUITA DOS SANTOS</t>
  </si>
  <si>
    <t>31041836864</t>
  </si>
  <si>
    <t>19820722</t>
  </si>
  <si>
    <t>ADRIANO ANTONIO DOS SANTOS</t>
  </si>
  <si>
    <t>31854657844</t>
  </si>
  <si>
    <t>19820804</t>
  </si>
  <si>
    <t>MARCELO BONFIM DE BRITO</t>
  </si>
  <si>
    <t>20050418</t>
  </si>
  <si>
    <t>BRUNO GABRIEL ALVES MAGALHAES</t>
  </si>
  <si>
    <t>20070221</t>
  </si>
  <si>
    <t>GIOVANNI MATHEUS ALVES MAGALHA</t>
  </si>
  <si>
    <t>31368002811</t>
  </si>
  <si>
    <t>19820825</t>
  </si>
  <si>
    <t>ANA MARIA ALVES DA SILVA</t>
  </si>
  <si>
    <t>20000205</t>
  </si>
  <si>
    <t>DOUGLAS DUARTE COUTINHO</t>
  </si>
  <si>
    <t>20040712</t>
  </si>
  <si>
    <t>BRUNA VITORIA DUARTE COUTINHO</t>
  </si>
  <si>
    <t>11055478841</t>
  </si>
  <si>
    <t>19690922</t>
  </si>
  <si>
    <t>ILSON ROCHA COUTINHO</t>
  </si>
  <si>
    <t>20080428</t>
  </si>
  <si>
    <t>GABRIEL FERNANDO SOARES</t>
  </si>
  <si>
    <t>28171458874</t>
  </si>
  <si>
    <t>19810406</t>
  </si>
  <si>
    <t>ELEN KELLER MARQUES PEREIRA SOARES</t>
  </si>
  <si>
    <t>48437138809</t>
  </si>
  <si>
    <t>20030220</t>
  </si>
  <si>
    <t>ANA BEATRIZ MARQUES SOARES</t>
  </si>
  <si>
    <t>34138732888</t>
  </si>
  <si>
    <t>19850601</t>
  </si>
  <si>
    <t>ADRIANA GOMES BARBOSA DOS SANTOS</t>
  </si>
  <si>
    <t>20121203</t>
  </si>
  <si>
    <t>ARTHUR HENRIQUE DOGANI BRABO</t>
  </si>
  <si>
    <t>33588070885</t>
  </si>
  <si>
    <t>19840705</t>
  </si>
  <si>
    <t>GIULIENE DOGANI DE SOUZA BRABO</t>
  </si>
  <si>
    <t>29421607805</t>
  </si>
  <si>
    <t>CLAUDIA REGINA DA SILVA INACIO</t>
  </si>
  <si>
    <t>46884663820</t>
  </si>
  <si>
    <t>20090905</t>
  </si>
  <si>
    <t>ANA LAURA DA SILVA INACIO</t>
  </si>
  <si>
    <t>20100227</t>
  </si>
  <si>
    <t>VINICIUS DOS SANTOS ANDRADE</t>
  </si>
  <si>
    <t>27373341870</t>
  </si>
  <si>
    <t>19800619</t>
  </si>
  <si>
    <t>JADSON DOS SANTOS ANDRADE</t>
  </si>
  <si>
    <t>44892502820</t>
  </si>
  <si>
    <t>20111112</t>
  </si>
  <si>
    <t>MARIA EDUARDA VIEIRA DIAS</t>
  </si>
  <si>
    <t>35855102807</t>
  </si>
  <si>
    <t>19830112</t>
  </si>
  <si>
    <t>BENEDITA MIRLEI SANTOS CAMARGO</t>
  </si>
  <si>
    <t>50273069896</t>
  </si>
  <si>
    <t>20010511</t>
  </si>
  <si>
    <t>MILENA DOS SANTOS CAMARGO</t>
  </si>
  <si>
    <t>21912086816</t>
  </si>
  <si>
    <t>19810106</t>
  </si>
  <si>
    <t>MICHELE PERLINE MANZATTO</t>
  </si>
  <si>
    <t>48402873847</t>
  </si>
  <si>
    <t>20070831</t>
  </si>
  <si>
    <t>MATHEUS AUGUSTO MANZATTO</t>
  </si>
  <si>
    <t>48402919855</t>
  </si>
  <si>
    <t>GABRIELA MANZATTO</t>
  </si>
  <si>
    <t>48402945856</t>
  </si>
  <si>
    <t>20020226</t>
  </si>
  <si>
    <t>THAINA MANZATTO</t>
  </si>
  <si>
    <t>34742446801</t>
  </si>
  <si>
    <t>19851013</t>
  </si>
  <si>
    <t>CINTIA DO NASCIMENTO CORDEIRO</t>
  </si>
  <si>
    <t>45663127801</t>
  </si>
  <si>
    <t>19881022</t>
  </si>
  <si>
    <t>FERNANDO LIMA DA SILVA</t>
  </si>
  <si>
    <t>03004211505</t>
  </si>
  <si>
    <t>19870906</t>
  </si>
  <si>
    <t>HILMARA SOUZA CARDOSO</t>
  </si>
  <si>
    <t>03427656802</t>
  </si>
  <si>
    <t>19610216</t>
  </si>
  <si>
    <t>VALMIRO DE PAIVA</t>
  </si>
  <si>
    <t>46912429882</t>
  </si>
  <si>
    <t>20000830</t>
  </si>
  <si>
    <t>THAINA CARVALHO DE PAIVA</t>
  </si>
  <si>
    <t>20070420</t>
  </si>
  <si>
    <t>GABRIEL MARQUES DOS SANTOS</t>
  </si>
  <si>
    <t>20110102</t>
  </si>
  <si>
    <t>ALICE MARQUES DOS SANTOS</t>
  </si>
  <si>
    <t>22661028854</t>
  </si>
  <si>
    <t>19831024</t>
  </si>
  <si>
    <t>PRISCILA MARIANA GOMES COELHO</t>
  </si>
  <si>
    <t>20080301</t>
  </si>
  <si>
    <t>NICOLLY CAROLINE DOS SANTOS</t>
  </si>
  <si>
    <t>38030298803</t>
  </si>
  <si>
    <t>19890830</t>
  </si>
  <si>
    <t>NANCI TAMIRES DE REZENDE DOS SANTOS</t>
  </si>
  <si>
    <t>20020709</t>
  </si>
  <si>
    <t>RAISSA DANTAS CORREA</t>
  </si>
  <si>
    <t>30349119805</t>
  </si>
  <si>
    <t>19811102</t>
  </si>
  <si>
    <t>LUCIENE REGINA DANTAS CORREA</t>
  </si>
  <si>
    <t>31474757863</t>
  </si>
  <si>
    <t>19870419</t>
  </si>
  <si>
    <t>TATIANE DAS NEVES FERREIRA</t>
  </si>
  <si>
    <t>46203446807</t>
  </si>
  <si>
    <t>20000812</t>
  </si>
  <si>
    <t>AYLA SABRINE FERREIRA DOS SANTOS</t>
  </si>
  <si>
    <t>20010301</t>
  </si>
  <si>
    <t>JULIENY JORDAO SANTANA DE ABREU</t>
  </si>
  <si>
    <t>30333794869</t>
  </si>
  <si>
    <t>19791005</t>
  </si>
  <si>
    <t>VANESSA JORDAO SANTANA DE ABREU</t>
  </si>
  <si>
    <t>44040488822</t>
  </si>
  <si>
    <t>19951127</t>
  </si>
  <si>
    <t>JONATHAN JORDAO SANTANA DE ABREU</t>
  </si>
  <si>
    <t>48433670875</t>
  </si>
  <si>
    <t>20020625</t>
  </si>
  <si>
    <t>JEFFERSON JORDAO SANT ANA DE ABREU</t>
  </si>
  <si>
    <t>20120427</t>
  </si>
  <si>
    <t>PEDRO EMANUEL BATISTA SANTOS</t>
  </si>
  <si>
    <t>30227067827</t>
  </si>
  <si>
    <t>19810217</t>
  </si>
  <si>
    <t>ADILMA DE OLIVEIRA SANTOS</t>
  </si>
  <si>
    <t>20060731</t>
  </si>
  <si>
    <t>ARTHUR FREIRE MARANGONI</t>
  </si>
  <si>
    <t>01614353352</t>
  </si>
  <si>
    <t>19810806</t>
  </si>
  <si>
    <t>DANIELE GIRLENE LOPES FREIRE</t>
  </si>
  <si>
    <t>20051105</t>
  </si>
  <si>
    <t>MATHEUS FELISBERTO PRATA</t>
  </si>
  <si>
    <t>32087927863</t>
  </si>
  <si>
    <t>19831216</t>
  </si>
  <si>
    <t>ERIKA FELISBERTO SANTANA</t>
  </si>
  <si>
    <t>JOAO LUCCAS DE PAULA PEDROSO</t>
  </si>
  <si>
    <t>28609931854</t>
  </si>
  <si>
    <t>19791218</t>
  </si>
  <si>
    <t>EDILENE FELIX DE PAULA</t>
  </si>
  <si>
    <t>20141108</t>
  </si>
  <si>
    <t>MARIAH ALVES FRANCISCO</t>
  </si>
  <si>
    <t>21570593850</t>
  </si>
  <si>
    <t>19800320</t>
  </si>
  <si>
    <t>JOSE LUIZ FRANCISCO JUNIOR</t>
  </si>
  <si>
    <t>29146128859</t>
  </si>
  <si>
    <t>19800229</t>
  </si>
  <si>
    <t>RICARDO DOS SANTOS SA TELES</t>
  </si>
  <si>
    <t>43274581801</t>
  </si>
  <si>
    <t>20030316</t>
  </si>
  <si>
    <t>YASMIN COSTA SA TELES</t>
  </si>
  <si>
    <t>20020217</t>
  </si>
  <si>
    <t>DIOGO ARRUDA DE CARVALHO</t>
  </si>
  <si>
    <t>20060905</t>
  </si>
  <si>
    <t>ANA CAROLINE ARRUDA CARVALHO</t>
  </si>
  <si>
    <t>31514540894</t>
  </si>
  <si>
    <t>19801119</t>
  </si>
  <si>
    <t>ALINI MAGALHAES ARRUDA CARVALH</t>
  </si>
  <si>
    <t>46920942810</t>
  </si>
  <si>
    <t>19981003</t>
  </si>
  <si>
    <t>VINICIUS MAGALHAES CARVALHO</t>
  </si>
  <si>
    <t>18079654816</t>
  </si>
  <si>
    <t>19730823</t>
  </si>
  <si>
    <t>RUTH RIBEIRO DE SOUZA MORETAO</t>
  </si>
  <si>
    <t>47493438897</t>
  </si>
  <si>
    <t>20050811</t>
  </si>
  <si>
    <t>ANA KARLA DE SOUZA MORETAO</t>
  </si>
  <si>
    <t>28405423826</t>
  </si>
  <si>
    <t>19800720</t>
  </si>
  <si>
    <t>RONNEY PETERSON SOARES FERREIR</t>
  </si>
  <si>
    <t>20040930</t>
  </si>
  <si>
    <t>JOAO VICTOR BELO DE MENESES</t>
  </si>
  <si>
    <t>31071664808</t>
  </si>
  <si>
    <t>19740423</t>
  </si>
  <si>
    <t>ELIZANGELA BELO DE SOUZA</t>
  </si>
  <si>
    <t>20060819</t>
  </si>
  <si>
    <t>VINICIUS ROSARIO LIMA</t>
  </si>
  <si>
    <t>20090830</t>
  </si>
  <si>
    <t>GABRIELY ROSARIO LIMA</t>
  </si>
  <si>
    <t>20140629</t>
  </si>
  <si>
    <t>MATHEUS ROSARIO LIMA</t>
  </si>
  <si>
    <t>21808531817</t>
  </si>
  <si>
    <t>19800126</t>
  </si>
  <si>
    <t>JOSIANE APARECIDA ROSARIO LIMA</t>
  </si>
  <si>
    <t>22503065830</t>
  </si>
  <si>
    <t>19811117</t>
  </si>
  <si>
    <t>LUCIA REGINA DE CAMPOS ELOIS</t>
  </si>
  <si>
    <t>43159057801</t>
  </si>
  <si>
    <t>20100610</t>
  </si>
  <si>
    <t>EDUARDA DE CAMPOS STANICHESCH</t>
  </si>
  <si>
    <t>23181598828</t>
  </si>
  <si>
    <t>19871125</t>
  </si>
  <si>
    <t>FRANCOIZE DO NASCIMENTO DINIZ</t>
  </si>
  <si>
    <t>20110114</t>
  </si>
  <si>
    <t>SARA DE OLIVEIRA SANTOS</t>
  </si>
  <si>
    <t>02622871619</t>
  </si>
  <si>
    <t>19731027</t>
  </si>
  <si>
    <t>SONIA SANTANA DE OLIVEIRA</t>
  </si>
  <si>
    <t>20050927</t>
  </si>
  <si>
    <t>MORGANA CRISTIANY PEREIRA MARTINS</t>
  </si>
  <si>
    <t>THIAGO RODRIGUES MAMEDE</t>
  </si>
  <si>
    <t>01076940501</t>
  </si>
  <si>
    <t>19810209</t>
  </si>
  <si>
    <t>ADRIANA RODRIGUES MORAES</t>
  </si>
  <si>
    <t>20070315</t>
  </si>
  <si>
    <t>PEDRO HENRIQUE JUSTI SOUZA</t>
  </si>
  <si>
    <t>22337694810</t>
  </si>
  <si>
    <t>19801027</t>
  </si>
  <si>
    <t>ELAINE REGINA JUSTI SOUZA</t>
  </si>
  <si>
    <t>30684097800</t>
  </si>
  <si>
    <t>19770726</t>
  </si>
  <si>
    <t>SANTANA ALMEIDA DA SILVA SANTO</t>
  </si>
  <si>
    <t>46285818860</t>
  </si>
  <si>
    <t>20020719</t>
  </si>
  <si>
    <t>HENRY GABRIEL SILVA SANTOS</t>
  </si>
  <si>
    <t>43166643877</t>
  </si>
  <si>
    <t>19961202</t>
  </si>
  <si>
    <t>GABRIEL BARREIROS POVEDA</t>
  </si>
  <si>
    <t>26939562850</t>
  </si>
  <si>
    <t>19731018</t>
  </si>
  <si>
    <t>VALDINETE DOS SANTOS</t>
  </si>
  <si>
    <t>20101207</t>
  </si>
  <si>
    <t>BIANCA GODOI RABELO</t>
  </si>
  <si>
    <t>22668577896</t>
  </si>
  <si>
    <t>19830317</t>
  </si>
  <si>
    <t>PATRICIA DE GODOI</t>
  </si>
  <si>
    <t>41090833890</t>
  </si>
  <si>
    <t>19930505</t>
  </si>
  <si>
    <t>ALICE DE SENA RIBEIRO</t>
  </si>
  <si>
    <t>20030914</t>
  </si>
  <si>
    <t>EDUARDA GOUVEIA SANTOS</t>
  </si>
  <si>
    <t>20130627</t>
  </si>
  <si>
    <t>GUSTAVO NUNES SANTOS</t>
  </si>
  <si>
    <t>33422089888</t>
  </si>
  <si>
    <t>19811125</t>
  </si>
  <si>
    <t>FERNANDA GOUVEIA MACHADO</t>
  </si>
  <si>
    <t>45080027819</t>
  </si>
  <si>
    <t>19960128</t>
  </si>
  <si>
    <t>JAQUELINE NUNES DA SILVA</t>
  </si>
  <si>
    <t>20090206</t>
  </si>
  <si>
    <t>BRUNA CAROLINE SILVA ALVES</t>
  </si>
  <si>
    <t>30087887851</t>
  </si>
  <si>
    <t>19810105</t>
  </si>
  <si>
    <t>FERNANDA APARECIDA COSTA SILVA</t>
  </si>
  <si>
    <t>46485668829</t>
  </si>
  <si>
    <t>20021001</t>
  </si>
  <si>
    <t>BIANCA KAMILY SILVA ALVES</t>
  </si>
  <si>
    <t>20090825</t>
  </si>
  <si>
    <t>GUILHERME ALVES FONSECA</t>
  </si>
  <si>
    <t>29770986828</t>
  </si>
  <si>
    <t>19770220</t>
  </si>
  <si>
    <t>SUELY REIS DE CARVALHO</t>
  </si>
  <si>
    <t>34126933832</t>
  </si>
  <si>
    <t>19860414</t>
  </si>
  <si>
    <t>WANDERLI DAMIANA SILVA FONSECA DE JESUS FEITOSA</t>
  </si>
  <si>
    <t>45647990886</t>
  </si>
  <si>
    <t>20091113</t>
  </si>
  <si>
    <t>JULIA DE JESUS SILVA</t>
  </si>
  <si>
    <t>49851066826</t>
  </si>
  <si>
    <t>20150524</t>
  </si>
  <si>
    <t>HELOISA DE JESUS VERISSIMO FEITOSA</t>
  </si>
  <si>
    <t>20050618</t>
  </si>
  <si>
    <t>LUIZ MIGUEL PEREIRA DA SILVA</t>
  </si>
  <si>
    <t>39145985812</t>
  </si>
  <si>
    <t>19890115</t>
  </si>
  <si>
    <t>FRANCI REGIA DO NASCIMENTO DINIZ</t>
  </si>
  <si>
    <t>20120220</t>
  </si>
  <si>
    <t>MIGUEL CAMILO ILACE</t>
  </si>
  <si>
    <t>34252454816</t>
  </si>
  <si>
    <t>19841025</t>
  </si>
  <si>
    <t>NATHALIA CAMILO DE LIMA</t>
  </si>
  <si>
    <t>30906188857</t>
  </si>
  <si>
    <t>19791204</t>
  </si>
  <si>
    <t>HOSANA DE FARIA SANTOS FERREIRA</t>
  </si>
  <si>
    <t>44779861810</t>
  </si>
  <si>
    <t>20040317</t>
  </si>
  <si>
    <t>HADASSA NOGUEIRA SANTOS FERREIRA</t>
  </si>
  <si>
    <t>VINICIUS HENRIQUE DE LIMA SILVA</t>
  </si>
  <si>
    <t>20080229</t>
  </si>
  <si>
    <t>MATHEUS HENRIQUE DE LIMA SILVA</t>
  </si>
  <si>
    <t>30549489860</t>
  </si>
  <si>
    <t>19811203</t>
  </si>
  <si>
    <t>EDNA DE LIMA SILVA</t>
  </si>
  <si>
    <t>37517512897</t>
  </si>
  <si>
    <t>19811011</t>
  </si>
  <si>
    <t>PATRICIA DA SILVA ALMEIDA</t>
  </si>
  <si>
    <t>50969850832</t>
  </si>
  <si>
    <t>20010719</t>
  </si>
  <si>
    <t>MIQUEIAS DA SILVA ALMEIDA</t>
  </si>
  <si>
    <t>50969882874</t>
  </si>
  <si>
    <t>20031203</t>
  </si>
  <si>
    <t>MATHEUS DA SILVA ALMEIDA</t>
  </si>
  <si>
    <t>50969934858</t>
  </si>
  <si>
    <t>SAMUEL DA SILVA ALMEIDA</t>
  </si>
  <si>
    <t>37070689861</t>
  </si>
  <si>
    <t>19860305</t>
  </si>
  <si>
    <t>HUDSON DE MOURA ROSSI</t>
  </si>
  <si>
    <t>31454985844</t>
  </si>
  <si>
    <t>19830928</t>
  </si>
  <si>
    <t>SUSIANE BARBOSA SOARES DO NASCIMENTO</t>
  </si>
  <si>
    <t>34028473888</t>
  </si>
  <si>
    <t>19900316</t>
  </si>
  <si>
    <t>JESSICA RODRIGUES DE CAMPOS NOVAES BARBOSA</t>
  </si>
  <si>
    <t>20050726</t>
  </si>
  <si>
    <t>KAIQUE RYAN VIEIRA DA SILVA</t>
  </si>
  <si>
    <t>39772634805</t>
  </si>
  <si>
    <t>19890909</t>
  </si>
  <si>
    <t>RAQUEL BUENO VIEIRA</t>
  </si>
  <si>
    <t>34510453892</t>
  </si>
  <si>
    <t>19870719</t>
  </si>
  <si>
    <t>SAMARA ALEIXO COSTA SANT ANNA</t>
  </si>
  <si>
    <t>29501841898</t>
  </si>
  <si>
    <t>19791104</t>
  </si>
  <si>
    <t>OSVALDO CASTRO MORAIS</t>
  </si>
  <si>
    <t>38693191861</t>
  </si>
  <si>
    <t>19890821</t>
  </si>
  <si>
    <t>LEICE SOUZA MIRANDA</t>
  </si>
  <si>
    <t>48327814800</t>
  </si>
  <si>
    <t>20130203</t>
  </si>
  <si>
    <t>KIMBERLY SOUZA MIRANDA</t>
  </si>
  <si>
    <t>44451566800</t>
  </si>
  <si>
    <t>19950109</t>
  </si>
  <si>
    <t>JOICE DOS SANTOS REIS</t>
  </si>
  <si>
    <t>33881663827</t>
  </si>
  <si>
    <t>19881223</t>
  </si>
  <si>
    <t>KARINA DE ALMEIDA SILVA</t>
  </si>
  <si>
    <t>20080817</t>
  </si>
  <si>
    <t>ARTHUR HENRIQUE AFONSO VELOSO</t>
  </si>
  <si>
    <t>05246487601</t>
  </si>
  <si>
    <t>19820430</t>
  </si>
  <si>
    <t>MARIA ANGELICA FONSECA VELOSO</t>
  </si>
  <si>
    <t>42674621869</t>
  </si>
  <si>
    <t>20050721</t>
  </si>
  <si>
    <t>NICOLAS SANTANA MARTINS</t>
  </si>
  <si>
    <t>20061010</t>
  </si>
  <si>
    <t>GABRIELLI DE ALMEIDA SANCHES</t>
  </si>
  <si>
    <t>20040825</t>
  </si>
  <si>
    <t>KAMILY FERNANDES DOS SANTOS</t>
  </si>
  <si>
    <t>38594173806</t>
  </si>
  <si>
    <t>19890225</t>
  </si>
  <si>
    <t>MAYARA GONCALVES FERNANDES</t>
  </si>
  <si>
    <t>20080608</t>
  </si>
  <si>
    <t>KELVIN RODRIGUES DA SILVA</t>
  </si>
  <si>
    <t>34575569895</t>
  </si>
  <si>
    <t>19840509</t>
  </si>
  <si>
    <t>EVERALDA KARLA DA SILVA</t>
  </si>
  <si>
    <t>47176175845</t>
  </si>
  <si>
    <t>20071117</t>
  </si>
  <si>
    <t>EMILLY VITORIA DA SILVA</t>
  </si>
  <si>
    <t>20040702</t>
  </si>
  <si>
    <t>CAIK LUCAS RIBEIRIO</t>
  </si>
  <si>
    <t>34367247856</t>
  </si>
  <si>
    <t>19850617</t>
  </si>
  <si>
    <t>SABRINA LUCAS DA SILVA</t>
  </si>
  <si>
    <t>20020623</t>
  </si>
  <si>
    <t>MELISSA DOS SANTOS ALMEIDA</t>
  </si>
  <si>
    <t>20080203</t>
  </si>
  <si>
    <t>GUILHERME DOS SANTOS ALMEIDA</t>
  </si>
  <si>
    <t>20110322</t>
  </si>
  <si>
    <t>ISADORA DOS SANTOS ALMEIDA</t>
  </si>
  <si>
    <t>33016775840</t>
  </si>
  <si>
    <t>19860204</t>
  </si>
  <si>
    <t>20061228</t>
  </si>
  <si>
    <t>LETICIA DIAS DOS SANTOS</t>
  </si>
  <si>
    <t>35334254870</t>
  </si>
  <si>
    <t>19880402</t>
  </si>
  <si>
    <t>LEIDIANE CRISTINA DIAS</t>
  </si>
  <si>
    <t>20041224</t>
  </si>
  <si>
    <t>GUSTAVO DE AQUINO LIMA</t>
  </si>
  <si>
    <t>20020912</t>
  </si>
  <si>
    <t>LAYANE DA SILVA MOREIRA</t>
  </si>
  <si>
    <t>20080103</t>
  </si>
  <si>
    <t>LUCAS COSTA ALVES</t>
  </si>
  <si>
    <t>20080408</t>
  </si>
  <si>
    <t>VICTOR HUGO LOPES DO NASCIMENTO</t>
  </si>
  <si>
    <t>20150110</t>
  </si>
  <si>
    <t>ANNA LUIZA LOPES DO NASCIMENTO</t>
  </si>
  <si>
    <t>38170535840</t>
  </si>
  <si>
    <t>19910224</t>
  </si>
  <si>
    <t>JACKELINE ANDREIA LOPES PEREIRA</t>
  </si>
  <si>
    <t>JULIA MARIA GALDINO RIBEIRO</t>
  </si>
  <si>
    <t>34011169838</t>
  </si>
  <si>
    <t>19870320</t>
  </si>
  <si>
    <t>PRISCILA MARIA BATISTA</t>
  </si>
  <si>
    <t>20090112</t>
  </si>
  <si>
    <t>HARRISON JUNIOR VIEIRA GOMES</t>
  </si>
  <si>
    <t>20110415</t>
  </si>
  <si>
    <t>HANNA VITORIA VIEIRA GOMES</t>
  </si>
  <si>
    <t>33861728818</t>
  </si>
  <si>
    <t>19851108</t>
  </si>
  <si>
    <t>MIRANI VIEIRA DA SILVA GOMES</t>
  </si>
  <si>
    <t>20101115</t>
  </si>
  <si>
    <t>MARYNA SCATOLIN ESTEVAO</t>
  </si>
  <si>
    <t>33445652813</t>
  </si>
  <si>
    <t>19840420</t>
  </si>
  <si>
    <t>MONIQUE SCATOLIN DOS SANTOS</t>
  </si>
  <si>
    <t>20121201</t>
  </si>
  <si>
    <t>RYAN RODRIGUES DE SOUZA</t>
  </si>
  <si>
    <t>36134024830</t>
  </si>
  <si>
    <t>19810831</t>
  </si>
  <si>
    <t>DEVANETE RODRIGUES DE SOUZA</t>
  </si>
  <si>
    <t>20061015</t>
  </si>
  <si>
    <t>HENRY GUSTAVO DA SILVA PEREIRA</t>
  </si>
  <si>
    <t>20060904</t>
  </si>
  <si>
    <t>HELLEN LAIS XAVIER PASSOS</t>
  </si>
  <si>
    <t>20120113</t>
  </si>
  <si>
    <t>MANUELLE RAYANE XAVIER PASSOS</t>
  </si>
  <si>
    <t>36229447819</t>
  </si>
  <si>
    <t>19870524</t>
  </si>
  <si>
    <t>CLAUDELANE DE LIMA XAVIER PASSOS</t>
  </si>
  <si>
    <t>38061533880</t>
  </si>
  <si>
    <t>19890912</t>
  </si>
  <si>
    <t>ELIANE APARECIDA NUNES ROCHA</t>
  </si>
  <si>
    <t>51854593870</t>
  </si>
  <si>
    <t>20110521</t>
  </si>
  <si>
    <t>ARTHUR NUNES DE SOUZA</t>
  </si>
  <si>
    <t>32255642816</t>
  </si>
  <si>
    <t>19830710</t>
  </si>
  <si>
    <t>MARCIA HELENA DE LIMA</t>
  </si>
  <si>
    <t>47686513807</t>
  </si>
  <si>
    <t>20120520</t>
  </si>
  <si>
    <t>MARIANY DE LIMA NABAS</t>
  </si>
  <si>
    <t>35198896845</t>
  </si>
  <si>
    <t>19850128</t>
  </si>
  <si>
    <t>TAISA PEREIRA PAIAO SPORNRAFT</t>
  </si>
  <si>
    <t>38792840833</t>
  </si>
  <si>
    <t>19901114</t>
  </si>
  <si>
    <t>CASSIANA CARDOSO MACHADO</t>
  </si>
  <si>
    <t>20110325</t>
  </si>
  <si>
    <t>BEATRIZ NASCIMENTO SANTOS</t>
  </si>
  <si>
    <t>38102622857</t>
  </si>
  <si>
    <t>19900104</t>
  </si>
  <si>
    <t>MARIANA DO NASCIMENTO SANTOS</t>
  </si>
  <si>
    <t>37159174828</t>
  </si>
  <si>
    <t>19881203</t>
  </si>
  <si>
    <t>ELIANE VICENTE DE CARVALHO</t>
  </si>
  <si>
    <t>20060507</t>
  </si>
  <si>
    <t>VITOR DA SILVA EVANGELISTA</t>
  </si>
  <si>
    <t>20090222</t>
  </si>
  <si>
    <t>VINICIUS ETORE EVANGELISTA</t>
  </si>
  <si>
    <t>05250747914</t>
  </si>
  <si>
    <t>19850407</t>
  </si>
  <si>
    <t>ROSANGELA APARECIDA SILVA</t>
  </si>
  <si>
    <t>20090628</t>
  </si>
  <si>
    <t>FABIO MENDES DE SOUSA</t>
  </si>
  <si>
    <t>37931254830</t>
  </si>
  <si>
    <t>19900311</t>
  </si>
  <si>
    <t>IARA THAYS MENDES DE ARAUJO SOUSA</t>
  </si>
  <si>
    <t>04736851163</t>
  </si>
  <si>
    <t>19950714</t>
  </si>
  <si>
    <t>ANGELA DO NASCIMENTO MENEZES</t>
  </si>
  <si>
    <t>40776006851</t>
  </si>
  <si>
    <t>19930311</t>
  </si>
  <si>
    <t>CIBELE CARDOSO DE SOUZA</t>
  </si>
  <si>
    <t>20051023</t>
  </si>
  <si>
    <t>DAVID MATHEUS NUNES DA SILVA</t>
  </si>
  <si>
    <t>20081002</t>
  </si>
  <si>
    <t>LARISSA DA SILVA BARBOSA</t>
  </si>
  <si>
    <t>38978531830</t>
  </si>
  <si>
    <t>19871129</t>
  </si>
  <si>
    <t>MARILIA FERREIRA DA SILVA</t>
  </si>
  <si>
    <t>07243374409</t>
  </si>
  <si>
    <t>19860218</t>
  </si>
  <si>
    <t>MARIA ELISANGELA BARBOSA MUNIZ</t>
  </si>
  <si>
    <t>20020616</t>
  </si>
  <si>
    <t>DOUGLAS DE SOUZA LIMEIRA</t>
  </si>
  <si>
    <t>20100313</t>
  </si>
  <si>
    <t>IAGHO GABRIEL LIMEIRA BRIDE</t>
  </si>
  <si>
    <t>20080411</t>
  </si>
  <si>
    <t>FRANCIELY CRISTINY LEMOS CARVALHO</t>
  </si>
  <si>
    <t>YASMIN ZANFORLIN FIDENCIO</t>
  </si>
  <si>
    <t>03340036608</t>
  </si>
  <si>
    <t>19760526</t>
  </si>
  <si>
    <t>ELIANE ZANFORLIN FIDENCIO</t>
  </si>
  <si>
    <t>13593138697</t>
  </si>
  <si>
    <t>19980607</t>
  </si>
  <si>
    <t>CRISTIAN FILIPE CARVALHO SOUZA</t>
  </si>
  <si>
    <t>20130129</t>
  </si>
  <si>
    <t>ELENOR NICOLE ALCANTARA DOS SANTOS</t>
  </si>
  <si>
    <t>43218480833</t>
  </si>
  <si>
    <t>19940316</t>
  </si>
  <si>
    <t>REINELE CATARINO DOS SANTOS</t>
  </si>
  <si>
    <t>36256152824</t>
  </si>
  <si>
    <t>19870831</t>
  </si>
  <si>
    <t>ANDRESA ARAUJO NUNES</t>
  </si>
  <si>
    <t>40950350800</t>
  </si>
  <si>
    <t>19910701</t>
  </si>
  <si>
    <t>NOEMI TORTORETTI CORREA</t>
  </si>
  <si>
    <t>19891123</t>
  </si>
  <si>
    <t>43775494804</t>
  </si>
  <si>
    <t>19951120</t>
  </si>
  <si>
    <t>AMANDA CAROLINE VALERIO ROBERTO FERREIRA</t>
  </si>
  <si>
    <t>39064172803</t>
  </si>
  <si>
    <t>19910228</t>
  </si>
  <si>
    <t>JESSICA ALVES GILLI CAVICHIA</t>
  </si>
  <si>
    <t>20140314</t>
  </si>
  <si>
    <t>JHONATAN FERREIRA DOS SANTOS</t>
  </si>
  <si>
    <t>NICOLAS FERREIRA DOS SANTOS</t>
  </si>
  <si>
    <t>49797796892</t>
  </si>
  <si>
    <t>19980403</t>
  </si>
  <si>
    <t>JOSIANI CONCESSOR DOS SANTOS</t>
  </si>
  <si>
    <t>33508269892</t>
  </si>
  <si>
    <t>19870805</t>
  </si>
  <si>
    <t>PATRICIA SILVA DIAS COSTA</t>
  </si>
  <si>
    <t>39897283854</t>
  </si>
  <si>
    <t>19910501</t>
  </si>
  <si>
    <t>CLAUDEVANIA SILVA DA PAIXAO</t>
  </si>
  <si>
    <t>42445696852</t>
  </si>
  <si>
    <t>19921208</t>
  </si>
  <si>
    <t>THAIS RODRIGUES CARNEIRO</t>
  </si>
  <si>
    <t>39565404847</t>
  </si>
  <si>
    <t>19920510</t>
  </si>
  <si>
    <t>BRUNA FRANCO E SILVA</t>
  </si>
  <si>
    <t>43681279861</t>
  </si>
  <si>
    <t>19940620</t>
  </si>
  <si>
    <t>NAYARA APARECIDA ROMANO AMBROSIO RIBEIRO</t>
  </si>
  <si>
    <t>20130823</t>
  </si>
  <si>
    <t>RENATO RODRIGUES ANTONIO DOS SANTOS FILHO</t>
  </si>
  <si>
    <t>41815236833</t>
  </si>
  <si>
    <t>19940507</t>
  </si>
  <si>
    <t>TAMYRES FERREIRA DA GUARDA</t>
  </si>
  <si>
    <t>20130108</t>
  </si>
  <si>
    <t>BRENO CRISTOVAM SANTANA</t>
  </si>
  <si>
    <t>14300708894</t>
  </si>
  <si>
    <t>19730831</t>
  </si>
  <si>
    <t>ELISANGELA CRISTOVAM ROSA</t>
  </si>
  <si>
    <t>36303814808</t>
  </si>
  <si>
    <t>19870104</t>
  </si>
  <si>
    <t>SIDCLEY OLIVEIRA PINA</t>
  </si>
  <si>
    <t>33573223826</t>
  </si>
  <si>
    <t>19940519</t>
  </si>
  <si>
    <t>SAMUEL DOS REIS COSTA</t>
  </si>
  <si>
    <t>38388664875</t>
  </si>
  <si>
    <t>19900314</t>
  </si>
  <si>
    <t>LUIS FERREIRA DE MORAES JUNIOR</t>
  </si>
  <si>
    <t>40345712846</t>
  </si>
  <si>
    <t>19920616</t>
  </si>
  <si>
    <t>JESSYKA SALGUEIRO DE OLIVEIRA</t>
  </si>
  <si>
    <t>42609137869</t>
  </si>
  <si>
    <t>19950108</t>
  </si>
  <si>
    <t>JEISYKA SALGUEIRO DEOLIVEIRA</t>
  </si>
  <si>
    <t>91138159468</t>
  </si>
  <si>
    <t>19730809</t>
  </si>
  <si>
    <t>BENEDITA SALGUEIRO DE OLIVEIRA</t>
  </si>
  <si>
    <t>46673820829</t>
  </si>
  <si>
    <t>19981217</t>
  </si>
  <si>
    <t>EDINEI GONCALVES DA SILVA</t>
  </si>
  <si>
    <t>89334442891</t>
  </si>
  <si>
    <t>19580528</t>
  </si>
  <si>
    <t>NILCA DA LUZ PEREIRA DA SILVA</t>
  </si>
  <si>
    <t>20060713</t>
  </si>
  <si>
    <t>DEBORA ALVES DE SOUSA</t>
  </si>
  <si>
    <t>31471558894</t>
  </si>
  <si>
    <t>19800830</t>
  </si>
  <si>
    <t>FRANCISCA RAIMUNDA ALVES DE SOUSA</t>
  </si>
  <si>
    <t>15568684804</t>
  </si>
  <si>
    <t>19710501</t>
  </si>
  <si>
    <t>MARIA DO CARMO O MARTINS</t>
  </si>
  <si>
    <t>50617433852</t>
  </si>
  <si>
    <t>20010512</t>
  </si>
  <si>
    <t>GABRIELA OLIVEIRA MARTINS</t>
  </si>
  <si>
    <t>50713022841</t>
  </si>
  <si>
    <t>20030620</t>
  </si>
  <si>
    <t>RENAN DANIEL DE O MARTINS</t>
  </si>
  <si>
    <t>20061122</t>
  </si>
  <si>
    <t>LARISSA SOUSA SILVA</t>
  </si>
  <si>
    <t>93096798249</t>
  </si>
  <si>
    <t>19870630</t>
  </si>
  <si>
    <t>KARINA LIMA DE SOUZA</t>
  </si>
  <si>
    <t>33785717806</t>
  </si>
  <si>
    <t>19860921</t>
  </si>
  <si>
    <t>ROSILEINE MARIA DAS NEVES BARBOSA</t>
  </si>
  <si>
    <t>04154524658</t>
  </si>
  <si>
    <t>19781011</t>
  </si>
  <si>
    <t>JULIANA NAZARE ASSIS DO NASCIMENTO VIANA</t>
  </si>
  <si>
    <t>20031104</t>
  </si>
  <si>
    <t>ISABELLA SILVA OLIVEIRA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</si>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</sst>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Segoe UI"/>
      <family val="2"/>
    </font>
    <font>
      <sz val="9"/>
      <color theme="1"/>
      <name val="Arial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Border="1"/>
    <xf numFmtId="49" fontId="0" fillId="0" borderId="0" xfId="0" applyNumberFormat="1" applyBorder="1"/>
    <xf numFmtId="0" fontId="2" fillId="0" borderId="0" xfId="0" applyFont="1" applyBorder="1"/>
    <xf numFmtId="49" fontId="3" fillId="3" borderId="1" xfId="0" applyNumberFormat="1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/>
    </xf>
    <xf numFmtId="0" fontId="0" fillId="0" borderId="1" xfId="0" applyBorder="1"/>
    <xf numFmtId="49" fontId="5" fillId="0" borderId="0" xfId="0" applyNumberFormat="1" applyFont="1" applyBorder="1"/>
    <xf numFmtId="49" fontId="2" fillId="0" borderId="0" xfId="0" applyNumberFormat="1" applyFont="1" applyBorder="1"/>
    <xf numFmtId="0" fontId="5" fillId="0" borderId="0" xfId="0" applyFont="1"/>
    <xf numFmtId="49" fontId="5" fillId="0" borderId="0" xfId="0" applyNumberFormat="1" applyFont="1"/>
    <xf numFmtId="49" fontId="0" fillId="0" borderId="1" xfId="0" applyNumberFormat="1" applyBorder="1"/>
    <xf numFmtId="49" fontId="3" fillId="3" borderId="2" xfId="0" applyNumberFormat="1" applyFont="1" applyFill="1" applyBorder="1" applyAlignment="1">
      <alignment horizontal="center" vertical="center" wrapText="1"/>
    </xf>
    <xf numFmtId="0" fontId="5" fillId="0" borderId="0" xfId="0" applyNumberFormat="1" applyFont="1"/>
    <xf numFmtId="2" fontId="3" fillId="3" borderId="1" xfId="0" applyNumberFormat="1" applyFont="1" applyFill="1" applyBorder="1" applyAlignment="1">
      <alignment horizontal="center" vertical="center" wrapText="1"/>
    </xf>
    <xf numFmtId="2" fontId="5" fillId="0" borderId="0" xfId="0" applyNumberFormat="1" applyFont="1"/>
    <xf numFmtId="2" fontId="0" fillId="0" borderId="0" xfId="0" applyNumberFormat="1"/>
    <xf numFmtId="2" fontId="3" fillId="3" borderId="2" xfId="0" applyNumberFormat="1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/>
    </xf>
    <xf numFmtId="49" fontId="1" fillId="2" borderId="11" xfId="0" applyNumberFormat="1" applyFont="1" applyFill="1" applyBorder="1" applyAlignment="1">
      <alignment horizontal="center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2" fontId="1" fillId="2" borderId="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Border="1" applyAlignment="1">
      <alignment horizontal="center" vertical="center"/>
    </xf>
    <xf numFmtId="49" fontId="1" fillId="2" borderId="8" xfId="0" applyNumberFormat="1" applyFont="1" applyFill="1" applyBorder="1" applyAlignment="1">
      <alignment horizontal="center" vertical="center"/>
    </xf>
    <xf numFmtId="49" fontId="1" fillId="2" borderId="9" xfId="0" applyNumberFormat="1" applyFont="1" applyFill="1" applyBorder="1" applyAlignment="1">
      <alignment horizontal="center" vertical="center"/>
    </xf>
    <xf numFmtId="49" fontId="1" fillId="2" borderId="10" xfId="0" applyNumberFormat="1" applyFont="1" applyFill="1" applyBorder="1" applyAlignment="1">
      <alignment horizontal="center" vertical="center"/>
    </xf>
    <xf numFmtId="49" fontId="1" fillId="2" borderId="1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4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38100</xdr:rowOff>
        </xdr:from>
        <xdr:to>
          <xdr:col>3</xdr:col>
          <xdr:colOff>209550</xdr:colOff>
          <xdr:row>6</xdr:row>
          <xdr:rowOff>66675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0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PLAN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0</xdr:row>
          <xdr:rowOff>447675</xdr:rowOff>
        </xdr:from>
        <xdr:to>
          <xdr:col>13</xdr:col>
          <xdr:colOff>628650</xdr:colOff>
          <xdr:row>1</xdr:row>
          <xdr:rowOff>742950</xdr:rowOff>
        </xdr:to>
        <xdr:sp macro="" textlink="">
          <xdr:nvSpPr>
            <xdr:cNvPr id="132097" name="Button 1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00000000-0008-0000-3200-000001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PASTA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219075</xdr:rowOff>
        </xdr:from>
        <xdr:to>
          <xdr:col>9</xdr:col>
          <xdr:colOff>609600</xdr:colOff>
          <xdr:row>1</xdr:row>
          <xdr:rowOff>533400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id="{00000000-0008-0000-33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PASTA DIRF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0</xdr:row>
          <xdr:rowOff>142875</xdr:rowOff>
        </xdr:from>
        <xdr:to>
          <xdr:col>12</xdr:col>
          <xdr:colOff>19050</xdr:colOff>
          <xdr:row>1</xdr:row>
          <xdr:rowOff>504825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34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Arquivo da DIRF.001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</xdr:row>
          <xdr:rowOff>38100</xdr:rowOff>
        </xdr:from>
        <xdr:to>
          <xdr:col>8</xdr:col>
          <xdr:colOff>323850</xdr:colOff>
          <xdr:row>6</xdr:row>
          <xdr:rowOff>152400</xdr:rowOff>
        </xdr:to>
        <xdr:sp macro="" textlink="">
          <xdr:nvSpPr>
            <xdr:cNvPr id="32775" name="Object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34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9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0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1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2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3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4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5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6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7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8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9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30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1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2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3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4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5.v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7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8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9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40.v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1.v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1.xml"/><Relationship Id="rId2" Type="http://schemas.openxmlformats.org/officeDocument/2006/relationships/vmlDrawing" Target="../drawings/vmlDrawing42.vml"/><Relationship Id="rId1" Type="http://schemas.openxmlformats.org/officeDocument/2006/relationships/printerSettings" Target="../printerSettings/printerSettings6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3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B2"/>
  <sheetViews>
    <sheetView workbookViewId="0">
      <selection activeCell="E21" sqref="E21"/>
    </sheetView>
  </sheetViews>
  <sheetFormatPr defaultRowHeight="15" x14ac:dyDescent="0.25"/>
  <sheetData>
    <row r="2" spans="2:2" x14ac:dyDescent="0.25">
      <c r="B2" t="s">
        <v>3028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Botão1_PgDIRF">
                <anchor moveWithCells="1" sizeWithCells="1">
                  <from>
                    <xdr:col>0</xdr:col>
                    <xdr:colOff>390525</xdr:colOff>
                    <xdr:row>2</xdr:row>
                    <xdr:rowOff>38100</xdr:rowOff>
                  </from>
                  <to>
                    <xdr:col>3</xdr:col>
                    <xdr:colOff>209550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G2"/>
  <sheetViews>
    <sheetView topLeftCell="B2" workbookViewId="0">
      <selection activeCell="E14" sqref="E14"/>
    </sheetView>
  </sheetViews>
  <sheetFormatPr defaultRowHeight="15" x14ac:dyDescent="0.25"/>
  <cols>
    <col min="1" max="1" width="0" style="9" hidden="1" customWidth="1"/>
    <col min="2" max="2" width="21.5" style="10" customWidth="1"/>
    <col min="3" max="3" width="43.625" style="9" customWidth="1"/>
    <col min="4" max="4" width="16.875" style="15" customWidth="1"/>
    <col min="5" max="6" width="9" style="15"/>
    <col min="7" max="7" width="9" style="9"/>
  </cols>
  <sheetData>
    <row r="1" spans="1:7" ht="47.85" customHeight="1" x14ac:dyDescent="0.25">
      <c r="A1" s="18" t="s">
        <v>61</v>
      </c>
      <c r="B1" s="19"/>
      <c r="C1" s="19"/>
      <c r="D1" s="19"/>
      <c r="E1" s="19"/>
      <c r="F1" s="19"/>
      <c r="G1" s="20"/>
    </row>
    <row r="2" spans="1:7" ht="72" x14ac:dyDescent="0.25">
      <c r="A2" s="12"/>
      <c r="B2" s="12" t="s">
        <v>66</v>
      </c>
      <c r="C2" s="12" t="s">
        <v>67</v>
      </c>
      <c r="D2" s="17" t="str">
        <f>CONCATENATE("Valor do reembolso do anocalendário",CHAR(10),"TOTAL: ",SUM(D3:D1048576))</f>
        <v>Valor do reembolso do anocalendário
TOTAL: 0</v>
      </c>
      <c r="E2" s="17" t="str">
        <f>CONCATENATE("Valor do reembolso do anocalendário",CHAR(10),"TOTAL: ",SUM(E3:E1048576))</f>
        <v>Valor do reembolso do anocalendário
TOTAL: 0</v>
      </c>
      <c r="F2" s="17" t="s">
        <v>49</v>
      </c>
      <c r="G2" s="12" t="s">
        <v>23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H574"/>
  <sheetViews>
    <sheetView topLeftCell="H1" workbookViewId="0">
      <selection activeCell="B2" sqref="B2:F2"/>
    </sheetView>
  </sheetViews>
  <sheetFormatPr defaultRowHeight="15" x14ac:dyDescent="0.25"/>
  <cols>
    <col min="1" max="1" width="13.75" style="9" bestFit="1" customWidth="1"/>
    <col min="2" max="2" width="13.75" style="10" customWidth="1"/>
    <col min="3" max="3" width="11.875" style="10" bestFit="1" customWidth="1"/>
    <col min="4" max="4" width="10.5" style="10" bestFit="1" customWidth="1"/>
    <col min="5" max="5" width="28.25" style="10" customWidth="1"/>
    <col min="6" max="6" width="8.75" style="10" customWidth="1"/>
    <col min="7" max="7" width="11.75" style="15" customWidth="1"/>
  </cols>
  <sheetData>
    <row r="1" spans="1:8" ht="47.85" customHeight="1" x14ac:dyDescent="0.25">
      <c r="A1" s="21" t="s">
        <v>61</v>
      </c>
      <c r="B1" s="22"/>
      <c r="C1" s="22"/>
      <c r="D1" s="22"/>
      <c r="E1" s="22"/>
      <c r="F1" s="22"/>
      <c r="G1" s="22"/>
    </row>
    <row r="2" spans="1:8" ht="36" x14ac:dyDescent="0.25">
      <c r="A2" s="12" t="s">
        <v>70</v>
      </c>
      <c r="B2" s="12" t="s">
        <v>72</v>
      </c>
      <c r="C2" s="12" t="s">
        <v>63</v>
      </c>
      <c r="D2" s="12" t="s">
        <v>64</v>
      </c>
      <c r="E2" s="12" t="s">
        <v>23</v>
      </c>
      <c r="F2" s="12" t="s">
        <v>65</v>
      </c>
      <c r="G2" s="17" t="str">
        <f>CONCATENATE("Valor pago no Ano",CHAR(10),"TOTAL: ",ROUND(SUM(G3:G1048576),2))</f>
        <v>Valor pago no Ano
TOTAL: 119352,53</v>
      </c>
    </row>
    <row r="3" spans="1:8" x14ac:dyDescent="0.25">
      <c r="A3" s="9" t="s">
        <v>1622</v>
      </c>
      <c r="B3" s="10" t="s">
        <v>115</v>
      </c>
      <c r="C3" s="10" t="s">
        <v>1624</v>
      </c>
      <c r="D3" s="10" t="s">
        <v>1625</v>
      </c>
      <c r="E3" s="10" t="s">
        <v>1626</v>
      </c>
      <c r="F3" s="10" t="s">
        <v>1627</v>
      </c>
      <c r="G3" s="15">
        <v>418.02</v>
      </c>
      <c r="H3" t="s">
        <v>3028</v>
      </c>
    </row>
    <row r="4" spans="1:8" x14ac:dyDescent="0.25">
      <c r="A4" s="9" t="s">
        <v>1622</v>
      </c>
      <c r="B4" s="10" t="s">
        <v>115</v>
      </c>
      <c r="C4" s="10" t="s">
        <v>1628</v>
      </c>
      <c r="D4" s="10" t="s">
        <v>1629</v>
      </c>
      <c r="E4" s="10" t="s">
        <v>1630</v>
      </c>
      <c r="F4" s="10" t="s">
        <v>1631</v>
      </c>
      <c r="G4" s="15">
        <v>418.02</v>
      </c>
      <c r="H4" t="s">
        <v>3028</v>
      </c>
    </row>
    <row r="5" spans="1:8" x14ac:dyDescent="0.25">
      <c r="A5" s="9" t="s">
        <v>1622</v>
      </c>
      <c r="B5" s="10" t="s">
        <v>123</v>
      </c>
      <c r="C5" s="10" t="s">
        <v>1632</v>
      </c>
      <c r="D5" s="10" t="s">
        <v>1633</v>
      </c>
      <c r="E5" s="10" t="s">
        <v>1634</v>
      </c>
      <c r="F5" s="10" t="s">
        <v>1627</v>
      </c>
      <c r="G5" s="15">
        <v>487.69</v>
      </c>
      <c r="H5" t="s">
        <v>3028</v>
      </c>
    </row>
    <row r="6" spans="1:8" x14ac:dyDescent="0.25">
      <c r="A6" s="9" t="s">
        <v>1622</v>
      </c>
      <c r="B6" s="10" t="s">
        <v>137</v>
      </c>
      <c r="C6" s="10" t="s">
        <v>1635</v>
      </c>
      <c r="D6" s="10" t="s">
        <v>1636</v>
      </c>
      <c r="E6" s="10" t="s">
        <v>1637</v>
      </c>
      <c r="F6" s="10" t="s">
        <v>1627</v>
      </c>
      <c r="G6" s="15">
        <v>836.04</v>
      </c>
      <c r="H6" t="s">
        <v>3028</v>
      </c>
    </row>
    <row r="7" spans="1:8" x14ac:dyDescent="0.25">
      <c r="A7" s="9" t="s">
        <v>1622</v>
      </c>
      <c r="B7" s="10" t="s">
        <v>137</v>
      </c>
      <c r="C7" s="10" t="s">
        <v>1638</v>
      </c>
      <c r="D7" s="10" t="s">
        <v>1639</v>
      </c>
      <c r="E7" s="10" t="s">
        <v>1640</v>
      </c>
      <c r="F7" s="10" t="s">
        <v>1631</v>
      </c>
      <c r="G7" s="15">
        <v>836.04</v>
      </c>
      <c r="H7" t="s">
        <v>3028</v>
      </c>
    </row>
    <row r="8" spans="1:8" x14ac:dyDescent="0.25">
      <c r="A8" s="9" t="s">
        <v>1622</v>
      </c>
      <c r="B8" s="10" t="s">
        <v>172</v>
      </c>
      <c r="C8" s="10" t="s">
        <v>3028</v>
      </c>
      <c r="D8" s="10" t="s">
        <v>1641</v>
      </c>
      <c r="E8" s="10" t="s">
        <v>1642</v>
      </c>
      <c r="F8" s="10" t="s">
        <v>1631</v>
      </c>
      <c r="G8" s="15">
        <v>348.35</v>
      </c>
      <c r="H8" t="s">
        <v>3028</v>
      </c>
    </row>
    <row r="9" spans="1:8" x14ac:dyDescent="0.25">
      <c r="A9" s="9" t="s">
        <v>1622</v>
      </c>
      <c r="B9" s="10" t="s">
        <v>172</v>
      </c>
      <c r="C9" s="10" t="s">
        <v>1643</v>
      </c>
      <c r="D9" s="10" t="s">
        <v>1644</v>
      </c>
      <c r="E9" s="10" t="s">
        <v>1645</v>
      </c>
      <c r="F9" s="10" t="s">
        <v>1627</v>
      </c>
      <c r="G9" s="15">
        <v>348.35</v>
      </c>
      <c r="H9" t="s">
        <v>3028</v>
      </c>
    </row>
    <row r="10" spans="1:8" x14ac:dyDescent="0.25">
      <c r="A10" s="9" t="s">
        <v>1622</v>
      </c>
      <c r="B10" s="10" t="s">
        <v>172</v>
      </c>
      <c r="C10" s="10" t="s">
        <v>1646</v>
      </c>
      <c r="D10" s="10" t="s">
        <v>1647</v>
      </c>
      <c r="E10" s="10" t="s">
        <v>1648</v>
      </c>
      <c r="F10" s="10" t="s">
        <v>1631</v>
      </c>
      <c r="G10" s="15">
        <v>348.35</v>
      </c>
      <c r="H10" t="s">
        <v>3028</v>
      </c>
    </row>
    <row r="11" spans="1:8" x14ac:dyDescent="0.25">
      <c r="A11" s="9" t="s">
        <v>1622</v>
      </c>
      <c r="B11" s="10" t="s">
        <v>184</v>
      </c>
      <c r="C11" s="10" t="s">
        <v>3028</v>
      </c>
      <c r="D11" s="10" t="s">
        <v>1649</v>
      </c>
      <c r="E11" s="10" t="s">
        <v>1650</v>
      </c>
      <c r="F11" s="10" t="s">
        <v>1631</v>
      </c>
      <c r="G11" s="15">
        <v>836.04</v>
      </c>
      <c r="H11" t="s">
        <v>3028</v>
      </c>
    </row>
    <row r="12" spans="1:8" x14ac:dyDescent="0.25">
      <c r="A12" s="9" t="s">
        <v>1622</v>
      </c>
      <c r="B12" s="10" t="s">
        <v>184</v>
      </c>
      <c r="C12" s="10" t="s">
        <v>3028</v>
      </c>
      <c r="D12" s="10" t="s">
        <v>1651</v>
      </c>
      <c r="E12" s="10" t="s">
        <v>1652</v>
      </c>
      <c r="F12" s="10" t="s">
        <v>1631</v>
      </c>
      <c r="G12" s="15">
        <v>766.37</v>
      </c>
      <c r="H12" t="s">
        <v>3028</v>
      </c>
    </row>
    <row r="13" spans="1:8" x14ac:dyDescent="0.25">
      <c r="A13" s="9" t="s">
        <v>1622</v>
      </c>
      <c r="B13" s="10" t="s">
        <v>206</v>
      </c>
      <c r="C13" s="10" t="s">
        <v>1653</v>
      </c>
      <c r="D13" s="10" t="s">
        <v>1654</v>
      </c>
      <c r="E13" s="10" t="s">
        <v>1655</v>
      </c>
      <c r="F13" s="10" t="s">
        <v>1627</v>
      </c>
      <c r="G13" s="15">
        <v>557.36</v>
      </c>
      <c r="H13" t="s">
        <v>3028</v>
      </c>
    </row>
    <row r="14" spans="1:8" x14ac:dyDescent="0.25">
      <c r="A14" s="9" t="s">
        <v>1622</v>
      </c>
      <c r="B14" s="10" t="s">
        <v>228</v>
      </c>
      <c r="C14" s="10" t="s">
        <v>3028</v>
      </c>
      <c r="D14" s="10" t="s">
        <v>1656</v>
      </c>
      <c r="E14" s="10" t="s">
        <v>1657</v>
      </c>
      <c r="F14" s="10" t="s">
        <v>1631</v>
      </c>
      <c r="G14" s="15">
        <v>836.04</v>
      </c>
      <c r="H14" t="s">
        <v>3028</v>
      </c>
    </row>
    <row r="15" spans="1:8" x14ac:dyDescent="0.25">
      <c r="A15" s="9" t="s">
        <v>1622</v>
      </c>
      <c r="B15" s="10" t="s">
        <v>228</v>
      </c>
      <c r="C15" s="10" t="s">
        <v>1658</v>
      </c>
      <c r="D15" s="10" t="s">
        <v>1659</v>
      </c>
      <c r="E15" s="10" t="s">
        <v>1660</v>
      </c>
      <c r="F15" s="10" t="s">
        <v>1627</v>
      </c>
      <c r="G15" s="15">
        <v>209.01</v>
      </c>
      <c r="H15" t="s">
        <v>3028</v>
      </c>
    </row>
    <row r="16" spans="1:8" x14ac:dyDescent="0.25">
      <c r="A16" s="9" t="s">
        <v>1622</v>
      </c>
      <c r="B16" s="10" t="s">
        <v>246</v>
      </c>
      <c r="C16" s="10" t="s">
        <v>1661</v>
      </c>
      <c r="D16" s="10" t="s">
        <v>1662</v>
      </c>
      <c r="E16" s="10" t="s">
        <v>1663</v>
      </c>
      <c r="F16" s="10" t="s">
        <v>1627</v>
      </c>
      <c r="G16" s="15">
        <v>836.04</v>
      </c>
      <c r="H16" t="s">
        <v>3028</v>
      </c>
    </row>
    <row r="17" spans="1:8" x14ac:dyDescent="0.25">
      <c r="A17" s="9" t="s">
        <v>1622</v>
      </c>
      <c r="B17" s="10" t="s">
        <v>246</v>
      </c>
      <c r="C17" s="10" t="s">
        <v>1664</v>
      </c>
      <c r="D17" s="10" t="s">
        <v>1665</v>
      </c>
      <c r="E17" s="10" t="s">
        <v>1666</v>
      </c>
      <c r="F17" s="10" t="s">
        <v>1631</v>
      </c>
      <c r="G17" s="15">
        <v>836.04</v>
      </c>
      <c r="H17" t="s">
        <v>3028</v>
      </c>
    </row>
    <row r="18" spans="1:8" x14ac:dyDescent="0.25">
      <c r="A18" s="9" t="s">
        <v>1622</v>
      </c>
      <c r="B18" s="10" t="s">
        <v>246</v>
      </c>
      <c r="C18" s="10" t="s">
        <v>1667</v>
      </c>
      <c r="D18" s="10" t="s">
        <v>1668</v>
      </c>
      <c r="E18" s="10" t="s">
        <v>1669</v>
      </c>
      <c r="F18" s="10" t="s">
        <v>1631</v>
      </c>
      <c r="G18" s="15">
        <v>836.04</v>
      </c>
      <c r="H18" t="s">
        <v>3028</v>
      </c>
    </row>
    <row r="19" spans="1:8" x14ac:dyDescent="0.25">
      <c r="A19" s="9" t="s">
        <v>1622</v>
      </c>
      <c r="B19" s="10" t="s">
        <v>270</v>
      </c>
      <c r="C19" s="10" t="s">
        <v>1670</v>
      </c>
      <c r="D19" s="10" t="s">
        <v>1671</v>
      </c>
      <c r="E19" s="10" t="s">
        <v>1672</v>
      </c>
      <c r="F19" s="10" t="s">
        <v>1627</v>
      </c>
      <c r="G19" s="15">
        <v>836.04</v>
      </c>
      <c r="H19" t="s">
        <v>3028</v>
      </c>
    </row>
    <row r="20" spans="1:8" x14ac:dyDescent="0.25">
      <c r="A20" s="9" t="s">
        <v>1622</v>
      </c>
      <c r="B20" s="10" t="s">
        <v>270</v>
      </c>
      <c r="C20" s="10" t="s">
        <v>1673</v>
      </c>
      <c r="D20" s="10" t="s">
        <v>1674</v>
      </c>
      <c r="E20" s="10" t="s">
        <v>1675</v>
      </c>
      <c r="F20" s="10" t="s">
        <v>1631</v>
      </c>
      <c r="G20" s="15">
        <v>836.04</v>
      </c>
      <c r="H20" t="s">
        <v>3028</v>
      </c>
    </row>
    <row r="21" spans="1:8" x14ac:dyDescent="0.25">
      <c r="A21" s="9" t="s">
        <v>1622</v>
      </c>
      <c r="B21" s="10" t="s">
        <v>272</v>
      </c>
      <c r="C21" s="10" t="s">
        <v>3028</v>
      </c>
      <c r="D21" s="10" t="s">
        <v>1676</v>
      </c>
      <c r="E21" s="10" t="s">
        <v>1677</v>
      </c>
      <c r="F21" s="10" t="s">
        <v>1631</v>
      </c>
      <c r="G21" s="15">
        <v>836.04</v>
      </c>
      <c r="H21" t="s">
        <v>3028</v>
      </c>
    </row>
    <row r="22" spans="1:8" x14ac:dyDescent="0.25">
      <c r="A22" s="9" t="s">
        <v>1622</v>
      </c>
      <c r="B22" s="10" t="s">
        <v>272</v>
      </c>
      <c r="C22" s="10" t="s">
        <v>1678</v>
      </c>
      <c r="D22" s="10" t="s">
        <v>1679</v>
      </c>
      <c r="E22" s="10" t="s">
        <v>1680</v>
      </c>
      <c r="F22" s="10" t="s">
        <v>1627</v>
      </c>
      <c r="G22" s="15">
        <v>836.04</v>
      </c>
      <c r="H22" t="s">
        <v>3028</v>
      </c>
    </row>
    <row r="23" spans="1:8" x14ac:dyDescent="0.25">
      <c r="A23" s="9" t="s">
        <v>1622</v>
      </c>
      <c r="B23" s="10" t="s">
        <v>278</v>
      </c>
      <c r="C23" s="10" t="s">
        <v>1681</v>
      </c>
      <c r="D23" s="10" t="s">
        <v>1682</v>
      </c>
      <c r="E23" s="10" t="s">
        <v>1683</v>
      </c>
      <c r="F23" s="10" t="s">
        <v>1627</v>
      </c>
      <c r="G23" s="15">
        <v>836.04</v>
      </c>
      <c r="H23" t="s">
        <v>3028</v>
      </c>
    </row>
    <row r="24" spans="1:8" x14ac:dyDescent="0.25">
      <c r="A24" s="9" t="s">
        <v>1622</v>
      </c>
      <c r="B24" s="10" t="s">
        <v>278</v>
      </c>
      <c r="C24" s="10" t="s">
        <v>1684</v>
      </c>
      <c r="D24" s="10" t="s">
        <v>1685</v>
      </c>
      <c r="E24" s="10" t="s">
        <v>1686</v>
      </c>
      <c r="F24" s="10" t="s">
        <v>1631</v>
      </c>
      <c r="G24" s="15">
        <v>836.04</v>
      </c>
      <c r="H24" t="s">
        <v>3028</v>
      </c>
    </row>
    <row r="25" spans="1:8" x14ac:dyDescent="0.25">
      <c r="A25" s="9" t="s">
        <v>1622</v>
      </c>
      <c r="B25" s="10" t="s">
        <v>278</v>
      </c>
      <c r="C25" s="10" t="s">
        <v>1687</v>
      </c>
      <c r="D25" s="10" t="s">
        <v>1688</v>
      </c>
      <c r="E25" s="10" t="s">
        <v>1689</v>
      </c>
      <c r="F25" s="10" t="s">
        <v>1631</v>
      </c>
      <c r="G25" s="15">
        <v>836.04</v>
      </c>
      <c r="H25" t="s">
        <v>3028</v>
      </c>
    </row>
    <row r="26" spans="1:8" x14ac:dyDescent="0.25">
      <c r="A26" s="9" t="s">
        <v>1622</v>
      </c>
      <c r="B26" s="10" t="s">
        <v>300</v>
      </c>
      <c r="C26" s="10" t="s">
        <v>3028</v>
      </c>
      <c r="D26" s="10" t="s">
        <v>1656</v>
      </c>
      <c r="E26" s="10" t="s">
        <v>1690</v>
      </c>
      <c r="F26" s="10" t="s">
        <v>1631</v>
      </c>
      <c r="G26" s="15">
        <v>836.04</v>
      </c>
      <c r="H26" t="s">
        <v>3028</v>
      </c>
    </row>
    <row r="27" spans="1:8" x14ac:dyDescent="0.25">
      <c r="A27" s="9" t="s">
        <v>1622</v>
      </c>
      <c r="B27" s="10" t="s">
        <v>300</v>
      </c>
      <c r="C27" s="10" t="s">
        <v>1691</v>
      </c>
      <c r="D27" s="10" t="s">
        <v>1692</v>
      </c>
      <c r="E27" s="10" t="s">
        <v>1693</v>
      </c>
      <c r="F27" s="10" t="s">
        <v>1627</v>
      </c>
      <c r="G27" s="15">
        <v>836.04</v>
      </c>
      <c r="H27" t="s">
        <v>3028</v>
      </c>
    </row>
    <row r="28" spans="1:8" x14ac:dyDescent="0.25">
      <c r="A28" s="9" t="s">
        <v>1622</v>
      </c>
      <c r="B28" s="10" t="s">
        <v>312</v>
      </c>
      <c r="C28" s="10" t="s">
        <v>1694</v>
      </c>
      <c r="D28" s="10" t="s">
        <v>1695</v>
      </c>
      <c r="E28" s="10" t="s">
        <v>1696</v>
      </c>
      <c r="F28" s="10" t="s">
        <v>1627</v>
      </c>
      <c r="G28" s="15">
        <v>836.04</v>
      </c>
      <c r="H28" t="s">
        <v>3028</v>
      </c>
    </row>
    <row r="29" spans="1:8" x14ac:dyDescent="0.25">
      <c r="A29" s="9" t="s">
        <v>1622</v>
      </c>
      <c r="B29" s="10" t="s">
        <v>312</v>
      </c>
      <c r="C29" s="10" t="s">
        <v>1697</v>
      </c>
      <c r="D29" s="10" t="s">
        <v>1698</v>
      </c>
      <c r="E29" s="10" t="s">
        <v>1699</v>
      </c>
      <c r="F29" s="10" t="s">
        <v>1631</v>
      </c>
      <c r="G29" s="15">
        <v>836.04</v>
      </c>
      <c r="H29" t="s">
        <v>3028</v>
      </c>
    </row>
    <row r="30" spans="1:8" x14ac:dyDescent="0.25">
      <c r="A30" s="9" t="s">
        <v>1622</v>
      </c>
      <c r="B30" s="10" t="s">
        <v>322</v>
      </c>
      <c r="C30" s="10" t="s">
        <v>1700</v>
      </c>
      <c r="D30" s="10" t="s">
        <v>1701</v>
      </c>
      <c r="E30" s="10" t="s">
        <v>1702</v>
      </c>
      <c r="F30" s="10" t="s">
        <v>1627</v>
      </c>
      <c r="G30" s="15">
        <v>836.04</v>
      </c>
      <c r="H30" t="s">
        <v>3028</v>
      </c>
    </row>
    <row r="31" spans="1:8" x14ac:dyDescent="0.25">
      <c r="A31" s="9" t="s">
        <v>1622</v>
      </c>
      <c r="B31" s="10" t="s">
        <v>322</v>
      </c>
      <c r="C31" s="10" t="s">
        <v>1703</v>
      </c>
      <c r="D31" s="10" t="s">
        <v>1704</v>
      </c>
      <c r="E31" s="10" t="s">
        <v>1705</v>
      </c>
      <c r="F31" s="10" t="s">
        <v>1631</v>
      </c>
      <c r="G31" s="15">
        <v>836.04</v>
      </c>
      <c r="H31" t="s">
        <v>3028</v>
      </c>
    </row>
    <row r="32" spans="1:8" x14ac:dyDescent="0.25">
      <c r="A32" s="9" t="s">
        <v>1622</v>
      </c>
      <c r="B32" s="10" t="s">
        <v>338</v>
      </c>
      <c r="C32" s="10" t="s">
        <v>1706</v>
      </c>
      <c r="D32" s="10" t="s">
        <v>1707</v>
      </c>
      <c r="E32" s="10" t="s">
        <v>1708</v>
      </c>
      <c r="F32" s="10" t="s">
        <v>1627</v>
      </c>
      <c r="G32" s="15">
        <v>836.04</v>
      </c>
      <c r="H32" t="s">
        <v>3028</v>
      </c>
    </row>
    <row r="33" spans="1:8" x14ac:dyDescent="0.25">
      <c r="A33" s="9" t="s">
        <v>1622</v>
      </c>
      <c r="B33" s="10" t="s">
        <v>350</v>
      </c>
      <c r="C33" s="10" t="s">
        <v>3028</v>
      </c>
      <c r="D33" s="10" t="s">
        <v>1709</v>
      </c>
      <c r="E33" s="10" t="s">
        <v>1710</v>
      </c>
      <c r="F33" s="10" t="s">
        <v>1631</v>
      </c>
      <c r="G33" s="15">
        <v>836.04</v>
      </c>
      <c r="H33" t="s">
        <v>3028</v>
      </c>
    </row>
    <row r="34" spans="1:8" x14ac:dyDescent="0.25">
      <c r="A34" s="9" t="s">
        <v>1622</v>
      </c>
      <c r="B34" s="10" t="s">
        <v>350</v>
      </c>
      <c r="C34" s="10" t="s">
        <v>1711</v>
      </c>
      <c r="D34" s="10" t="s">
        <v>1712</v>
      </c>
      <c r="E34" s="10" t="s">
        <v>1713</v>
      </c>
      <c r="F34" s="10" t="s">
        <v>1627</v>
      </c>
      <c r="G34" s="15">
        <v>836.04</v>
      </c>
      <c r="H34" t="s">
        <v>3028</v>
      </c>
    </row>
    <row r="35" spans="1:8" x14ac:dyDescent="0.25">
      <c r="A35" s="9" t="s">
        <v>1622</v>
      </c>
      <c r="B35" s="10" t="s">
        <v>350</v>
      </c>
      <c r="C35" s="10" t="s">
        <v>1714</v>
      </c>
      <c r="D35" s="10" t="s">
        <v>1715</v>
      </c>
      <c r="E35" s="10" t="s">
        <v>1716</v>
      </c>
      <c r="F35" s="10" t="s">
        <v>1631</v>
      </c>
      <c r="G35" s="15">
        <v>836.04</v>
      </c>
      <c r="H35" t="s">
        <v>3028</v>
      </c>
    </row>
    <row r="36" spans="1:8" x14ac:dyDescent="0.25">
      <c r="A36" s="9" t="s">
        <v>1622</v>
      </c>
      <c r="B36" s="10" t="s">
        <v>404</v>
      </c>
      <c r="C36" s="10" t="s">
        <v>3028</v>
      </c>
      <c r="D36" s="10" t="s">
        <v>1717</v>
      </c>
      <c r="E36" s="10" t="s">
        <v>1718</v>
      </c>
      <c r="F36" s="10" t="s">
        <v>1631</v>
      </c>
      <c r="G36" s="15">
        <v>836.04</v>
      </c>
      <c r="H36" t="s">
        <v>3028</v>
      </c>
    </row>
    <row r="37" spans="1:8" x14ac:dyDescent="0.25">
      <c r="A37" s="9" t="s">
        <v>1622</v>
      </c>
      <c r="B37" s="10" t="s">
        <v>404</v>
      </c>
      <c r="C37" s="10" t="s">
        <v>1719</v>
      </c>
      <c r="D37" s="10" t="s">
        <v>1720</v>
      </c>
      <c r="E37" s="10" t="s">
        <v>1721</v>
      </c>
      <c r="F37" s="10" t="s">
        <v>1627</v>
      </c>
      <c r="G37" s="15">
        <v>836.04</v>
      </c>
      <c r="H37" t="s">
        <v>3028</v>
      </c>
    </row>
    <row r="38" spans="1:8" x14ac:dyDescent="0.25">
      <c r="A38" s="9" t="s">
        <v>1622</v>
      </c>
      <c r="B38" s="10" t="s">
        <v>404</v>
      </c>
      <c r="C38" s="10" t="s">
        <v>1722</v>
      </c>
      <c r="D38" s="10" t="s">
        <v>1723</v>
      </c>
      <c r="E38" s="10" t="s">
        <v>1724</v>
      </c>
      <c r="F38" s="10" t="s">
        <v>1631</v>
      </c>
      <c r="G38" s="15">
        <v>836.04</v>
      </c>
      <c r="H38" t="s">
        <v>3028</v>
      </c>
    </row>
    <row r="39" spans="1:8" x14ac:dyDescent="0.25">
      <c r="A39" s="9" t="s">
        <v>1622</v>
      </c>
      <c r="B39" s="10" t="s">
        <v>426</v>
      </c>
      <c r="C39" s="10" t="s">
        <v>3028</v>
      </c>
      <c r="D39" s="10" t="s">
        <v>1725</v>
      </c>
      <c r="E39" s="10" t="s">
        <v>1726</v>
      </c>
      <c r="F39" s="10" t="s">
        <v>1631</v>
      </c>
      <c r="G39" s="15">
        <v>836.04</v>
      </c>
      <c r="H39" t="s">
        <v>3028</v>
      </c>
    </row>
    <row r="40" spans="1:8" x14ac:dyDescent="0.25">
      <c r="A40" s="9" t="s">
        <v>1622</v>
      </c>
      <c r="B40" s="10" t="s">
        <v>426</v>
      </c>
      <c r="C40" s="10" t="s">
        <v>1727</v>
      </c>
      <c r="D40" s="10" t="s">
        <v>1728</v>
      </c>
      <c r="E40" s="10" t="s">
        <v>1729</v>
      </c>
      <c r="F40" s="10" t="s">
        <v>1627</v>
      </c>
      <c r="G40" s="15">
        <v>836.04</v>
      </c>
      <c r="H40" t="s">
        <v>3028</v>
      </c>
    </row>
    <row r="41" spans="1:8" x14ac:dyDescent="0.25">
      <c r="A41" s="9" t="s">
        <v>1622</v>
      </c>
      <c r="B41" s="10" t="s">
        <v>426</v>
      </c>
      <c r="C41" s="10" t="s">
        <v>1730</v>
      </c>
      <c r="D41" s="10" t="s">
        <v>1731</v>
      </c>
      <c r="E41" s="10" t="s">
        <v>1732</v>
      </c>
      <c r="F41" s="10" t="s">
        <v>1631</v>
      </c>
      <c r="G41" s="15">
        <v>836.04</v>
      </c>
      <c r="H41" t="s">
        <v>3028</v>
      </c>
    </row>
    <row r="42" spans="1:8" x14ac:dyDescent="0.25">
      <c r="A42" s="9" t="s">
        <v>1622</v>
      </c>
      <c r="B42" s="10" t="s">
        <v>440</v>
      </c>
      <c r="C42" s="10" t="s">
        <v>3028</v>
      </c>
      <c r="D42" s="10" t="s">
        <v>1733</v>
      </c>
      <c r="E42" s="10" t="s">
        <v>1734</v>
      </c>
      <c r="F42" s="10" t="s">
        <v>1631</v>
      </c>
      <c r="G42" s="15">
        <v>836.04</v>
      </c>
      <c r="H42" t="s">
        <v>3028</v>
      </c>
    </row>
    <row r="43" spans="1:8" x14ac:dyDescent="0.25">
      <c r="A43" s="9" t="s">
        <v>1622</v>
      </c>
      <c r="B43" s="10" t="s">
        <v>440</v>
      </c>
      <c r="C43" s="10" t="s">
        <v>3028</v>
      </c>
      <c r="D43" s="10" t="s">
        <v>1735</v>
      </c>
      <c r="E43" s="10" t="s">
        <v>1736</v>
      </c>
      <c r="F43" s="10" t="s">
        <v>1631</v>
      </c>
      <c r="G43" s="15">
        <v>836.04</v>
      </c>
      <c r="H43" t="s">
        <v>3028</v>
      </c>
    </row>
    <row r="44" spans="1:8" x14ac:dyDescent="0.25">
      <c r="A44" s="9" t="s">
        <v>1622</v>
      </c>
      <c r="B44" s="10" t="s">
        <v>440</v>
      </c>
      <c r="C44" s="10" t="s">
        <v>1737</v>
      </c>
      <c r="D44" s="10" t="s">
        <v>1738</v>
      </c>
      <c r="E44" s="10" t="s">
        <v>1739</v>
      </c>
      <c r="F44" s="10" t="s">
        <v>1627</v>
      </c>
      <c r="G44" s="15">
        <v>836.04</v>
      </c>
      <c r="H44" t="s">
        <v>3028</v>
      </c>
    </row>
    <row r="45" spans="1:8" x14ac:dyDescent="0.25">
      <c r="A45" s="9" t="s">
        <v>1622</v>
      </c>
      <c r="B45" s="10" t="s">
        <v>472</v>
      </c>
      <c r="C45" s="10" t="s">
        <v>1740</v>
      </c>
      <c r="D45" s="10" t="s">
        <v>1741</v>
      </c>
      <c r="E45" s="10" t="s">
        <v>1742</v>
      </c>
      <c r="F45" s="10" t="s">
        <v>1631</v>
      </c>
      <c r="G45" s="15">
        <v>836.04</v>
      </c>
      <c r="H45" t="s">
        <v>3028</v>
      </c>
    </row>
    <row r="46" spans="1:8" x14ac:dyDescent="0.25">
      <c r="A46" s="9" t="s">
        <v>1622</v>
      </c>
      <c r="B46" s="10" t="s">
        <v>478</v>
      </c>
      <c r="C46" s="10" t="s">
        <v>1743</v>
      </c>
      <c r="D46" s="10" t="s">
        <v>1744</v>
      </c>
      <c r="E46" s="10" t="s">
        <v>1745</v>
      </c>
      <c r="F46" s="10" t="s">
        <v>1627</v>
      </c>
      <c r="G46" s="15">
        <v>69.67</v>
      </c>
      <c r="H46" t="s">
        <v>3028</v>
      </c>
    </row>
    <row r="47" spans="1:8" x14ac:dyDescent="0.25">
      <c r="A47" s="9" t="s">
        <v>1622</v>
      </c>
      <c r="B47" s="10" t="s">
        <v>478</v>
      </c>
      <c r="C47" s="10" t="s">
        <v>1746</v>
      </c>
      <c r="D47" s="10" t="s">
        <v>1747</v>
      </c>
      <c r="E47" s="10" t="s">
        <v>1748</v>
      </c>
      <c r="F47" s="10" t="s">
        <v>1631</v>
      </c>
      <c r="G47" s="15">
        <v>69.67</v>
      </c>
      <c r="H47" t="s">
        <v>3028</v>
      </c>
    </row>
    <row r="48" spans="1:8" x14ac:dyDescent="0.25">
      <c r="A48" s="9" t="s">
        <v>1622</v>
      </c>
      <c r="B48" s="10" t="s">
        <v>478</v>
      </c>
      <c r="C48" s="10" t="s">
        <v>1749</v>
      </c>
      <c r="D48" s="10" t="s">
        <v>1750</v>
      </c>
      <c r="E48" s="10" t="s">
        <v>1751</v>
      </c>
      <c r="F48" s="10" t="s">
        <v>1631</v>
      </c>
      <c r="G48" s="15">
        <v>69.67</v>
      </c>
      <c r="H48" t="s">
        <v>3028</v>
      </c>
    </row>
    <row r="49" spans="1:8" x14ac:dyDescent="0.25">
      <c r="A49" s="9" t="s">
        <v>1622</v>
      </c>
      <c r="B49" s="10" t="s">
        <v>494</v>
      </c>
      <c r="C49" s="10" t="s">
        <v>3028</v>
      </c>
      <c r="D49" s="10" t="s">
        <v>1752</v>
      </c>
      <c r="E49" s="10" t="s">
        <v>1753</v>
      </c>
      <c r="F49" s="10" t="s">
        <v>1631</v>
      </c>
      <c r="G49" s="15">
        <v>836.04</v>
      </c>
      <c r="H49" t="s">
        <v>3028</v>
      </c>
    </row>
    <row r="50" spans="1:8" x14ac:dyDescent="0.25">
      <c r="A50" s="9" t="s">
        <v>1622</v>
      </c>
      <c r="B50" s="10" t="s">
        <v>494</v>
      </c>
      <c r="C50" s="10" t="s">
        <v>1754</v>
      </c>
      <c r="D50" s="10" t="s">
        <v>1755</v>
      </c>
      <c r="E50" s="10" t="s">
        <v>1756</v>
      </c>
      <c r="F50" s="10" t="s">
        <v>1627</v>
      </c>
      <c r="G50" s="15">
        <v>836.04</v>
      </c>
      <c r="H50" t="s">
        <v>3028</v>
      </c>
    </row>
    <row r="51" spans="1:8" x14ac:dyDescent="0.25">
      <c r="A51" s="9" t="s">
        <v>1622</v>
      </c>
      <c r="B51" s="10" t="s">
        <v>85</v>
      </c>
      <c r="C51" s="10" t="s">
        <v>3028</v>
      </c>
      <c r="D51" s="10" t="s">
        <v>1757</v>
      </c>
      <c r="E51" s="10" t="s">
        <v>1758</v>
      </c>
      <c r="F51" s="10" t="s">
        <v>1631</v>
      </c>
      <c r="G51" s="15">
        <v>836.04</v>
      </c>
      <c r="H51" t="s">
        <v>3028</v>
      </c>
    </row>
    <row r="52" spans="1:8" x14ac:dyDescent="0.25">
      <c r="A52" s="9" t="s">
        <v>1622</v>
      </c>
      <c r="B52" s="10" t="s">
        <v>85</v>
      </c>
      <c r="C52" s="10" t="s">
        <v>1759</v>
      </c>
      <c r="D52" s="10" t="s">
        <v>1760</v>
      </c>
      <c r="E52" s="10" t="s">
        <v>1761</v>
      </c>
      <c r="F52" s="10" t="s">
        <v>1627</v>
      </c>
      <c r="G52" s="15">
        <v>836.04</v>
      </c>
      <c r="H52" t="s">
        <v>3028</v>
      </c>
    </row>
    <row r="53" spans="1:8" x14ac:dyDescent="0.25">
      <c r="A53" s="9" t="s">
        <v>1622</v>
      </c>
      <c r="B53" s="10" t="s">
        <v>512</v>
      </c>
      <c r="C53" s="10" t="s">
        <v>3028</v>
      </c>
      <c r="D53" s="10" t="s">
        <v>1762</v>
      </c>
      <c r="E53" s="10" t="s">
        <v>1763</v>
      </c>
      <c r="F53" s="10" t="s">
        <v>1631</v>
      </c>
      <c r="G53" s="15">
        <v>836.04</v>
      </c>
      <c r="H53" t="s">
        <v>3028</v>
      </c>
    </row>
    <row r="54" spans="1:8" x14ac:dyDescent="0.25">
      <c r="A54" s="9" t="s">
        <v>1622</v>
      </c>
      <c r="B54" s="10" t="s">
        <v>512</v>
      </c>
      <c r="C54" s="10" t="s">
        <v>1764</v>
      </c>
      <c r="D54" s="10" t="s">
        <v>1765</v>
      </c>
      <c r="E54" s="10" t="s">
        <v>1766</v>
      </c>
      <c r="F54" s="10" t="s">
        <v>1627</v>
      </c>
      <c r="G54" s="15">
        <v>836.04</v>
      </c>
      <c r="H54" t="s">
        <v>3028</v>
      </c>
    </row>
    <row r="55" spans="1:8" x14ac:dyDescent="0.25">
      <c r="A55" s="9" t="s">
        <v>1622</v>
      </c>
      <c r="B55" s="10" t="s">
        <v>528</v>
      </c>
      <c r="C55" s="10" t="s">
        <v>1767</v>
      </c>
      <c r="D55" s="10" t="s">
        <v>1768</v>
      </c>
      <c r="E55" s="10" t="s">
        <v>1769</v>
      </c>
      <c r="F55" s="10" t="s">
        <v>1627</v>
      </c>
      <c r="G55" s="15">
        <v>836.04</v>
      </c>
      <c r="H55" t="s">
        <v>3028</v>
      </c>
    </row>
    <row r="56" spans="1:8" x14ac:dyDescent="0.25">
      <c r="A56" s="9" t="s">
        <v>1622</v>
      </c>
      <c r="B56" s="10" t="s">
        <v>568</v>
      </c>
      <c r="C56" s="10" t="s">
        <v>1770</v>
      </c>
      <c r="D56" s="10" t="s">
        <v>1771</v>
      </c>
      <c r="E56" s="10" t="s">
        <v>1772</v>
      </c>
      <c r="F56" s="10" t="s">
        <v>1627</v>
      </c>
      <c r="G56" s="15">
        <v>191.31</v>
      </c>
      <c r="H56" t="s">
        <v>3028</v>
      </c>
    </row>
    <row r="57" spans="1:8" x14ac:dyDescent="0.25">
      <c r="A57" s="9" t="s">
        <v>1622</v>
      </c>
      <c r="B57" s="10" t="s">
        <v>568</v>
      </c>
      <c r="C57" s="10" t="s">
        <v>1773</v>
      </c>
      <c r="D57" s="10" t="s">
        <v>1774</v>
      </c>
      <c r="E57" s="10" t="s">
        <v>1775</v>
      </c>
      <c r="F57" s="10" t="s">
        <v>1631</v>
      </c>
      <c r="G57" s="15">
        <v>191.31</v>
      </c>
      <c r="H57" t="s">
        <v>3028</v>
      </c>
    </row>
    <row r="58" spans="1:8" x14ac:dyDescent="0.25">
      <c r="A58" s="9" t="s">
        <v>1622</v>
      </c>
      <c r="B58" s="10" t="s">
        <v>568</v>
      </c>
      <c r="C58" s="10" t="s">
        <v>1776</v>
      </c>
      <c r="D58" s="10" t="s">
        <v>1777</v>
      </c>
      <c r="E58" s="10" t="s">
        <v>1778</v>
      </c>
      <c r="F58" s="10" t="s">
        <v>1631</v>
      </c>
      <c r="G58" s="15">
        <v>191.31</v>
      </c>
      <c r="H58" t="s">
        <v>3028</v>
      </c>
    </row>
    <row r="59" spans="1:8" x14ac:dyDescent="0.25">
      <c r="A59" s="9" t="s">
        <v>1622</v>
      </c>
      <c r="B59" s="10" t="s">
        <v>568</v>
      </c>
      <c r="C59" s="10" t="s">
        <v>1779</v>
      </c>
      <c r="D59" s="10" t="s">
        <v>1780</v>
      </c>
      <c r="E59" s="10" t="s">
        <v>1781</v>
      </c>
      <c r="F59" s="10" t="s">
        <v>1631</v>
      </c>
      <c r="G59" s="15">
        <v>191.31</v>
      </c>
      <c r="H59" t="s">
        <v>3028</v>
      </c>
    </row>
    <row r="60" spans="1:8" x14ac:dyDescent="0.25">
      <c r="A60" s="9" t="s">
        <v>1622</v>
      </c>
      <c r="B60" s="10" t="s">
        <v>588</v>
      </c>
      <c r="C60" s="10" t="s">
        <v>1782</v>
      </c>
      <c r="D60" s="10" t="s">
        <v>1783</v>
      </c>
      <c r="E60" s="10" t="s">
        <v>1784</v>
      </c>
      <c r="F60" s="10" t="s">
        <v>1627</v>
      </c>
      <c r="G60" s="15">
        <v>836.04</v>
      </c>
      <c r="H60" t="s">
        <v>3028</v>
      </c>
    </row>
    <row r="61" spans="1:8" x14ac:dyDescent="0.25">
      <c r="A61" s="9" t="s">
        <v>1622</v>
      </c>
      <c r="B61" s="10" t="s">
        <v>588</v>
      </c>
      <c r="C61" s="10" t="s">
        <v>1785</v>
      </c>
      <c r="D61" s="10" t="s">
        <v>1786</v>
      </c>
      <c r="E61" s="10" t="s">
        <v>1787</v>
      </c>
      <c r="F61" s="10" t="s">
        <v>1631</v>
      </c>
      <c r="G61" s="15">
        <v>836.04</v>
      </c>
      <c r="H61" t="s">
        <v>3028</v>
      </c>
    </row>
    <row r="62" spans="1:8" x14ac:dyDescent="0.25">
      <c r="A62" s="9" t="s">
        <v>1622</v>
      </c>
      <c r="B62" s="10" t="s">
        <v>616</v>
      </c>
      <c r="C62" s="10" t="s">
        <v>1788</v>
      </c>
      <c r="D62" s="10" t="s">
        <v>1789</v>
      </c>
      <c r="E62" s="10" t="s">
        <v>1790</v>
      </c>
      <c r="F62" s="10" t="s">
        <v>1627</v>
      </c>
      <c r="G62" s="15">
        <v>557.36</v>
      </c>
      <c r="H62" t="s">
        <v>3028</v>
      </c>
    </row>
    <row r="63" spans="1:8" x14ac:dyDescent="0.25">
      <c r="A63" s="9" t="s">
        <v>1622</v>
      </c>
      <c r="B63" s="10" t="s">
        <v>616</v>
      </c>
      <c r="C63" s="10" t="s">
        <v>1791</v>
      </c>
      <c r="D63" s="10" t="s">
        <v>1792</v>
      </c>
      <c r="E63" s="10" t="s">
        <v>1793</v>
      </c>
      <c r="F63" s="10" t="s">
        <v>1631</v>
      </c>
      <c r="G63" s="15">
        <v>557.36</v>
      </c>
      <c r="H63" t="s">
        <v>3028</v>
      </c>
    </row>
    <row r="64" spans="1:8" x14ac:dyDescent="0.25">
      <c r="A64" s="9" t="s">
        <v>1622</v>
      </c>
      <c r="B64" s="10" t="s">
        <v>616</v>
      </c>
      <c r="C64" s="10" t="s">
        <v>1794</v>
      </c>
      <c r="D64" s="10" t="s">
        <v>1795</v>
      </c>
      <c r="E64" s="10" t="s">
        <v>1796</v>
      </c>
      <c r="F64" s="10" t="s">
        <v>1631</v>
      </c>
      <c r="G64" s="15">
        <v>278.68</v>
      </c>
      <c r="H64" t="s">
        <v>3028</v>
      </c>
    </row>
    <row r="65" spans="1:8" x14ac:dyDescent="0.25">
      <c r="A65" s="9" t="s">
        <v>1622</v>
      </c>
      <c r="B65" s="10" t="s">
        <v>658</v>
      </c>
      <c r="C65" s="10" t="s">
        <v>1797</v>
      </c>
      <c r="D65" s="10" t="s">
        <v>1798</v>
      </c>
      <c r="E65" s="10" t="s">
        <v>1799</v>
      </c>
      <c r="F65" s="10" t="s">
        <v>1627</v>
      </c>
      <c r="G65" s="15">
        <v>2295.7199999999998</v>
      </c>
      <c r="H65" t="s">
        <v>3028</v>
      </c>
    </row>
    <row r="66" spans="1:8" x14ac:dyDescent="0.25">
      <c r="A66" s="9" t="s">
        <v>1622</v>
      </c>
      <c r="B66" s="10" t="s">
        <v>658</v>
      </c>
      <c r="C66" s="10" t="s">
        <v>1800</v>
      </c>
      <c r="D66" s="10" t="s">
        <v>1801</v>
      </c>
      <c r="E66" s="10" t="s">
        <v>1802</v>
      </c>
      <c r="F66" s="10" t="s">
        <v>1631</v>
      </c>
      <c r="G66" s="15">
        <v>2295.7199999999998</v>
      </c>
      <c r="H66" t="s">
        <v>3028</v>
      </c>
    </row>
    <row r="67" spans="1:8" x14ac:dyDescent="0.25">
      <c r="A67" s="9" t="s">
        <v>1622</v>
      </c>
      <c r="B67" s="10" t="s">
        <v>664</v>
      </c>
      <c r="C67" s="10" t="s">
        <v>1803</v>
      </c>
      <c r="D67" s="10" t="s">
        <v>1804</v>
      </c>
      <c r="E67" s="10" t="s">
        <v>1805</v>
      </c>
      <c r="F67" s="10" t="s">
        <v>1627</v>
      </c>
      <c r="G67" s="15">
        <v>209.01</v>
      </c>
      <c r="H67" t="s">
        <v>3028</v>
      </c>
    </row>
    <row r="68" spans="1:8" x14ac:dyDescent="0.25">
      <c r="A68" s="9" t="s">
        <v>1622</v>
      </c>
      <c r="B68" s="10" t="s">
        <v>668</v>
      </c>
      <c r="C68" s="10" t="s">
        <v>1806</v>
      </c>
      <c r="D68" s="10" t="s">
        <v>1807</v>
      </c>
      <c r="E68" s="10" t="s">
        <v>1808</v>
      </c>
      <c r="F68" s="10" t="s">
        <v>1627</v>
      </c>
      <c r="G68" s="15">
        <v>696.7</v>
      </c>
      <c r="H68" t="s">
        <v>3028</v>
      </c>
    </row>
    <row r="69" spans="1:8" x14ac:dyDescent="0.25">
      <c r="A69" s="9" t="s">
        <v>1622</v>
      </c>
      <c r="B69" s="10" t="s">
        <v>678</v>
      </c>
      <c r="C69" s="10" t="s">
        <v>3028</v>
      </c>
      <c r="D69" s="10" t="s">
        <v>1809</v>
      </c>
      <c r="E69" s="10" t="s">
        <v>1810</v>
      </c>
      <c r="F69" s="10" t="s">
        <v>1631</v>
      </c>
      <c r="G69" s="15">
        <v>836.04</v>
      </c>
      <c r="H69" t="s">
        <v>3028</v>
      </c>
    </row>
    <row r="70" spans="1:8" x14ac:dyDescent="0.25">
      <c r="A70" s="9" t="s">
        <v>1622</v>
      </c>
      <c r="B70" s="10" t="s">
        <v>678</v>
      </c>
      <c r="C70" s="10" t="s">
        <v>3028</v>
      </c>
      <c r="D70" s="10" t="s">
        <v>1811</v>
      </c>
      <c r="E70" s="10" t="s">
        <v>1812</v>
      </c>
      <c r="F70" s="10" t="s">
        <v>1631</v>
      </c>
      <c r="G70" s="15">
        <v>836.04</v>
      </c>
      <c r="H70" t="s">
        <v>3028</v>
      </c>
    </row>
    <row r="71" spans="1:8" x14ac:dyDescent="0.25">
      <c r="A71" s="9" t="s">
        <v>1622</v>
      </c>
      <c r="B71" s="10" t="s">
        <v>678</v>
      </c>
      <c r="C71" s="10" t="s">
        <v>1813</v>
      </c>
      <c r="D71" s="10" t="s">
        <v>1814</v>
      </c>
      <c r="E71" s="10" t="s">
        <v>1815</v>
      </c>
      <c r="F71" s="10" t="s">
        <v>1627</v>
      </c>
      <c r="G71" s="15">
        <v>836.04</v>
      </c>
      <c r="H71" t="s">
        <v>3028</v>
      </c>
    </row>
    <row r="72" spans="1:8" x14ac:dyDescent="0.25">
      <c r="A72" s="9" t="s">
        <v>1622</v>
      </c>
      <c r="B72" s="10" t="s">
        <v>697</v>
      </c>
      <c r="C72" s="10" t="s">
        <v>3028</v>
      </c>
      <c r="D72" s="10" t="s">
        <v>1816</v>
      </c>
      <c r="E72" s="10" t="s">
        <v>1817</v>
      </c>
      <c r="F72" s="10" t="s">
        <v>1631</v>
      </c>
      <c r="G72" s="15">
        <v>836.04</v>
      </c>
      <c r="H72" t="s">
        <v>3028</v>
      </c>
    </row>
    <row r="73" spans="1:8" x14ac:dyDescent="0.25">
      <c r="A73" s="9" t="s">
        <v>1622</v>
      </c>
      <c r="B73" s="10" t="s">
        <v>697</v>
      </c>
      <c r="C73" s="10" t="s">
        <v>3028</v>
      </c>
      <c r="D73" s="10" t="s">
        <v>1816</v>
      </c>
      <c r="E73" s="10" t="s">
        <v>1818</v>
      </c>
      <c r="F73" s="10" t="s">
        <v>1631</v>
      </c>
      <c r="G73" s="15">
        <v>836.04</v>
      </c>
      <c r="H73" t="s">
        <v>3028</v>
      </c>
    </row>
    <row r="74" spans="1:8" x14ac:dyDescent="0.25">
      <c r="A74" s="9" t="s">
        <v>1622</v>
      </c>
      <c r="B74" s="10" t="s">
        <v>697</v>
      </c>
      <c r="C74" s="10" t="s">
        <v>1819</v>
      </c>
      <c r="D74" s="10" t="s">
        <v>1820</v>
      </c>
      <c r="E74" s="10" t="s">
        <v>1821</v>
      </c>
      <c r="F74" s="10" t="s">
        <v>1627</v>
      </c>
      <c r="G74" s="15">
        <v>836.04</v>
      </c>
      <c r="H74" t="s">
        <v>3028</v>
      </c>
    </row>
    <row r="75" spans="1:8" x14ac:dyDescent="0.25">
      <c r="A75" s="9" t="s">
        <v>1622</v>
      </c>
      <c r="B75" s="10" t="s">
        <v>703</v>
      </c>
      <c r="C75" s="10" t="s">
        <v>3028</v>
      </c>
      <c r="D75" s="10" t="s">
        <v>1822</v>
      </c>
      <c r="E75" s="10" t="s">
        <v>1823</v>
      </c>
      <c r="F75" s="10" t="s">
        <v>1631</v>
      </c>
      <c r="G75" s="15">
        <v>836.04</v>
      </c>
      <c r="H75" t="s">
        <v>3028</v>
      </c>
    </row>
    <row r="76" spans="1:8" x14ac:dyDescent="0.25">
      <c r="A76" s="9" t="s">
        <v>1622</v>
      </c>
      <c r="B76" s="10" t="s">
        <v>703</v>
      </c>
      <c r="C76" s="10" t="s">
        <v>3028</v>
      </c>
      <c r="D76" s="10" t="s">
        <v>1824</v>
      </c>
      <c r="E76" s="10" t="s">
        <v>1825</v>
      </c>
      <c r="F76" s="10" t="s">
        <v>1631</v>
      </c>
      <c r="G76" s="15">
        <v>209.01</v>
      </c>
      <c r="H76" t="s">
        <v>3028</v>
      </c>
    </row>
    <row r="77" spans="1:8" x14ac:dyDescent="0.25">
      <c r="A77" s="9" t="s">
        <v>1622</v>
      </c>
      <c r="B77" s="10" t="s">
        <v>703</v>
      </c>
      <c r="C77" s="10" t="s">
        <v>1826</v>
      </c>
      <c r="D77" s="10" t="s">
        <v>1827</v>
      </c>
      <c r="E77" s="10" t="s">
        <v>1828</v>
      </c>
      <c r="F77" s="10" t="s">
        <v>1627</v>
      </c>
      <c r="G77" s="15">
        <v>836.04</v>
      </c>
      <c r="H77" t="s">
        <v>3028</v>
      </c>
    </row>
    <row r="78" spans="1:8" x14ac:dyDescent="0.25">
      <c r="A78" s="9" t="s">
        <v>1622</v>
      </c>
      <c r="B78" s="10" t="s">
        <v>730</v>
      </c>
      <c r="C78" s="10" t="s">
        <v>3028</v>
      </c>
      <c r="D78" s="10" t="s">
        <v>1829</v>
      </c>
      <c r="E78" s="10" t="s">
        <v>1830</v>
      </c>
      <c r="F78" s="10" t="s">
        <v>1631</v>
      </c>
      <c r="G78" s="15">
        <v>836.04</v>
      </c>
      <c r="H78" t="s">
        <v>3028</v>
      </c>
    </row>
    <row r="79" spans="1:8" x14ac:dyDescent="0.25">
      <c r="A79" s="9" t="s">
        <v>1622</v>
      </c>
      <c r="B79" s="10" t="s">
        <v>730</v>
      </c>
      <c r="C79" s="10" t="s">
        <v>1831</v>
      </c>
      <c r="D79" s="10" t="s">
        <v>1832</v>
      </c>
      <c r="E79" s="10" t="s">
        <v>1833</v>
      </c>
      <c r="F79" s="10" t="s">
        <v>1627</v>
      </c>
      <c r="G79" s="15">
        <v>836.04</v>
      </c>
      <c r="H79" t="s">
        <v>3028</v>
      </c>
    </row>
    <row r="80" spans="1:8" x14ac:dyDescent="0.25">
      <c r="A80" s="9" t="s">
        <v>1622</v>
      </c>
      <c r="B80" s="10" t="s">
        <v>730</v>
      </c>
      <c r="C80" s="10" t="s">
        <v>1834</v>
      </c>
      <c r="D80" s="10" t="s">
        <v>1835</v>
      </c>
      <c r="E80" s="10" t="s">
        <v>1836</v>
      </c>
      <c r="F80" s="10" t="s">
        <v>1631</v>
      </c>
      <c r="G80" s="15">
        <v>836.04</v>
      </c>
      <c r="H80" t="s">
        <v>3028</v>
      </c>
    </row>
    <row r="81" spans="1:8" x14ac:dyDescent="0.25">
      <c r="A81" s="9" t="s">
        <v>1622</v>
      </c>
      <c r="B81" s="10" t="s">
        <v>778</v>
      </c>
      <c r="C81" s="10" t="s">
        <v>1837</v>
      </c>
      <c r="D81" s="10" t="s">
        <v>1838</v>
      </c>
      <c r="E81" s="10" t="s">
        <v>1839</v>
      </c>
      <c r="F81" s="10" t="s">
        <v>1627</v>
      </c>
      <c r="G81" s="15">
        <v>836.04</v>
      </c>
      <c r="H81" t="s">
        <v>3028</v>
      </c>
    </row>
    <row r="82" spans="1:8" x14ac:dyDescent="0.25">
      <c r="A82" s="9" t="s">
        <v>1622</v>
      </c>
      <c r="B82" s="10" t="s">
        <v>800</v>
      </c>
      <c r="C82" s="10" t="s">
        <v>802</v>
      </c>
      <c r="D82" s="10" t="s">
        <v>803</v>
      </c>
      <c r="E82" s="10" t="s">
        <v>804</v>
      </c>
      <c r="F82" s="10" t="s">
        <v>1631</v>
      </c>
      <c r="G82" s="15">
        <v>627.03</v>
      </c>
      <c r="H82" t="s">
        <v>3028</v>
      </c>
    </row>
    <row r="83" spans="1:8" x14ac:dyDescent="0.25">
      <c r="A83" s="9" t="s">
        <v>1622</v>
      </c>
      <c r="B83" s="10" t="s">
        <v>800</v>
      </c>
      <c r="C83" s="10" t="s">
        <v>1840</v>
      </c>
      <c r="D83" s="10" t="s">
        <v>1841</v>
      </c>
      <c r="E83" s="10" t="s">
        <v>1842</v>
      </c>
      <c r="F83" s="10" t="s">
        <v>1631</v>
      </c>
      <c r="G83" s="15">
        <v>627.03</v>
      </c>
      <c r="H83" t="s">
        <v>3028</v>
      </c>
    </row>
    <row r="84" spans="1:8" x14ac:dyDescent="0.25">
      <c r="A84" s="9" t="s">
        <v>1622</v>
      </c>
      <c r="B84" s="10" t="s">
        <v>800</v>
      </c>
      <c r="C84" s="10" t="s">
        <v>1843</v>
      </c>
      <c r="D84" s="10" t="s">
        <v>1844</v>
      </c>
      <c r="E84" s="10" t="s">
        <v>1845</v>
      </c>
      <c r="F84" s="10" t="s">
        <v>1627</v>
      </c>
      <c r="G84" s="15">
        <v>627.03</v>
      </c>
      <c r="H84" t="s">
        <v>3028</v>
      </c>
    </row>
    <row r="85" spans="1:8" x14ac:dyDescent="0.25">
      <c r="A85" s="9" t="s">
        <v>1622</v>
      </c>
      <c r="B85" s="10" t="s">
        <v>813</v>
      </c>
      <c r="C85" s="10" t="s">
        <v>3028</v>
      </c>
      <c r="D85" s="10" t="s">
        <v>1846</v>
      </c>
      <c r="E85" s="10" t="s">
        <v>1847</v>
      </c>
      <c r="F85" s="10" t="s">
        <v>1631</v>
      </c>
      <c r="G85" s="15">
        <v>278.68</v>
      </c>
      <c r="H85" t="s">
        <v>3028</v>
      </c>
    </row>
    <row r="86" spans="1:8" x14ac:dyDescent="0.25">
      <c r="A86" s="9" t="s">
        <v>1622</v>
      </c>
      <c r="B86" s="10" t="s">
        <v>813</v>
      </c>
      <c r="C86" s="10" t="s">
        <v>1848</v>
      </c>
      <c r="D86" s="10" t="s">
        <v>1849</v>
      </c>
      <c r="E86" s="10" t="s">
        <v>1850</v>
      </c>
      <c r="F86" s="10" t="s">
        <v>1627</v>
      </c>
      <c r="G86" s="15">
        <v>836.04</v>
      </c>
      <c r="H86" t="s">
        <v>3028</v>
      </c>
    </row>
    <row r="87" spans="1:8" x14ac:dyDescent="0.25">
      <c r="A87" s="9" t="s">
        <v>1622</v>
      </c>
      <c r="B87" s="10" t="s">
        <v>848</v>
      </c>
      <c r="C87" s="10" t="s">
        <v>3028</v>
      </c>
      <c r="D87" s="10" t="s">
        <v>1851</v>
      </c>
      <c r="E87" s="10" t="s">
        <v>1852</v>
      </c>
      <c r="F87" s="10" t="s">
        <v>1631</v>
      </c>
      <c r="G87" s="15">
        <v>278.68</v>
      </c>
      <c r="H87" t="s">
        <v>3028</v>
      </c>
    </row>
    <row r="88" spans="1:8" x14ac:dyDescent="0.25">
      <c r="A88" s="9" t="s">
        <v>1622</v>
      </c>
      <c r="B88" s="10" t="s">
        <v>848</v>
      </c>
      <c r="C88" s="10" t="s">
        <v>3028</v>
      </c>
      <c r="D88" s="10" t="s">
        <v>1853</v>
      </c>
      <c r="E88" s="10" t="s">
        <v>1854</v>
      </c>
      <c r="F88" s="10" t="s">
        <v>1631</v>
      </c>
      <c r="G88" s="15">
        <v>278.68</v>
      </c>
      <c r="H88" t="s">
        <v>3028</v>
      </c>
    </row>
    <row r="89" spans="1:8" x14ac:dyDescent="0.25">
      <c r="A89" s="9" t="s">
        <v>1622</v>
      </c>
      <c r="B89" s="10" t="s">
        <v>848</v>
      </c>
      <c r="C89" s="10" t="s">
        <v>1855</v>
      </c>
      <c r="D89" s="10" t="s">
        <v>1856</v>
      </c>
      <c r="E89" s="10" t="s">
        <v>1857</v>
      </c>
      <c r="F89" s="10" t="s">
        <v>1627</v>
      </c>
      <c r="G89" s="15">
        <v>278.68</v>
      </c>
      <c r="H89" t="s">
        <v>3028</v>
      </c>
    </row>
    <row r="90" spans="1:8" x14ac:dyDescent="0.25">
      <c r="A90" s="9" t="s">
        <v>1622</v>
      </c>
      <c r="B90" s="10" t="s">
        <v>1125</v>
      </c>
      <c r="C90" s="10" t="s">
        <v>3028</v>
      </c>
      <c r="D90" s="10" t="s">
        <v>1858</v>
      </c>
      <c r="E90" s="10" t="s">
        <v>1859</v>
      </c>
      <c r="F90" s="10" t="s">
        <v>1631</v>
      </c>
      <c r="G90" s="15">
        <v>487.69</v>
      </c>
      <c r="H90" t="s">
        <v>3028</v>
      </c>
    </row>
    <row r="91" spans="1:8" x14ac:dyDescent="0.25">
      <c r="A91" s="9" t="s">
        <v>1622</v>
      </c>
      <c r="B91" s="10" t="s">
        <v>1125</v>
      </c>
      <c r="C91" s="10" t="s">
        <v>1860</v>
      </c>
      <c r="D91" s="10" t="s">
        <v>1861</v>
      </c>
      <c r="E91" s="10" t="s">
        <v>1862</v>
      </c>
      <c r="F91" s="10" t="s">
        <v>1627</v>
      </c>
      <c r="G91" s="15">
        <v>836.04</v>
      </c>
      <c r="H91" t="s">
        <v>3028</v>
      </c>
    </row>
    <row r="92" spans="1:8" x14ac:dyDescent="0.25">
      <c r="A92" s="9" t="s">
        <v>1622</v>
      </c>
      <c r="B92" s="10" t="s">
        <v>1273</v>
      </c>
      <c r="C92" s="10" t="s">
        <v>3028</v>
      </c>
      <c r="D92" s="10" t="s">
        <v>1863</v>
      </c>
      <c r="E92" s="10" t="s">
        <v>1864</v>
      </c>
      <c r="F92" s="10" t="s">
        <v>1631</v>
      </c>
      <c r="G92" s="15">
        <v>139.34</v>
      </c>
      <c r="H92" t="s">
        <v>3028</v>
      </c>
    </row>
    <row r="93" spans="1:8" x14ac:dyDescent="0.25">
      <c r="A93" s="9" t="s">
        <v>1622</v>
      </c>
      <c r="B93" s="10" t="s">
        <v>1273</v>
      </c>
      <c r="C93" s="10" t="s">
        <v>1275</v>
      </c>
      <c r="D93" s="10" t="s">
        <v>1865</v>
      </c>
      <c r="E93" s="10" t="s">
        <v>1276</v>
      </c>
      <c r="F93" s="10" t="s">
        <v>1627</v>
      </c>
      <c r="G93" s="15">
        <v>836.04</v>
      </c>
      <c r="H93" t="s">
        <v>3028</v>
      </c>
    </row>
    <row r="94" spans="1:8" x14ac:dyDescent="0.25">
      <c r="A94" s="9" t="s">
        <v>1622</v>
      </c>
      <c r="B94" s="10" t="s">
        <v>1287</v>
      </c>
      <c r="C94" s="10" t="s">
        <v>1866</v>
      </c>
      <c r="D94" s="10" t="s">
        <v>1867</v>
      </c>
      <c r="E94" s="10" t="s">
        <v>1868</v>
      </c>
      <c r="F94" s="10" t="s">
        <v>1627</v>
      </c>
      <c r="G94" s="15">
        <v>69.67</v>
      </c>
      <c r="H94" t="s">
        <v>3028</v>
      </c>
    </row>
    <row r="95" spans="1:8" x14ac:dyDescent="0.25">
      <c r="A95" s="9" t="s">
        <v>1622</v>
      </c>
      <c r="B95" s="10" t="s">
        <v>1552</v>
      </c>
      <c r="C95" s="10" t="s">
        <v>1869</v>
      </c>
      <c r="D95" s="10" t="s">
        <v>1870</v>
      </c>
      <c r="E95" s="10" t="s">
        <v>1871</v>
      </c>
      <c r="F95" s="10" t="s">
        <v>1631</v>
      </c>
      <c r="G95" s="15">
        <v>627.03</v>
      </c>
      <c r="H95" t="s">
        <v>3028</v>
      </c>
    </row>
    <row r="96" spans="1:8" x14ac:dyDescent="0.25">
      <c r="A96" s="9" t="s">
        <v>1622</v>
      </c>
      <c r="B96" s="10" t="s">
        <v>1552</v>
      </c>
      <c r="C96" s="10" t="s">
        <v>1872</v>
      </c>
      <c r="D96" s="10" t="s">
        <v>1873</v>
      </c>
      <c r="E96" s="10" t="s">
        <v>1874</v>
      </c>
      <c r="F96" s="10" t="s">
        <v>1875</v>
      </c>
      <c r="G96" s="15">
        <v>69.67</v>
      </c>
      <c r="H96" t="s">
        <v>3028</v>
      </c>
    </row>
    <row r="97" spans="1:8" x14ac:dyDescent="0.25">
      <c r="A97" s="9" t="s">
        <v>1622</v>
      </c>
      <c r="B97" s="10" t="s">
        <v>1558</v>
      </c>
      <c r="C97" s="10" t="s">
        <v>1876</v>
      </c>
      <c r="D97" s="10" t="s">
        <v>1877</v>
      </c>
      <c r="E97" s="10" t="s">
        <v>1878</v>
      </c>
      <c r="F97" s="10" t="s">
        <v>1631</v>
      </c>
      <c r="G97" s="15">
        <v>2295.7199999999998</v>
      </c>
      <c r="H97" t="s">
        <v>3028</v>
      </c>
    </row>
    <row r="98" spans="1:8" x14ac:dyDescent="0.25">
      <c r="A98" s="9" t="s">
        <v>1622</v>
      </c>
      <c r="B98" s="10" t="s">
        <v>1558</v>
      </c>
      <c r="C98" s="10" t="s">
        <v>1879</v>
      </c>
      <c r="D98" s="10" t="s">
        <v>1880</v>
      </c>
      <c r="E98" s="10" t="s">
        <v>1881</v>
      </c>
      <c r="F98" s="10" t="s">
        <v>1627</v>
      </c>
      <c r="G98" s="15">
        <v>2295.7199999999998</v>
      </c>
      <c r="H98" t="s">
        <v>3028</v>
      </c>
    </row>
    <row r="99" spans="1:8" x14ac:dyDescent="0.25">
      <c r="A99" s="9" t="s">
        <v>1622</v>
      </c>
      <c r="B99" s="10" t="s">
        <v>1594</v>
      </c>
      <c r="C99" s="10" t="s">
        <v>1882</v>
      </c>
      <c r="D99" s="10" t="s">
        <v>1883</v>
      </c>
      <c r="E99" s="10" t="s">
        <v>1884</v>
      </c>
      <c r="F99" s="10" t="s">
        <v>1627</v>
      </c>
      <c r="G99" s="15">
        <v>836.04</v>
      </c>
      <c r="H99" t="s">
        <v>3028</v>
      </c>
    </row>
    <row r="100" spans="1:8" x14ac:dyDescent="0.25">
      <c r="A100" s="9" t="s">
        <v>1622</v>
      </c>
      <c r="B100" s="10" t="s">
        <v>1594</v>
      </c>
      <c r="C100" s="10" t="s">
        <v>1885</v>
      </c>
      <c r="D100" s="10" t="s">
        <v>1886</v>
      </c>
      <c r="E100" s="10" t="s">
        <v>1887</v>
      </c>
      <c r="F100" s="10" t="s">
        <v>1631</v>
      </c>
      <c r="G100" s="15">
        <v>836.04</v>
      </c>
      <c r="H100" t="s">
        <v>3028</v>
      </c>
    </row>
    <row r="101" spans="1:8" x14ac:dyDescent="0.25">
      <c r="A101" s="9" t="s">
        <v>1622</v>
      </c>
      <c r="B101" s="10" t="s">
        <v>1594</v>
      </c>
      <c r="C101" s="10" t="s">
        <v>1888</v>
      </c>
      <c r="D101" s="10" t="s">
        <v>1886</v>
      </c>
      <c r="E101" s="10" t="s">
        <v>1889</v>
      </c>
      <c r="F101" s="10" t="s">
        <v>1631</v>
      </c>
      <c r="G101" s="15">
        <v>836.04</v>
      </c>
      <c r="H101" t="s">
        <v>3028</v>
      </c>
    </row>
    <row r="102" spans="1:8" x14ac:dyDescent="0.25">
      <c r="A102" s="9" t="s">
        <v>1622</v>
      </c>
      <c r="B102" s="10" t="s">
        <v>1594</v>
      </c>
      <c r="C102" s="10" t="s">
        <v>1890</v>
      </c>
      <c r="D102" s="10" t="s">
        <v>1886</v>
      </c>
      <c r="E102" s="10" t="s">
        <v>1891</v>
      </c>
      <c r="F102" s="10" t="s">
        <v>1631</v>
      </c>
      <c r="G102" s="15">
        <v>836.04</v>
      </c>
      <c r="H102" t="s">
        <v>3028</v>
      </c>
    </row>
    <row r="103" spans="1:8" x14ac:dyDescent="0.25">
      <c r="A103" s="9" t="s">
        <v>1896</v>
      </c>
      <c r="B103" s="10" t="s">
        <v>342</v>
      </c>
      <c r="C103" s="10" t="s">
        <v>1897</v>
      </c>
      <c r="D103" s="10" t="s">
        <v>1898</v>
      </c>
      <c r="E103" s="10" t="s">
        <v>1899</v>
      </c>
      <c r="F103" s="10" t="s">
        <v>1627</v>
      </c>
      <c r="G103" s="15">
        <v>317.14</v>
      </c>
      <c r="H103" t="s">
        <v>3028</v>
      </c>
    </row>
    <row r="104" spans="1:8" x14ac:dyDescent="0.25">
      <c r="A104" s="9" t="s">
        <v>1896</v>
      </c>
      <c r="B104" s="10" t="s">
        <v>416</v>
      </c>
      <c r="C104" s="10" t="s">
        <v>1900</v>
      </c>
      <c r="D104" s="10" t="s">
        <v>1901</v>
      </c>
      <c r="E104" s="10" t="s">
        <v>1902</v>
      </c>
      <c r="F104" s="10" t="s">
        <v>1627</v>
      </c>
      <c r="G104" s="15">
        <v>188.19</v>
      </c>
      <c r="H104" t="s">
        <v>3028</v>
      </c>
    </row>
    <row r="105" spans="1:8" x14ac:dyDescent="0.25">
      <c r="A105" s="9" t="s">
        <v>1896</v>
      </c>
      <c r="B105" s="10" t="s">
        <v>1209</v>
      </c>
      <c r="C105" s="10" t="s">
        <v>3028</v>
      </c>
      <c r="D105" s="10" t="s">
        <v>1903</v>
      </c>
      <c r="E105" s="10" t="s">
        <v>1904</v>
      </c>
      <c r="F105" s="10" t="s">
        <v>1631</v>
      </c>
      <c r="G105" s="15">
        <v>85.03</v>
      </c>
      <c r="H105" t="s">
        <v>3028</v>
      </c>
    </row>
    <row r="106" spans="1:8" x14ac:dyDescent="0.25">
      <c r="A106" s="9" t="s">
        <v>1896</v>
      </c>
      <c r="B106" s="10" t="s">
        <v>1209</v>
      </c>
      <c r="C106" s="10" t="s">
        <v>1905</v>
      </c>
      <c r="D106" s="10" t="s">
        <v>1906</v>
      </c>
      <c r="E106" s="10" t="s">
        <v>1907</v>
      </c>
      <c r="F106" s="10" t="s">
        <v>1627</v>
      </c>
      <c r="G106" s="15">
        <v>317.14</v>
      </c>
      <c r="H106" t="s">
        <v>3028</v>
      </c>
    </row>
    <row r="107" spans="1:8" x14ac:dyDescent="0.25">
      <c r="A107" s="9" t="s">
        <v>1896</v>
      </c>
      <c r="B107" s="10" t="s">
        <v>1275</v>
      </c>
      <c r="C107" s="10" t="s">
        <v>3028</v>
      </c>
      <c r="D107" s="10" t="s">
        <v>1863</v>
      </c>
      <c r="E107" s="10" t="s">
        <v>1864</v>
      </c>
      <c r="F107" s="10" t="s">
        <v>1631</v>
      </c>
      <c r="G107" s="15">
        <v>59.24</v>
      </c>
      <c r="H107" t="s">
        <v>3028</v>
      </c>
    </row>
    <row r="108" spans="1:8" x14ac:dyDescent="0.25">
      <c r="A108" s="9" t="s">
        <v>1912</v>
      </c>
      <c r="B108" s="10" t="s">
        <v>93</v>
      </c>
      <c r="C108" s="10" t="s">
        <v>3028</v>
      </c>
      <c r="D108" s="10" t="s">
        <v>1914</v>
      </c>
      <c r="E108" s="10" t="s">
        <v>1915</v>
      </c>
      <c r="F108" s="10" t="s">
        <v>1631</v>
      </c>
      <c r="G108" s="15">
        <v>73.650000000000006</v>
      </c>
      <c r="H108" t="s">
        <v>3028</v>
      </c>
    </row>
    <row r="109" spans="1:8" x14ac:dyDescent="0.25">
      <c r="A109" s="9" t="s">
        <v>1912</v>
      </c>
      <c r="B109" s="10" t="s">
        <v>93</v>
      </c>
      <c r="C109" s="10" t="s">
        <v>1916</v>
      </c>
      <c r="D109" s="10" t="s">
        <v>1917</v>
      </c>
      <c r="E109" s="10" t="s">
        <v>1918</v>
      </c>
      <c r="F109" s="10" t="s">
        <v>1627</v>
      </c>
      <c r="G109" s="15">
        <v>19.14</v>
      </c>
      <c r="H109" t="s">
        <v>3028</v>
      </c>
    </row>
    <row r="110" spans="1:8" x14ac:dyDescent="0.25">
      <c r="A110" s="9" t="s">
        <v>1912</v>
      </c>
      <c r="B110" s="10" t="s">
        <v>95</v>
      </c>
      <c r="C110" s="10" t="s">
        <v>1919</v>
      </c>
      <c r="D110" s="10" t="s">
        <v>1920</v>
      </c>
      <c r="E110" s="10" t="s">
        <v>1921</v>
      </c>
      <c r="F110" s="10" t="s">
        <v>1627</v>
      </c>
      <c r="G110" s="15">
        <v>73.650000000000006</v>
      </c>
      <c r="H110" t="s">
        <v>3028</v>
      </c>
    </row>
    <row r="111" spans="1:8" x14ac:dyDescent="0.25">
      <c r="A111" s="9" t="s">
        <v>1912</v>
      </c>
      <c r="B111" s="10" t="s">
        <v>97</v>
      </c>
      <c r="C111" s="10" t="s">
        <v>3028</v>
      </c>
      <c r="D111" s="10" t="s">
        <v>1922</v>
      </c>
      <c r="E111" s="10" t="s">
        <v>1923</v>
      </c>
      <c r="F111" s="10" t="s">
        <v>1631</v>
      </c>
      <c r="G111" s="15">
        <v>73.650000000000006</v>
      </c>
      <c r="H111" t="s">
        <v>3028</v>
      </c>
    </row>
    <row r="112" spans="1:8" x14ac:dyDescent="0.25">
      <c r="A112" s="9" t="s">
        <v>1912</v>
      </c>
      <c r="B112" s="10" t="s">
        <v>97</v>
      </c>
      <c r="C112" s="10" t="s">
        <v>1924</v>
      </c>
      <c r="D112" s="10" t="s">
        <v>1925</v>
      </c>
      <c r="E112" s="10" t="s">
        <v>1926</v>
      </c>
      <c r="F112" s="10" t="s">
        <v>1627</v>
      </c>
      <c r="G112" s="15">
        <v>73.650000000000006</v>
      </c>
      <c r="H112" t="s">
        <v>3028</v>
      </c>
    </row>
    <row r="113" spans="1:8" x14ac:dyDescent="0.25">
      <c r="A113" s="9" t="s">
        <v>1912</v>
      </c>
      <c r="B113" s="10" t="s">
        <v>101</v>
      </c>
      <c r="C113" s="10" t="s">
        <v>1927</v>
      </c>
      <c r="D113" s="10" t="s">
        <v>1928</v>
      </c>
      <c r="E113" s="10" t="s">
        <v>1929</v>
      </c>
      <c r="F113" s="10" t="s">
        <v>1631</v>
      </c>
      <c r="G113" s="15">
        <v>73.650000000000006</v>
      </c>
      <c r="H113" t="s">
        <v>3028</v>
      </c>
    </row>
    <row r="114" spans="1:8" x14ac:dyDescent="0.25">
      <c r="A114" s="9" t="s">
        <v>1912</v>
      </c>
      <c r="B114" s="10" t="s">
        <v>101</v>
      </c>
      <c r="C114" s="10" t="s">
        <v>1930</v>
      </c>
      <c r="D114" s="10" t="s">
        <v>1931</v>
      </c>
      <c r="E114" s="10" t="s">
        <v>1932</v>
      </c>
      <c r="F114" s="10" t="s">
        <v>1627</v>
      </c>
      <c r="G114" s="15">
        <v>73.650000000000006</v>
      </c>
      <c r="H114" t="s">
        <v>3028</v>
      </c>
    </row>
    <row r="115" spans="1:8" x14ac:dyDescent="0.25">
      <c r="A115" s="9" t="s">
        <v>1912</v>
      </c>
      <c r="B115" s="10" t="s">
        <v>105</v>
      </c>
      <c r="C115" s="10" t="s">
        <v>1933</v>
      </c>
      <c r="D115" s="10" t="s">
        <v>1934</v>
      </c>
      <c r="E115" s="10" t="s">
        <v>1935</v>
      </c>
      <c r="F115" s="10" t="s">
        <v>1627</v>
      </c>
      <c r="G115" s="15">
        <v>73.650000000000006</v>
      </c>
      <c r="H115" t="s">
        <v>3028</v>
      </c>
    </row>
    <row r="116" spans="1:8" x14ac:dyDescent="0.25">
      <c r="A116" s="9" t="s">
        <v>1912</v>
      </c>
      <c r="B116" s="10" t="s">
        <v>105</v>
      </c>
      <c r="C116" s="10" t="s">
        <v>1936</v>
      </c>
      <c r="D116" s="10" t="s">
        <v>1937</v>
      </c>
      <c r="E116" s="10" t="s">
        <v>1938</v>
      </c>
      <c r="F116" s="10" t="s">
        <v>1631</v>
      </c>
      <c r="G116" s="15">
        <v>73.650000000000006</v>
      </c>
      <c r="H116" t="s">
        <v>3028</v>
      </c>
    </row>
    <row r="117" spans="1:8" x14ac:dyDescent="0.25">
      <c r="A117" s="9" t="s">
        <v>1912</v>
      </c>
      <c r="B117" s="10" t="s">
        <v>107</v>
      </c>
      <c r="C117" s="10" t="s">
        <v>3028</v>
      </c>
      <c r="D117" s="10" t="s">
        <v>1939</v>
      </c>
      <c r="E117" s="10" t="s">
        <v>1940</v>
      </c>
      <c r="F117" s="10" t="s">
        <v>1631</v>
      </c>
      <c r="G117" s="15">
        <v>13.07</v>
      </c>
      <c r="H117" t="s">
        <v>3028</v>
      </c>
    </row>
    <row r="118" spans="1:8" x14ac:dyDescent="0.25">
      <c r="A118" s="9" t="s">
        <v>1912</v>
      </c>
      <c r="B118" s="10" t="s">
        <v>107</v>
      </c>
      <c r="C118" s="10" t="s">
        <v>3028</v>
      </c>
      <c r="D118" s="10" t="s">
        <v>1941</v>
      </c>
      <c r="E118" s="10" t="s">
        <v>1942</v>
      </c>
      <c r="F118" s="10" t="s">
        <v>1631</v>
      </c>
      <c r="G118" s="15">
        <v>13.07</v>
      </c>
      <c r="H118" t="s">
        <v>3028</v>
      </c>
    </row>
    <row r="119" spans="1:8" x14ac:dyDescent="0.25">
      <c r="A119" s="9" t="s">
        <v>1912</v>
      </c>
      <c r="B119" s="10" t="s">
        <v>107</v>
      </c>
      <c r="C119" s="10" t="s">
        <v>1943</v>
      </c>
      <c r="D119" s="10" t="s">
        <v>1944</v>
      </c>
      <c r="E119" s="10" t="s">
        <v>1945</v>
      </c>
      <c r="F119" s="10" t="s">
        <v>1627</v>
      </c>
      <c r="G119" s="15">
        <v>13.07</v>
      </c>
      <c r="H119" t="s">
        <v>3028</v>
      </c>
    </row>
    <row r="120" spans="1:8" x14ac:dyDescent="0.25">
      <c r="A120" s="9" t="s">
        <v>1912</v>
      </c>
      <c r="B120" s="10" t="s">
        <v>107</v>
      </c>
      <c r="C120" s="10" t="s">
        <v>1946</v>
      </c>
      <c r="D120" s="10" t="s">
        <v>1947</v>
      </c>
      <c r="E120" s="10" t="s">
        <v>1948</v>
      </c>
      <c r="F120" s="10" t="s">
        <v>1631</v>
      </c>
      <c r="G120" s="15">
        <v>13.07</v>
      </c>
      <c r="H120" t="s">
        <v>3028</v>
      </c>
    </row>
    <row r="121" spans="1:8" x14ac:dyDescent="0.25">
      <c r="A121" s="9" t="s">
        <v>1912</v>
      </c>
      <c r="B121" s="10" t="s">
        <v>117</v>
      </c>
      <c r="C121" s="10" t="s">
        <v>1949</v>
      </c>
      <c r="D121" s="10" t="s">
        <v>1950</v>
      </c>
      <c r="E121" s="10" t="s">
        <v>1951</v>
      </c>
      <c r="F121" s="10" t="s">
        <v>1627</v>
      </c>
      <c r="G121" s="15">
        <v>43.4</v>
      </c>
      <c r="H121" t="s">
        <v>3028</v>
      </c>
    </row>
    <row r="122" spans="1:8" x14ac:dyDescent="0.25">
      <c r="A122" s="9" t="s">
        <v>1912</v>
      </c>
      <c r="B122" s="10" t="s">
        <v>119</v>
      </c>
      <c r="C122" s="10" t="s">
        <v>1952</v>
      </c>
      <c r="D122" s="10" t="s">
        <v>1953</v>
      </c>
      <c r="E122" s="10" t="s">
        <v>1954</v>
      </c>
      <c r="F122" s="10" t="s">
        <v>1627</v>
      </c>
      <c r="G122" s="15">
        <v>43.4</v>
      </c>
      <c r="H122" t="s">
        <v>3028</v>
      </c>
    </row>
    <row r="123" spans="1:8" x14ac:dyDescent="0.25">
      <c r="A123" s="9" t="s">
        <v>1912</v>
      </c>
      <c r="B123" s="10" t="s">
        <v>127</v>
      </c>
      <c r="C123" s="10" t="s">
        <v>1955</v>
      </c>
      <c r="D123" s="10" t="s">
        <v>1956</v>
      </c>
      <c r="E123" s="10" t="s">
        <v>1957</v>
      </c>
      <c r="F123" s="10" t="s">
        <v>1627</v>
      </c>
      <c r="G123" s="15">
        <v>73.650000000000006</v>
      </c>
      <c r="H123" t="s">
        <v>3028</v>
      </c>
    </row>
    <row r="124" spans="1:8" x14ac:dyDescent="0.25">
      <c r="A124" s="9" t="s">
        <v>1912</v>
      </c>
      <c r="B124" s="10" t="s">
        <v>131</v>
      </c>
      <c r="C124" s="10" t="s">
        <v>1958</v>
      </c>
      <c r="D124" s="10" t="s">
        <v>1959</v>
      </c>
      <c r="E124" s="10" t="s">
        <v>1960</v>
      </c>
      <c r="F124" s="10" t="s">
        <v>1627</v>
      </c>
      <c r="G124" s="15">
        <v>43.4</v>
      </c>
      <c r="H124" t="s">
        <v>3028</v>
      </c>
    </row>
    <row r="125" spans="1:8" x14ac:dyDescent="0.25">
      <c r="A125" s="9" t="s">
        <v>1912</v>
      </c>
      <c r="B125" s="10" t="s">
        <v>137</v>
      </c>
      <c r="C125" s="10" t="s">
        <v>1635</v>
      </c>
      <c r="D125" s="10" t="s">
        <v>1636</v>
      </c>
      <c r="E125" s="10" t="s">
        <v>1637</v>
      </c>
      <c r="F125" s="10" t="s">
        <v>1627</v>
      </c>
      <c r="G125" s="15">
        <v>43.4</v>
      </c>
      <c r="H125" t="s">
        <v>3028</v>
      </c>
    </row>
    <row r="126" spans="1:8" x14ac:dyDescent="0.25">
      <c r="A126" s="9" t="s">
        <v>1912</v>
      </c>
      <c r="B126" s="10" t="s">
        <v>137</v>
      </c>
      <c r="C126" s="10" t="s">
        <v>1638</v>
      </c>
      <c r="D126" s="10" t="s">
        <v>1639</v>
      </c>
      <c r="E126" s="10" t="s">
        <v>1640</v>
      </c>
      <c r="F126" s="10" t="s">
        <v>1631</v>
      </c>
      <c r="G126" s="15">
        <v>43.4</v>
      </c>
      <c r="H126" t="s">
        <v>3028</v>
      </c>
    </row>
    <row r="127" spans="1:8" x14ac:dyDescent="0.25">
      <c r="A127" s="9" t="s">
        <v>1912</v>
      </c>
      <c r="B127" s="10" t="s">
        <v>145</v>
      </c>
      <c r="C127" s="10" t="s">
        <v>1961</v>
      </c>
      <c r="D127" s="10" t="s">
        <v>1962</v>
      </c>
      <c r="E127" s="10" t="s">
        <v>1963</v>
      </c>
      <c r="F127" s="10" t="s">
        <v>1627</v>
      </c>
      <c r="G127" s="15">
        <v>73.650000000000006</v>
      </c>
      <c r="H127" t="s">
        <v>3028</v>
      </c>
    </row>
    <row r="128" spans="1:8" x14ac:dyDescent="0.25">
      <c r="A128" s="9" t="s">
        <v>1912</v>
      </c>
      <c r="B128" s="10" t="s">
        <v>145</v>
      </c>
      <c r="C128" s="10" t="s">
        <v>1964</v>
      </c>
      <c r="D128" s="10" t="s">
        <v>1965</v>
      </c>
      <c r="E128" s="10" t="s">
        <v>1966</v>
      </c>
      <c r="F128" s="10" t="s">
        <v>1631</v>
      </c>
      <c r="G128" s="15">
        <v>73.650000000000006</v>
      </c>
      <c r="H128" t="s">
        <v>3028</v>
      </c>
    </row>
    <row r="129" spans="1:8" x14ac:dyDescent="0.25">
      <c r="A129" s="9" t="s">
        <v>1912</v>
      </c>
      <c r="B129" s="10" t="s">
        <v>149</v>
      </c>
      <c r="C129" s="10" t="s">
        <v>3028</v>
      </c>
      <c r="D129" s="10" t="s">
        <v>1967</v>
      </c>
      <c r="E129" s="10" t="s">
        <v>1968</v>
      </c>
      <c r="F129" s="10" t="s">
        <v>1631</v>
      </c>
      <c r="G129" s="15">
        <v>73.650000000000006</v>
      </c>
      <c r="H129" t="s">
        <v>3028</v>
      </c>
    </row>
    <row r="130" spans="1:8" x14ac:dyDescent="0.25">
      <c r="A130" s="9" t="s">
        <v>1912</v>
      </c>
      <c r="B130" s="10" t="s">
        <v>149</v>
      </c>
      <c r="C130" s="10" t="s">
        <v>1969</v>
      </c>
      <c r="D130" s="10" t="s">
        <v>1970</v>
      </c>
      <c r="E130" s="10" t="s">
        <v>1971</v>
      </c>
      <c r="F130" s="10" t="s">
        <v>1627</v>
      </c>
      <c r="G130" s="15">
        <v>73.650000000000006</v>
      </c>
      <c r="H130" t="s">
        <v>3028</v>
      </c>
    </row>
    <row r="131" spans="1:8" x14ac:dyDescent="0.25">
      <c r="A131" s="9" t="s">
        <v>1912</v>
      </c>
      <c r="B131" s="10" t="s">
        <v>155</v>
      </c>
      <c r="C131" s="10" t="s">
        <v>3028</v>
      </c>
      <c r="D131" s="10" t="s">
        <v>1972</v>
      </c>
      <c r="E131" s="10" t="s">
        <v>1973</v>
      </c>
      <c r="F131" s="10" t="s">
        <v>1631</v>
      </c>
      <c r="G131" s="15">
        <v>73.650000000000006</v>
      </c>
      <c r="H131" t="s">
        <v>3028</v>
      </c>
    </row>
    <row r="132" spans="1:8" x14ac:dyDescent="0.25">
      <c r="A132" s="9" t="s">
        <v>1912</v>
      </c>
      <c r="B132" s="10" t="s">
        <v>155</v>
      </c>
      <c r="C132" s="10" t="s">
        <v>3028</v>
      </c>
      <c r="D132" s="10" t="s">
        <v>1974</v>
      </c>
      <c r="E132" s="10" t="s">
        <v>1975</v>
      </c>
      <c r="F132" s="10" t="s">
        <v>1631</v>
      </c>
      <c r="G132" s="15">
        <v>73.650000000000006</v>
      </c>
      <c r="H132" t="s">
        <v>3028</v>
      </c>
    </row>
    <row r="133" spans="1:8" x14ac:dyDescent="0.25">
      <c r="A133" s="9" t="s">
        <v>1912</v>
      </c>
      <c r="B133" s="10" t="s">
        <v>155</v>
      </c>
      <c r="C133" s="10" t="s">
        <v>3028</v>
      </c>
      <c r="D133" s="10" t="s">
        <v>1976</v>
      </c>
      <c r="E133" s="10" t="s">
        <v>1977</v>
      </c>
      <c r="F133" s="10" t="s">
        <v>1631</v>
      </c>
      <c r="G133" s="15">
        <v>73.650000000000006</v>
      </c>
      <c r="H133" t="s">
        <v>3028</v>
      </c>
    </row>
    <row r="134" spans="1:8" x14ac:dyDescent="0.25">
      <c r="A134" s="9" t="s">
        <v>1912</v>
      </c>
      <c r="B134" s="10" t="s">
        <v>155</v>
      </c>
      <c r="C134" s="10" t="s">
        <v>1978</v>
      </c>
      <c r="D134" s="10" t="s">
        <v>1979</v>
      </c>
      <c r="E134" s="10" t="s">
        <v>1980</v>
      </c>
      <c r="F134" s="10" t="s">
        <v>1627</v>
      </c>
      <c r="G134" s="15">
        <v>73.650000000000006</v>
      </c>
      <c r="H134" t="s">
        <v>3028</v>
      </c>
    </row>
    <row r="135" spans="1:8" x14ac:dyDescent="0.25">
      <c r="A135" s="9" t="s">
        <v>1912</v>
      </c>
      <c r="B135" s="10" t="s">
        <v>159</v>
      </c>
      <c r="C135" s="10" t="s">
        <v>3028</v>
      </c>
      <c r="D135" s="10" t="s">
        <v>1981</v>
      </c>
      <c r="E135" s="10" t="s">
        <v>1982</v>
      </c>
      <c r="F135" s="10" t="s">
        <v>1983</v>
      </c>
      <c r="G135" s="15">
        <v>73.650000000000006</v>
      </c>
      <c r="H135" t="s">
        <v>3028</v>
      </c>
    </row>
    <row r="136" spans="1:8" x14ac:dyDescent="0.25">
      <c r="A136" s="9" t="s">
        <v>1912</v>
      </c>
      <c r="B136" s="10" t="s">
        <v>159</v>
      </c>
      <c r="C136" s="10" t="s">
        <v>1984</v>
      </c>
      <c r="D136" s="10" t="s">
        <v>1985</v>
      </c>
      <c r="E136" s="10" t="s">
        <v>1986</v>
      </c>
      <c r="F136" s="10" t="s">
        <v>1627</v>
      </c>
      <c r="G136" s="15">
        <v>73.650000000000006</v>
      </c>
      <c r="H136" t="s">
        <v>3028</v>
      </c>
    </row>
    <row r="137" spans="1:8" x14ac:dyDescent="0.25">
      <c r="A137" s="9" t="s">
        <v>1912</v>
      </c>
      <c r="B137" s="10" t="s">
        <v>161</v>
      </c>
      <c r="C137" s="10" t="s">
        <v>163</v>
      </c>
      <c r="D137" s="10" t="s">
        <v>164</v>
      </c>
      <c r="E137" s="10" t="s">
        <v>165</v>
      </c>
      <c r="F137" s="10" t="s">
        <v>1631</v>
      </c>
      <c r="G137" s="15">
        <v>73.650000000000006</v>
      </c>
      <c r="H137" t="s">
        <v>3028</v>
      </c>
    </row>
    <row r="138" spans="1:8" x14ac:dyDescent="0.25">
      <c r="A138" s="9" t="s">
        <v>1912</v>
      </c>
      <c r="B138" s="10" t="s">
        <v>166</v>
      </c>
      <c r="C138" s="10" t="s">
        <v>1987</v>
      </c>
      <c r="D138" s="10" t="s">
        <v>1988</v>
      </c>
      <c r="E138" s="10" t="s">
        <v>1989</v>
      </c>
      <c r="F138" s="10" t="s">
        <v>1627</v>
      </c>
      <c r="G138" s="15">
        <v>73.650000000000006</v>
      </c>
      <c r="H138" t="s">
        <v>3028</v>
      </c>
    </row>
    <row r="139" spans="1:8" x14ac:dyDescent="0.25">
      <c r="A139" s="9" t="s">
        <v>1912</v>
      </c>
      <c r="B139" s="10" t="s">
        <v>166</v>
      </c>
      <c r="C139" s="10" t="s">
        <v>1990</v>
      </c>
      <c r="D139" s="10" t="s">
        <v>1991</v>
      </c>
      <c r="E139" s="10" t="s">
        <v>1992</v>
      </c>
      <c r="F139" s="10" t="s">
        <v>1983</v>
      </c>
      <c r="G139" s="15">
        <v>73.650000000000006</v>
      </c>
      <c r="H139" t="s">
        <v>3028</v>
      </c>
    </row>
    <row r="140" spans="1:8" x14ac:dyDescent="0.25">
      <c r="A140" s="9" t="s">
        <v>1912</v>
      </c>
      <c r="B140" s="10" t="s">
        <v>172</v>
      </c>
      <c r="C140" s="10" t="s">
        <v>3028</v>
      </c>
      <c r="D140" s="10" t="s">
        <v>1641</v>
      </c>
      <c r="E140" s="10" t="s">
        <v>1642</v>
      </c>
      <c r="F140" s="10" t="s">
        <v>1631</v>
      </c>
      <c r="G140" s="15">
        <v>19.14</v>
      </c>
      <c r="H140" t="s">
        <v>3028</v>
      </c>
    </row>
    <row r="141" spans="1:8" x14ac:dyDescent="0.25">
      <c r="A141" s="9" t="s">
        <v>1912</v>
      </c>
      <c r="B141" s="10" t="s">
        <v>172</v>
      </c>
      <c r="C141" s="10" t="s">
        <v>1643</v>
      </c>
      <c r="D141" s="10" t="s">
        <v>1644</v>
      </c>
      <c r="E141" s="10" t="s">
        <v>1645</v>
      </c>
      <c r="F141" s="10" t="s">
        <v>1627</v>
      </c>
      <c r="G141" s="15">
        <v>19.14</v>
      </c>
      <c r="H141" t="s">
        <v>3028</v>
      </c>
    </row>
    <row r="142" spans="1:8" x14ac:dyDescent="0.25">
      <c r="A142" s="9" t="s">
        <v>1912</v>
      </c>
      <c r="B142" s="10" t="s">
        <v>172</v>
      </c>
      <c r="C142" s="10" t="s">
        <v>1646</v>
      </c>
      <c r="D142" s="10" t="s">
        <v>1647</v>
      </c>
      <c r="E142" s="10" t="s">
        <v>1648</v>
      </c>
      <c r="F142" s="10" t="s">
        <v>1631</v>
      </c>
      <c r="G142" s="15">
        <v>19.14</v>
      </c>
      <c r="H142" t="s">
        <v>3028</v>
      </c>
    </row>
    <row r="143" spans="1:8" x14ac:dyDescent="0.25">
      <c r="A143" s="9" t="s">
        <v>1912</v>
      </c>
      <c r="B143" s="10" t="s">
        <v>176</v>
      </c>
      <c r="C143" s="10" t="s">
        <v>1993</v>
      </c>
      <c r="D143" s="10" t="s">
        <v>1994</v>
      </c>
      <c r="E143" s="10" t="s">
        <v>1995</v>
      </c>
      <c r="F143" s="10" t="s">
        <v>1627</v>
      </c>
      <c r="G143" s="15">
        <v>73.650000000000006</v>
      </c>
      <c r="H143" t="s">
        <v>3028</v>
      </c>
    </row>
    <row r="144" spans="1:8" x14ac:dyDescent="0.25">
      <c r="A144" s="9" t="s">
        <v>1912</v>
      </c>
      <c r="B144" s="10" t="s">
        <v>178</v>
      </c>
      <c r="C144" s="10" t="s">
        <v>3028</v>
      </c>
      <c r="D144" s="10" t="s">
        <v>1996</v>
      </c>
      <c r="E144" s="10" t="s">
        <v>1997</v>
      </c>
      <c r="F144" s="10" t="s">
        <v>1631</v>
      </c>
      <c r="G144" s="15">
        <v>67.599999999999994</v>
      </c>
      <c r="H144" t="s">
        <v>3028</v>
      </c>
    </row>
    <row r="145" spans="1:8" x14ac:dyDescent="0.25">
      <c r="A145" s="9" t="s">
        <v>1912</v>
      </c>
      <c r="B145" s="10" t="s">
        <v>178</v>
      </c>
      <c r="C145" s="10" t="s">
        <v>1998</v>
      </c>
      <c r="D145" s="10" t="s">
        <v>1999</v>
      </c>
      <c r="E145" s="10" t="s">
        <v>2000</v>
      </c>
      <c r="F145" s="10" t="s">
        <v>1627</v>
      </c>
      <c r="G145" s="15">
        <v>67.599999999999994</v>
      </c>
      <c r="H145" t="s">
        <v>3028</v>
      </c>
    </row>
    <row r="146" spans="1:8" x14ac:dyDescent="0.25">
      <c r="A146" s="9" t="s">
        <v>1912</v>
      </c>
      <c r="B146" s="10" t="s">
        <v>178</v>
      </c>
      <c r="C146" s="10" t="s">
        <v>2001</v>
      </c>
      <c r="D146" s="10" t="s">
        <v>2002</v>
      </c>
      <c r="E146" s="10" t="s">
        <v>2003</v>
      </c>
      <c r="F146" s="10" t="s">
        <v>1631</v>
      </c>
      <c r="G146" s="15">
        <v>67.599999999999994</v>
      </c>
      <c r="H146" t="s">
        <v>3028</v>
      </c>
    </row>
    <row r="147" spans="1:8" x14ac:dyDescent="0.25">
      <c r="A147" s="9" t="s">
        <v>1912</v>
      </c>
      <c r="B147" s="10" t="s">
        <v>184</v>
      </c>
      <c r="C147" s="10" t="s">
        <v>3028</v>
      </c>
      <c r="D147" s="10" t="s">
        <v>1649</v>
      </c>
      <c r="E147" s="10" t="s">
        <v>1650</v>
      </c>
      <c r="F147" s="10" t="s">
        <v>1631</v>
      </c>
      <c r="G147" s="15">
        <v>73.650000000000006</v>
      </c>
      <c r="H147" t="s">
        <v>3028</v>
      </c>
    </row>
    <row r="148" spans="1:8" x14ac:dyDescent="0.25">
      <c r="A148" s="9" t="s">
        <v>1912</v>
      </c>
      <c r="B148" s="10" t="s">
        <v>186</v>
      </c>
      <c r="C148" s="10" t="s">
        <v>2004</v>
      </c>
      <c r="D148" s="10" t="s">
        <v>2005</v>
      </c>
      <c r="E148" s="10" t="s">
        <v>2006</v>
      </c>
      <c r="F148" s="10" t="s">
        <v>1627</v>
      </c>
      <c r="G148" s="15">
        <v>73.650000000000006</v>
      </c>
      <c r="H148" t="s">
        <v>3028</v>
      </c>
    </row>
    <row r="149" spans="1:8" x14ac:dyDescent="0.25">
      <c r="A149" s="9" t="s">
        <v>1912</v>
      </c>
      <c r="B149" s="10" t="s">
        <v>186</v>
      </c>
      <c r="C149" s="10" t="s">
        <v>2007</v>
      </c>
      <c r="D149" s="10" t="s">
        <v>2008</v>
      </c>
      <c r="E149" s="10" t="s">
        <v>2009</v>
      </c>
      <c r="F149" s="10" t="s">
        <v>1631</v>
      </c>
      <c r="G149" s="15">
        <v>73.650000000000006</v>
      </c>
      <c r="H149" t="s">
        <v>3028</v>
      </c>
    </row>
    <row r="150" spans="1:8" x14ac:dyDescent="0.25">
      <c r="A150" s="9" t="s">
        <v>1912</v>
      </c>
      <c r="B150" s="10" t="s">
        <v>186</v>
      </c>
      <c r="C150" s="10" t="s">
        <v>2010</v>
      </c>
      <c r="D150" s="10" t="s">
        <v>2008</v>
      </c>
      <c r="E150" s="10" t="s">
        <v>2011</v>
      </c>
      <c r="F150" s="10" t="s">
        <v>1631</v>
      </c>
      <c r="G150" s="15">
        <v>73.650000000000006</v>
      </c>
      <c r="H150" t="s">
        <v>3028</v>
      </c>
    </row>
    <row r="151" spans="1:8" x14ac:dyDescent="0.25">
      <c r="A151" s="9" t="s">
        <v>1912</v>
      </c>
      <c r="B151" s="10" t="s">
        <v>196</v>
      </c>
      <c r="C151" s="10" t="s">
        <v>3028</v>
      </c>
      <c r="D151" s="10" t="s">
        <v>2012</v>
      </c>
      <c r="E151" s="10" t="s">
        <v>2013</v>
      </c>
      <c r="F151" s="10" t="s">
        <v>1631</v>
      </c>
      <c r="G151" s="15">
        <v>73.650000000000006</v>
      </c>
      <c r="H151" t="s">
        <v>3028</v>
      </c>
    </row>
    <row r="152" spans="1:8" x14ac:dyDescent="0.25">
      <c r="A152" s="9" t="s">
        <v>1912</v>
      </c>
      <c r="B152" s="10" t="s">
        <v>196</v>
      </c>
      <c r="C152" s="10" t="s">
        <v>2014</v>
      </c>
      <c r="D152" s="10" t="s">
        <v>2015</v>
      </c>
      <c r="E152" s="10" t="s">
        <v>2016</v>
      </c>
      <c r="F152" s="10" t="s">
        <v>1627</v>
      </c>
      <c r="G152" s="15">
        <v>73.650000000000006</v>
      </c>
      <c r="H152" t="s">
        <v>3028</v>
      </c>
    </row>
    <row r="153" spans="1:8" x14ac:dyDescent="0.25">
      <c r="A153" s="9" t="s">
        <v>1912</v>
      </c>
      <c r="B153" s="10" t="s">
        <v>202</v>
      </c>
      <c r="C153" s="10" t="s">
        <v>2017</v>
      </c>
      <c r="D153" s="10" t="s">
        <v>2018</v>
      </c>
      <c r="E153" s="10" t="s">
        <v>2019</v>
      </c>
      <c r="F153" s="10" t="s">
        <v>1627</v>
      </c>
      <c r="G153" s="15">
        <v>73.650000000000006</v>
      </c>
      <c r="H153" t="s">
        <v>3028</v>
      </c>
    </row>
    <row r="154" spans="1:8" x14ac:dyDescent="0.25">
      <c r="A154" s="9" t="s">
        <v>1912</v>
      </c>
      <c r="B154" s="10" t="s">
        <v>202</v>
      </c>
      <c r="C154" s="10" t="s">
        <v>2020</v>
      </c>
      <c r="D154" s="10" t="s">
        <v>2021</v>
      </c>
      <c r="E154" s="10" t="s">
        <v>2022</v>
      </c>
      <c r="F154" s="10" t="s">
        <v>1631</v>
      </c>
      <c r="G154" s="15">
        <v>73.650000000000006</v>
      </c>
      <c r="H154" t="s">
        <v>3028</v>
      </c>
    </row>
    <row r="155" spans="1:8" x14ac:dyDescent="0.25">
      <c r="A155" s="9" t="s">
        <v>1912</v>
      </c>
      <c r="B155" s="10" t="s">
        <v>202</v>
      </c>
      <c r="C155" s="10" t="s">
        <v>2023</v>
      </c>
      <c r="D155" s="10" t="s">
        <v>2024</v>
      </c>
      <c r="E155" s="10" t="s">
        <v>2025</v>
      </c>
      <c r="F155" s="10" t="s">
        <v>1631</v>
      </c>
      <c r="G155" s="15">
        <v>73.650000000000006</v>
      </c>
      <c r="H155" t="s">
        <v>3028</v>
      </c>
    </row>
    <row r="156" spans="1:8" x14ac:dyDescent="0.25">
      <c r="A156" s="9" t="s">
        <v>1912</v>
      </c>
      <c r="B156" s="10" t="s">
        <v>204</v>
      </c>
      <c r="C156" s="10" t="s">
        <v>2026</v>
      </c>
      <c r="D156" s="10" t="s">
        <v>2027</v>
      </c>
      <c r="E156" s="10" t="s">
        <v>2028</v>
      </c>
      <c r="F156" s="10" t="s">
        <v>1627</v>
      </c>
      <c r="G156" s="15">
        <v>73.650000000000006</v>
      </c>
      <c r="H156" t="s">
        <v>3028</v>
      </c>
    </row>
    <row r="157" spans="1:8" x14ac:dyDescent="0.25">
      <c r="A157" s="9" t="s">
        <v>1912</v>
      </c>
      <c r="B157" s="10" t="s">
        <v>206</v>
      </c>
      <c r="C157" s="10" t="s">
        <v>1653</v>
      </c>
      <c r="D157" s="10" t="s">
        <v>1654</v>
      </c>
      <c r="E157" s="10" t="s">
        <v>1655</v>
      </c>
      <c r="F157" s="10" t="s">
        <v>1627</v>
      </c>
      <c r="G157" s="15">
        <v>49.45</v>
      </c>
      <c r="H157" t="s">
        <v>3028</v>
      </c>
    </row>
    <row r="158" spans="1:8" x14ac:dyDescent="0.25">
      <c r="A158" s="9" t="s">
        <v>1912</v>
      </c>
      <c r="B158" s="10" t="s">
        <v>212</v>
      </c>
      <c r="C158" s="10" t="s">
        <v>3028</v>
      </c>
      <c r="D158" s="10" t="s">
        <v>2029</v>
      </c>
      <c r="E158" s="10" t="s">
        <v>2030</v>
      </c>
      <c r="F158" s="10" t="s">
        <v>1631</v>
      </c>
      <c r="G158" s="15">
        <v>73.650000000000006</v>
      </c>
      <c r="H158" t="s">
        <v>3028</v>
      </c>
    </row>
    <row r="159" spans="1:8" x14ac:dyDescent="0.25">
      <c r="A159" s="9" t="s">
        <v>1912</v>
      </c>
      <c r="B159" s="10" t="s">
        <v>212</v>
      </c>
      <c r="C159" s="10" t="s">
        <v>2031</v>
      </c>
      <c r="D159" s="10" t="s">
        <v>2032</v>
      </c>
      <c r="E159" s="10" t="s">
        <v>2033</v>
      </c>
      <c r="F159" s="10" t="s">
        <v>1627</v>
      </c>
      <c r="G159" s="15">
        <v>73.650000000000006</v>
      </c>
      <c r="H159" t="s">
        <v>3028</v>
      </c>
    </row>
    <row r="160" spans="1:8" x14ac:dyDescent="0.25">
      <c r="A160" s="9" t="s">
        <v>1912</v>
      </c>
      <c r="B160" s="10" t="s">
        <v>212</v>
      </c>
      <c r="C160" s="10" t="s">
        <v>2034</v>
      </c>
      <c r="D160" s="10" t="s">
        <v>2035</v>
      </c>
      <c r="E160" s="10" t="s">
        <v>2036</v>
      </c>
      <c r="F160" s="10" t="s">
        <v>1631</v>
      </c>
      <c r="G160" s="15">
        <v>73.650000000000006</v>
      </c>
      <c r="H160" t="s">
        <v>3028</v>
      </c>
    </row>
    <row r="161" spans="1:8" x14ac:dyDescent="0.25">
      <c r="A161" s="9" t="s">
        <v>1912</v>
      </c>
      <c r="B161" s="10" t="s">
        <v>216</v>
      </c>
      <c r="C161" s="10" t="s">
        <v>2037</v>
      </c>
      <c r="D161" s="10" t="s">
        <v>2038</v>
      </c>
      <c r="E161" s="10" t="s">
        <v>2039</v>
      </c>
      <c r="F161" s="10" t="s">
        <v>1627</v>
      </c>
      <c r="G161" s="15">
        <v>73.650000000000006</v>
      </c>
      <c r="H161" t="s">
        <v>3028</v>
      </c>
    </row>
    <row r="162" spans="1:8" x14ac:dyDescent="0.25">
      <c r="A162" s="9" t="s">
        <v>1912</v>
      </c>
      <c r="B162" s="10" t="s">
        <v>218</v>
      </c>
      <c r="C162" s="10" t="s">
        <v>3028</v>
      </c>
      <c r="D162" s="10" t="s">
        <v>220</v>
      </c>
      <c r="E162" s="10" t="s">
        <v>221</v>
      </c>
      <c r="F162" s="10" t="s">
        <v>1631</v>
      </c>
      <c r="G162" s="15">
        <v>30.25</v>
      </c>
      <c r="H162" t="s">
        <v>3028</v>
      </c>
    </row>
    <row r="163" spans="1:8" x14ac:dyDescent="0.25">
      <c r="A163" s="9" t="s">
        <v>1912</v>
      </c>
      <c r="B163" s="10" t="s">
        <v>222</v>
      </c>
      <c r="C163" s="10" t="s">
        <v>2040</v>
      </c>
      <c r="D163" s="10" t="s">
        <v>2041</v>
      </c>
      <c r="E163" s="10" t="s">
        <v>2042</v>
      </c>
      <c r="F163" s="10" t="s">
        <v>1627</v>
      </c>
      <c r="G163" s="15">
        <v>276.22000000000003</v>
      </c>
      <c r="H163" t="s">
        <v>3028</v>
      </c>
    </row>
    <row r="164" spans="1:8" x14ac:dyDescent="0.25">
      <c r="A164" s="9" t="s">
        <v>1912</v>
      </c>
      <c r="B164" s="10" t="s">
        <v>224</v>
      </c>
      <c r="C164" s="10" t="s">
        <v>2043</v>
      </c>
      <c r="D164" s="10" t="s">
        <v>2044</v>
      </c>
      <c r="E164" s="10" t="s">
        <v>2045</v>
      </c>
      <c r="F164" s="10" t="s">
        <v>1627</v>
      </c>
      <c r="G164" s="15">
        <v>73.650000000000006</v>
      </c>
      <c r="H164" t="s">
        <v>3028</v>
      </c>
    </row>
    <row r="165" spans="1:8" x14ac:dyDescent="0.25">
      <c r="A165" s="9" t="s">
        <v>1912</v>
      </c>
      <c r="B165" s="10" t="s">
        <v>246</v>
      </c>
      <c r="C165" s="10" t="s">
        <v>1661</v>
      </c>
      <c r="D165" s="10" t="s">
        <v>1662</v>
      </c>
      <c r="E165" s="10" t="s">
        <v>1663</v>
      </c>
      <c r="F165" s="10" t="s">
        <v>1627</v>
      </c>
      <c r="G165" s="15">
        <v>73.650000000000006</v>
      </c>
      <c r="H165" t="s">
        <v>3028</v>
      </c>
    </row>
    <row r="166" spans="1:8" x14ac:dyDescent="0.25">
      <c r="A166" s="9" t="s">
        <v>1912</v>
      </c>
      <c r="B166" s="10" t="s">
        <v>246</v>
      </c>
      <c r="C166" s="10" t="s">
        <v>1664</v>
      </c>
      <c r="D166" s="10" t="s">
        <v>1665</v>
      </c>
      <c r="E166" s="10" t="s">
        <v>1666</v>
      </c>
      <c r="F166" s="10" t="s">
        <v>1631</v>
      </c>
      <c r="G166" s="15">
        <v>73.650000000000006</v>
      </c>
      <c r="H166" t="s">
        <v>3028</v>
      </c>
    </row>
    <row r="167" spans="1:8" x14ac:dyDescent="0.25">
      <c r="A167" s="9" t="s">
        <v>1912</v>
      </c>
      <c r="B167" s="10" t="s">
        <v>246</v>
      </c>
      <c r="C167" s="10" t="s">
        <v>1667</v>
      </c>
      <c r="D167" s="10" t="s">
        <v>1668</v>
      </c>
      <c r="E167" s="10" t="s">
        <v>1669</v>
      </c>
      <c r="F167" s="10" t="s">
        <v>1631</v>
      </c>
      <c r="G167" s="15">
        <v>73.650000000000006</v>
      </c>
      <c r="H167" t="s">
        <v>3028</v>
      </c>
    </row>
    <row r="168" spans="1:8" x14ac:dyDescent="0.25">
      <c r="A168" s="9" t="s">
        <v>1912</v>
      </c>
      <c r="B168" s="10" t="s">
        <v>250</v>
      </c>
      <c r="C168" s="10" t="s">
        <v>3028</v>
      </c>
      <c r="D168" s="10" t="s">
        <v>2046</v>
      </c>
      <c r="E168" s="10" t="s">
        <v>2047</v>
      </c>
      <c r="F168" s="10" t="s">
        <v>1631</v>
      </c>
      <c r="G168" s="15">
        <v>36.299999999999997</v>
      </c>
      <c r="H168" t="s">
        <v>3028</v>
      </c>
    </row>
    <row r="169" spans="1:8" x14ac:dyDescent="0.25">
      <c r="A169" s="9" t="s">
        <v>1912</v>
      </c>
      <c r="B169" s="10" t="s">
        <v>250</v>
      </c>
      <c r="C169" s="10" t="s">
        <v>2048</v>
      </c>
      <c r="D169" s="10" t="s">
        <v>2049</v>
      </c>
      <c r="E169" s="10" t="s">
        <v>2050</v>
      </c>
      <c r="F169" s="10" t="s">
        <v>1627</v>
      </c>
      <c r="G169" s="15">
        <v>36.299999999999997</v>
      </c>
      <c r="H169" t="s">
        <v>3028</v>
      </c>
    </row>
    <row r="170" spans="1:8" x14ac:dyDescent="0.25">
      <c r="A170" s="9" t="s">
        <v>1912</v>
      </c>
      <c r="B170" s="10" t="s">
        <v>254</v>
      </c>
      <c r="C170" s="10" t="s">
        <v>2051</v>
      </c>
      <c r="D170" s="10" t="s">
        <v>2052</v>
      </c>
      <c r="E170" s="10" t="s">
        <v>2053</v>
      </c>
      <c r="F170" s="10" t="s">
        <v>1627</v>
      </c>
      <c r="G170" s="15">
        <v>124.49</v>
      </c>
      <c r="H170" t="s">
        <v>3028</v>
      </c>
    </row>
    <row r="171" spans="1:8" x14ac:dyDescent="0.25">
      <c r="A171" s="9" t="s">
        <v>1912</v>
      </c>
      <c r="B171" s="10" t="s">
        <v>256</v>
      </c>
      <c r="C171" s="10" t="s">
        <v>2054</v>
      </c>
      <c r="D171" s="10" t="s">
        <v>2055</v>
      </c>
      <c r="E171" s="10" t="s">
        <v>2056</v>
      </c>
      <c r="F171" s="10" t="s">
        <v>1627</v>
      </c>
      <c r="G171" s="15">
        <v>73.650000000000006</v>
      </c>
      <c r="H171" t="s">
        <v>3028</v>
      </c>
    </row>
    <row r="172" spans="1:8" x14ac:dyDescent="0.25">
      <c r="A172" s="9" t="s">
        <v>1912</v>
      </c>
      <c r="B172" s="10" t="s">
        <v>258</v>
      </c>
      <c r="C172" s="10" t="s">
        <v>2057</v>
      </c>
      <c r="D172" s="10" t="s">
        <v>2058</v>
      </c>
      <c r="E172" s="10" t="s">
        <v>2059</v>
      </c>
      <c r="F172" s="10" t="s">
        <v>1627</v>
      </c>
      <c r="G172" s="15">
        <v>42.45</v>
      </c>
      <c r="H172" t="s">
        <v>3028</v>
      </c>
    </row>
    <row r="173" spans="1:8" x14ac:dyDescent="0.25">
      <c r="A173" s="9" t="s">
        <v>1912</v>
      </c>
      <c r="B173" s="10" t="s">
        <v>262</v>
      </c>
      <c r="C173" s="10" t="s">
        <v>2060</v>
      </c>
      <c r="D173" s="10" t="s">
        <v>2061</v>
      </c>
      <c r="E173" s="10" t="s">
        <v>2062</v>
      </c>
      <c r="F173" s="10" t="s">
        <v>1627</v>
      </c>
      <c r="G173" s="15">
        <v>73.650000000000006</v>
      </c>
      <c r="H173" t="s">
        <v>3028</v>
      </c>
    </row>
    <row r="174" spans="1:8" x14ac:dyDescent="0.25">
      <c r="A174" s="9" t="s">
        <v>1912</v>
      </c>
      <c r="B174" s="10" t="s">
        <v>264</v>
      </c>
      <c r="C174" s="10" t="s">
        <v>3028</v>
      </c>
      <c r="D174" s="10" t="s">
        <v>2063</v>
      </c>
      <c r="E174" s="10" t="s">
        <v>2064</v>
      </c>
      <c r="F174" s="10" t="s">
        <v>1631</v>
      </c>
      <c r="G174" s="15">
        <v>73.650000000000006</v>
      </c>
      <c r="H174" t="s">
        <v>3028</v>
      </c>
    </row>
    <row r="175" spans="1:8" x14ac:dyDescent="0.25">
      <c r="A175" s="9" t="s">
        <v>1912</v>
      </c>
      <c r="B175" s="10" t="s">
        <v>264</v>
      </c>
      <c r="C175" s="10" t="s">
        <v>2065</v>
      </c>
      <c r="D175" s="10" t="s">
        <v>2066</v>
      </c>
      <c r="E175" s="10" t="s">
        <v>2067</v>
      </c>
      <c r="F175" s="10" t="s">
        <v>1627</v>
      </c>
      <c r="G175" s="15">
        <v>73.650000000000006</v>
      </c>
      <c r="H175" t="s">
        <v>3028</v>
      </c>
    </row>
    <row r="176" spans="1:8" x14ac:dyDescent="0.25">
      <c r="A176" s="9" t="s">
        <v>1912</v>
      </c>
      <c r="B176" s="10" t="s">
        <v>268</v>
      </c>
      <c r="C176" s="10" t="s">
        <v>2068</v>
      </c>
      <c r="D176" s="10" t="s">
        <v>2069</v>
      </c>
      <c r="E176" s="10" t="s">
        <v>2070</v>
      </c>
      <c r="F176" s="10" t="s">
        <v>1627</v>
      </c>
      <c r="G176" s="15">
        <v>36.299999999999997</v>
      </c>
      <c r="H176" t="s">
        <v>3028</v>
      </c>
    </row>
    <row r="177" spans="1:8" x14ac:dyDescent="0.25">
      <c r="A177" s="9" t="s">
        <v>1912</v>
      </c>
      <c r="B177" s="10" t="s">
        <v>272</v>
      </c>
      <c r="C177" s="10" t="s">
        <v>3028</v>
      </c>
      <c r="D177" s="10" t="s">
        <v>1676</v>
      </c>
      <c r="E177" s="10" t="s">
        <v>1677</v>
      </c>
      <c r="F177" s="10" t="s">
        <v>1631</v>
      </c>
      <c r="G177" s="15">
        <v>465.77</v>
      </c>
      <c r="H177" t="s">
        <v>3028</v>
      </c>
    </row>
    <row r="178" spans="1:8" x14ac:dyDescent="0.25">
      <c r="A178" s="9" t="s">
        <v>1912</v>
      </c>
      <c r="B178" s="10" t="s">
        <v>272</v>
      </c>
      <c r="C178" s="10" t="s">
        <v>1678</v>
      </c>
      <c r="D178" s="10" t="s">
        <v>1679</v>
      </c>
      <c r="E178" s="10" t="s">
        <v>1680</v>
      </c>
      <c r="F178" s="10" t="s">
        <v>1627</v>
      </c>
      <c r="G178" s="15">
        <v>465.77</v>
      </c>
      <c r="H178" t="s">
        <v>3028</v>
      </c>
    </row>
    <row r="179" spans="1:8" x14ac:dyDescent="0.25">
      <c r="A179" s="9" t="s">
        <v>1912</v>
      </c>
      <c r="B179" s="10" t="s">
        <v>274</v>
      </c>
      <c r="C179" s="10" t="s">
        <v>3028</v>
      </c>
      <c r="D179" s="10" t="s">
        <v>2071</v>
      </c>
      <c r="E179" s="10" t="s">
        <v>2072</v>
      </c>
      <c r="F179" s="10" t="s">
        <v>1631</v>
      </c>
      <c r="G179" s="15">
        <v>73.650000000000006</v>
      </c>
      <c r="H179" t="s">
        <v>3028</v>
      </c>
    </row>
    <row r="180" spans="1:8" x14ac:dyDescent="0.25">
      <c r="A180" s="9" t="s">
        <v>1912</v>
      </c>
      <c r="B180" s="10" t="s">
        <v>274</v>
      </c>
      <c r="C180" s="10" t="s">
        <v>2073</v>
      </c>
      <c r="D180" s="10" t="s">
        <v>2074</v>
      </c>
      <c r="E180" s="10" t="s">
        <v>2075</v>
      </c>
      <c r="F180" s="10" t="s">
        <v>1627</v>
      </c>
      <c r="G180" s="15">
        <v>73.650000000000006</v>
      </c>
      <c r="H180" t="s">
        <v>3028</v>
      </c>
    </row>
    <row r="181" spans="1:8" x14ac:dyDescent="0.25">
      <c r="A181" s="9" t="s">
        <v>1912</v>
      </c>
      <c r="B181" s="10" t="s">
        <v>274</v>
      </c>
      <c r="C181" s="10" t="s">
        <v>2076</v>
      </c>
      <c r="D181" s="10" t="s">
        <v>2077</v>
      </c>
      <c r="E181" s="10" t="s">
        <v>2078</v>
      </c>
      <c r="F181" s="10" t="s">
        <v>1983</v>
      </c>
      <c r="G181" s="15">
        <v>73.650000000000006</v>
      </c>
      <c r="H181" t="s">
        <v>3028</v>
      </c>
    </row>
    <row r="182" spans="1:8" x14ac:dyDescent="0.25">
      <c r="A182" s="9" t="s">
        <v>1912</v>
      </c>
      <c r="B182" s="10" t="s">
        <v>280</v>
      </c>
      <c r="C182" s="10" t="s">
        <v>2079</v>
      </c>
      <c r="D182" s="10" t="s">
        <v>2080</v>
      </c>
      <c r="E182" s="10" t="s">
        <v>2081</v>
      </c>
      <c r="F182" s="10" t="s">
        <v>1627</v>
      </c>
      <c r="G182" s="15">
        <v>43.4</v>
      </c>
      <c r="H182" t="s">
        <v>3028</v>
      </c>
    </row>
    <row r="183" spans="1:8" x14ac:dyDescent="0.25">
      <c r="A183" s="9" t="s">
        <v>1912</v>
      </c>
      <c r="B183" s="10" t="s">
        <v>290</v>
      </c>
      <c r="C183" s="10" t="s">
        <v>2082</v>
      </c>
      <c r="D183" s="10" t="s">
        <v>2083</v>
      </c>
      <c r="E183" s="10" t="s">
        <v>2084</v>
      </c>
      <c r="F183" s="10" t="s">
        <v>1627</v>
      </c>
      <c r="G183" s="15">
        <v>42.37</v>
      </c>
      <c r="H183" t="s">
        <v>3028</v>
      </c>
    </row>
    <row r="184" spans="1:8" x14ac:dyDescent="0.25">
      <c r="A184" s="9" t="s">
        <v>1912</v>
      </c>
      <c r="B184" s="10" t="s">
        <v>296</v>
      </c>
      <c r="C184" s="10" t="s">
        <v>2085</v>
      </c>
      <c r="D184" s="10" t="s">
        <v>2086</v>
      </c>
      <c r="E184" s="10" t="s">
        <v>2087</v>
      </c>
      <c r="F184" s="10" t="s">
        <v>1627</v>
      </c>
      <c r="G184" s="15">
        <v>18.149999999999999</v>
      </c>
      <c r="H184" t="s">
        <v>3028</v>
      </c>
    </row>
    <row r="185" spans="1:8" x14ac:dyDescent="0.25">
      <c r="A185" s="9" t="s">
        <v>1912</v>
      </c>
      <c r="B185" s="10" t="s">
        <v>296</v>
      </c>
      <c r="C185" s="10" t="s">
        <v>2088</v>
      </c>
      <c r="D185" s="10" t="s">
        <v>2089</v>
      </c>
      <c r="E185" s="10" t="s">
        <v>2090</v>
      </c>
      <c r="F185" s="10" t="s">
        <v>1631</v>
      </c>
      <c r="G185" s="15">
        <v>18.149999999999999</v>
      </c>
      <c r="H185" t="s">
        <v>3028</v>
      </c>
    </row>
    <row r="186" spans="1:8" x14ac:dyDescent="0.25">
      <c r="A186" s="9" t="s">
        <v>1912</v>
      </c>
      <c r="B186" s="10" t="s">
        <v>298</v>
      </c>
      <c r="C186" s="10" t="s">
        <v>2091</v>
      </c>
      <c r="D186" s="10" t="s">
        <v>2092</v>
      </c>
      <c r="E186" s="10" t="s">
        <v>2093</v>
      </c>
      <c r="F186" s="10" t="s">
        <v>1627</v>
      </c>
      <c r="G186" s="15">
        <v>73.650000000000006</v>
      </c>
      <c r="H186" t="s">
        <v>3028</v>
      </c>
    </row>
    <row r="187" spans="1:8" x14ac:dyDescent="0.25">
      <c r="A187" s="9" t="s">
        <v>1912</v>
      </c>
      <c r="B187" s="10" t="s">
        <v>298</v>
      </c>
      <c r="C187" s="10" t="s">
        <v>2094</v>
      </c>
      <c r="D187" s="10" t="s">
        <v>2095</v>
      </c>
      <c r="E187" s="10" t="s">
        <v>2096</v>
      </c>
      <c r="F187" s="10" t="s">
        <v>1631</v>
      </c>
      <c r="G187" s="15">
        <v>73.650000000000006</v>
      </c>
      <c r="H187" t="s">
        <v>3028</v>
      </c>
    </row>
    <row r="188" spans="1:8" x14ac:dyDescent="0.25">
      <c r="A188" s="9" t="s">
        <v>1912</v>
      </c>
      <c r="B188" s="10" t="s">
        <v>298</v>
      </c>
      <c r="C188" s="10" t="s">
        <v>2097</v>
      </c>
      <c r="D188" s="10" t="s">
        <v>2098</v>
      </c>
      <c r="E188" s="10" t="s">
        <v>2099</v>
      </c>
      <c r="F188" s="10" t="s">
        <v>1631</v>
      </c>
      <c r="G188" s="15">
        <v>73.650000000000006</v>
      </c>
      <c r="H188" t="s">
        <v>3028</v>
      </c>
    </row>
    <row r="189" spans="1:8" x14ac:dyDescent="0.25">
      <c r="A189" s="9" t="s">
        <v>1912</v>
      </c>
      <c r="B189" s="10" t="s">
        <v>304</v>
      </c>
      <c r="C189" s="10" t="s">
        <v>2100</v>
      </c>
      <c r="D189" s="10" t="s">
        <v>2101</v>
      </c>
      <c r="E189" s="10" t="s">
        <v>2102</v>
      </c>
      <c r="F189" s="10" t="s">
        <v>1627</v>
      </c>
      <c r="G189" s="15">
        <v>73.650000000000006</v>
      </c>
      <c r="H189" t="s">
        <v>3028</v>
      </c>
    </row>
    <row r="190" spans="1:8" x14ac:dyDescent="0.25">
      <c r="A190" s="9" t="s">
        <v>1912</v>
      </c>
      <c r="B190" s="10" t="s">
        <v>308</v>
      </c>
      <c r="C190" s="10" t="s">
        <v>3028</v>
      </c>
      <c r="D190" s="10" t="s">
        <v>2103</v>
      </c>
      <c r="E190" s="10" t="s">
        <v>2104</v>
      </c>
      <c r="F190" s="10" t="s">
        <v>1875</v>
      </c>
      <c r="G190" s="15">
        <v>73.650000000000006</v>
      </c>
      <c r="H190" t="s">
        <v>3028</v>
      </c>
    </row>
    <row r="191" spans="1:8" x14ac:dyDescent="0.25">
      <c r="A191" s="9" t="s">
        <v>1912</v>
      </c>
      <c r="B191" s="10" t="s">
        <v>308</v>
      </c>
      <c r="C191" s="10" t="s">
        <v>2105</v>
      </c>
      <c r="D191" s="10" t="s">
        <v>2106</v>
      </c>
      <c r="E191" s="10" t="s">
        <v>2107</v>
      </c>
      <c r="F191" s="10" t="s">
        <v>1627</v>
      </c>
      <c r="G191" s="15">
        <v>73.650000000000006</v>
      </c>
      <c r="H191" t="s">
        <v>3028</v>
      </c>
    </row>
    <row r="192" spans="1:8" x14ac:dyDescent="0.25">
      <c r="A192" s="9" t="s">
        <v>1912</v>
      </c>
      <c r="B192" s="10" t="s">
        <v>312</v>
      </c>
      <c r="C192" s="10" t="s">
        <v>1694</v>
      </c>
      <c r="D192" s="10" t="s">
        <v>1695</v>
      </c>
      <c r="E192" s="10" t="s">
        <v>1696</v>
      </c>
      <c r="F192" s="10" t="s">
        <v>1627</v>
      </c>
      <c r="G192" s="15">
        <v>73.650000000000006</v>
      </c>
      <c r="H192" t="s">
        <v>3028</v>
      </c>
    </row>
    <row r="193" spans="1:8" x14ac:dyDescent="0.25">
      <c r="A193" s="9" t="s">
        <v>1912</v>
      </c>
      <c r="B193" s="10" t="s">
        <v>312</v>
      </c>
      <c r="C193" s="10" t="s">
        <v>1697</v>
      </c>
      <c r="D193" s="10" t="s">
        <v>1698</v>
      </c>
      <c r="E193" s="10" t="s">
        <v>1699</v>
      </c>
      <c r="F193" s="10" t="s">
        <v>1631</v>
      </c>
      <c r="G193" s="15">
        <v>73.650000000000006</v>
      </c>
      <c r="H193" t="s">
        <v>3028</v>
      </c>
    </row>
    <row r="194" spans="1:8" x14ac:dyDescent="0.25">
      <c r="A194" s="9" t="s">
        <v>1912</v>
      </c>
      <c r="B194" s="10" t="s">
        <v>314</v>
      </c>
      <c r="C194" s="10" t="s">
        <v>2108</v>
      </c>
      <c r="D194" s="10" t="s">
        <v>2109</v>
      </c>
      <c r="E194" s="10" t="s">
        <v>2110</v>
      </c>
      <c r="F194" s="10" t="s">
        <v>1631</v>
      </c>
      <c r="G194" s="15">
        <v>73.650000000000006</v>
      </c>
      <c r="H194" t="s">
        <v>3028</v>
      </c>
    </row>
    <row r="195" spans="1:8" x14ac:dyDescent="0.25">
      <c r="A195" s="9" t="s">
        <v>1912</v>
      </c>
      <c r="B195" s="10" t="s">
        <v>314</v>
      </c>
      <c r="C195" s="10" t="s">
        <v>2111</v>
      </c>
      <c r="D195" s="10" t="s">
        <v>2112</v>
      </c>
      <c r="E195" s="10" t="s">
        <v>2113</v>
      </c>
      <c r="F195" s="10" t="s">
        <v>1631</v>
      </c>
      <c r="G195" s="15">
        <v>73.650000000000006</v>
      </c>
      <c r="H195" t="s">
        <v>3028</v>
      </c>
    </row>
    <row r="196" spans="1:8" x14ac:dyDescent="0.25">
      <c r="A196" s="9" t="s">
        <v>1912</v>
      </c>
      <c r="B196" s="10" t="s">
        <v>318</v>
      </c>
      <c r="C196" s="10" t="s">
        <v>2114</v>
      </c>
      <c r="D196" s="10" t="s">
        <v>2115</v>
      </c>
      <c r="E196" s="10" t="s">
        <v>2116</v>
      </c>
      <c r="F196" s="10" t="s">
        <v>1627</v>
      </c>
      <c r="G196" s="15">
        <v>36.36</v>
      </c>
      <c r="H196" t="s">
        <v>3028</v>
      </c>
    </row>
    <row r="197" spans="1:8" x14ac:dyDescent="0.25">
      <c r="A197" s="9" t="s">
        <v>1912</v>
      </c>
      <c r="B197" s="10" t="s">
        <v>318</v>
      </c>
      <c r="C197" s="10" t="s">
        <v>2117</v>
      </c>
      <c r="D197" s="10" t="s">
        <v>2118</v>
      </c>
      <c r="E197" s="10" t="s">
        <v>2119</v>
      </c>
      <c r="F197" s="10" t="s">
        <v>1631</v>
      </c>
      <c r="G197" s="15">
        <v>36.36</v>
      </c>
      <c r="H197" t="s">
        <v>3028</v>
      </c>
    </row>
    <row r="198" spans="1:8" x14ac:dyDescent="0.25">
      <c r="A198" s="9" t="s">
        <v>1912</v>
      </c>
      <c r="B198" s="10" t="s">
        <v>318</v>
      </c>
      <c r="C198" s="10" t="s">
        <v>2120</v>
      </c>
      <c r="D198" s="10" t="s">
        <v>2121</v>
      </c>
      <c r="E198" s="10" t="s">
        <v>2122</v>
      </c>
      <c r="F198" s="10" t="s">
        <v>1631</v>
      </c>
      <c r="G198" s="15">
        <v>36.36</v>
      </c>
      <c r="H198" t="s">
        <v>3028</v>
      </c>
    </row>
    <row r="199" spans="1:8" x14ac:dyDescent="0.25">
      <c r="A199" s="9" t="s">
        <v>1912</v>
      </c>
      <c r="B199" s="10" t="s">
        <v>324</v>
      </c>
      <c r="C199" s="10" t="s">
        <v>2123</v>
      </c>
      <c r="D199" s="10" t="s">
        <v>2124</v>
      </c>
      <c r="E199" s="10" t="s">
        <v>2125</v>
      </c>
      <c r="F199" s="10" t="s">
        <v>1631</v>
      </c>
      <c r="G199" s="15">
        <v>73.650000000000006</v>
      </c>
      <c r="H199" t="s">
        <v>3028</v>
      </c>
    </row>
    <row r="200" spans="1:8" x14ac:dyDescent="0.25">
      <c r="A200" s="9" t="s">
        <v>1912</v>
      </c>
      <c r="B200" s="10" t="s">
        <v>330</v>
      </c>
      <c r="C200" s="10" t="s">
        <v>2126</v>
      </c>
      <c r="D200" s="10" t="s">
        <v>2127</v>
      </c>
      <c r="E200" s="10" t="s">
        <v>2128</v>
      </c>
      <c r="F200" s="10" t="s">
        <v>1631</v>
      </c>
      <c r="G200" s="15">
        <v>73.650000000000006</v>
      </c>
      <c r="H200" t="s">
        <v>3028</v>
      </c>
    </row>
    <row r="201" spans="1:8" x14ac:dyDescent="0.25">
      <c r="A201" s="9" t="s">
        <v>1912</v>
      </c>
      <c r="B201" s="10" t="s">
        <v>330</v>
      </c>
      <c r="C201" s="10" t="s">
        <v>2129</v>
      </c>
      <c r="D201" s="10" t="s">
        <v>1870</v>
      </c>
      <c r="E201" s="10" t="s">
        <v>2130</v>
      </c>
      <c r="F201" s="10" t="s">
        <v>1631</v>
      </c>
      <c r="G201" s="15">
        <v>73.650000000000006</v>
      </c>
      <c r="H201" t="s">
        <v>3028</v>
      </c>
    </row>
    <row r="202" spans="1:8" x14ac:dyDescent="0.25">
      <c r="A202" s="9" t="s">
        <v>1912</v>
      </c>
      <c r="B202" s="10" t="s">
        <v>330</v>
      </c>
      <c r="C202" s="10" t="s">
        <v>2131</v>
      </c>
      <c r="D202" s="10" t="s">
        <v>2132</v>
      </c>
      <c r="E202" s="10" t="s">
        <v>2133</v>
      </c>
      <c r="F202" s="10" t="s">
        <v>1627</v>
      </c>
      <c r="G202" s="15">
        <v>73.650000000000006</v>
      </c>
      <c r="H202" t="s">
        <v>3028</v>
      </c>
    </row>
    <row r="203" spans="1:8" x14ac:dyDescent="0.25">
      <c r="A203" s="9" t="s">
        <v>1912</v>
      </c>
      <c r="B203" s="10" t="s">
        <v>344</v>
      </c>
      <c r="C203" s="10" t="s">
        <v>3028</v>
      </c>
      <c r="D203" s="10" t="s">
        <v>2134</v>
      </c>
      <c r="E203" s="10" t="s">
        <v>2135</v>
      </c>
      <c r="F203" s="10" t="s">
        <v>1631</v>
      </c>
      <c r="G203" s="15">
        <v>73.650000000000006</v>
      </c>
      <c r="H203" t="s">
        <v>3028</v>
      </c>
    </row>
    <row r="204" spans="1:8" x14ac:dyDescent="0.25">
      <c r="A204" s="9" t="s">
        <v>1912</v>
      </c>
      <c r="B204" s="10" t="s">
        <v>344</v>
      </c>
      <c r="C204" s="10" t="s">
        <v>2136</v>
      </c>
      <c r="D204" s="10" t="s">
        <v>2137</v>
      </c>
      <c r="E204" s="10" t="s">
        <v>2138</v>
      </c>
      <c r="F204" s="10" t="s">
        <v>1627</v>
      </c>
      <c r="G204" s="15">
        <v>73.650000000000006</v>
      </c>
      <c r="H204" t="s">
        <v>3028</v>
      </c>
    </row>
    <row r="205" spans="1:8" x14ac:dyDescent="0.25">
      <c r="A205" s="9" t="s">
        <v>1912</v>
      </c>
      <c r="B205" s="10" t="s">
        <v>344</v>
      </c>
      <c r="C205" s="10" t="s">
        <v>2139</v>
      </c>
      <c r="D205" s="10" t="s">
        <v>2140</v>
      </c>
      <c r="E205" s="10" t="s">
        <v>2141</v>
      </c>
      <c r="F205" s="10" t="s">
        <v>1631</v>
      </c>
      <c r="G205" s="15">
        <v>73.650000000000006</v>
      </c>
      <c r="H205" t="s">
        <v>3028</v>
      </c>
    </row>
    <row r="206" spans="1:8" x14ac:dyDescent="0.25">
      <c r="A206" s="9" t="s">
        <v>1912</v>
      </c>
      <c r="B206" s="10" t="s">
        <v>344</v>
      </c>
      <c r="C206" s="10" t="s">
        <v>2142</v>
      </c>
      <c r="D206" s="10" t="s">
        <v>2143</v>
      </c>
      <c r="E206" s="10" t="s">
        <v>2144</v>
      </c>
      <c r="F206" s="10" t="s">
        <v>1631</v>
      </c>
      <c r="G206" s="15">
        <v>73.650000000000006</v>
      </c>
      <c r="H206" t="s">
        <v>3028</v>
      </c>
    </row>
    <row r="207" spans="1:8" x14ac:dyDescent="0.25">
      <c r="A207" s="9" t="s">
        <v>1912</v>
      </c>
      <c r="B207" s="10" t="s">
        <v>348</v>
      </c>
      <c r="C207" s="10" t="s">
        <v>3028</v>
      </c>
      <c r="D207" s="10" t="s">
        <v>2145</v>
      </c>
      <c r="E207" s="10" t="s">
        <v>2146</v>
      </c>
      <c r="F207" s="10" t="s">
        <v>1631</v>
      </c>
      <c r="G207" s="15">
        <v>73.650000000000006</v>
      </c>
      <c r="H207" t="s">
        <v>3028</v>
      </c>
    </row>
    <row r="208" spans="1:8" x14ac:dyDescent="0.25">
      <c r="A208" s="9" t="s">
        <v>1912</v>
      </c>
      <c r="B208" s="10" t="s">
        <v>348</v>
      </c>
      <c r="C208" s="10" t="s">
        <v>2147</v>
      </c>
      <c r="D208" s="10" t="s">
        <v>2148</v>
      </c>
      <c r="E208" s="10" t="s">
        <v>2149</v>
      </c>
      <c r="F208" s="10" t="s">
        <v>1627</v>
      </c>
      <c r="G208" s="15">
        <v>73.650000000000006</v>
      </c>
      <c r="H208" t="s">
        <v>3028</v>
      </c>
    </row>
    <row r="209" spans="1:8" x14ac:dyDescent="0.25">
      <c r="A209" s="9" t="s">
        <v>1912</v>
      </c>
      <c r="B209" s="10" t="s">
        <v>348</v>
      </c>
      <c r="C209" s="10" t="s">
        <v>2150</v>
      </c>
      <c r="D209" s="10" t="s">
        <v>2151</v>
      </c>
      <c r="E209" s="10" t="s">
        <v>2152</v>
      </c>
      <c r="F209" s="10" t="s">
        <v>1631</v>
      </c>
      <c r="G209" s="15">
        <v>73.650000000000006</v>
      </c>
      <c r="H209" t="s">
        <v>3028</v>
      </c>
    </row>
    <row r="210" spans="1:8" x14ac:dyDescent="0.25">
      <c r="A210" s="9" t="s">
        <v>1912</v>
      </c>
      <c r="B210" s="10" t="s">
        <v>350</v>
      </c>
      <c r="C210" s="10" t="s">
        <v>3028</v>
      </c>
      <c r="D210" s="10" t="s">
        <v>1709</v>
      </c>
      <c r="E210" s="10" t="s">
        <v>1710</v>
      </c>
      <c r="F210" s="10" t="s">
        <v>1631</v>
      </c>
      <c r="G210" s="15">
        <v>73.650000000000006</v>
      </c>
      <c r="H210" t="s">
        <v>3028</v>
      </c>
    </row>
    <row r="211" spans="1:8" x14ac:dyDescent="0.25">
      <c r="A211" s="9" t="s">
        <v>1912</v>
      </c>
      <c r="B211" s="10" t="s">
        <v>350</v>
      </c>
      <c r="C211" s="10" t="s">
        <v>1711</v>
      </c>
      <c r="D211" s="10" t="s">
        <v>1712</v>
      </c>
      <c r="E211" s="10" t="s">
        <v>1713</v>
      </c>
      <c r="F211" s="10" t="s">
        <v>1627</v>
      </c>
      <c r="G211" s="15">
        <v>73.650000000000006</v>
      </c>
      <c r="H211" t="s">
        <v>3028</v>
      </c>
    </row>
    <row r="212" spans="1:8" x14ac:dyDescent="0.25">
      <c r="A212" s="9" t="s">
        <v>1912</v>
      </c>
      <c r="B212" s="10" t="s">
        <v>350</v>
      </c>
      <c r="C212" s="10" t="s">
        <v>1714</v>
      </c>
      <c r="D212" s="10" t="s">
        <v>1715</v>
      </c>
      <c r="E212" s="10" t="s">
        <v>1716</v>
      </c>
      <c r="F212" s="10" t="s">
        <v>1631</v>
      </c>
      <c r="G212" s="15">
        <v>73.650000000000006</v>
      </c>
      <c r="H212" t="s">
        <v>3028</v>
      </c>
    </row>
    <row r="213" spans="1:8" x14ac:dyDescent="0.25">
      <c r="A213" s="9" t="s">
        <v>1912</v>
      </c>
      <c r="B213" s="10" t="s">
        <v>354</v>
      </c>
      <c r="C213" s="10" t="s">
        <v>3028</v>
      </c>
      <c r="D213" s="10" t="s">
        <v>2153</v>
      </c>
      <c r="E213" s="10" t="s">
        <v>2154</v>
      </c>
      <c r="F213" s="10" t="s">
        <v>1631</v>
      </c>
      <c r="G213" s="15">
        <v>42.37</v>
      </c>
      <c r="H213" t="s">
        <v>3028</v>
      </c>
    </row>
    <row r="214" spans="1:8" x14ac:dyDescent="0.25">
      <c r="A214" s="9" t="s">
        <v>1912</v>
      </c>
      <c r="B214" s="10" t="s">
        <v>354</v>
      </c>
      <c r="C214" s="10" t="s">
        <v>2155</v>
      </c>
      <c r="D214" s="10" t="s">
        <v>2156</v>
      </c>
      <c r="E214" s="10" t="s">
        <v>2157</v>
      </c>
      <c r="F214" s="10" t="s">
        <v>1627</v>
      </c>
      <c r="G214" s="15">
        <v>42.37</v>
      </c>
      <c r="H214" t="s">
        <v>3028</v>
      </c>
    </row>
    <row r="215" spans="1:8" x14ac:dyDescent="0.25">
      <c r="A215" s="9" t="s">
        <v>1912</v>
      </c>
      <c r="B215" s="10" t="s">
        <v>360</v>
      </c>
      <c r="C215" s="10" t="s">
        <v>3028</v>
      </c>
      <c r="D215" s="10" t="s">
        <v>2158</v>
      </c>
      <c r="E215" s="10" t="s">
        <v>2159</v>
      </c>
      <c r="F215" s="10" t="s">
        <v>1631</v>
      </c>
      <c r="G215" s="15">
        <v>36.299999999999997</v>
      </c>
      <c r="H215" t="s">
        <v>3028</v>
      </c>
    </row>
    <row r="216" spans="1:8" x14ac:dyDescent="0.25">
      <c r="A216" s="9" t="s">
        <v>1912</v>
      </c>
      <c r="B216" s="10" t="s">
        <v>360</v>
      </c>
      <c r="C216" s="10" t="s">
        <v>3028</v>
      </c>
      <c r="D216" s="10" t="s">
        <v>2160</v>
      </c>
      <c r="E216" s="10" t="s">
        <v>2161</v>
      </c>
      <c r="F216" s="10" t="s">
        <v>1631</v>
      </c>
      <c r="G216" s="15">
        <v>36.299999999999997</v>
      </c>
      <c r="H216" t="s">
        <v>3028</v>
      </c>
    </row>
    <row r="217" spans="1:8" x14ac:dyDescent="0.25">
      <c r="A217" s="9" t="s">
        <v>1912</v>
      </c>
      <c r="B217" s="10" t="s">
        <v>360</v>
      </c>
      <c r="C217" s="10" t="s">
        <v>2162</v>
      </c>
      <c r="D217" s="10" t="s">
        <v>2163</v>
      </c>
      <c r="E217" s="10" t="s">
        <v>2164</v>
      </c>
      <c r="F217" s="10" t="s">
        <v>1627</v>
      </c>
      <c r="G217" s="15">
        <v>36.299999999999997</v>
      </c>
      <c r="H217" t="s">
        <v>3028</v>
      </c>
    </row>
    <row r="218" spans="1:8" x14ac:dyDescent="0.25">
      <c r="A218" s="9" t="s">
        <v>1912</v>
      </c>
      <c r="B218" s="10" t="s">
        <v>360</v>
      </c>
      <c r="C218" s="10" t="s">
        <v>2165</v>
      </c>
      <c r="D218" s="10" t="s">
        <v>2166</v>
      </c>
      <c r="E218" s="10" t="s">
        <v>2167</v>
      </c>
      <c r="F218" s="10" t="s">
        <v>1983</v>
      </c>
      <c r="G218" s="15">
        <v>36.299999999999997</v>
      </c>
      <c r="H218" t="s">
        <v>3028</v>
      </c>
    </row>
    <row r="219" spans="1:8" x14ac:dyDescent="0.25">
      <c r="A219" s="9" t="s">
        <v>1912</v>
      </c>
      <c r="B219" s="10" t="s">
        <v>368</v>
      </c>
      <c r="C219" s="10" t="s">
        <v>3028</v>
      </c>
      <c r="D219" s="10" t="s">
        <v>2168</v>
      </c>
      <c r="E219" s="10" t="s">
        <v>2169</v>
      </c>
      <c r="F219" s="10" t="s">
        <v>1631</v>
      </c>
      <c r="G219" s="15">
        <v>73.650000000000006</v>
      </c>
      <c r="H219" t="s">
        <v>3028</v>
      </c>
    </row>
    <row r="220" spans="1:8" x14ac:dyDescent="0.25">
      <c r="A220" s="9" t="s">
        <v>1912</v>
      </c>
      <c r="B220" s="10" t="s">
        <v>368</v>
      </c>
      <c r="C220" s="10" t="s">
        <v>2170</v>
      </c>
      <c r="D220" s="10" t="s">
        <v>2171</v>
      </c>
      <c r="E220" s="10" t="s">
        <v>2172</v>
      </c>
      <c r="F220" s="10" t="s">
        <v>1627</v>
      </c>
      <c r="G220" s="15">
        <v>73.650000000000006</v>
      </c>
      <c r="H220" t="s">
        <v>3028</v>
      </c>
    </row>
    <row r="221" spans="1:8" x14ac:dyDescent="0.25">
      <c r="A221" s="9" t="s">
        <v>1912</v>
      </c>
      <c r="B221" s="10" t="s">
        <v>368</v>
      </c>
      <c r="C221" s="10" t="s">
        <v>2173</v>
      </c>
      <c r="D221" s="10" t="s">
        <v>2174</v>
      </c>
      <c r="E221" s="10" t="s">
        <v>2175</v>
      </c>
      <c r="F221" s="10" t="s">
        <v>1631</v>
      </c>
      <c r="G221" s="15">
        <v>73.650000000000006</v>
      </c>
      <c r="H221" t="s">
        <v>3028</v>
      </c>
    </row>
    <row r="222" spans="1:8" x14ac:dyDescent="0.25">
      <c r="A222" s="9" t="s">
        <v>1912</v>
      </c>
      <c r="B222" s="10" t="s">
        <v>368</v>
      </c>
      <c r="C222" s="10" t="s">
        <v>2176</v>
      </c>
      <c r="D222" s="10" t="s">
        <v>2177</v>
      </c>
      <c r="E222" s="10" t="s">
        <v>2178</v>
      </c>
      <c r="F222" s="10" t="s">
        <v>1631</v>
      </c>
      <c r="G222" s="15">
        <v>73.650000000000006</v>
      </c>
      <c r="H222" t="s">
        <v>3028</v>
      </c>
    </row>
    <row r="223" spans="1:8" x14ac:dyDescent="0.25">
      <c r="A223" s="9" t="s">
        <v>1912</v>
      </c>
      <c r="B223" s="10" t="s">
        <v>374</v>
      </c>
      <c r="C223" s="10" t="s">
        <v>2179</v>
      </c>
      <c r="D223" s="10" t="s">
        <v>2180</v>
      </c>
      <c r="E223" s="10" t="s">
        <v>2181</v>
      </c>
      <c r="F223" s="10" t="s">
        <v>1627</v>
      </c>
      <c r="G223" s="15">
        <v>73.650000000000006</v>
      </c>
      <c r="H223" t="s">
        <v>3028</v>
      </c>
    </row>
    <row r="224" spans="1:8" x14ac:dyDescent="0.25">
      <c r="A224" s="9" t="s">
        <v>1912</v>
      </c>
      <c r="B224" s="10" t="s">
        <v>374</v>
      </c>
      <c r="C224" s="10" t="s">
        <v>2182</v>
      </c>
      <c r="D224" s="10" t="s">
        <v>2183</v>
      </c>
      <c r="E224" s="10" t="s">
        <v>2184</v>
      </c>
      <c r="F224" s="10" t="s">
        <v>1631</v>
      </c>
      <c r="G224" s="15">
        <v>73.650000000000006</v>
      </c>
      <c r="H224" t="s">
        <v>3028</v>
      </c>
    </row>
    <row r="225" spans="1:8" x14ac:dyDescent="0.25">
      <c r="A225" s="9" t="s">
        <v>1912</v>
      </c>
      <c r="B225" s="10" t="s">
        <v>376</v>
      </c>
      <c r="C225" s="10" t="s">
        <v>3028</v>
      </c>
      <c r="D225" s="10" t="s">
        <v>2185</v>
      </c>
      <c r="E225" s="10" t="s">
        <v>2186</v>
      </c>
      <c r="F225" s="10" t="s">
        <v>1631</v>
      </c>
      <c r="G225" s="15">
        <v>250.35</v>
      </c>
      <c r="H225" t="s">
        <v>3028</v>
      </c>
    </row>
    <row r="226" spans="1:8" x14ac:dyDescent="0.25">
      <c r="A226" s="9" t="s">
        <v>1912</v>
      </c>
      <c r="B226" s="10" t="s">
        <v>376</v>
      </c>
      <c r="C226" s="10" t="s">
        <v>3028</v>
      </c>
      <c r="D226" s="10" t="s">
        <v>2187</v>
      </c>
      <c r="E226" s="10" t="s">
        <v>2188</v>
      </c>
      <c r="F226" s="10" t="s">
        <v>1631</v>
      </c>
      <c r="G226" s="15">
        <v>250.35</v>
      </c>
      <c r="H226" t="s">
        <v>3028</v>
      </c>
    </row>
    <row r="227" spans="1:8" x14ac:dyDescent="0.25">
      <c r="A227" s="9" t="s">
        <v>1912</v>
      </c>
      <c r="B227" s="10" t="s">
        <v>376</v>
      </c>
      <c r="C227" s="10" t="s">
        <v>2189</v>
      </c>
      <c r="D227" s="10" t="s">
        <v>2190</v>
      </c>
      <c r="E227" s="10" t="s">
        <v>2191</v>
      </c>
      <c r="F227" s="10" t="s">
        <v>1627</v>
      </c>
      <c r="G227" s="15">
        <v>250.35</v>
      </c>
      <c r="H227" t="s">
        <v>3028</v>
      </c>
    </row>
    <row r="228" spans="1:8" x14ac:dyDescent="0.25">
      <c r="A228" s="9" t="s">
        <v>1912</v>
      </c>
      <c r="B228" s="10" t="s">
        <v>378</v>
      </c>
      <c r="C228" s="10" t="s">
        <v>2192</v>
      </c>
      <c r="D228" s="10" t="s">
        <v>2193</v>
      </c>
      <c r="E228" s="10" t="s">
        <v>2194</v>
      </c>
      <c r="F228" s="10" t="s">
        <v>1627</v>
      </c>
      <c r="G228" s="15">
        <v>73.650000000000006</v>
      </c>
      <c r="H228" t="s">
        <v>3028</v>
      </c>
    </row>
    <row r="229" spans="1:8" x14ac:dyDescent="0.25">
      <c r="A229" s="9" t="s">
        <v>1912</v>
      </c>
      <c r="B229" s="10" t="s">
        <v>378</v>
      </c>
      <c r="C229" s="10" t="s">
        <v>2195</v>
      </c>
      <c r="D229" s="10" t="s">
        <v>2196</v>
      </c>
      <c r="E229" s="10" t="s">
        <v>2197</v>
      </c>
      <c r="F229" s="10" t="s">
        <v>1631</v>
      </c>
      <c r="G229" s="15">
        <v>73.650000000000006</v>
      </c>
      <c r="H229" t="s">
        <v>3028</v>
      </c>
    </row>
    <row r="230" spans="1:8" x14ac:dyDescent="0.25">
      <c r="A230" s="9" t="s">
        <v>1912</v>
      </c>
      <c r="B230" s="10" t="s">
        <v>384</v>
      </c>
      <c r="C230" s="10" t="s">
        <v>2198</v>
      </c>
      <c r="D230" s="10" t="s">
        <v>2199</v>
      </c>
      <c r="E230" s="10" t="s">
        <v>2200</v>
      </c>
      <c r="F230" s="10" t="s">
        <v>1627</v>
      </c>
      <c r="G230" s="15">
        <v>73.650000000000006</v>
      </c>
      <c r="H230" t="s">
        <v>3028</v>
      </c>
    </row>
    <row r="231" spans="1:8" x14ac:dyDescent="0.25">
      <c r="A231" s="9" t="s">
        <v>1912</v>
      </c>
      <c r="B231" s="10" t="s">
        <v>388</v>
      </c>
      <c r="C231" s="10" t="s">
        <v>2201</v>
      </c>
      <c r="D231" s="10" t="s">
        <v>2202</v>
      </c>
      <c r="E231" s="10" t="s">
        <v>2203</v>
      </c>
      <c r="F231" s="10" t="s">
        <v>1627</v>
      </c>
      <c r="G231" s="15">
        <v>73.650000000000006</v>
      </c>
      <c r="H231" t="s">
        <v>3028</v>
      </c>
    </row>
    <row r="232" spans="1:8" x14ac:dyDescent="0.25">
      <c r="A232" s="9" t="s">
        <v>1912</v>
      </c>
      <c r="B232" s="10" t="s">
        <v>388</v>
      </c>
      <c r="C232" s="10" t="s">
        <v>2204</v>
      </c>
      <c r="D232" s="10" t="s">
        <v>2205</v>
      </c>
      <c r="E232" s="10" t="s">
        <v>2206</v>
      </c>
      <c r="F232" s="10" t="s">
        <v>1631</v>
      </c>
      <c r="G232" s="15">
        <v>73.650000000000006</v>
      </c>
      <c r="H232" t="s">
        <v>3028</v>
      </c>
    </row>
    <row r="233" spans="1:8" x14ac:dyDescent="0.25">
      <c r="A233" s="9" t="s">
        <v>1912</v>
      </c>
      <c r="B233" s="10" t="s">
        <v>390</v>
      </c>
      <c r="C233" s="10" t="s">
        <v>3028</v>
      </c>
      <c r="D233" s="10" t="s">
        <v>2207</v>
      </c>
      <c r="E233" s="10" t="s">
        <v>2208</v>
      </c>
      <c r="F233" s="10" t="s">
        <v>1631</v>
      </c>
      <c r="G233" s="15">
        <v>73.650000000000006</v>
      </c>
      <c r="H233" t="s">
        <v>3028</v>
      </c>
    </row>
    <row r="234" spans="1:8" x14ac:dyDescent="0.25">
      <c r="A234" s="9" t="s">
        <v>1912</v>
      </c>
      <c r="B234" s="10" t="s">
        <v>390</v>
      </c>
      <c r="C234" s="10" t="s">
        <v>2209</v>
      </c>
      <c r="D234" s="10" t="s">
        <v>2210</v>
      </c>
      <c r="E234" s="10" t="s">
        <v>2211</v>
      </c>
      <c r="F234" s="10" t="s">
        <v>1627</v>
      </c>
      <c r="G234" s="15">
        <v>73.650000000000006</v>
      </c>
      <c r="H234" t="s">
        <v>3028</v>
      </c>
    </row>
    <row r="235" spans="1:8" x14ac:dyDescent="0.25">
      <c r="A235" s="9" t="s">
        <v>1912</v>
      </c>
      <c r="B235" s="10" t="s">
        <v>398</v>
      </c>
      <c r="C235" s="10" t="s">
        <v>3028</v>
      </c>
      <c r="D235" s="10" t="s">
        <v>2212</v>
      </c>
      <c r="E235" s="10" t="s">
        <v>2213</v>
      </c>
      <c r="F235" s="10" t="s">
        <v>1631</v>
      </c>
      <c r="G235" s="15">
        <v>73.650000000000006</v>
      </c>
      <c r="H235" t="s">
        <v>3028</v>
      </c>
    </row>
    <row r="236" spans="1:8" x14ac:dyDescent="0.25">
      <c r="A236" s="9" t="s">
        <v>1912</v>
      </c>
      <c r="B236" s="10" t="s">
        <v>398</v>
      </c>
      <c r="C236" s="10" t="s">
        <v>2214</v>
      </c>
      <c r="D236" s="10" t="s">
        <v>2215</v>
      </c>
      <c r="E236" s="10" t="s">
        <v>2216</v>
      </c>
      <c r="F236" s="10" t="s">
        <v>1627</v>
      </c>
      <c r="G236" s="15">
        <v>73.650000000000006</v>
      </c>
      <c r="H236" t="s">
        <v>3028</v>
      </c>
    </row>
    <row r="237" spans="1:8" x14ac:dyDescent="0.25">
      <c r="A237" s="9" t="s">
        <v>1912</v>
      </c>
      <c r="B237" s="10" t="s">
        <v>414</v>
      </c>
      <c r="C237" s="10" t="s">
        <v>2217</v>
      </c>
      <c r="D237" s="10" t="s">
        <v>2218</v>
      </c>
      <c r="E237" s="10" t="s">
        <v>2219</v>
      </c>
      <c r="F237" s="10" t="s">
        <v>1627</v>
      </c>
      <c r="G237" s="15">
        <v>73.650000000000006</v>
      </c>
      <c r="H237" t="s">
        <v>3028</v>
      </c>
    </row>
    <row r="238" spans="1:8" x14ac:dyDescent="0.25">
      <c r="A238" s="9" t="s">
        <v>1912</v>
      </c>
      <c r="B238" s="10" t="s">
        <v>414</v>
      </c>
      <c r="C238" s="10" t="s">
        <v>2220</v>
      </c>
      <c r="D238" s="10" t="s">
        <v>2221</v>
      </c>
      <c r="E238" s="10" t="s">
        <v>2222</v>
      </c>
      <c r="F238" s="10" t="s">
        <v>1631</v>
      </c>
      <c r="G238" s="15">
        <v>73.650000000000006</v>
      </c>
      <c r="H238" t="s">
        <v>3028</v>
      </c>
    </row>
    <row r="239" spans="1:8" x14ac:dyDescent="0.25">
      <c r="A239" s="9" t="s">
        <v>1912</v>
      </c>
      <c r="B239" s="10" t="s">
        <v>414</v>
      </c>
      <c r="C239" s="10" t="s">
        <v>2223</v>
      </c>
      <c r="D239" s="10" t="s">
        <v>2224</v>
      </c>
      <c r="E239" s="10" t="s">
        <v>2225</v>
      </c>
      <c r="F239" s="10" t="s">
        <v>1631</v>
      </c>
      <c r="G239" s="15">
        <v>73.650000000000006</v>
      </c>
      <c r="H239" t="s">
        <v>3028</v>
      </c>
    </row>
    <row r="240" spans="1:8" x14ac:dyDescent="0.25">
      <c r="A240" s="9" t="s">
        <v>1912</v>
      </c>
      <c r="B240" s="10" t="s">
        <v>418</v>
      </c>
      <c r="C240" s="10" t="s">
        <v>3028</v>
      </c>
      <c r="D240" s="10" t="s">
        <v>2226</v>
      </c>
      <c r="E240" s="10" t="s">
        <v>2227</v>
      </c>
      <c r="F240" s="10" t="s">
        <v>1631</v>
      </c>
      <c r="G240" s="15">
        <v>465.77</v>
      </c>
      <c r="H240" t="s">
        <v>3028</v>
      </c>
    </row>
    <row r="241" spans="1:8" x14ac:dyDescent="0.25">
      <c r="A241" s="9" t="s">
        <v>1912</v>
      </c>
      <c r="B241" s="10" t="s">
        <v>418</v>
      </c>
      <c r="C241" s="10" t="s">
        <v>2228</v>
      </c>
      <c r="D241" s="10" t="s">
        <v>2229</v>
      </c>
      <c r="E241" s="10" t="s">
        <v>2230</v>
      </c>
      <c r="F241" s="10" t="s">
        <v>1627</v>
      </c>
      <c r="G241" s="15">
        <v>465.77</v>
      </c>
      <c r="H241" t="s">
        <v>3028</v>
      </c>
    </row>
    <row r="242" spans="1:8" x14ac:dyDescent="0.25">
      <c r="A242" s="9" t="s">
        <v>1912</v>
      </c>
      <c r="B242" s="10" t="s">
        <v>418</v>
      </c>
      <c r="C242" s="10" t="s">
        <v>2231</v>
      </c>
      <c r="D242" s="10" t="s">
        <v>2232</v>
      </c>
      <c r="E242" s="10" t="s">
        <v>2233</v>
      </c>
      <c r="F242" s="10" t="s">
        <v>1631</v>
      </c>
      <c r="G242" s="15">
        <v>465.77</v>
      </c>
      <c r="H242" t="s">
        <v>3028</v>
      </c>
    </row>
    <row r="243" spans="1:8" x14ac:dyDescent="0.25">
      <c r="A243" s="9" t="s">
        <v>1912</v>
      </c>
      <c r="B243" s="10" t="s">
        <v>426</v>
      </c>
      <c r="C243" s="10" t="s">
        <v>3028</v>
      </c>
      <c r="D243" s="10" t="s">
        <v>1725</v>
      </c>
      <c r="E243" s="10" t="s">
        <v>1726</v>
      </c>
      <c r="F243" s="10" t="s">
        <v>1631</v>
      </c>
      <c r="G243" s="15">
        <v>55.5</v>
      </c>
      <c r="H243" t="s">
        <v>3028</v>
      </c>
    </row>
    <row r="244" spans="1:8" x14ac:dyDescent="0.25">
      <c r="A244" s="9" t="s">
        <v>1912</v>
      </c>
      <c r="B244" s="10" t="s">
        <v>426</v>
      </c>
      <c r="C244" s="10" t="s">
        <v>1727</v>
      </c>
      <c r="D244" s="10" t="s">
        <v>1728</v>
      </c>
      <c r="E244" s="10" t="s">
        <v>1729</v>
      </c>
      <c r="F244" s="10" t="s">
        <v>1627</v>
      </c>
      <c r="G244" s="15">
        <v>73.650000000000006</v>
      </c>
      <c r="H244" t="s">
        <v>3028</v>
      </c>
    </row>
    <row r="245" spans="1:8" x14ac:dyDescent="0.25">
      <c r="A245" s="9" t="s">
        <v>1912</v>
      </c>
      <c r="B245" s="10" t="s">
        <v>426</v>
      </c>
      <c r="C245" s="10" t="s">
        <v>1730</v>
      </c>
      <c r="D245" s="10" t="s">
        <v>1731</v>
      </c>
      <c r="E245" s="10" t="s">
        <v>1732</v>
      </c>
      <c r="F245" s="10" t="s">
        <v>1631</v>
      </c>
      <c r="G245" s="15">
        <v>73.650000000000006</v>
      </c>
      <c r="H245" t="s">
        <v>3028</v>
      </c>
    </row>
    <row r="246" spans="1:8" x14ac:dyDescent="0.25">
      <c r="A246" s="9" t="s">
        <v>1912</v>
      </c>
      <c r="B246" s="10" t="s">
        <v>430</v>
      </c>
      <c r="C246" s="10" t="s">
        <v>3028</v>
      </c>
      <c r="D246" s="10" t="s">
        <v>2234</v>
      </c>
      <c r="E246" s="10" t="s">
        <v>2235</v>
      </c>
      <c r="F246" s="10" t="s">
        <v>1631</v>
      </c>
      <c r="G246" s="15">
        <v>73.650000000000006</v>
      </c>
      <c r="H246" t="s">
        <v>3028</v>
      </c>
    </row>
    <row r="247" spans="1:8" x14ac:dyDescent="0.25">
      <c r="A247" s="9" t="s">
        <v>1912</v>
      </c>
      <c r="B247" s="10" t="s">
        <v>430</v>
      </c>
      <c r="C247" s="10" t="s">
        <v>2236</v>
      </c>
      <c r="D247" s="10" t="s">
        <v>2237</v>
      </c>
      <c r="E247" s="10" t="s">
        <v>2238</v>
      </c>
      <c r="F247" s="10" t="s">
        <v>1627</v>
      </c>
      <c r="G247" s="15">
        <v>73.650000000000006</v>
      </c>
      <c r="H247" t="s">
        <v>3028</v>
      </c>
    </row>
    <row r="248" spans="1:8" x14ac:dyDescent="0.25">
      <c r="A248" s="9" t="s">
        <v>1912</v>
      </c>
      <c r="B248" s="10" t="s">
        <v>432</v>
      </c>
      <c r="C248" s="10" t="s">
        <v>3028</v>
      </c>
      <c r="D248" s="10" t="s">
        <v>2239</v>
      </c>
      <c r="E248" s="10" t="s">
        <v>2240</v>
      </c>
      <c r="F248" s="10" t="s">
        <v>1631</v>
      </c>
      <c r="G248" s="15">
        <v>73.650000000000006</v>
      </c>
      <c r="H248" t="s">
        <v>3028</v>
      </c>
    </row>
    <row r="249" spans="1:8" x14ac:dyDescent="0.25">
      <c r="A249" s="9" t="s">
        <v>1912</v>
      </c>
      <c r="B249" s="10" t="s">
        <v>432</v>
      </c>
      <c r="C249" s="10" t="s">
        <v>2241</v>
      </c>
      <c r="D249" s="10" t="s">
        <v>2242</v>
      </c>
      <c r="E249" s="10" t="s">
        <v>2243</v>
      </c>
      <c r="F249" s="10" t="s">
        <v>1627</v>
      </c>
      <c r="G249" s="15">
        <v>73.650000000000006</v>
      </c>
      <c r="H249" t="s">
        <v>3028</v>
      </c>
    </row>
    <row r="250" spans="1:8" x14ac:dyDescent="0.25">
      <c r="A250" s="9" t="s">
        <v>1912</v>
      </c>
      <c r="B250" s="10" t="s">
        <v>432</v>
      </c>
      <c r="C250" s="10" t="s">
        <v>2244</v>
      </c>
      <c r="D250" s="10" t="s">
        <v>2245</v>
      </c>
      <c r="E250" s="10" t="s">
        <v>2246</v>
      </c>
      <c r="F250" s="10" t="s">
        <v>1631</v>
      </c>
      <c r="G250" s="15">
        <v>73.650000000000006</v>
      </c>
      <c r="H250" t="s">
        <v>3028</v>
      </c>
    </row>
    <row r="251" spans="1:8" x14ac:dyDescent="0.25">
      <c r="A251" s="9" t="s">
        <v>1912</v>
      </c>
      <c r="B251" s="10" t="s">
        <v>442</v>
      </c>
      <c r="C251" s="10" t="s">
        <v>2247</v>
      </c>
      <c r="D251" s="10" t="s">
        <v>2248</v>
      </c>
      <c r="E251" s="10" t="s">
        <v>2249</v>
      </c>
      <c r="F251" s="10" t="s">
        <v>1627</v>
      </c>
      <c r="G251" s="15">
        <v>73.650000000000006</v>
      </c>
      <c r="H251" t="s">
        <v>3028</v>
      </c>
    </row>
    <row r="252" spans="1:8" x14ac:dyDescent="0.25">
      <c r="A252" s="9" t="s">
        <v>1912</v>
      </c>
      <c r="B252" s="10" t="s">
        <v>442</v>
      </c>
      <c r="C252" s="10" t="s">
        <v>2250</v>
      </c>
      <c r="D252" s="10" t="s">
        <v>2251</v>
      </c>
      <c r="E252" s="10" t="s">
        <v>2252</v>
      </c>
      <c r="F252" s="10" t="s">
        <v>1631</v>
      </c>
      <c r="G252" s="15">
        <v>73.650000000000006</v>
      </c>
      <c r="H252" t="s">
        <v>3028</v>
      </c>
    </row>
    <row r="253" spans="1:8" x14ac:dyDescent="0.25">
      <c r="A253" s="9" t="s">
        <v>1912</v>
      </c>
      <c r="B253" s="10" t="s">
        <v>442</v>
      </c>
      <c r="C253" s="10" t="s">
        <v>2253</v>
      </c>
      <c r="D253" s="10" t="s">
        <v>2254</v>
      </c>
      <c r="E253" s="10" t="s">
        <v>2255</v>
      </c>
      <c r="F253" s="10" t="s">
        <v>1631</v>
      </c>
      <c r="G253" s="15">
        <v>73.650000000000006</v>
      </c>
      <c r="H253" t="s">
        <v>3028</v>
      </c>
    </row>
    <row r="254" spans="1:8" x14ac:dyDescent="0.25">
      <c r="A254" s="9" t="s">
        <v>1912</v>
      </c>
      <c r="B254" s="10" t="s">
        <v>450</v>
      </c>
      <c r="C254" s="10" t="s">
        <v>3028</v>
      </c>
      <c r="D254" s="10" t="s">
        <v>2256</v>
      </c>
      <c r="E254" s="10" t="s">
        <v>2257</v>
      </c>
      <c r="F254" s="10" t="s">
        <v>1631</v>
      </c>
      <c r="G254" s="15">
        <v>73.650000000000006</v>
      </c>
      <c r="H254" t="s">
        <v>3028</v>
      </c>
    </row>
    <row r="255" spans="1:8" x14ac:dyDescent="0.25">
      <c r="A255" s="9" t="s">
        <v>1912</v>
      </c>
      <c r="B255" s="10" t="s">
        <v>450</v>
      </c>
      <c r="C255" s="10" t="s">
        <v>2258</v>
      </c>
      <c r="D255" s="10" t="s">
        <v>2259</v>
      </c>
      <c r="E255" s="10" t="s">
        <v>2260</v>
      </c>
      <c r="F255" s="10" t="s">
        <v>1631</v>
      </c>
      <c r="G255" s="15">
        <v>73.650000000000006</v>
      </c>
      <c r="H255" t="s">
        <v>3028</v>
      </c>
    </row>
    <row r="256" spans="1:8" x14ac:dyDescent="0.25">
      <c r="A256" s="9" t="s">
        <v>1912</v>
      </c>
      <c r="B256" s="10" t="s">
        <v>452</v>
      </c>
      <c r="C256" s="10" t="s">
        <v>3028</v>
      </c>
      <c r="D256" s="10" t="s">
        <v>2261</v>
      </c>
      <c r="E256" s="10" t="s">
        <v>2262</v>
      </c>
      <c r="F256" s="10" t="s">
        <v>1631</v>
      </c>
      <c r="G256" s="15">
        <v>49.45</v>
      </c>
      <c r="H256" t="s">
        <v>3028</v>
      </c>
    </row>
    <row r="257" spans="1:8" x14ac:dyDescent="0.25">
      <c r="A257" s="9" t="s">
        <v>1912</v>
      </c>
      <c r="B257" s="10" t="s">
        <v>452</v>
      </c>
      <c r="C257" s="10" t="s">
        <v>2263</v>
      </c>
      <c r="D257" s="10" t="s">
        <v>2264</v>
      </c>
      <c r="E257" s="10" t="s">
        <v>2265</v>
      </c>
      <c r="F257" s="10" t="s">
        <v>1875</v>
      </c>
      <c r="G257" s="15">
        <v>43.4</v>
      </c>
      <c r="H257" t="s">
        <v>3028</v>
      </c>
    </row>
    <row r="258" spans="1:8" x14ac:dyDescent="0.25">
      <c r="A258" s="9" t="s">
        <v>1912</v>
      </c>
      <c r="B258" s="10" t="s">
        <v>454</v>
      </c>
      <c r="C258" s="10" t="s">
        <v>3028</v>
      </c>
      <c r="D258" s="10" t="s">
        <v>2266</v>
      </c>
      <c r="E258" s="10" t="s">
        <v>2267</v>
      </c>
      <c r="F258" s="10" t="s">
        <v>1631</v>
      </c>
      <c r="G258" s="15">
        <v>73.650000000000006</v>
      </c>
      <c r="H258" t="s">
        <v>3028</v>
      </c>
    </row>
    <row r="259" spans="1:8" x14ac:dyDescent="0.25">
      <c r="A259" s="9" t="s">
        <v>1912</v>
      </c>
      <c r="B259" s="10" t="s">
        <v>454</v>
      </c>
      <c r="C259" s="10" t="s">
        <v>2268</v>
      </c>
      <c r="D259" s="10" t="s">
        <v>2269</v>
      </c>
      <c r="E259" s="10" t="s">
        <v>2270</v>
      </c>
      <c r="F259" s="10" t="s">
        <v>1627</v>
      </c>
      <c r="G259" s="15">
        <v>73.650000000000006</v>
      </c>
      <c r="H259" t="s">
        <v>3028</v>
      </c>
    </row>
    <row r="260" spans="1:8" x14ac:dyDescent="0.25">
      <c r="A260" s="9" t="s">
        <v>1912</v>
      </c>
      <c r="B260" s="10" t="s">
        <v>458</v>
      </c>
      <c r="C260" s="10" t="s">
        <v>3028</v>
      </c>
      <c r="D260" s="10" t="s">
        <v>2271</v>
      </c>
      <c r="E260" s="10" t="s">
        <v>2272</v>
      </c>
      <c r="F260" s="10" t="s">
        <v>1631</v>
      </c>
      <c r="G260" s="15">
        <v>73.650000000000006</v>
      </c>
      <c r="H260" t="s">
        <v>3028</v>
      </c>
    </row>
    <row r="261" spans="1:8" x14ac:dyDescent="0.25">
      <c r="A261" s="9" t="s">
        <v>1912</v>
      </c>
      <c r="B261" s="10" t="s">
        <v>458</v>
      </c>
      <c r="C261" s="10" t="s">
        <v>2273</v>
      </c>
      <c r="D261" s="10" t="s">
        <v>2274</v>
      </c>
      <c r="E261" s="10" t="s">
        <v>2275</v>
      </c>
      <c r="F261" s="10" t="s">
        <v>1631</v>
      </c>
      <c r="G261" s="15">
        <v>73.650000000000006</v>
      </c>
      <c r="H261" t="s">
        <v>3028</v>
      </c>
    </row>
    <row r="262" spans="1:8" x14ac:dyDescent="0.25">
      <c r="A262" s="9" t="s">
        <v>1912</v>
      </c>
      <c r="B262" s="10" t="s">
        <v>458</v>
      </c>
      <c r="C262" s="10" t="s">
        <v>2276</v>
      </c>
      <c r="D262" s="10" t="s">
        <v>2277</v>
      </c>
      <c r="E262" s="10" t="s">
        <v>2278</v>
      </c>
      <c r="F262" s="10" t="s">
        <v>1631</v>
      </c>
      <c r="G262" s="15">
        <v>73.650000000000006</v>
      </c>
      <c r="H262" t="s">
        <v>3028</v>
      </c>
    </row>
    <row r="263" spans="1:8" x14ac:dyDescent="0.25">
      <c r="A263" s="9" t="s">
        <v>1912</v>
      </c>
      <c r="B263" s="10" t="s">
        <v>462</v>
      </c>
      <c r="C263" s="10" t="s">
        <v>2279</v>
      </c>
      <c r="D263" s="10" t="s">
        <v>2280</v>
      </c>
      <c r="E263" s="10" t="s">
        <v>2281</v>
      </c>
      <c r="F263" s="10" t="s">
        <v>1631</v>
      </c>
      <c r="G263" s="15">
        <v>36.299999999999997</v>
      </c>
      <c r="H263" t="s">
        <v>3028</v>
      </c>
    </row>
    <row r="264" spans="1:8" x14ac:dyDescent="0.25">
      <c r="A264" s="9" t="s">
        <v>1912</v>
      </c>
      <c r="B264" s="10" t="s">
        <v>462</v>
      </c>
      <c r="C264" s="10" t="s">
        <v>2282</v>
      </c>
      <c r="D264" s="10" t="s">
        <v>2283</v>
      </c>
      <c r="E264" s="10" t="s">
        <v>2284</v>
      </c>
      <c r="F264" s="10" t="s">
        <v>1631</v>
      </c>
      <c r="G264" s="15">
        <v>55.44</v>
      </c>
      <c r="H264" t="s">
        <v>3028</v>
      </c>
    </row>
    <row r="265" spans="1:8" x14ac:dyDescent="0.25">
      <c r="A265" s="9" t="s">
        <v>1912</v>
      </c>
      <c r="B265" s="10" t="s">
        <v>468</v>
      </c>
      <c r="C265" s="10" t="s">
        <v>2285</v>
      </c>
      <c r="D265" s="10" t="s">
        <v>2286</v>
      </c>
      <c r="E265" s="10" t="s">
        <v>2287</v>
      </c>
      <c r="F265" s="10" t="s">
        <v>1627</v>
      </c>
      <c r="G265" s="15">
        <v>73.650000000000006</v>
      </c>
      <c r="H265" t="s">
        <v>3028</v>
      </c>
    </row>
    <row r="266" spans="1:8" x14ac:dyDescent="0.25">
      <c r="A266" s="9" t="s">
        <v>1912</v>
      </c>
      <c r="B266" s="10" t="s">
        <v>470</v>
      </c>
      <c r="C266" s="10" t="s">
        <v>2288</v>
      </c>
      <c r="D266" s="10" t="s">
        <v>2289</v>
      </c>
      <c r="E266" s="10" t="s">
        <v>2290</v>
      </c>
      <c r="F266" s="10" t="s">
        <v>1627</v>
      </c>
      <c r="G266" s="15">
        <v>73.650000000000006</v>
      </c>
      <c r="H266" t="s">
        <v>3028</v>
      </c>
    </row>
    <row r="267" spans="1:8" x14ac:dyDescent="0.25">
      <c r="A267" s="9" t="s">
        <v>1912</v>
      </c>
      <c r="B267" s="10" t="s">
        <v>470</v>
      </c>
      <c r="C267" s="10" t="s">
        <v>2291</v>
      </c>
      <c r="D267" s="10" t="s">
        <v>2292</v>
      </c>
      <c r="E267" s="10" t="s">
        <v>2293</v>
      </c>
      <c r="F267" s="10" t="s">
        <v>1631</v>
      </c>
      <c r="G267" s="15">
        <v>73.650000000000006</v>
      </c>
      <c r="H267" t="s">
        <v>3028</v>
      </c>
    </row>
    <row r="268" spans="1:8" x14ac:dyDescent="0.25">
      <c r="A268" s="9" t="s">
        <v>1912</v>
      </c>
      <c r="B268" s="10" t="s">
        <v>474</v>
      </c>
      <c r="C268" s="10" t="s">
        <v>2294</v>
      </c>
      <c r="D268" s="10" t="s">
        <v>2295</v>
      </c>
      <c r="E268" s="10" t="s">
        <v>2296</v>
      </c>
      <c r="F268" s="10" t="s">
        <v>1627</v>
      </c>
      <c r="G268" s="15">
        <v>73.650000000000006</v>
      </c>
      <c r="H268" t="s">
        <v>3028</v>
      </c>
    </row>
    <row r="269" spans="1:8" x14ac:dyDescent="0.25">
      <c r="A269" s="9" t="s">
        <v>1912</v>
      </c>
      <c r="B269" s="10" t="s">
        <v>474</v>
      </c>
      <c r="C269" s="10" t="s">
        <v>2297</v>
      </c>
      <c r="D269" s="10" t="s">
        <v>2298</v>
      </c>
      <c r="E269" s="10" t="s">
        <v>2299</v>
      </c>
      <c r="F269" s="10" t="s">
        <v>1631</v>
      </c>
      <c r="G269" s="15">
        <v>73.650000000000006</v>
      </c>
      <c r="H269" t="s">
        <v>3028</v>
      </c>
    </row>
    <row r="270" spans="1:8" x14ac:dyDescent="0.25">
      <c r="A270" s="9" t="s">
        <v>1912</v>
      </c>
      <c r="B270" s="10" t="s">
        <v>474</v>
      </c>
      <c r="C270" s="10" t="s">
        <v>2300</v>
      </c>
      <c r="D270" s="10" t="s">
        <v>2301</v>
      </c>
      <c r="E270" s="10" t="s">
        <v>2302</v>
      </c>
      <c r="F270" s="10" t="s">
        <v>1631</v>
      </c>
      <c r="G270" s="15">
        <v>73.650000000000006</v>
      </c>
      <c r="H270" t="s">
        <v>3028</v>
      </c>
    </row>
    <row r="271" spans="1:8" x14ac:dyDescent="0.25">
      <c r="A271" s="9" t="s">
        <v>1912</v>
      </c>
      <c r="B271" s="10" t="s">
        <v>478</v>
      </c>
      <c r="C271" s="10" t="s">
        <v>1749</v>
      </c>
      <c r="D271" s="10" t="s">
        <v>1750</v>
      </c>
      <c r="E271" s="10" t="s">
        <v>1751</v>
      </c>
      <c r="F271" s="10" t="s">
        <v>1631</v>
      </c>
      <c r="G271" s="15">
        <v>19.14</v>
      </c>
      <c r="H271" t="s">
        <v>3028</v>
      </c>
    </row>
    <row r="272" spans="1:8" x14ac:dyDescent="0.25">
      <c r="A272" s="9" t="s">
        <v>1912</v>
      </c>
      <c r="B272" s="10" t="s">
        <v>480</v>
      </c>
      <c r="C272" s="10" t="s">
        <v>2303</v>
      </c>
      <c r="D272" s="10" t="s">
        <v>2304</v>
      </c>
      <c r="E272" s="10" t="s">
        <v>2305</v>
      </c>
      <c r="F272" s="10" t="s">
        <v>1627</v>
      </c>
      <c r="G272" s="15">
        <v>12.1</v>
      </c>
      <c r="H272" t="s">
        <v>3028</v>
      </c>
    </row>
    <row r="273" spans="1:8" x14ac:dyDescent="0.25">
      <c r="A273" s="9" t="s">
        <v>1912</v>
      </c>
      <c r="B273" s="10" t="s">
        <v>480</v>
      </c>
      <c r="C273" s="10" t="s">
        <v>2306</v>
      </c>
      <c r="D273" s="10" t="s">
        <v>2307</v>
      </c>
      <c r="E273" s="10" t="s">
        <v>2308</v>
      </c>
      <c r="F273" s="10" t="s">
        <v>1631</v>
      </c>
      <c r="G273" s="15">
        <v>12.1</v>
      </c>
      <c r="H273" t="s">
        <v>3028</v>
      </c>
    </row>
    <row r="274" spans="1:8" x14ac:dyDescent="0.25">
      <c r="A274" s="9" t="s">
        <v>1912</v>
      </c>
      <c r="B274" s="10" t="s">
        <v>480</v>
      </c>
      <c r="C274" s="10" t="s">
        <v>2309</v>
      </c>
      <c r="D274" s="10" t="s">
        <v>2310</v>
      </c>
      <c r="E274" s="10" t="s">
        <v>2311</v>
      </c>
      <c r="F274" s="10" t="s">
        <v>1631</v>
      </c>
      <c r="G274" s="15">
        <v>12.1</v>
      </c>
      <c r="H274" t="s">
        <v>3028</v>
      </c>
    </row>
    <row r="275" spans="1:8" x14ac:dyDescent="0.25">
      <c r="A275" s="9" t="s">
        <v>1912</v>
      </c>
      <c r="B275" s="10" t="s">
        <v>482</v>
      </c>
      <c r="C275" s="10" t="s">
        <v>2312</v>
      </c>
      <c r="D275" s="10" t="s">
        <v>2313</v>
      </c>
      <c r="E275" s="10" t="s">
        <v>2314</v>
      </c>
      <c r="F275" s="10" t="s">
        <v>1631</v>
      </c>
      <c r="G275" s="15">
        <v>73.650000000000006</v>
      </c>
      <c r="H275" t="s">
        <v>3028</v>
      </c>
    </row>
    <row r="276" spans="1:8" x14ac:dyDescent="0.25">
      <c r="A276" s="9" t="s">
        <v>1912</v>
      </c>
      <c r="B276" s="10" t="s">
        <v>494</v>
      </c>
      <c r="C276" s="10" t="s">
        <v>3028</v>
      </c>
      <c r="D276" s="10" t="s">
        <v>1752</v>
      </c>
      <c r="E276" s="10" t="s">
        <v>1753</v>
      </c>
      <c r="F276" s="10" t="s">
        <v>1631</v>
      </c>
      <c r="G276" s="15">
        <v>73.650000000000006</v>
      </c>
      <c r="H276" t="s">
        <v>3028</v>
      </c>
    </row>
    <row r="277" spans="1:8" x14ac:dyDescent="0.25">
      <c r="A277" s="9" t="s">
        <v>1912</v>
      </c>
      <c r="B277" s="10" t="s">
        <v>494</v>
      </c>
      <c r="C277" s="10" t="s">
        <v>1754</v>
      </c>
      <c r="D277" s="10" t="s">
        <v>1755</v>
      </c>
      <c r="E277" s="10" t="s">
        <v>1756</v>
      </c>
      <c r="F277" s="10" t="s">
        <v>1627</v>
      </c>
      <c r="G277" s="15">
        <v>73.650000000000006</v>
      </c>
      <c r="H277" t="s">
        <v>3028</v>
      </c>
    </row>
    <row r="278" spans="1:8" x14ac:dyDescent="0.25">
      <c r="A278" s="9" t="s">
        <v>1912</v>
      </c>
      <c r="B278" s="10" t="s">
        <v>496</v>
      </c>
      <c r="C278" s="10" t="s">
        <v>3028</v>
      </c>
      <c r="D278" s="10" t="s">
        <v>498</v>
      </c>
      <c r="E278" s="10" t="s">
        <v>499</v>
      </c>
      <c r="F278" s="10" t="s">
        <v>1631</v>
      </c>
      <c r="G278" s="15">
        <v>42.37</v>
      </c>
      <c r="H278" t="s">
        <v>3028</v>
      </c>
    </row>
    <row r="279" spans="1:8" x14ac:dyDescent="0.25">
      <c r="A279" s="9" t="s">
        <v>1912</v>
      </c>
      <c r="B279" s="10" t="s">
        <v>496</v>
      </c>
      <c r="C279" s="10" t="s">
        <v>2315</v>
      </c>
      <c r="D279" s="10" t="s">
        <v>2316</v>
      </c>
      <c r="E279" s="10" t="s">
        <v>2317</v>
      </c>
      <c r="F279" s="10" t="s">
        <v>1627</v>
      </c>
      <c r="G279" s="15">
        <v>42.37</v>
      </c>
      <c r="H279" t="s">
        <v>3028</v>
      </c>
    </row>
    <row r="280" spans="1:8" x14ac:dyDescent="0.25">
      <c r="A280" s="9" t="s">
        <v>1912</v>
      </c>
      <c r="B280" s="10" t="s">
        <v>506</v>
      </c>
      <c r="C280" s="10" t="s">
        <v>3028</v>
      </c>
      <c r="D280" s="10" t="s">
        <v>2318</v>
      </c>
      <c r="E280" s="10" t="s">
        <v>2319</v>
      </c>
      <c r="F280" s="10" t="s">
        <v>1631</v>
      </c>
      <c r="G280" s="15">
        <v>73.650000000000006</v>
      </c>
      <c r="H280" t="s">
        <v>3028</v>
      </c>
    </row>
    <row r="281" spans="1:8" x14ac:dyDescent="0.25">
      <c r="A281" s="9" t="s">
        <v>1912</v>
      </c>
      <c r="B281" s="10" t="s">
        <v>506</v>
      </c>
      <c r="C281" s="10" t="s">
        <v>2320</v>
      </c>
      <c r="D281" s="10" t="s">
        <v>2321</v>
      </c>
      <c r="E281" s="10" t="s">
        <v>2322</v>
      </c>
      <c r="F281" s="10" t="s">
        <v>1627</v>
      </c>
      <c r="G281" s="15">
        <v>73.650000000000006</v>
      </c>
      <c r="H281" t="s">
        <v>3028</v>
      </c>
    </row>
    <row r="282" spans="1:8" x14ac:dyDescent="0.25">
      <c r="A282" s="9" t="s">
        <v>1912</v>
      </c>
      <c r="B282" s="10" t="s">
        <v>506</v>
      </c>
      <c r="C282" s="10" t="s">
        <v>2323</v>
      </c>
      <c r="D282" s="10" t="s">
        <v>2324</v>
      </c>
      <c r="E282" s="10" t="s">
        <v>2325</v>
      </c>
      <c r="F282" s="10" t="s">
        <v>1983</v>
      </c>
      <c r="G282" s="15">
        <v>73.650000000000006</v>
      </c>
      <c r="H282" t="s">
        <v>3028</v>
      </c>
    </row>
    <row r="283" spans="1:8" x14ac:dyDescent="0.25">
      <c r="A283" s="9" t="s">
        <v>1912</v>
      </c>
      <c r="B283" s="10" t="s">
        <v>510</v>
      </c>
      <c r="C283" s="10" t="s">
        <v>2326</v>
      </c>
      <c r="D283" s="10" t="s">
        <v>2327</v>
      </c>
      <c r="E283" s="10" t="s">
        <v>2328</v>
      </c>
      <c r="F283" s="10" t="s">
        <v>1627</v>
      </c>
      <c r="G283" s="15">
        <v>73.650000000000006</v>
      </c>
      <c r="H283" t="s">
        <v>3028</v>
      </c>
    </row>
    <row r="284" spans="1:8" x14ac:dyDescent="0.25">
      <c r="A284" s="9" t="s">
        <v>1912</v>
      </c>
      <c r="B284" s="10" t="s">
        <v>510</v>
      </c>
      <c r="C284" s="10" t="s">
        <v>2329</v>
      </c>
      <c r="D284" s="10" t="s">
        <v>2330</v>
      </c>
      <c r="E284" s="10" t="s">
        <v>2331</v>
      </c>
      <c r="F284" s="10" t="s">
        <v>1631</v>
      </c>
      <c r="G284" s="15">
        <v>73.650000000000006</v>
      </c>
      <c r="H284" t="s">
        <v>3028</v>
      </c>
    </row>
    <row r="285" spans="1:8" x14ac:dyDescent="0.25">
      <c r="A285" s="9" t="s">
        <v>1912</v>
      </c>
      <c r="B285" s="10" t="s">
        <v>514</v>
      </c>
      <c r="C285" s="10" t="s">
        <v>2332</v>
      </c>
      <c r="D285" s="10" t="s">
        <v>2333</v>
      </c>
      <c r="E285" s="10" t="s">
        <v>2334</v>
      </c>
      <c r="F285" s="10" t="s">
        <v>1627</v>
      </c>
      <c r="G285" s="15">
        <v>73.650000000000006</v>
      </c>
      <c r="H285" t="s">
        <v>3028</v>
      </c>
    </row>
    <row r="286" spans="1:8" x14ac:dyDescent="0.25">
      <c r="A286" s="9" t="s">
        <v>1912</v>
      </c>
      <c r="B286" s="10" t="s">
        <v>514</v>
      </c>
      <c r="C286" s="10" t="s">
        <v>2335</v>
      </c>
      <c r="D286" s="10" t="s">
        <v>2336</v>
      </c>
      <c r="E286" s="10" t="s">
        <v>2337</v>
      </c>
      <c r="F286" s="10" t="s">
        <v>1631</v>
      </c>
      <c r="G286" s="15">
        <v>73.650000000000006</v>
      </c>
      <c r="H286" t="s">
        <v>3028</v>
      </c>
    </row>
    <row r="287" spans="1:8" x14ac:dyDescent="0.25">
      <c r="A287" s="9" t="s">
        <v>1912</v>
      </c>
      <c r="B287" s="10" t="s">
        <v>514</v>
      </c>
      <c r="C287" s="10" t="s">
        <v>2338</v>
      </c>
      <c r="D287" s="10" t="s">
        <v>2339</v>
      </c>
      <c r="E287" s="10" t="s">
        <v>2340</v>
      </c>
      <c r="F287" s="10" t="s">
        <v>1631</v>
      </c>
      <c r="G287" s="15">
        <v>73.650000000000006</v>
      </c>
      <c r="H287" t="s">
        <v>3028</v>
      </c>
    </row>
    <row r="288" spans="1:8" x14ac:dyDescent="0.25">
      <c r="A288" s="9" t="s">
        <v>1912</v>
      </c>
      <c r="B288" s="10" t="s">
        <v>522</v>
      </c>
      <c r="C288" s="10" t="s">
        <v>3028</v>
      </c>
      <c r="D288" s="10" t="s">
        <v>2341</v>
      </c>
      <c r="E288" s="10" t="s">
        <v>2342</v>
      </c>
      <c r="F288" s="10" t="s">
        <v>1631</v>
      </c>
      <c r="G288" s="15">
        <v>12.14</v>
      </c>
      <c r="H288" t="s">
        <v>3028</v>
      </c>
    </row>
    <row r="289" spans="1:8" x14ac:dyDescent="0.25">
      <c r="A289" s="9" t="s">
        <v>1912</v>
      </c>
      <c r="B289" s="10" t="s">
        <v>522</v>
      </c>
      <c r="C289" s="10" t="s">
        <v>3028</v>
      </c>
      <c r="D289" s="10" t="s">
        <v>2343</v>
      </c>
      <c r="E289" s="10" t="s">
        <v>2344</v>
      </c>
      <c r="F289" s="10" t="s">
        <v>1631</v>
      </c>
      <c r="G289" s="15">
        <v>12.14</v>
      </c>
      <c r="H289" t="s">
        <v>3028</v>
      </c>
    </row>
    <row r="290" spans="1:8" x14ac:dyDescent="0.25">
      <c r="A290" s="9" t="s">
        <v>1912</v>
      </c>
      <c r="B290" s="10" t="s">
        <v>522</v>
      </c>
      <c r="C290" s="10" t="s">
        <v>2345</v>
      </c>
      <c r="D290" s="10" t="s">
        <v>2346</v>
      </c>
      <c r="E290" s="10" t="s">
        <v>2347</v>
      </c>
      <c r="F290" s="10" t="s">
        <v>1627</v>
      </c>
      <c r="G290" s="15">
        <v>12.14</v>
      </c>
      <c r="H290" t="s">
        <v>3028</v>
      </c>
    </row>
    <row r="291" spans="1:8" x14ac:dyDescent="0.25">
      <c r="A291" s="9" t="s">
        <v>1912</v>
      </c>
      <c r="B291" s="10" t="s">
        <v>524</v>
      </c>
      <c r="C291" s="10" t="s">
        <v>2348</v>
      </c>
      <c r="D291" s="10" t="s">
        <v>2349</v>
      </c>
      <c r="E291" s="10" t="s">
        <v>2350</v>
      </c>
      <c r="F291" s="10" t="s">
        <v>1631</v>
      </c>
      <c r="G291" s="15">
        <v>250.35</v>
      </c>
      <c r="H291" t="s">
        <v>3028</v>
      </c>
    </row>
    <row r="292" spans="1:8" x14ac:dyDescent="0.25">
      <c r="A292" s="9" t="s">
        <v>1912</v>
      </c>
      <c r="B292" s="10" t="s">
        <v>526</v>
      </c>
      <c r="C292" s="10" t="s">
        <v>3028</v>
      </c>
      <c r="D292" s="10" t="s">
        <v>2351</v>
      </c>
      <c r="E292" s="10" t="s">
        <v>2352</v>
      </c>
      <c r="F292" s="10" t="s">
        <v>1983</v>
      </c>
      <c r="G292" s="15">
        <v>73.650000000000006</v>
      </c>
      <c r="H292" t="s">
        <v>3028</v>
      </c>
    </row>
    <row r="293" spans="1:8" x14ac:dyDescent="0.25">
      <c r="A293" s="9" t="s">
        <v>1912</v>
      </c>
      <c r="B293" s="10" t="s">
        <v>526</v>
      </c>
      <c r="C293" s="10" t="s">
        <v>3028</v>
      </c>
      <c r="D293" s="10" t="s">
        <v>2349</v>
      </c>
      <c r="E293" s="10" t="s">
        <v>2353</v>
      </c>
      <c r="F293" s="10" t="s">
        <v>1631</v>
      </c>
      <c r="G293" s="15">
        <v>73.650000000000006</v>
      </c>
      <c r="H293" t="s">
        <v>3028</v>
      </c>
    </row>
    <row r="294" spans="1:8" x14ac:dyDescent="0.25">
      <c r="A294" s="9" t="s">
        <v>1912</v>
      </c>
      <c r="B294" s="10" t="s">
        <v>526</v>
      </c>
      <c r="C294" s="10" t="s">
        <v>2354</v>
      </c>
      <c r="D294" s="10" t="s">
        <v>2355</v>
      </c>
      <c r="E294" s="10" t="s">
        <v>2356</v>
      </c>
      <c r="F294" s="10" t="s">
        <v>1627</v>
      </c>
      <c r="G294" s="15">
        <v>73.650000000000006</v>
      </c>
      <c r="H294" t="s">
        <v>3028</v>
      </c>
    </row>
    <row r="295" spans="1:8" x14ac:dyDescent="0.25">
      <c r="A295" s="9" t="s">
        <v>1912</v>
      </c>
      <c r="B295" s="10" t="s">
        <v>532</v>
      </c>
      <c r="C295" s="10" t="s">
        <v>2357</v>
      </c>
      <c r="D295" s="10" t="s">
        <v>2358</v>
      </c>
      <c r="E295" s="10" t="s">
        <v>2359</v>
      </c>
      <c r="F295" s="10" t="s">
        <v>1627</v>
      </c>
      <c r="G295" s="15">
        <v>73.650000000000006</v>
      </c>
      <c r="H295" t="s">
        <v>3028</v>
      </c>
    </row>
    <row r="296" spans="1:8" x14ac:dyDescent="0.25">
      <c r="A296" s="9" t="s">
        <v>1912</v>
      </c>
      <c r="B296" s="10" t="s">
        <v>540</v>
      </c>
      <c r="C296" s="10" t="s">
        <v>3028</v>
      </c>
      <c r="D296" s="10" t="s">
        <v>2360</v>
      </c>
      <c r="E296" s="10" t="s">
        <v>2361</v>
      </c>
      <c r="F296" s="10" t="s">
        <v>1631</v>
      </c>
      <c r="G296" s="15">
        <v>18.149999999999999</v>
      </c>
      <c r="H296" t="s">
        <v>3028</v>
      </c>
    </row>
    <row r="297" spans="1:8" x14ac:dyDescent="0.25">
      <c r="A297" s="9" t="s">
        <v>1912</v>
      </c>
      <c r="B297" s="10" t="s">
        <v>540</v>
      </c>
      <c r="C297" s="10" t="s">
        <v>3028</v>
      </c>
      <c r="D297" s="10" t="s">
        <v>2362</v>
      </c>
      <c r="E297" s="10" t="s">
        <v>2363</v>
      </c>
      <c r="F297" s="10" t="s">
        <v>1631</v>
      </c>
      <c r="G297" s="15">
        <v>18.149999999999999</v>
      </c>
      <c r="H297" t="s">
        <v>3028</v>
      </c>
    </row>
    <row r="298" spans="1:8" x14ac:dyDescent="0.25">
      <c r="A298" s="9" t="s">
        <v>1912</v>
      </c>
      <c r="B298" s="10" t="s">
        <v>540</v>
      </c>
      <c r="C298" s="10" t="s">
        <v>2364</v>
      </c>
      <c r="D298" s="10" t="s">
        <v>2365</v>
      </c>
      <c r="E298" s="10" t="s">
        <v>2366</v>
      </c>
      <c r="F298" s="10" t="s">
        <v>1627</v>
      </c>
      <c r="G298" s="15">
        <v>18.149999999999999</v>
      </c>
      <c r="H298" t="s">
        <v>3028</v>
      </c>
    </row>
    <row r="299" spans="1:8" x14ac:dyDescent="0.25">
      <c r="A299" s="9" t="s">
        <v>1912</v>
      </c>
      <c r="B299" s="10" t="s">
        <v>546</v>
      </c>
      <c r="C299" s="10" t="s">
        <v>3028</v>
      </c>
      <c r="D299" s="10" t="s">
        <v>2367</v>
      </c>
      <c r="E299" s="10" t="s">
        <v>2368</v>
      </c>
      <c r="F299" s="10" t="s">
        <v>1631</v>
      </c>
      <c r="G299" s="15">
        <v>73.650000000000006</v>
      </c>
      <c r="H299" t="s">
        <v>3028</v>
      </c>
    </row>
    <row r="300" spans="1:8" x14ac:dyDescent="0.25">
      <c r="A300" s="9" t="s">
        <v>1912</v>
      </c>
      <c r="B300" s="10" t="s">
        <v>550</v>
      </c>
      <c r="C300" s="10" t="s">
        <v>2369</v>
      </c>
      <c r="D300" s="10" t="s">
        <v>2370</v>
      </c>
      <c r="E300" s="10" t="s">
        <v>2371</v>
      </c>
      <c r="F300" s="10" t="s">
        <v>1627</v>
      </c>
      <c r="G300" s="15">
        <v>306.47000000000003</v>
      </c>
      <c r="H300" t="s">
        <v>3028</v>
      </c>
    </row>
    <row r="301" spans="1:8" x14ac:dyDescent="0.25">
      <c r="A301" s="9" t="s">
        <v>1912</v>
      </c>
      <c r="B301" s="10" t="s">
        <v>552</v>
      </c>
      <c r="C301" s="10" t="s">
        <v>2372</v>
      </c>
      <c r="D301" s="10" t="s">
        <v>2373</v>
      </c>
      <c r="E301" s="10" t="s">
        <v>2374</v>
      </c>
      <c r="F301" s="10" t="s">
        <v>1627</v>
      </c>
      <c r="G301" s="15">
        <v>1014.14</v>
      </c>
      <c r="H301" t="s">
        <v>3028</v>
      </c>
    </row>
    <row r="302" spans="1:8" x14ac:dyDescent="0.25">
      <c r="A302" s="9" t="s">
        <v>1912</v>
      </c>
      <c r="B302" s="10" t="s">
        <v>564</v>
      </c>
      <c r="C302" s="10" t="s">
        <v>3028</v>
      </c>
      <c r="D302" s="10" t="s">
        <v>2375</v>
      </c>
      <c r="E302" s="10" t="s">
        <v>2376</v>
      </c>
      <c r="F302" s="10" t="s">
        <v>1631</v>
      </c>
      <c r="G302" s="15">
        <v>19.14</v>
      </c>
      <c r="H302" t="s">
        <v>3028</v>
      </c>
    </row>
    <row r="303" spans="1:8" x14ac:dyDescent="0.25">
      <c r="A303" s="9" t="s">
        <v>1912</v>
      </c>
      <c r="B303" s="10" t="s">
        <v>564</v>
      </c>
      <c r="C303" s="10" t="s">
        <v>2377</v>
      </c>
      <c r="D303" s="10" t="s">
        <v>2378</v>
      </c>
      <c r="E303" s="10" t="s">
        <v>2379</v>
      </c>
      <c r="F303" s="10" t="s">
        <v>2380</v>
      </c>
      <c r="G303" s="15">
        <v>73.650000000000006</v>
      </c>
      <c r="H303" t="s">
        <v>3028</v>
      </c>
    </row>
    <row r="304" spans="1:8" x14ac:dyDescent="0.25">
      <c r="A304" s="9" t="s">
        <v>1912</v>
      </c>
      <c r="B304" s="10" t="s">
        <v>568</v>
      </c>
      <c r="C304" s="10" t="s">
        <v>1770</v>
      </c>
      <c r="D304" s="10" t="s">
        <v>1771</v>
      </c>
      <c r="E304" s="10" t="s">
        <v>1772</v>
      </c>
      <c r="F304" s="10" t="s">
        <v>1627</v>
      </c>
      <c r="G304" s="15">
        <v>19.14</v>
      </c>
      <c r="H304" t="s">
        <v>3028</v>
      </c>
    </row>
    <row r="305" spans="1:8" x14ac:dyDescent="0.25">
      <c r="A305" s="9" t="s">
        <v>1912</v>
      </c>
      <c r="B305" s="10" t="s">
        <v>568</v>
      </c>
      <c r="C305" s="10" t="s">
        <v>1773</v>
      </c>
      <c r="D305" s="10" t="s">
        <v>1774</v>
      </c>
      <c r="E305" s="10" t="s">
        <v>1775</v>
      </c>
      <c r="F305" s="10" t="s">
        <v>1631</v>
      </c>
      <c r="G305" s="15">
        <v>19.14</v>
      </c>
      <c r="H305" t="s">
        <v>3028</v>
      </c>
    </row>
    <row r="306" spans="1:8" x14ac:dyDescent="0.25">
      <c r="A306" s="9" t="s">
        <v>1912</v>
      </c>
      <c r="B306" s="10" t="s">
        <v>568</v>
      </c>
      <c r="C306" s="10" t="s">
        <v>1776</v>
      </c>
      <c r="D306" s="10" t="s">
        <v>1777</v>
      </c>
      <c r="E306" s="10" t="s">
        <v>1778</v>
      </c>
      <c r="F306" s="10" t="s">
        <v>1631</v>
      </c>
      <c r="G306" s="15">
        <v>19.14</v>
      </c>
      <c r="H306" t="s">
        <v>3028</v>
      </c>
    </row>
    <row r="307" spans="1:8" x14ac:dyDescent="0.25">
      <c r="A307" s="9" t="s">
        <v>1912</v>
      </c>
      <c r="B307" s="10" t="s">
        <v>568</v>
      </c>
      <c r="C307" s="10" t="s">
        <v>1779</v>
      </c>
      <c r="D307" s="10" t="s">
        <v>1780</v>
      </c>
      <c r="E307" s="10" t="s">
        <v>1781</v>
      </c>
      <c r="F307" s="10" t="s">
        <v>1631</v>
      </c>
      <c r="G307" s="15">
        <v>19.14</v>
      </c>
      <c r="H307" t="s">
        <v>3028</v>
      </c>
    </row>
    <row r="308" spans="1:8" x14ac:dyDescent="0.25">
      <c r="A308" s="9" t="s">
        <v>1912</v>
      </c>
      <c r="B308" s="10" t="s">
        <v>586</v>
      </c>
      <c r="C308" s="10" t="s">
        <v>3028</v>
      </c>
      <c r="D308" s="10" t="s">
        <v>2381</v>
      </c>
      <c r="E308" s="10" t="s">
        <v>2382</v>
      </c>
      <c r="F308" s="10" t="s">
        <v>1631</v>
      </c>
      <c r="G308" s="15">
        <v>55.5</v>
      </c>
      <c r="H308" t="s">
        <v>3028</v>
      </c>
    </row>
    <row r="309" spans="1:8" x14ac:dyDescent="0.25">
      <c r="A309" s="9" t="s">
        <v>1912</v>
      </c>
      <c r="B309" s="10" t="s">
        <v>586</v>
      </c>
      <c r="C309" s="10" t="s">
        <v>2383</v>
      </c>
      <c r="D309" s="10" t="s">
        <v>2384</v>
      </c>
      <c r="E309" s="10" t="s">
        <v>2385</v>
      </c>
      <c r="F309" s="10" t="s">
        <v>1627</v>
      </c>
      <c r="G309" s="15">
        <v>55.5</v>
      </c>
      <c r="H309" t="s">
        <v>3028</v>
      </c>
    </row>
    <row r="310" spans="1:8" x14ac:dyDescent="0.25">
      <c r="A310" s="9" t="s">
        <v>1912</v>
      </c>
      <c r="B310" s="10" t="s">
        <v>586</v>
      </c>
      <c r="C310" s="10" t="s">
        <v>2386</v>
      </c>
      <c r="D310" s="10" t="s">
        <v>2387</v>
      </c>
      <c r="E310" s="10" t="s">
        <v>2388</v>
      </c>
      <c r="F310" s="10" t="s">
        <v>1983</v>
      </c>
      <c r="G310" s="15">
        <v>55.5</v>
      </c>
      <c r="H310" t="s">
        <v>3028</v>
      </c>
    </row>
    <row r="311" spans="1:8" x14ac:dyDescent="0.25">
      <c r="A311" s="9" t="s">
        <v>1912</v>
      </c>
      <c r="B311" s="10" t="s">
        <v>588</v>
      </c>
      <c r="C311" s="10" t="s">
        <v>1782</v>
      </c>
      <c r="D311" s="10" t="s">
        <v>1783</v>
      </c>
      <c r="E311" s="10" t="s">
        <v>1784</v>
      </c>
      <c r="F311" s="10" t="s">
        <v>1627</v>
      </c>
      <c r="G311" s="15">
        <v>73.650000000000006</v>
      </c>
      <c r="H311" t="s">
        <v>3028</v>
      </c>
    </row>
    <row r="312" spans="1:8" x14ac:dyDescent="0.25">
      <c r="A312" s="9" t="s">
        <v>1912</v>
      </c>
      <c r="B312" s="10" t="s">
        <v>588</v>
      </c>
      <c r="C312" s="10" t="s">
        <v>1785</v>
      </c>
      <c r="D312" s="10" t="s">
        <v>1786</v>
      </c>
      <c r="E312" s="10" t="s">
        <v>1787</v>
      </c>
      <c r="F312" s="10" t="s">
        <v>1631</v>
      </c>
      <c r="G312" s="15">
        <v>73.650000000000006</v>
      </c>
      <c r="H312" t="s">
        <v>3028</v>
      </c>
    </row>
    <row r="313" spans="1:8" x14ac:dyDescent="0.25">
      <c r="A313" s="9" t="s">
        <v>1912</v>
      </c>
      <c r="B313" s="10" t="s">
        <v>604</v>
      </c>
      <c r="C313" s="10" t="s">
        <v>2389</v>
      </c>
      <c r="D313" s="10" t="s">
        <v>2390</v>
      </c>
      <c r="E313" s="10" t="s">
        <v>2391</v>
      </c>
      <c r="F313" s="10" t="s">
        <v>1627</v>
      </c>
      <c r="G313" s="15">
        <v>73.650000000000006</v>
      </c>
      <c r="H313" t="s">
        <v>3028</v>
      </c>
    </row>
    <row r="314" spans="1:8" x14ac:dyDescent="0.25">
      <c r="A314" s="9" t="s">
        <v>1912</v>
      </c>
      <c r="B314" s="10" t="s">
        <v>610</v>
      </c>
      <c r="C314" s="10" t="s">
        <v>2392</v>
      </c>
      <c r="D314" s="10" t="s">
        <v>2393</v>
      </c>
      <c r="E314" s="10" t="s">
        <v>2394</v>
      </c>
      <c r="F314" s="10" t="s">
        <v>1627</v>
      </c>
      <c r="G314" s="15">
        <v>55.5</v>
      </c>
      <c r="H314" t="s">
        <v>3028</v>
      </c>
    </row>
    <row r="315" spans="1:8" x14ac:dyDescent="0.25">
      <c r="A315" s="9" t="s">
        <v>1912</v>
      </c>
      <c r="B315" s="10" t="s">
        <v>610</v>
      </c>
      <c r="C315" s="10" t="s">
        <v>2395</v>
      </c>
      <c r="D315" s="10" t="s">
        <v>2396</v>
      </c>
      <c r="E315" s="10" t="s">
        <v>2397</v>
      </c>
      <c r="F315" s="10" t="s">
        <v>1631</v>
      </c>
      <c r="G315" s="15">
        <v>55.5</v>
      </c>
      <c r="H315" t="s">
        <v>3028</v>
      </c>
    </row>
    <row r="316" spans="1:8" x14ac:dyDescent="0.25">
      <c r="A316" s="9" t="s">
        <v>1912</v>
      </c>
      <c r="B316" s="10" t="s">
        <v>612</v>
      </c>
      <c r="C316" s="10" t="s">
        <v>3028</v>
      </c>
      <c r="D316" s="10" t="s">
        <v>2398</v>
      </c>
      <c r="E316" s="10" t="s">
        <v>2399</v>
      </c>
      <c r="F316" s="10" t="s">
        <v>1631</v>
      </c>
      <c r="G316" s="15">
        <v>49.45</v>
      </c>
      <c r="H316" t="s">
        <v>3028</v>
      </c>
    </row>
    <row r="317" spans="1:8" x14ac:dyDescent="0.25">
      <c r="A317" s="9" t="s">
        <v>1912</v>
      </c>
      <c r="B317" s="10" t="s">
        <v>612</v>
      </c>
      <c r="C317" s="10" t="s">
        <v>2400</v>
      </c>
      <c r="D317" s="10" t="s">
        <v>2401</v>
      </c>
      <c r="E317" s="10" t="s">
        <v>2402</v>
      </c>
      <c r="F317" s="10" t="s">
        <v>1627</v>
      </c>
      <c r="G317" s="15">
        <v>49.45</v>
      </c>
      <c r="H317" t="s">
        <v>3028</v>
      </c>
    </row>
    <row r="318" spans="1:8" x14ac:dyDescent="0.25">
      <c r="A318" s="9" t="s">
        <v>1912</v>
      </c>
      <c r="B318" s="10" t="s">
        <v>612</v>
      </c>
      <c r="C318" s="10" t="s">
        <v>2403</v>
      </c>
      <c r="D318" s="10" t="s">
        <v>2404</v>
      </c>
      <c r="E318" s="10" t="s">
        <v>2405</v>
      </c>
      <c r="F318" s="10" t="s">
        <v>1631</v>
      </c>
      <c r="G318" s="15">
        <v>49.45</v>
      </c>
      <c r="H318" t="s">
        <v>3028</v>
      </c>
    </row>
    <row r="319" spans="1:8" x14ac:dyDescent="0.25">
      <c r="A319" s="9" t="s">
        <v>1912</v>
      </c>
      <c r="B319" s="10" t="s">
        <v>614</v>
      </c>
      <c r="C319" s="10" t="s">
        <v>2406</v>
      </c>
      <c r="D319" s="10" t="s">
        <v>2407</v>
      </c>
      <c r="E319" s="10" t="s">
        <v>2408</v>
      </c>
      <c r="F319" s="10" t="s">
        <v>1627</v>
      </c>
      <c r="G319" s="15">
        <v>73.650000000000006</v>
      </c>
      <c r="H319" t="s">
        <v>3028</v>
      </c>
    </row>
    <row r="320" spans="1:8" x14ac:dyDescent="0.25">
      <c r="A320" s="9" t="s">
        <v>1912</v>
      </c>
      <c r="B320" s="10" t="s">
        <v>616</v>
      </c>
      <c r="C320" s="10" t="s">
        <v>1788</v>
      </c>
      <c r="D320" s="10" t="s">
        <v>1789</v>
      </c>
      <c r="E320" s="10" t="s">
        <v>1790</v>
      </c>
      <c r="F320" s="10" t="s">
        <v>1627</v>
      </c>
      <c r="G320" s="15">
        <v>48.44</v>
      </c>
      <c r="H320" t="s">
        <v>3028</v>
      </c>
    </row>
    <row r="321" spans="1:8" x14ac:dyDescent="0.25">
      <c r="A321" s="9" t="s">
        <v>1912</v>
      </c>
      <c r="B321" s="10" t="s">
        <v>616</v>
      </c>
      <c r="C321" s="10" t="s">
        <v>1791</v>
      </c>
      <c r="D321" s="10" t="s">
        <v>1792</v>
      </c>
      <c r="E321" s="10" t="s">
        <v>1793</v>
      </c>
      <c r="F321" s="10" t="s">
        <v>1631</v>
      </c>
      <c r="G321" s="15">
        <v>48.44</v>
      </c>
      <c r="H321" t="s">
        <v>3028</v>
      </c>
    </row>
    <row r="322" spans="1:8" x14ac:dyDescent="0.25">
      <c r="A322" s="9" t="s">
        <v>1912</v>
      </c>
      <c r="B322" s="10" t="s">
        <v>622</v>
      </c>
      <c r="C322" s="10" t="s">
        <v>3028</v>
      </c>
      <c r="D322" s="10" t="s">
        <v>2409</v>
      </c>
      <c r="E322" s="10" t="s">
        <v>2410</v>
      </c>
      <c r="F322" s="10" t="s">
        <v>1631</v>
      </c>
      <c r="G322" s="15">
        <v>19.14</v>
      </c>
      <c r="H322" t="s">
        <v>3028</v>
      </c>
    </row>
    <row r="323" spans="1:8" x14ac:dyDescent="0.25">
      <c r="A323" s="9" t="s">
        <v>1912</v>
      </c>
      <c r="B323" s="10" t="s">
        <v>622</v>
      </c>
      <c r="C323" s="10" t="s">
        <v>3028</v>
      </c>
      <c r="D323" s="10" t="s">
        <v>2411</v>
      </c>
      <c r="E323" s="10" t="s">
        <v>2412</v>
      </c>
      <c r="F323" s="10" t="s">
        <v>1631</v>
      </c>
      <c r="G323" s="15">
        <v>19.14</v>
      </c>
      <c r="H323" t="s">
        <v>3028</v>
      </c>
    </row>
    <row r="324" spans="1:8" x14ac:dyDescent="0.25">
      <c r="A324" s="9" t="s">
        <v>1912</v>
      </c>
      <c r="B324" s="10" t="s">
        <v>622</v>
      </c>
      <c r="C324" s="10" t="s">
        <v>2413</v>
      </c>
      <c r="D324" s="10" t="s">
        <v>2414</v>
      </c>
      <c r="E324" s="10" t="s">
        <v>2415</v>
      </c>
      <c r="F324" s="10" t="s">
        <v>1631</v>
      </c>
      <c r="G324" s="15">
        <v>19.14</v>
      </c>
      <c r="H324" t="s">
        <v>3028</v>
      </c>
    </row>
    <row r="325" spans="1:8" x14ac:dyDescent="0.25">
      <c r="A325" s="9" t="s">
        <v>1912</v>
      </c>
      <c r="B325" s="10" t="s">
        <v>624</v>
      </c>
      <c r="C325" s="10" t="s">
        <v>2416</v>
      </c>
      <c r="D325" s="10" t="s">
        <v>2417</v>
      </c>
      <c r="E325" s="10" t="s">
        <v>2418</v>
      </c>
      <c r="F325" s="10" t="s">
        <v>1631</v>
      </c>
      <c r="G325" s="15">
        <v>73.650000000000006</v>
      </c>
      <c r="H325" t="s">
        <v>3028</v>
      </c>
    </row>
    <row r="326" spans="1:8" x14ac:dyDescent="0.25">
      <c r="A326" s="9" t="s">
        <v>1912</v>
      </c>
      <c r="B326" s="10" t="s">
        <v>626</v>
      </c>
      <c r="C326" s="10" t="s">
        <v>3028</v>
      </c>
      <c r="D326" s="10" t="s">
        <v>2419</v>
      </c>
      <c r="E326" s="10" t="s">
        <v>2420</v>
      </c>
      <c r="F326" s="10" t="s">
        <v>1631</v>
      </c>
      <c r="G326" s="15">
        <v>12.1</v>
      </c>
      <c r="H326" t="s">
        <v>3028</v>
      </c>
    </row>
    <row r="327" spans="1:8" x14ac:dyDescent="0.25">
      <c r="A327" s="9" t="s">
        <v>1912</v>
      </c>
      <c r="B327" s="10" t="s">
        <v>626</v>
      </c>
      <c r="C327" s="10" t="s">
        <v>2421</v>
      </c>
      <c r="D327" s="10" t="s">
        <v>2422</v>
      </c>
      <c r="E327" s="10" t="s">
        <v>2423</v>
      </c>
      <c r="F327" s="10" t="s">
        <v>1627</v>
      </c>
      <c r="G327" s="15">
        <v>12.1</v>
      </c>
      <c r="H327" t="s">
        <v>3028</v>
      </c>
    </row>
    <row r="328" spans="1:8" x14ac:dyDescent="0.25">
      <c r="A328" s="9" t="s">
        <v>1912</v>
      </c>
      <c r="B328" s="10" t="s">
        <v>626</v>
      </c>
      <c r="C328" s="10" t="s">
        <v>2424</v>
      </c>
      <c r="D328" s="10" t="s">
        <v>2425</v>
      </c>
      <c r="E328" s="10" t="s">
        <v>2426</v>
      </c>
      <c r="F328" s="10" t="s">
        <v>1631</v>
      </c>
      <c r="G328" s="15">
        <v>12.1</v>
      </c>
      <c r="H328" t="s">
        <v>3028</v>
      </c>
    </row>
    <row r="329" spans="1:8" x14ac:dyDescent="0.25">
      <c r="A329" s="9" t="s">
        <v>1912</v>
      </c>
      <c r="B329" s="10" t="s">
        <v>628</v>
      </c>
      <c r="C329" s="10" t="s">
        <v>2427</v>
      </c>
      <c r="D329" s="10" t="s">
        <v>2428</v>
      </c>
      <c r="E329" s="10" t="s">
        <v>2429</v>
      </c>
      <c r="F329" s="10" t="s">
        <v>1627</v>
      </c>
      <c r="G329" s="15">
        <v>24.2</v>
      </c>
      <c r="H329" t="s">
        <v>3028</v>
      </c>
    </row>
    <row r="330" spans="1:8" x14ac:dyDescent="0.25">
      <c r="A330" s="9" t="s">
        <v>1912</v>
      </c>
      <c r="B330" s="10" t="s">
        <v>628</v>
      </c>
      <c r="C330" s="10" t="s">
        <v>2430</v>
      </c>
      <c r="D330" s="10" t="s">
        <v>2431</v>
      </c>
      <c r="E330" s="10" t="s">
        <v>2432</v>
      </c>
      <c r="F330" s="10" t="s">
        <v>1631</v>
      </c>
      <c r="G330" s="15">
        <v>24.2</v>
      </c>
      <c r="H330" t="s">
        <v>3028</v>
      </c>
    </row>
    <row r="331" spans="1:8" x14ac:dyDescent="0.25">
      <c r="A331" s="9" t="s">
        <v>1912</v>
      </c>
      <c r="B331" s="10" t="s">
        <v>630</v>
      </c>
      <c r="C331" s="10" t="s">
        <v>3028</v>
      </c>
      <c r="D331" s="10" t="s">
        <v>2433</v>
      </c>
      <c r="E331" s="10" t="s">
        <v>2434</v>
      </c>
      <c r="F331" s="10" t="s">
        <v>1631</v>
      </c>
      <c r="G331" s="15">
        <v>54.51</v>
      </c>
      <c r="H331" t="s">
        <v>3028</v>
      </c>
    </row>
    <row r="332" spans="1:8" x14ac:dyDescent="0.25">
      <c r="A332" s="9" t="s">
        <v>1912</v>
      </c>
      <c r="B332" s="10" t="s">
        <v>632</v>
      </c>
      <c r="C332" s="10" t="s">
        <v>2435</v>
      </c>
      <c r="D332" s="10" t="s">
        <v>2436</v>
      </c>
      <c r="E332" s="10" t="s">
        <v>2437</v>
      </c>
      <c r="F332" s="10" t="s">
        <v>1627</v>
      </c>
      <c r="G332" s="15">
        <v>166.98</v>
      </c>
      <c r="H332" t="s">
        <v>3028</v>
      </c>
    </row>
    <row r="333" spans="1:8" x14ac:dyDescent="0.25">
      <c r="A333" s="9" t="s">
        <v>1912</v>
      </c>
      <c r="B333" s="10" t="s">
        <v>634</v>
      </c>
      <c r="C333" s="10" t="s">
        <v>3028</v>
      </c>
      <c r="D333" s="10" t="s">
        <v>2438</v>
      </c>
      <c r="E333" s="10" t="s">
        <v>2439</v>
      </c>
      <c r="F333" s="10" t="s">
        <v>1631</v>
      </c>
      <c r="G333" s="15">
        <v>1014.14</v>
      </c>
      <c r="H333" t="s">
        <v>3028</v>
      </c>
    </row>
    <row r="334" spans="1:8" x14ac:dyDescent="0.25">
      <c r="A334" s="9" t="s">
        <v>1912</v>
      </c>
      <c r="B334" s="10" t="s">
        <v>634</v>
      </c>
      <c r="C334" s="10" t="s">
        <v>2440</v>
      </c>
      <c r="D334" s="10" t="s">
        <v>2441</v>
      </c>
      <c r="E334" s="10" t="s">
        <v>2442</v>
      </c>
      <c r="F334" s="10" t="s">
        <v>1627</v>
      </c>
      <c r="G334" s="15">
        <v>1014.14</v>
      </c>
      <c r="H334" t="s">
        <v>3028</v>
      </c>
    </row>
    <row r="335" spans="1:8" x14ac:dyDescent="0.25">
      <c r="A335" s="9" t="s">
        <v>1912</v>
      </c>
      <c r="B335" s="10" t="s">
        <v>634</v>
      </c>
      <c r="C335" s="10" t="s">
        <v>2443</v>
      </c>
      <c r="D335" s="10" t="s">
        <v>2444</v>
      </c>
      <c r="E335" s="10" t="s">
        <v>2445</v>
      </c>
      <c r="F335" s="10" t="s">
        <v>1631</v>
      </c>
      <c r="G335" s="15">
        <v>1014.14</v>
      </c>
      <c r="H335" t="s">
        <v>3028</v>
      </c>
    </row>
    <row r="336" spans="1:8" x14ac:dyDescent="0.25">
      <c r="A336" s="9" t="s">
        <v>1912</v>
      </c>
      <c r="B336" s="10" t="s">
        <v>640</v>
      </c>
      <c r="C336" s="10" t="s">
        <v>2446</v>
      </c>
      <c r="D336" s="10" t="s">
        <v>2447</v>
      </c>
      <c r="E336" s="10" t="s">
        <v>2448</v>
      </c>
      <c r="F336" s="10" t="s">
        <v>1627</v>
      </c>
      <c r="G336" s="15">
        <v>73.650000000000006</v>
      </c>
      <c r="H336" t="s">
        <v>3028</v>
      </c>
    </row>
    <row r="337" spans="1:8" x14ac:dyDescent="0.25">
      <c r="A337" s="9" t="s">
        <v>1912</v>
      </c>
      <c r="B337" s="10" t="s">
        <v>640</v>
      </c>
      <c r="C337" s="10" t="s">
        <v>2449</v>
      </c>
      <c r="D337" s="10" t="s">
        <v>2450</v>
      </c>
      <c r="E337" s="10" t="s">
        <v>2451</v>
      </c>
      <c r="F337" s="10" t="s">
        <v>1631</v>
      </c>
      <c r="G337" s="15">
        <v>73.650000000000006</v>
      </c>
      <c r="H337" t="s">
        <v>3028</v>
      </c>
    </row>
    <row r="338" spans="1:8" x14ac:dyDescent="0.25">
      <c r="A338" s="9" t="s">
        <v>1912</v>
      </c>
      <c r="B338" s="10" t="s">
        <v>640</v>
      </c>
      <c r="C338" s="10" t="s">
        <v>2452</v>
      </c>
      <c r="D338" s="10" t="s">
        <v>2453</v>
      </c>
      <c r="E338" s="10" t="s">
        <v>2454</v>
      </c>
      <c r="F338" s="10" t="s">
        <v>1631</v>
      </c>
      <c r="G338" s="15">
        <v>73.650000000000006</v>
      </c>
      <c r="H338" t="s">
        <v>3028</v>
      </c>
    </row>
    <row r="339" spans="1:8" x14ac:dyDescent="0.25">
      <c r="A339" s="9" t="s">
        <v>1912</v>
      </c>
      <c r="B339" s="10" t="s">
        <v>642</v>
      </c>
      <c r="C339" s="10" t="s">
        <v>3028</v>
      </c>
      <c r="D339" s="10" t="s">
        <v>2455</v>
      </c>
      <c r="E339" s="10" t="s">
        <v>2456</v>
      </c>
      <c r="F339" s="10" t="s">
        <v>1631</v>
      </c>
      <c r="G339" s="15">
        <v>73.650000000000006</v>
      </c>
      <c r="H339" t="s">
        <v>3028</v>
      </c>
    </row>
    <row r="340" spans="1:8" x14ac:dyDescent="0.25">
      <c r="A340" s="9" t="s">
        <v>1912</v>
      </c>
      <c r="B340" s="10" t="s">
        <v>642</v>
      </c>
      <c r="C340" s="10" t="s">
        <v>2457</v>
      </c>
      <c r="D340" s="10" t="s">
        <v>2458</v>
      </c>
      <c r="E340" s="10" t="s">
        <v>2459</v>
      </c>
      <c r="F340" s="10" t="s">
        <v>1627</v>
      </c>
      <c r="G340" s="15">
        <v>73.650000000000006</v>
      </c>
      <c r="H340" t="s">
        <v>3028</v>
      </c>
    </row>
    <row r="341" spans="1:8" x14ac:dyDescent="0.25">
      <c r="A341" s="9" t="s">
        <v>1912</v>
      </c>
      <c r="B341" s="10" t="s">
        <v>644</v>
      </c>
      <c r="C341" s="10" t="s">
        <v>2460</v>
      </c>
      <c r="D341" s="10" t="s">
        <v>2461</v>
      </c>
      <c r="E341" s="10" t="s">
        <v>2462</v>
      </c>
      <c r="F341" s="10" t="s">
        <v>1627</v>
      </c>
      <c r="G341" s="15">
        <v>73.650000000000006</v>
      </c>
      <c r="H341" t="s">
        <v>3028</v>
      </c>
    </row>
    <row r="342" spans="1:8" x14ac:dyDescent="0.25">
      <c r="A342" s="9" t="s">
        <v>1912</v>
      </c>
      <c r="B342" s="10" t="s">
        <v>646</v>
      </c>
      <c r="C342" s="10" t="s">
        <v>3028</v>
      </c>
      <c r="D342" s="10" t="s">
        <v>2463</v>
      </c>
      <c r="E342" s="10" t="s">
        <v>2464</v>
      </c>
      <c r="F342" s="10" t="s">
        <v>1631</v>
      </c>
      <c r="G342" s="15">
        <v>73.650000000000006</v>
      </c>
      <c r="H342" t="s">
        <v>3028</v>
      </c>
    </row>
    <row r="343" spans="1:8" x14ac:dyDescent="0.25">
      <c r="A343" s="9" t="s">
        <v>1912</v>
      </c>
      <c r="B343" s="10" t="s">
        <v>646</v>
      </c>
      <c r="C343" s="10" t="s">
        <v>3028</v>
      </c>
      <c r="D343" s="10" t="s">
        <v>2465</v>
      </c>
      <c r="E343" s="10" t="s">
        <v>2466</v>
      </c>
      <c r="F343" s="10" t="s">
        <v>1631</v>
      </c>
      <c r="G343" s="15">
        <v>73.650000000000006</v>
      </c>
      <c r="H343" t="s">
        <v>3028</v>
      </c>
    </row>
    <row r="344" spans="1:8" x14ac:dyDescent="0.25">
      <c r="A344" s="9" t="s">
        <v>1912</v>
      </c>
      <c r="B344" s="10" t="s">
        <v>646</v>
      </c>
      <c r="C344" s="10" t="s">
        <v>2467</v>
      </c>
      <c r="D344" s="10" t="s">
        <v>2468</v>
      </c>
      <c r="E344" s="10" t="s">
        <v>2469</v>
      </c>
      <c r="F344" s="10" t="s">
        <v>1627</v>
      </c>
      <c r="G344" s="15">
        <v>73.650000000000006</v>
      </c>
      <c r="H344" t="s">
        <v>3028</v>
      </c>
    </row>
    <row r="345" spans="1:8" x14ac:dyDescent="0.25">
      <c r="A345" s="9" t="s">
        <v>1912</v>
      </c>
      <c r="B345" s="10" t="s">
        <v>648</v>
      </c>
      <c r="C345" s="10" t="s">
        <v>3028</v>
      </c>
      <c r="D345" s="10" t="s">
        <v>2470</v>
      </c>
      <c r="E345" s="10" t="s">
        <v>2471</v>
      </c>
      <c r="F345" s="10" t="s">
        <v>1631</v>
      </c>
      <c r="G345" s="15">
        <v>6.05</v>
      </c>
      <c r="H345" t="s">
        <v>3028</v>
      </c>
    </row>
    <row r="346" spans="1:8" x14ac:dyDescent="0.25">
      <c r="A346" s="9" t="s">
        <v>1912</v>
      </c>
      <c r="B346" s="10" t="s">
        <v>648</v>
      </c>
      <c r="C346" s="10" t="s">
        <v>3028</v>
      </c>
      <c r="D346" s="10" t="s">
        <v>2472</v>
      </c>
      <c r="E346" s="10" t="s">
        <v>2473</v>
      </c>
      <c r="F346" s="10" t="s">
        <v>1631</v>
      </c>
      <c r="G346" s="15">
        <v>6.05</v>
      </c>
      <c r="H346" t="s">
        <v>3028</v>
      </c>
    </row>
    <row r="347" spans="1:8" x14ac:dyDescent="0.25">
      <c r="A347" s="9" t="s">
        <v>1912</v>
      </c>
      <c r="B347" s="10" t="s">
        <v>648</v>
      </c>
      <c r="C347" s="10" t="s">
        <v>2474</v>
      </c>
      <c r="D347" s="10" t="s">
        <v>2475</v>
      </c>
      <c r="E347" s="10" t="s">
        <v>2476</v>
      </c>
      <c r="F347" s="10" t="s">
        <v>1627</v>
      </c>
      <c r="G347" s="15">
        <v>6.05</v>
      </c>
      <c r="H347" t="s">
        <v>3028</v>
      </c>
    </row>
    <row r="348" spans="1:8" x14ac:dyDescent="0.25">
      <c r="A348" s="9" t="s">
        <v>1912</v>
      </c>
      <c r="B348" s="10" t="s">
        <v>650</v>
      </c>
      <c r="C348" s="10" t="s">
        <v>3028</v>
      </c>
      <c r="D348" s="10" t="s">
        <v>2477</v>
      </c>
      <c r="E348" s="10" t="s">
        <v>2478</v>
      </c>
      <c r="F348" s="10" t="s">
        <v>1631</v>
      </c>
      <c r="G348" s="15">
        <v>73.650000000000006</v>
      </c>
      <c r="H348" t="s">
        <v>3028</v>
      </c>
    </row>
    <row r="349" spans="1:8" x14ac:dyDescent="0.25">
      <c r="A349" s="9" t="s">
        <v>1912</v>
      </c>
      <c r="B349" s="10" t="s">
        <v>650</v>
      </c>
      <c r="C349" s="10" t="s">
        <v>2479</v>
      </c>
      <c r="D349" s="10" t="s">
        <v>2480</v>
      </c>
      <c r="E349" s="10" t="s">
        <v>2481</v>
      </c>
      <c r="F349" s="10" t="s">
        <v>1627</v>
      </c>
      <c r="G349" s="15">
        <v>73.650000000000006</v>
      </c>
      <c r="H349" t="s">
        <v>3028</v>
      </c>
    </row>
    <row r="350" spans="1:8" x14ac:dyDescent="0.25">
      <c r="A350" s="9" t="s">
        <v>1912</v>
      </c>
      <c r="B350" s="10" t="s">
        <v>650</v>
      </c>
      <c r="C350" s="10" t="s">
        <v>2482</v>
      </c>
      <c r="D350" s="10" t="s">
        <v>2483</v>
      </c>
      <c r="E350" s="10" t="s">
        <v>2484</v>
      </c>
      <c r="F350" s="10" t="s">
        <v>1631</v>
      </c>
      <c r="G350" s="15">
        <v>73.650000000000006</v>
      </c>
      <c r="H350" t="s">
        <v>3028</v>
      </c>
    </row>
    <row r="351" spans="1:8" x14ac:dyDescent="0.25">
      <c r="A351" s="9" t="s">
        <v>1912</v>
      </c>
      <c r="B351" s="10" t="s">
        <v>652</v>
      </c>
      <c r="C351" s="10" t="s">
        <v>2485</v>
      </c>
      <c r="D351" s="10" t="s">
        <v>2486</v>
      </c>
      <c r="E351" s="10" t="s">
        <v>2487</v>
      </c>
      <c r="F351" s="10" t="s">
        <v>1627</v>
      </c>
      <c r="G351" s="15">
        <v>73.650000000000006</v>
      </c>
      <c r="H351" t="s">
        <v>3028</v>
      </c>
    </row>
    <row r="352" spans="1:8" x14ac:dyDescent="0.25">
      <c r="A352" s="9" t="s">
        <v>1912</v>
      </c>
      <c r="B352" s="10" t="s">
        <v>666</v>
      </c>
      <c r="C352" s="10" t="s">
        <v>3028</v>
      </c>
      <c r="D352" s="10" t="s">
        <v>2488</v>
      </c>
      <c r="E352" s="10" t="s">
        <v>2489</v>
      </c>
      <c r="F352" s="10" t="s">
        <v>1631</v>
      </c>
      <c r="G352" s="15">
        <v>73.650000000000006</v>
      </c>
      <c r="H352" t="s">
        <v>3028</v>
      </c>
    </row>
    <row r="353" spans="1:8" x14ac:dyDescent="0.25">
      <c r="A353" s="9" t="s">
        <v>1912</v>
      </c>
      <c r="B353" s="10" t="s">
        <v>666</v>
      </c>
      <c r="C353" s="10" t="s">
        <v>2490</v>
      </c>
      <c r="D353" s="10" t="s">
        <v>2491</v>
      </c>
      <c r="E353" s="10" t="s">
        <v>2492</v>
      </c>
      <c r="F353" s="10" t="s">
        <v>1627</v>
      </c>
      <c r="G353" s="15">
        <v>73.650000000000006</v>
      </c>
      <c r="H353" t="s">
        <v>3028</v>
      </c>
    </row>
    <row r="354" spans="1:8" x14ac:dyDescent="0.25">
      <c r="A354" s="9" t="s">
        <v>1912</v>
      </c>
      <c r="B354" s="10" t="s">
        <v>670</v>
      </c>
      <c r="C354" s="10" t="s">
        <v>2493</v>
      </c>
      <c r="D354" s="10" t="s">
        <v>2327</v>
      </c>
      <c r="E354" s="10" t="s">
        <v>2494</v>
      </c>
      <c r="F354" s="10" t="s">
        <v>1627</v>
      </c>
      <c r="G354" s="15">
        <v>73.650000000000006</v>
      </c>
      <c r="H354" t="s">
        <v>3028</v>
      </c>
    </row>
    <row r="355" spans="1:8" x14ac:dyDescent="0.25">
      <c r="A355" s="9" t="s">
        <v>1912</v>
      </c>
      <c r="B355" s="10" t="s">
        <v>670</v>
      </c>
      <c r="C355" s="10" t="s">
        <v>2495</v>
      </c>
      <c r="D355" s="10" t="s">
        <v>2496</v>
      </c>
      <c r="E355" s="10" t="s">
        <v>2497</v>
      </c>
      <c r="F355" s="10" t="s">
        <v>1631</v>
      </c>
      <c r="G355" s="15">
        <v>73.650000000000006</v>
      </c>
      <c r="H355" t="s">
        <v>3028</v>
      </c>
    </row>
    <row r="356" spans="1:8" x14ac:dyDescent="0.25">
      <c r="A356" s="9" t="s">
        <v>1912</v>
      </c>
      <c r="B356" s="10" t="s">
        <v>672</v>
      </c>
      <c r="C356" s="10" t="s">
        <v>3028</v>
      </c>
      <c r="D356" s="10" t="s">
        <v>2498</v>
      </c>
      <c r="E356" s="10" t="s">
        <v>2499</v>
      </c>
      <c r="F356" s="10" t="s">
        <v>1631</v>
      </c>
      <c r="G356" s="15">
        <v>73.650000000000006</v>
      </c>
      <c r="H356" t="s">
        <v>3028</v>
      </c>
    </row>
    <row r="357" spans="1:8" x14ac:dyDescent="0.25">
      <c r="A357" s="9" t="s">
        <v>1912</v>
      </c>
      <c r="B357" s="10" t="s">
        <v>672</v>
      </c>
      <c r="C357" s="10" t="s">
        <v>2500</v>
      </c>
      <c r="D357" s="10" t="s">
        <v>2501</v>
      </c>
      <c r="E357" s="10" t="s">
        <v>2502</v>
      </c>
      <c r="F357" s="10" t="s">
        <v>1627</v>
      </c>
      <c r="G357" s="15">
        <v>73.650000000000006</v>
      </c>
      <c r="H357" t="s">
        <v>3028</v>
      </c>
    </row>
    <row r="358" spans="1:8" x14ac:dyDescent="0.25">
      <c r="A358" s="9" t="s">
        <v>1912</v>
      </c>
      <c r="B358" s="10" t="s">
        <v>674</v>
      </c>
      <c r="C358" s="10" t="s">
        <v>2503</v>
      </c>
      <c r="D358" s="10" t="s">
        <v>2504</v>
      </c>
      <c r="E358" s="10" t="s">
        <v>2505</v>
      </c>
      <c r="F358" s="10" t="s">
        <v>1631</v>
      </c>
      <c r="G358" s="15">
        <v>19.14</v>
      </c>
      <c r="H358" t="s">
        <v>3028</v>
      </c>
    </row>
    <row r="359" spans="1:8" x14ac:dyDescent="0.25">
      <c r="A359" s="9" t="s">
        <v>1912</v>
      </c>
      <c r="B359" s="10" t="s">
        <v>678</v>
      </c>
      <c r="C359" s="10" t="s">
        <v>3028</v>
      </c>
      <c r="D359" s="10" t="s">
        <v>1809</v>
      </c>
      <c r="E359" s="10" t="s">
        <v>1810</v>
      </c>
      <c r="F359" s="10" t="s">
        <v>1631</v>
      </c>
      <c r="G359" s="15">
        <v>73.650000000000006</v>
      </c>
      <c r="H359" t="s">
        <v>3028</v>
      </c>
    </row>
    <row r="360" spans="1:8" x14ac:dyDescent="0.25">
      <c r="A360" s="9" t="s">
        <v>1912</v>
      </c>
      <c r="B360" s="10" t="s">
        <v>678</v>
      </c>
      <c r="C360" s="10" t="s">
        <v>3028</v>
      </c>
      <c r="D360" s="10" t="s">
        <v>1811</v>
      </c>
      <c r="E360" s="10" t="s">
        <v>1812</v>
      </c>
      <c r="F360" s="10" t="s">
        <v>1631</v>
      </c>
      <c r="G360" s="15">
        <v>73.650000000000006</v>
      </c>
      <c r="H360" t="s">
        <v>3028</v>
      </c>
    </row>
    <row r="361" spans="1:8" x14ac:dyDescent="0.25">
      <c r="A361" s="9" t="s">
        <v>1912</v>
      </c>
      <c r="B361" s="10" t="s">
        <v>678</v>
      </c>
      <c r="C361" s="10" t="s">
        <v>1813</v>
      </c>
      <c r="D361" s="10" t="s">
        <v>1814</v>
      </c>
      <c r="E361" s="10" t="s">
        <v>1815</v>
      </c>
      <c r="F361" s="10" t="s">
        <v>1627</v>
      </c>
      <c r="G361" s="15">
        <v>73.650000000000006</v>
      </c>
      <c r="H361" t="s">
        <v>3028</v>
      </c>
    </row>
    <row r="362" spans="1:8" x14ac:dyDescent="0.25">
      <c r="A362" s="9" t="s">
        <v>1912</v>
      </c>
      <c r="B362" s="10" t="s">
        <v>680</v>
      </c>
      <c r="C362" s="10" t="s">
        <v>2506</v>
      </c>
      <c r="D362" s="10" t="s">
        <v>2507</v>
      </c>
      <c r="E362" s="10" t="s">
        <v>2508</v>
      </c>
      <c r="F362" s="10" t="s">
        <v>1627</v>
      </c>
      <c r="G362" s="15">
        <v>73.650000000000006</v>
      </c>
      <c r="H362" t="s">
        <v>3028</v>
      </c>
    </row>
    <row r="363" spans="1:8" x14ac:dyDescent="0.25">
      <c r="A363" s="9" t="s">
        <v>1912</v>
      </c>
      <c r="B363" s="10" t="s">
        <v>680</v>
      </c>
      <c r="C363" s="10" t="s">
        <v>2509</v>
      </c>
      <c r="D363" s="10" t="s">
        <v>2510</v>
      </c>
      <c r="E363" s="10" t="s">
        <v>2511</v>
      </c>
      <c r="F363" s="10" t="s">
        <v>1631</v>
      </c>
      <c r="G363" s="15">
        <v>73.650000000000006</v>
      </c>
      <c r="H363" t="s">
        <v>3028</v>
      </c>
    </row>
    <row r="364" spans="1:8" x14ac:dyDescent="0.25">
      <c r="A364" s="9" t="s">
        <v>1912</v>
      </c>
      <c r="B364" s="10" t="s">
        <v>682</v>
      </c>
      <c r="C364" s="10" t="s">
        <v>2512</v>
      </c>
      <c r="D364" s="10" t="s">
        <v>2513</v>
      </c>
      <c r="E364" s="10" t="s">
        <v>2514</v>
      </c>
      <c r="F364" s="10" t="s">
        <v>1627</v>
      </c>
      <c r="G364" s="15">
        <v>73.650000000000006</v>
      </c>
      <c r="H364" t="s">
        <v>3028</v>
      </c>
    </row>
    <row r="365" spans="1:8" x14ac:dyDescent="0.25">
      <c r="A365" s="9" t="s">
        <v>1912</v>
      </c>
      <c r="B365" s="10" t="s">
        <v>682</v>
      </c>
      <c r="C365" s="10" t="s">
        <v>2515</v>
      </c>
      <c r="D365" s="10" t="s">
        <v>2516</v>
      </c>
      <c r="E365" s="10" t="s">
        <v>2517</v>
      </c>
      <c r="F365" s="10" t="s">
        <v>1631</v>
      </c>
      <c r="G365" s="15">
        <v>73.650000000000006</v>
      </c>
      <c r="H365" t="s">
        <v>3028</v>
      </c>
    </row>
    <row r="366" spans="1:8" x14ac:dyDescent="0.25">
      <c r="A366" s="9" t="s">
        <v>1912</v>
      </c>
      <c r="B366" s="10" t="s">
        <v>682</v>
      </c>
      <c r="C366" s="10" t="s">
        <v>2518</v>
      </c>
      <c r="D366" s="10" t="s">
        <v>2516</v>
      </c>
      <c r="E366" s="10" t="s">
        <v>2519</v>
      </c>
      <c r="F366" s="10" t="s">
        <v>1631</v>
      </c>
      <c r="G366" s="15">
        <v>73.650000000000006</v>
      </c>
      <c r="H366" t="s">
        <v>3028</v>
      </c>
    </row>
    <row r="367" spans="1:8" x14ac:dyDescent="0.25">
      <c r="A367" s="9" t="s">
        <v>1912</v>
      </c>
      <c r="B367" s="10" t="s">
        <v>682</v>
      </c>
      <c r="C367" s="10" t="s">
        <v>2520</v>
      </c>
      <c r="D367" s="10" t="s">
        <v>2521</v>
      </c>
      <c r="E367" s="10" t="s">
        <v>2522</v>
      </c>
      <c r="F367" s="10" t="s">
        <v>1631</v>
      </c>
      <c r="G367" s="15">
        <v>73.650000000000006</v>
      </c>
      <c r="H367" t="s">
        <v>3028</v>
      </c>
    </row>
    <row r="368" spans="1:8" x14ac:dyDescent="0.25">
      <c r="A368" s="9" t="s">
        <v>1912</v>
      </c>
      <c r="B368" s="10" t="s">
        <v>688</v>
      </c>
      <c r="C368" s="10" t="s">
        <v>690</v>
      </c>
      <c r="D368" s="10" t="s">
        <v>691</v>
      </c>
      <c r="E368" s="10" t="s">
        <v>692</v>
      </c>
      <c r="F368" s="10" t="s">
        <v>1631</v>
      </c>
      <c r="G368" s="15">
        <v>73.650000000000006</v>
      </c>
      <c r="H368" t="s">
        <v>3028</v>
      </c>
    </row>
    <row r="369" spans="1:8" x14ac:dyDescent="0.25">
      <c r="A369" s="9" t="s">
        <v>1912</v>
      </c>
      <c r="B369" s="10" t="s">
        <v>688</v>
      </c>
      <c r="C369" s="10" t="s">
        <v>2523</v>
      </c>
      <c r="D369" s="10" t="s">
        <v>2524</v>
      </c>
      <c r="E369" s="10" t="s">
        <v>2525</v>
      </c>
      <c r="F369" s="10" t="s">
        <v>1627</v>
      </c>
      <c r="G369" s="15">
        <v>73.650000000000006</v>
      </c>
      <c r="H369" t="s">
        <v>3028</v>
      </c>
    </row>
    <row r="370" spans="1:8" x14ac:dyDescent="0.25">
      <c r="A370" s="9" t="s">
        <v>1912</v>
      </c>
      <c r="B370" s="10" t="s">
        <v>688</v>
      </c>
      <c r="C370" s="10" t="s">
        <v>2526</v>
      </c>
      <c r="D370" s="10" t="s">
        <v>2527</v>
      </c>
      <c r="E370" s="10" t="s">
        <v>2528</v>
      </c>
      <c r="F370" s="10" t="s">
        <v>1631</v>
      </c>
      <c r="G370" s="15">
        <v>73.650000000000006</v>
      </c>
      <c r="H370" t="s">
        <v>3028</v>
      </c>
    </row>
    <row r="371" spans="1:8" x14ac:dyDescent="0.25">
      <c r="A371" s="9" t="s">
        <v>1912</v>
      </c>
      <c r="B371" s="10" t="s">
        <v>695</v>
      </c>
      <c r="C371" s="10" t="s">
        <v>2529</v>
      </c>
      <c r="D371" s="10" t="s">
        <v>2530</v>
      </c>
      <c r="E371" s="10" t="s">
        <v>2531</v>
      </c>
      <c r="F371" s="10" t="s">
        <v>1627</v>
      </c>
      <c r="G371" s="15">
        <v>12.1</v>
      </c>
      <c r="H371" t="s">
        <v>3028</v>
      </c>
    </row>
    <row r="372" spans="1:8" x14ac:dyDescent="0.25">
      <c r="A372" s="9" t="s">
        <v>1912</v>
      </c>
      <c r="B372" s="10" t="s">
        <v>699</v>
      </c>
      <c r="C372" s="10" t="s">
        <v>2532</v>
      </c>
      <c r="D372" s="10" t="s">
        <v>2533</v>
      </c>
      <c r="E372" s="10" t="s">
        <v>2534</v>
      </c>
      <c r="F372" s="10" t="s">
        <v>1627</v>
      </c>
      <c r="G372" s="15">
        <v>73.650000000000006</v>
      </c>
      <c r="H372" t="s">
        <v>3028</v>
      </c>
    </row>
    <row r="373" spans="1:8" x14ac:dyDescent="0.25">
      <c r="A373" s="9" t="s">
        <v>1912</v>
      </c>
      <c r="B373" s="10" t="s">
        <v>699</v>
      </c>
      <c r="C373" s="10" t="s">
        <v>2535</v>
      </c>
      <c r="D373" s="10" t="s">
        <v>2536</v>
      </c>
      <c r="E373" s="10" t="s">
        <v>2537</v>
      </c>
      <c r="F373" s="10" t="s">
        <v>1631</v>
      </c>
      <c r="G373" s="15">
        <v>73.650000000000006</v>
      </c>
      <c r="H373" t="s">
        <v>3028</v>
      </c>
    </row>
    <row r="374" spans="1:8" x14ac:dyDescent="0.25">
      <c r="A374" s="9" t="s">
        <v>1912</v>
      </c>
      <c r="B374" s="10" t="s">
        <v>701</v>
      </c>
      <c r="C374" s="10" t="s">
        <v>3028</v>
      </c>
      <c r="D374" s="10" t="s">
        <v>2538</v>
      </c>
      <c r="E374" s="10" t="s">
        <v>2539</v>
      </c>
      <c r="F374" s="10" t="s">
        <v>1631</v>
      </c>
      <c r="G374" s="15">
        <v>18.149999999999999</v>
      </c>
      <c r="H374" t="s">
        <v>3028</v>
      </c>
    </row>
    <row r="375" spans="1:8" x14ac:dyDescent="0.25">
      <c r="A375" s="9" t="s">
        <v>1912</v>
      </c>
      <c r="B375" s="10" t="s">
        <v>701</v>
      </c>
      <c r="C375" s="10" t="s">
        <v>3028</v>
      </c>
      <c r="D375" s="10" t="s">
        <v>2540</v>
      </c>
      <c r="E375" s="10" t="s">
        <v>2541</v>
      </c>
      <c r="F375" s="10" t="s">
        <v>1631</v>
      </c>
      <c r="G375" s="15">
        <v>18.149999999999999</v>
      </c>
      <c r="H375" t="s">
        <v>3028</v>
      </c>
    </row>
    <row r="376" spans="1:8" x14ac:dyDescent="0.25">
      <c r="A376" s="9" t="s">
        <v>1912</v>
      </c>
      <c r="B376" s="10" t="s">
        <v>701</v>
      </c>
      <c r="C376" s="10" t="s">
        <v>2542</v>
      </c>
      <c r="D376" s="10" t="s">
        <v>2543</v>
      </c>
      <c r="E376" s="10" t="s">
        <v>2544</v>
      </c>
      <c r="F376" s="10" t="s">
        <v>1627</v>
      </c>
      <c r="G376" s="15">
        <v>18.149999999999999</v>
      </c>
      <c r="H376" t="s">
        <v>3028</v>
      </c>
    </row>
    <row r="377" spans="1:8" x14ac:dyDescent="0.25">
      <c r="A377" s="9" t="s">
        <v>1912</v>
      </c>
      <c r="B377" s="10" t="s">
        <v>707</v>
      </c>
      <c r="C377" s="10" t="s">
        <v>3028</v>
      </c>
      <c r="D377" s="10" t="s">
        <v>2545</v>
      </c>
      <c r="E377" s="10" t="s">
        <v>2546</v>
      </c>
      <c r="F377" s="10" t="s">
        <v>1631</v>
      </c>
      <c r="G377" s="15">
        <v>66.650000000000006</v>
      </c>
      <c r="H377" t="s">
        <v>3028</v>
      </c>
    </row>
    <row r="378" spans="1:8" x14ac:dyDescent="0.25">
      <c r="A378" s="9" t="s">
        <v>1912</v>
      </c>
      <c r="B378" s="10" t="s">
        <v>707</v>
      </c>
      <c r="C378" s="10" t="s">
        <v>2547</v>
      </c>
      <c r="D378" s="10" t="s">
        <v>2548</v>
      </c>
      <c r="E378" s="10" t="s">
        <v>2549</v>
      </c>
      <c r="F378" s="10" t="s">
        <v>1627</v>
      </c>
      <c r="G378" s="15">
        <v>66.650000000000006</v>
      </c>
      <c r="H378" t="s">
        <v>3028</v>
      </c>
    </row>
    <row r="379" spans="1:8" x14ac:dyDescent="0.25">
      <c r="A379" s="9" t="s">
        <v>1912</v>
      </c>
      <c r="B379" s="10" t="s">
        <v>709</v>
      </c>
      <c r="C379" s="10" t="s">
        <v>3028</v>
      </c>
      <c r="D379" s="10" t="s">
        <v>2550</v>
      </c>
      <c r="E379" s="10" t="s">
        <v>2551</v>
      </c>
      <c r="F379" s="10" t="s">
        <v>1631</v>
      </c>
      <c r="G379" s="15">
        <v>19.14</v>
      </c>
      <c r="H379" t="s">
        <v>3028</v>
      </c>
    </row>
    <row r="380" spans="1:8" x14ac:dyDescent="0.25">
      <c r="A380" s="9" t="s">
        <v>1912</v>
      </c>
      <c r="B380" s="10" t="s">
        <v>709</v>
      </c>
      <c r="C380" s="10" t="s">
        <v>2552</v>
      </c>
      <c r="D380" s="10" t="s">
        <v>2553</v>
      </c>
      <c r="E380" s="10" t="s">
        <v>2554</v>
      </c>
      <c r="F380" s="10" t="s">
        <v>1627</v>
      </c>
      <c r="G380" s="15">
        <v>19.14</v>
      </c>
      <c r="H380" t="s">
        <v>3028</v>
      </c>
    </row>
    <row r="381" spans="1:8" x14ac:dyDescent="0.25">
      <c r="A381" s="9" t="s">
        <v>1912</v>
      </c>
      <c r="B381" s="10" t="s">
        <v>713</v>
      </c>
      <c r="C381" s="10" t="s">
        <v>2555</v>
      </c>
      <c r="D381" s="10" t="s">
        <v>2556</v>
      </c>
      <c r="E381" s="10" t="s">
        <v>2557</v>
      </c>
      <c r="F381" s="10" t="s">
        <v>1627</v>
      </c>
      <c r="G381" s="15">
        <v>73.650000000000006</v>
      </c>
      <c r="H381" t="s">
        <v>3028</v>
      </c>
    </row>
    <row r="382" spans="1:8" x14ac:dyDescent="0.25">
      <c r="A382" s="9" t="s">
        <v>1912</v>
      </c>
      <c r="B382" s="10" t="s">
        <v>713</v>
      </c>
      <c r="C382" s="10" t="s">
        <v>2558</v>
      </c>
      <c r="D382" s="10" t="s">
        <v>2559</v>
      </c>
      <c r="E382" s="10" t="s">
        <v>2560</v>
      </c>
      <c r="F382" s="10" t="s">
        <v>1631</v>
      </c>
      <c r="G382" s="15">
        <v>73.650000000000006</v>
      </c>
      <c r="H382" t="s">
        <v>3028</v>
      </c>
    </row>
    <row r="383" spans="1:8" x14ac:dyDescent="0.25">
      <c r="A383" s="9" t="s">
        <v>1912</v>
      </c>
      <c r="B383" s="10" t="s">
        <v>720</v>
      </c>
      <c r="C383" s="10" t="s">
        <v>3028</v>
      </c>
      <c r="D383" s="10" t="s">
        <v>2561</v>
      </c>
      <c r="E383" s="10" t="s">
        <v>2562</v>
      </c>
      <c r="F383" s="10" t="s">
        <v>1631</v>
      </c>
      <c r="G383" s="15">
        <v>43.4</v>
      </c>
      <c r="H383" t="s">
        <v>3028</v>
      </c>
    </row>
    <row r="384" spans="1:8" x14ac:dyDescent="0.25">
      <c r="A384" s="9" t="s">
        <v>1912</v>
      </c>
      <c r="B384" s="10" t="s">
        <v>720</v>
      </c>
      <c r="C384" s="10" t="s">
        <v>2563</v>
      </c>
      <c r="D384" s="10" t="s">
        <v>2564</v>
      </c>
      <c r="E384" s="10" t="s">
        <v>2565</v>
      </c>
      <c r="F384" s="10" t="s">
        <v>1627</v>
      </c>
      <c r="G384" s="15">
        <v>43.4</v>
      </c>
      <c r="H384" t="s">
        <v>3028</v>
      </c>
    </row>
    <row r="385" spans="1:8" x14ac:dyDescent="0.25">
      <c r="A385" s="9" t="s">
        <v>1912</v>
      </c>
      <c r="B385" s="10" t="s">
        <v>720</v>
      </c>
      <c r="C385" s="10" t="s">
        <v>2566</v>
      </c>
      <c r="D385" s="10" t="s">
        <v>2567</v>
      </c>
      <c r="E385" s="10" t="s">
        <v>2568</v>
      </c>
      <c r="F385" s="10" t="s">
        <v>1631</v>
      </c>
      <c r="G385" s="15">
        <v>12.12</v>
      </c>
      <c r="H385" t="s">
        <v>3028</v>
      </c>
    </row>
    <row r="386" spans="1:8" x14ac:dyDescent="0.25">
      <c r="A386" s="9" t="s">
        <v>1912</v>
      </c>
      <c r="B386" s="10" t="s">
        <v>720</v>
      </c>
      <c r="C386" s="10" t="s">
        <v>2569</v>
      </c>
      <c r="D386" s="10" t="s">
        <v>2570</v>
      </c>
      <c r="E386" s="10" t="s">
        <v>2571</v>
      </c>
      <c r="F386" s="10" t="s">
        <v>1631</v>
      </c>
      <c r="G386" s="15">
        <v>43.4</v>
      </c>
      <c r="H386" t="s">
        <v>3028</v>
      </c>
    </row>
    <row r="387" spans="1:8" x14ac:dyDescent="0.25">
      <c r="A387" s="9" t="s">
        <v>1912</v>
      </c>
      <c r="B387" s="10" t="s">
        <v>722</v>
      </c>
      <c r="C387" s="10" t="s">
        <v>3028</v>
      </c>
      <c r="D387" s="10" t="s">
        <v>2572</v>
      </c>
      <c r="E387" s="10" t="s">
        <v>2573</v>
      </c>
      <c r="F387" s="10" t="s">
        <v>1631</v>
      </c>
      <c r="G387" s="15">
        <v>73.650000000000006</v>
      </c>
      <c r="H387" t="s">
        <v>3028</v>
      </c>
    </row>
    <row r="388" spans="1:8" x14ac:dyDescent="0.25">
      <c r="A388" s="9" t="s">
        <v>1912</v>
      </c>
      <c r="B388" s="10" t="s">
        <v>726</v>
      </c>
      <c r="C388" s="10" t="s">
        <v>2574</v>
      </c>
      <c r="D388" s="10" t="s">
        <v>2575</v>
      </c>
      <c r="E388" s="10" t="s">
        <v>2576</v>
      </c>
      <c r="F388" s="10" t="s">
        <v>1627</v>
      </c>
      <c r="G388" s="15">
        <v>24.2</v>
      </c>
      <c r="H388" t="s">
        <v>3028</v>
      </c>
    </row>
    <row r="389" spans="1:8" x14ac:dyDescent="0.25">
      <c r="A389" s="9" t="s">
        <v>1912</v>
      </c>
      <c r="B389" s="10" t="s">
        <v>732</v>
      </c>
      <c r="C389" s="10" t="s">
        <v>3028</v>
      </c>
      <c r="D389" s="10" t="s">
        <v>2577</v>
      </c>
      <c r="E389" s="10" t="s">
        <v>2578</v>
      </c>
      <c r="F389" s="10" t="s">
        <v>1631</v>
      </c>
      <c r="G389" s="15">
        <v>73.650000000000006</v>
      </c>
      <c r="H389" t="s">
        <v>3028</v>
      </c>
    </row>
    <row r="390" spans="1:8" x14ac:dyDescent="0.25">
      <c r="A390" s="9" t="s">
        <v>1912</v>
      </c>
      <c r="B390" s="10" t="s">
        <v>732</v>
      </c>
      <c r="C390" s="10" t="s">
        <v>2579</v>
      </c>
      <c r="D390" s="10" t="s">
        <v>2580</v>
      </c>
      <c r="E390" s="10" t="s">
        <v>2581</v>
      </c>
      <c r="F390" s="10" t="s">
        <v>1627</v>
      </c>
      <c r="G390" s="15">
        <v>73.650000000000006</v>
      </c>
      <c r="H390" t="s">
        <v>3028</v>
      </c>
    </row>
    <row r="391" spans="1:8" x14ac:dyDescent="0.25">
      <c r="A391" s="9" t="s">
        <v>1912</v>
      </c>
      <c r="B391" s="10" t="s">
        <v>738</v>
      </c>
      <c r="C391" s="10" t="s">
        <v>3028</v>
      </c>
      <c r="D391" s="10" t="s">
        <v>2582</v>
      </c>
      <c r="E391" s="10" t="s">
        <v>2583</v>
      </c>
      <c r="F391" s="10" t="s">
        <v>1631</v>
      </c>
      <c r="G391" s="15">
        <v>43.4</v>
      </c>
      <c r="H391" t="s">
        <v>3028</v>
      </c>
    </row>
    <row r="392" spans="1:8" x14ac:dyDescent="0.25">
      <c r="A392" s="9" t="s">
        <v>1912</v>
      </c>
      <c r="B392" s="10" t="s">
        <v>738</v>
      </c>
      <c r="C392" s="10" t="s">
        <v>2584</v>
      </c>
      <c r="D392" s="10" t="s">
        <v>2585</v>
      </c>
      <c r="E392" s="10" t="s">
        <v>2586</v>
      </c>
      <c r="F392" s="10" t="s">
        <v>1627</v>
      </c>
      <c r="G392" s="15">
        <v>43.4</v>
      </c>
      <c r="H392" t="s">
        <v>3028</v>
      </c>
    </row>
    <row r="393" spans="1:8" x14ac:dyDescent="0.25">
      <c r="A393" s="9" t="s">
        <v>1912</v>
      </c>
      <c r="B393" s="10" t="s">
        <v>740</v>
      </c>
      <c r="C393" s="10" t="s">
        <v>3028</v>
      </c>
      <c r="D393" s="10" t="s">
        <v>1649</v>
      </c>
      <c r="E393" s="10" t="s">
        <v>2587</v>
      </c>
      <c r="F393" s="10" t="s">
        <v>1631</v>
      </c>
      <c r="G393" s="15">
        <v>36.299999999999997</v>
      </c>
      <c r="H393" t="s">
        <v>3028</v>
      </c>
    </row>
    <row r="394" spans="1:8" x14ac:dyDescent="0.25">
      <c r="A394" s="9" t="s">
        <v>1912</v>
      </c>
      <c r="B394" s="10" t="s">
        <v>740</v>
      </c>
      <c r="C394" s="10" t="s">
        <v>2588</v>
      </c>
      <c r="D394" s="10" t="s">
        <v>2589</v>
      </c>
      <c r="E394" s="10" t="s">
        <v>2590</v>
      </c>
      <c r="F394" s="10" t="s">
        <v>1627</v>
      </c>
      <c r="G394" s="15">
        <v>36.299999999999997</v>
      </c>
      <c r="H394" t="s">
        <v>3028</v>
      </c>
    </row>
    <row r="395" spans="1:8" x14ac:dyDescent="0.25">
      <c r="A395" s="9" t="s">
        <v>1912</v>
      </c>
      <c r="B395" s="10" t="s">
        <v>742</v>
      </c>
      <c r="C395" s="10" t="s">
        <v>3028</v>
      </c>
      <c r="D395" s="10" t="s">
        <v>2591</v>
      </c>
      <c r="E395" s="10" t="s">
        <v>2592</v>
      </c>
      <c r="F395" s="10" t="s">
        <v>1631</v>
      </c>
      <c r="G395" s="15">
        <v>73.650000000000006</v>
      </c>
      <c r="H395" t="s">
        <v>3028</v>
      </c>
    </row>
    <row r="396" spans="1:8" x14ac:dyDescent="0.25">
      <c r="A396" s="9" t="s">
        <v>1912</v>
      </c>
      <c r="B396" s="10" t="s">
        <v>742</v>
      </c>
      <c r="C396" s="10" t="s">
        <v>2593</v>
      </c>
      <c r="D396" s="10" t="s">
        <v>2594</v>
      </c>
      <c r="E396" s="10" t="s">
        <v>2595</v>
      </c>
      <c r="F396" s="10" t="s">
        <v>1627</v>
      </c>
      <c r="G396" s="15">
        <v>73.650000000000006</v>
      </c>
      <c r="H396" t="s">
        <v>3028</v>
      </c>
    </row>
    <row r="397" spans="1:8" x14ac:dyDescent="0.25">
      <c r="A397" s="9" t="s">
        <v>1912</v>
      </c>
      <c r="B397" s="10" t="s">
        <v>744</v>
      </c>
      <c r="C397" s="10" t="s">
        <v>2596</v>
      </c>
      <c r="D397" s="10" t="s">
        <v>2597</v>
      </c>
      <c r="E397" s="10" t="s">
        <v>2598</v>
      </c>
      <c r="F397" s="10" t="s">
        <v>1627</v>
      </c>
      <c r="G397" s="15">
        <v>73.650000000000006</v>
      </c>
      <c r="H397" t="s">
        <v>3028</v>
      </c>
    </row>
    <row r="398" spans="1:8" x14ac:dyDescent="0.25">
      <c r="A398" s="9" t="s">
        <v>1912</v>
      </c>
      <c r="B398" s="10" t="s">
        <v>744</v>
      </c>
      <c r="C398" s="10" t="s">
        <v>2599</v>
      </c>
      <c r="D398" s="10" t="s">
        <v>2600</v>
      </c>
      <c r="E398" s="10" t="s">
        <v>2601</v>
      </c>
      <c r="F398" s="10" t="s">
        <v>1631</v>
      </c>
      <c r="G398" s="15">
        <v>73.650000000000006</v>
      </c>
      <c r="H398" t="s">
        <v>3028</v>
      </c>
    </row>
    <row r="399" spans="1:8" x14ac:dyDescent="0.25">
      <c r="A399" s="9" t="s">
        <v>1912</v>
      </c>
      <c r="B399" s="10" t="s">
        <v>746</v>
      </c>
      <c r="C399" s="10" t="s">
        <v>3028</v>
      </c>
      <c r="D399" s="10" t="s">
        <v>2602</v>
      </c>
      <c r="E399" s="10" t="s">
        <v>2603</v>
      </c>
      <c r="F399" s="10" t="s">
        <v>1631</v>
      </c>
      <c r="G399" s="15">
        <v>73.650000000000006</v>
      </c>
      <c r="H399" t="s">
        <v>3028</v>
      </c>
    </row>
    <row r="400" spans="1:8" x14ac:dyDescent="0.25">
      <c r="A400" s="9" t="s">
        <v>1912</v>
      </c>
      <c r="B400" s="10" t="s">
        <v>746</v>
      </c>
      <c r="C400" s="10" t="s">
        <v>3028</v>
      </c>
      <c r="D400" s="10" t="s">
        <v>2604</v>
      </c>
      <c r="E400" s="10" t="s">
        <v>2605</v>
      </c>
      <c r="F400" s="10" t="s">
        <v>1631</v>
      </c>
      <c r="G400" s="15">
        <v>73.650000000000006</v>
      </c>
      <c r="H400" t="s">
        <v>3028</v>
      </c>
    </row>
    <row r="401" spans="1:8" x14ac:dyDescent="0.25">
      <c r="A401" s="9" t="s">
        <v>1912</v>
      </c>
      <c r="B401" s="10" t="s">
        <v>746</v>
      </c>
      <c r="C401" s="10" t="s">
        <v>2606</v>
      </c>
      <c r="D401" s="10" t="s">
        <v>2607</v>
      </c>
      <c r="E401" s="10" t="s">
        <v>2608</v>
      </c>
      <c r="F401" s="10" t="s">
        <v>1627</v>
      </c>
      <c r="G401" s="15">
        <v>36.299999999999997</v>
      </c>
      <c r="H401" t="s">
        <v>3028</v>
      </c>
    </row>
    <row r="402" spans="1:8" x14ac:dyDescent="0.25">
      <c r="A402" s="9" t="s">
        <v>1912</v>
      </c>
      <c r="B402" s="10" t="s">
        <v>746</v>
      </c>
      <c r="C402" s="10" t="s">
        <v>2609</v>
      </c>
      <c r="D402" s="10" t="s">
        <v>2610</v>
      </c>
      <c r="E402" s="10" t="s">
        <v>2611</v>
      </c>
      <c r="F402" s="10" t="s">
        <v>1631</v>
      </c>
      <c r="G402" s="15">
        <v>73.650000000000006</v>
      </c>
      <c r="H402" t="s">
        <v>3028</v>
      </c>
    </row>
    <row r="403" spans="1:8" x14ac:dyDescent="0.25">
      <c r="A403" s="9" t="s">
        <v>1912</v>
      </c>
      <c r="B403" s="10" t="s">
        <v>750</v>
      </c>
      <c r="C403" s="10" t="s">
        <v>2612</v>
      </c>
      <c r="D403" s="10" t="s">
        <v>2613</v>
      </c>
      <c r="E403" s="10" t="s">
        <v>2614</v>
      </c>
      <c r="F403" s="10" t="s">
        <v>1627</v>
      </c>
      <c r="G403" s="15">
        <v>30.25</v>
      </c>
      <c r="H403" t="s">
        <v>3028</v>
      </c>
    </row>
    <row r="404" spans="1:8" x14ac:dyDescent="0.25">
      <c r="A404" s="9" t="s">
        <v>1912</v>
      </c>
      <c r="B404" s="10" t="s">
        <v>750</v>
      </c>
      <c r="C404" s="10" t="s">
        <v>2615</v>
      </c>
      <c r="D404" s="10" t="s">
        <v>2616</v>
      </c>
      <c r="E404" s="10" t="s">
        <v>2617</v>
      </c>
      <c r="F404" s="10" t="s">
        <v>1631</v>
      </c>
      <c r="G404" s="15">
        <v>30.25</v>
      </c>
      <c r="H404" t="s">
        <v>3028</v>
      </c>
    </row>
    <row r="405" spans="1:8" x14ac:dyDescent="0.25">
      <c r="A405" s="9" t="s">
        <v>1912</v>
      </c>
      <c r="B405" s="10" t="s">
        <v>756</v>
      </c>
      <c r="C405" s="10" t="s">
        <v>2618</v>
      </c>
      <c r="D405" s="10" t="s">
        <v>2619</v>
      </c>
      <c r="E405" s="10" t="s">
        <v>2620</v>
      </c>
      <c r="F405" s="10" t="s">
        <v>1627</v>
      </c>
      <c r="G405" s="15">
        <v>73.650000000000006</v>
      </c>
      <c r="H405" t="s">
        <v>3028</v>
      </c>
    </row>
    <row r="406" spans="1:8" x14ac:dyDescent="0.25">
      <c r="A406" s="9" t="s">
        <v>1912</v>
      </c>
      <c r="B406" s="10" t="s">
        <v>762</v>
      </c>
      <c r="C406" s="10" t="s">
        <v>3028</v>
      </c>
      <c r="D406" s="10" t="s">
        <v>2621</v>
      </c>
      <c r="E406" s="10" t="s">
        <v>2622</v>
      </c>
      <c r="F406" s="10" t="s">
        <v>1631</v>
      </c>
      <c r="G406" s="15">
        <v>66.650000000000006</v>
      </c>
      <c r="H406" t="s">
        <v>3028</v>
      </c>
    </row>
    <row r="407" spans="1:8" x14ac:dyDescent="0.25">
      <c r="A407" s="9" t="s">
        <v>1912</v>
      </c>
      <c r="B407" s="10" t="s">
        <v>762</v>
      </c>
      <c r="C407" s="10" t="s">
        <v>2623</v>
      </c>
      <c r="D407" s="10" t="s">
        <v>2624</v>
      </c>
      <c r="E407" s="10" t="s">
        <v>2625</v>
      </c>
      <c r="F407" s="10" t="s">
        <v>1627</v>
      </c>
      <c r="G407" s="15">
        <v>66.650000000000006</v>
      </c>
      <c r="H407" t="s">
        <v>3028</v>
      </c>
    </row>
    <row r="408" spans="1:8" x14ac:dyDescent="0.25">
      <c r="A408" s="9" t="s">
        <v>1912</v>
      </c>
      <c r="B408" s="10" t="s">
        <v>768</v>
      </c>
      <c r="C408" s="10" t="s">
        <v>3028</v>
      </c>
      <c r="D408" s="10" t="s">
        <v>2626</v>
      </c>
      <c r="E408" s="10" t="s">
        <v>2627</v>
      </c>
      <c r="F408" s="10" t="s">
        <v>1631</v>
      </c>
      <c r="G408" s="15">
        <v>43.4</v>
      </c>
      <c r="H408" t="s">
        <v>3028</v>
      </c>
    </row>
    <row r="409" spans="1:8" x14ac:dyDescent="0.25">
      <c r="A409" s="9" t="s">
        <v>1912</v>
      </c>
      <c r="B409" s="10" t="s">
        <v>768</v>
      </c>
      <c r="C409" s="10" t="s">
        <v>3028</v>
      </c>
      <c r="D409" s="10" t="s">
        <v>2628</v>
      </c>
      <c r="E409" s="10" t="s">
        <v>2629</v>
      </c>
      <c r="F409" s="10" t="s">
        <v>1631</v>
      </c>
      <c r="G409" s="15">
        <v>43.4</v>
      </c>
      <c r="H409" t="s">
        <v>3028</v>
      </c>
    </row>
    <row r="410" spans="1:8" x14ac:dyDescent="0.25">
      <c r="A410" s="9" t="s">
        <v>1912</v>
      </c>
      <c r="B410" s="10" t="s">
        <v>768</v>
      </c>
      <c r="C410" s="10" t="s">
        <v>3028</v>
      </c>
      <c r="D410" s="10" t="s">
        <v>2630</v>
      </c>
      <c r="E410" s="10" t="s">
        <v>2631</v>
      </c>
      <c r="F410" s="10" t="s">
        <v>1631</v>
      </c>
      <c r="G410" s="15">
        <v>43.4</v>
      </c>
      <c r="H410" t="s">
        <v>3028</v>
      </c>
    </row>
    <row r="411" spans="1:8" x14ac:dyDescent="0.25">
      <c r="A411" s="9" t="s">
        <v>1912</v>
      </c>
      <c r="B411" s="10" t="s">
        <v>768</v>
      </c>
      <c r="C411" s="10" t="s">
        <v>2632</v>
      </c>
      <c r="D411" s="10" t="s">
        <v>2633</v>
      </c>
      <c r="E411" s="10" t="s">
        <v>2634</v>
      </c>
      <c r="F411" s="10" t="s">
        <v>1627</v>
      </c>
      <c r="G411" s="15">
        <v>43.4</v>
      </c>
      <c r="H411" t="s">
        <v>3028</v>
      </c>
    </row>
    <row r="412" spans="1:8" x14ac:dyDescent="0.25">
      <c r="A412" s="9" t="s">
        <v>1912</v>
      </c>
      <c r="B412" s="10" t="s">
        <v>770</v>
      </c>
      <c r="C412" s="10" t="s">
        <v>2635</v>
      </c>
      <c r="D412" s="10" t="s">
        <v>2636</v>
      </c>
      <c r="E412" s="10" t="s">
        <v>2637</v>
      </c>
      <c r="F412" s="10" t="s">
        <v>1627</v>
      </c>
      <c r="G412" s="15">
        <v>73.650000000000006</v>
      </c>
      <c r="H412" t="s">
        <v>3028</v>
      </c>
    </row>
    <row r="413" spans="1:8" x14ac:dyDescent="0.25">
      <c r="A413" s="9" t="s">
        <v>1912</v>
      </c>
      <c r="B413" s="10" t="s">
        <v>770</v>
      </c>
      <c r="C413" s="10" t="s">
        <v>2638</v>
      </c>
      <c r="D413" s="10" t="s">
        <v>2639</v>
      </c>
      <c r="E413" s="10" t="s">
        <v>2640</v>
      </c>
      <c r="F413" s="10" t="s">
        <v>1631</v>
      </c>
      <c r="G413" s="15">
        <v>73.650000000000006</v>
      </c>
      <c r="H413" t="s">
        <v>3028</v>
      </c>
    </row>
    <row r="414" spans="1:8" x14ac:dyDescent="0.25">
      <c r="A414" s="9" t="s">
        <v>1912</v>
      </c>
      <c r="B414" s="10" t="s">
        <v>772</v>
      </c>
      <c r="C414" s="10" t="s">
        <v>2641</v>
      </c>
      <c r="D414" s="10" t="s">
        <v>2642</v>
      </c>
      <c r="E414" s="10" t="s">
        <v>2643</v>
      </c>
      <c r="F414" s="10" t="s">
        <v>1627</v>
      </c>
      <c r="G414" s="15">
        <v>73.650000000000006</v>
      </c>
      <c r="H414" t="s">
        <v>3028</v>
      </c>
    </row>
    <row r="415" spans="1:8" x14ac:dyDescent="0.25">
      <c r="A415" s="9" t="s">
        <v>1912</v>
      </c>
      <c r="B415" s="10" t="s">
        <v>774</v>
      </c>
      <c r="C415" s="10" t="s">
        <v>3028</v>
      </c>
      <c r="D415" s="10" t="s">
        <v>2644</v>
      </c>
      <c r="E415" s="10" t="s">
        <v>2645</v>
      </c>
      <c r="F415" s="10" t="s">
        <v>1631</v>
      </c>
      <c r="G415" s="15">
        <v>73.650000000000006</v>
      </c>
      <c r="H415" t="s">
        <v>3028</v>
      </c>
    </row>
    <row r="416" spans="1:8" x14ac:dyDescent="0.25">
      <c r="A416" s="9" t="s">
        <v>1912</v>
      </c>
      <c r="B416" s="10" t="s">
        <v>774</v>
      </c>
      <c r="C416" s="10" t="s">
        <v>2646</v>
      </c>
      <c r="D416" s="10" t="s">
        <v>2647</v>
      </c>
      <c r="E416" s="10" t="s">
        <v>2648</v>
      </c>
      <c r="F416" s="10" t="s">
        <v>1627</v>
      </c>
      <c r="G416" s="15">
        <v>73.650000000000006</v>
      </c>
      <c r="H416" t="s">
        <v>3028</v>
      </c>
    </row>
    <row r="417" spans="1:8" x14ac:dyDescent="0.25">
      <c r="A417" s="9" t="s">
        <v>1912</v>
      </c>
      <c r="B417" s="10" t="s">
        <v>788</v>
      </c>
      <c r="C417" s="10" t="s">
        <v>3028</v>
      </c>
      <c r="D417" s="10" t="s">
        <v>2649</v>
      </c>
      <c r="E417" s="10" t="s">
        <v>2650</v>
      </c>
      <c r="F417" s="10" t="s">
        <v>1631</v>
      </c>
      <c r="G417" s="15">
        <v>66.650000000000006</v>
      </c>
      <c r="H417" t="s">
        <v>3028</v>
      </c>
    </row>
    <row r="418" spans="1:8" x14ac:dyDescent="0.25">
      <c r="A418" s="9" t="s">
        <v>1912</v>
      </c>
      <c r="B418" s="10" t="s">
        <v>794</v>
      </c>
      <c r="C418" s="10" t="s">
        <v>3028</v>
      </c>
      <c r="D418" s="10" t="s">
        <v>2239</v>
      </c>
      <c r="E418" s="10" t="s">
        <v>2651</v>
      </c>
      <c r="F418" s="10" t="s">
        <v>1631</v>
      </c>
      <c r="G418" s="15">
        <v>73.650000000000006</v>
      </c>
      <c r="H418" t="s">
        <v>3028</v>
      </c>
    </row>
    <row r="419" spans="1:8" x14ac:dyDescent="0.25">
      <c r="A419" s="9" t="s">
        <v>1912</v>
      </c>
      <c r="B419" s="10" t="s">
        <v>794</v>
      </c>
      <c r="C419" s="10" t="s">
        <v>2652</v>
      </c>
      <c r="D419" s="10" t="s">
        <v>2653</v>
      </c>
      <c r="E419" s="10" t="s">
        <v>2654</v>
      </c>
      <c r="F419" s="10" t="s">
        <v>1627</v>
      </c>
      <c r="G419" s="15">
        <v>73.650000000000006</v>
      </c>
      <c r="H419" t="s">
        <v>3028</v>
      </c>
    </row>
    <row r="420" spans="1:8" x14ac:dyDescent="0.25">
      <c r="A420" s="9" t="s">
        <v>1912</v>
      </c>
      <c r="B420" s="10" t="s">
        <v>796</v>
      </c>
      <c r="C420" s="10" t="s">
        <v>3028</v>
      </c>
      <c r="D420" s="10" t="s">
        <v>2655</v>
      </c>
      <c r="E420" s="10" t="s">
        <v>2656</v>
      </c>
      <c r="F420" s="10" t="s">
        <v>1631</v>
      </c>
      <c r="G420" s="15">
        <v>48.44</v>
      </c>
      <c r="H420" t="s">
        <v>3028</v>
      </c>
    </row>
    <row r="421" spans="1:8" x14ac:dyDescent="0.25">
      <c r="A421" s="9" t="s">
        <v>1912</v>
      </c>
      <c r="B421" s="10" t="s">
        <v>796</v>
      </c>
      <c r="C421" s="10" t="s">
        <v>2657</v>
      </c>
      <c r="D421" s="10" t="s">
        <v>2658</v>
      </c>
      <c r="E421" s="10" t="s">
        <v>2659</v>
      </c>
      <c r="F421" s="10" t="s">
        <v>1627</v>
      </c>
      <c r="G421" s="15">
        <v>48.44</v>
      </c>
      <c r="H421" t="s">
        <v>3028</v>
      </c>
    </row>
    <row r="422" spans="1:8" x14ac:dyDescent="0.25">
      <c r="A422" s="9" t="s">
        <v>1912</v>
      </c>
      <c r="B422" s="10" t="s">
        <v>798</v>
      </c>
      <c r="C422" s="10" t="s">
        <v>2660</v>
      </c>
      <c r="D422" s="10" t="s">
        <v>2661</v>
      </c>
      <c r="E422" s="10" t="s">
        <v>2662</v>
      </c>
      <c r="F422" s="10" t="s">
        <v>1627</v>
      </c>
      <c r="G422" s="15">
        <v>73.650000000000006</v>
      </c>
      <c r="H422" t="s">
        <v>3028</v>
      </c>
    </row>
    <row r="423" spans="1:8" x14ac:dyDescent="0.25">
      <c r="A423" s="9" t="s">
        <v>1912</v>
      </c>
      <c r="B423" s="10" t="s">
        <v>798</v>
      </c>
      <c r="C423" s="10" t="s">
        <v>2663</v>
      </c>
      <c r="D423" s="10" t="s">
        <v>2664</v>
      </c>
      <c r="E423" s="10" t="s">
        <v>2665</v>
      </c>
      <c r="F423" s="10" t="s">
        <v>1631</v>
      </c>
      <c r="G423" s="15">
        <v>73.650000000000006</v>
      </c>
      <c r="H423" t="s">
        <v>3028</v>
      </c>
    </row>
    <row r="424" spans="1:8" x14ac:dyDescent="0.25">
      <c r="A424" s="9" t="s">
        <v>1912</v>
      </c>
      <c r="B424" s="10" t="s">
        <v>809</v>
      </c>
      <c r="C424" s="10" t="s">
        <v>2666</v>
      </c>
      <c r="D424" s="10" t="s">
        <v>2667</v>
      </c>
      <c r="E424" s="10" t="s">
        <v>2668</v>
      </c>
      <c r="F424" s="10" t="s">
        <v>1631</v>
      </c>
      <c r="G424" s="15">
        <v>73.650000000000006</v>
      </c>
      <c r="H424" t="s">
        <v>3028</v>
      </c>
    </row>
    <row r="425" spans="1:8" x14ac:dyDescent="0.25">
      <c r="A425" s="9" t="s">
        <v>1912</v>
      </c>
      <c r="B425" s="10" t="s">
        <v>813</v>
      </c>
      <c r="C425" s="10" t="s">
        <v>1848</v>
      </c>
      <c r="D425" s="10" t="s">
        <v>1849</v>
      </c>
      <c r="E425" s="10" t="s">
        <v>1850</v>
      </c>
      <c r="F425" s="10" t="s">
        <v>1627</v>
      </c>
      <c r="G425" s="15">
        <v>73.650000000000006</v>
      </c>
      <c r="H425" t="s">
        <v>3028</v>
      </c>
    </row>
    <row r="426" spans="1:8" x14ac:dyDescent="0.25">
      <c r="A426" s="9" t="s">
        <v>1912</v>
      </c>
      <c r="B426" s="10" t="s">
        <v>823</v>
      </c>
      <c r="C426" s="10" t="s">
        <v>2669</v>
      </c>
      <c r="D426" s="10" t="s">
        <v>2670</v>
      </c>
      <c r="E426" s="10" t="s">
        <v>2671</v>
      </c>
      <c r="F426" s="10" t="s">
        <v>1627</v>
      </c>
      <c r="G426" s="15">
        <v>73.650000000000006</v>
      </c>
      <c r="H426" t="s">
        <v>3028</v>
      </c>
    </row>
    <row r="427" spans="1:8" x14ac:dyDescent="0.25">
      <c r="A427" s="9" t="s">
        <v>1912</v>
      </c>
      <c r="B427" s="10" t="s">
        <v>825</v>
      </c>
      <c r="C427" s="10" t="s">
        <v>3028</v>
      </c>
      <c r="D427" s="10" t="s">
        <v>2672</v>
      </c>
      <c r="E427" s="10" t="s">
        <v>2673</v>
      </c>
      <c r="F427" s="10" t="s">
        <v>1631</v>
      </c>
      <c r="G427" s="15">
        <v>73.650000000000006</v>
      </c>
      <c r="H427" t="s">
        <v>3028</v>
      </c>
    </row>
    <row r="428" spans="1:8" x14ac:dyDescent="0.25">
      <c r="A428" s="9" t="s">
        <v>1912</v>
      </c>
      <c r="B428" s="10" t="s">
        <v>825</v>
      </c>
      <c r="C428" s="10" t="s">
        <v>2674</v>
      </c>
      <c r="D428" s="10" t="s">
        <v>2675</v>
      </c>
      <c r="E428" s="10" t="s">
        <v>2676</v>
      </c>
      <c r="F428" s="10" t="s">
        <v>1627</v>
      </c>
      <c r="G428" s="15">
        <v>73.650000000000006</v>
      </c>
      <c r="H428" t="s">
        <v>3028</v>
      </c>
    </row>
    <row r="429" spans="1:8" x14ac:dyDescent="0.25">
      <c r="A429" s="9" t="s">
        <v>1912</v>
      </c>
      <c r="B429" s="10" t="s">
        <v>825</v>
      </c>
      <c r="C429" s="10" t="s">
        <v>827</v>
      </c>
      <c r="D429" s="10" t="s">
        <v>828</v>
      </c>
      <c r="E429" s="10" t="s">
        <v>829</v>
      </c>
      <c r="F429" s="10" t="s">
        <v>1631</v>
      </c>
      <c r="G429" s="15">
        <v>73.650000000000006</v>
      </c>
      <c r="H429" t="s">
        <v>3028</v>
      </c>
    </row>
    <row r="430" spans="1:8" x14ac:dyDescent="0.25">
      <c r="A430" s="9" t="s">
        <v>1912</v>
      </c>
      <c r="B430" s="10" t="s">
        <v>830</v>
      </c>
      <c r="C430" s="10" t="s">
        <v>2677</v>
      </c>
      <c r="D430" s="10" t="s">
        <v>2678</v>
      </c>
      <c r="E430" s="10" t="s">
        <v>2679</v>
      </c>
      <c r="F430" s="10" t="s">
        <v>1627</v>
      </c>
      <c r="G430" s="15">
        <v>73.650000000000006</v>
      </c>
      <c r="H430" t="s">
        <v>3028</v>
      </c>
    </row>
    <row r="431" spans="1:8" x14ac:dyDescent="0.25">
      <c r="A431" s="9" t="s">
        <v>1912</v>
      </c>
      <c r="B431" s="10" t="s">
        <v>838</v>
      </c>
      <c r="C431" s="10" t="s">
        <v>3028</v>
      </c>
      <c r="D431" s="10" t="s">
        <v>2680</v>
      </c>
      <c r="E431" s="10" t="s">
        <v>2681</v>
      </c>
      <c r="F431" s="10" t="s">
        <v>1631</v>
      </c>
      <c r="G431" s="15">
        <v>73.650000000000006</v>
      </c>
      <c r="H431" t="s">
        <v>3028</v>
      </c>
    </row>
    <row r="432" spans="1:8" x14ac:dyDescent="0.25">
      <c r="A432" s="9" t="s">
        <v>1912</v>
      </c>
      <c r="B432" s="10" t="s">
        <v>838</v>
      </c>
      <c r="C432" s="10" t="s">
        <v>3028</v>
      </c>
      <c r="D432" s="10" t="s">
        <v>2682</v>
      </c>
      <c r="E432" s="10" t="s">
        <v>2683</v>
      </c>
      <c r="F432" s="10" t="s">
        <v>1631</v>
      </c>
      <c r="G432" s="15">
        <v>6.05</v>
      </c>
      <c r="H432" t="s">
        <v>3028</v>
      </c>
    </row>
    <row r="433" spans="1:8" x14ac:dyDescent="0.25">
      <c r="A433" s="9" t="s">
        <v>1912</v>
      </c>
      <c r="B433" s="10" t="s">
        <v>838</v>
      </c>
      <c r="C433" s="10" t="s">
        <v>2684</v>
      </c>
      <c r="D433" s="10" t="s">
        <v>2685</v>
      </c>
      <c r="E433" s="10" t="s">
        <v>2686</v>
      </c>
      <c r="F433" s="10" t="s">
        <v>1875</v>
      </c>
      <c r="G433" s="15">
        <v>18.149999999999999</v>
      </c>
      <c r="H433" t="s">
        <v>3028</v>
      </c>
    </row>
    <row r="434" spans="1:8" x14ac:dyDescent="0.25">
      <c r="A434" s="9" t="s">
        <v>1912</v>
      </c>
      <c r="B434" s="10" t="s">
        <v>838</v>
      </c>
      <c r="C434" s="10" t="s">
        <v>2687</v>
      </c>
      <c r="D434" s="10" t="s">
        <v>2688</v>
      </c>
      <c r="E434" s="10" t="s">
        <v>2689</v>
      </c>
      <c r="F434" s="10" t="s">
        <v>1627</v>
      </c>
      <c r="G434" s="15">
        <v>73.650000000000006</v>
      </c>
      <c r="H434" t="s">
        <v>3028</v>
      </c>
    </row>
    <row r="435" spans="1:8" x14ac:dyDescent="0.25">
      <c r="A435" s="9" t="s">
        <v>1912</v>
      </c>
      <c r="B435" s="10" t="s">
        <v>846</v>
      </c>
      <c r="C435" s="10" t="s">
        <v>3028</v>
      </c>
      <c r="D435" s="10" t="s">
        <v>2690</v>
      </c>
      <c r="E435" s="10" t="s">
        <v>2691</v>
      </c>
      <c r="F435" s="10" t="s">
        <v>1631</v>
      </c>
      <c r="G435" s="15">
        <v>61.55</v>
      </c>
      <c r="H435" t="s">
        <v>3028</v>
      </c>
    </row>
    <row r="436" spans="1:8" x14ac:dyDescent="0.25">
      <c r="A436" s="9" t="s">
        <v>1912</v>
      </c>
      <c r="B436" s="10" t="s">
        <v>846</v>
      </c>
      <c r="C436" s="10" t="s">
        <v>2692</v>
      </c>
      <c r="D436" s="10" t="s">
        <v>2693</v>
      </c>
      <c r="E436" s="10" t="s">
        <v>2694</v>
      </c>
      <c r="F436" s="10" t="s">
        <v>1627</v>
      </c>
      <c r="G436" s="15">
        <v>61.55</v>
      </c>
      <c r="H436" t="s">
        <v>3028</v>
      </c>
    </row>
    <row r="437" spans="1:8" x14ac:dyDescent="0.25">
      <c r="A437" s="9" t="s">
        <v>1912</v>
      </c>
      <c r="B437" s="10" t="s">
        <v>846</v>
      </c>
      <c r="C437" s="10" t="s">
        <v>2695</v>
      </c>
      <c r="D437" s="10" t="s">
        <v>2696</v>
      </c>
      <c r="E437" s="10" t="s">
        <v>2697</v>
      </c>
      <c r="F437" s="10" t="s">
        <v>1631</v>
      </c>
      <c r="G437" s="15">
        <v>61.55</v>
      </c>
      <c r="H437" t="s">
        <v>3028</v>
      </c>
    </row>
    <row r="438" spans="1:8" x14ac:dyDescent="0.25">
      <c r="A438" s="9" t="s">
        <v>1912</v>
      </c>
      <c r="B438" s="10" t="s">
        <v>848</v>
      </c>
      <c r="C438" s="10" t="s">
        <v>3028</v>
      </c>
      <c r="D438" s="10" t="s">
        <v>1851</v>
      </c>
      <c r="E438" s="10" t="s">
        <v>1852</v>
      </c>
      <c r="F438" s="10" t="s">
        <v>1631</v>
      </c>
      <c r="G438" s="15">
        <v>24.2</v>
      </c>
      <c r="H438" t="s">
        <v>3028</v>
      </c>
    </row>
    <row r="439" spans="1:8" x14ac:dyDescent="0.25">
      <c r="A439" s="9" t="s">
        <v>1912</v>
      </c>
      <c r="B439" s="10" t="s">
        <v>848</v>
      </c>
      <c r="C439" s="10" t="s">
        <v>1855</v>
      </c>
      <c r="D439" s="10" t="s">
        <v>1856</v>
      </c>
      <c r="E439" s="10" t="s">
        <v>1857</v>
      </c>
      <c r="F439" s="10" t="s">
        <v>1627</v>
      </c>
      <c r="G439" s="15">
        <v>24.2</v>
      </c>
      <c r="H439" t="s">
        <v>3028</v>
      </c>
    </row>
    <row r="440" spans="1:8" x14ac:dyDescent="0.25">
      <c r="A440" s="9" t="s">
        <v>1912</v>
      </c>
      <c r="B440" s="10" t="s">
        <v>850</v>
      </c>
      <c r="C440" s="10" t="s">
        <v>3028</v>
      </c>
      <c r="D440" s="10" t="s">
        <v>2698</v>
      </c>
      <c r="E440" s="10" t="s">
        <v>2699</v>
      </c>
      <c r="F440" s="10" t="s">
        <v>1631</v>
      </c>
      <c r="G440" s="15">
        <v>73.650000000000006</v>
      </c>
      <c r="H440" t="s">
        <v>3028</v>
      </c>
    </row>
    <row r="441" spans="1:8" x14ac:dyDescent="0.25">
      <c r="A441" s="9" t="s">
        <v>1912</v>
      </c>
      <c r="B441" s="10" t="s">
        <v>852</v>
      </c>
      <c r="C441" s="10" t="s">
        <v>2700</v>
      </c>
      <c r="D441" s="10" t="s">
        <v>2701</v>
      </c>
      <c r="E441" s="10" t="s">
        <v>2702</v>
      </c>
      <c r="F441" s="10" t="s">
        <v>1627</v>
      </c>
      <c r="G441" s="15">
        <v>465.77</v>
      </c>
      <c r="H441" t="s">
        <v>3028</v>
      </c>
    </row>
    <row r="442" spans="1:8" x14ac:dyDescent="0.25">
      <c r="A442" s="9" t="s">
        <v>1912</v>
      </c>
      <c r="B442" s="10" t="s">
        <v>856</v>
      </c>
      <c r="C442" s="10" t="s">
        <v>2703</v>
      </c>
      <c r="D442" s="10" t="s">
        <v>2704</v>
      </c>
      <c r="E442" s="10" t="s">
        <v>2705</v>
      </c>
      <c r="F442" s="10" t="s">
        <v>1627</v>
      </c>
      <c r="G442" s="15">
        <v>73.650000000000006</v>
      </c>
      <c r="H442" t="s">
        <v>3028</v>
      </c>
    </row>
    <row r="443" spans="1:8" x14ac:dyDescent="0.25">
      <c r="A443" s="9" t="s">
        <v>1912</v>
      </c>
      <c r="B443" s="10" t="s">
        <v>856</v>
      </c>
      <c r="C443" s="10" t="s">
        <v>2706</v>
      </c>
      <c r="D443" s="10" t="s">
        <v>2707</v>
      </c>
      <c r="E443" s="10" t="s">
        <v>2708</v>
      </c>
      <c r="F443" s="10" t="s">
        <v>1631</v>
      </c>
      <c r="G443" s="15">
        <v>73.650000000000006</v>
      </c>
      <c r="H443" t="s">
        <v>3028</v>
      </c>
    </row>
    <row r="444" spans="1:8" x14ac:dyDescent="0.25">
      <c r="A444" s="9" t="s">
        <v>1912</v>
      </c>
      <c r="B444" s="10" t="s">
        <v>856</v>
      </c>
      <c r="C444" s="10" t="s">
        <v>2709</v>
      </c>
      <c r="D444" s="10" t="s">
        <v>2710</v>
      </c>
      <c r="E444" s="10" t="s">
        <v>2711</v>
      </c>
      <c r="F444" s="10" t="s">
        <v>1631</v>
      </c>
      <c r="G444" s="15">
        <v>42.37</v>
      </c>
      <c r="H444" t="s">
        <v>3028</v>
      </c>
    </row>
    <row r="445" spans="1:8" x14ac:dyDescent="0.25">
      <c r="A445" s="9" t="s">
        <v>1912</v>
      </c>
      <c r="B445" s="10" t="s">
        <v>858</v>
      </c>
      <c r="C445" s="10" t="s">
        <v>3028</v>
      </c>
      <c r="D445" s="10" t="s">
        <v>2712</v>
      </c>
      <c r="E445" s="10" t="s">
        <v>2713</v>
      </c>
      <c r="F445" s="10" t="s">
        <v>1631</v>
      </c>
      <c r="G445" s="15">
        <v>18.149999999999999</v>
      </c>
      <c r="H445" t="s">
        <v>3028</v>
      </c>
    </row>
    <row r="446" spans="1:8" x14ac:dyDescent="0.25">
      <c r="A446" s="9" t="s">
        <v>1912</v>
      </c>
      <c r="B446" s="10" t="s">
        <v>862</v>
      </c>
      <c r="C446" s="10" t="s">
        <v>2714</v>
      </c>
      <c r="D446" s="10" t="s">
        <v>2715</v>
      </c>
      <c r="E446" s="10" t="s">
        <v>2716</v>
      </c>
      <c r="F446" s="10" t="s">
        <v>1627</v>
      </c>
      <c r="G446" s="15">
        <v>67.599999999999994</v>
      </c>
      <c r="H446" t="s">
        <v>3028</v>
      </c>
    </row>
    <row r="447" spans="1:8" x14ac:dyDescent="0.25">
      <c r="A447" s="9" t="s">
        <v>1912</v>
      </c>
      <c r="B447" s="10" t="s">
        <v>866</v>
      </c>
      <c r="C447" s="10" t="s">
        <v>3028</v>
      </c>
      <c r="D447" s="10" t="s">
        <v>2717</v>
      </c>
      <c r="E447" s="10" t="s">
        <v>2718</v>
      </c>
      <c r="F447" s="10" t="s">
        <v>1631</v>
      </c>
      <c r="G447" s="15">
        <v>73.650000000000006</v>
      </c>
      <c r="H447" t="s">
        <v>3028</v>
      </c>
    </row>
    <row r="448" spans="1:8" x14ac:dyDescent="0.25">
      <c r="A448" s="9" t="s">
        <v>1912</v>
      </c>
      <c r="B448" s="10" t="s">
        <v>866</v>
      </c>
      <c r="C448" s="10" t="s">
        <v>2719</v>
      </c>
      <c r="D448" s="10" t="s">
        <v>2720</v>
      </c>
      <c r="E448" s="10" t="s">
        <v>2721</v>
      </c>
      <c r="F448" s="10" t="s">
        <v>1627</v>
      </c>
      <c r="G448" s="15">
        <v>73.650000000000006</v>
      </c>
      <c r="H448" t="s">
        <v>3028</v>
      </c>
    </row>
    <row r="449" spans="1:8" x14ac:dyDescent="0.25">
      <c r="A449" s="9" t="s">
        <v>1912</v>
      </c>
      <c r="B449" s="10" t="s">
        <v>884</v>
      </c>
      <c r="C449" s="10" t="s">
        <v>2722</v>
      </c>
      <c r="D449" s="10" t="s">
        <v>2723</v>
      </c>
      <c r="E449" s="10" t="s">
        <v>2724</v>
      </c>
      <c r="F449" s="10" t="s">
        <v>1627</v>
      </c>
      <c r="G449" s="15">
        <v>73.650000000000006</v>
      </c>
      <c r="H449" t="s">
        <v>3028</v>
      </c>
    </row>
    <row r="450" spans="1:8" x14ac:dyDescent="0.25">
      <c r="A450" s="9" t="s">
        <v>1912</v>
      </c>
      <c r="B450" s="10" t="s">
        <v>884</v>
      </c>
      <c r="C450" s="10" t="s">
        <v>2725</v>
      </c>
      <c r="D450" s="10" t="s">
        <v>2726</v>
      </c>
      <c r="E450" s="10" t="s">
        <v>2727</v>
      </c>
      <c r="F450" s="10" t="s">
        <v>1631</v>
      </c>
      <c r="G450" s="15">
        <v>73.650000000000006</v>
      </c>
      <c r="H450" t="s">
        <v>3028</v>
      </c>
    </row>
    <row r="451" spans="1:8" x14ac:dyDescent="0.25">
      <c r="A451" s="9" t="s">
        <v>1912</v>
      </c>
      <c r="B451" s="10" t="s">
        <v>886</v>
      </c>
      <c r="C451" s="10" t="s">
        <v>3028</v>
      </c>
      <c r="D451" s="10" t="s">
        <v>1688</v>
      </c>
      <c r="E451" s="10" t="s">
        <v>2728</v>
      </c>
      <c r="F451" s="10" t="s">
        <v>1631</v>
      </c>
      <c r="G451" s="15">
        <v>73.650000000000006</v>
      </c>
      <c r="H451" t="s">
        <v>3028</v>
      </c>
    </row>
    <row r="452" spans="1:8" x14ac:dyDescent="0.25">
      <c r="A452" s="9" t="s">
        <v>1912</v>
      </c>
      <c r="B452" s="10" t="s">
        <v>886</v>
      </c>
      <c r="C452" s="10" t="s">
        <v>3028</v>
      </c>
      <c r="D452" s="10" t="s">
        <v>2729</v>
      </c>
      <c r="E452" s="10" t="s">
        <v>2730</v>
      </c>
      <c r="F452" s="10" t="s">
        <v>1631</v>
      </c>
      <c r="G452" s="15">
        <v>73.650000000000006</v>
      </c>
      <c r="H452" t="s">
        <v>3028</v>
      </c>
    </row>
    <row r="453" spans="1:8" x14ac:dyDescent="0.25">
      <c r="A453" s="9" t="s">
        <v>1912</v>
      </c>
      <c r="B453" s="10" t="s">
        <v>886</v>
      </c>
      <c r="C453" s="10" t="s">
        <v>2731</v>
      </c>
      <c r="D453" s="10" t="s">
        <v>2732</v>
      </c>
      <c r="E453" s="10" t="s">
        <v>2733</v>
      </c>
      <c r="F453" s="10" t="s">
        <v>1627</v>
      </c>
      <c r="G453" s="15">
        <v>73.650000000000006</v>
      </c>
      <c r="H453" t="s">
        <v>3028</v>
      </c>
    </row>
    <row r="454" spans="1:8" x14ac:dyDescent="0.25">
      <c r="A454" s="9" t="s">
        <v>1912</v>
      </c>
      <c r="B454" s="10" t="s">
        <v>892</v>
      </c>
      <c r="C454" s="10" t="s">
        <v>2734</v>
      </c>
      <c r="D454" s="10" t="s">
        <v>2735</v>
      </c>
      <c r="E454" s="10" t="s">
        <v>2736</v>
      </c>
      <c r="F454" s="10" t="s">
        <v>1627</v>
      </c>
      <c r="G454" s="15">
        <v>42.39</v>
      </c>
      <c r="H454" t="s">
        <v>3028</v>
      </c>
    </row>
    <row r="455" spans="1:8" x14ac:dyDescent="0.25">
      <c r="A455" s="9" t="s">
        <v>1912</v>
      </c>
      <c r="B455" s="10" t="s">
        <v>892</v>
      </c>
      <c r="C455" s="10" t="s">
        <v>2737</v>
      </c>
      <c r="D455" s="10" t="s">
        <v>2738</v>
      </c>
      <c r="E455" s="10" t="s">
        <v>2739</v>
      </c>
      <c r="F455" s="10" t="s">
        <v>1631</v>
      </c>
      <c r="G455" s="15">
        <v>42.39</v>
      </c>
      <c r="H455" t="s">
        <v>3028</v>
      </c>
    </row>
    <row r="456" spans="1:8" x14ac:dyDescent="0.25">
      <c r="A456" s="9" t="s">
        <v>1912</v>
      </c>
      <c r="B456" s="10" t="s">
        <v>892</v>
      </c>
      <c r="C456" s="10" t="s">
        <v>2740</v>
      </c>
      <c r="D456" s="10" t="s">
        <v>2741</v>
      </c>
      <c r="E456" s="10" t="s">
        <v>2742</v>
      </c>
      <c r="F456" s="10" t="s">
        <v>1631</v>
      </c>
      <c r="G456" s="15">
        <v>42.39</v>
      </c>
      <c r="H456" t="s">
        <v>3028</v>
      </c>
    </row>
    <row r="457" spans="1:8" x14ac:dyDescent="0.25">
      <c r="A457" s="9" t="s">
        <v>1912</v>
      </c>
      <c r="B457" s="10" t="s">
        <v>892</v>
      </c>
      <c r="C457" s="10" t="s">
        <v>2743</v>
      </c>
      <c r="D457" s="10" t="s">
        <v>1189</v>
      </c>
      <c r="E457" s="10" t="s">
        <v>2744</v>
      </c>
      <c r="F457" s="10" t="s">
        <v>1631</v>
      </c>
      <c r="G457" s="15">
        <v>42.39</v>
      </c>
      <c r="H457" t="s">
        <v>3028</v>
      </c>
    </row>
    <row r="458" spans="1:8" x14ac:dyDescent="0.25">
      <c r="A458" s="9" t="s">
        <v>1912</v>
      </c>
      <c r="B458" s="10" t="s">
        <v>896</v>
      </c>
      <c r="C458" s="10" t="s">
        <v>2745</v>
      </c>
      <c r="D458" s="10" t="s">
        <v>2746</v>
      </c>
      <c r="E458" s="10" t="s">
        <v>2747</v>
      </c>
      <c r="F458" s="10" t="s">
        <v>1627</v>
      </c>
      <c r="G458" s="15">
        <v>1014.14</v>
      </c>
      <c r="H458" t="s">
        <v>3028</v>
      </c>
    </row>
    <row r="459" spans="1:8" x14ac:dyDescent="0.25">
      <c r="A459" s="9" t="s">
        <v>1912</v>
      </c>
      <c r="B459" s="10" t="s">
        <v>902</v>
      </c>
      <c r="C459" s="10" t="s">
        <v>2748</v>
      </c>
      <c r="D459" s="10" t="s">
        <v>2749</v>
      </c>
      <c r="E459" s="10" t="s">
        <v>2750</v>
      </c>
      <c r="F459" s="10" t="s">
        <v>1627</v>
      </c>
      <c r="G459" s="15">
        <v>61.55</v>
      </c>
      <c r="H459" t="s">
        <v>3028</v>
      </c>
    </row>
    <row r="460" spans="1:8" x14ac:dyDescent="0.25">
      <c r="A460" s="9" t="s">
        <v>1912</v>
      </c>
      <c r="B460" s="10" t="s">
        <v>906</v>
      </c>
      <c r="C460" s="10" t="s">
        <v>2751</v>
      </c>
      <c r="D460" s="10" t="s">
        <v>2752</v>
      </c>
      <c r="E460" s="10" t="s">
        <v>2753</v>
      </c>
      <c r="F460" s="10" t="s">
        <v>1627</v>
      </c>
      <c r="G460" s="15">
        <v>73.650000000000006</v>
      </c>
      <c r="H460" t="s">
        <v>3028</v>
      </c>
    </row>
    <row r="461" spans="1:8" x14ac:dyDescent="0.25">
      <c r="A461" s="9" t="s">
        <v>1912</v>
      </c>
      <c r="B461" s="10" t="s">
        <v>914</v>
      </c>
      <c r="C461" s="10" t="s">
        <v>3028</v>
      </c>
      <c r="D461" s="10" t="s">
        <v>2754</v>
      </c>
      <c r="E461" s="10" t="s">
        <v>2755</v>
      </c>
      <c r="F461" s="10" t="s">
        <v>1631</v>
      </c>
      <c r="G461" s="15">
        <v>61.55</v>
      </c>
      <c r="H461" t="s">
        <v>3028</v>
      </c>
    </row>
    <row r="462" spans="1:8" x14ac:dyDescent="0.25">
      <c r="A462" s="9" t="s">
        <v>1912</v>
      </c>
      <c r="B462" s="10" t="s">
        <v>914</v>
      </c>
      <c r="C462" s="10" t="s">
        <v>2756</v>
      </c>
      <c r="D462" s="10" t="s">
        <v>2757</v>
      </c>
      <c r="E462" s="10" t="s">
        <v>2758</v>
      </c>
      <c r="F462" s="10" t="s">
        <v>1627</v>
      </c>
      <c r="G462" s="15">
        <v>61.55</v>
      </c>
      <c r="H462" t="s">
        <v>3028</v>
      </c>
    </row>
    <row r="463" spans="1:8" x14ac:dyDescent="0.25">
      <c r="A463" s="9" t="s">
        <v>1912</v>
      </c>
      <c r="B463" s="10" t="s">
        <v>930</v>
      </c>
      <c r="C463" s="10" t="s">
        <v>2759</v>
      </c>
      <c r="D463" s="10" t="s">
        <v>2760</v>
      </c>
      <c r="E463" s="10" t="s">
        <v>2761</v>
      </c>
      <c r="F463" s="10" t="s">
        <v>1627</v>
      </c>
      <c r="G463" s="15">
        <v>751.17</v>
      </c>
      <c r="H463" t="s">
        <v>3028</v>
      </c>
    </row>
    <row r="464" spans="1:8" x14ac:dyDescent="0.25">
      <c r="A464" s="9" t="s">
        <v>1912</v>
      </c>
      <c r="B464" s="10" t="s">
        <v>934</v>
      </c>
      <c r="C464" s="10" t="s">
        <v>2762</v>
      </c>
      <c r="D464" s="10" t="s">
        <v>2763</v>
      </c>
      <c r="E464" s="10" t="s">
        <v>2764</v>
      </c>
      <c r="F464" s="10" t="s">
        <v>1627</v>
      </c>
      <c r="G464" s="15">
        <v>73.650000000000006</v>
      </c>
      <c r="H464" t="s">
        <v>3028</v>
      </c>
    </row>
    <row r="465" spans="1:8" x14ac:dyDescent="0.25">
      <c r="A465" s="9" t="s">
        <v>1912</v>
      </c>
      <c r="B465" s="10" t="s">
        <v>946</v>
      </c>
      <c r="C465" s="10" t="s">
        <v>2765</v>
      </c>
      <c r="D465" s="10" t="s">
        <v>2766</v>
      </c>
      <c r="E465" s="10" t="s">
        <v>2767</v>
      </c>
      <c r="F465" s="10" t="s">
        <v>1627</v>
      </c>
      <c r="G465" s="15">
        <v>73.650000000000006</v>
      </c>
      <c r="H465" t="s">
        <v>3028</v>
      </c>
    </row>
    <row r="466" spans="1:8" x14ac:dyDescent="0.25">
      <c r="A466" s="9" t="s">
        <v>1912</v>
      </c>
      <c r="B466" s="10" t="s">
        <v>946</v>
      </c>
      <c r="C466" s="10" t="s">
        <v>2768</v>
      </c>
      <c r="D466" s="10" t="s">
        <v>2769</v>
      </c>
      <c r="E466" s="10" t="s">
        <v>2770</v>
      </c>
      <c r="F466" s="10" t="s">
        <v>1631</v>
      </c>
      <c r="G466" s="15">
        <v>73.650000000000006</v>
      </c>
      <c r="H466" t="s">
        <v>3028</v>
      </c>
    </row>
    <row r="467" spans="1:8" x14ac:dyDescent="0.25">
      <c r="A467" s="9" t="s">
        <v>1912</v>
      </c>
      <c r="B467" s="10" t="s">
        <v>948</v>
      </c>
      <c r="C467" s="10" t="s">
        <v>3028</v>
      </c>
      <c r="D467" s="10" t="s">
        <v>950</v>
      </c>
      <c r="E467" s="10" t="s">
        <v>951</v>
      </c>
      <c r="F467" s="10" t="s">
        <v>1631</v>
      </c>
      <c r="G467" s="15">
        <v>73.650000000000006</v>
      </c>
      <c r="H467" t="s">
        <v>3028</v>
      </c>
    </row>
    <row r="468" spans="1:8" x14ac:dyDescent="0.25">
      <c r="A468" s="9" t="s">
        <v>1912</v>
      </c>
      <c r="B468" s="10" t="s">
        <v>948</v>
      </c>
      <c r="C468" s="10" t="s">
        <v>3028</v>
      </c>
      <c r="D468" s="10" t="s">
        <v>952</v>
      </c>
      <c r="E468" s="10" t="s">
        <v>953</v>
      </c>
      <c r="F468" s="10" t="s">
        <v>1631</v>
      </c>
      <c r="G468" s="15">
        <v>73.650000000000006</v>
      </c>
      <c r="H468" t="s">
        <v>3028</v>
      </c>
    </row>
    <row r="469" spans="1:8" x14ac:dyDescent="0.25">
      <c r="A469" s="9" t="s">
        <v>1912</v>
      </c>
      <c r="B469" s="10" t="s">
        <v>948</v>
      </c>
      <c r="C469" s="10" t="s">
        <v>2771</v>
      </c>
      <c r="D469" s="10" t="s">
        <v>2772</v>
      </c>
      <c r="E469" s="10" t="s">
        <v>2773</v>
      </c>
      <c r="F469" s="10" t="s">
        <v>1627</v>
      </c>
      <c r="G469" s="15">
        <v>73.650000000000006</v>
      </c>
      <c r="H469" t="s">
        <v>3028</v>
      </c>
    </row>
    <row r="470" spans="1:8" x14ac:dyDescent="0.25">
      <c r="A470" s="9" t="s">
        <v>1912</v>
      </c>
      <c r="B470" s="10" t="s">
        <v>968</v>
      </c>
      <c r="C470" s="10" t="s">
        <v>2774</v>
      </c>
      <c r="D470" s="10" t="s">
        <v>2775</v>
      </c>
      <c r="E470" s="10" t="s">
        <v>2776</v>
      </c>
      <c r="F470" s="10" t="s">
        <v>1627</v>
      </c>
      <c r="G470" s="15">
        <v>73.650000000000006</v>
      </c>
      <c r="H470" t="s">
        <v>3028</v>
      </c>
    </row>
    <row r="471" spans="1:8" x14ac:dyDescent="0.25">
      <c r="A471" s="9" t="s">
        <v>1912</v>
      </c>
      <c r="B471" s="10" t="s">
        <v>970</v>
      </c>
      <c r="C471" s="10" t="s">
        <v>3028</v>
      </c>
      <c r="D471" s="10" t="s">
        <v>2777</v>
      </c>
      <c r="E471" s="10" t="s">
        <v>2778</v>
      </c>
      <c r="F471" s="10" t="s">
        <v>1631</v>
      </c>
      <c r="G471" s="15">
        <v>73.650000000000006</v>
      </c>
      <c r="H471" t="s">
        <v>3028</v>
      </c>
    </row>
    <row r="472" spans="1:8" x14ac:dyDescent="0.25">
      <c r="A472" s="9" t="s">
        <v>1912</v>
      </c>
      <c r="B472" s="10" t="s">
        <v>970</v>
      </c>
      <c r="C472" s="10" t="s">
        <v>2779</v>
      </c>
      <c r="D472" s="10" t="s">
        <v>2780</v>
      </c>
      <c r="E472" s="10" t="s">
        <v>2781</v>
      </c>
      <c r="F472" s="10" t="s">
        <v>1627</v>
      </c>
      <c r="G472" s="15">
        <v>73.650000000000006</v>
      </c>
      <c r="H472" t="s">
        <v>3028</v>
      </c>
    </row>
    <row r="473" spans="1:8" x14ac:dyDescent="0.25">
      <c r="A473" s="9" t="s">
        <v>1912</v>
      </c>
      <c r="B473" s="10" t="s">
        <v>972</v>
      </c>
      <c r="C473" s="10" t="s">
        <v>2782</v>
      </c>
      <c r="D473" s="10" t="s">
        <v>2783</v>
      </c>
      <c r="E473" s="10" t="s">
        <v>2784</v>
      </c>
      <c r="F473" s="10" t="s">
        <v>1631</v>
      </c>
      <c r="G473" s="15">
        <v>55.5</v>
      </c>
      <c r="H473" t="s">
        <v>3028</v>
      </c>
    </row>
    <row r="474" spans="1:8" x14ac:dyDescent="0.25">
      <c r="A474" s="9" t="s">
        <v>1912</v>
      </c>
      <c r="B474" s="10" t="s">
        <v>980</v>
      </c>
      <c r="C474" s="10" t="s">
        <v>3028</v>
      </c>
      <c r="D474" s="10" t="s">
        <v>2785</v>
      </c>
      <c r="E474" s="10" t="s">
        <v>2786</v>
      </c>
      <c r="F474" s="10" t="s">
        <v>1631</v>
      </c>
      <c r="G474" s="15">
        <v>596.89</v>
      </c>
      <c r="H474" t="s">
        <v>3028</v>
      </c>
    </row>
    <row r="475" spans="1:8" x14ac:dyDescent="0.25">
      <c r="A475" s="9" t="s">
        <v>1912</v>
      </c>
      <c r="B475" s="10" t="s">
        <v>982</v>
      </c>
      <c r="C475" s="10" t="s">
        <v>3028</v>
      </c>
      <c r="D475" s="10" t="s">
        <v>2787</v>
      </c>
      <c r="E475" s="10" t="s">
        <v>2788</v>
      </c>
      <c r="F475" s="10" t="s">
        <v>1631</v>
      </c>
      <c r="G475" s="15">
        <v>18.149999999999999</v>
      </c>
      <c r="H475" t="s">
        <v>3028</v>
      </c>
    </row>
    <row r="476" spans="1:8" x14ac:dyDescent="0.25">
      <c r="A476" s="9" t="s">
        <v>1912</v>
      </c>
      <c r="B476" s="10" t="s">
        <v>982</v>
      </c>
      <c r="C476" s="10" t="s">
        <v>2789</v>
      </c>
      <c r="D476" s="10" t="s">
        <v>2790</v>
      </c>
      <c r="E476" s="10" t="s">
        <v>2791</v>
      </c>
      <c r="F476" s="10" t="s">
        <v>1627</v>
      </c>
      <c r="G476" s="15">
        <v>18.149999999999999</v>
      </c>
      <c r="H476" t="s">
        <v>3028</v>
      </c>
    </row>
    <row r="477" spans="1:8" x14ac:dyDescent="0.25">
      <c r="A477" s="9" t="s">
        <v>1912</v>
      </c>
      <c r="B477" s="10" t="s">
        <v>984</v>
      </c>
      <c r="C477" s="10" t="s">
        <v>3028</v>
      </c>
      <c r="D477" s="10" t="s">
        <v>2792</v>
      </c>
      <c r="E477" s="10" t="s">
        <v>2793</v>
      </c>
      <c r="F477" s="10" t="s">
        <v>1631</v>
      </c>
      <c r="G477" s="15">
        <v>18.149999999999999</v>
      </c>
      <c r="H477" t="s">
        <v>3028</v>
      </c>
    </row>
    <row r="478" spans="1:8" x14ac:dyDescent="0.25">
      <c r="A478" s="9" t="s">
        <v>1912</v>
      </c>
      <c r="B478" s="10" t="s">
        <v>986</v>
      </c>
      <c r="C478" s="10" t="s">
        <v>2794</v>
      </c>
      <c r="D478" s="10" t="s">
        <v>2795</v>
      </c>
      <c r="E478" s="10" t="s">
        <v>2796</v>
      </c>
      <c r="F478" s="10" t="s">
        <v>1627</v>
      </c>
      <c r="G478" s="15">
        <v>73.650000000000006</v>
      </c>
      <c r="H478" t="s">
        <v>3028</v>
      </c>
    </row>
    <row r="479" spans="1:8" x14ac:dyDescent="0.25">
      <c r="A479" s="9" t="s">
        <v>1912</v>
      </c>
      <c r="B479" s="10" t="s">
        <v>986</v>
      </c>
      <c r="C479" s="10" t="s">
        <v>2797</v>
      </c>
      <c r="D479" s="10" t="s">
        <v>2798</v>
      </c>
      <c r="E479" s="10" t="s">
        <v>2799</v>
      </c>
      <c r="F479" s="10" t="s">
        <v>1631</v>
      </c>
      <c r="G479" s="15">
        <v>73.650000000000006</v>
      </c>
      <c r="H479" t="s">
        <v>3028</v>
      </c>
    </row>
    <row r="480" spans="1:8" x14ac:dyDescent="0.25">
      <c r="A480" s="9" t="s">
        <v>1912</v>
      </c>
      <c r="B480" s="10" t="s">
        <v>994</v>
      </c>
      <c r="C480" s="10" t="s">
        <v>3028</v>
      </c>
      <c r="D480" s="10" t="s">
        <v>2800</v>
      </c>
      <c r="E480" s="10" t="s">
        <v>2801</v>
      </c>
      <c r="F480" s="10" t="s">
        <v>1631</v>
      </c>
      <c r="G480" s="15">
        <v>317.48</v>
      </c>
      <c r="H480" t="s">
        <v>3028</v>
      </c>
    </row>
    <row r="481" spans="1:8" x14ac:dyDescent="0.25">
      <c r="A481" s="9" t="s">
        <v>1912</v>
      </c>
      <c r="B481" s="10" t="s">
        <v>994</v>
      </c>
      <c r="C481" s="10" t="s">
        <v>2802</v>
      </c>
      <c r="D481" s="10" t="s">
        <v>2803</v>
      </c>
      <c r="E481" s="10" t="s">
        <v>2804</v>
      </c>
      <c r="F481" s="10" t="s">
        <v>1627</v>
      </c>
      <c r="G481" s="15">
        <v>317.48</v>
      </c>
      <c r="H481" t="s">
        <v>3028</v>
      </c>
    </row>
    <row r="482" spans="1:8" x14ac:dyDescent="0.25">
      <c r="A482" s="9" t="s">
        <v>1912</v>
      </c>
      <c r="B482" s="10" t="s">
        <v>1000</v>
      </c>
      <c r="C482" s="10" t="s">
        <v>3028</v>
      </c>
      <c r="D482" s="10" t="s">
        <v>2805</v>
      </c>
      <c r="E482" s="10" t="s">
        <v>2806</v>
      </c>
      <c r="F482" s="10" t="s">
        <v>1631</v>
      </c>
      <c r="G482" s="15">
        <v>166.98</v>
      </c>
      <c r="H482" t="s">
        <v>3028</v>
      </c>
    </row>
    <row r="483" spans="1:8" x14ac:dyDescent="0.25">
      <c r="A483" s="9" t="s">
        <v>1912</v>
      </c>
      <c r="B483" s="10" t="s">
        <v>1000</v>
      </c>
      <c r="C483" s="10" t="s">
        <v>3028</v>
      </c>
      <c r="D483" s="10" t="s">
        <v>2807</v>
      </c>
      <c r="E483" s="10" t="s">
        <v>2808</v>
      </c>
      <c r="F483" s="10" t="s">
        <v>1631</v>
      </c>
      <c r="G483" s="15">
        <v>166.98</v>
      </c>
      <c r="H483" t="s">
        <v>3028</v>
      </c>
    </row>
    <row r="484" spans="1:8" x14ac:dyDescent="0.25">
      <c r="A484" s="9" t="s">
        <v>1912</v>
      </c>
      <c r="B484" s="10" t="s">
        <v>1000</v>
      </c>
      <c r="C484" s="10" t="s">
        <v>3028</v>
      </c>
      <c r="D484" s="10" t="s">
        <v>2809</v>
      </c>
      <c r="E484" s="10" t="s">
        <v>2810</v>
      </c>
      <c r="F484" s="10" t="s">
        <v>1631</v>
      </c>
      <c r="G484" s="15">
        <v>166.98</v>
      </c>
      <c r="H484" t="s">
        <v>3028</v>
      </c>
    </row>
    <row r="485" spans="1:8" x14ac:dyDescent="0.25">
      <c r="A485" s="9" t="s">
        <v>1912</v>
      </c>
      <c r="B485" s="10" t="s">
        <v>1000</v>
      </c>
      <c r="C485" s="10" t="s">
        <v>2811</v>
      </c>
      <c r="D485" s="10" t="s">
        <v>2812</v>
      </c>
      <c r="E485" s="10" t="s">
        <v>663</v>
      </c>
      <c r="F485" s="10" t="s">
        <v>1627</v>
      </c>
      <c r="G485" s="15">
        <v>166.98</v>
      </c>
      <c r="H485" t="s">
        <v>3028</v>
      </c>
    </row>
    <row r="486" spans="1:8" x14ac:dyDescent="0.25">
      <c r="A486" s="9" t="s">
        <v>1912</v>
      </c>
      <c r="B486" s="10" t="s">
        <v>1010</v>
      </c>
      <c r="C486" s="10" t="s">
        <v>3028</v>
      </c>
      <c r="D486" s="10" t="s">
        <v>2813</v>
      </c>
      <c r="E486" s="10" t="s">
        <v>2814</v>
      </c>
      <c r="F486" s="10" t="s">
        <v>1631</v>
      </c>
      <c r="G486" s="15">
        <v>73.650000000000006</v>
      </c>
      <c r="H486" t="s">
        <v>3028</v>
      </c>
    </row>
    <row r="487" spans="1:8" x14ac:dyDescent="0.25">
      <c r="A487" s="9" t="s">
        <v>1912</v>
      </c>
      <c r="B487" s="10" t="s">
        <v>1010</v>
      </c>
      <c r="C487" s="10" t="s">
        <v>2815</v>
      </c>
      <c r="D487" s="10" t="s">
        <v>2816</v>
      </c>
      <c r="E487" s="10" t="s">
        <v>2817</v>
      </c>
      <c r="F487" s="10" t="s">
        <v>1627</v>
      </c>
      <c r="G487" s="15">
        <v>73.650000000000006</v>
      </c>
      <c r="H487" t="s">
        <v>3028</v>
      </c>
    </row>
    <row r="488" spans="1:8" x14ac:dyDescent="0.25">
      <c r="A488" s="9" t="s">
        <v>1912</v>
      </c>
      <c r="B488" s="10" t="s">
        <v>1012</v>
      </c>
      <c r="C488" s="10" t="s">
        <v>3028</v>
      </c>
      <c r="D488" s="10" t="s">
        <v>2818</v>
      </c>
      <c r="E488" s="10" t="s">
        <v>2819</v>
      </c>
      <c r="F488" s="10" t="s">
        <v>1631</v>
      </c>
      <c r="G488" s="15">
        <v>66.650000000000006</v>
      </c>
      <c r="H488" t="s">
        <v>3028</v>
      </c>
    </row>
    <row r="489" spans="1:8" x14ac:dyDescent="0.25">
      <c r="A489" s="9" t="s">
        <v>1912</v>
      </c>
      <c r="B489" s="10" t="s">
        <v>1018</v>
      </c>
      <c r="C489" s="10" t="s">
        <v>3028</v>
      </c>
      <c r="D489" s="10" t="s">
        <v>2820</v>
      </c>
      <c r="E489" s="10" t="s">
        <v>2821</v>
      </c>
      <c r="F489" s="10" t="s">
        <v>1631</v>
      </c>
      <c r="G489" s="15">
        <v>73.650000000000006</v>
      </c>
      <c r="H489" t="s">
        <v>3028</v>
      </c>
    </row>
    <row r="490" spans="1:8" x14ac:dyDescent="0.25">
      <c r="A490" s="9" t="s">
        <v>1912</v>
      </c>
      <c r="B490" s="10" t="s">
        <v>1018</v>
      </c>
      <c r="C490" s="10" t="s">
        <v>3028</v>
      </c>
      <c r="D490" s="10" t="s">
        <v>2822</v>
      </c>
      <c r="E490" s="10" t="s">
        <v>2823</v>
      </c>
      <c r="F490" s="10" t="s">
        <v>1631</v>
      </c>
      <c r="G490" s="15">
        <v>73.650000000000006</v>
      </c>
      <c r="H490" t="s">
        <v>3028</v>
      </c>
    </row>
    <row r="491" spans="1:8" x14ac:dyDescent="0.25">
      <c r="A491" s="9" t="s">
        <v>1912</v>
      </c>
      <c r="B491" s="10" t="s">
        <v>1030</v>
      </c>
      <c r="C491" s="10" t="s">
        <v>3028</v>
      </c>
      <c r="D491" s="10" t="s">
        <v>2824</v>
      </c>
      <c r="E491" s="10" t="s">
        <v>2825</v>
      </c>
      <c r="F491" s="10" t="s">
        <v>1631</v>
      </c>
      <c r="G491" s="15">
        <v>73.650000000000006</v>
      </c>
      <c r="H491" t="s">
        <v>3028</v>
      </c>
    </row>
    <row r="492" spans="1:8" x14ac:dyDescent="0.25">
      <c r="A492" s="9" t="s">
        <v>1912</v>
      </c>
      <c r="B492" s="10" t="s">
        <v>1030</v>
      </c>
      <c r="C492" s="10" t="s">
        <v>3028</v>
      </c>
      <c r="D492" s="10" t="s">
        <v>2826</v>
      </c>
      <c r="E492" s="10" t="s">
        <v>2827</v>
      </c>
      <c r="F492" s="10" t="s">
        <v>1631</v>
      </c>
      <c r="G492" s="15">
        <v>73.650000000000006</v>
      </c>
      <c r="H492" t="s">
        <v>3028</v>
      </c>
    </row>
    <row r="493" spans="1:8" x14ac:dyDescent="0.25">
      <c r="A493" s="9" t="s">
        <v>1912</v>
      </c>
      <c r="B493" s="10" t="s">
        <v>1030</v>
      </c>
      <c r="C493" s="10" t="s">
        <v>2828</v>
      </c>
      <c r="D493" s="10" t="s">
        <v>2829</v>
      </c>
      <c r="E493" s="10" t="s">
        <v>2830</v>
      </c>
      <c r="F493" s="10" t="s">
        <v>1627</v>
      </c>
      <c r="G493" s="15">
        <v>73.650000000000006</v>
      </c>
      <c r="H493" t="s">
        <v>3028</v>
      </c>
    </row>
    <row r="494" spans="1:8" x14ac:dyDescent="0.25">
      <c r="A494" s="9" t="s">
        <v>1912</v>
      </c>
      <c r="B494" s="10" t="s">
        <v>1032</v>
      </c>
      <c r="C494" s="10" t="s">
        <v>3028</v>
      </c>
      <c r="D494" s="10" t="s">
        <v>2777</v>
      </c>
      <c r="E494" s="10" t="s">
        <v>2831</v>
      </c>
      <c r="F494" s="10" t="s">
        <v>1631</v>
      </c>
      <c r="G494" s="15">
        <v>73.650000000000006</v>
      </c>
      <c r="H494" t="s">
        <v>3028</v>
      </c>
    </row>
    <row r="495" spans="1:8" x14ac:dyDescent="0.25">
      <c r="A495" s="9" t="s">
        <v>1912</v>
      </c>
      <c r="B495" s="10" t="s">
        <v>1032</v>
      </c>
      <c r="C495" s="10" t="s">
        <v>2832</v>
      </c>
      <c r="D495" s="10" t="s">
        <v>2833</v>
      </c>
      <c r="E495" s="10" t="s">
        <v>2834</v>
      </c>
      <c r="F495" s="10" t="s">
        <v>1627</v>
      </c>
      <c r="G495" s="15">
        <v>73.650000000000006</v>
      </c>
      <c r="H495" t="s">
        <v>3028</v>
      </c>
    </row>
    <row r="496" spans="1:8" x14ac:dyDescent="0.25">
      <c r="A496" s="9" t="s">
        <v>1912</v>
      </c>
      <c r="B496" s="10" t="s">
        <v>1038</v>
      </c>
      <c r="C496" s="10" t="s">
        <v>3028</v>
      </c>
      <c r="D496" s="10" t="s">
        <v>2835</v>
      </c>
      <c r="E496" s="10" t="s">
        <v>2836</v>
      </c>
      <c r="F496" s="10" t="s">
        <v>1631</v>
      </c>
      <c r="G496" s="15">
        <v>1014.14</v>
      </c>
      <c r="H496" t="s">
        <v>3028</v>
      </c>
    </row>
    <row r="497" spans="1:8" x14ac:dyDescent="0.25">
      <c r="A497" s="9" t="s">
        <v>1912</v>
      </c>
      <c r="B497" s="10" t="s">
        <v>1038</v>
      </c>
      <c r="C497" s="10" t="s">
        <v>3028</v>
      </c>
      <c r="D497" s="10" t="s">
        <v>2837</v>
      </c>
      <c r="E497" s="10" t="s">
        <v>2838</v>
      </c>
      <c r="F497" s="10" t="s">
        <v>1631</v>
      </c>
      <c r="G497" s="15">
        <v>1014.14</v>
      </c>
      <c r="H497" t="s">
        <v>3028</v>
      </c>
    </row>
    <row r="498" spans="1:8" x14ac:dyDescent="0.25">
      <c r="A498" s="9" t="s">
        <v>1912</v>
      </c>
      <c r="B498" s="10" t="s">
        <v>1038</v>
      </c>
      <c r="C498" s="10" t="s">
        <v>2839</v>
      </c>
      <c r="D498" s="10" t="s">
        <v>2840</v>
      </c>
      <c r="E498" s="10" t="s">
        <v>2841</v>
      </c>
      <c r="F498" s="10" t="s">
        <v>1627</v>
      </c>
      <c r="G498" s="15">
        <v>1014.14</v>
      </c>
      <c r="H498" t="s">
        <v>3028</v>
      </c>
    </row>
    <row r="499" spans="1:8" x14ac:dyDescent="0.25">
      <c r="A499" s="9" t="s">
        <v>1912</v>
      </c>
      <c r="B499" s="10" t="s">
        <v>1040</v>
      </c>
      <c r="C499" s="10" t="s">
        <v>3028</v>
      </c>
      <c r="D499" s="10" t="s">
        <v>2842</v>
      </c>
      <c r="E499" s="10" t="s">
        <v>2843</v>
      </c>
      <c r="F499" s="10" t="s">
        <v>1631</v>
      </c>
      <c r="G499" s="15">
        <v>73.650000000000006</v>
      </c>
      <c r="H499" t="s">
        <v>3028</v>
      </c>
    </row>
    <row r="500" spans="1:8" x14ac:dyDescent="0.25">
      <c r="A500" s="9" t="s">
        <v>1912</v>
      </c>
      <c r="B500" s="10" t="s">
        <v>1040</v>
      </c>
      <c r="C500" s="10" t="s">
        <v>2844</v>
      </c>
      <c r="D500" s="10" t="s">
        <v>2845</v>
      </c>
      <c r="E500" s="10" t="s">
        <v>2846</v>
      </c>
      <c r="F500" s="10" t="s">
        <v>1627</v>
      </c>
      <c r="G500" s="15">
        <v>73.650000000000006</v>
      </c>
      <c r="H500" t="s">
        <v>3028</v>
      </c>
    </row>
    <row r="501" spans="1:8" x14ac:dyDescent="0.25">
      <c r="A501" s="9" t="s">
        <v>1912</v>
      </c>
      <c r="B501" s="10" t="s">
        <v>1063</v>
      </c>
      <c r="C501" s="10" t="s">
        <v>3028</v>
      </c>
      <c r="D501" s="10" t="s">
        <v>2847</v>
      </c>
      <c r="E501" s="10" t="s">
        <v>2848</v>
      </c>
      <c r="F501" s="10" t="s">
        <v>1631</v>
      </c>
      <c r="G501" s="15">
        <v>19.14</v>
      </c>
      <c r="H501" t="s">
        <v>3028</v>
      </c>
    </row>
    <row r="502" spans="1:8" x14ac:dyDescent="0.25">
      <c r="A502" s="9" t="s">
        <v>1912</v>
      </c>
      <c r="B502" s="10" t="s">
        <v>1063</v>
      </c>
      <c r="C502" s="10" t="s">
        <v>2849</v>
      </c>
      <c r="D502" s="10" t="s">
        <v>2850</v>
      </c>
      <c r="E502" s="10" t="s">
        <v>2851</v>
      </c>
      <c r="F502" s="10" t="s">
        <v>1627</v>
      </c>
      <c r="G502" s="15">
        <v>19.14</v>
      </c>
      <c r="H502" t="s">
        <v>3028</v>
      </c>
    </row>
    <row r="503" spans="1:8" x14ac:dyDescent="0.25">
      <c r="A503" s="9" t="s">
        <v>1912</v>
      </c>
      <c r="B503" s="10" t="s">
        <v>1067</v>
      </c>
      <c r="C503" s="10" t="s">
        <v>3028</v>
      </c>
      <c r="D503" s="10" t="s">
        <v>2852</v>
      </c>
      <c r="E503" s="10" t="s">
        <v>2853</v>
      </c>
      <c r="F503" s="10" t="s">
        <v>1631</v>
      </c>
      <c r="G503" s="15">
        <v>18.149999999999999</v>
      </c>
      <c r="H503" t="s">
        <v>3028</v>
      </c>
    </row>
    <row r="504" spans="1:8" x14ac:dyDescent="0.25">
      <c r="A504" s="9" t="s">
        <v>1912</v>
      </c>
      <c r="B504" s="10" t="s">
        <v>1079</v>
      </c>
      <c r="C504" s="10" t="s">
        <v>3028</v>
      </c>
      <c r="D504" s="10" t="s">
        <v>2854</v>
      </c>
      <c r="E504" s="10" t="s">
        <v>2855</v>
      </c>
      <c r="F504" s="10" t="s">
        <v>1631</v>
      </c>
      <c r="G504" s="15">
        <v>73.650000000000006</v>
      </c>
      <c r="H504" t="s">
        <v>3028</v>
      </c>
    </row>
    <row r="505" spans="1:8" x14ac:dyDescent="0.25">
      <c r="A505" s="9" t="s">
        <v>1912</v>
      </c>
      <c r="B505" s="10" t="s">
        <v>1079</v>
      </c>
      <c r="C505" s="10" t="s">
        <v>3028</v>
      </c>
      <c r="D505" s="10" t="s">
        <v>2856</v>
      </c>
      <c r="E505" s="10" t="s">
        <v>2857</v>
      </c>
      <c r="F505" s="10" t="s">
        <v>1631</v>
      </c>
      <c r="G505" s="15">
        <v>73.650000000000006</v>
      </c>
      <c r="H505" t="s">
        <v>3028</v>
      </c>
    </row>
    <row r="506" spans="1:8" x14ac:dyDescent="0.25">
      <c r="A506" s="9" t="s">
        <v>1912</v>
      </c>
      <c r="B506" s="10" t="s">
        <v>1079</v>
      </c>
      <c r="C506" s="10" t="s">
        <v>2858</v>
      </c>
      <c r="D506" s="10" t="s">
        <v>2859</v>
      </c>
      <c r="E506" s="10" t="s">
        <v>2860</v>
      </c>
      <c r="F506" s="10" t="s">
        <v>1627</v>
      </c>
      <c r="G506" s="15">
        <v>73.650000000000006</v>
      </c>
      <c r="H506" t="s">
        <v>3028</v>
      </c>
    </row>
    <row r="507" spans="1:8" x14ac:dyDescent="0.25">
      <c r="A507" s="9" t="s">
        <v>1912</v>
      </c>
      <c r="B507" s="10" t="s">
        <v>1081</v>
      </c>
      <c r="C507" s="10" t="s">
        <v>2861</v>
      </c>
      <c r="D507" s="10" t="s">
        <v>2862</v>
      </c>
      <c r="E507" s="10" t="s">
        <v>2863</v>
      </c>
      <c r="F507" s="10" t="s">
        <v>1627</v>
      </c>
      <c r="G507" s="15">
        <v>73.650000000000006</v>
      </c>
      <c r="H507" t="s">
        <v>3028</v>
      </c>
    </row>
    <row r="508" spans="1:8" x14ac:dyDescent="0.25">
      <c r="A508" s="9" t="s">
        <v>1912</v>
      </c>
      <c r="B508" s="10" t="s">
        <v>1081</v>
      </c>
      <c r="C508" s="10" t="s">
        <v>2864</v>
      </c>
      <c r="D508" s="10" t="s">
        <v>2865</v>
      </c>
      <c r="E508" s="10" t="s">
        <v>2866</v>
      </c>
      <c r="F508" s="10" t="s">
        <v>1631</v>
      </c>
      <c r="G508" s="15">
        <v>73.650000000000006</v>
      </c>
      <c r="H508" t="s">
        <v>3028</v>
      </c>
    </row>
    <row r="509" spans="1:8" x14ac:dyDescent="0.25">
      <c r="A509" s="9" t="s">
        <v>1912</v>
      </c>
      <c r="B509" s="10" t="s">
        <v>1085</v>
      </c>
      <c r="C509" s="10" t="s">
        <v>2867</v>
      </c>
      <c r="D509" s="10" t="s">
        <v>2868</v>
      </c>
      <c r="E509" s="10" t="s">
        <v>2869</v>
      </c>
      <c r="F509" s="10" t="s">
        <v>1627</v>
      </c>
      <c r="G509" s="15">
        <v>210.87</v>
      </c>
      <c r="H509" t="s">
        <v>3028</v>
      </c>
    </row>
    <row r="510" spans="1:8" x14ac:dyDescent="0.25">
      <c r="A510" s="9" t="s">
        <v>1912</v>
      </c>
      <c r="B510" s="10" t="s">
        <v>1085</v>
      </c>
      <c r="C510" s="10" t="s">
        <v>2870</v>
      </c>
      <c r="D510" s="10" t="s">
        <v>2871</v>
      </c>
      <c r="E510" s="10" t="s">
        <v>2872</v>
      </c>
      <c r="F510" s="10" t="s">
        <v>1631</v>
      </c>
      <c r="G510" s="15">
        <v>54.51</v>
      </c>
      <c r="H510" t="s">
        <v>3028</v>
      </c>
    </row>
    <row r="511" spans="1:8" x14ac:dyDescent="0.25">
      <c r="A511" s="9" t="s">
        <v>1912</v>
      </c>
      <c r="B511" s="10" t="s">
        <v>1087</v>
      </c>
      <c r="C511" s="10" t="s">
        <v>2873</v>
      </c>
      <c r="D511" s="10" t="s">
        <v>2874</v>
      </c>
      <c r="E511" s="10" t="s">
        <v>2875</v>
      </c>
      <c r="F511" s="10" t="s">
        <v>1627</v>
      </c>
      <c r="G511" s="15">
        <v>30.25</v>
      </c>
      <c r="H511" t="s">
        <v>3028</v>
      </c>
    </row>
    <row r="512" spans="1:8" x14ac:dyDescent="0.25">
      <c r="A512" s="9" t="s">
        <v>1912</v>
      </c>
      <c r="B512" s="10" t="s">
        <v>1099</v>
      </c>
      <c r="C512" s="10" t="s">
        <v>2876</v>
      </c>
      <c r="D512" s="10" t="s">
        <v>2877</v>
      </c>
      <c r="E512" s="10" t="s">
        <v>2878</v>
      </c>
      <c r="F512" s="10" t="s">
        <v>1627</v>
      </c>
      <c r="G512" s="15">
        <v>73.650000000000006</v>
      </c>
      <c r="H512" t="s">
        <v>3028</v>
      </c>
    </row>
    <row r="513" spans="1:8" x14ac:dyDescent="0.25">
      <c r="A513" s="9" t="s">
        <v>1912</v>
      </c>
      <c r="B513" s="10" t="s">
        <v>1103</v>
      </c>
      <c r="C513" s="10" t="s">
        <v>3028</v>
      </c>
      <c r="D513" s="10" t="s">
        <v>2879</v>
      </c>
      <c r="E513" s="10" t="s">
        <v>2880</v>
      </c>
      <c r="F513" s="10" t="s">
        <v>1631</v>
      </c>
      <c r="G513" s="15">
        <v>73.650000000000006</v>
      </c>
      <c r="H513" t="s">
        <v>3028</v>
      </c>
    </row>
    <row r="514" spans="1:8" x14ac:dyDescent="0.25">
      <c r="A514" s="9" t="s">
        <v>1912</v>
      </c>
      <c r="B514" s="10" t="s">
        <v>1103</v>
      </c>
      <c r="C514" s="10" t="s">
        <v>2881</v>
      </c>
      <c r="D514" s="10" t="s">
        <v>2882</v>
      </c>
      <c r="E514" s="10" t="s">
        <v>2883</v>
      </c>
      <c r="F514" s="10" t="s">
        <v>1627</v>
      </c>
      <c r="G514" s="15">
        <v>73.650000000000006</v>
      </c>
      <c r="H514" t="s">
        <v>3028</v>
      </c>
    </row>
    <row r="515" spans="1:8" x14ac:dyDescent="0.25">
      <c r="A515" s="9" t="s">
        <v>1912</v>
      </c>
      <c r="B515" s="10" t="s">
        <v>1123</v>
      </c>
      <c r="C515" s="10" t="s">
        <v>2884</v>
      </c>
      <c r="D515" s="10" t="s">
        <v>2885</v>
      </c>
      <c r="E515" s="10" t="s">
        <v>2886</v>
      </c>
      <c r="F515" s="10" t="s">
        <v>1627</v>
      </c>
      <c r="G515" s="15">
        <v>228.45</v>
      </c>
      <c r="H515" t="s">
        <v>3028</v>
      </c>
    </row>
    <row r="516" spans="1:8" x14ac:dyDescent="0.25">
      <c r="A516" s="9" t="s">
        <v>1912</v>
      </c>
      <c r="B516" s="10" t="s">
        <v>1127</v>
      </c>
      <c r="C516" s="10" t="s">
        <v>3028</v>
      </c>
      <c r="D516" s="10" t="s">
        <v>2887</v>
      </c>
      <c r="E516" s="10" t="s">
        <v>2888</v>
      </c>
      <c r="F516" s="10" t="s">
        <v>1631</v>
      </c>
      <c r="G516" s="15">
        <v>465.77</v>
      </c>
      <c r="H516" t="s">
        <v>3028</v>
      </c>
    </row>
    <row r="517" spans="1:8" x14ac:dyDescent="0.25">
      <c r="A517" s="9" t="s">
        <v>1912</v>
      </c>
      <c r="B517" s="10" t="s">
        <v>1127</v>
      </c>
      <c r="C517" s="10" t="s">
        <v>3028</v>
      </c>
      <c r="D517" s="10" t="s">
        <v>2889</v>
      </c>
      <c r="E517" s="10" t="s">
        <v>2890</v>
      </c>
      <c r="F517" s="10" t="s">
        <v>1631</v>
      </c>
      <c r="G517" s="15">
        <v>465.77</v>
      </c>
      <c r="H517" t="s">
        <v>3028</v>
      </c>
    </row>
    <row r="518" spans="1:8" x14ac:dyDescent="0.25">
      <c r="A518" s="9" t="s">
        <v>1912</v>
      </c>
      <c r="B518" s="10" t="s">
        <v>1127</v>
      </c>
      <c r="C518" s="10" t="s">
        <v>2891</v>
      </c>
      <c r="D518" s="10" t="s">
        <v>2892</v>
      </c>
      <c r="E518" s="10" t="s">
        <v>2893</v>
      </c>
      <c r="F518" s="10" t="s">
        <v>1627</v>
      </c>
      <c r="G518" s="15">
        <v>465.77</v>
      </c>
      <c r="H518" t="s">
        <v>3028</v>
      </c>
    </row>
    <row r="519" spans="1:8" x14ac:dyDescent="0.25">
      <c r="A519" s="9" t="s">
        <v>1912</v>
      </c>
      <c r="B519" s="10" t="s">
        <v>1153</v>
      </c>
      <c r="C519" s="10" t="s">
        <v>3028</v>
      </c>
      <c r="D519" s="10" t="s">
        <v>2894</v>
      </c>
      <c r="E519" s="10" t="s">
        <v>2895</v>
      </c>
      <c r="F519" s="10" t="s">
        <v>1631</v>
      </c>
      <c r="G519" s="15">
        <v>73.650000000000006</v>
      </c>
      <c r="H519" t="s">
        <v>3028</v>
      </c>
    </row>
    <row r="520" spans="1:8" x14ac:dyDescent="0.25">
      <c r="A520" s="9" t="s">
        <v>1912</v>
      </c>
      <c r="B520" s="10" t="s">
        <v>1153</v>
      </c>
      <c r="C520" s="10" t="s">
        <v>2896</v>
      </c>
      <c r="D520" s="10" t="s">
        <v>2897</v>
      </c>
      <c r="E520" s="10" t="s">
        <v>2898</v>
      </c>
      <c r="F520" s="10" t="s">
        <v>1627</v>
      </c>
      <c r="G520" s="15">
        <v>73.650000000000006</v>
      </c>
      <c r="H520" t="s">
        <v>3028</v>
      </c>
    </row>
    <row r="521" spans="1:8" x14ac:dyDescent="0.25">
      <c r="A521" s="9" t="s">
        <v>1912</v>
      </c>
      <c r="B521" s="10" t="s">
        <v>1159</v>
      </c>
      <c r="C521" s="10" t="s">
        <v>2899</v>
      </c>
      <c r="D521" s="10" t="s">
        <v>2900</v>
      </c>
      <c r="E521" s="10" t="s">
        <v>2901</v>
      </c>
      <c r="F521" s="10" t="s">
        <v>1627</v>
      </c>
      <c r="G521" s="15">
        <v>19.14</v>
      </c>
      <c r="H521" t="s">
        <v>3028</v>
      </c>
    </row>
    <row r="522" spans="1:8" x14ac:dyDescent="0.25">
      <c r="A522" s="9" t="s">
        <v>1912</v>
      </c>
      <c r="B522" s="10" t="s">
        <v>1171</v>
      </c>
      <c r="C522" s="10" t="s">
        <v>2902</v>
      </c>
      <c r="D522" s="10" t="s">
        <v>2903</v>
      </c>
      <c r="E522" s="10" t="s">
        <v>2904</v>
      </c>
      <c r="F522" s="10" t="s">
        <v>1627</v>
      </c>
      <c r="G522" s="15">
        <v>73.650000000000006</v>
      </c>
      <c r="H522" t="s">
        <v>3028</v>
      </c>
    </row>
    <row r="523" spans="1:8" x14ac:dyDescent="0.25">
      <c r="A523" s="9" t="s">
        <v>1912</v>
      </c>
      <c r="B523" s="10" t="s">
        <v>1179</v>
      </c>
      <c r="C523" s="10" t="s">
        <v>3028</v>
      </c>
      <c r="D523" s="10" t="s">
        <v>2905</v>
      </c>
      <c r="E523" s="10" t="s">
        <v>2906</v>
      </c>
      <c r="F523" s="10" t="s">
        <v>1983</v>
      </c>
      <c r="G523" s="15">
        <v>73.650000000000006</v>
      </c>
      <c r="H523" t="s">
        <v>3028</v>
      </c>
    </row>
    <row r="524" spans="1:8" x14ac:dyDescent="0.25">
      <c r="A524" s="9" t="s">
        <v>1912</v>
      </c>
      <c r="B524" s="10" t="s">
        <v>1179</v>
      </c>
      <c r="C524" s="10" t="s">
        <v>3028</v>
      </c>
      <c r="D524" s="10" t="s">
        <v>2907</v>
      </c>
      <c r="E524" s="10" t="s">
        <v>2908</v>
      </c>
      <c r="F524" s="10" t="s">
        <v>1631</v>
      </c>
      <c r="G524" s="15">
        <v>73.650000000000006</v>
      </c>
      <c r="H524" t="s">
        <v>3028</v>
      </c>
    </row>
    <row r="525" spans="1:8" x14ac:dyDescent="0.25">
      <c r="A525" s="9" t="s">
        <v>1912</v>
      </c>
      <c r="B525" s="10" t="s">
        <v>1179</v>
      </c>
      <c r="C525" s="10" t="s">
        <v>2909</v>
      </c>
      <c r="D525" s="10" t="s">
        <v>2910</v>
      </c>
      <c r="E525" s="10" t="s">
        <v>2911</v>
      </c>
      <c r="F525" s="10" t="s">
        <v>1627</v>
      </c>
      <c r="G525" s="15">
        <v>73.650000000000006</v>
      </c>
      <c r="H525" t="s">
        <v>3028</v>
      </c>
    </row>
    <row r="526" spans="1:8" x14ac:dyDescent="0.25">
      <c r="A526" s="9" t="s">
        <v>1912</v>
      </c>
      <c r="B526" s="10" t="s">
        <v>1195</v>
      </c>
      <c r="C526" s="10" t="s">
        <v>2912</v>
      </c>
      <c r="D526" s="10" t="s">
        <v>2913</v>
      </c>
      <c r="E526" s="10" t="s">
        <v>2914</v>
      </c>
      <c r="F526" s="10" t="s">
        <v>1627</v>
      </c>
      <c r="G526" s="15">
        <v>54.51</v>
      </c>
      <c r="H526" t="s">
        <v>3028</v>
      </c>
    </row>
    <row r="527" spans="1:8" x14ac:dyDescent="0.25">
      <c r="A527" s="9" t="s">
        <v>1912</v>
      </c>
      <c r="B527" s="10" t="s">
        <v>1199</v>
      </c>
      <c r="C527" s="10" t="s">
        <v>3028</v>
      </c>
      <c r="D527" s="10" t="s">
        <v>2915</v>
      </c>
      <c r="E527" s="10" t="s">
        <v>2916</v>
      </c>
      <c r="F527" s="10" t="s">
        <v>1631</v>
      </c>
      <c r="G527" s="15">
        <v>73.650000000000006</v>
      </c>
      <c r="H527" t="s">
        <v>3028</v>
      </c>
    </row>
    <row r="528" spans="1:8" x14ac:dyDescent="0.25">
      <c r="A528" s="9" t="s">
        <v>1912</v>
      </c>
      <c r="B528" s="10" t="s">
        <v>1199</v>
      </c>
      <c r="C528" s="10" t="s">
        <v>3028</v>
      </c>
      <c r="D528" s="10" t="s">
        <v>2917</v>
      </c>
      <c r="E528" s="10" t="s">
        <v>2918</v>
      </c>
      <c r="F528" s="10" t="s">
        <v>1631</v>
      </c>
      <c r="G528" s="15">
        <v>73.650000000000006</v>
      </c>
      <c r="H528" t="s">
        <v>3028</v>
      </c>
    </row>
    <row r="529" spans="1:8" x14ac:dyDescent="0.25">
      <c r="A529" s="9" t="s">
        <v>1912</v>
      </c>
      <c r="B529" s="10" t="s">
        <v>1209</v>
      </c>
      <c r="C529" s="10" t="s">
        <v>1905</v>
      </c>
      <c r="D529" s="10" t="s">
        <v>1906</v>
      </c>
      <c r="E529" s="10" t="s">
        <v>1907</v>
      </c>
      <c r="F529" s="10" t="s">
        <v>1627</v>
      </c>
      <c r="G529" s="15">
        <v>1014.14</v>
      </c>
      <c r="H529" t="s">
        <v>3028</v>
      </c>
    </row>
    <row r="530" spans="1:8" x14ac:dyDescent="0.25">
      <c r="A530" s="9" t="s">
        <v>1912</v>
      </c>
      <c r="B530" s="10" t="s">
        <v>1221</v>
      </c>
      <c r="C530" s="10" t="s">
        <v>3028</v>
      </c>
      <c r="D530" s="10" t="s">
        <v>2919</v>
      </c>
      <c r="E530" s="10" t="s">
        <v>2920</v>
      </c>
      <c r="F530" s="10" t="s">
        <v>1631</v>
      </c>
      <c r="G530" s="15">
        <v>73.650000000000006</v>
      </c>
      <c r="H530" t="s">
        <v>3028</v>
      </c>
    </row>
    <row r="531" spans="1:8" x14ac:dyDescent="0.25">
      <c r="A531" s="9" t="s">
        <v>1912</v>
      </c>
      <c r="B531" s="10" t="s">
        <v>1221</v>
      </c>
      <c r="C531" s="10" t="s">
        <v>3028</v>
      </c>
      <c r="D531" s="10" t="s">
        <v>2919</v>
      </c>
      <c r="E531" s="10" t="s">
        <v>2921</v>
      </c>
      <c r="F531" s="10" t="s">
        <v>1631</v>
      </c>
      <c r="G531" s="15">
        <v>73.650000000000006</v>
      </c>
      <c r="H531" t="s">
        <v>3028</v>
      </c>
    </row>
    <row r="532" spans="1:8" x14ac:dyDescent="0.25">
      <c r="A532" s="9" t="s">
        <v>1912</v>
      </c>
      <c r="B532" s="10" t="s">
        <v>1221</v>
      </c>
      <c r="C532" s="10" t="s">
        <v>2922</v>
      </c>
      <c r="D532" s="10" t="s">
        <v>2923</v>
      </c>
      <c r="E532" s="10" t="s">
        <v>2924</v>
      </c>
      <c r="F532" s="10" t="s">
        <v>1627</v>
      </c>
      <c r="G532" s="15">
        <v>73.650000000000006</v>
      </c>
      <c r="H532" t="s">
        <v>3028</v>
      </c>
    </row>
    <row r="533" spans="1:8" x14ac:dyDescent="0.25">
      <c r="A533" s="9" t="s">
        <v>1912</v>
      </c>
      <c r="B533" s="10" t="s">
        <v>1221</v>
      </c>
      <c r="C533" s="10" t="s">
        <v>2925</v>
      </c>
      <c r="D533" s="10" t="s">
        <v>2926</v>
      </c>
      <c r="E533" s="10" t="s">
        <v>2927</v>
      </c>
      <c r="F533" s="10" t="s">
        <v>1983</v>
      </c>
      <c r="G533" s="15">
        <v>73.650000000000006</v>
      </c>
      <c r="H533" t="s">
        <v>3028</v>
      </c>
    </row>
    <row r="534" spans="1:8" x14ac:dyDescent="0.25">
      <c r="A534" s="9" t="s">
        <v>1912</v>
      </c>
      <c r="B534" s="10" t="s">
        <v>1233</v>
      </c>
      <c r="C534" s="10" t="s">
        <v>3028</v>
      </c>
      <c r="D534" s="10" t="s">
        <v>2928</v>
      </c>
      <c r="E534" s="10" t="s">
        <v>2929</v>
      </c>
      <c r="F534" s="10" t="s">
        <v>1631</v>
      </c>
      <c r="G534" s="15">
        <v>48.48</v>
      </c>
      <c r="H534" t="s">
        <v>3028</v>
      </c>
    </row>
    <row r="535" spans="1:8" x14ac:dyDescent="0.25">
      <c r="A535" s="9" t="s">
        <v>1912</v>
      </c>
      <c r="B535" s="10" t="s">
        <v>1233</v>
      </c>
      <c r="C535" s="10" t="s">
        <v>2930</v>
      </c>
      <c r="D535" s="10" t="s">
        <v>2931</v>
      </c>
      <c r="E535" s="10" t="s">
        <v>2932</v>
      </c>
      <c r="F535" s="10" t="s">
        <v>1627</v>
      </c>
      <c r="G535" s="15">
        <v>48.48</v>
      </c>
      <c r="H535" t="s">
        <v>3028</v>
      </c>
    </row>
    <row r="536" spans="1:8" x14ac:dyDescent="0.25">
      <c r="A536" s="9" t="s">
        <v>1912</v>
      </c>
      <c r="B536" s="10" t="s">
        <v>1265</v>
      </c>
      <c r="C536" s="10" t="s">
        <v>2933</v>
      </c>
      <c r="D536" s="10" t="s">
        <v>2934</v>
      </c>
      <c r="E536" s="10" t="s">
        <v>2935</v>
      </c>
      <c r="F536" s="10" t="s">
        <v>1627</v>
      </c>
      <c r="G536" s="15">
        <v>73.650000000000006</v>
      </c>
      <c r="H536" t="s">
        <v>3028</v>
      </c>
    </row>
    <row r="537" spans="1:8" x14ac:dyDescent="0.25">
      <c r="A537" s="9" t="s">
        <v>1912</v>
      </c>
      <c r="B537" s="10" t="s">
        <v>1271</v>
      </c>
      <c r="C537" s="10" t="s">
        <v>2936</v>
      </c>
      <c r="D537" s="10" t="s">
        <v>2937</v>
      </c>
      <c r="E537" s="10" t="s">
        <v>2938</v>
      </c>
      <c r="F537" s="10" t="s">
        <v>1627</v>
      </c>
      <c r="G537" s="15">
        <v>73.650000000000006</v>
      </c>
      <c r="H537" t="s">
        <v>3028</v>
      </c>
    </row>
    <row r="538" spans="1:8" x14ac:dyDescent="0.25">
      <c r="A538" s="9" t="s">
        <v>1912</v>
      </c>
      <c r="B538" s="10" t="s">
        <v>1275</v>
      </c>
      <c r="C538" s="10" t="s">
        <v>1273</v>
      </c>
      <c r="D538" s="10" t="s">
        <v>2939</v>
      </c>
      <c r="E538" s="10" t="s">
        <v>1274</v>
      </c>
      <c r="F538" s="10" t="s">
        <v>1627</v>
      </c>
      <c r="G538" s="15">
        <v>30.25</v>
      </c>
      <c r="H538" t="s">
        <v>3028</v>
      </c>
    </row>
    <row r="539" spans="1:8" x14ac:dyDescent="0.25">
      <c r="A539" s="9" t="s">
        <v>1912</v>
      </c>
      <c r="B539" s="10" t="s">
        <v>1277</v>
      </c>
      <c r="C539" s="10" t="s">
        <v>2940</v>
      </c>
      <c r="D539" s="10" t="s">
        <v>2941</v>
      </c>
      <c r="E539" s="10" t="s">
        <v>2942</v>
      </c>
      <c r="F539" s="10" t="s">
        <v>1627</v>
      </c>
      <c r="G539" s="15">
        <v>42.37</v>
      </c>
      <c r="H539" t="s">
        <v>3028</v>
      </c>
    </row>
    <row r="540" spans="1:8" x14ac:dyDescent="0.25">
      <c r="A540" s="9" t="s">
        <v>1912</v>
      </c>
      <c r="B540" s="10" t="s">
        <v>1283</v>
      </c>
      <c r="C540" s="10" t="s">
        <v>2943</v>
      </c>
      <c r="D540" s="10" t="s">
        <v>2944</v>
      </c>
      <c r="E540" s="10" t="s">
        <v>2945</v>
      </c>
      <c r="F540" s="10" t="s">
        <v>1627</v>
      </c>
      <c r="G540" s="15">
        <v>73.650000000000006</v>
      </c>
      <c r="H540" t="s">
        <v>3028</v>
      </c>
    </row>
    <row r="541" spans="1:8" x14ac:dyDescent="0.25">
      <c r="A541" s="9" t="s">
        <v>1912</v>
      </c>
      <c r="B541" s="10" t="s">
        <v>1297</v>
      </c>
      <c r="C541" s="10" t="s">
        <v>3028</v>
      </c>
      <c r="D541" s="10" t="s">
        <v>2946</v>
      </c>
      <c r="E541" s="10" t="s">
        <v>2947</v>
      </c>
      <c r="F541" s="10" t="s">
        <v>1631</v>
      </c>
      <c r="G541" s="15">
        <v>19.14</v>
      </c>
      <c r="H541" t="s">
        <v>3028</v>
      </c>
    </row>
    <row r="542" spans="1:8" x14ac:dyDescent="0.25">
      <c r="A542" s="9" t="s">
        <v>1912</v>
      </c>
      <c r="B542" s="10" t="s">
        <v>1297</v>
      </c>
      <c r="C542" s="10" t="s">
        <v>3028</v>
      </c>
      <c r="D542" s="10" t="s">
        <v>2946</v>
      </c>
      <c r="E542" s="10" t="s">
        <v>2948</v>
      </c>
      <c r="F542" s="10" t="s">
        <v>1631</v>
      </c>
      <c r="G542" s="15">
        <v>19.14</v>
      </c>
      <c r="H542" t="s">
        <v>3028</v>
      </c>
    </row>
    <row r="543" spans="1:8" x14ac:dyDescent="0.25">
      <c r="A543" s="9" t="s">
        <v>1912</v>
      </c>
      <c r="B543" s="10" t="s">
        <v>1297</v>
      </c>
      <c r="C543" s="10" t="s">
        <v>2949</v>
      </c>
      <c r="D543" s="10" t="s">
        <v>2950</v>
      </c>
      <c r="E543" s="10" t="s">
        <v>2951</v>
      </c>
      <c r="F543" s="10" t="s">
        <v>1627</v>
      </c>
      <c r="G543" s="15">
        <v>19.14</v>
      </c>
      <c r="H543" t="s">
        <v>3028</v>
      </c>
    </row>
    <row r="544" spans="1:8" x14ac:dyDescent="0.25">
      <c r="A544" s="9" t="s">
        <v>1912</v>
      </c>
      <c r="B544" s="10" t="s">
        <v>1312</v>
      </c>
      <c r="C544" s="10" t="s">
        <v>2952</v>
      </c>
      <c r="D544" s="10" t="s">
        <v>2953</v>
      </c>
      <c r="E544" s="10" t="s">
        <v>2954</v>
      </c>
      <c r="F544" s="10" t="s">
        <v>1627</v>
      </c>
      <c r="G544" s="15">
        <v>73.650000000000006</v>
      </c>
      <c r="H544" t="s">
        <v>3028</v>
      </c>
    </row>
    <row r="545" spans="1:8" x14ac:dyDescent="0.25">
      <c r="A545" s="9" t="s">
        <v>1912</v>
      </c>
      <c r="B545" s="10" t="s">
        <v>1334</v>
      </c>
      <c r="C545" s="10" t="s">
        <v>2955</v>
      </c>
      <c r="D545" s="10" t="s">
        <v>2956</v>
      </c>
      <c r="E545" s="10" t="s">
        <v>2957</v>
      </c>
      <c r="F545" s="10" t="s">
        <v>1627</v>
      </c>
      <c r="G545" s="15">
        <v>19.14</v>
      </c>
      <c r="H545" t="s">
        <v>3028</v>
      </c>
    </row>
    <row r="546" spans="1:8" x14ac:dyDescent="0.25">
      <c r="A546" s="9" t="s">
        <v>1912</v>
      </c>
      <c r="B546" s="10" t="s">
        <v>1340</v>
      </c>
      <c r="C546" s="10" t="s">
        <v>2958</v>
      </c>
      <c r="D546" s="10" t="s">
        <v>2959</v>
      </c>
      <c r="E546" s="10" t="s">
        <v>2960</v>
      </c>
      <c r="F546" s="10" t="s">
        <v>1627</v>
      </c>
      <c r="G546" s="15">
        <v>250.39</v>
      </c>
      <c r="H546" t="s">
        <v>3028</v>
      </c>
    </row>
    <row r="547" spans="1:8" x14ac:dyDescent="0.25">
      <c r="A547" s="9" t="s">
        <v>1912</v>
      </c>
      <c r="B547" s="10" t="s">
        <v>1346</v>
      </c>
      <c r="C547" s="10" t="s">
        <v>2961</v>
      </c>
      <c r="D547" s="10" t="s">
        <v>2962</v>
      </c>
      <c r="E547" s="10" t="s">
        <v>2963</v>
      </c>
      <c r="F547" s="10" t="s">
        <v>1627</v>
      </c>
      <c r="G547" s="15">
        <v>73.650000000000006</v>
      </c>
      <c r="H547" t="s">
        <v>3028</v>
      </c>
    </row>
    <row r="548" spans="1:8" x14ac:dyDescent="0.25">
      <c r="A548" s="9" t="s">
        <v>1912</v>
      </c>
      <c r="B548" s="10" t="s">
        <v>1357</v>
      </c>
      <c r="C548" s="10" t="s">
        <v>2964</v>
      </c>
      <c r="D548" s="10" t="s">
        <v>2965</v>
      </c>
      <c r="E548" s="10" t="s">
        <v>2966</v>
      </c>
      <c r="F548" s="10" t="s">
        <v>1627</v>
      </c>
      <c r="G548" s="15">
        <v>930.69</v>
      </c>
      <c r="H548" t="s">
        <v>3028</v>
      </c>
    </row>
    <row r="549" spans="1:8" x14ac:dyDescent="0.25">
      <c r="A549" s="9" t="s">
        <v>1912</v>
      </c>
      <c r="B549" s="10" t="s">
        <v>1363</v>
      </c>
      <c r="C549" s="10" t="s">
        <v>3028</v>
      </c>
      <c r="D549" s="10" t="s">
        <v>2967</v>
      </c>
      <c r="E549" s="10" t="s">
        <v>2968</v>
      </c>
      <c r="F549" s="10" t="s">
        <v>1631</v>
      </c>
      <c r="G549" s="15">
        <v>24.2</v>
      </c>
      <c r="H549" t="s">
        <v>3028</v>
      </c>
    </row>
    <row r="550" spans="1:8" x14ac:dyDescent="0.25">
      <c r="A550" s="9" t="s">
        <v>1912</v>
      </c>
      <c r="B550" s="10" t="s">
        <v>1363</v>
      </c>
      <c r="C550" s="10" t="s">
        <v>2969</v>
      </c>
      <c r="D550" s="10" t="s">
        <v>2970</v>
      </c>
      <c r="E550" s="10" t="s">
        <v>2971</v>
      </c>
      <c r="F550" s="10" t="s">
        <v>1627</v>
      </c>
      <c r="G550" s="15">
        <v>24.2</v>
      </c>
      <c r="H550" t="s">
        <v>3028</v>
      </c>
    </row>
    <row r="551" spans="1:8" x14ac:dyDescent="0.25">
      <c r="A551" s="9" t="s">
        <v>1912</v>
      </c>
      <c r="B551" s="10" t="s">
        <v>1367</v>
      </c>
      <c r="C551" s="10" t="s">
        <v>3028</v>
      </c>
      <c r="D551" s="10" t="s">
        <v>2972</v>
      </c>
      <c r="E551" s="10" t="s">
        <v>2973</v>
      </c>
      <c r="F551" s="10" t="s">
        <v>1631</v>
      </c>
      <c r="G551" s="15">
        <v>73.650000000000006</v>
      </c>
      <c r="H551" t="s">
        <v>3028</v>
      </c>
    </row>
    <row r="552" spans="1:8" x14ac:dyDescent="0.25">
      <c r="A552" s="9" t="s">
        <v>1912</v>
      </c>
      <c r="B552" s="10" t="s">
        <v>1367</v>
      </c>
      <c r="C552" s="10" t="s">
        <v>2974</v>
      </c>
      <c r="D552" s="10" t="s">
        <v>2975</v>
      </c>
      <c r="E552" s="10" t="s">
        <v>2976</v>
      </c>
      <c r="F552" s="10" t="s">
        <v>1627</v>
      </c>
      <c r="G552" s="15">
        <v>73.650000000000006</v>
      </c>
      <c r="H552" t="s">
        <v>3028</v>
      </c>
    </row>
    <row r="553" spans="1:8" x14ac:dyDescent="0.25">
      <c r="A553" s="9" t="s">
        <v>1912</v>
      </c>
      <c r="B553" s="10" t="s">
        <v>1391</v>
      </c>
      <c r="C553" s="10" t="s">
        <v>2977</v>
      </c>
      <c r="D553" s="10" t="s">
        <v>2978</v>
      </c>
      <c r="E553" s="10" t="s">
        <v>2979</v>
      </c>
      <c r="F553" s="10" t="s">
        <v>1627</v>
      </c>
      <c r="G553" s="15">
        <v>73.650000000000006</v>
      </c>
      <c r="H553" t="s">
        <v>3028</v>
      </c>
    </row>
    <row r="554" spans="1:8" x14ac:dyDescent="0.25">
      <c r="A554" s="9" t="s">
        <v>1912</v>
      </c>
      <c r="B554" s="10" t="s">
        <v>1462</v>
      </c>
      <c r="C554" s="10" t="s">
        <v>2980</v>
      </c>
      <c r="D554" s="10" t="s">
        <v>2981</v>
      </c>
      <c r="E554" s="10" t="s">
        <v>2982</v>
      </c>
      <c r="F554" s="10" t="s">
        <v>1627</v>
      </c>
      <c r="G554" s="15">
        <v>73.650000000000006</v>
      </c>
      <c r="H554" t="s">
        <v>3028</v>
      </c>
    </row>
    <row r="555" spans="1:8" x14ac:dyDescent="0.25">
      <c r="A555" s="9" t="s">
        <v>1912</v>
      </c>
      <c r="B555" s="10" t="s">
        <v>1496</v>
      </c>
      <c r="C555" s="10" t="s">
        <v>2983</v>
      </c>
      <c r="D555" s="10" t="s">
        <v>2984</v>
      </c>
      <c r="E555" s="10" t="s">
        <v>2985</v>
      </c>
      <c r="F555" s="10" t="s">
        <v>1627</v>
      </c>
      <c r="G555" s="15">
        <v>43.4</v>
      </c>
      <c r="H555" t="s">
        <v>3028</v>
      </c>
    </row>
    <row r="556" spans="1:8" x14ac:dyDescent="0.25">
      <c r="A556" s="9" t="s">
        <v>1912</v>
      </c>
      <c r="B556" s="10" t="s">
        <v>1552</v>
      </c>
      <c r="C556" s="10" t="s">
        <v>1869</v>
      </c>
      <c r="D556" s="10" t="s">
        <v>1870</v>
      </c>
      <c r="E556" s="10" t="s">
        <v>1871</v>
      </c>
      <c r="F556" s="10" t="s">
        <v>1631</v>
      </c>
      <c r="G556" s="15">
        <v>54.51</v>
      </c>
      <c r="H556" t="s">
        <v>3028</v>
      </c>
    </row>
    <row r="557" spans="1:8" x14ac:dyDescent="0.25">
      <c r="A557" s="9" t="s">
        <v>1912</v>
      </c>
      <c r="B557" s="10" t="s">
        <v>1558</v>
      </c>
      <c r="C557" s="10" t="s">
        <v>1876</v>
      </c>
      <c r="D557" s="10" t="s">
        <v>1877</v>
      </c>
      <c r="E557" s="10" t="s">
        <v>1878</v>
      </c>
      <c r="F557" s="10" t="s">
        <v>1631</v>
      </c>
      <c r="G557" s="15">
        <v>73.650000000000006</v>
      </c>
      <c r="H557" t="s">
        <v>3028</v>
      </c>
    </row>
    <row r="558" spans="1:8" x14ac:dyDescent="0.25">
      <c r="A558" s="9" t="s">
        <v>1912</v>
      </c>
      <c r="B558" s="10" t="s">
        <v>1558</v>
      </c>
      <c r="C558" s="10" t="s">
        <v>1879</v>
      </c>
      <c r="D558" s="10" t="s">
        <v>1880</v>
      </c>
      <c r="E558" s="10" t="s">
        <v>1881</v>
      </c>
      <c r="F558" s="10" t="s">
        <v>1627</v>
      </c>
      <c r="G558" s="15">
        <v>73.650000000000006</v>
      </c>
      <c r="H558" t="s">
        <v>3028</v>
      </c>
    </row>
    <row r="559" spans="1:8" x14ac:dyDescent="0.25">
      <c r="A559" s="9" t="s">
        <v>1912</v>
      </c>
      <c r="B559" s="10" t="s">
        <v>1560</v>
      </c>
      <c r="C559" s="10" t="s">
        <v>2986</v>
      </c>
      <c r="D559" s="10" t="s">
        <v>2987</v>
      </c>
      <c r="E559" s="10" t="s">
        <v>2988</v>
      </c>
      <c r="F559" s="10" t="s">
        <v>1631</v>
      </c>
      <c r="G559" s="15">
        <v>73.650000000000006</v>
      </c>
      <c r="H559" t="s">
        <v>3028</v>
      </c>
    </row>
    <row r="560" spans="1:8" x14ac:dyDescent="0.25">
      <c r="A560" s="9" t="s">
        <v>1912</v>
      </c>
      <c r="B560" s="10" t="s">
        <v>1560</v>
      </c>
      <c r="C560" s="10" t="s">
        <v>2989</v>
      </c>
      <c r="D560" s="10" t="s">
        <v>2990</v>
      </c>
      <c r="E560" s="10" t="s">
        <v>2991</v>
      </c>
      <c r="F560" s="10" t="s">
        <v>1631</v>
      </c>
      <c r="G560" s="15">
        <v>73.650000000000006</v>
      </c>
      <c r="H560" t="s">
        <v>3028</v>
      </c>
    </row>
    <row r="561" spans="1:8" x14ac:dyDescent="0.25">
      <c r="A561" s="9" t="s">
        <v>1912</v>
      </c>
      <c r="B561" s="10" t="s">
        <v>1560</v>
      </c>
      <c r="C561" s="10" t="s">
        <v>2992</v>
      </c>
      <c r="D561" s="10" t="s">
        <v>2993</v>
      </c>
      <c r="E561" s="10" t="s">
        <v>2994</v>
      </c>
      <c r="F561" s="10" t="s">
        <v>1627</v>
      </c>
      <c r="G561" s="15">
        <v>73.650000000000006</v>
      </c>
      <c r="H561" t="s">
        <v>3028</v>
      </c>
    </row>
    <row r="562" spans="1:8" x14ac:dyDescent="0.25">
      <c r="A562" s="9" t="s">
        <v>1912</v>
      </c>
      <c r="B562" s="10" t="s">
        <v>1570</v>
      </c>
      <c r="C562" s="10" t="s">
        <v>2995</v>
      </c>
      <c r="D562" s="10" t="s">
        <v>2996</v>
      </c>
      <c r="E562" s="10" t="s">
        <v>2997</v>
      </c>
      <c r="F562" s="10" t="s">
        <v>1631</v>
      </c>
      <c r="G562" s="15">
        <v>43.4</v>
      </c>
      <c r="H562" t="s">
        <v>3028</v>
      </c>
    </row>
    <row r="563" spans="1:8" x14ac:dyDescent="0.25">
      <c r="A563" s="9" t="s">
        <v>1912</v>
      </c>
      <c r="B563" s="10" t="s">
        <v>1572</v>
      </c>
      <c r="C563" s="10" t="s">
        <v>2998</v>
      </c>
      <c r="D563" s="10" t="s">
        <v>2999</v>
      </c>
      <c r="E563" s="10" t="s">
        <v>3000</v>
      </c>
      <c r="F563" s="10" t="s">
        <v>1627</v>
      </c>
      <c r="G563" s="15">
        <v>73.650000000000006</v>
      </c>
      <c r="H563" t="s">
        <v>3028</v>
      </c>
    </row>
    <row r="564" spans="1:8" x14ac:dyDescent="0.25">
      <c r="A564" s="9" t="s">
        <v>1912</v>
      </c>
      <c r="B564" s="10" t="s">
        <v>1574</v>
      </c>
      <c r="C564" s="10" t="s">
        <v>3028</v>
      </c>
      <c r="D564" s="10" t="s">
        <v>3001</v>
      </c>
      <c r="E564" s="10" t="s">
        <v>3002</v>
      </c>
      <c r="F564" s="10" t="s">
        <v>1631</v>
      </c>
      <c r="G564" s="15">
        <v>73.650000000000006</v>
      </c>
      <c r="H564" t="s">
        <v>3028</v>
      </c>
    </row>
    <row r="565" spans="1:8" x14ac:dyDescent="0.25">
      <c r="A565" s="9" t="s">
        <v>1912</v>
      </c>
      <c r="B565" s="10" t="s">
        <v>1574</v>
      </c>
      <c r="C565" s="10" t="s">
        <v>3003</v>
      </c>
      <c r="D565" s="10" t="s">
        <v>3004</v>
      </c>
      <c r="E565" s="10" t="s">
        <v>3005</v>
      </c>
      <c r="F565" s="10" t="s">
        <v>1627</v>
      </c>
      <c r="G565" s="15">
        <v>73.650000000000006</v>
      </c>
      <c r="H565" t="s">
        <v>3028</v>
      </c>
    </row>
    <row r="566" spans="1:8" x14ac:dyDescent="0.25">
      <c r="A566" s="9" t="s">
        <v>1912</v>
      </c>
      <c r="B566" s="10" t="s">
        <v>1592</v>
      </c>
      <c r="C566" s="10" t="s">
        <v>3006</v>
      </c>
      <c r="D566" s="10" t="s">
        <v>3007</v>
      </c>
      <c r="E566" s="10" t="s">
        <v>3008</v>
      </c>
      <c r="F566" s="10" t="s">
        <v>1627</v>
      </c>
      <c r="G566" s="15">
        <v>73.650000000000006</v>
      </c>
      <c r="H566" t="s">
        <v>3028</v>
      </c>
    </row>
    <row r="567" spans="1:8" x14ac:dyDescent="0.25">
      <c r="A567" s="9" t="s">
        <v>1912</v>
      </c>
      <c r="B567" s="10" t="s">
        <v>1592</v>
      </c>
      <c r="C567" s="10" t="s">
        <v>3009</v>
      </c>
      <c r="D567" s="10" t="s">
        <v>3010</v>
      </c>
      <c r="E567" s="10" t="s">
        <v>3011</v>
      </c>
      <c r="F567" s="10" t="s">
        <v>1631</v>
      </c>
      <c r="G567" s="15">
        <v>73.650000000000006</v>
      </c>
      <c r="H567" t="s">
        <v>3028</v>
      </c>
    </row>
    <row r="568" spans="1:8" x14ac:dyDescent="0.25">
      <c r="A568" s="9" t="s">
        <v>1912</v>
      </c>
      <c r="B568" s="10" t="s">
        <v>1592</v>
      </c>
      <c r="C568" s="10" t="s">
        <v>3012</v>
      </c>
      <c r="D568" s="10" t="s">
        <v>3013</v>
      </c>
      <c r="E568" s="10" t="s">
        <v>3014</v>
      </c>
      <c r="F568" s="10" t="s">
        <v>1631</v>
      </c>
      <c r="G568" s="15">
        <v>73.650000000000006</v>
      </c>
      <c r="H568" t="s">
        <v>3028</v>
      </c>
    </row>
    <row r="569" spans="1:8" x14ac:dyDescent="0.25">
      <c r="A569" s="9" t="s">
        <v>1912</v>
      </c>
      <c r="B569" s="10" t="s">
        <v>1598</v>
      </c>
      <c r="C569" s="10" t="s">
        <v>3028</v>
      </c>
      <c r="D569" s="10" t="s">
        <v>3015</v>
      </c>
      <c r="E569" s="10" t="s">
        <v>3016</v>
      </c>
      <c r="F569" s="10" t="s">
        <v>1631</v>
      </c>
      <c r="G569" s="15">
        <v>73.650000000000006</v>
      </c>
      <c r="H569" t="s">
        <v>3028</v>
      </c>
    </row>
    <row r="570" spans="1:8" x14ac:dyDescent="0.25">
      <c r="A570" s="9" t="s">
        <v>1912</v>
      </c>
      <c r="B570" s="10" t="s">
        <v>1598</v>
      </c>
      <c r="C570" s="10" t="s">
        <v>3017</v>
      </c>
      <c r="D570" s="10" t="s">
        <v>3018</v>
      </c>
      <c r="E570" s="10" t="s">
        <v>3019</v>
      </c>
      <c r="F570" s="10" t="s">
        <v>1627</v>
      </c>
      <c r="G570" s="15">
        <v>73.650000000000006</v>
      </c>
      <c r="H570" t="s">
        <v>3028</v>
      </c>
    </row>
    <row r="571" spans="1:8" x14ac:dyDescent="0.25">
      <c r="A571" s="9" t="s">
        <v>1912</v>
      </c>
      <c r="B571" s="10" t="s">
        <v>1600</v>
      </c>
      <c r="C571" s="10" t="s">
        <v>1602</v>
      </c>
      <c r="D571" s="10" t="s">
        <v>1603</v>
      </c>
      <c r="E571" s="10" t="s">
        <v>1604</v>
      </c>
      <c r="F571" s="10" t="s">
        <v>1631</v>
      </c>
      <c r="G571" s="15">
        <v>73.650000000000006</v>
      </c>
      <c r="H571" t="s">
        <v>3028</v>
      </c>
    </row>
    <row r="572" spans="1:8" x14ac:dyDescent="0.25">
      <c r="A572" s="9" t="s">
        <v>1912</v>
      </c>
      <c r="B572" s="10" t="s">
        <v>1600</v>
      </c>
      <c r="C572" s="10" t="s">
        <v>3020</v>
      </c>
      <c r="D572" s="10" t="s">
        <v>3021</v>
      </c>
      <c r="E572" s="10" t="s">
        <v>3022</v>
      </c>
      <c r="F572" s="10" t="s">
        <v>1627</v>
      </c>
      <c r="G572" s="15">
        <v>73.650000000000006</v>
      </c>
      <c r="H572" t="s">
        <v>3028</v>
      </c>
    </row>
    <row r="573" spans="1:8" x14ac:dyDescent="0.25">
      <c r="A573" s="9" t="s">
        <v>1912</v>
      </c>
      <c r="B573" s="10" t="s">
        <v>1607</v>
      </c>
      <c r="C573" s="10" t="s">
        <v>3023</v>
      </c>
      <c r="D573" s="10" t="s">
        <v>3024</v>
      </c>
      <c r="E573" s="10" t="s">
        <v>3025</v>
      </c>
      <c r="F573" s="10" t="s">
        <v>1627</v>
      </c>
      <c r="G573" s="15">
        <v>465.77</v>
      </c>
      <c r="H573" t="s">
        <v>3028</v>
      </c>
    </row>
    <row r="574" spans="1:8" x14ac:dyDescent="0.25">
      <c r="A574" s="9" t="s">
        <v>1912</v>
      </c>
      <c r="B574" s="10" t="s">
        <v>1613</v>
      </c>
      <c r="C574" s="10" t="s">
        <v>3028</v>
      </c>
      <c r="D574" s="10" t="s">
        <v>3026</v>
      </c>
      <c r="E574" s="10" t="s">
        <v>3027</v>
      </c>
      <c r="F574" s="10" t="s">
        <v>1631</v>
      </c>
      <c r="G574" s="15">
        <v>73.650000000000006</v>
      </c>
      <c r="H574" t="s">
        <v>3028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E983"/>
  <sheetViews>
    <sheetView workbookViewId="0">
      <selection activeCell="D3" sqref="D3"/>
    </sheetView>
  </sheetViews>
  <sheetFormatPr defaultRowHeight="15" x14ac:dyDescent="0.25"/>
  <cols>
    <col min="1" max="1" width="9" style="9" customWidth="1"/>
    <col min="2" max="2" width="19.375" style="10" customWidth="1"/>
    <col min="3" max="3" width="37.875" style="9" customWidth="1"/>
    <col min="4" max="4" width="12.125" style="15" bestFit="1" customWidth="1"/>
    <col min="5" max="5" width="13.25" style="13" customWidth="1"/>
  </cols>
  <sheetData>
    <row r="1" spans="1:5" ht="47.85" customHeight="1" x14ac:dyDescent="0.25">
      <c r="A1" s="21" t="s">
        <v>61</v>
      </c>
      <c r="B1" s="22"/>
      <c r="C1" s="22"/>
      <c r="D1" s="22"/>
      <c r="E1"/>
    </row>
    <row r="2" spans="1:5" ht="24" x14ac:dyDescent="0.25">
      <c r="A2" s="12" t="s">
        <v>70</v>
      </c>
      <c r="B2" s="12" t="s">
        <v>62</v>
      </c>
      <c r="C2" s="12" t="s">
        <v>23</v>
      </c>
      <c r="D2" s="17" t="str">
        <f>CONCATENATE("Valor pago no Ano",CHAR(10),"TOTAL: ",ROUND(SUM(D3:D1048576),2))</f>
        <v>Valor pago no Ano
TOTAL: 229096,65</v>
      </c>
    </row>
    <row r="3" spans="1:5" x14ac:dyDescent="0.25">
      <c r="A3" s="9" t="s">
        <v>1622</v>
      </c>
      <c r="B3" s="10" t="s">
        <v>109</v>
      </c>
      <c r="C3" s="9" t="s">
        <v>110</v>
      </c>
      <c r="D3" s="15">
        <v>131.49</v>
      </c>
      <c r="E3" s="13" t="s">
        <v>3028</v>
      </c>
    </row>
    <row r="4" spans="1:5" x14ac:dyDescent="0.25">
      <c r="A4" s="9" t="s">
        <v>1622</v>
      </c>
      <c r="B4" s="10" t="s">
        <v>115</v>
      </c>
      <c r="C4" s="9" t="s">
        <v>116</v>
      </c>
      <c r="D4" s="15">
        <v>418.02</v>
      </c>
      <c r="E4" s="13" t="s">
        <v>3028</v>
      </c>
    </row>
    <row r="5" spans="1:5" x14ac:dyDescent="0.25">
      <c r="A5" s="9" t="s">
        <v>1622</v>
      </c>
      <c r="B5" s="10" t="s">
        <v>123</v>
      </c>
      <c r="C5" s="9" t="s">
        <v>124</v>
      </c>
      <c r="D5" s="15">
        <v>487.69</v>
      </c>
      <c r="E5" s="13" t="s">
        <v>3028</v>
      </c>
    </row>
    <row r="6" spans="1:5" x14ac:dyDescent="0.25">
      <c r="A6" s="9" t="s">
        <v>1622</v>
      </c>
      <c r="B6" s="10" t="s">
        <v>137</v>
      </c>
      <c r="C6" s="9" t="s">
        <v>138</v>
      </c>
      <c r="D6" s="15">
        <v>836.04</v>
      </c>
      <c r="E6" s="13" t="s">
        <v>3028</v>
      </c>
    </row>
    <row r="7" spans="1:5" x14ac:dyDescent="0.25">
      <c r="A7" s="9" t="s">
        <v>1622</v>
      </c>
      <c r="B7" s="10" t="s">
        <v>157</v>
      </c>
      <c r="C7" s="9" t="s">
        <v>158</v>
      </c>
      <c r="D7" s="15">
        <v>315.06</v>
      </c>
      <c r="E7" s="13" t="s">
        <v>3028</v>
      </c>
    </row>
    <row r="8" spans="1:5" x14ac:dyDescent="0.25">
      <c r="A8" s="9" t="s">
        <v>1622</v>
      </c>
      <c r="B8" s="10" t="s">
        <v>172</v>
      </c>
      <c r="C8" s="9" t="s">
        <v>173</v>
      </c>
      <c r="D8" s="15">
        <v>348.35</v>
      </c>
      <c r="E8" s="13" t="s">
        <v>3028</v>
      </c>
    </row>
    <row r="9" spans="1:5" x14ac:dyDescent="0.25">
      <c r="A9" s="9" t="s">
        <v>1622</v>
      </c>
      <c r="B9" s="10" t="s">
        <v>184</v>
      </c>
      <c r="C9" s="9" t="s">
        <v>185</v>
      </c>
      <c r="D9" s="15">
        <v>836.04</v>
      </c>
      <c r="E9" s="13" t="s">
        <v>3028</v>
      </c>
    </row>
    <row r="10" spans="1:5" x14ac:dyDescent="0.25">
      <c r="A10" s="9" t="s">
        <v>1622</v>
      </c>
      <c r="B10" s="10" t="s">
        <v>206</v>
      </c>
      <c r="C10" s="9" t="s">
        <v>207</v>
      </c>
      <c r="D10" s="15">
        <v>557.36</v>
      </c>
      <c r="E10" s="13" t="s">
        <v>3028</v>
      </c>
    </row>
    <row r="11" spans="1:5" x14ac:dyDescent="0.25">
      <c r="A11" s="9" t="s">
        <v>1622</v>
      </c>
      <c r="B11" s="10" t="s">
        <v>228</v>
      </c>
      <c r="C11" s="9" t="s">
        <v>229</v>
      </c>
      <c r="D11" s="15">
        <v>836.04</v>
      </c>
      <c r="E11" s="13" t="s">
        <v>3028</v>
      </c>
    </row>
    <row r="12" spans="1:5" x14ac:dyDescent="0.25">
      <c r="A12" s="9" t="s">
        <v>1622</v>
      </c>
      <c r="B12" s="10" t="s">
        <v>238</v>
      </c>
      <c r="C12" s="9" t="s">
        <v>239</v>
      </c>
      <c r="D12" s="15">
        <v>836.04</v>
      </c>
      <c r="E12" s="13" t="s">
        <v>3028</v>
      </c>
    </row>
    <row r="13" spans="1:5" x14ac:dyDescent="0.25">
      <c r="A13" s="9" t="s">
        <v>1622</v>
      </c>
      <c r="B13" s="10" t="s">
        <v>246</v>
      </c>
      <c r="C13" s="9" t="s">
        <v>247</v>
      </c>
      <c r="D13" s="15">
        <v>836.04</v>
      </c>
      <c r="E13" s="13" t="s">
        <v>3028</v>
      </c>
    </row>
    <row r="14" spans="1:5" x14ac:dyDescent="0.25">
      <c r="A14" s="9" t="s">
        <v>1622</v>
      </c>
      <c r="B14" s="10" t="s">
        <v>260</v>
      </c>
      <c r="C14" s="9" t="s">
        <v>261</v>
      </c>
      <c r="D14" s="15">
        <v>278.68</v>
      </c>
      <c r="E14" s="13" t="s">
        <v>3028</v>
      </c>
    </row>
    <row r="15" spans="1:5" x14ac:dyDescent="0.25">
      <c r="A15" s="9" t="s">
        <v>1622</v>
      </c>
      <c r="B15" s="10" t="s">
        <v>270</v>
      </c>
      <c r="C15" s="9" t="s">
        <v>271</v>
      </c>
      <c r="D15" s="15">
        <v>836.04</v>
      </c>
      <c r="E15" s="13" t="s">
        <v>3028</v>
      </c>
    </row>
    <row r="16" spans="1:5" x14ac:dyDescent="0.25">
      <c r="A16" s="9" t="s">
        <v>1622</v>
      </c>
      <c r="B16" s="10" t="s">
        <v>272</v>
      </c>
      <c r="C16" s="9" t="s">
        <v>273</v>
      </c>
      <c r="D16" s="15">
        <v>836.04</v>
      </c>
      <c r="E16" s="13" t="s">
        <v>3028</v>
      </c>
    </row>
    <row r="17" spans="1:5" x14ac:dyDescent="0.25">
      <c r="A17" s="9" t="s">
        <v>1622</v>
      </c>
      <c r="B17" s="10" t="s">
        <v>278</v>
      </c>
      <c r="C17" s="9" t="s">
        <v>279</v>
      </c>
      <c r="D17" s="15">
        <v>836.04</v>
      </c>
      <c r="E17" s="13" t="s">
        <v>3028</v>
      </c>
    </row>
    <row r="18" spans="1:5" x14ac:dyDescent="0.25">
      <c r="A18" s="9" t="s">
        <v>1622</v>
      </c>
      <c r="B18" s="10" t="s">
        <v>284</v>
      </c>
      <c r="C18" s="9" t="s">
        <v>285</v>
      </c>
      <c r="D18" s="15">
        <v>836.04</v>
      </c>
      <c r="E18" s="13" t="s">
        <v>3028</v>
      </c>
    </row>
    <row r="19" spans="1:5" x14ac:dyDescent="0.25">
      <c r="A19" s="9" t="s">
        <v>1622</v>
      </c>
      <c r="B19" s="10" t="s">
        <v>300</v>
      </c>
      <c r="C19" s="9" t="s">
        <v>301</v>
      </c>
      <c r="D19" s="15">
        <v>836.04</v>
      </c>
      <c r="E19" s="13" t="s">
        <v>3028</v>
      </c>
    </row>
    <row r="20" spans="1:5" x14ac:dyDescent="0.25">
      <c r="A20" s="9" t="s">
        <v>1622</v>
      </c>
      <c r="B20" s="10" t="s">
        <v>312</v>
      </c>
      <c r="C20" s="9" t="s">
        <v>313</v>
      </c>
      <c r="D20" s="15">
        <v>836.04</v>
      </c>
      <c r="E20" s="13" t="s">
        <v>3028</v>
      </c>
    </row>
    <row r="21" spans="1:5" x14ac:dyDescent="0.25">
      <c r="A21" s="9" t="s">
        <v>1622</v>
      </c>
      <c r="B21" s="10" t="s">
        <v>322</v>
      </c>
      <c r="C21" s="9" t="s">
        <v>323</v>
      </c>
      <c r="D21" s="15">
        <v>836.04</v>
      </c>
      <c r="E21" s="13" t="s">
        <v>3028</v>
      </c>
    </row>
    <row r="22" spans="1:5" x14ac:dyDescent="0.25">
      <c r="A22" s="9" t="s">
        <v>1622</v>
      </c>
      <c r="B22" s="10" t="s">
        <v>324</v>
      </c>
      <c r="C22" s="9" t="s">
        <v>325</v>
      </c>
      <c r="D22" s="15">
        <v>147.97</v>
      </c>
      <c r="E22" s="13" t="s">
        <v>3028</v>
      </c>
    </row>
    <row r="23" spans="1:5" x14ac:dyDescent="0.25">
      <c r="A23" s="9" t="s">
        <v>1622</v>
      </c>
      <c r="B23" s="10" t="s">
        <v>338</v>
      </c>
      <c r="C23" s="9" t="s">
        <v>339</v>
      </c>
      <c r="D23" s="15">
        <v>836.04</v>
      </c>
      <c r="E23" s="13" t="s">
        <v>3028</v>
      </c>
    </row>
    <row r="24" spans="1:5" x14ac:dyDescent="0.25">
      <c r="A24" s="9" t="s">
        <v>1622</v>
      </c>
      <c r="B24" s="10" t="s">
        <v>350</v>
      </c>
      <c r="C24" s="9" t="s">
        <v>351</v>
      </c>
      <c r="D24" s="15">
        <v>836.04</v>
      </c>
      <c r="E24" s="13" t="s">
        <v>3028</v>
      </c>
    </row>
    <row r="25" spans="1:5" x14ac:dyDescent="0.25">
      <c r="A25" s="9" t="s">
        <v>1622</v>
      </c>
      <c r="B25" s="10" t="s">
        <v>404</v>
      </c>
      <c r="C25" s="9" t="s">
        <v>405</v>
      </c>
      <c r="D25" s="15">
        <v>836.04</v>
      </c>
      <c r="E25" s="13" t="s">
        <v>3028</v>
      </c>
    </row>
    <row r="26" spans="1:5" x14ac:dyDescent="0.25">
      <c r="A26" s="9" t="s">
        <v>1622</v>
      </c>
      <c r="B26" s="10" t="s">
        <v>426</v>
      </c>
      <c r="C26" s="9" t="s">
        <v>427</v>
      </c>
      <c r="D26" s="15">
        <v>836.04</v>
      </c>
      <c r="E26" s="13" t="s">
        <v>3028</v>
      </c>
    </row>
    <row r="27" spans="1:5" x14ac:dyDescent="0.25">
      <c r="A27" s="9" t="s">
        <v>1622</v>
      </c>
      <c r="B27" s="10" t="s">
        <v>440</v>
      </c>
      <c r="C27" s="9" t="s">
        <v>441</v>
      </c>
      <c r="D27" s="15">
        <v>836.04</v>
      </c>
      <c r="E27" s="13" t="s">
        <v>3028</v>
      </c>
    </row>
    <row r="28" spans="1:5" x14ac:dyDescent="0.25">
      <c r="A28" s="9" t="s">
        <v>1622</v>
      </c>
      <c r="B28" s="10" t="s">
        <v>472</v>
      </c>
      <c r="C28" s="9" t="s">
        <v>473</v>
      </c>
      <c r="D28" s="15">
        <v>836.04</v>
      </c>
      <c r="E28" s="13" t="s">
        <v>3028</v>
      </c>
    </row>
    <row r="29" spans="1:5" x14ac:dyDescent="0.25">
      <c r="A29" s="9" t="s">
        <v>1622</v>
      </c>
      <c r="B29" s="10" t="s">
        <v>478</v>
      </c>
      <c r="C29" s="9" t="s">
        <v>479</v>
      </c>
      <c r="D29" s="15">
        <v>69.67</v>
      </c>
      <c r="E29" s="13" t="s">
        <v>3028</v>
      </c>
    </row>
    <row r="30" spans="1:5" x14ac:dyDescent="0.25">
      <c r="A30" s="9" t="s">
        <v>1622</v>
      </c>
      <c r="B30" s="10" t="s">
        <v>492</v>
      </c>
      <c r="C30" s="9" t="s">
        <v>493</v>
      </c>
      <c r="D30" s="15">
        <v>836.04</v>
      </c>
      <c r="E30" s="13" t="s">
        <v>3028</v>
      </c>
    </row>
    <row r="31" spans="1:5" x14ac:dyDescent="0.25">
      <c r="A31" s="9" t="s">
        <v>1622</v>
      </c>
      <c r="B31" s="10" t="s">
        <v>494</v>
      </c>
      <c r="C31" s="9" t="s">
        <v>495</v>
      </c>
      <c r="D31" s="15">
        <v>836.04</v>
      </c>
      <c r="E31" s="13" t="s">
        <v>3028</v>
      </c>
    </row>
    <row r="32" spans="1:5" x14ac:dyDescent="0.25">
      <c r="A32" s="9" t="s">
        <v>1622</v>
      </c>
      <c r="B32" s="10" t="s">
        <v>85</v>
      </c>
      <c r="C32" s="9" t="s">
        <v>86</v>
      </c>
      <c r="D32" s="15">
        <v>836.04</v>
      </c>
      <c r="E32" s="13" t="s">
        <v>3028</v>
      </c>
    </row>
    <row r="33" spans="1:5" x14ac:dyDescent="0.25">
      <c r="A33" s="9" t="s">
        <v>1622</v>
      </c>
      <c r="B33" s="10" t="s">
        <v>512</v>
      </c>
      <c r="C33" s="9" t="s">
        <v>513</v>
      </c>
      <c r="D33" s="15">
        <v>836.04</v>
      </c>
      <c r="E33" s="13" t="s">
        <v>3028</v>
      </c>
    </row>
    <row r="34" spans="1:5" x14ac:dyDescent="0.25">
      <c r="A34" s="9" t="s">
        <v>1622</v>
      </c>
      <c r="B34" s="10" t="s">
        <v>528</v>
      </c>
      <c r="C34" s="9" t="s">
        <v>529</v>
      </c>
      <c r="D34" s="15">
        <v>1045.05</v>
      </c>
      <c r="E34" s="13" t="s">
        <v>3028</v>
      </c>
    </row>
    <row r="35" spans="1:5" x14ac:dyDescent="0.25">
      <c r="A35" s="9" t="s">
        <v>1622</v>
      </c>
      <c r="B35" s="10" t="s">
        <v>560</v>
      </c>
      <c r="C35" s="9" t="s">
        <v>561</v>
      </c>
      <c r="D35" s="15">
        <v>836.04</v>
      </c>
      <c r="E35" s="13" t="s">
        <v>3028</v>
      </c>
    </row>
    <row r="36" spans="1:5" x14ac:dyDescent="0.25">
      <c r="A36" s="9" t="s">
        <v>1622</v>
      </c>
      <c r="B36" s="10" t="s">
        <v>568</v>
      </c>
      <c r="C36" s="9" t="s">
        <v>569</v>
      </c>
      <c r="D36" s="15">
        <v>191.31</v>
      </c>
      <c r="E36" s="13" t="s">
        <v>3028</v>
      </c>
    </row>
    <row r="37" spans="1:5" x14ac:dyDescent="0.25">
      <c r="A37" s="9" t="s">
        <v>1622</v>
      </c>
      <c r="B37" s="10" t="s">
        <v>588</v>
      </c>
      <c r="C37" s="9" t="s">
        <v>589</v>
      </c>
      <c r="D37" s="15">
        <v>836.04</v>
      </c>
      <c r="E37" s="13" t="s">
        <v>3028</v>
      </c>
    </row>
    <row r="38" spans="1:5" x14ac:dyDescent="0.25">
      <c r="A38" s="9" t="s">
        <v>1622</v>
      </c>
      <c r="B38" s="10" t="s">
        <v>592</v>
      </c>
      <c r="C38" s="9" t="s">
        <v>593</v>
      </c>
      <c r="D38" s="15">
        <v>836.04</v>
      </c>
      <c r="E38" s="13" t="s">
        <v>3028</v>
      </c>
    </row>
    <row r="39" spans="1:5" x14ac:dyDescent="0.25">
      <c r="A39" s="9" t="s">
        <v>1622</v>
      </c>
      <c r="B39" s="10" t="s">
        <v>594</v>
      </c>
      <c r="C39" s="9" t="s">
        <v>595</v>
      </c>
      <c r="D39" s="15">
        <v>836.04</v>
      </c>
      <c r="E39" s="13" t="s">
        <v>3028</v>
      </c>
    </row>
    <row r="40" spans="1:5" x14ac:dyDescent="0.25">
      <c r="A40" s="9" t="s">
        <v>1622</v>
      </c>
      <c r="B40" s="10" t="s">
        <v>616</v>
      </c>
      <c r="C40" s="9" t="s">
        <v>617</v>
      </c>
      <c r="D40" s="15">
        <v>557.36</v>
      </c>
      <c r="E40" s="13" t="s">
        <v>3028</v>
      </c>
    </row>
    <row r="41" spans="1:5" x14ac:dyDescent="0.25">
      <c r="A41" s="9" t="s">
        <v>1622</v>
      </c>
      <c r="B41" s="10" t="s">
        <v>654</v>
      </c>
      <c r="C41" s="9" t="s">
        <v>655</v>
      </c>
      <c r="D41" s="15">
        <v>836.04</v>
      </c>
      <c r="E41" s="13" t="s">
        <v>3028</v>
      </c>
    </row>
    <row r="42" spans="1:5" x14ac:dyDescent="0.25">
      <c r="A42" s="9" t="s">
        <v>1622</v>
      </c>
      <c r="B42" s="10" t="s">
        <v>658</v>
      </c>
      <c r="C42" s="9" t="s">
        <v>659</v>
      </c>
      <c r="D42" s="15">
        <v>2295.7199999999998</v>
      </c>
      <c r="E42" s="13" t="s">
        <v>3028</v>
      </c>
    </row>
    <row r="43" spans="1:5" x14ac:dyDescent="0.25">
      <c r="A43" s="9" t="s">
        <v>1622</v>
      </c>
      <c r="B43" s="10" t="s">
        <v>664</v>
      </c>
      <c r="C43" s="9" t="s">
        <v>665</v>
      </c>
      <c r="D43" s="15">
        <v>209.01</v>
      </c>
      <c r="E43" s="13" t="s">
        <v>3028</v>
      </c>
    </row>
    <row r="44" spans="1:5" x14ac:dyDescent="0.25">
      <c r="A44" s="9" t="s">
        <v>1622</v>
      </c>
      <c r="B44" s="10" t="s">
        <v>668</v>
      </c>
      <c r="C44" s="9" t="s">
        <v>669</v>
      </c>
      <c r="D44" s="15">
        <v>696.7</v>
      </c>
      <c r="E44" s="13" t="s">
        <v>3028</v>
      </c>
    </row>
    <row r="45" spans="1:5" x14ac:dyDescent="0.25">
      <c r="A45" s="9" t="s">
        <v>1622</v>
      </c>
      <c r="B45" s="10" t="s">
        <v>670</v>
      </c>
      <c r="C45" s="9" t="s">
        <v>671</v>
      </c>
      <c r="D45" s="15">
        <v>117.93</v>
      </c>
      <c r="E45" s="13" t="s">
        <v>3028</v>
      </c>
    </row>
    <row r="46" spans="1:5" x14ac:dyDescent="0.25">
      <c r="A46" s="9" t="s">
        <v>1622</v>
      </c>
      <c r="B46" s="10" t="s">
        <v>678</v>
      </c>
      <c r="C46" s="9" t="s">
        <v>679</v>
      </c>
      <c r="D46" s="15">
        <v>836.04</v>
      </c>
      <c r="E46" s="13" t="s">
        <v>3028</v>
      </c>
    </row>
    <row r="47" spans="1:5" x14ac:dyDescent="0.25">
      <c r="A47" s="9" t="s">
        <v>1622</v>
      </c>
      <c r="B47" s="10" t="s">
        <v>697</v>
      </c>
      <c r="C47" s="9" t="s">
        <v>698</v>
      </c>
      <c r="D47" s="15">
        <v>836.04</v>
      </c>
      <c r="E47" s="13" t="s">
        <v>3028</v>
      </c>
    </row>
    <row r="48" spans="1:5" x14ac:dyDescent="0.25">
      <c r="A48" s="9" t="s">
        <v>1622</v>
      </c>
      <c r="B48" s="10" t="s">
        <v>703</v>
      </c>
      <c r="C48" s="9" t="s">
        <v>704</v>
      </c>
      <c r="D48" s="15">
        <v>836.04</v>
      </c>
      <c r="E48" s="13" t="s">
        <v>3028</v>
      </c>
    </row>
    <row r="49" spans="1:5" x14ac:dyDescent="0.25">
      <c r="A49" s="9" t="s">
        <v>1622</v>
      </c>
      <c r="B49" s="10" t="s">
        <v>730</v>
      </c>
      <c r="C49" s="9" t="s">
        <v>731</v>
      </c>
      <c r="D49" s="15">
        <v>836.04</v>
      </c>
      <c r="E49" s="13" t="s">
        <v>3028</v>
      </c>
    </row>
    <row r="50" spans="1:5" x14ac:dyDescent="0.25">
      <c r="A50" s="9" t="s">
        <v>1622</v>
      </c>
      <c r="B50" s="10" t="s">
        <v>758</v>
      </c>
      <c r="C50" s="9" t="s">
        <v>759</v>
      </c>
      <c r="D50" s="15">
        <v>87.14</v>
      </c>
      <c r="E50" s="13" t="s">
        <v>3028</v>
      </c>
    </row>
    <row r="51" spans="1:5" x14ac:dyDescent="0.25">
      <c r="A51" s="9" t="s">
        <v>1622</v>
      </c>
      <c r="B51" s="10" t="s">
        <v>778</v>
      </c>
      <c r="C51" s="9" t="s">
        <v>779</v>
      </c>
      <c r="D51" s="15">
        <v>836.04</v>
      </c>
      <c r="E51" s="13" t="s">
        <v>3028</v>
      </c>
    </row>
    <row r="52" spans="1:5" x14ac:dyDescent="0.25">
      <c r="A52" s="9" t="s">
        <v>1622</v>
      </c>
      <c r="B52" s="10" t="s">
        <v>800</v>
      </c>
      <c r="C52" s="9" t="s">
        <v>801</v>
      </c>
      <c r="D52" s="15">
        <v>627.03</v>
      </c>
      <c r="E52" s="13" t="s">
        <v>3028</v>
      </c>
    </row>
    <row r="53" spans="1:5" x14ac:dyDescent="0.25">
      <c r="A53" s="9" t="s">
        <v>1622</v>
      </c>
      <c r="B53" s="10" t="s">
        <v>813</v>
      </c>
      <c r="C53" s="9" t="s">
        <v>814</v>
      </c>
      <c r="D53" s="15">
        <v>836.04</v>
      </c>
      <c r="E53" s="13" t="s">
        <v>3028</v>
      </c>
    </row>
    <row r="54" spans="1:5" x14ac:dyDescent="0.25">
      <c r="A54" s="9" t="s">
        <v>1622</v>
      </c>
      <c r="B54" s="10" t="s">
        <v>832</v>
      </c>
      <c r="C54" s="9" t="s">
        <v>833</v>
      </c>
      <c r="D54" s="15">
        <v>836.04</v>
      </c>
      <c r="E54" s="13" t="s">
        <v>3028</v>
      </c>
    </row>
    <row r="55" spans="1:5" x14ac:dyDescent="0.25">
      <c r="A55" s="9" t="s">
        <v>1622</v>
      </c>
      <c r="B55" s="10" t="s">
        <v>848</v>
      </c>
      <c r="C55" s="9" t="s">
        <v>849</v>
      </c>
      <c r="D55" s="15">
        <v>278.68</v>
      </c>
      <c r="E55" s="13" t="s">
        <v>3028</v>
      </c>
    </row>
    <row r="56" spans="1:5" x14ac:dyDescent="0.25">
      <c r="A56" s="9" t="s">
        <v>1622</v>
      </c>
      <c r="B56" s="10" t="s">
        <v>976</v>
      </c>
      <c r="C56" s="9" t="s">
        <v>977</v>
      </c>
      <c r="D56" s="15">
        <v>836.04</v>
      </c>
      <c r="E56" s="13" t="s">
        <v>3028</v>
      </c>
    </row>
    <row r="57" spans="1:5" x14ac:dyDescent="0.25">
      <c r="A57" s="9" t="s">
        <v>1622</v>
      </c>
      <c r="B57" s="10" t="s">
        <v>1022</v>
      </c>
      <c r="C57" s="9" t="s">
        <v>1023</v>
      </c>
      <c r="D57" s="15">
        <v>766.37</v>
      </c>
      <c r="E57" s="13" t="s">
        <v>3028</v>
      </c>
    </row>
    <row r="58" spans="1:5" x14ac:dyDescent="0.25">
      <c r="A58" s="9" t="s">
        <v>1622</v>
      </c>
      <c r="B58" s="10" t="s">
        <v>1097</v>
      </c>
      <c r="C58" s="9" t="s">
        <v>1098</v>
      </c>
      <c r="D58" s="15">
        <v>836.04</v>
      </c>
      <c r="E58" s="13" t="s">
        <v>3028</v>
      </c>
    </row>
    <row r="59" spans="1:5" x14ac:dyDescent="0.25">
      <c r="A59" s="9" t="s">
        <v>1622</v>
      </c>
      <c r="B59" s="10" t="s">
        <v>1125</v>
      </c>
      <c r="C59" s="9" t="s">
        <v>1126</v>
      </c>
      <c r="D59" s="15">
        <v>836.04</v>
      </c>
      <c r="E59" s="13" t="s">
        <v>3028</v>
      </c>
    </row>
    <row r="60" spans="1:5" x14ac:dyDescent="0.25">
      <c r="A60" s="9" t="s">
        <v>1622</v>
      </c>
      <c r="B60" s="10" t="s">
        <v>1181</v>
      </c>
      <c r="C60" s="9" t="s">
        <v>1182</v>
      </c>
      <c r="D60" s="15">
        <v>836.04</v>
      </c>
      <c r="E60" s="13" t="s">
        <v>3028</v>
      </c>
    </row>
    <row r="61" spans="1:5" x14ac:dyDescent="0.25">
      <c r="A61" s="9" t="s">
        <v>1622</v>
      </c>
      <c r="B61" s="10" t="s">
        <v>1231</v>
      </c>
      <c r="C61" s="9" t="s">
        <v>1232</v>
      </c>
      <c r="D61" s="15">
        <v>60</v>
      </c>
      <c r="E61" s="13" t="s">
        <v>3028</v>
      </c>
    </row>
    <row r="62" spans="1:5" x14ac:dyDescent="0.25">
      <c r="A62" s="9" t="s">
        <v>1622</v>
      </c>
      <c r="B62" s="10" t="s">
        <v>1273</v>
      </c>
      <c r="C62" s="9" t="s">
        <v>1274</v>
      </c>
      <c r="D62" s="15">
        <v>836.04</v>
      </c>
      <c r="E62" s="13" t="s">
        <v>3028</v>
      </c>
    </row>
    <row r="63" spans="1:5" x14ac:dyDescent="0.25">
      <c r="A63" s="9" t="s">
        <v>1622</v>
      </c>
      <c r="B63" s="10" t="s">
        <v>1287</v>
      </c>
      <c r="C63" s="9" t="s">
        <v>1288</v>
      </c>
      <c r="D63" s="15">
        <v>69.67</v>
      </c>
      <c r="E63" s="13" t="s">
        <v>3028</v>
      </c>
    </row>
    <row r="64" spans="1:5" x14ac:dyDescent="0.25">
      <c r="A64" s="9" t="s">
        <v>1622</v>
      </c>
      <c r="B64" s="10" t="s">
        <v>1546</v>
      </c>
      <c r="C64" s="9" t="s">
        <v>1547</v>
      </c>
      <c r="D64" s="15">
        <v>344.19</v>
      </c>
      <c r="E64" s="13" t="s">
        <v>3028</v>
      </c>
    </row>
    <row r="65" spans="1:5" x14ac:dyDescent="0.25">
      <c r="A65" s="9" t="s">
        <v>1622</v>
      </c>
      <c r="B65" s="10" t="s">
        <v>1552</v>
      </c>
      <c r="C65" s="9" t="s">
        <v>1553</v>
      </c>
      <c r="D65" s="15">
        <v>627.03</v>
      </c>
      <c r="E65" s="13" t="s">
        <v>3028</v>
      </c>
    </row>
    <row r="66" spans="1:5" x14ac:dyDescent="0.25">
      <c r="A66" s="9" t="s">
        <v>1622</v>
      </c>
      <c r="B66" s="10" t="s">
        <v>1556</v>
      </c>
      <c r="C66" s="9" t="s">
        <v>1557</v>
      </c>
      <c r="D66" s="15">
        <v>108.82</v>
      </c>
      <c r="E66" s="13" t="s">
        <v>3028</v>
      </c>
    </row>
    <row r="67" spans="1:5" x14ac:dyDescent="0.25">
      <c r="A67" s="9" t="s">
        <v>1622</v>
      </c>
      <c r="B67" s="10" t="s">
        <v>1558</v>
      </c>
      <c r="C67" s="9" t="s">
        <v>1559</v>
      </c>
      <c r="D67" s="15">
        <v>2295.7199999999998</v>
      </c>
      <c r="E67" s="13" t="s">
        <v>3028</v>
      </c>
    </row>
    <row r="68" spans="1:5" x14ac:dyDescent="0.25">
      <c r="A68" s="9" t="s">
        <v>1622</v>
      </c>
      <c r="B68" s="10" t="s">
        <v>1594</v>
      </c>
      <c r="C68" s="9" t="s">
        <v>1595</v>
      </c>
      <c r="D68" s="15">
        <v>836.04</v>
      </c>
      <c r="E68" s="13" t="s">
        <v>3028</v>
      </c>
    </row>
    <row r="69" spans="1:5" x14ac:dyDescent="0.25">
      <c r="A69" s="9" t="s">
        <v>1893</v>
      </c>
      <c r="B69" s="10" t="s">
        <v>93</v>
      </c>
      <c r="C69" s="9" t="s">
        <v>94</v>
      </c>
      <c r="D69" s="15">
        <v>1199.46</v>
      </c>
      <c r="E69" s="13" t="s">
        <v>3028</v>
      </c>
    </row>
    <row r="70" spans="1:5" x14ac:dyDescent="0.25">
      <c r="A70" s="9" t="s">
        <v>1893</v>
      </c>
      <c r="B70" s="10" t="s">
        <v>95</v>
      </c>
      <c r="C70" s="9" t="s">
        <v>96</v>
      </c>
      <c r="D70" s="15">
        <v>98</v>
      </c>
      <c r="E70" s="13" t="s">
        <v>3028</v>
      </c>
    </row>
    <row r="71" spans="1:5" x14ac:dyDescent="0.25">
      <c r="A71" s="9" t="s">
        <v>1893</v>
      </c>
      <c r="B71" s="10" t="s">
        <v>218</v>
      </c>
      <c r="C71" s="9" t="s">
        <v>219</v>
      </c>
      <c r="D71" s="15">
        <v>156</v>
      </c>
      <c r="E71" s="13" t="s">
        <v>3028</v>
      </c>
    </row>
    <row r="72" spans="1:5" x14ac:dyDescent="0.25">
      <c r="A72" s="9" t="s">
        <v>1893</v>
      </c>
      <c r="B72" s="10" t="s">
        <v>332</v>
      </c>
      <c r="C72" s="9" t="s">
        <v>333</v>
      </c>
      <c r="D72" s="15">
        <v>50</v>
      </c>
      <c r="E72" s="13" t="s">
        <v>3028</v>
      </c>
    </row>
    <row r="73" spans="1:5" x14ac:dyDescent="0.25">
      <c r="A73" s="9" t="s">
        <v>1893</v>
      </c>
      <c r="B73" s="10" t="s">
        <v>352</v>
      </c>
      <c r="C73" s="9" t="s">
        <v>353</v>
      </c>
      <c r="D73" s="15">
        <v>25</v>
      </c>
      <c r="E73" s="13" t="s">
        <v>3028</v>
      </c>
    </row>
    <row r="74" spans="1:5" x14ac:dyDescent="0.25">
      <c r="A74" s="9" t="s">
        <v>1893</v>
      </c>
      <c r="B74" s="10" t="s">
        <v>562</v>
      </c>
      <c r="C74" s="9" t="s">
        <v>563</v>
      </c>
      <c r="D74" s="15">
        <v>125.91</v>
      </c>
      <c r="E74" s="13" t="s">
        <v>3028</v>
      </c>
    </row>
    <row r="75" spans="1:5" x14ac:dyDescent="0.25">
      <c r="A75" s="9" t="s">
        <v>1893</v>
      </c>
      <c r="B75" s="10" t="s">
        <v>586</v>
      </c>
      <c r="C75" s="9" t="s">
        <v>587</v>
      </c>
      <c r="D75" s="15">
        <v>35</v>
      </c>
      <c r="E75" s="13" t="s">
        <v>3028</v>
      </c>
    </row>
    <row r="76" spans="1:5" x14ac:dyDescent="0.25">
      <c r="A76" s="9" t="s">
        <v>1893</v>
      </c>
      <c r="B76" s="10" t="s">
        <v>650</v>
      </c>
      <c r="C76" s="9" t="s">
        <v>651</v>
      </c>
      <c r="D76" s="15">
        <v>837.07</v>
      </c>
      <c r="E76" s="13" t="s">
        <v>3028</v>
      </c>
    </row>
    <row r="77" spans="1:5" x14ac:dyDescent="0.25">
      <c r="A77" s="9" t="s">
        <v>1893</v>
      </c>
      <c r="B77" s="10" t="s">
        <v>968</v>
      </c>
      <c r="C77" s="9" t="s">
        <v>969</v>
      </c>
      <c r="D77" s="15">
        <v>839.88</v>
      </c>
      <c r="E77" s="13" t="s">
        <v>3028</v>
      </c>
    </row>
    <row r="78" spans="1:5" x14ac:dyDescent="0.25">
      <c r="A78" s="9" t="s">
        <v>1893</v>
      </c>
      <c r="B78" s="10" t="s">
        <v>978</v>
      </c>
      <c r="C78" s="9" t="s">
        <v>979</v>
      </c>
      <c r="D78" s="15">
        <v>480.47</v>
      </c>
      <c r="E78" s="13" t="s">
        <v>3028</v>
      </c>
    </row>
    <row r="79" spans="1:5" x14ac:dyDescent="0.25">
      <c r="A79" s="9" t="s">
        <v>1893</v>
      </c>
      <c r="B79" s="10" t="s">
        <v>1141</v>
      </c>
      <c r="C79" s="9" t="s">
        <v>1142</v>
      </c>
      <c r="D79" s="15">
        <v>449.83</v>
      </c>
      <c r="E79" s="13" t="s">
        <v>3028</v>
      </c>
    </row>
    <row r="80" spans="1:5" x14ac:dyDescent="0.25">
      <c r="A80" s="9" t="s">
        <v>1896</v>
      </c>
      <c r="B80" s="10" t="s">
        <v>97</v>
      </c>
      <c r="C80" s="9" t="s">
        <v>98</v>
      </c>
      <c r="D80" s="15">
        <v>206.2</v>
      </c>
      <c r="E80" s="13" t="s">
        <v>3028</v>
      </c>
    </row>
    <row r="81" spans="1:5" x14ac:dyDescent="0.25">
      <c r="A81" s="9" t="s">
        <v>1896</v>
      </c>
      <c r="B81" s="10" t="s">
        <v>99</v>
      </c>
      <c r="C81" s="9" t="s">
        <v>100</v>
      </c>
      <c r="D81" s="15">
        <v>125.7</v>
      </c>
      <c r="E81" s="13" t="s">
        <v>3028</v>
      </c>
    </row>
    <row r="82" spans="1:5" x14ac:dyDescent="0.25">
      <c r="A82" s="9" t="s">
        <v>1896</v>
      </c>
      <c r="B82" s="10" t="s">
        <v>101</v>
      </c>
      <c r="C82" s="9" t="s">
        <v>102</v>
      </c>
      <c r="D82" s="15">
        <v>33.6</v>
      </c>
      <c r="E82" s="13" t="s">
        <v>3028</v>
      </c>
    </row>
    <row r="83" spans="1:5" x14ac:dyDescent="0.25">
      <c r="A83" s="9" t="s">
        <v>1896</v>
      </c>
      <c r="B83" s="10" t="s">
        <v>103</v>
      </c>
      <c r="C83" s="9" t="s">
        <v>104</v>
      </c>
      <c r="D83" s="15">
        <v>69.7</v>
      </c>
      <c r="E83" s="13" t="s">
        <v>3028</v>
      </c>
    </row>
    <row r="84" spans="1:5" x14ac:dyDescent="0.25">
      <c r="A84" s="9" t="s">
        <v>1896</v>
      </c>
      <c r="B84" s="10" t="s">
        <v>105</v>
      </c>
      <c r="C84" s="9" t="s">
        <v>106</v>
      </c>
      <c r="D84" s="15">
        <v>518.38</v>
      </c>
      <c r="E84" s="13" t="s">
        <v>3028</v>
      </c>
    </row>
    <row r="85" spans="1:5" x14ac:dyDescent="0.25">
      <c r="A85" s="9" t="s">
        <v>1896</v>
      </c>
      <c r="B85" s="10" t="s">
        <v>111</v>
      </c>
      <c r="C85" s="9" t="s">
        <v>112</v>
      </c>
      <c r="D85" s="15">
        <v>95.2</v>
      </c>
      <c r="E85" s="13" t="s">
        <v>3028</v>
      </c>
    </row>
    <row r="86" spans="1:5" x14ac:dyDescent="0.25">
      <c r="A86" s="9" t="s">
        <v>1896</v>
      </c>
      <c r="B86" s="10" t="s">
        <v>113</v>
      </c>
      <c r="C86" s="9" t="s">
        <v>114</v>
      </c>
      <c r="D86" s="15">
        <v>187.3</v>
      </c>
      <c r="E86" s="13" t="s">
        <v>3028</v>
      </c>
    </row>
    <row r="87" spans="1:5" x14ac:dyDescent="0.25">
      <c r="A87" s="9" t="s">
        <v>1896</v>
      </c>
      <c r="B87" s="10" t="s">
        <v>117</v>
      </c>
      <c r="C87" s="9" t="s">
        <v>118</v>
      </c>
      <c r="D87" s="15">
        <v>402.6</v>
      </c>
      <c r="E87" s="13" t="s">
        <v>3028</v>
      </c>
    </row>
    <row r="88" spans="1:5" x14ac:dyDescent="0.25">
      <c r="A88" s="9" t="s">
        <v>1896</v>
      </c>
      <c r="B88" s="10" t="s">
        <v>119</v>
      </c>
      <c r="C88" s="9" t="s">
        <v>120</v>
      </c>
      <c r="D88" s="15">
        <v>321.93</v>
      </c>
      <c r="E88" s="13" t="s">
        <v>3028</v>
      </c>
    </row>
    <row r="89" spans="1:5" x14ac:dyDescent="0.25">
      <c r="A89" s="9" t="s">
        <v>1896</v>
      </c>
      <c r="B89" s="10" t="s">
        <v>121</v>
      </c>
      <c r="C89" s="9" t="s">
        <v>122</v>
      </c>
      <c r="D89" s="15">
        <v>210.75</v>
      </c>
      <c r="E89" s="13" t="s">
        <v>3028</v>
      </c>
    </row>
    <row r="90" spans="1:5" x14ac:dyDescent="0.25">
      <c r="A90" s="9" t="s">
        <v>1896</v>
      </c>
      <c r="B90" s="10" t="s">
        <v>127</v>
      </c>
      <c r="C90" s="9" t="s">
        <v>128</v>
      </c>
      <c r="D90" s="15">
        <v>269.02999999999997</v>
      </c>
      <c r="E90" s="13" t="s">
        <v>3028</v>
      </c>
    </row>
    <row r="91" spans="1:5" x14ac:dyDescent="0.25">
      <c r="A91" s="9" t="s">
        <v>1896</v>
      </c>
      <c r="B91" s="10" t="s">
        <v>129</v>
      </c>
      <c r="C91" s="9" t="s">
        <v>130</v>
      </c>
      <c r="D91" s="15">
        <v>232.54</v>
      </c>
      <c r="E91" s="13" t="s">
        <v>3028</v>
      </c>
    </row>
    <row r="92" spans="1:5" x14ac:dyDescent="0.25">
      <c r="A92" s="9" t="s">
        <v>1896</v>
      </c>
      <c r="B92" s="10" t="s">
        <v>131</v>
      </c>
      <c r="C92" s="9" t="s">
        <v>132</v>
      </c>
      <c r="D92" s="15">
        <v>130.69</v>
      </c>
      <c r="E92" s="13" t="s">
        <v>3028</v>
      </c>
    </row>
    <row r="93" spans="1:5" x14ac:dyDescent="0.25">
      <c r="A93" s="9" t="s">
        <v>1896</v>
      </c>
      <c r="B93" s="10" t="s">
        <v>133</v>
      </c>
      <c r="C93" s="9" t="s">
        <v>134</v>
      </c>
      <c r="D93" s="15">
        <v>95.2</v>
      </c>
      <c r="E93" s="13" t="s">
        <v>3028</v>
      </c>
    </row>
    <row r="94" spans="1:5" x14ac:dyDescent="0.25">
      <c r="A94" s="9" t="s">
        <v>1896</v>
      </c>
      <c r="B94" s="10" t="s">
        <v>141</v>
      </c>
      <c r="C94" s="9" t="s">
        <v>142</v>
      </c>
      <c r="D94" s="15">
        <v>313.60000000000002</v>
      </c>
      <c r="E94" s="13" t="s">
        <v>3028</v>
      </c>
    </row>
    <row r="95" spans="1:5" x14ac:dyDescent="0.25">
      <c r="A95" s="9" t="s">
        <v>1896</v>
      </c>
      <c r="B95" s="10" t="s">
        <v>143</v>
      </c>
      <c r="C95" s="9" t="s">
        <v>144</v>
      </c>
      <c r="D95" s="15">
        <v>5.6</v>
      </c>
      <c r="E95" s="13" t="s">
        <v>3028</v>
      </c>
    </row>
    <row r="96" spans="1:5" x14ac:dyDescent="0.25">
      <c r="A96" s="9" t="s">
        <v>1896</v>
      </c>
      <c r="B96" s="10" t="s">
        <v>145</v>
      </c>
      <c r="C96" s="9" t="s">
        <v>146</v>
      </c>
      <c r="D96" s="15">
        <v>306.77</v>
      </c>
      <c r="E96" s="13" t="s">
        <v>3028</v>
      </c>
    </row>
    <row r="97" spans="1:5" x14ac:dyDescent="0.25">
      <c r="A97" s="9" t="s">
        <v>1896</v>
      </c>
      <c r="B97" s="10" t="s">
        <v>149</v>
      </c>
      <c r="C97" s="9" t="s">
        <v>150</v>
      </c>
      <c r="D97" s="15">
        <v>435.36</v>
      </c>
      <c r="E97" s="13" t="s">
        <v>3028</v>
      </c>
    </row>
    <row r="98" spans="1:5" x14ac:dyDescent="0.25">
      <c r="A98" s="9" t="s">
        <v>1896</v>
      </c>
      <c r="B98" s="10" t="s">
        <v>151</v>
      </c>
      <c r="C98" s="9" t="s">
        <v>152</v>
      </c>
      <c r="D98" s="15">
        <v>117.83</v>
      </c>
      <c r="E98" s="13" t="s">
        <v>3028</v>
      </c>
    </row>
    <row r="99" spans="1:5" x14ac:dyDescent="0.25">
      <c r="A99" s="9" t="s">
        <v>1896</v>
      </c>
      <c r="B99" s="10" t="s">
        <v>153</v>
      </c>
      <c r="C99" s="9" t="s">
        <v>154</v>
      </c>
      <c r="D99" s="15">
        <v>651.16999999999996</v>
      </c>
      <c r="E99" s="13" t="s">
        <v>3028</v>
      </c>
    </row>
    <row r="100" spans="1:5" x14ac:dyDescent="0.25">
      <c r="A100" s="9" t="s">
        <v>1896</v>
      </c>
      <c r="B100" s="10" t="s">
        <v>155</v>
      </c>
      <c r="C100" s="9" t="s">
        <v>156</v>
      </c>
      <c r="D100" s="15">
        <v>190</v>
      </c>
      <c r="E100" s="13" t="s">
        <v>3028</v>
      </c>
    </row>
    <row r="101" spans="1:5" x14ac:dyDescent="0.25">
      <c r="A101" s="9" t="s">
        <v>1896</v>
      </c>
      <c r="B101" s="10" t="s">
        <v>159</v>
      </c>
      <c r="C101" s="9" t="s">
        <v>160</v>
      </c>
      <c r="D101" s="15">
        <v>89.6</v>
      </c>
      <c r="E101" s="13" t="s">
        <v>3028</v>
      </c>
    </row>
    <row r="102" spans="1:5" x14ac:dyDescent="0.25">
      <c r="A102" s="9" t="s">
        <v>1896</v>
      </c>
      <c r="B102" s="10" t="s">
        <v>161</v>
      </c>
      <c r="C102" s="9" t="s">
        <v>162</v>
      </c>
      <c r="D102" s="15">
        <v>1049.6099999999999</v>
      </c>
      <c r="E102" s="13" t="s">
        <v>3028</v>
      </c>
    </row>
    <row r="103" spans="1:5" x14ac:dyDescent="0.25">
      <c r="A103" s="9" t="s">
        <v>1896</v>
      </c>
      <c r="B103" s="10" t="s">
        <v>166</v>
      </c>
      <c r="C103" s="9" t="s">
        <v>167</v>
      </c>
      <c r="D103" s="15">
        <v>563.33000000000004</v>
      </c>
      <c r="E103" s="13" t="s">
        <v>3028</v>
      </c>
    </row>
    <row r="104" spans="1:5" x14ac:dyDescent="0.25">
      <c r="A104" s="9" t="s">
        <v>1896</v>
      </c>
      <c r="B104" s="10" t="s">
        <v>170</v>
      </c>
      <c r="C104" s="9" t="s">
        <v>171</v>
      </c>
      <c r="D104" s="15">
        <v>16.8</v>
      </c>
      <c r="E104" s="13" t="s">
        <v>3028</v>
      </c>
    </row>
    <row r="105" spans="1:5" x14ac:dyDescent="0.25">
      <c r="A105" s="9" t="s">
        <v>1896</v>
      </c>
      <c r="B105" s="10" t="s">
        <v>174</v>
      </c>
      <c r="C105" s="9" t="s">
        <v>175</v>
      </c>
      <c r="D105" s="15">
        <v>189.42</v>
      </c>
      <c r="E105" s="13" t="s">
        <v>3028</v>
      </c>
    </row>
    <row r="106" spans="1:5" x14ac:dyDescent="0.25">
      <c r="A106" s="9" t="s">
        <v>1896</v>
      </c>
      <c r="B106" s="10" t="s">
        <v>176</v>
      </c>
      <c r="C106" s="9" t="s">
        <v>177</v>
      </c>
      <c r="D106" s="15">
        <v>327.58</v>
      </c>
      <c r="E106" s="13" t="s">
        <v>3028</v>
      </c>
    </row>
    <row r="107" spans="1:5" x14ac:dyDescent="0.25">
      <c r="A107" s="9" t="s">
        <v>1896</v>
      </c>
      <c r="B107" s="10" t="s">
        <v>178</v>
      </c>
      <c r="C107" s="9" t="s">
        <v>179</v>
      </c>
      <c r="D107" s="15">
        <v>422.5</v>
      </c>
      <c r="E107" s="13" t="s">
        <v>3028</v>
      </c>
    </row>
    <row r="108" spans="1:5" x14ac:dyDescent="0.25">
      <c r="A108" s="9" t="s">
        <v>1896</v>
      </c>
      <c r="B108" s="10" t="s">
        <v>180</v>
      </c>
      <c r="C108" s="9" t="s">
        <v>181</v>
      </c>
      <c r="D108" s="15">
        <v>16.8</v>
      </c>
      <c r="E108" s="13" t="s">
        <v>3028</v>
      </c>
    </row>
    <row r="109" spans="1:5" x14ac:dyDescent="0.25">
      <c r="A109" s="9" t="s">
        <v>1896</v>
      </c>
      <c r="B109" s="10" t="s">
        <v>182</v>
      </c>
      <c r="C109" s="9" t="s">
        <v>183</v>
      </c>
      <c r="D109" s="15">
        <v>362.79</v>
      </c>
      <c r="E109" s="13" t="s">
        <v>3028</v>
      </c>
    </row>
    <row r="110" spans="1:5" x14ac:dyDescent="0.25">
      <c r="A110" s="9" t="s">
        <v>1896</v>
      </c>
      <c r="B110" s="10" t="s">
        <v>186</v>
      </c>
      <c r="C110" s="9" t="s">
        <v>187</v>
      </c>
      <c r="D110" s="15">
        <v>766.45</v>
      </c>
      <c r="E110" s="13" t="s">
        <v>3028</v>
      </c>
    </row>
    <row r="111" spans="1:5" x14ac:dyDescent="0.25">
      <c r="A111" s="9" t="s">
        <v>1896</v>
      </c>
      <c r="B111" s="10" t="s">
        <v>188</v>
      </c>
      <c r="C111" s="9" t="s">
        <v>189</v>
      </c>
      <c r="D111" s="15">
        <v>348.26</v>
      </c>
      <c r="E111" s="13" t="s">
        <v>3028</v>
      </c>
    </row>
    <row r="112" spans="1:5" x14ac:dyDescent="0.25">
      <c r="A112" s="9" t="s">
        <v>1896</v>
      </c>
      <c r="B112" s="10" t="s">
        <v>190</v>
      </c>
      <c r="C112" s="9" t="s">
        <v>191</v>
      </c>
      <c r="D112" s="15">
        <v>782.9</v>
      </c>
      <c r="E112" s="13" t="s">
        <v>3028</v>
      </c>
    </row>
    <row r="113" spans="1:5" x14ac:dyDescent="0.25">
      <c r="A113" s="9" t="s">
        <v>1896</v>
      </c>
      <c r="B113" s="10" t="s">
        <v>192</v>
      </c>
      <c r="C113" s="9" t="s">
        <v>193</v>
      </c>
      <c r="D113" s="15">
        <v>164.51</v>
      </c>
      <c r="E113" s="13" t="s">
        <v>3028</v>
      </c>
    </row>
    <row r="114" spans="1:5" x14ac:dyDescent="0.25">
      <c r="A114" s="9" t="s">
        <v>1896</v>
      </c>
      <c r="B114" s="10" t="s">
        <v>196</v>
      </c>
      <c r="C114" s="9" t="s">
        <v>197</v>
      </c>
      <c r="D114" s="15">
        <v>16.8</v>
      </c>
      <c r="E114" s="13" t="s">
        <v>3028</v>
      </c>
    </row>
    <row r="115" spans="1:5" x14ac:dyDescent="0.25">
      <c r="A115" s="9" t="s">
        <v>1896</v>
      </c>
      <c r="B115" s="10" t="s">
        <v>200</v>
      </c>
      <c r="C115" s="9" t="s">
        <v>201</v>
      </c>
      <c r="D115" s="15">
        <v>386</v>
      </c>
      <c r="E115" s="13" t="s">
        <v>3028</v>
      </c>
    </row>
    <row r="116" spans="1:5" x14ac:dyDescent="0.25">
      <c r="A116" s="9" t="s">
        <v>1896</v>
      </c>
      <c r="B116" s="10" t="s">
        <v>204</v>
      </c>
      <c r="C116" s="9" t="s">
        <v>205</v>
      </c>
      <c r="D116" s="15">
        <v>356.79</v>
      </c>
      <c r="E116" s="13" t="s">
        <v>3028</v>
      </c>
    </row>
    <row r="117" spans="1:5" x14ac:dyDescent="0.25">
      <c r="A117" s="9" t="s">
        <v>1896</v>
      </c>
      <c r="B117" s="10" t="s">
        <v>210</v>
      </c>
      <c r="C117" s="9" t="s">
        <v>211</v>
      </c>
      <c r="D117" s="15">
        <v>100.8</v>
      </c>
      <c r="E117" s="13" t="s">
        <v>3028</v>
      </c>
    </row>
    <row r="118" spans="1:5" x14ac:dyDescent="0.25">
      <c r="A118" s="9" t="s">
        <v>1896</v>
      </c>
      <c r="B118" s="10" t="s">
        <v>212</v>
      </c>
      <c r="C118" s="9" t="s">
        <v>213</v>
      </c>
      <c r="D118" s="15">
        <v>461.09</v>
      </c>
      <c r="E118" s="13" t="s">
        <v>3028</v>
      </c>
    </row>
    <row r="119" spans="1:5" x14ac:dyDescent="0.25">
      <c r="A119" s="9" t="s">
        <v>1896</v>
      </c>
      <c r="B119" s="10" t="s">
        <v>216</v>
      </c>
      <c r="C119" s="9" t="s">
        <v>217</v>
      </c>
      <c r="D119" s="15">
        <v>236.26</v>
      </c>
      <c r="E119" s="13" t="s">
        <v>3028</v>
      </c>
    </row>
    <row r="120" spans="1:5" x14ac:dyDescent="0.25">
      <c r="A120" s="9" t="s">
        <v>1896</v>
      </c>
      <c r="B120" s="10" t="s">
        <v>222</v>
      </c>
      <c r="C120" s="9" t="s">
        <v>223</v>
      </c>
      <c r="D120" s="15">
        <v>45.03</v>
      </c>
      <c r="E120" s="13" t="s">
        <v>3028</v>
      </c>
    </row>
    <row r="121" spans="1:5" x14ac:dyDescent="0.25">
      <c r="A121" s="9" t="s">
        <v>1896</v>
      </c>
      <c r="B121" s="10" t="s">
        <v>224</v>
      </c>
      <c r="C121" s="9" t="s">
        <v>225</v>
      </c>
      <c r="D121" s="15">
        <v>324.19</v>
      </c>
      <c r="E121" s="13" t="s">
        <v>3028</v>
      </c>
    </row>
    <row r="122" spans="1:5" x14ac:dyDescent="0.25">
      <c r="A122" s="9" t="s">
        <v>1896</v>
      </c>
      <c r="B122" s="10" t="s">
        <v>226</v>
      </c>
      <c r="C122" s="9" t="s">
        <v>227</v>
      </c>
      <c r="D122" s="15">
        <v>285.60000000000002</v>
      </c>
      <c r="E122" s="13" t="s">
        <v>3028</v>
      </c>
    </row>
    <row r="123" spans="1:5" x14ac:dyDescent="0.25">
      <c r="A123" s="9" t="s">
        <v>1896</v>
      </c>
      <c r="B123" s="10" t="s">
        <v>230</v>
      </c>
      <c r="C123" s="9" t="s">
        <v>231</v>
      </c>
      <c r="D123" s="15">
        <v>80.900000000000006</v>
      </c>
      <c r="E123" s="13" t="s">
        <v>3028</v>
      </c>
    </row>
    <row r="124" spans="1:5" x14ac:dyDescent="0.25">
      <c r="A124" s="9" t="s">
        <v>1896</v>
      </c>
      <c r="B124" s="10" t="s">
        <v>232</v>
      </c>
      <c r="C124" s="9" t="s">
        <v>233</v>
      </c>
      <c r="D124" s="15">
        <v>528.35</v>
      </c>
      <c r="E124" s="13" t="s">
        <v>3028</v>
      </c>
    </row>
    <row r="125" spans="1:5" x14ac:dyDescent="0.25">
      <c r="A125" s="9" t="s">
        <v>1896</v>
      </c>
      <c r="B125" s="10" t="s">
        <v>234</v>
      </c>
      <c r="C125" s="9" t="s">
        <v>235</v>
      </c>
      <c r="D125" s="15">
        <v>420.7</v>
      </c>
      <c r="E125" s="13" t="s">
        <v>3028</v>
      </c>
    </row>
    <row r="126" spans="1:5" x14ac:dyDescent="0.25">
      <c r="A126" s="9" t="s">
        <v>1896</v>
      </c>
      <c r="B126" s="10" t="s">
        <v>240</v>
      </c>
      <c r="C126" s="9" t="s">
        <v>241</v>
      </c>
      <c r="D126" s="15">
        <v>134.63</v>
      </c>
      <c r="E126" s="13" t="s">
        <v>3028</v>
      </c>
    </row>
    <row r="127" spans="1:5" x14ac:dyDescent="0.25">
      <c r="A127" s="9" t="s">
        <v>1896</v>
      </c>
      <c r="B127" s="10" t="s">
        <v>244</v>
      </c>
      <c r="C127" s="9" t="s">
        <v>245</v>
      </c>
      <c r="D127" s="15">
        <v>103.29</v>
      </c>
      <c r="E127" s="13" t="s">
        <v>3028</v>
      </c>
    </row>
    <row r="128" spans="1:5" x14ac:dyDescent="0.25">
      <c r="A128" s="9" t="s">
        <v>1896</v>
      </c>
      <c r="B128" s="10" t="s">
        <v>248</v>
      </c>
      <c r="C128" s="9" t="s">
        <v>249</v>
      </c>
      <c r="D128" s="15">
        <v>16.8</v>
      </c>
      <c r="E128" s="13" t="s">
        <v>3028</v>
      </c>
    </row>
    <row r="129" spans="1:5" x14ac:dyDescent="0.25">
      <c r="A129" s="9" t="s">
        <v>1896</v>
      </c>
      <c r="B129" s="10" t="s">
        <v>250</v>
      </c>
      <c r="C129" s="9" t="s">
        <v>251</v>
      </c>
      <c r="D129" s="15">
        <v>58.5</v>
      </c>
      <c r="E129" s="13" t="s">
        <v>3028</v>
      </c>
    </row>
    <row r="130" spans="1:5" x14ac:dyDescent="0.25">
      <c r="A130" s="9" t="s">
        <v>1896</v>
      </c>
      <c r="B130" s="10" t="s">
        <v>254</v>
      </c>
      <c r="C130" s="9" t="s">
        <v>255</v>
      </c>
      <c r="D130" s="15">
        <v>487.9</v>
      </c>
      <c r="E130" s="13" t="s">
        <v>3028</v>
      </c>
    </row>
    <row r="131" spans="1:5" x14ac:dyDescent="0.25">
      <c r="A131" s="9" t="s">
        <v>1896</v>
      </c>
      <c r="B131" s="10" t="s">
        <v>256</v>
      </c>
      <c r="C131" s="9" t="s">
        <v>257</v>
      </c>
      <c r="D131" s="15">
        <v>661.92</v>
      </c>
      <c r="E131" s="13" t="s">
        <v>3028</v>
      </c>
    </row>
    <row r="132" spans="1:5" x14ac:dyDescent="0.25">
      <c r="A132" s="9" t="s">
        <v>1896</v>
      </c>
      <c r="B132" s="10" t="s">
        <v>258</v>
      </c>
      <c r="C132" s="9" t="s">
        <v>259</v>
      </c>
      <c r="D132" s="15">
        <v>66.599999999999994</v>
      </c>
      <c r="E132" s="13" t="s">
        <v>3028</v>
      </c>
    </row>
    <row r="133" spans="1:5" x14ac:dyDescent="0.25">
      <c r="A133" s="9" t="s">
        <v>1896</v>
      </c>
      <c r="B133" s="10" t="s">
        <v>262</v>
      </c>
      <c r="C133" s="9" t="s">
        <v>263</v>
      </c>
      <c r="D133" s="15">
        <v>584.9</v>
      </c>
      <c r="E133" s="13" t="s">
        <v>3028</v>
      </c>
    </row>
    <row r="134" spans="1:5" x14ac:dyDescent="0.25">
      <c r="A134" s="9" t="s">
        <v>1896</v>
      </c>
      <c r="B134" s="10" t="s">
        <v>266</v>
      </c>
      <c r="C134" s="9" t="s">
        <v>267</v>
      </c>
      <c r="D134" s="15">
        <v>266.52999999999997</v>
      </c>
      <c r="E134" s="13" t="s">
        <v>3028</v>
      </c>
    </row>
    <row r="135" spans="1:5" x14ac:dyDescent="0.25">
      <c r="A135" s="9" t="s">
        <v>1896</v>
      </c>
      <c r="B135" s="10" t="s">
        <v>268</v>
      </c>
      <c r="C135" s="9" t="s">
        <v>269</v>
      </c>
      <c r="D135" s="15">
        <v>73.86</v>
      </c>
      <c r="E135" s="13" t="s">
        <v>3028</v>
      </c>
    </row>
    <row r="136" spans="1:5" x14ac:dyDescent="0.25">
      <c r="A136" s="9" t="s">
        <v>1896</v>
      </c>
      <c r="B136" s="10" t="s">
        <v>280</v>
      </c>
      <c r="C136" s="9" t="s">
        <v>281</v>
      </c>
      <c r="D136" s="15">
        <v>69.7</v>
      </c>
      <c r="E136" s="13" t="s">
        <v>3028</v>
      </c>
    </row>
    <row r="137" spans="1:5" x14ac:dyDescent="0.25">
      <c r="A137" s="9" t="s">
        <v>1896</v>
      </c>
      <c r="B137" s="10" t="s">
        <v>282</v>
      </c>
      <c r="C137" s="9" t="s">
        <v>283</v>
      </c>
      <c r="D137" s="15">
        <v>105.8</v>
      </c>
      <c r="E137" s="13" t="s">
        <v>3028</v>
      </c>
    </row>
    <row r="138" spans="1:5" x14ac:dyDescent="0.25">
      <c r="A138" s="9" t="s">
        <v>1896</v>
      </c>
      <c r="B138" s="10" t="s">
        <v>286</v>
      </c>
      <c r="C138" s="9" t="s">
        <v>287</v>
      </c>
      <c r="D138" s="15">
        <v>67.2</v>
      </c>
      <c r="E138" s="13" t="s">
        <v>3028</v>
      </c>
    </row>
    <row r="139" spans="1:5" x14ac:dyDescent="0.25">
      <c r="A139" s="9" t="s">
        <v>1896</v>
      </c>
      <c r="B139" s="10" t="s">
        <v>288</v>
      </c>
      <c r="C139" s="9" t="s">
        <v>289</v>
      </c>
      <c r="D139" s="15">
        <v>106.4</v>
      </c>
      <c r="E139" s="13" t="s">
        <v>3028</v>
      </c>
    </row>
    <row r="140" spans="1:5" x14ac:dyDescent="0.25">
      <c r="A140" s="9" t="s">
        <v>1896</v>
      </c>
      <c r="B140" s="10" t="s">
        <v>290</v>
      </c>
      <c r="C140" s="9" t="s">
        <v>291</v>
      </c>
      <c r="D140" s="15">
        <v>190.4</v>
      </c>
      <c r="E140" s="13" t="s">
        <v>3028</v>
      </c>
    </row>
    <row r="141" spans="1:5" x14ac:dyDescent="0.25">
      <c r="A141" s="9" t="s">
        <v>1896</v>
      </c>
      <c r="B141" s="10" t="s">
        <v>292</v>
      </c>
      <c r="C141" s="9" t="s">
        <v>293</v>
      </c>
      <c r="D141" s="15">
        <v>16.8</v>
      </c>
      <c r="E141" s="13" t="s">
        <v>3028</v>
      </c>
    </row>
    <row r="142" spans="1:5" x14ac:dyDescent="0.25">
      <c r="A142" s="9" t="s">
        <v>1896</v>
      </c>
      <c r="B142" s="10" t="s">
        <v>294</v>
      </c>
      <c r="C142" s="9" t="s">
        <v>295</v>
      </c>
      <c r="D142" s="15">
        <v>144.99</v>
      </c>
      <c r="E142" s="13" t="s">
        <v>3028</v>
      </c>
    </row>
    <row r="143" spans="1:5" x14ac:dyDescent="0.25">
      <c r="A143" s="9" t="s">
        <v>1896</v>
      </c>
      <c r="B143" s="10" t="s">
        <v>298</v>
      </c>
      <c r="C143" s="9" t="s">
        <v>299</v>
      </c>
      <c r="D143" s="15">
        <v>61.6</v>
      </c>
      <c r="E143" s="13" t="s">
        <v>3028</v>
      </c>
    </row>
    <row r="144" spans="1:5" x14ac:dyDescent="0.25">
      <c r="A144" s="9" t="s">
        <v>1896</v>
      </c>
      <c r="B144" s="10" t="s">
        <v>302</v>
      </c>
      <c r="C144" s="9" t="s">
        <v>303</v>
      </c>
      <c r="D144" s="15">
        <v>145.6</v>
      </c>
      <c r="E144" s="13" t="s">
        <v>3028</v>
      </c>
    </row>
    <row r="145" spans="1:5" x14ac:dyDescent="0.25">
      <c r="A145" s="9" t="s">
        <v>1896</v>
      </c>
      <c r="B145" s="10" t="s">
        <v>304</v>
      </c>
      <c r="C145" s="9" t="s">
        <v>305</v>
      </c>
      <c r="D145" s="15">
        <v>33.6</v>
      </c>
      <c r="E145" s="13" t="s">
        <v>3028</v>
      </c>
    </row>
    <row r="146" spans="1:5" x14ac:dyDescent="0.25">
      <c r="A146" s="9" t="s">
        <v>1896</v>
      </c>
      <c r="B146" s="10" t="s">
        <v>308</v>
      </c>
      <c r="C146" s="9" t="s">
        <v>309</v>
      </c>
      <c r="D146" s="15">
        <v>595.72</v>
      </c>
      <c r="E146" s="13" t="s">
        <v>3028</v>
      </c>
    </row>
    <row r="147" spans="1:5" x14ac:dyDescent="0.25">
      <c r="A147" s="9" t="s">
        <v>1896</v>
      </c>
      <c r="B147" s="10" t="s">
        <v>314</v>
      </c>
      <c r="C147" s="9" t="s">
        <v>315</v>
      </c>
      <c r="D147" s="15">
        <v>259.5</v>
      </c>
      <c r="E147" s="13" t="s">
        <v>3028</v>
      </c>
    </row>
    <row r="148" spans="1:5" x14ac:dyDescent="0.25">
      <c r="A148" s="9" t="s">
        <v>1896</v>
      </c>
      <c r="B148" s="10" t="s">
        <v>318</v>
      </c>
      <c r="C148" s="9" t="s">
        <v>319</v>
      </c>
      <c r="D148" s="15">
        <v>61.6</v>
      </c>
      <c r="E148" s="13" t="s">
        <v>3028</v>
      </c>
    </row>
    <row r="149" spans="1:5" x14ac:dyDescent="0.25">
      <c r="A149" s="9" t="s">
        <v>1896</v>
      </c>
      <c r="B149" s="10" t="s">
        <v>320</v>
      </c>
      <c r="C149" s="9" t="s">
        <v>321</v>
      </c>
      <c r="D149" s="15">
        <v>398.66</v>
      </c>
      <c r="E149" s="13" t="s">
        <v>3028</v>
      </c>
    </row>
    <row r="150" spans="1:5" x14ac:dyDescent="0.25">
      <c r="A150" s="9" t="s">
        <v>1896</v>
      </c>
      <c r="B150" s="10" t="s">
        <v>326</v>
      </c>
      <c r="C150" s="9" t="s">
        <v>327</v>
      </c>
      <c r="D150" s="15">
        <v>72.8</v>
      </c>
      <c r="E150" s="13" t="s">
        <v>3028</v>
      </c>
    </row>
    <row r="151" spans="1:5" x14ac:dyDescent="0.25">
      <c r="A151" s="9" t="s">
        <v>1896</v>
      </c>
      <c r="B151" s="10" t="s">
        <v>1615</v>
      </c>
      <c r="C151" s="9" t="s">
        <v>1616</v>
      </c>
      <c r="D151" s="15">
        <v>391.01</v>
      </c>
      <c r="E151" s="13" t="s">
        <v>3028</v>
      </c>
    </row>
    <row r="152" spans="1:5" x14ac:dyDescent="0.25">
      <c r="A152" s="9" t="s">
        <v>1896</v>
      </c>
      <c r="B152" s="10" t="s">
        <v>330</v>
      </c>
      <c r="C152" s="9" t="s">
        <v>331</v>
      </c>
      <c r="D152" s="15">
        <v>32.159999999999997</v>
      </c>
      <c r="E152" s="13" t="s">
        <v>3028</v>
      </c>
    </row>
    <row r="153" spans="1:5" x14ac:dyDescent="0.25">
      <c r="A153" s="9" t="s">
        <v>1896</v>
      </c>
      <c r="B153" s="10" t="s">
        <v>334</v>
      </c>
      <c r="C153" s="9" t="s">
        <v>335</v>
      </c>
      <c r="D153" s="15">
        <v>44.8</v>
      </c>
      <c r="E153" s="13" t="s">
        <v>3028</v>
      </c>
    </row>
    <row r="154" spans="1:5" x14ac:dyDescent="0.25">
      <c r="A154" s="9" t="s">
        <v>1896</v>
      </c>
      <c r="B154" s="10" t="s">
        <v>340</v>
      </c>
      <c r="C154" s="9" t="s">
        <v>341</v>
      </c>
      <c r="D154" s="15">
        <v>78.400000000000006</v>
      </c>
      <c r="E154" s="13" t="s">
        <v>3028</v>
      </c>
    </row>
    <row r="155" spans="1:5" x14ac:dyDescent="0.25">
      <c r="A155" s="9" t="s">
        <v>1896</v>
      </c>
      <c r="B155" s="10" t="s">
        <v>342</v>
      </c>
      <c r="C155" s="9" t="s">
        <v>343</v>
      </c>
      <c r="D155" s="15">
        <v>671.86</v>
      </c>
      <c r="E155" s="13" t="s">
        <v>3028</v>
      </c>
    </row>
    <row r="156" spans="1:5" x14ac:dyDescent="0.25">
      <c r="A156" s="9" t="s">
        <v>1896</v>
      </c>
      <c r="B156" s="10" t="s">
        <v>344</v>
      </c>
      <c r="C156" s="9" t="s">
        <v>345</v>
      </c>
      <c r="D156" s="15">
        <v>412.59</v>
      </c>
      <c r="E156" s="13" t="s">
        <v>3028</v>
      </c>
    </row>
    <row r="157" spans="1:5" x14ac:dyDescent="0.25">
      <c r="A157" s="9" t="s">
        <v>1896</v>
      </c>
      <c r="B157" s="10" t="s">
        <v>348</v>
      </c>
      <c r="C157" s="9" t="s">
        <v>349</v>
      </c>
      <c r="D157" s="15">
        <v>268.64999999999998</v>
      </c>
      <c r="E157" s="13" t="s">
        <v>3028</v>
      </c>
    </row>
    <row r="158" spans="1:5" x14ac:dyDescent="0.25">
      <c r="A158" s="9" t="s">
        <v>1896</v>
      </c>
      <c r="B158" s="10" t="s">
        <v>356</v>
      </c>
      <c r="C158" s="9" t="s">
        <v>357</v>
      </c>
      <c r="D158" s="15">
        <v>173.6</v>
      </c>
      <c r="E158" s="13" t="s">
        <v>3028</v>
      </c>
    </row>
    <row r="159" spans="1:5" x14ac:dyDescent="0.25">
      <c r="A159" s="9" t="s">
        <v>1896</v>
      </c>
      <c r="B159" s="10" t="s">
        <v>358</v>
      </c>
      <c r="C159" s="9" t="s">
        <v>359</v>
      </c>
      <c r="D159" s="15">
        <v>786.96</v>
      </c>
      <c r="E159" s="13" t="s">
        <v>3028</v>
      </c>
    </row>
    <row r="160" spans="1:5" x14ac:dyDescent="0.25">
      <c r="A160" s="9" t="s">
        <v>1896</v>
      </c>
      <c r="B160" s="10" t="s">
        <v>360</v>
      </c>
      <c r="C160" s="9" t="s">
        <v>361</v>
      </c>
      <c r="D160" s="15">
        <v>201.6</v>
      </c>
      <c r="E160" s="13" t="s">
        <v>3028</v>
      </c>
    </row>
    <row r="161" spans="1:5" x14ac:dyDescent="0.25">
      <c r="A161" s="9" t="s">
        <v>1896</v>
      </c>
      <c r="B161" s="10" t="s">
        <v>364</v>
      </c>
      <c r="C161" s="9" t="s">
        <v>365</v>
      </c>
      <c r="D161" s="15">
        <v>89</v>
      </c>
      <c r="E161" s="13" t="s">
        <v>3028</v>
      </c>
    </row>
    <row r="162" spans="1:5" x14ac:dyDescent="0.25">
      <c r="A162" s="9" t="s">
        <v>1896</v>
      </c>
      <c r="B162" s="10" t="s">
        <v>366</v>
      </c>
      <c r="C162" s="9" t="s">
        <v>367</v>
      </c>
      <c r="D162" s="15">
        <v>5.6</v>
      </c>
      <c r="E162" s="13" t="s">
        <v>3028</v>
      </c>
    </row>
    <row r="163" spans="1:5" x14ac:dyDescent="0.25">
      <c r="A163" s="9" t="s">
        <v>1896</v>
      </c>
      <c r="B163" s="10" t="s">
        <v>368</v>
      </c>
      <c r="C163" s="9" t="s">
        <v>369</v>
      </c>
      <c r="D163" s="15">
        <v>308.45999999999998</v>
      </c>
      <c r="E163" s="13" t="s">
        <v>3028</v>
      </c>
    </row>
    <row r="164" spans="1:5" x14ac:dyDescent="0.25">
      <c r="A164" s="9" t="s">
        <v>1896</v>
      </c>
      <c r="B164" s="10" t="s">
        <v>370</v>
      </c>
      <c r="C164" s="9" t="s">
        <v>371</v>
      </c>
      <c r="D164" s="15">
        <v>529.13</v>
      </c>
      <c r="E164" s="13" t="s">
        <v>3028</v>
      </c>
    </row>
    <row r="165" spans="1:5" x14ac:dyDescent="0.25">
      <c r="A165" s="9" t="s">
        <v>1896</v>
      </c>
      <c r="B165" s="10" t="s">
        <v>372</v>
      </c>
      <c r="C165" s="9" t="s">
        <v>373</v>
      </c>
      <c r="D165" s="15">
        <v>16.8</v>
      </c>
      <c r="E165" s="13" t="s">
        <v>3028</v>
      </c>
    </row>
    <row r="166" spans="1:5" x14ac:dyDescent="0.25">
      <c r="A166" s="9" t="s">
        <v>1896</v>
      </c>
      <c r="B166" s="10" t="s">
        <v>374</v>
      </c>
      <c r="C166" s="9" t="s">
        <v>375</v>
      </c>
      <c r="D166" s="15">
        <v>433.32</v>
      </c>
      <c r="E166" s="13" t="s">
        <v>3028</v>
      </c>
    </row>
    <row r="167" spans="1:5" x14ac:dyDescent="0.25">
      <c r="A167" s="9" t="s">
        <v>1896</v>
      </c>
      <c r="B167" s="10" t="s">
        <v>376</v>
      </c>
      <c r="C167" s="9" t="s">
        <v>377</v>
      </c>
      <c r="D167" s="15">
        <v>153.6</v>
      </c>
      <c r="E167" s="13" t="s">
        <v>3028</v>
      </c>
    </row>
    <row r="168" spans="1:5" x14ac:dyDescent="0.25">
      <c r="A168" s="9" t="s">
        <v>1896</v>
      </c>
      <c r="B168" s="10" t="s">
        <v>380</v>
      </c>
      <c r="C168" s="9" t="s">
        <v>381</v>
      </c>
      <c r="D168" s="15">
        <v>367.99</v>
      </c>
      <c r="E168" s="13" t="s">
        <v>3028</v>
      </c>
    </row>
    <row r="169" spans="1:5" x14ac:dyDescent="0.25">
      <c r="A169" s="9" t="s">
        <v>1896</v>
      </c>
      <c r="B169" s="10" t="s">
        <v>382</v>
      </c>
      <c r="C169" s="9" t="s">
        <v>383</v>
      </c>
      <c r="D169" s="15">
        <v>666.25</v>
      </c>
      <c r="E169" s="13" t="s">
        <v>3028</v>
      </c>
    </row>
    <row r="170" spans="1:5" x14ac:dyDescent="0.25">
      <c r="A170" s="9" t="s">
        <v>1896</v>
      </c>
      <c r="B170" s="10" t="s">
        <v>384</v>
      </c>
      <c r="C170" s="9" t="s">
        <v>385</v>
      </c>
      <c r="D170" s="15">
        <v>19.3</v>
      </c>
      <c r="E170" s="13" t="s">
        <v>3028</v>
      </c>
    </row>
    <row r="171" spans="1:5" x14ac:dyDescent="0.25">
      <c r="A171" s="9" t="s">
        <v>1896</v>
      </c>
      <c r="B171" s="10" t="s">
        <v>388</v>
      </c>
      <c r="C171" s="9" t="s">
        <v>389</v>
      </c>
      <c r="D171" s="15">
        <v>819.71</v>
      </c>
      <c r="E171" s="13" t="s">
        <v>3028</v>
      </c>
    </row>
    <row r="172" spans="1:5" x14ac:dyDescent="0.25">
      <c r="A172" s="9" t="s">
        <v>1896</v>
      </c>
      <c r="B172" s="10" t="s">
        <v>390</v>
      </c>
      <c r="C172" s="9" t="s">
        <v>391</v>
      </c>
      <c r="D172" s="15">
        <v>243.3</v>
      </c>
      <c r="E172" s="13" t="s">
        <v>3028</v>
      </c>
    </row>
    <row r="173" spans="1:5" x14ac:dyDescent="0.25">
      <c r="A173" s="9" t="s">
        <v>1896</v>
      </c>
      <c r="B173" s="10" t="s">
        <v>392</v>
      </c>
      <c r="C173" s="9" t="s">
        <v>393</v>
      </c>
      <c r="D173" s="15">
        <v>608.17999999999995</v>
      </c>
      <c r="E173" s="13" t="s">
        <v>3028</v>
      </c>
    </row>
    <row r="174" spans="1:5" x14ac:dyDescent="0.25">
      <c r="A174" s="9" t="s">
        <v>1896</v>
      </c>
      <c r="B174" s="10" t="s">
        <v>394</v>
      </c>
      <c r="C174" s="9" t="s">
        <v>395</v>
      </c>
      <c r="D174" s="15">
        <v>16.8</v>
      </c>
      <c r="E174" s="13" t="s">
        <v>3028</v>
      </c>
    </row>
    <row r="175" spans="1:5" x14ac:dyDescent="0.25">
      <c r="A175" s="9" t="s">
        <v>1896</v>
      </c>
      <c r="B175" s="10" t="s">
        <v>396</v>
      </c>
      <c r="C175" s="9" t="s">
        <v>397</v>
      </c>
      <c r="D175" s="15">
        <v>112.44</v>
      </c>
      <c r="E175" s="13" t="s">
        <v>3028</v>
      </c>
    </row>
    <row r="176" spans="1:5" x14ac:dyDescent="0.25">
      <c r="A176" s="9" t="s">
        <v>1896</v>
      </c>
      <c r="B176" s="10" t="s">
        <v>398</v>
      </c>
      <c r="C176" s="9" t="s">
        <v>399</v>
      </c>
      <c r="D176" s="15">
        <v>426.43</v>
      </c>
      <c r="E176" s="13" t="s">
        <v>3028</v>
      </c>
    </row>
    <row r="177" spans="1:5" x14ac:dyDescent="0.25">
      <c r="A177" s="9" t="s">
        <v>1896</v>
      </c>
      <c r="B177" s="10" t="s">
        <v>406</v>
      </c>
      <c r="C177" s="9" t="s">
        <v>407</v>
      </c>
      <c r="D177" s="15">
        <v>555.28</v>
      </c>
      <c r="E177" s="13" t="s">
        <v>3028</v>
      </c>
    </row>
    <row r="178" spans="1:5" x14ac:dyDescent="0.25">
      <c r="A178" s="9" t="s">
        <v>1896</v>
      </c>
      <c r="B178" s="10" t="s">
        <v>408</v>
      </c>
      <c r="C178" s="9" t="s">
        <v>409</v>
      </c>
      <c r="D178" s="15">
        <v>112</v>
      </c>
      <c r="E178" s="13" t="s">
        <v>3028</v>
      </c>
    </row>
    <row r="179" spans="1:5" x14ac:dyDescent="0.25">
      <c r="A179" s="9" t="s">
        <v>1896</v>
      </c>
      <c r="B179" s="10" t="s">
        <v>410</v>
      </c>
      <c r="C179" s="9" t="s">
        <v>411</v>
      </c>
      <c r="D179" s="15">
        <v>405.55</v>
      </c>
      <c r="E179" s="13" t="s">
        <v>3028</v>
      </c>
    </row>
    <row r="180" spans="1:5" x14ac:dyDescent="0.25">
      <c r="A180" s="9" t="s">
        <v>1896</v>
      </c>
      <c r="B180" s="10" t="s">
        <v>412</v>
      </c>
      <c r="C180" s="9" t="s">
        <v>413</v>
      </c>
      <c r="D180" s="15">
        <v>117.6</v>
      </c>
      <c r="E180" s="13" t="s">
        <v>3028</v>
      </c>
    </row>
    <row r="181" spans="1:5" x14ac:dyDescent="0.25">
      <c r="A181" s="9" t="s">
        <v>1896</v>
      </c>
      <c r="B181" s="10" t="s">
        <v>414</v>
      </c>
      <c r="C181" s="9" t="s">
        <v>415</v>
      </c>
      <c r="D181" s="15">
        <v>1001.19</v>
      </c>
      <c r="E181" s="13" t="s">
        <v>3028</v>
      </c>
    </row>
    <row r="182" spans="1:5" x14ac:dyDescent="0.25">
      <c r="A182" s="9" t="s">
        <v>1896</v>
      </c>
      <c r="B182" s="10" t="s">
        <v>416</v>
      </c>
      <c r="C182" s="9" t="s">
        <v>417</v>
      </c>
      <c r="D182" s="15">
        <v>984.37</v>
      </c>
      <c r="E182" s="13" t="s">
        <v>3028</v>
      </c>
    </row>
    <row r="183" spans="1:5" x14ac:dyDescent="0.25">
      <c r="A183" s="9" t="s">
        <v>1896</v>
      </c>
      <c r="B183" s="10" t="s">
        <v>418</v>
      </c>
      <c r="C183" s="9" t="s">
        <v>419</v>
      </c>
      <c r="D183" s="15">
        <v>310.73</v>
      </c>
      <c r="E183" s="13" t="s">
        <v>3028</v>
      </c>
    </row>
    <row r="184" spans="1:5" x14ac:dyDescent="0.25">
      <c r="A184" s="9" t="s">
        <v>1896</v>
      </c>
      <c r="B184" s="10" t="s">
        <v>420</v>
      </c>
      <c r="C184" s="9" t="s">
        <v>421</v>
      </c>
      <c r="D184" s="15">
        <v>153.09</v>
      </c>
      <c r="E184" s="13" t="s">
        <v>3028</v>
      </c>
    </row>
    <row r="185" spans="1:5" x14ac:dyDescent="0.25">
      <c r="A185" s="9" t="s">
        <v>1896</v>
      </c>
      <c r="B185" s="10" t="s">
        <v>422</v>
      </c>
      <c r="C185" s="9" t="s">
        <v>423</v>
      </c>
      <c r="D185" s="15">
        <v>146.66</v>
      </c>
      <c r="E185" s="13" t="s">
        <v>3028</v>
      </c>
    </row>
    <row r="186" spans="1:5" x14ac:dyDescent="0.25">
      <c r="A186" s="9" t="s">
        <v>1896</v>
      </c>
      <c r="B186" s="10" t="s">
        <v>430</v>
      </c>
      <c r="C186" s="9" t="s">
        <v>431</v>
      </c>
      <c r="D186" s="15">
        <v>527.09</v>
      </c>
      <c r="E186" s="13" t="s">
        <v>3028</v>
      </c>
    </row>
    <row r="187" spans="1:5" x14ac:dyDescent="0.25">
      <c r="A187" s="9" t="s">
        <v>1896</v>
      </c>
      <c r="B187" s="10" t="s">
        <v>432</v>
      </c>
      <c r="C187" s="9" t="s">
        <v>433</v>
      </c>
      <c r="D187" s="15">
        <v>358.46</v>
      </c>
      <c r="E187" s="13" t="s">
        <v>3028</v>
      </c>
    </row>
    <row r="188" spans="1:5" x14ac:dyDescent="0.25">
      <c r="A188" s="9" t="s">
        <v>1896</v>
      </c>
      <c r="B188" s="10" t="s">
        <v>436</v>
      </c>
      <c r="C188" s="9" t="s">
        <v>437</v>
      </c>
      <c r="D188" s="15">
        <v>156.80000000000001</v>
      </c>
      <c r="E188" s="13" t="s">
        <v>3028</v>
      </c>
    </row>
    <row r="189" spans="1:5" x14ac:dyDescent="0.25">
      <c r="A189" s="9" t="s">
        <v>1896</v>
      </c>
      <c r="B189" s="10" t="s">
        <v>442</v>
      </c>
      <c r="C189" s="9" t="s">
        <v>443</v>
      </c>
      <c r="D189" s="15">
        <v>97.92</v>
      </c>
      <c r="E189" s="13" t="s">
        <v>3028</v>
      </c>
    </row>
    <row r="190" spans="1:5" x14ac:dyDescent="0.25">
      <c r="A190" s="9" t="s">
        <v>1896</v>
      </c>
      <c r="B190" s="10" t="s">
        <v>444</v>
      </c>
      <c r="C190" s="9" t="s">
        <v>445</v>
      </c>
      <c r="D190" s="15">
        <v>328.57</v>
      </c>
      <c r="E190" s="13" t="s">
        <v>3028</v>
      </c>
    </row>
    <row r="191" spans="1:5" x14ac:dyDescent="0.25">
      <c r="A191" s="9" t="s">
        <v>1896</v>
      </c>
      <c r="B191" s="10" t="s">
        <v>450</v>
      </c>
      <c r="C191" s="9" t="s">
        <v>451</v>
      </c>
      <c r="D191" s="15">
        <v>95.2</v>
      </c>
      <c r="E191" s="13" t="s">
        <v>3028</v>
      </c>
    </row>
    <row r="192" spans="1:5" x14ac:dyDescent="0.25">
      <c r="A192" s="9" t="s">
        <v>1896</v>
      </c>
      <c r="B192" s="10" t="s">
        <v>452</v>
      </c>
      <c r="C192" s="9" t="s">
        <v>453</v>
      </c>
      <c r="D192" s="15">
        <v>248.37</v>
      </c>
      <c r="E192" s="13" t="s">
        <v>3028</v>
      </c>
    </row>
    <row r="193" spans="1:5" x14ac:dyDescent="0.25">
      <c r="A193" s="9" t="s">
        <v>1896</v>
      </c>
      <c r="B193" s="10" t="s">
        <v>454</v>
      </c>
      <c r="C193" s="9" t="s">
        <v>455</v>
      </c>
      <c r="D193" s="15">
        <v>139.02000000000001</v>
      </c>
      <c r="E193" s="13" t="s">
        <v>3028</v>
      </c>
    </row>
    <row r="194" spans="1:5" x14ac:dyDescent="0.25">
      <c r="A194" s="9" t="s">
        <v>1896</v>
      </c>
      <c r="B194" s="10" t="s">
        <v>456</v>
      </c>
      <c r="C194" s="9" t="s">
        <v>457</v>
      </c>
      <c r="D194" s="15">
        <v>112</v>
      </c>
      <c r="E194" s="13" t="s">
        <v>3028</v>
      </c>
    </row>
    <row r="195" spans="1:5" x14ac:dyDescent="0.25">
      <c r="A195" s="9" t="s">
        <v>1896</v>
      </c>
      <c r="B195" s="10" t="s">
        <v>458</v>
      </c>
      <c r="C195" s="9" t="s">
        <v>459</v>
      </c>
      <c r="D195" s="15">
        <v>519.64</v>
      </c>
      <c r="E195" s="13" t="s">
        <v>3028</v>
      </c>
    </row>
    <row r="196" spans="1:5" x14ac:dyDescent="0.25">
      <c r="A196" s="9" t="s">
        <v>1896</v>
      </c>
      <c r="B196" s="10" t="s">
        <v>460</v>
      </c>
      <c r="C196" s="9" t="s">
        <v>461</v>
      </c>
      <c r="D196" s="15">
        <v>106.4</v>
      </c>
      <c r="E196" s="13" t="s">
        <v>3028</v>
      </c>
    </row>
    <row r="197" spans="1:5" x14ac:dyDescent="0.25">
      <c r="A197" s="9" t="s">
        <v>1896</v>
      </c>
      <c r="B197" s="10" t="s">
        <v>464</v>
      </c>
      <c r="C197" s="9" t="s">
        <v>465</v>
      </c>
      <c r="D197" s="15">
        <v>425</v>
      </c>
      <c r="E197" s="13" t="s">
        <v>3028</v>
      </c>
    </row>
    <row r="198" spans="1:5" x14ac:dyDescent="0.25">
      <c r="A198" s="9" t="s">
        <v>1896</v>
      </c>
      <c r="B198" s="10" t="s">
        <v>466</v>
      </c>
      <c r="C198" s="9" t="s">
        <v>467</v>
      </c>
      <c r="D198" s="15">
        <v>72.8</v>
      </c>
      <c r="E198" s="13" t="s">
        <v>3028</v>
      </c>
    </row>
    <row r="199" spans="1:5" x14ac:dyDescent="0.25">
      <c r="A199" s="9" t="s">
        <v>1896</v>
      </c>
      <c r="B199" s="10" t="s">
        <v>1617</v>
      </c>
      <c r="C199" s="9" t="s">
        <v>1618</v>
      </c>
      <c r="D199" s="15">
        <v>918.53</v>
      </c>
      <c r="E199" s="13" t="s">
        <v>3028</v>
      </c>
    </row>
    <row r="200" spans="1:5" x14ac:dyDescent="0.25">
      <c r="A200" s="9" t="s">
        <v>1896</v>
      </c>
      <c r="B200" s="10" t="s">
        <v>468</v>
      </c>
      <c r="C200" s="9" t="s">
        <v>469</v>
      </c>
      <c r="D200" s="15">
        <v>399.56</v>
      </c>
      <c r="E200" s="13" t="s">
        <v>3028</v>
      </c>
    </row>
    <row r="201" spans="1:5" x14ac:dyDescent="0.25">
      <c r="A201" s="9" t="s">
        <v>1896</v>
      </c>
      <c r="B201" s="10" t="s">
        <v>470</v>
      </c>
      <c r="C201" s="9" t="s">
        <v>471</v>
      </c>
      <c r="D201" s="15">
        <v>322.14999999999998</v>
      </c>
      <c r="E201" s="13" t="s">
        <v>3028</v>
      </c>
    </row>
    <row r="202" spans="1:5" x14ac:dyDescent="0.25">
      <c r="A202" s="9" t="s">
        <v>1896</v>
      </c>
      <c r="B202" s="10" t="s">
        <v>474</v>
      </c>
      <c r="C202" s="9" t="s">
        <v>475</v>
      </c>
      <c r="D202" s="15">
        <v>291.64999999999998</v>
      </c>
      <c r="E202" s="13" t="s">
        <v>3028</v>
      </c>
    </row>
    <row r="203" spans="1:5" x14ac:dyDescent="0.25">
      <c r="A203" s="9" t="s">
        <v>1896</v>
      </c>
      <c r="B203" s="10" t="s">
        <v>476</v>
      </c>
      <c r="C203" s="9" t="s">
        <v>477</v>
      </c>
      <c r="D203" s="15">
        <v>265.7</v>
      </c>
      <c r="E203" s="13" t="s">
        <v>3028</v>
      </c>
    </row>
    <row r="204" spans="1:5" x14ac:dyDescent="0.25">
      <c r="A204" s="9" t="s">
        <v>1896</v>
      </c>
      <c r="B204" s="10" t="s">
        <v>496</v>
      </c>
      <c r="C204" s="9" t="s">
        <v>497</v>
      </c>
      <c r="D204" s="15">
        <v>39.200000000000003</v>
      </c>
      <c r="E204" s="13" t="s">
        <v>3028</v>
      </c>
    </row>
    <row r="205" spans="1:5" x14ac:dyDescent="0.25">
      <c r="A205" s="9" t="s">
        <v>1896</v>
      </c>
      <c r="B205" s="10" t="s">
        <v>506</v>
      </c>
      <c r="C205" s="9" t="s">
        <v>507</v>
      </c>
      <c r="D205" s="15">
        <v>166.8</v>
      </c>
      <c r="E205" s="13" t="s">
        <v>3028</v>
      </c>
    </row>
    <row r="206" spans="1:5" x14ac:dyDescent="0.25">
      <c r="A206" s="9" t="s">
        <v>1896</v>
      </c>
      <c r="B206" s="10" t="s">
        <v>510</v>
      </c>
      <c r="C206" s="9" t="s">
        <v>511</v>
      </c>
      <c r="D206" s="15">
        <v>725.96</v>
      </c>
      <c r="E206" s="13" t="s">
        <v>3028</v>
      </c>
    </row>
    <row r="207" spans="1:5" x14ac:dyDescent="0.25">
      <c r="A207" s="9" t="s">
        <v>1896</v>
      </c>
      <c r="B207" s="10" t="s">
        <v>514</v>
      </c>
      <c r="C207" s="9" t="s">
        <v>515</v>
      </c>
      <c r="D207" s="15">
        <v>515.04999999999995</v>
      </c>
      <c r="E207" s="13" t="s">
        <v>3028</v>
      </c>
    </row>
    <row r="208" spans="1:5" x14ac:dyDescent="0.25">
      <c r="A208" s="9" t="s">
        <v>1896</v>
      </c>
      <c r="B208" s="10" t="s">
        <v>516</v>
      </c>
      <c r="C208" s="9" t="s">
        <v>517</v>
      </c>
      <c r="D208" s="15">
        <v>31.8</v>
      </c>
      <c r="E208" s="13" t="s">
        <v>3028</v>
      </c>
    </row>
    <row r="209" spans="1:5" x14ac:dyDescent="0.25">
      <c r="A209" s="9" t="s">
        <v>1896</v>
      </c>
      <c r="B209" s="10" t="s">
        <v>518</v>
      </c>
      <c r="C209" s="9" t="s">
        <v>519</v>
      </c>
      <c r="D209" s="15">
        <v>465.25</v>
      </c>
      <c r="E209" s="13" t="s">
        <v>3028</v>
      </c>
    </row>
    <row r="210" spans="1:5" x14ac:dyDescent="0.25">
      <c r="A210" s="9" t="s">
        <v>1896</v>
      </c>
      <c r="B210" s="10" t="s">
        <v>520</v>
      </c>
      <c r="C210" s="9" t="s">
        <v>521</v>
      </c>
      <c r="D210" s="15">
        <v>431.03</v>
      </c>
      <c r="E210" s="13" t="s">
        <v>3028</v>
      </c>
    </row>
    <row r="211" spans="1:5" x14ac:dyDescent="0.25">
      <c r="A211" s="9" t="s">
        <v>1896</v>
      </c>
      <c r="B211" s="10" t="s">
        <v>524</v>
      </c>
      <c r="C211" s="9" t="s">
        <v>525</v>
      </c>
      <c r="D211" s="15">
        <v>52.9</v>
      </c>
      <c r="E211" s="13" t="s">
        <v>3028</v>
      </c>
    </row>
    <row r="212" spans="1:5" x14ac:dyDescent="0.25">
      <c r="A212" s="9" t="s">
        <v>1896</v>
      </c>
      <c r="B212" s="10" t="s">
        <v>530</v>
      </c>
      <c r="C212" s="9" t="s">
        <v>531</v>
      </c>
      <c r="D212" s="15">
        <v>132.57</v>
      </c>
      <c r="E212" s="13" t="s">
        <v>3028</v>
      </c>
    </row>
    <row r="213" spans="1:5" x14ac:dyDescent="0.25">
      <c r="A213" s="9" t="s">
        <v>1896</v>
      </c>
      <c r="B213" s="10" t="s">
        <v>532</v>
      </c>
      <c r="C213" s="9" t="s">
        <v>533</v>
      </c>
      <c r="D213" s="15">
        <v>72.2</v>
      </c>
      <c r="E213" s="13" t="s">
        <v>3028</v>
      </c>
    </row>
    <row r="214" spans="1:5" x14ac:dyDescent="0.25">
      <c r="A214" s="9" t="s">
        <v>1896</v>
      </c>
      <c r="B214" s="10" t="s">
        <v>534</v>
      </c>
      <c r="C214" s="9" t="s">
        <v>535</v>
      </c>
      <c r="D214" s="15">
        <v>358.86</v>
      </c>
      <c r="E214" s="13" t="s">
        <v>3028</v>
      </c>
    </row>
    <row r="215" spans="1:5" x14ac:dyDescent="0.25">
      <c r="A215" s="9" t="s">
        <v>1896</v>
      </c>
      <c r="B215" s="10" t="s">
        <v>536</v>
      </c>
      <c r="C215" s="9" t="s">
        <v>537</v>
      </c>
      <c r="D215" s="15">
        <v>137</v>
      </c>
      <c r="E215" s="13" t="s">
        <v>3028</v>
      </c>
    </row>
    <row r="216" spans="1:5" x14ac:dyDescent="0.25">
      <c r="A216" s="9" t="s">
        <v>1896</v>
      </c>
      <c r="B216" s="10" t="s">
        <v>542</v>
      </c>
      <c r="C216" s="9" t="s">
        <v>543</v>
      </c>
      <c r="D216" s="15">
        <v>97.7</v>
      </c>
      <c r="E216" s="13" t="s">
        <v>3028</v>
      </c>
    </row>
    <row r="217" spans="1:5" x14ac:dyDescent="0.25">
      <c r="A217" s="9" t="s">
        <v>1896</v>
      </c>
      <c r="B217" s="10" t="s">
        <v>544</v>
      </c>
      <c r="C217" s="9" t="s">
        <v>545</v>
      </c>
      <c r="D217" s="15">
        <v>285.20999999999998</v>
      </c>
      <c r="E217" s="13" t="s">
        <v>3028</v>
      </c>
    </row>
    <row r="218" spans="1:5" x14ac:dyDescent="0.25">
      <c r="A218" s="9" t="s">
        <v>1896</v>
      </c>
      <c r="B218" s="10" t="s">
        <v>546</v>
      </c>
      <c r="C218" s="9" t="s">
        <v>547</v>
      </c>
      <c r="D218" s="15">
        <v>141.26</v>
      </c>
      <c r="E218" s="13" t="s">
        <v>3028</v>
      </c>
    </row>
    <row r="219" spans="1:5" x14ac:dyDescent="0.25">
      <c r="A219" s="9" t="s">
        <v>1896</v>
      </c>
      <c r="B219" s="10" t="s">
        <v>548</v>
      </c>
      <c r="C219" s="9" t="s">
        <v>549</v>
      </c>
      <c r="D219" s="15">
        <v>179.2</v>
      </c>
      <c r="E219" s="13" t="s">
        <v>3028</v>
      </c>
    </row>
    <row r="220" spans="1:5" x14ac:dyDescent="0.25">
      <c r="A220" s="9" t="s">
        <v>1896</v>
      </c>
      <c r="B220" s="10" t="s">
        <v>550</v>
      </c>
      <c r="C220" s="9" t="s">
        <v>551</v>
      </c>
      <c r="D220" s="15">
        <v>171.56</v>
      </c>
      <c r="E220" s="13" t="s">
        <v>3028</v>
      </c>
    </row>
    <row r="221" spans="1:5" x14ac:dyDescent="0.25">
      <c r="A221" s="9" t="s">
        <v>1896</v>
      </c>
      <c r="B221" s="10" t="s">
        <v>552</v>
      </c>
      <c r="C221" s="9" t="s">
        <v>553</v>
      </c>
      <c r="D221" s="15">
        <v>676.88</v>
      </c>
      <c r="E221" s="13" t="s">
        <v>3028</v>
      </c>
    </row>
    <row r="222" spans="1:5" x14ac:dyDescent="0.25">
      <c r="A222" s="9" t="s">
        <v>1896</v>
      </c>
      <c r="B222" s="10" t="s">
        <v>554</v>
      </c>
      <c r="C222" s="9" t="s">
        <v>555</v>
      </c>
      <c r="D222" s="15">
        <v>22.4</v>
      </c>
      <c r="E222" s="13" t="s">
        <v>3028</v>
      </c>
    </row>
    <row r="223" spans="1:5" x14ac:dyDescent="0.25">
      <c r="A223" s="9" t="s">
        <v>1896</v>
      </c>
      <c r="B223" s="10" t="s">
        <v>556</v>
      </c>
      <c r="C223" s="9" t="s">
        <v>557</v>
      </c>
      <c r="D223" s="15">
        <v>691.75</v>
      </c>
      <c r="E223" s="13" t="s">
        <v>3028</v>
      </c>
    </row>
    <row r="224" spans="1:5" x14ac:dyDescent="0.25">
      <c r="A224" s="9" t="s">
        <v>1896</v>
      </c>
      <c r="B224" s="10" t="s">
        <v>564</v>
      </c>
      <c r="C224" s="9" t="s">
        <v>565</v>
      </c>
      <c r="D224" s="15">
        <v>55.4</v>
      </c>
      <c r="E224" s="13" t="s">
        <v>3028</v>
      </c>
    </row>
    <row r="225" spans="1:5" x14ac:dyDescent="0.25">
      <c r="A225" s="9" t="s">
        <v>1896</v>
      </c>
      <c r="B225" s="10" t="s">
        <v>576</v>
      </c>
      <c r="C225" s="9" t="s">
        <v>577</v>
      </c>
      <c r="D225" s="15">
        <v>207.2</v>
      </c>
      <c r="E225" s="13" t="s">
        <v>3028</v>
      </c>
    </row>
    <row r="226" spans="1:5" x14ac:dyDescent="0.25">
      <c r="A226" s="9" t="s">
        <v>1896</v>
      </c>
      <c r="B226" s="10" t="s">
        <v>590</v>
      </c>
      <c r="C226" s="9" t="s">
        <v>591</v>
      </c>
      <c r="D226" s="15">
        <v>291.64</v>
      </c>
      <c r="E226" s="13" t="s">
        <v>3028</v>
      </c>
    </row>
    <row r="227" spans="1:5" x14ac:dyDescent="0.25">
      <c r="A227" s="9" t="s">
        <v>1896</v>
      </c>
      <c r="B227" s="10" t="s">
        <v>596</v>
      </c>
      <c r="C227" s="9" t="s">
        <v>597</v>
      </c>
      <c r="D227" s="15">
        <v>263.64</v>
      </c>
      <c r="E227" s="13" t="s">
        <v>3028</v>
      </c>
    </row>
    <row r="228" spans="1:5" x14ac:dyDescent="0.25">
      <c r="A228" s="9" t="s">
        <v>1896</v>
      </c>
      <c r="B228" s="10" t="s">
        <v>598</v>
      </c>
      <c r="C228" s="9" t="s">
        <v>599</v>
      </c>
      <c r="D228" s="15">
        <v>438.91</v>
      </c>
      <c r="E228" s="13" t="s">
        <v>3028</v>
      </c>
    </row>
    <row r="229" spans="1:5" x14ac:dyDescent="0.25">
      <c r="A229" s="9" t="s">
        <v>1896</v>
      </c>
      <c r="B229" s="10" t="s">
        <v>602</v>
      </c>
      <c r="C229" s="9" t="s">
        <v>603</v>
      </c>
      <c r="D229" s="15">
        <v>5.6</v>
      </c>
      <c r="E229" s="13" t="s">
        <v>3028</v>
      </c>
    </row>
    <row r="230" spans="1:5" x14ac:dyDescent="0.25">
      <c r="A230" s="9" t="s">
        <v>1896</v>
      </c>
      <c r="B230" s="10" t="s">
        <v>610</v>
      </c>
      <c r="C230" s="9" t="s">
        <v>611</v>
      </c>
      <c r="D230" s="15">
        <v>213.86</v>
      </c>
      <c r="E230" s="13" t="s">
        <v>3028</v>
      </c>
    </row>
    <row r="231" spans="1:5" x14ac:dyDescent="0.25">
      <c r="A231" s="9" t="s">
        <v>1896</v>
      </c>
      <c r="B231" s="10" t="s">
        <v>612</v>
      </c>
      <c r="C231" s="9" t="s">
        <v>613</v>
      </c>
      <c r="D231" s="15">
        <v>784.07</v>
      </c>
      <c r="E231" s="13" t="s">
        <v>3028</v>
      </c>
    </row>
    <row r="232" spans="1:5" x14ac:dyDescent="0.25">
      <c r="A232" s="9" t="s">
        <v>1896</v>
      </c>
      <c r="B232" s="10" t="s">
        <v>614</v>
      </c>
      <c r="C232" s="9" t="s">
        <v>615</v>
      </c>
      <c r="D232" s="15">
        <v>297.25</v>
      </c>
      <c r="E232" s="13" t="s">
        <v>3028</v>
      </c>
    </row>
    <row r="233" spans="1:5" x14ac:dyDescent="0.25">
      <c r="A233" s="9" t="s">
        <v>1896</v>
      </c>
      <c r="B233" s="10" t="s">
        <v>618</v>
      </c>
      <c r="C233" s="9" t="s">
        <v>619</v>
      </c>
      <c r="D233" s="15">
        <v>365.06</v>
      </c>
      <c r="E233" s="13" t="s">
        <v>3028</v>
      </c>
    </row>
    <row r="234" spans="1:5" x14ac:dyDescent="0.25">
      <c r="A234" s="9" t="s">
        <v>1896</v>
      </c>
      <c r="B234" s="10" t="s">
        <v>622</v>
      </c>
      <c r="C234" s="9" t="s">
        <v>623</v>
      </c>
      <c r="D234" s="15">
        <v>570.59</v>
      </c>
      <c r="E234" s="13" t="s">
        <v>3028</v>
      </c>
    </row>
    <row r="235" spans="1:5" x14ac:dyDescent="0.25">
      <c r="A235" s="9" t="s">
        <v>1896</v>
      </c>
      <c r="B235" s="10" t="s">
        <v>624</v>
      </c>
      <c r="C235" s="9" t="s">
        <v>625</v>
      </c>
      <c r="D235" s="15">
        <v>156.19999999999999</v>
      </c>
      <c r="E235" s="13" t="s">
        <v>3028</v>
      </c>
    </row>
    <row r="236" spans="1:5" x14ac:dyDescent="0.25">
      <c r="A236" s="9" t="s">
        <v>1896</v>
      </c>
      <c r="B236" s="10" t="s">
        <v>626</v>
      </c>
      <c r="C236" s="9" t="s">
        <v>627</v>
      </c>
      <c r="D236" s="15">
        <v>50.4</v>
      </c>
      <c r="E236" s="13" t="s">
        <v>3028</v>
      </c>
    </row>
    <row r="237" spans="1:5" x14ac:dyDescent="0.25">
      <c r="A237" s="9" t="s">
        <v>1896</v>
      </c>
      <c r="B237" s="10" t="s">
        <v>628</v>
      </c>
      <c r="C237" s="9" t="s">
        <v>629</v>
      </c>
      <c r="D237" s="15">
        <v>95.2</v>
      </c>
      <c r="E237" s="13" t="s">
        <v>3028</v>
      </c>
    </row>
    <row r="238" spans="1:5" x14ac:dyDescent="0.25">
      <c r="A238" s="9" t="s">
        <v>1896</v>
      </c>
      <c r="B238" s="10" t="s">
        <v>632</v>
      </c>
      <c r="C238" s="9" t="s">
        <v>633</v>
      </c>
      <c r="D238" s="15">
        <v>160.78</v>
      </c>
      <c r="E238" s="13" t="s">
        <v>3028</v>
      </c>
    </row>
    <row r="239" spans="1:5" x14ac:dyDescent="0.25">
      <c r="A239" s="9" t="s">
        <v>1896</v>
      </c>
      <c r="B239" s="10" t="s">
        <v>634</v>
      </c>
      <c r="C239" s="9" t="s">
        <v>635</v>
      </c>
      <c r="D239" s="15">
        <v>148.93</v>
      </c>
      <c r="E239" s="13" t="s">
        <v>3028</v>
      </c>
    </row>
    <row r="240" spans="1:5" x14ac:dyDescent="0.25">
      <c r="A240" s="9" t="s">
        <v>1896</v>
      </c>
      <c r="B240" s="10" t="s">
        <v>636</v>
      </c>
      <c r="C240" s="9" t="s">
        <v>637</v>
      </c>
      <c r="D240" s="15">
        <v>465.07</v>
      </c>
      <c r="E240" s="13" t="s">
        <v>3028</v>
      </c>
    </row>
    <row r="241" spans="1:5" x14ac:dyDescent="0.25">
      <c r="A241" s="9" t="s">
        <v>1896</v>
      </c>
      <c r="B241" s="10" t="s">
        <v>638</v>
      </c>
      <c r="C241" s="9" t="s">
        <v>639</v>
      </c>
      <c r="D241" s="15">
        <v>150.6</v>
      </c>
      <c r="E241" s="13" t="s">
        <v>3028</v>
      </c>
    </row>
    <row r="242" spans="1:5" x14ac:dyDescent="0.25">
      <c r="A242" s="9" t="s">
        <v>1896</v>
      </c>
      <c r="B242" s="10" t="s">
        <v>642</v>
      </c>
      <c r="C242" s="9" t="s">
        <v>643</v>
      </c>
      <c r="D242" s="15">
        <v>724.18</v>
      </c>
      <c r="E242" s="13" t="s">
        <v>3028</v>
      </c>
    </row>
    <row r="243" spans="1:5" x14ac:dyDescent="0.25">
      <c r="A243" s="9" t="s">
        <v>1896</v>
      </c>
      <c r="B243" s="10" t="s">
        <v>644</v>
      </c>
      <c r="C243" s="9" t="s">
        <v>645</v>
      </c>
      <c r="D243" s="15">
        <v>685.53</v>
      </c>
      <c r="E243" s="13" t="s">
        <v>3028</v>
      </c>
    </row>
    <row r="244" spans="1:5" x14ac:dyDescent="0.25">
      <c r="A244" s="9" t="s">
        <v>1896</v>
      </c>
      <c r="B244" s="10" t="s">
        <v>646</v>
      </c>
      <c r="C244" s="9" t="s">
        <v>647</v>
      </c>
      <c r="D244" s="15">
        <v>635.76</v>
      </c>
      <c r="E244" s="13" t="s">
        <v>3028</v>
      </c>
    </row>
    <row r="245" spans="1:5" x14ac:dyDescent="0.25">
      <c r="A245" s="9" t="s">
        <v>1896</v>
      </c>
      <c r="B245" s="10" t="s">
        <v>652</v>
      </c>
      <c r="C245" s="9" t="s">
        <v>653</v>
      </c>
      <c r="D245" s="15">
        <v>654.21</v>
      </c>
      <c r="E245" s="13" t="s">
        <v>3028</v>
      </c>
    </row>
    <row r="246" spans="1:5" x14ac:dyDescent="0.25">
      <c r="A246" s="9" t="s">
        <v>1896</v>
      </c>
      <c r="B246" s="10" t="s">
        <v>656</v>
      </c>
      <c r="C246" s="9" t="s">
        <v>657</v>
      </c>
      <c r="D246" s="15">
        <v>353.03</v>
      </c>
      <c r="E246" s="13" t="s">
        <v>3028</v>
      </c>
    </row>
    <row r="247" spans="1:5" x14ac:dyDescent="0.25">
      <c r="A247" s="9" t="s">
        <v>1896</v>
      </c>
      <c r="B247" s="10" t="s">
        <v>660</v>
      </c>
      <c r="C247" s="9" t="s">
        <v>661</v>
      </c>
      <c r="D247" s="15">
        <v>587.20000000000005</v>
      </c>
      <c r="E247" s="13" t="s">
        <v>3028</v>
      </c>
    </row>
    <row r="248" spans="1:5" x14ac:dyDescent="0.25">
      <c r="A248" s="9" t="s">
        <v>1896</v>
      </c>
      <c r="B248" s="10" t="s">
        <v>676</v>
      </c>
      <c r="C248" s="9" t="s">
        <v>677</v>
      </c>
      <c r="D248" s="15">
        <v>1233.4000000000001</v>
      </c>
      <c r="E248" s="13" t="s">
        <v>3028</v>
      </c>
    </row>
    <row r="249" spans="1:5" x14ac:dyDescent="0.25">
      <c r="A249" s="9" t="s">
        <v>1896</v>
      </c>
      <c r="B249" s="10" t="s">
        <v>680</v>
      </c>
      <c r="C249" s="9" t="s">
        <v>681</v>
      </c>
      <c r="D249" s="15">
        <v>614.6</v>
      </c>
      <c r="E249" s="13" t="s">
        <v>3028</v>
      </c>
    </row>
    <row r="250" spans="1:5" x14ac:dyDescent="0.25">
      <c r="A250" s="9" t="s">
        <v>1896</v>
      </c>
      <c r="B250" s="10" t="s">
        <v>682</v>
      </c>
      <c r="C250" s="9" t="s">
        <v>683</v>
      </c>
      <c r="D250" s="15">
        <v>1015.54</v>
      </c>
      <c r="E250" s="13" t="s">
        <v>3028</v>
      </c>
    </row>
    <row r="251" spans="1:5" x14ac:dyDescent="0.25">
      <c r="A251" s="9" t="s">
        <v>1896</v>
      </c>
      <c r="B251" s="10" t="s">
        <v>686</v>
      </c>
      <c r="C251" s="9" t="s">
        <v>687</v>
      </c>
      <c r="D251" s="15">
        <v>99.36</v>
      </c>
      <c r="E251" s="13" t="s">
        <v>3028</v>
      </c>
    </row>
    <row r="252" spans="1:5" x14ac:dyDescent="0.25">
      <c r="A252" s="9" t="s">
        <v>1896</v>
      </c>
      <c r="B252" s="10" t="s">
        <v>688</v>
      </c>
      <c r="C252" s="9" t="s">
        <v>689</v>
      </c>
      <c r="D252" s="15">
        <v>303.68</v>
      </c>
      <c r="E252" s="13" t="s">
        <v>3028</v>
      </c>
    </row>
    <row r="253" spans="1:5" x14ac:dyDescent="0.25">
      <c r="A253" s="9" t="s">
        <v>1896</v>
      </c>
      <c r="B253" s="10" t="s">
        <v>693</v>
      </c>
      <c r="C253" s="9" t="s">
        <v>694</v>
      </c>
      <c r="D253" s="15">
        <v>613.38</v>
      </c>
      <c r="E253" s="13" t="s">
        <v>3028</v>
      </c>
    </row>
    <row r="254" spans="1:5" x14ac:dyDescent="0.25">
      <c r="A254" s="9" t="s">
        <v>1896</v>
      </c>
      <c r="B254" s="10" t="s">
        <v>695</v>
      </c>
      <c r="C254" s="9" t="s">
        <v>696</v>
      </c>
      <c r="D254" s="15">
        <v>106.8</v>
      </c>
      <c r="E254" s="13" t="s">
        <v>3028</v>
      </c>
    </row>
    <row r="255" spans="1:5" x14ac:dyDescent="0.25">
      <c r="A255" s="9" t="s">
        <v>1896</v>
      </c>
      <c r="B255" s="10" t="s">
        <v>699</v>
      </c>
      <c r="C255" s="9" t="s">
        <v>700</v>
      </c>
      <c r="D255" s="15">
        <v>1337.06</v>
      </c>
      <c r="E255" s="13" t="s">
        <v>3028</v>
      </c>
    </row>
    <row r="256" spans="1:5" x14ac:dyDescent="0.25">
      <c r="A256" s="9" t="s">
        <v>1896</v>
      </c>
      <c r="B256" s="10" t="s">
        <v>701</v>
      </c>
      <c r="C256" s="9" t="s">
        <v>702</v>
      </c>
      <c r="D256" s="15">
        <v>158.80000000000001</v>
      </c>
      <c r="E256" s="13" t="s">
        <v>3028</v>
      </c>
    </row>
    <row r="257" spans="1:5" x14ac:dyDescent="0.25">
      <c r="A257" s="9" t="s">
        <v>1896</v>
      </c>
      <c r="B257" s="10" t="s">
        <v>707</v>
      </c>
      <c r="C257" s="9" t="s">
        <v>708</v>
      </c>
      <c r="D257" s="15">
        <v>476</v>
      </c>
      <c r="E257" s="13" t="s">
        <v>3028</v>
      </c>
    </row>
    <row r="258" spans="1:5" x14ac:dyDescent="0.25">
      <c r="A258" s="9" t="s">
        <v>1896</v>
      </c>
      <c r="B258" s="10" t="s">
        <v>711</v>
      </c>
      <c r="C258" s="9" t="s">
        <v>712</v>
      </c>
      <c r="D258" s="15">
        <v>196.68</v>
      </c>
      <c r="E258" s="13" t="s">
        <v>3028</v>
      </c>
    </row>
    <row r="259" spans="1:5" x14ac:dyDescent="0.25">
      <c r="A259" s="9" t="s">
        <v>1896</v>
      </c>
      <c r="B259" s="10" t="s">
        <v>713</v>
      </c>
      <c r="C259" s="9" t="s">
        <v>714</v>
      </c>
      <c r="D259" s="15">
        <v>362.17</v>
      </c>
      <c r="E259" s="13" t="s">
        <v>3028</v>
      </c>
    </row>
    <row r="260" spans="1:5" x14ac:dyDescent="0.25">
      <c r="A260" s="9" t="s">
        <v>1896</v>
      </c>
      <c r="B260" s="10" t="s">
        <v>715</v>
      </c>
      <c r="C260" s="9" t="s">
        <v>716</v>
      </c>
      <c r="D260" s="15">
        <v>153.69999999999999</v>
      </c>
      <c r="E260" s="13" t="s">
        <v>3028</v>
      </c>
    </row>
    <row r="261" spans="1:5" x14ac:dyDescent="0.25">
      <c r="A261" s="9" t="s">
        <v>1896</v>
      </c>
      <c r="B261" s="10" t="s">
        <v>722</v>
      </c>
      <c r="C261" s="9" t="s">
        <v>723</v>
      </c>
      <c r="D261" s="15">
        <v>438.7</v>
      </c>
      <c r="E261" s="13" t="s">
        <v>3028</v>
      </c>
    </row>
    <row r="262" spans="1:5" x14ac:dyDescent="0.25">
      <c r="A262" s="9" t="s">
        <v>1896</v>
      </c>
      <c r="B262" s="10" t="s">
        <v>724</v>
      </c>
      <c r="C262" s="9" t="s">
        <v>725</v>
      </c>
      <c r="D262" s="15">
        <v>723.51</v>
      </c>
      <c r="E262" s="13" t="s">
        <v>3028</v>
      </c>
    </row>
    <row r="263" spans="1:5" x14ac:dyDescent="0.25">
      <c r="A263" s="9" t="s">
        <v>1896</v>
      </c>
      <c r="B263" s="10" t="s">
        <v>726</v>
      </c>
      <c r="C263" s="9" t="s">
        <v>727</v>
      </c>
      <c r="D263" s="15">
        <v>142.5</v>
      </c>
      <c r="E263" s="13" t="s">
        <v>3028</v>
      </c>
    </row>
    <row r="264" spans="1:5" x14ac:dyDescent="0.25">
      <c r="A264" s="9" t="s">
        <v>1896</v>
      </c>
      <c r="B264" s="10" t="s">
        <v>728</v>
      </c>
      <c r="C264" s="9" t="s">
        <v>729</v>
      </c>
      <c r="D264" s="15">
        <v>330.63</v>
      </c>
      <c r="E264" s="13" t="s">
        <v>3028</v>
      </c>
    </row>
    <row r="265" spans="1:5" x14ac:dyDescent="0.25">
      <c r="A265" s="9" t="s">
        <v>1896</v>
      </c>
      <c r="B265" s="10" t="s">
        <v>732</v>
      </c>
      <c r="C265" s="9" t="s">
        <v>733</v>
      </c>
      <c r="D265" s="15">
        <v>89.6</v>
      </c>
      <c r="E265" s="13" t="s">
        <v>3028</v>
      </c>
    </row>
    <row r="266" spans="1:5" x14ac:dyDescent="0.25">
      <c r="A266" s="9" t="s">
        <v>1896</v>
      </c>
      <c r="B266" s="10" t="s">
        <v>734</v>
      </c>
      <c r="C266" s="9" t="s">
        <v>735</v>
      </c>
      <c r="D266" s="15">
        <v>331.9</v>
      </c>
      <c r="E266" s="13" t="s">
        <v>3028</v>
      </c>
    </row>
    <row r="267" spans="1:5" x14ac:dyDescent="0.25">
      <c r="A267" s="9" t="s">
        <v>1896</v>
      </c>
      <c r="B267" s="10" t="s">
        <v>736</v>
      </c>
      <c r="C267" s="9" t="s">
        <v>737</v>
      </c>
      <c r="D267" s="15">
        <v>472.9</v>
      </c>
      <c r="E267" s="13" t="s">
        <v>3028</v>
      </c>
    </row>
    <row r="268" spans="1:5" x14ac:dyDescent="0.25">
      <c r="A268" s="9" t="s">
        <v>1896</v>
      </c>
      <c r="B268" s="10" t="s">
        <v>740</v>
      </c>
      <c r="C268" s="9" t="s">
        <v>741</v>
      </c>
      <c r="D268" s="15">
        <v>288.10000000000002</v>
      </c>
      <c r="E268" s="13" t="s">
        <v>3028</v>
      </c>
    </row>
    <row r="269" spans="1:5" x14ac:dyDescent="0.25">
      <c r="A269" s="9" t="s">
        <v>1896</v>
      </c>
      <c r="B269" s="10" t="s">
        <v>1619</v>
      </c>
      <c r="C269" s="9" t="s">
        <v>1620</v>
      </c>
      <c r="D269" s="15">
        <v>1800.86</v>
      </c>
      <c r="E269" s="13" t="s">
        <v>3028</v>
      </c>
    </row>
    <row r="270" spans="1:5" x14ac:dyDescent="0.25">
      <c r="A270" s="9" t="s">
        <v>1896</v>
      </c>
      <c r="B270" s="10" t="s">
        <v>744</v>
      </c>
      <c r="C270" s="9" t="s">
        <v>745</v>
      </c>
      <c r="D270" s="15">
        <v>830.54</v>
      </c>
      <c r="E270" s="13" t="s">
        <v>3028</v>
      </c>
    </row>
    <row r="271" spans="1:5" x14ac:dyDescent="0.25">
      <c r="A271" s="9" t="s">
        <v>1896</v>
      </c>
      <c r="B271" s="10" t="s">
        <v>746</v>
      </c>
      <c r="C271" s="9" t="s">
        <v>747</v>
      </c>
      <c r="D271" s="15">
        <v>134.4</v>
      </c>
      <c r="E271" s="13" t="s">
        <v>3028</v>
      </c>
    </row>
    <row r="272" spans="1:5" x14ac:dyDescent="0.25">
      <c r="A272" s="9" t="s">
        <v>1896</v>
      </c>
      <c r="B272" s="10" t="s">
        <v>748</v>
      </c>
      <c r="C272" s="9" t="s">
        <v>749</v>
      </c>
      <c r="D272" s="15">
        <v>317.14</v>
      </c>
      <c r="E272" s="13" t="s">
        <v>3028</v>
      </c>
    </row>
    <row r="273" spans="1:5" x14ac:dyDescent="0.25">
      <c r="A273" s="9" t="s">
        <v>1896</v>
      </c>
      <c r="B273" s="10" t="s">
        <v>754</v>
      </c>
      <c r="C273" s="9" t="s">
        <v>755</v>
      </c>
      <c r="D273" s="15">
        <v>70.760000000000005</v>
      </c>
      <c r="E273" s="13" t="s">
        <v>3028</v>
      </c>
    </row>
    <row r="274" spans="1:5" x14ac:dyDescent="0.25">
      <c r="A274" s="9" t="s">
        <v>1896</v>
      </c>
      <c r="B274" s="10" t="s">
        <v>756</v>
      </c>
      <c r="C274" s="9" t="s">
        <v>757</v>
      </c>
      <c r="D274" s="15">
        <v>971.57</v>
      </c>
      <c r="E274" s="13" t="s">
        <v>3028</v>
      </c>
    </row>
    <row r="275" spans="1:5" x14ac:dyDescent="0.25">
      <c r="A275" s="9" t="s">
        <v>1896</v>
      </c>
      <c r="B275" s="10" t="s">
        <v>760</v>
      </c>
      <c r="C275" s="9" t="s">
        <v>761</v>
      </c>
      <c r="D275" s="15">
        <v>304.49</v>
      </c>
      <c r="E275" s="13" t="s">
        <v>3028</v>
      </c>
    </row>
    <row r="276" spans="1:5" x14ac:dyDescent="0.25">
      <c r="A276" s="9" t="s">
        <v>1896</v>
      </c>
      <c r="B276" s="10" t="s">
        <v>762</v>
      </c>
      <c r="C276" s="9" t="s">
        <v>763</v>
      </c>
      <c r="D276" s="15">
        <v>86.5</v>
      </c>
      <c r="E276" s="13" t="s">
        <v>3028</v>
      </c>
    </row>
    <row r="277" spans="1:5" x14ac:dyDescent="0.25">
      <c r="A277" s="9" t="s">
        <v>1896</v>
      </c>
      <c r="B277" s="10" t="s">
        <v>766</v>
      </c>
      <c r="C277" s="9" t="s">
        <v>767</v>
      </c>
      <c r="D277" s="15">
        <v>270.3</v>
      </c>
      <c r="E277" s="13" t="s">
        <v>3028</v>
      </c>
    </row>
    <row r="278" spans="1:5" x14ac:dyDescent="0.25">
      <c r="A278" s="9" t="s">
        <v>1896</v>
      </c>
      <c r="B278" s="10" t="s">
        <v>770</v>
      </c>
      <c r="C278" s="9" t="s">
        <v>771</v>
      </c>
      <c r="D278" s="15">
        <v>82.56</v>
      </c>
      <c r="E278" s="13" t="s">
        <v>3028</v>
      </c>
    </row>
    <row r="279" spans="1:5" x14ac:dyDescent="0.25">
      <c r="A279" s="9" t="s">
        <v>1896</v>
      </c>
      <c r="B279" s="10" t="s">
        <v>772</v>
      </c>
      <c r="C279" s="9" t="s">
        <v>773</v>
      </c>
      <c r="D279" s="15">
        <v>44.8</v>
      </c>
      <c r="E279" s="13" t="s">
        <v>3028</v>
      </c>
    </row>
    <row r="280" spans="1:5" x14ac:dyDescent="0.25">
      <c r="A280" s="9" t="s">
        <v>1896</v>
      </c>
      <c r="B280" s="10" t="s">
        <v>774</v>
      </c>
      <c r="C280" s="9" t="s">
        <v>775</v>
      </c>
      <c r="D280" s="15">
        <v>272.35000000000002</v>
      </c>
      <c r="E280" s="13" t="s">
        <v>3028</v>
      </c>
    </row>
    <row r="281" spans="1:5" x14ac:dyDescent="0.25">
      <c r="A281" s="9" t="s">
        <v>1896</v>
      </c>
      <c r="B281" s="10" t="s">
        <v>776</v>
      </c>
      <c r="C281" s="9" t="s">
        <v>777</v>
      </c>
      <c r="D281" s="15">
        <v>263.7</v>
      </c>
      <c r="E281" s="13" t="s">
        <v>3028</v>
      </c>
    </row>
    <row r="282" spans="1:5" x14ac:dyDescent="0.25">
      <c r="A282" s="9" t="s">
        <v>1896</v>
      </c>
      <c r="B282" s="10" t="s">
        <v>782</v>
      </c>
      <c r="C282" s="9" t="s">
        <v>783</v>
      </c>
      <c r="D282" s="15">
        <v>120.93</v>
      </c>
      <c r="E282" s="13" t="s">
        <v>3028</v>
      </c>
    </row>
    <row r="283" spans="1:5" x14ac:dyDescent="0.25">
      <c r="A283" s="9" t="s">
        <v>1896</v>
      </c>
      <c r="B283" s="10" t="s">
        <v>784</v>
      </c>
      <c r="C283" s="9" t="s">
        <v>785</v>
      </c>
      <c r="D283" s="15">
        <v>160.57</v>
      </c>
      <c r="E283" s="13" t="s">
        <v>3028</v>
      </c>
    </row>
    <row r="284" spans="1:5" x14ac:dyDescent="0.25">
      <c r="A284" s="9" t="s">
        <v>1896</v>
      </c>
      <c r="B284" s="10" t="s">
        <v>788</v>
      </c>
      <c r="C284" s="9" t="s">
        <v>789</v>
      </c>
      <c r="D284" s="15">
        <v>84</v>
      </c>
      <c r="E284" s="13" t="s">
        <v>3028</v>
      </c>
    </row>
    <row r="285" spans="1:5" x14ac:dyDescent="0.25">
      <c r="A285" s="9" t="s">
        <v>1896</v>
      </c>
      <c r="B285" s="10" t="s">
        <v>790</v>
      </c>
      <c r="C285" s="9" t="s">
        <v>791</v>
      </c>
      <c r="D285" s="15">
        <v>69.7</v>
      </c>
      <c r="E285" s="13" t="s">
        <v>3028</v>
      </c>
    </row>
    <row r="286" spans="1:5" x14ac:dyDescent="0.25">
      <c r="A286" s="9" t="s">
        <v>1896</v>
      </c>
      <c r="B286" s="10" t="s">
        <v>792</v>
      </c>
      <c r="C286" s="9" t="s">
        <v>793</v>
      </c>
      <c r="D286" s="15">
        <v>67.2</v>
      </c>
      <c r="E286" s="13" t="s">
        <v>3028</v>
      </c>
    </row>
    <row r="287" spans="1:5" x14ac:dyDescent="0.25">
      <c r="A287" s="9" t="s">
        <v>1896</v>
      </c>
      <c r="B287" s="10" t="s">
        <v>794</v>
      </c>
      <c r="C287" s="9" t="s">
        <v>795</v>
      </c>
      <c r="D287" s="15">
        <v>85.06</v>
      </c>
      <c r="E287" s="13" t="s">
        <v>3028</v>
      </c>
    </row>
    <row r="288" spans="1:5" x14ac:dyDescent="0.25">
      <c r="A288" s="9" t="s">
        <v>1896</v>
      </c>
      <c r="B288" s="10" t="s">
        <v>796</v>
      </c>
      <c r="C288" s="9" t="s">
        <v>797</v>
      </c>
      <c r="D288" s="15">
        <v>554.4</v>
      </c>
      <c r="E288" s="13" t="s">
        <v>3028</v>
      </c>
    </row>
    <row r="289" spans="1:5" x14ac:dyDescent="0.25">
      <c r="A289" s="9" t="s">
        <v>1896</v>
      </c>
      <c r="B289" s="10" t="s">
        <v>798</v>
      </c>
      <c r="C289" s="9" t="s">
        <v>799</v>
      </c>
      <c r="D289" s="15">
        <v>1025.29</v>
      </c>
      <c r="E289" s="13" t="s">
        <v>3028</v>
      </c>
    </row>
    <row r="290" spans="1:5" x14ac:dyDescent="0.25">
      <c r="A290" s="9" t="s">
        <v>1896</v>
      </c>
      <c r="B290" s="10" t="s">
        <v>805</v>
      </c>
      <c r="C290" s="9" t="s">
        <v>806</v>
      </c>
      <c r="D290" s="15">
        <v>33.6</v>
      </c>
      <c r="E290" s="13" t="s">
        <v>3028</v>
      </c>
    </row>
    <row r="291" spans="1:5" x14ac:dyDescent="0.25">
      <c r="A291" s="9" t="s">
        <v>1896</v>
      </c>
      <c r="B291" s="10" t="s">
        <v>809</v>
      </c>
      <c r="C291" s="9" t="s">
        <v>810</v>
      </c>
      <c r="D291" s="15">
        <v>557.41</v>
      </c>
      <c r="E291" s="13" t="s">
        <v>3028</v>
      </c>
    </row>
    <row r="292" spans="1:5" x14ac:dyDescent="0.25">
      <c r="A292" s="9" t="s">
        <v>1896</v>
      </c>
      <c r="B292" s="10" t="s">
        <v>811</v>
      </c>
      <c r="C292" s="9" t="s">
        <v>812</v>
      </c>
      <c r="D292" s="15">
        <v>251.39</v>
      </c>
      <c r="E292" s="13" t="s">
        <v>3028</v>
      </c>
    </row>
    <row r="293" spans="1:5" x14ac:dyDescent="0.25">
      <c r="A293" s="9" t="s">
        <v>1896</v>
      </c>
      <c r="B293" s="10" t="s">
        <v>817</v>
      </c>
      <c r="C293" s="9" t="s">
        <v>818</v>
      </c>
      <c r="D293" s="15">
        <v>146.88</v>
      </c>
      <c r="E293" s="13" t="s">
        <v>3028</v>
      </c>
    </row>
    <row r="294" spans="1:5" x14ac:dyDescent="0.25">
      <c r="A294" s="9" t="s">
        <v>1896</v>
      </c>
      <c r="B294" s="10" t="s">
        <v>821</v>
      </c>
      <c r="C294" s="9" t="s">
        <v>822</v>
      </c>
      <c r="D294" s="15">
        <v>639.09</v>
      </c>
      <c r="E294" s="13" t="s">
        <v>3028</v>
      </c>
    </row>
    <row r="295" spans="1:5" x14ac:dyDescent="0.25">
      <c r="A295" s="9" t="s">
        <v>1896</v>
      </c>
      <c r="B295" s="10" t="s">
        <v>823</v>
      </c>
      <c r="C295" s="9" t="s">
        <v>824</v>
      </c>
      <c r="D295" s="15">
        <v>355.3</v>
      </c>
      <c r="E295" s="13" t="s">
        <v>3028</v>
      </c>
    </row>
    <row r="296" spans="1:5" x14ac:dyDescent="0.25">
      <c r="A296" s="9" t="s">
        <v>1896</v>
      </c>
      <c r="B296" s="10" t="s">
        <v>825</v>
      </c>
      <c r="C296" s="9" t="s">
        <v>826</v>
      </c>
      <c r="D296" s="15">
        <v>1351.61</v>
      </c>
      <c r="E296" s="13" t="s">
        <v>3028</v>
      </c>
    </row>
    <row r="297" spans="1:5" x14ac:dyDescent="0.25">
      <c r="A297" s="9" t="s">
        <v>1896</v>
      </c>
      <c r="B297" s="10" t="s">
        <v>830</v>
      </c>
      <c r="C297" s="9" t="s">
        <v>831</v>
      </c>
      <c r="D297" s="15">
        <v>50.4</v>
      </c>
      <c r="E297" s="13" t="s">
        <v>3028</v>
      </c>
    </row>
    <row r="298" spans="1:5" x14ac:dyDescent="0.25">
      <c r="A298" s="9" t="s">
        <v>1896</v>
      </c>
      <c r="B298" s="10" t="s">
        <v>838</v>
      </c>
      <c r="C298" s="9" t="s">
        <v>839</v>
      </c>
      <c r="D298" s="15">
        <v>509</v>
      </c>
      <c r="E298" s="13" t="s">
        <v>3028</v>
      </c>
    </row>
    <row r="299" spans="1:5" x14ac:dyDescent="0.25">
      <c r="A299" s="9" t="s">
        <v>1896</v>
      </c>
      <c r="B299" s="10" t="s">
        <v>840</v>
      </c>
      <c r="C299" s="9" t="s">
        <v>841</v>
      </c>
      <c r="D299" s="15">
        <v>929.9</v>
      </c>
      <c r="E299" s="13" t="s">
        <v>3028</v>
      </c>
    </row>
    <row r="300" spans="1:5" x14ac:dyDescent="0.25">
      <c r="A300" s="9" t="s">
        <v>1896</v>
      </c>
      <c r="B300" s="10" t="s">
        <v>842</v>
      </c>
      <c r="C300" s="9" t="s">
        <v>843</v>
      </c>
      <c r="D300" s="15">
        <v>504</v>
      </c>
      <c r="E300" s="13" t="s">
        <v>3028</v>
      </c>
    </row>
    <row r="301" spans="1:5" x14ac:dyDescent="0.25">
      <c r="A301" s="9" t="s">
        <v>1896</v>
      </c>
      <c r="B301" s="10" t="s">
        <v>844</v>
      </c>
      <c r="C301" s="9" t="s">
        <v>845</v>
      </c>
      <c r="D301" s="15">
        <v>16.8</v>
      </c>
      <c r="E301" s="13" t="s">
        <v>3028</v>
      </c>
    </row>
    <row r="302" spans="1:5" x14ac:dyDescent="0.25">
      <c r="A302" s="9" t="s">
        <v>1896</v>
      </c>
      <c r="B302" s="10" t="s">
        <v>850</v>
      </c>
      <c r="C302" s="9" t="s">
        <v>851</v>
      </c>
      <c r="D302" s="15">
        <v>168</v>
      </c>
      <c r="E302" s="13" t="s">
        <v>3028</v>
      </c>
    </row>
    <row r="303" spans="1:5" x14ac:dyDescent="0.25">
      <c r="A303" s="9" t="s">
        <v>1896</v>
      </c>
      <c r="B303" s="10" t="s">
        <v>852</v>
      </c>
      <c r="C303" s="9" t="s">
        <v>853</v>
      </c>
      <c r="D303" s="15">
        <v>756.3</v>
      </c>
      <c r="E303" s="13" t="s">
        <v>3028</v>
      </c>
    </row>
    <row r="304" spans="1:5" x14ac:dyDescent="0.25">
      <c r="A304" s="9" t="s">
        <v>1896</v>
      </c>
      <c r="B304" s="10" t="s">
        <v>854</v>
      </c>
      <c r="C304" s="9" t="s">
        <v>855</v>
      </c>
      <c r="D304" s="15">
        <v>55.4</v>
      </c>
      <c r="E304" s="13" t="s">
        <v>3028</v>
      </c>
    </row>
    <row r="305" spans="1:5" x14ac:dyDescent="0.25">
      <c r="A305" s="9" t="s">
        <v>1896</v>
      </c>
      <c r="B305" s="10" t="s">
        <v>856</v>
      </c>
      <c r="C305" s="9" t="s">
        <v>857</v>
      </c>
      <c r="D305" s="15">
        <v>501.95</v>
      </c>
      <c r="E305" s="13" t="s">
        <v>3028</v>
      </c>
    </row>
    <row r="306" spans="1:5" x14ac:dyDescent="0.25">
      <c r="A306" s="9" t="s">
        <v>1896</v>
      </c>
      <c r="B306" s="10" t="s">
        <v>858</v>
      </c>
      <c r="C306" s="9" t="s">
        <v>859</v>
      </c>
      <c r="D306" s="15">
        <v>123.2</v>
      </c>
      <c r="E306" s="13" t="s">
        <v>3028</v>
      </c>
    </row>
    <row r="307" spans="1:5" x14ac:dyDescent="0.25">
      <c r="A307" s="9" t="s">
        <v>1896</v>
      </c>
      <c r="B307" s="10" t="s">
        <v>860</v>
      </c>
      <c r="C307" s="9" t="s">
        <v>861</v>
      </c>
      <c r="D307" s="15">
        <v>657.53</v>
      </c>
      <c r="E307" s="13" t="s">
        <v>3028</v>
      </c>
    </row>
    <row r="308" spans="1:5" x14ac:dyDescent="0.25">
      <c r="A308" s="9" t="s">
        <v>1896</v>
      </c>
      <c r="B308" s="10" t="s">
        <v>862</v>
      </c>
      <c r="C308" s="9" t="s">
        <v>863</v>
      </c>
      <c r="D308" s="15">
        <v>229</v>
      </c>
      <c r="E308" s="13" t="s">
        <v>3028</v>
      </c>
    </row>
    <row r="309" spans="1:5" x14ac:dyDescent="0.25">
      <c r="A309" s="9" t="s">
        <v>1896</v>
      </c>
      <c r="B309" s="10" t="s">
        <v>864</v>
      </c>
      <c r="C309" s="9" t="s">
        <v>865</v>
      </c>
      <c r="D309" s="15">
        <v>304.13</v>
      </c>
      <c r="E309" s="13" t="s">
        <v>3028</v>
      </c>
    </row>
    <row r="310" spans="1:5" x14ac:dyDescent="0.25">
      <c r="A310" s="9" t="s">
        <v>1896</v>
      </c>
      <c r="B310" s="10" t="s">
        <v>866</v>
      </c>
      <c r="C310" s="9" t="s">
        <v>867</v>
      </c>
      <c r="D310" s="15">
        <v>265.10000000000002</v>
      </c>
      <c r="E310" s="13" t="s">
        <v>3028</v>
      </c>
    </row>
    <row r="311" spans="1:5" x14ac:dyDescent="0.25">
      <c r="A311" s="9" t="s">
        <v>1896</v>
      </c>
      <c r="B311" s="10" t="s">
        <v>868</v>
      </c>
      <c r="C311" s="9" t="s">
        <v>869</v>
      </c>
      <c r="D311" s="15">
        <v>220.9</v>
      </c>
      <c r="E311" s="13" t="s">
        <v>3028</v>
      </c>
    </row>
    <row r="312" spans="1:5" x14ac:dyDescent="0.25">
      <c r="A312" s="9" t="s">
        <v>1896</v>
      </c>
      <c r="B312" s="10" t="s">
        <v>870</v>
      </c>
      <c r="C312" s="9" t="s">
        <v>871</v>
      </c>
      <c r="D312" s="15">
        <v>261.98</v>
      </c>
      <c r="E312" s="13" t="s">
        <v>3028</v>
      </c>
    </row>
    <row r="313" spans="1:5" x14ac:dyDescent="0.25">
      <c r="A313" s="9" t="s">
        <v>1896</v>
      </c>
      <c r="B313" s="10" t="s">
        <v>872</v>
      </c>
      <c r="C313" s="9" t="s">
        <v>873</v>
      </c>
      <c r="D313" s="15">
        <v>32.159999999999997</v>
      </c>
      <c r="E313" s="13" t="s">
        <v>3028</v>
      </c>
    </row>
    <row r="314" spans="1:5" x14ac:dyDescent="0.25">
      <c r="A314" s="9" t="s">
        <v>1896</v>
      </c>
      <c r="B314" s="10" t="s">
        <v>874</v>
      </c>
      <c r="C314" s="9" t="s">
        <v>875</v>
      </c>
      <c r="D314" s="15">
        <v>321.08999999999997</v>
      </c>
      <c r="E314" s="13" t="s">
        <v>3028</v>
      </c>
    </row>
    <row r="315" spans="1:5" x14ac:dyDescent="0.25">
      <c r="A315" s="9" t="s">
        <v>1896</v>
      </c>
      <c r="B315" s="10" t="s">
        <v>882</v>
      </c>
      <c r="C315" s="9" t="s">
        <v>883</v>
      </c>
      <c r="D315" s="15">
        <v>33.6</v>
      </c>
      <c r="E315" s="13" t="s">
        <v>3028</v>
      </c>
    </row>
    <row r="316" spans="1:5" x14ac:dyDescent="0.25">
      <c r="A316" s="9" t="s">
        <v>1896</v>
      </c>
      <c r="B316" s="10" t="s">
        <v>884</v>
      </c>
      <c r="C316" s="9" t="s">
        <v>885</v>
      </c>
      <c r="D316" s="15">
        <v>128.19999999999999</v>
      </c>
      <c r="E316" s="13" t="s">
        <v>3028</v>
      </c>
    </row>
    <row r="317" spans="1:5" x14ac:dyDescent="0.25">
      <c r="A317" s="9" t="s">
        <v>1896</v>
      </c>
      <c r="B317" s="10" t="s">
        <v>886</v>
      </c>
      <c r="C317" s="9" t="s">
        <v>887</v>
      </c>
      <c r="D317" s="15">
        <v>92.32</v>
      </c>
      <c r="E317" s="13" t="s">
        <v>3028</v>
      </c>
    </row>
    <row r="318" spans="1:5" x14ac:dyDescent="0.25">
      <c r="A318" s="9" t="s">
        <v>1896</v>
      </c>
      <c r="B318" s="10" t="s">
        <v>888</v>
      </c>
      <c r="C318" s="9" t="s">
        <v>889</v>
      </c>
      <c r="D318" s="15">
        <v>58.5</v>
      </c>
      <c r="E318" s="13" t="s">
        <v>3028</v>
      </c>
    </row>
    <row r="319" spans="1:5" x14ac:dyDescent="0.25">
      <c r="A319" s="9" t="s">
        <v>1896</v>
      </c>
      <c r="B319" s="10" t="s">
        <v>892</v>
      </c>
      <c r="C319" s="9" t="s">
        <v>893</v>
      </c>
      <c r="D319" s="15">
        <v>874.71</v>
      </c>
      <c r="E319" s="13" t="s">
        <v>3028</v>
      </c>
    </row>
    <row r="320" spans="1:5" x14ac:dyDescent="0.25">
      <c r="A320" s="9" t="s">
        <v>1896</v>
      </c>
      <c r="B320" s="10" t="s">
        <v>894</v>
      </c>
      <c r="C320" s="9" t="s">
        <v>895</v>
      </c>
      <c r="D320" s="15">
        <v>48.96</v>
      </c>
      <c r="E320" s="13" t="s">
        <v>3028</v>
      </c>
    </row>
    <row r="321" spans="1:5" x14ac:dyDescent="0.25">
      <c r="A321" s="9" t="s">
        <v>1896</v>
      </c>
      <c r="B321" s="10" t="s">
        <v>896</v>
      </c>
      <c r="C321" s="9" t="s">
        <v>897</v>
      </c>
      <c r="D321" s="15">
        <v>1064.06</v>
      </c>
      <c r="E321" s="13" t="s">
        <v>3028</v>
      </c>
    </row>
    <row r="322" spans="1:5" x14ac:dyDescent="0.25">
      <c r="A322" s="9" t="s">
        <v>1896</v>
      </c>
      <c r="B322" s="10" t="s">
        <v>898</v>
      </c>
      <c r="C322" s="9" t="s">
        <v>899</v>
      </c>
      <c r="D322" s="15">
        <v>182.96</v>
      </c>
      <c r="E322" s="13" t="s">
        <v>3028</v>
      </c>
    </row>
    <row r="323" spans="1:5" x14ac:dyDescent="0.25">
      <c r="A323" s="9" t="s">
        <v>1896</v>
      </c>
      <c r="B323" s="10" t="s">
        <v>900</v>
      </c>
      <c r="C323" s="9" t="s">
        <v>901</v>
      </c>
      <c r="D323" s="15">
        <v>77.8</v>
      </c>
      <c r="E323" s="13" t="s">
        <v>3028</v>
      </c>
    </row>
    <row r="324" spans="1:5" x14ac:dyDescent="0.25">
      <c r="A324" s="9" t="s">
        <v>1896</v>
      </c>
      <c r="B324" s="10" t="s">
        <v>902</v>
      </c>
      <c r="C324" s="9" t="s">
        <v>903</v>
      </c>
      <c r="D324" s="15">
        <v>289.60000000000002</v>
      </c>
      <c r="E324" s="13" t="s">
        <v>3028</v>
      </c>
    </row>
    <row r="325" spans="1:5" x14ac:dyDescent="0.25">
      <c r="A325" s="9" t="s">
        <v>1896</v>
      </c>
      <c r="B325" s="10" t="s">
        <v>904</v>
      </c>
      <c r="C325" s="9" t="s">
        <v>905</v>
      </c>
      <c r="D325" s="15">
        <v>494.32</v>
      </c>
      <c r="E325" s="13" t="s">
        <v>3028</v>
      </c>
    </row>
    <row r="326" spans="1:5" x14ac:dyDescent="0.25">
      <c r="A326" s="9" t="s">
        <v>1896</v>
      </c>
      <c r="B326" s="10" t="s">
        <v>906</v>
      </c>
      <c r="C326" s="9" t="s">
        <v>907</v>
      </c>
      <c r="D326" s="15">
        <v>104.96</v>
      </c>
      <c r="E326" s="13" t="s">
        <v>3028</v>
      </c>
    </row>
    <row r="327" spans="1:5" x14ac:dyDescent="0.25">
      <c r="A327" s="9" t="s">
        <v>1896</v>
      </c>
      <c r="B327" s="10" t="s">
        <v>908</v>
      </c>
      <c r="C327" s="9" t="s">
        <v>909</v>
      </c>
      <c r="D327" s="15">
        <v>33.6</v>
      </c>
      <c r="E327" s="13" t="s">
        <v>3028</v>
      </c>
    </row>
    <row r="328" spans="1:5" x14ac:dyDescent="0.25">
      <c r="A328" s="9" t="s">
        <v>1896</v>
      </c>
      <c r="B328" s="10" t="s">
        <v>912</v>
      </c>
      <c r="C328" s="9" t="s">
        <v>913</v>
      </c>
      <c r="D328" s="15">
        <v>198.72</v>
      </c>
      <c r="E328" s="13" t="s">
        <v>3028</v>
      </c>
    </row>
    <row r="329" spans="1:5" x14ac:dyDescent="0.25">
      <c r="A329" s="9" t="s">
        <v>1896</v>
      </c>
      <c r="B329" s="10" t="s">
        <v>916</v>
      </c>
      <c r="C329" s="9" t="s">
        <v>917</v>
      </c>
      <c r="D329" s="15">
        <v>19.3</v>
      </c>
      <c r="E329" s="13" t="s">
        <v>3028</v>
      </c>
    </row>
    <row r="330" spans="1:5" x14ac:dyDescent="0.25">
      <c r="A330" s="9" t="s">
        <v>1896</v>
      </c>
      <c r="B330" s="10" t="s">
        <v>928</v>
      </c>
      <c r="C330" s="9" t="s">
        <v>929</v>
      </c>
      <c r="D330" s="15">
        <v>84</v>
      </c>
      <c r="E330" s="13" t="s">
        <v>3028</v>
      </c>
    </row>
    <row r="331" spans="1:5" x14ac:dyDescent="0.25">
      <c r="A331" s="9" t="s">
        <v>1896</v>
      </c>
      <c r="B331" s="10" t="s">
        <v>930</v>
      </c>
      <c r="C331" s="9" t="s">
        <v>931</v>
      </c>
      <c r="D331" s="15">
        <v>50.4</v>
      </c>
      <c r="E331" s="13" t="s">
        <v>3028</v>
      </c>
    </row>
    <row r="332" spans="1:5" x14ac:dyDescent="0.25">
      <c r="A332" s="9" t="s">
        <v>1896</v>
      </c>
      <c r="B332" s="10" t="s">
        <v>934</v>
      </c>
      <c r="C332" s="9" t="s">
        <v>935</v>
      </c>
      <c r="D332" s="15">
        <v>923.01</v>
      </c>
      <c r="E332" s="13" t="s">
        <v>3028</v>
      </c>
    </row>
    <row r="333" spans="1:5" x14ac:dyDescent="0.25">
      <c r="A333" s="9" t="s">
        <v>1896</v>
      </c>
      <c r="B333" s="10" t="s">
        <v>936</v>
      </c>
      <c r="C333" s="9" t="s">
        <v>937</v>
      </c>
      <c r="D333" s="15">
        <v>385.8</v>
      </c>
      <c r="E333" s="13" t="s">
        <v>3028</v>
      </c>
    </row>
    <row r="334" spans="1:5" x14ac:dyDescent="0.25">
      <c r="A334" s="9" t="s">
        <v>1896</v>
      </c>
      <c r="B334" s="10" t="s">
        <v>938</v>
      </c>
      <c r="C334" s="9" t="s">
        <v>939</v>
      </c>
      <c r="D334" s="15">
        <v>729.5</v>
      </c>
      <c r="E334" s="13" t="s">
        <v>3028</v>
      </c>
    </row>
    <row r="335" spans="1:5" x14ac:dyDescent="0.25">
      <c r="A335" s="9" t="s">
        <v>1896</v>
      </c>
      <c r="B335" s="10" t="s">
        <v>940</v>
      </c>
      <c r="C335" s="9" t="s">
        <v>941</v>
      </c>
      <c r="D335" s="15">
        <v>259.49</v>
      </c>
      <c r="E335" s="13" t="s">
        <v>3028</v>
      </c>
    </row>
    <row r="336" spans="1:5" x14ac:dyDescent="0.25">
      <c r="A336" s="9" t="s">
        <v>1896</v>
      </c>
      <c r="B336" s="10" t="s">
        <v>942</v>
      </c>
      <c r="C336" s="9" t="s">
        <v>943</v>
      </c>
      <c r="D336" s="15">
        <v>651.12</v>
      </c>
      <c r="E336" s="13" t="s">
        <v>3028</v>
      </c>
    </row>
    <row r="337" spans="1:5" x14ac:dyDescent="0.25">
      <c r="A337" s="9" t="s">
        <v>1896</v>
      </c>
      <c r="B337" s="10" t="s">
        <v>946</v>
      </c>
      <c r="C337" s="9" t="s">
        <v>947</v>
      </c>
      <c r="D337" s="15">
        <v>307.62</v>
      </c>
      <c r="E337" s="13" t="s">
        <v>3028</v>
      </c>
    </row>
    <row r="338" spans="1:5" x14ac:dyDescent="0.25">
      <c r="A338" s="9" t="s">
        <v>1896</v>
      </c>
      <c r="B338" s="10" t="s">
        <v>948</v>
      </c>
      <c r="C338" s="9" t="s">
        <v>949</v>
      </c>
      <c r="D338" s="15">
        <v>222.39</v>
      </c>
      <c r="E338" s="13" t="s">
        <v>3028</v>
      </c>
    </row>
    <row r="339" spans="1:5" x14ac:dyDescent="0.25">
      <c r="A339" s="9" t="s">
        <v>1896</v>
      </c>
      <c r="B339" s="10" t="s">
        <v>958</v>
      </c>
      <c r="C339" s="9" t="s">
        <v>959</v>
      </c>
      <c r="D339" s="15">
        <v>134.4</v>
      </c>
      <c r="E339" s="13" t="s">
        <v>3028</v>
      </c>
    </row>
    <row r="340" spans="1:5" x14ac:dyDescent="0.25">
      <c r="A340" s="9" t="s">
        <v>1896</v>
      </c>
      <c r="B340" s="10" t="s">
        <v>970</v>
      </c>
      <c r="C340" s="9" t="s">
        <v>971</v>
      </c>
      <c r="D340" s="15">
        <v>955.39</v>
      </c>
      <c r="E340" s="13" t="s">
        <v>3028</v>
      </c>
    </row>
    <row r="341" spans="1:5" x14ac:dyDescent="0.25">
      <c r="A341" s="9" t="s">
        <v>1896</v>
      </c>
      <c r="B341" s="10" t="s">
        <v>972</v>
      </c>
      <c r="C341" s="9" t="s">
        <v>973</v>
      </c>
      <c r="D341" s="15">
        <v>19.3</v>
      </c>
      <c r="E341" s="13" t="s">
        <v>3028</v>
      </c>
    </row>
    <row r="342" spans="1:5" x14ac:dyDescent="0.25">
      <c r="A342" s="9" t="s">
        <v>1896</v>
      </c>
      <c r="B342" s="10" t="s">
        <v>974</v>
      </c>
      <c r="C342" s="9" t="s">
        <v>975</v>
      </c>
      <c r="D342" s="15">
        <v>141.9</v>
      </c>
      <c r="E342" s="13" t="s">
        <v>3028</v>
      </c>
    </row>
    <row r="343" spans="1:5" x14ac:dyDescent="0.25">
      <c r="A343" s="9" t="s">
        <v>1896</v>
      </c>
      <c r="B343" s="10" t="s">
        <v>980</v>
      </c>
      <c r="C343" s="9" t="s">
        <v>981</v>
      </c>
      <c r="D343" s="15">
        <v>271.3</v>
      </c>
      <c r="E343" s="13" t="s">
        <v>3028</v>
      </c>
    </row>
    <row r="344" spans="1:5" x14ac:dyDescent="0.25">
      <c r="A344" s="9" t="s">
        <v>1896</v>
      </c>
      <c r="B344" s="10" t="s">
        <v>982</v>
      </c>
      <c r="C344" s="9" t="s">
        <v>983</v>
      </c>
      <c r="D344" s="15">
        <v>33.6</v>
      </c>
      <c r="E344" s="13" t="s">
        <v>3028</v>
      </c>
    </row>
    <row r="345" spans="1:5" x14ac:dyDescent="0.25">
      <c r="A345" s="9" t="s">
        <v>1896</v>
      </c>
      <c r="B345" s="10" t="s">
        <v>986</v>
      </c>
      <c r="C345" s="9" t="s">
        <v>987</v>
      </c>
      <c r="D345" s="15">
        <v>33.6</v>
      </c>
      <c r="E345" s="13" t="s">
        <v>3028</v>
      </c>
    </row>
    <row r="346" spans="1:5" x14ac:dyDescent="0.25">
      <c r="A346" s="9" t="s">
        <v>1896</v>
      </c>
      <c r="B346" s="10" t="s">
        <v>988</v>
      </c>
      <c r="C346" s="9" t="s">
        <v>989</v>
      </c>
      <c r="D346" s="15">
        <v>77.8</v>
      </c>
      <c r="E346" s="13" t="s">
        <v>3028</v>
      </c>
    </row>
    <row r="347" spans="1:5" x14ac:dyDescent="0.25">
      <c r="A347" s="9" t="s">
        <v>1896</v>
      </c>
      <c r="B347" s="10" t="s">
        <v>992</v>
      </c>
      <c r="C347" s="9" t="s">
        <v>993</v>
      </c>
      <c r="D347" s="15">
        <v>81</v>
      </c>
      <c r="E347" s="13" t="s">
        <v>3028</v>
      </c>
    </row>
    <row r="348" spans="1:5" x14ac:dyDescent="0.25">
      <c r="A348" s="9" t="s">
        <v>1896</v>
      </c>
      <c r="B348" s="10" t="s">
        <v>994</v>
      </c>
      <c r="C348" s="9" t="s">
        <v>995</v>
      </c>
      <c r="D348" s="15">
        <v>184.8</v>
      </c>
      <c r="E348" s="13" t="s">
        <v>3028</v>
      </c>
    </row>
    <row r="349" spans="1:5" x14ac:dyDescent="0.25">
      <c r="A349" s="9" t="s">
        <v>1896</v>
      </c>
      <c r="B349" s="10" t="s">
        <v>996</v>
      </c>
      <c r="C349" s="9" t="s">
        <v>997</v>
      </c>
      <c r="D349" s="15">
        <v>342.04</v>
      </c>
      <c r="E349" s="13" t="s">
        <v>3028</v>
      </c>
    </row>
    <row r="350" spans="1:5" x14ac:dyDescent="0.25">
      <c r="A350" s="9" t="s">
        <v>1896</v>
      </c>
      <c r="B350" s="10" t="s">
        <v>998</v>
      </c>
      <c r="C350" s="9" t="s">
        <v>999</v>
      </c>
      <c r="D350" s="15">
        <v>941.09</v>
      </c>
      <c r="E350" s="13" t="s">
        <v>3028</v>
      </c>
    </row>
    <row r="351" spans="1:5" x14ac:dyDescent="0.25">
      <c r="A351" s="9" t="s">
        <v>1896</v>
      </c>
      <c r="B351" s="10" t="s">
        <v>1002</v>
      </c>
      <c r="C351" s="9" t="s">
        <v>1003</v>
      </c>
      <c r="D351" s="15">
        <v>33.6</v>
      </c>
      <c r="E351" s="13" t="s">
        <v>3028</v>
      </c>
    </row>
    <row r="352" spans="1:5" x14ac:dyDescent="0.25">
      <c r="A352" s="9" t="s">
        <v>1896</v>
      </c>
      <c r="B352" s="10" t="s">
        <v>1004</v>
      </c>
      <c r="C352" s="9" t="s">
        <v>1005</v>
      </c>
      <c r="D352" s="15">
        <v>39.200000000000003</v>
      </c>
      <c r="E352" s="13" t="s">
        <v>3028</v>
      </c>
    </row>
    <row r="353" spans="1:5" x14ac:dyDescent="0.25">
      <c r="A353" s="9" t="s">
        <v>1896</v>
      </c>
      <c r="B353" s="10" t="s">
        <v>1006</v>
      </c>
      <c r="C353" s="9" t="s">
        <v>1007</v>
      </c>
      <c r="D353" s="15">
        <v>614.41</v>
      </c>
      <c r="E353" s="13" t="s">
        <v>3028</v>
      </c>
    </row>
    <row r="354" spans="1:5" x14ac:dyDescent="0.25">
      <c r="A354" s="9" t="s">
        <v>1896</v>
      </c>
      <c r="B354" s="10" t="s">
        <v>1008</v>
      </c>
      <c r="C354" s="9" t="s">
        <v>1009</v>
      </c>
      <c r="D354" s="15">
        <v>93.76</v>
      </c>
      <c r="E354" s="13" t="s">
        <v>3028</v>
      </c>
    </row>
    <row r="355" spans="1:5" x14ac:dyDescent="0.25">
      <c r="A355" s="9" t="s">
        <v>1896</v>
      </c>
      <c r="B355" s="10" t="s">
        <v>1010</v>
      </c>
      <c r="C355" s="9" t="s">
        <v>1011</v>
      </c>
      <c r="D355" s="15">
        <v>374.6</v>
      </c>
      <c r="E355" s="13" t="s">
        <v>3028</v>
      </c>
    </row>
    <row r="356" spans="1:5" x14ac:dyDescent="0.25">
      <c r="A356" s="9" t="s">
        <v>1896</v>
      </c>
      <c r="B356" s="10" t="s">
        <v>1012</v>
      </c>
      <c r="C356" s="9" t="s">
        <v>1013</v>
      </c>
      <c r="D356" s="15">
        <v>233.18</v>
      </c>
      <c r="E356" s="13" t="s">
        <v>3028</v>
      </c>
    </row>
    <row r="357" spans="1:5" x14ac:dyDescent="0.25">
      <c r="A357" s="9" t="s">
        <v>1896</v>
      </c>
      <c r="B357" s="10" t="s">
        <v>1014</v>
      </c>
      <c r="C357" s="9" t="s">
        <v>1015</v>
      </c>
      <c r="D357" s="15">
        <v>268.8</v>
      </c>
      <c r="E357" s="13" t="s">
        <v>3028</v>
      </c>
    </row>
    <row r="358" spans="1:5" x14ac:dyDescent="0.25">
      <c r="A358" s="9" t="s">
        <v>1896</v>
      </c>
      <c r="B358" s="10" t="s">
        <v>1016</v>
      </c>
      <c r="C358" s="9" t="s">
        <v>1017</v>
      </c>
      <c r="D358" s="15">
        <v>19.3</v>
      </c>
      <c r="E358" s="13" t="s">
        <v>3028</v>
      </c>
    </row>
    <row r="359" spans="1:5" x14ac:dyDescent="0.25">
      <c r="A359" s="9" t="s">
        <v>1896</v>
      </c>
      <c r="B359" s="10" t="s">
        <v>1018</v>
      </c>
      <c r="C359" s="9" t="s">
        <v>1019</v>
      </c>
      <c r="D359" s="15">
        <v>64.319999999999993</v>
      </c>
      <c r="E359" s="13" t="s">
        <v>3028</v>
      </c>
    </row>
    <row r="360" spans="1:5" x14ac:dyDescent="0.25">
      <c r="A360" s="9" t="s">
        <v>1896</v>
      </c>
      <c r="B360" s="10" t="s">
        <v>1020</v>
      </c>
      <c r="C360" s="9" t="s">
        <v>1021</v>
      </c>
      <c r="D360" s="15">
        <v>106.4</v>
      </c>
      <c r="E360" s="13" t="s">
        <v>3028</v>
      </c>
    </row>
    <row r="361" spans="1:5" x14ac:dyDescent="0.25">
      <c r="A361" s="9" t="s">
        <v>1896</v>
      </c>
      <c r="B361" s="10" t="s">
        <v>1028</v>
      </c>
      <c r="C361" s="9" t="s">
        <v>1029</v>
      </c>
      <c r="D361" s="15">
        <v>16.8</v>
      </c>
      <c r="E361" s="13" t="s">
        <v>3028</v>
      </c>
    </row>
    <row r="362" spans="1:5" x14ac:dyDescent="0.25">
      <c r="A362" s="9" t="s">
        <v>1896</v>
      </c>
      <c r="B362" s="10" t="s">
        <v>1030</v>
      </c>
      <c r="C362" s="9" t="s">
        <v>1031</v>
      </c>
      <c r="D362" s="15">
        <v>44.8</v>
      </c>
      <c r="E362" s="13" t="s">
        <v>3028</v>
      </c>
    </row>
    <row r="363" spans="1:5" x14ac:dyDescent="0.25">
      <c r="A363" s="9" t="s">
        <v>1896</v>
      </c>
      <c r="B363" s="10" t="s">
        <v>1032</v>
      </c>
      <c r="C363" s="9" t="s">
        <v>1033</v>
      </c>
      <c r="D363" s="15">
        <v>389.13</v>
      </c>
      <c r="E363" s="13" t="s">
        <v>3028</v>
      </c>
    </row>
    <row r="364" spans="1:5" x14ac:dyDescent="0.25">
      <c r="A364" s="9" t="s">
        <v>1896</v>
      </c>
      <c r="B364" s="10" t="s">
        <v>1034</v>
      </c>
      <c r="C364" s="9" t="s">
        <v>1035</v>
      </c>
      <c r="D364" s="15">
        <v>142.5</v>
      </c>
      <c r="E364" s="13" t="s">
        <v>3028</v>
      </c>
    </row>
    <row r="365" spans="1:5" x14ac:dyDescent="0.25">
      <c r="A365" s="9" t="s">
        <v>1896</v>
      </c>
      <c r="B365" s="10" t="s">
        <v>1038</v>
      </c>
      <c r="C365" s="9" t="s">
        <v>1039</v>
      </c>
      <c r="D365" s="15">
        <v>427.49</v>
      </c>
      <c r="E365" s="13" t="s">
        <v>3028</v>
      </c>
    </row>
    <row r="366" spans="1:5" x14ac:dyDescent="0.25">
      <c r="A366" s="9" t="s">
        <v>1896</v>
      </c>
      <c r="B366" s="10" t="s">
        <v>1040</v>
      </c>
      <c r="C366" s="9" t="s">
        <v>1041</v>
      </c>
      <c r="D366" s="15">
        <v>733.88</v>
      </c>
      <c r="E366" s="13" t="s">
        <v>3028</v>
      </c>
    </row>
    <row r="367" spans="1:5" x14ac:dyDescent="0.25">
      <c r="A367" s="9" t="s">
        <v>1896</v>
      </c>
      <c r="B367" s="10" t="s">
        <v>1042</v>
      </c>
      <c r="C367" s="9" t="s">
        <v>1043</v>
      </c>
      <c r="D367" s="15">
        <v>44.8</v>
      </c>
      <c r="E367" s="13" t="s">
        <v>3028</v>
      </c>
    </row>
    <row r="368" spans="1:5" x14ac:dyDescent="0.25">
      <c r="A368" s="9" t="s">
        <v>1896</v>
      </c>
      <c r="B368" s="10" t="s">
        <v>1049</v>
      </c>
      <c r="C368" s="9" t="s">
        <v>1050</v>
      </c>
      <c r="D368" s="15">
        <v>150.82</v>
      </c>
      <c r="E368" s="13" t="s">
        <v>3028</v>
      </c>
    </row>
    <row r="369" spans="1:5" x14ac:dyDescent="0.25">
      <c r="A369" s="9" t="s">
        <v>1896</v>
      </c>
      <c r="B369" s="10" t="s">
        <v>1053</v>
      </c>
      <c r="C369" s="9" t="s">
        <v>1054</v>
      </c>
      <c r="D369" s="15">
        <v>136.9</v>
      </c>
      <c r="E369" s="13" t="s">
        <v>3028</v>
      </c>
    </row>
    <row r="370" spans="1:5" x14ac:dyDescent="0.25">
      <c r="A370" s="9" t="s">
        <v>1896</v>
      </c>
      <c r="B370" s="10" t="s">
        <v>1057</v>
      </c>
      <c r="C370" s="9" t="s">
        <v>1058</v>
      </c>
      <c r="D370" s="15">
        <v>206.6</v>
      </c>
      <c r="E370" s="13" t="s">
        <v>3028</v>
      </c>
    </row>
    <row r="371" spans="1:5" x14ac:dyDescent="0.25">
      <c r="A371" s="9" t="s">
        <v>1896</v>
      </c>
      <c r="B371" s="10" t="s">
        <v>1061</v>
      </c>
      <c r="C371" s="9" t="s">
        <v>1062</v>
      </c>
      <c r="D371" s="15">
        <v>50.4</v>
      </c>
      <c r="E371" s="13" t="s">
        <v>3028</v>
      </c>
    </row>
    <row r="372" spans="1:5" x14ac:dyDescent="0.25">
      <c r="A372" s="9" t="s">
        <v>1896</v>
      </c>
      <c r="B372" s="10" t="s">
        <v>1067</v>
      </c>
      <c r="C372" s="9" t="s">
        <v>1068</v>
      </c>
      <c r="D372" s="15">
        <v>40</v>
      </c>
      <c r="E372" s="13" t="s">
        <v>3028</v>
      </c>
    </row>
    <row r="373" spans="1:5" x14ac:dyDescent="0.25">
      <c r="A373" s="9" t="s">
        <v>1896</v>
      </c>
      <c r="B373" s="10" t="s">
        <v>1069</v>
      </c>
      <c r="C373" s="9" t="s">
        <v>1070</v>
      </c>
      <c r="D373" s="15">
        <v>565.66</v>
      </c>
      <c r="E373" s="13" t="s">
        <v>3028</v>
      </c>
    </row>
    <row r="374" spans="1:5" x14ac:dyDescent="0.25">
      <c r="A374" s="9" t="s">
        <v>1896</v>
      </c>
      <c r="B374" s="10" t="s">
        <v>1071</v>
      </c>
      <c r="C374" s="9" t="s">
        <v>1072</v>
      </c>
      <c r="D374" s="15">
        <v>93.97</v>
      </c>
      <c r="E374" s="13" t="s">
        <v>3028</v>
      </c>
    </row>
    <row r="375" spans="1:5" x14ac:dyDescent="0.25">
      <c r="A375" s="9" t="s">
        <v>1896</v>
      </c>
      <c r="B375" s="10" t="s">
        <v>1073</v>
      </c>
      <c r="C375" s="9" t="s">
        <v>1074</v>
      </c>
      <c r="D375" s="15">
        <v>498.62</v>
      </c>
      <c r="E375" s="13" t="s">
        <v>3028</v>
      </c>
    </row>
    <row r="376" spans="1:5" x14ac:dyDescent="0.25">
      <c r="A376" s="9" t="s">
        <v>1896</v>
      </c>
      <c r="B376" s="10" t="s">
        <v>1079</v>
      </c>
      <c r="C376" s="9" t="s">
        <v>1080</v>
      </c>
      <c r="D376" s="15">
        <v>254.5</v>
      </c>
      <c r="E376" s="13" t="s">
        <v>3028</v>
      </c>
    </row>
    <row r="377" spans="1:5" x14ac:dyDescent="0.25">
      <c r="A377" s="9" t="s">
        <v>1896</v>
      </c>
      <c r="B377" s="10" t="s">
        <v>1089</v>
      </c>
      <c r="C377" s="9" t="s">
        <v>1090</v>
      </c>
      <c r="D377" s="15">
        <v>270.08999999999997</v>
      </c>
      <c r="E377" s="13" t="s">
        <v>3028</v>
      </c>
    </row>
    <row r="378" spans="1:5" x14ac:dyDescent="0.25">
      <c r="A378" s="9" t="s">
        <v>1896</v>
      </c>
      <c r="B378" s="10" t="s">
        <v>1091</v>
      </c>
      <c r="C378" s="9" t="s">
        <v>1092</v>
      </c>
      <c r="D378" s="15">
        <v>518.15</v>
      </c>
      <c r="E378" s="13" t="s">
        <v>3028</v>
      </c>
    </row>
    <row r="379" spans="1:5" x14ac:dyDescent="0.25">
      <c r="A379" s="9" t="s">
        <v>1896</v>
      </c>
      <c r="B379" s="10" t="s">
        <v>1093</v>
      </c>
      <c r="C379" s="9" t="s">
        <v>1094</v>
      </c>
      <c r="D379" s="15">
        <v>668.53</v>
      </c>
      <c r="E379" s="13" t="s">
        <v>3028</v>
      </c>
    </row>
    <row r="380" spans="1:5" x14ac:dyDescent="0.25">
      <c r="A380" s="9" t="s">
        <v>1896</v>
      </c>
      <c r="B380" s="10" t="s">
        <v>1095</v>
      </c>
      <c r="C380" s="9" t="s">
        <v>1096</v>
      </c>
      <c r="D380" s="15">
        <v>33.6</v>
      </c>
      <c r="E380" s="13" t="s">
        <v>3028</v>
      </c>
    </row>
    <row r="381" spans="1:5" x14ac:dyDescent="0.25">
      <c r="A381" s="9" t="s">
        <v>1896</v>
      </c>
      <c r="B381" s="10" t="s">
        <v>1101</v>
      </c>
      <c r="C381" s="9" t="s">
        <v>1102</v>
      </c>
      <c r="D381" s="15">
        <v>186.7</v>
      </c>
      <c r="E381" s="13" t="s">
        <v>3028</v>
      </c>
    </row>
    <row r="382" spans="1:5" x14ac:dyDescent="0.25">
      <c r="A382" s="9" t="s">
        <v>1896</v>
      </c>
      <c r="B382" s="10" t="s">
        <v>1109</v>
      </c>
      <c r="C382" s="9" t="s">
        <v>1110</v>
      </c>
      <c r="D382" s="15">
        <v>156.80000000000001</v>
      </c>
      <c r="E382" s="13" t="s">
        <v>3028</v>
      </c>
    </row>
    <row r="383" spans="1:5" x14ac:dyDescent="0.25">
      <c r="A383" s="9" t="s">
        <v>1896</v>
      </c>
      <c r="B383" s="10" t="s">
        <v>1111</v>
      </c>
      <c r="C383" s="9" t="s">
        <v>1112</v>
      </c>
      <c r="D383" s="15">
        <v>15</v>
      </c>
      <c r="E383" s="13" t="s">
        <v>3028</v>
      </c>
    </row>
    <row r="384" spans="1:5" x14ac:dyDescent="0.25">
      <c r="A384" s="9" t="s">
        <v>1896</v>
      </c>
      <c r="B384" s="10" t="s">
        <v>1113</v>
      </c>
      <c r="C384" s="9" t="s">
        <v>1114</v>
      </c>
      <c r="D384" s="15">
        <v>123.2</v>
      </c>
      <c r="E384" s="13" t="s">
        <v>3028</v>
      </c>
    </row>
    <row r="385" spans="1:5" x14ac:dyDescent="0.25">
      <c r="A385" s="9" t="s">
        <v>1896</v>
      </c>
      <c r="B385" s="10" t="s">
        <v>1115</v>
      </c>
      <c r="C385" s="9" t="s">
        <v>1116</v>
      </c>
      <c r="D385" s="15">
        <v>89.6</v>
      </c>
      <c r="E385" s="13" t="s">
        <v>3028</v>
      </c>
    </row>
    <row r="386" spans="1:5" x14ac:dyDescent="0.25">
      <c r="A386" s="9" t="s">
        <v>1896</v>
      </c>
      <c r="B386" s="10" t="s">
        <v>1121</v>
      </c>
      <c r="C386" s="9" t="s">
        <v>1122</v>
      </c>
      <c r="D386" s="15">
        <v>120.1</v>
      </c>
      <c r="E386" s="13" t="s">
        <v>3028</v>
      </c>
    </row>
    <row r="387" spans="1:5" x14ac:dyDescent="0.25">
      <c r="A387" s="9" t="s">
        <v>1896</v>
      </c>
      <c r="B387" s="10" t="s">
        <v>1123</v>
      </c>
      <c r="C387" s="9" t="s">
        <v>1124</v>
      </c>
      <c r="D387" s="15">
        <v>197.9</v>
      </c>
      <c r="E387" s="13" t="s">
        <v>3028</v>
      </c>
    </row>
    <row r="388" spans="1:5" x14ac:dyDescent="0.25">
      <c r="A388" s="9" t="s">
        <v>1896</v>
      </c>
      <c r="B388" s="10" t="s">
        <v>1127</v>
      </c>
      <c r="C388" s="9" t="s">
        <v>1128</v>
      </c>
      <c r="D388" s="15">
        <v>450.1</v>
      </c>
      <c r="E388" s="13" t="s">
        <v>3028</v>
      </c>
    </row>
    <row r="389" spans="1:5" x14ac:dyDescent="0.25">
      <c r="A389" s="9" t="s">
        <v>1896</v>
      </c>
      <c r="B389" s="10" t="s">
        <v>1129</v>
      </c>
      <c r="C389" s="9" t="s">
        <v>1130</v>
      </c>
      <c r="D389" s="15">
        <v>16.8</v>
      </c>
      <c r="E389" s="13" t="s">
        <v>3028</v>
      </c>
    </row>
    <row r="390" spans="1:5" x14ac:dyDescent="0.25">
      <c r="A390" s="9" t="s">
        <v>1896</v>
      </c>
      <c r="B390" s="10" t="s">
        <v>1133</v>
      </c>
      <c r="C390" s="9" t="s">
        <v>1134</v>
      </c>
      <c r="D390" s="15">
        <v>135.06</v>
      </c>
      <c r="E390" s="13" t="s">
        <v>3028</v>
      </c>
    </row>
    <row r="391" spans="1:5" x14ac:dyDescent="0.25">
      <c r="A391" s="9" t="s">
        <v>1896</v>
      </c>
      <c r="B391" s="10" t="s">
        <v>1135</v>
      </c>
      <c r="C391" s="9" t="s">
        <v>1136</v>
      </c>
      <c r="D391" s="15">
        <v>33.6</v>
      </c>
      <c r="E391" s="13" t="s">
        <v>3028</v>
      </c>
    </row>
    <row r="392" spans="1:5" x14ac:dyDescent="0.25">
      <c r="A392" s="9" t="s">
        <v>1896</v>
      </c>
      <c r="B392" s="10" t="s">
        <v>1137</v>
      </c>
      <c r="C392" s="9" t="s">
        <v>1138</v>
      </c>
      <c r="D392" s="15">
        <v>36.1</v>
      </c>
      <c r="E392" s="13" t="s">
        <v>3028</v>
      </c>
    </row>
    <row r="393" spans="1:5" x14ac:dyDescent="0.25">
      <c r="A393" s="9" t="s">
        <v>1896</v>
      </c>
      <c r="B393" s="10" t="s">
        <v>1139</v>
      </c>
      <c r="C393" s="9" t="s">
        <v>1140</v>
      </c>
      <c r="D393" s="15">
        <v>97.08</v>
      </c>
      <c r="E393" s="13" t="s">
        <v>3028</v>
      </c>
    </row>
    <row r="394" spans="1:5" x14ac:dyDescent="0.25">
      <c r="A394" s="9" t="s">
        <v>1896</v>
      </c>
      <c r="B394" s="10" t="s">
        <v>1143</v>
      </c>
      <c r="C394" s="9" t="s">
        <v>1144</v>
      </c>
      <c r="D394" s="15">
        <v>388.9</v>
      </c>
      <c r="E394" s="13" t="s">
        <v>3028</v>
      </c>
    </row>
    <row r="395" spans="1:5" x14ac:dyDescent="0.25">
      <c r="A395" s="9" t="s">
        <v>1896</v>
      </c>
      <c r="B395" s="10" t="s">
        <v>1145</v>
      </c>
      <c r="C395" s="9" t="s">
        <v>1146</v>
      </c>
      <c r="D395" s="15">
        <v>257.60000000000002</v>
      </c>
      <c r="E395" s="13" t="s">
        <v>3028</v>
      </c>
    </row>
    <row r="396" spans="1:5" x14ac:dyDescent="0.25">
      <c r="A396" s="9" t="s">
        <v>1896</v>
      </c>
      <c r="B396" s="10" t="s">
        <v>1149</v>
      </c>
      <c r="C396" s="9" t="s">
        <v>1150</v>
      </c>
      <c r="D396" s="15">
        <v>959.97</v>
      </c>
      <c r="E396" s="13" t="s">
        <v>3028</v>
      </c>
    </row>
    <row r="397" spans="1:5" x14ac:dyDescent="0.25">
      <c r="A397" s="9" t="s">
        <v>1896</v>
      </c>
      <c r="B397" s="10" t="s">
        <v>1151</v>
      </c>
      <c r="C397" s="9" t="s">
        <v>1152</v>
      </c>
      <c r="D397" s="15">
        <v>16.8</v>
      </c>
      <c r="E397" s="13" t="s">
        <v>3028</v>
      </c>
    </row>
    <row r="398" spans="1:5" x14ac:dyDescent="0.25">
      <c r="A398" s="9" t="s">
        <v>1896</v>
      </c>
      <c r="B398" s="10" t="s">
        <v>1153</v>
      </c>
      <c r="C398" s="9" t="s">
        <v>1154</v>
      </c>
      <c r="D398" s="15">
        <v>547.66</v>
      </c>
      <c r="E398" s="13" t="s">
        <v>3028</v>
      </c>
    </row>
    <row r="399" spans="1:5" x14ac:dyDescent="0.25">
      <c r="A399" s="9" t="s">
        <v>1896</v>
      </c>
      <c r="B399" s="10" t="s">
        <v>1155</v>
      </c>
      <c r="C399" s="9" t="s">
        <v>1156</v>
      </c>
      <c r="D399" s="15">
        <v>488.49</v>
      </c>
      <c r="E399" s="13" t="s">
        <v>3028</v>
      </c>
    </row>
    <row r="400" spans="1:5" x14ac:dyDescent="0.25">
      <c r="A400" s="9" t="s">
        <v>1896</v>
      </c>
      <c r="B400" s="10" t="s">
        <v>1159</v>
      </c>
      <c r="C400" s="9" t="s">
        <v>1160</v>
      </c>
      <c r="D400" s="15">
        <v>19.3</v>
      </c>
      <c r="E400" s="13" t="s">
        <v>3028</v>
      </c>
    </row>
    <row r="401" spans="1:5" x14ac:dyDescent="0.25">
      <c r="A401" s="9" t="s">
        <v>1896</v>
      </c>
      <c r="B401" s="10" t="s">
        <v>1163</v>
      </c>
      <c r="C401" s="9" t="s">
        <v>1164</v>
      </c>
      <c r="D401" s="15">
        <v>392</v>
      </c>
      <c r="E401" s="13" t="s">
        <v>3028</v>
      </c>
    </row>
    <row r="402" spans="1:5" x14ac:dyDescent="0.25">
      <c r="A402" s="9" t="s">
        <v>1896</v>
      </c>
      <c r="B402" s="10" t="s">
        <v>1165</v>
      </c>
      <c r="C402" s="9" t="s">
        <v>1166</v>
      </c>
      <c r="D402" s="15">
        <v>719.98</v>
      </c>
      <c r="E402" s="13" t="s">
        <v>3028</v>
      </c>
    </row>
    <row r="403" spans="1:5" x14ac:dyDescent="0.25">
      <c r="A403" s="9" t="s">
        <v>1896</v>
      </c>
      <c r="B403" s="10" t="s">
        <v>1167</v>
      </c>
      <c r="C403" s="9" t="s">
        <v>1168</v>
      </c>
      <c r="D403" s="15">
        <v>276.89999999999998</v>
      </c>
      <c r="E403" s="13" t="s">
        <v>3028</v>
      </c>
    </row>
    <row r="404" spans="1:5" x14ac:dyDescent="0.25">
      <c r="A404" s="9" t="s">
        <v>1896</v>
      </c>
      <c r="B404" s="10" t="s">
        <v>1171</v>
      </c>
      <c r="C404" s="9" t="s">
        <v>1172</v>
      </c>
      <c r="D404" s="15">
        <v>55.4</v>
      </c>
      <c r="E404" s="13" t="s">
        <v>3028</v>
      </c>
    </row>
    <row r="405" spans="1:5" x14ac:dyDescent="0.25">
      <c r="A405" s="9" t="s">
        <v>1896</v>
      </c>
      <c r="B405" s="10" t="s">
        <v>1175</v>
      </c>
      <c r="C405" s="9" t="s">
        <v>1176</v>
      </c>
      <c r="D405" s="15">
        <v>671.85</v>
      </c>
      <c r="E405" s="13" t="s">
        <v>3028</v>
      </c>
    </row>
    <row r="406" spans="1:5" x14ac:dyDescent="0.25">
      <c r="A406" s="9" t="s">
        <v>1896</v>
      </c>
      <c r="B406" s="10" t="s">
        <v>1177</v>
      </c>
      <c r="C406" s="9" t="s">
        <v>1178</v>
      </c>
      <c r="D406" s="15">
        <v>192.48</v>
      </c>
      <c r="E406" s="13" t="s">
        <v>3028</v>
      </c>
    </row>
    <row r="407" spans="1:5" x14ac:dyDescent="0.25">
      <c r="A407" s="9" t="s">
        <v>1896</v>
      </c>
      <c r="B407" s="10" t="s">
        <v>1185</v>
      </c>
      <c r="C407" s="9" t="s">
        <v>1186</v>
      </c>
      <c r="D407" s="15">
        <v>44.8</v>
      </c>
      <c r="E407" s="13" t="s">
        <v>3028</v>
      </c>
    </row>
    <row r="408" spans="1:5" x14ac:dyDescent="0.25">
      <c r="A408" s="9" t="s">
        <v>1896</v>
      </c>
      <c r="B408" s="10" t="s">
        <v>1187</v>
      </c>
      <c r="C408" s="9" t="s">
        <v>1188</v>
      </c>
      <c r="D408" s="15">
        <v>108.9</v>
      </c>
      <c r="E408" s="13" t="s">
        <v>3028</v>
      </c>
    </row>
    <row r="409" spans="1:5" x14ac:dyDescent="0.25">
      <c r="A409" s="9" t="s">
        <v>1896</v>
      </c>
      <c r="B409" s="10" t="s">
        <v>1191</v>
      </c>
      <c r="C409" s="9" t="s">
        <v>1192</v>
      </c>
      <c r="D409" s="15">
        <v>61.6</v>
      </c>
      <c r="E409" s="13" t="s">
        <v>3028</v>
      </c>
    </row>
    <row r="410" spans="1:5" x14ac:dyDescent="0.25">
      <c r="A410" s="9" t="s">
        <v>1896</v>
      </c>
      <c r="B410" s="10" t="s">
        <v>1195</v>
      </c>
      <c r="C410" s="9" t="s">
        <v>1196</v>
      </c>
      <c r="D410" s="15">
        <v>291.2</v>
      </c>
      <c r="E410" s="13" t="s">
        <v>3028</v>
      </c>
    </row>
    <row r="411" spans="1:5" x14ac:dyDescent="0.25">
      <c r="A411" s="9" t="s">
        <v>1896</v>
      </c>
      <c r="B411" s="10" t="s">
        <v>1199</v>
      </c>
      <c r="C411" s="9" t="s">
        <v>1200</v>
      </c>
      <c r="D411" s="15">
        <v>16.8</v>
      </c>
      <c r="E411" s="13" t="s">
        <v>3028</v>
      </c>
    </row>
    <row r="412" spans="1:5" x14ac:dyDescent="0.25">
      <c r="A412" s="9" t="s">
        <v>1896</v>
      </c>
      <c r="B412" s="10" t="s">
        <v>1207</v>
      </c>
      <c r="C412" s="9" t="s">
        <v>1208</v>
      </c>
      <c r="D412" s="15">
        <v>72.8</v>
      </c>
      <c r="E412" s="13" t="s">
        <v>3028</v>
      </c>
    </row>
    <row r="413" spans="1:5" x14ac:dyDescent="0.25">
      <c r="A413" s="9" t="s">
        <v>1896</v>
      </c>
      <c r="B413" s="10" t="s">
        <v>1209</v>
      </c>
      <c r="C413" s="9" t="s">
        <v>1210</v>
      </c>
      <c r="D413" s="15">
        <v>1091.68</v>
      </c>
      <c r="E413" s="13" t="s">
        <v>3028</v>
      </c>
    </row>
    <row r="414" spans="1:5" x14ac:dyDescent="0.25">
      <c r="A414" s="9" t="s">
        <v>1896</v>
      </c>
      <c r="B414" s="10" t="s">
        <v>1211</v>
      </c>
      <c r="C414" s="9" t="s">
        <v>1212</v>
      </c>
      <c r="D414" s="15">
        <v>338.5</v>
      </c>
      <c r="E414" s="13" t="s">
        <v>3028</v>
      </c>
    </row>
    <row r="415" spans="1:5" x14ac:dyDescent="0.25">
      <c r="A415" s="9" t="s">
        <v>1896</v>
      </c>
      <c r="B415" s="10" t="s">
        <v>1215</v>
      </c>
      <c r="C415" s="9" t="s">
        <v>1216</v>
      </c>
      <c r="D415" s="15">
        <v>120.1</v>
      </c>
      <c r="E415" s="13" t="s">
        <v>3028</v>
      </c>
    </row>
    <row r="416" spans="1:5" x14ac:dyDescent="0.25">
      <c r="A416" s="9" t="s">
        <v>1896</v>
      </c>
      <c r="B416" s="10" t="s">
        <v>1219</v>
      </c>
      <c r="C416" s="9" t="s">
        <v>1220</v>
      </c>
      <c r="D416" s="15">
        <v>162.63</v>
      </c>
      <c r="E416" s="13" t="s">
        <v>3028</v>
      </c>
    </row>
    <row r="417" spans="1:5" x14ac:dyDescent="0.25">
      <c r="A417" s="9" t="s">
        <v>1896</v>
      </c>
      <c r="B417" s="10" t="s">
        <v>1221</v>
      </c>
      <c r="C417" s="9" t="s">
        <v>1222</v>
      </c>
      <c r="D417" s="15">
        <v>41.7</v>
      </c>
      <c r="E417" s="13" t="s">
        <v>3028</v>
      </c>
    </row>
    <row r="418" spans="1:5" x14ac:dyDescent="0.25">
      <c r="A418" s="9" t="s">
        <v>1896</v>
      </c>
      <c r="B418" s="10" t="s">
        <v>1223</v>
      </c>
      <c r="C418" s="9" t="s">
        <v>1224</v>
      </c>
      <c r="D418" s="15">
        <v>16.8</v>
      </c>
      <c r="E418" s="13" t="s">
        <v>3028</v>
      </c>
    </row>
    <row r="419" spans="1:5" x14ac:dyDescent="0.25">
      <c r="A419" s="9" t="s">
        <v>1896</v>
      </c>
      <c r="B419" s="10" t="s">
        <v>1229</v>
      </c>
      <c r="C419" s="9" t="s">
        <v>1230</v>
      </c>
      <c r="D419" s="15">
        <v>69.7</v>
      </c>
      <c r="E419" s="13" t="s">
        <v>3028</v>
      </c>
    </row>
    <row r="420" spans="1:5" x14ac:dyDescent="0.25">
      <c r="A420" s="9" t="s">
        <v>1896</v>
      </c>
      <c r="B420" s="10" t="s">
        <v>1233</v>
      </c>
      <c r="C420" s="9" t="s">
        <v>1234</v>
      </c>
      <c r="D420" s="15">
        <v>170.5</v>
      </c>
      <c r="E420" s="13" t="s">
        <v>3028</v>
      </c>
    </row>
    <row r="421" spans="1:5" x14ac:dyDescent="0.25">
      <c r="A421" s="9" t="s">
        <v>1896</v>
      </c>
      <c r="B421" s="10" t="s">
        <v>1235</v>
      </c>
      <c r="C421" s="9" t="s">
        <v>1236</v>
      </c>
      <c r="D421" s="15">
        <v>33.6</v>
      </c>
      <c r="E421" s="13" t="s">
        <v>3028</v>
      </c>
    </row>
    <row r="422" spans="1:5" x14ac:dyDescent="0.25">
      <c r="A422" s="9" t="s">
        <v>1896</v>
      </c>
      <c r="B422" s="10" t="s">
        <v>1237</v>
      </c>
      <c r="C422" s="9" t="s">
        <v>1238</v>
      </c>
      <c r="D422" s="15">
        <v>84.22</v>
      </c>
      <c r="E422" s="13" t="s">
        <v>3028</v>
      </c>
    </row>
    <row r="423" spans="1:5" x14ac:dyDescent="0.25">
      <c r="A423" s="9" t="s">
        <v>1896</v>
      </c>
      <c r="B423" s="10" t="s">
        <v>1239</v>
      </c>
      <c r="C423" s="9" t="s">
        <v>1240</v>
      </c>
      <c r="D423" s="15">
        <v>122.6</v>
      </c>
      <c r="E423" s="13" t="s">
        <v>3028</v>
      </c>
    </row>
    <row r="424" spans="1:5" x14ac:dyDescent="0.25">
      <c r="A424" s="9" t="s">
        <v>1896</v>
      </c>
      <c r="B424" s="10" t="s">
        <v>1241</v>
      </c>
      <c r="C424" s="9" t="s">
        <v>1242</v>
      </c>
      <c r="D424" s="15">
        <v>343.31</v>
      </c>
      <c r="E424" s="13" t="s">
        <v>3028</v>
      </c>
    </row>
    <row r="425" spans="1:5" x14ac:dyDescent="0.25">
      <c r="A425" s="9" t="s">
        <v>1896</v>
      </c>
      <c r="B425" s="10" t="s">
        <v>1243</v>
      </c>
      <c r="C425" s="9" t="s">
        <v>1244</v>
      </c>
      <c r="D425" s="15">
        <v>103.3</v>
      </c>
      <c r="E425" s="13" t="s">
        <v>3028</v>
      </c>
    </row>
    <row r="426" spans="1:5" x14ac:dyDescent="0.25">
      <c r="A426" s="9" t="s">
        <v>1896</v>
      </c>
      <c r="B426" s="10" t="s">
        <v>1247</v>
      </c>
      <c r="C426" s="9" t="s">
        <v>1248</v>
      </c>
      <c r="D426" s="15">
        <v>50.4</v>
      </c>
      <c r="E426" s="13" t="s">
        <v>3028</v>
      </c>
    </row>
    <row r="427" spans="1:5" x14ac:dyDescent="0.25">
      <c r="A427" s="9" t="s">
        <v>1896</v>
      </c>
      <c r="B427" s="10" t="s">
        <v>1251</v>
      </c>
      <c r="C427" s="9" t="s">
        <v>1252</v>
      </c>
      <c r="D427" s="15">
        <v>209.3</v>
      </c>
      <c r="E427" s="13" t="s">
        <v>3028</v>
      </c>
    </row>
    <row r="428" spans="1:5" x14ac:dyDescent="0.25">
      <c r="A428" s="9" t="s">
        <v>1896</v>
      </c>
      <c r="B428" s="10" t="s">
        <v>1255</v>
      </c>
      <c r="C428" s="9" t="s">
        <v>1256</v>
      </c>
      <c r="D428" s="15">
        <v>249.33</v>
      </c>
      <c r="E428" s="13" t="s">
        <v>3028</v>
      </c>
    </row>
    <row r="429" spans="1:5" x14ac:dyDescent="0.25">
      <c r="A429" s="9" t="s">
        <v>1896</v>
      </c>
      <c r="B429" s="10" t="s">
        <v>1257</v>
      </c>
      <c r="C429" s="9" t="s">
        <v>1258</v>
      </c>
      <c r="D429" s="15">
        <v>184.8</v>
      </c>
      <c r="E429" s="13" t="s">
        <v>3028</v>
      </c>
    </row>
    <row r="430" spans="1:5" x14ac:dyDescent="0.25">
      <c r="A430" s="9" t="s">
        <v>1896</v>
      </c>
      <c r="B430" s="10" t="s">
        <v>1259</v>
      </c>
      <c r="C430" s="9" t="s">
        <v>1260</v>
      </c>
      <c r="D430" s="15">
        <v>384.13</v>
      </c>
      <c r="E430" s="13" t="s">
        <v>3028</v>
      </c>
    </row>
    <row r="431" spans="1:5" x14ac:dyDescent="0.25">
      <c r="A431" s="9" t="s">
        <v>1896</v>
      </c>
      <c r="B431" s="10" t="s">
        <v>1261</v>
      </c>
      <c r="C431" s="9" t="s">
        <v>1262</v>
      </c>
      <c r="D431" s="15">
        <v>988.82</v>
      </c>
      <c r="E431" s="13" t="s">
        <v>3028</v>
      </c>
    </row>
    <row r="432" spans="1:5" x14ac:dyDescent="0.25">
      <c r="A432" s="9" t="s">
        <v>1896</v>
      </c>
      <c r="B432" s="10" t="s">
        <v>1263</v>
      </c>
      <c r="C432" s="9" t="s">
        <v>1264</v>
      </c>
      <c r="D432" s="15">
        <v>16.8</v>
      </c>
      <c r="E432" s="13" t="s">
        <v>3028</v>
      </c>
    </row>
    <row r="433" spans="1:5" x14ac:dyDescent="0.25">
      <c r="A433" s="9" t="s">
        <v>1896</v>
      </c>
      <c r="B433" s="10" t="s">
        <v>1265</v>
      </c>
      <c r="C433" s="9" t="s">
        <v>1266</v>
      </c>
      <c r="D433" s="15">
        <v>437.94</v>
      </c>
      <c r="E433" s="13" t="s">
        <v>3028</v>
      </c>
    </row>
    <row r="434" spans="1:5" x14ac:dyDescent="0.25">
      <c r="A434" s="9" t="s">
        <v>1896</v>
      </c>
      <c r="B434" s="10" t="s">
        <v>1267</v>
      </c>
      <c r="C434" s="9" t="s">
        <v>1268</v>
      </c>
      <c r="D434" s="15">
        <v>141.06</v>
      </c>
      <c r="E434" s="13" t="s">
        <v>3028</v>
      </c>
    </row>
    <row r="435" spans="1:5" x14ac:dyDescent="0.25">
      <c r="A435" s="9" t="s">
        <v>1896</v>
      </c>
      <c r="B435" s="10" t="s">
        <v>1271</v>
      </c>
      <c r="C435" s="9" t="s">
        <v>1272</v>
      </c>
      <c r="D435" s="15">
        <v>475.63</v>
      </c>
      <c r="E435" s="13" t="s">
        <v>3028</v>
      </c>
    </row>
    <row r="436" spans="1:5" x14ac:dyDescent="0.25">
      <c r="A436" s="9" t="s">
        <v>1896</v>
      </c>
      <c r="B436" s="10" t="s">
        <v>1275</v>
      </c>
      <c r="C436" s="9" t="s">
        <v>1276</v>
      </c>
      <c r="D436" s="15">
        <v>384.34</v>
      </c>
      <c r="E436" s="13" t="s">
        <v>3028</v>
      </c>
    </row>
    <row r="437" spans="1:5" x14ac:dyDescent="0.25">
      <c r="A437" s="9" t="s">
        <v>1896</v>
      </c>
      <c r="B437" s="10" t="s">
        <v>1277</v>
      </c>
      <c r="C437" s="9" t="s">
        <v>1278</v>
      </c>
      <c r="D437" s="15">
        <v>61.6</v>
      </c>
      <c r="E437" s="13" t="s">
        <v>3028</v>
      </c>
    </row>
    <row r="438" spans="1:5" x14ac:dyDescent="0.25">
      <c r="A438" s="9" t="s">
        <v>1896</v>
      </c>
      <c r="B438" s="10" t="s">
        <v>1281</v>
      </c>
      <c r="C438" s="9" t="s">
        <v>1282</v>
      </c>
      <c r="D438" s="15">
        <v>259.49</v>
      </c>
      <c r="E438" s="13" t="s">
        <v>3028</v>
      </c>
    </row>
    <row r="439" spans="1:5" x14ac:dyDescent="0.25">
      <c r="A439" s="9" t="s">
        <v>1896</v>
      </c>
      <c r="B439" s="10" t="s">
        <v>1283</v>
      </c>
      <c r="C439" s="9" t="s">
        <v>1284</v>
      </c>
      <c r="D439" s="15">
        <v>895.23</v>
      </c>
      <c r="E439" s="13" t="s">
        <v>3028</v>
      </c>
    </row>
    <row r="440" spans="1:5" x14ac:dyDescent="0.25">
      <c r="A440" s="9" t="s">
        <v>1896</v>
      </c>
      <c r="B440" s="10" t="s">
        <v>1289</v>
      </c>
      <c r="C440" s="9" t="s">
        <v>1290</v>
      </c>
      <c r="D440" s="15">
        <v>16.8</v>
      </c>
      <c r="E440" s="13" t="s">
        <v>3028</v>
      </c>
    </row>
    <row r="441" spans="1:5" x14ac:dyDescent="0.25">
      <c r="A441" s="9" t="s">
        <v>1896</v>
      </c>
      <c r="B441" s="10" t="s">
        <v>1293</v>
      </c>
      <c r="C441" s="9" t="s">
        <v>1294</v>
      </c>
      <c r="D441" s="15">
        <v>64.319999999999993</v>
      </c>
      <c r="E441" s="13" t="s">
        <v>3028</v>
      </c>
    </row>
    <row r="442" spans="1:5" x14ac:dyDescent="0.25">
      <c r="A442" s="9" t="s">
        <v>1896</v>
      </c>
      <c r="B442" s="10" t="s">
        <v>1295</v>
      </c>
      <c r="C442" s="9" t="s">
        <v>1296</v>
      </c>
      <c r="D442" s="15">
        <v>223.4</v>
      </c>
      <c r="E442" s="13" t="s">
        <v>3028</v>
      </c>
    </row>
    <row r="443" spans="1:5" x14ac:dyDescent="0.25">
      <c r="A443" s="9" t="s">
        <v>1896</v>
      </c>
      <c r="B443" s="10" t="s">
        <v>1297</v>
      </c>
      <c r="C443" s="9" t="s">
        <v>1298</v>
      </c>
      <c r="D443" s="15">
        <v>19.3</v>
      </c>
      <c r="E443" s="13" t="s">
        <v>3028</v>
      </c>
    </row>
    <row r="444" spans="1:5" x14ac:dyDescent="0.25">
      <c r="A444" s="9" t="s">
        <v>1896</v>
      </c>
      <c r="B444" s="10" t="s">
        <v>1304</v>
      </c>
      <c r="C444" s="9" t="s">
        <v>1305</v>
      </c>
      <c r="D444" s="15">
        <v>153.1</v>
      </c>
      <c r="E444" s="13" t="s">
        <v>3028</v>
      </c>
    </row>
    <row r="445" spans="1:5" x14ac:dyDescent="0.25">
      <c r="A445" s="9" t="s">
        <v>1896</v>
      </c>
      <c r="B445" s="10" t="s">
        <v>1306</v>
      </c>
      <c r="C445" s="9" t="s">
        <v>1307</v>
      </c>
      <c r="D445" s="15">
        <v>193.13</v>
      </c>
      <c r="E445" s="13" t="s">
        <v>3028</v>
      </c>
    </row>
    <row r="446" spans="1:5" x14ac:dyDescent="0.25">
      <c r="A446" s="9" t="s">
        <v>1896</v>
      </c>
      <c r="B446" s="10" t="s">
        <v>1308</v>
      </c>
      <c r="C446" s="9" t="s">
        <v>1309</v>
      </c>
      <c r="D446" s="15">
        <v>308.45</v>
      </c>
      <c r="E446" s="13" t="s">
        <v>3028</v>
      </c>
    </row>
    <row r="447" spans="1:5" x14ac:dyDescent="0.25">
      <c r="A447" s="9" t="s">
        <v>1896</v>
      </c>
      <c r="B447" s="10" t="s">
        <v>1312</v>
      </c>
      <c r="C447" s="9" t="s">
        <v>1313</v>
      </c>
      <c r="D447" s="15">
        <v>926.77</v>
      </c>
      <c r="E447" s="13" t="s">
        <v>3028</v>
      </c>
    </row>
    <row r="448" spans="1:5" x14ac:dyDescent="0.25">
      <c r="A448" s="9" t="s">
        <v>1896</v>
      </c>
      <c r="B448" s="10" t="s">
        <v>1316</v>
      </c>
      <c r="C448" s="9" t="s">
        <v>1317</v>
      </c>
      <c r="D448" s="15">
        <v>16.8</v>
      </c>
      <c r="E448" s="13" t="s">
        <v>3028</v>
      </c>
    </row>
    <row r="449" spans="1:5" x14ac:dyDescent="0.25">
      <c r="A449" s="9" t="s">
        <v>1896</v>
      </c>
      <c r="B449" s="10" t="s">
        <v>1318</v>
      </c>
      <c r="C449" s="9" t="s">
        <v>1319</v>
      </c>
      <c r="D449" s="15">
        <v>69.7</v>
      </c>
      <c r="E449" s="13" t="s">
        <v>3028</v>
      </c>
    </row>
    <row r="450" spans="1:5" x14ac:dyDescent="0.25">
      <c r="A450" s="9" t="s">
        <v>1896</v>
      </c>
      <c r="B450" s="10" t="s">
        <v>1320</v>
      </c>
      <c r="C450" s="9" t="s">
        <v>1321</v>
      </c>
      <c r="D450" s="15">
        <v>123.2</v>
      </c>
      <c r="E450" s="13" t="s">
        <v>3028</v>
      </c>
    </row>
    <row r="451" spans="1:5" x14ac:dyDescent="0.25">
      <c r="A451" s="9" t="s">
        <v>1896</v>
      </c>
      <c r="B451" s="10" t="s">
        <v>1324</v>
      </c>
      <c r="C451" s="9" t="s">
        <v>1325</v>
      </c>
      <c r="D451" s="15">
        <v>376.98</v>
      </c>
      <c r="E451" s="13" t="s">
        <v>3028</v>
      </c>
    </row>
    <row r="452" spans="1:5" x14ac:dyDescent="0.25">
      <c r="A452" s="9" t="s">
        <v>1896</v>
      </c>
      <c r="B452" s="10" t="s">
        <v>1326</v>
      </c>
      <c r="C452" s="9" t="s">
        <v>1327</v>
      </c>
      <c r="D452" s="15">
        <v>108.9</v>
      </c>
      <c r="E452" s="13" t="s">
        <v>3028</v>
      </c>
    </row>
    <row r="453" spans="1:5" x14ac:dyDescent="0.25">
      <c r="A453" s="9" t="s">
        <v>1896</v>
      </c>
      <c r="B453" s="10" t="s">
        <v>1328</v>
      </c>
      <c r="C453" s="9" t="s">
        <v>1329</v>
      </c>
      <c r="D453" s="15">
        <v>428.74</v>
      </c>
      <c r="E453" s="13" t="s">
        <v>3028</v>
      </c>
    </row>
    <row r="454" spans="1:5" x14ac:dyDescent="0.25">
      <c r="A454" s="9" t="s">
        <v>1896</v>
      </c>
      <c r="B454" s="10" t="s">
        <v>1330</v>
      </c>
      <c r="C454" s="9" t="s">
        <v>1331</v>
      </c>
      <c r="D454" s="15">
        <v>5.6</v>
      </c>
      <c r="E454" s="13" t="s">
        <v>3028</v>
      </c>
    </row>
    <row r="455" spans="1:5" x14ac:dyDescent="0.25">
      <c r="A455" s="9" t="s">
        <v>1896</v>
      </c>
      <c r="B455" s="10" t="s">
        <v>1332</v>
      </c>
      <c r="C455" s="9" t="s">
        <v>1333</v>
      </c>
      <c r="D455" s="15">
        <v>67.430000000000007</v>
      </c>
      <c r="E455" s="13" t="s">
        <v>3028</v>
      </c>
    </row>
    <row r="456" spans="1:5" x14ac:dyDescent="0.25">
      <c r="A456" s="9" t="s">
        <v>1896</v>
      </c>
      <c r="B456" s="10" t="s">
        <v>1334</v>
      </c>
      <c r="C456" s="9" t="s">
        <v>1335</v>
      </c>
      <c r="D456" s="15">
        <v>45.03</v>
      </c>
      <c r="E456" s="13" t="s">
        <v>3028</v>
      </c>
    </row>
    <row r="457" spans="1:5" x14ac:dyDescent="0.25">
      <c r="A457" s="9" t="s">
        <v>1896</v>
      </c>
      <c r="B457" s="10" t="s">
        <v>1336</v>
      </c>
      <c r="C457" s="9" t="s">
        <v>1337</v>
      </c>
      <c r="D457" s="15">
        <v>90.06</v>
      </c>
      <c r="E457" s="13" t="s">
        <v>3028</v>
      </c>
    </row>
    <row r="458" spans="1:5" x14ac:dyDescent="0.25">
      <c r="A458" s="9" t="s">
        <v>1896</v>
      </c>
      <c r="B458" s="10" t="s">
        <v>1338</v>
      </c>
      <c r="C458" s="9" t="s">
        <v>1339</v>
      </c>
      <c r="D458" s="15">
        <v>84.23</v>
      </c>
      <c r="E458" s="13" t="s">
        <v>3028</v>
      </c>
    </row>
    <row r="459" spans="1:5" x14ac:dyDescent="0.25">
      <c r="A459" s="9" t="s">
        <v>1896</v>
      </c>
      <c r="B459" s="10" t="s">
        <v>1340</v>
      </c>
      <c r="C459" s="9" t="s">
        <v>1341</v>
      </c>
      <c r="D459" s="15">
        <v>237.7</v>
      </c>
      <c r="E459" s="13" t="s">
        <v>3028</v>
      </c>
    </row>
    <row r="460" spans="1:5" x14ac:dyDescent="0.25">
      <c r="A460" s="9" t="s">
        <v>1896</v>
      </c>
      <c r="B460" s="10" t="s">
        <v>1344</v>
      </c>
      <c r="C460" s="9" t="s">
        <v>1345</v>
      </c>
      <c r="D460" s="15">
        <v>198.5</v>
      </c>
      <c r="E460" s="13" t="s">
        <v>3028</v>
      </c>
    </row>
    <row r="461" spans="1:5" x14ac:dyDescent="0.25">
      <c r="A461" s="9" t="s">
        <v>1896</v>
      </c>
      <c r="B461" s="10" t="s">
        <v>1346</v>
      </c>
      <c r="C461" s="9" t="s">
        <v>1347</v>
      </c>
      <c r="D461" s="15">
        <v>303.08</v>
      </c>
      <c r="E461" s="13" t="s">
        <v>3028</v>
      </c>
    </row>
    <row r="462" spans="1:5" x14ac:dyDescent="0.25">
      <c r="A462" s="9" t="s">
        <v>1896</v>
      </c>
      <c r="B462" s="10" t="s">
        <v>1348</v>
      </c>
      <c r="C462" s="9" t="s">
        <v>1349</v>
      </c>
      <c r="D462" s="15">
        <v>207.04</v>
      </c>
      <c r="E462" s="13" t="s">
        <v>3028</v>
      </c>
    </row>
    <row r="463" spans="1:5" x14ac:dyDescent="0.25">
      <c r="A463" s="9" t="s">
        <v>1896</v>
      </c>
      <c r="B463" s="10" t="s">
        <v>1357</v>
      </c>
      <c r="C463" s="9" t="s">
        <v>1358</v>
      </c>
      <c r="D463" s="15">
        <v>320.69</v>
      </c>
      <c r="E463" s="13" t="s">
        <v>3028</v>
      </c>
    </row>
    <row r="464" spans="1:5" x14ac:dyDescent="0.25">
      <c r="A464" s="9" t="s">
        <v>1896</v>
      </c>
      <c r="B464" s="10" t="s">
        <v>1359</v>
      </c>
      <c r="C464" s="9" t="s">
        <v>1360</v>
      </c>
      <c r="D464" s="15">
        <v>233.76</v>
      </c>
      <c r="E464" s="13" t="s">
        <v>3028</v>
      </c>
    </row>
    <row r="465" spans="1:5" x14ac:dyDescent="0.25">
      <c r="A465" s="9" t="s">
        <v>1896</v>
      </c>
      <c r="B465" s="10" t="s">
        <v>1361</v>
      </c>
      <c r="C465" s="9" t="s">
        <v>1362</v>
      </c>
      <c r="D465" s="15">
        <v>365.52</v>
      </c>
      <c r="E465" s="13" t="s">
        <v>3028</v>
      </c>
    </row>
    <row r="466" spans="1:5" x14ac:dyDescent="0.25">
      <c r="A466" s="9" t="s">
        <v>1896</v>
      </c>
      <c r="B466" s="10" t="s">
        <v>1365</v>
      </c>
      <c r="C466" s="9" t="s">
        <v>1366</v>
      </c>
      <c r="D466" s="15">
        <v>39.200000000000003</v>
      </c>
      <c r="E466" s="13" t="s">
        <v>3028</v>
      </c>
    </row>
    <row r="467" spans="1:5" x14ac:dyDescent="0.25">
      <c r="A467" s="9" t="s">
        <v>1896</v>
      </c>
      <c r="B467" s="10" t="s">
        <v>1371</v>
      </c>
      <c r="C467" s="9" t="s">
        <v>1372</v>
      </c>
      <c r="D467" s="15">
        <v>102.92</v>
      </c>
      <c r="E467" s="13" t="s">
        <v>3028</v>
      </c>
    </row>
    <row r="468" spans="1:5" x14ac:dyDescent="0.25">
      <c r="A468" s="9" t="s">
        <v>1896</v>
      </c>
      <c r="B468" s="10" t="s">
        <v>1373</v>
      </c>
      <c r="C468" s="9" t="s">
        <v>1374</v>
      </c>
      <c r="D468" s="15">
        <v>39.200000000000003</v>
      </c>
      <c r="E468" s="13" t="s">
        <v>3028</v>
      </c>
    </row>
    <row r="469" spans="1:5" x14ac:dyDescent="0.25">
      <c r="A469" s="9" t="s">
        <v>1896</v>
      </c>
      <c r="B469" s="10" t="s">
        <v>1379</v>
      </c>
      <c r="C469" s="9" t="s">
        <v>1380</v>
      </c>
      <c r="D469" s="15">
        <v>16.8</v>
      </c>
      <c r="E469" s="13" t="s">
        <v>3028</v>
      </c>
    </row>
    <row r="470" spans="1:5" x14ac:dyDescent="0.25">
      <c r="A470" s="9" t="s">
        <v>1896</v>
      </c>
      <c r="B470" s="10" t="s">
        <v>1381</v>
      </c>
      <c r="C470" s="9" t="s">
        <v>1382</v>
      </c>
      <c r="D470" s="15">
        <v>22.4</v>
      </c>
      <c r="E470" s="13" t="s">
        <v>3028</v>
      </c>
    </row>
    <row r="471" spans="1:5" x14ac:dyDescent="0.25">
      <c r="A471" s="9" t="s">
        <v>1896</v>
      </c>
      <c r="B471" s="10" t="s">
        <v>1387</v>
      </c>
      <c r="C471" s="9" t="s">
        <v>1388</v>
      </c>
      <c r="D471" s="15">
        <v>192.9</v>
      </c>
      <c r="E471" s="13" t="s">
        <v>3028</v>
      </c>
    </row>
    <row r="472" spans="1:5" x14ac:dyDescent="0.25">
      <c r="A472" s="9" t="s">
        <v>1896</v>
      </c>
      <c r="B472" s="10" t="s">
        <v>1389</v>
      </c>
      <c r="C472" s="9" t="s">
        <v>1390</v>
      </c>
      <c r="D472" s="15">
        <v>126.74</v>
      </c>
      <c r="E472" s="13" t="s">
        <v>3028</v>
      </c>
    </row>
    <row r="473" spans="1:5" x14ac:dyDescent="0.25">
      <c r="A473" s="9" t="s">
        <v>1896</v>
      </c>
      <c r="B473" s="10" t="s">
        <v>1391</v>
      </c>
      <c r="C473" s="9" t="s">
        <v>1392</v>
      </c>
      <c r="D473" s="15">
        <v>822.25</v>
      </c>
      <c r="E473" s="13" t="s">
        <v>3028</v>
      </c>
    </row>
    <row r="474" spans="1:5" x14ac:dyDescent="0.25">
      <c r="A474" s="9" t="s">
        <v>1896</v>
      </c>
      <c r="B474" s="10" t="s">
        <v>1393</v>
      </c>
      <c r="C474" s="9" t="s">
        <v>1394</v>
      </c>
      <c r="D474" s="15">
        <v>400.4</v>
      </c>
      <c r="E474" s="13" t="s">
        <v>3028</v>
      </c>
    </row>
    <row r="475" spans="1:5" x14ac:dyDescent="0.25">
      <c r="A475" s="9" t="s">
        <v>1896</v>
      </c>
      <c r="B475" s="10" t="s">
        <v>1395</v>
      </c>
      <c r="C475" s="9" t="s">
        <v>1396</v>
      </c>
      <c r="D475" s="15">
        <v>16.8</v>
      </c>
      <c r="E475" s="13" t="s">
        <v>3028</v>
      </c>
    </row>
    <row r="476" spans="1:5" x14ac:dyDescent="0.25">
      <c r="A476" s="9" t="s">
        <v>1896</v>
      </c>
      <c r="B476" s="10" t="s">
        <v>1399</v>
      </c>
      <c r="C476" s="9" t="s">
        <v>1400</v>
      </c>
      <c r="D476" s="15">
        <v>69.7</v>
      </c>
      <c r="E476" s="13" t="s">
        <v>3028</v>
      </c>
    </row>
    <row r="477" spans="1:5" x14ac:dyDescent="0.25">
      <c r="A477" s="9" t="s">
        <v>1896</v>
      </c>
      <c r="B477" s="10" t="s">
        <v>1403</v>
      </c>
      <c r="C477" s="9" t="s">
        <v>1404</v>
      </c>
      <c r="D477" s="15">
        <v>224.23</v>
      </c>
      <c r="E477" s="13" t="s">
        <v>3028</v>
      </c>
    </row>
    <row r="478" spans="1:5" x14ac:dyDescent="0.25">
      <c r="A478" s="9" t="s">
        <v>1896</v>
      </c>
      <c r="B478" s="10" t="s">
        <v>1407</v>
      </c>
      <c r="C478" s="9" t="s">
        <v>1408</v>
      </c>
      <c r="D478" s="15">
        <v>70.75</v>
      </c>
      <c r="E478" s="13" t="s">
        <v>3028</v>
      </c>
    </row>
    <row r="479" spans="1:5" x14ac:dyDescent="0.25">
      <c r="A479" s="9" t="s">
        <v>1896</v>
      </c>
      <c r="B479" s="10" t="s">
        <v>1409</v>
      </c>
      <c r="C479" s="9" t="s">
        <v>1410</v>
      </c>
      <c r="D479" s="15">
        <v>36.1</v>
      </c>
      <c r="E479" s="13" t="s">
        <v>3028</v>
      </c>
    </row>
    <row r="480" spans="1:5" x14ac:dyDescent="0.25">
      <c r="A480" s="9" t="s">
        <v>1896</v>
      </c>
      <c r="B480" s="10" t="s">
        <v>1415</v>
      </c>
      <c r="C480" s="9" t="s">
        <v>1416</v>
      </c>
      <c r="D480" s="15">
        <v>33.6</v>
      </c>
      <c r="E480" s="13" t="s">
        <v>3028</v>
      </c>
    </row>
    <row r="481" spans="1:5" x14ac:dyDescent="0.25">
      <c r="A481" s="9" t="s">
        <v>1896</v>
      </c>
      <c r="B481" s="10" t="s">
        <v>1419</v>
      </c>
      <c r="C481" s="9" t="s">
        <v>1420</v>
      </c>
      <c r="D481" s="15">
        <v>100.8</v>
      </c>
      <c r="E481" s="13" t="s">
        <v>3028</v>
      </c>
    </row>
    <row r="482" spans="1:5" x14ac:dyDescent="0.25">
      <c r="A482" s="9" t="s">
        <v>1896</v>
      </c>
      <c r="B482" s="10" t="s">
        <v>1421</v>
      </c>
      <c r="C482" s="9" t="s">
        <v>1422</v>
      </c>
      <c r="D482" s="15">
        <v>122.59</v>
      </c>
      <c r="E482" s="13" t="s">
        <v>3028</v>
      </c>
    </row>
    <row r="483" spans="1:5" x14ac:dyDescent="0.25">
      <c r="A483" s="9" t="s">
        <v>1896</v>
      </c>
      <c r="B483" s="10" t="s">
        <v>1425</v>
      </c>
      <c r="C483" s="9" t="s">
        <v>1426</v>
      </c>
      <c r="D483" s="15">
        <v>28</v>
      </c>
      <c r="E483" s="13" t="s">
        <v>3028</v>
      </c>
    </row>
    <row r="484" spans="1:5" x14ac:dyDescent="0.25">
      <c r="A484" s="9" t="s">
        <v>1896</v>
      </c>
      <c r="B484" s="10" t="s">
        <v>1427</v>
      </c>
      <c r="C484" s="9" t="s">
        <v>1428</v>
      </c>
      <c r="D484" s="15">
        <v>16.8</v>
      </c>
      <c r="E484" s="13" t="s">
        <v>3028</v>
      </c>
    </row>
    <row r="485" spans="1:5" x14ac:dyDescent="0.25">
      <c r="A485" s="9" t="s">
        <v>1896</v>
      </c>
      <c r="B485" s="10" t="s">
        <v>1435</v>
      </c>
      <c r="C485" s="9" t="s">
        <v>1436</v>
      </c>
      <c r="D485" s="15">
        <v>16.8</v>
      </c>
      <c r="E485" s="13" t="s">
        <v>3028</v>
      </c>
    </row>
    <row r="486" spans="1:5" x14ac:dyDescent="0.25">
      <c r="A486" s="9" t="s">
        <v>1896</v>
      </c>
      <c r="B486" s="10" t="s">
        <v>1437</v>
      </c>
      <c r="C486" s="9" t="s">
        <v>1438</v>
      </c>
      <c r="D486" s="15">
        <v>120.1</v>
      </c>
      <c r="E486" s="13" t="s">
        <v>3028</v>
      </c>
    </row>
    <row r="487" spans="1:5" x14ac:dyDescent="0.25">
      <c r="A487" s="9" t="s">
        <v>1896</v>
      </c>
      <c r="B487" s="10" t="s">
        <v>1442</v>
      </c>
      <c r="C487" s="9" t="s">
        <v>1443</v>
      </c>
      <c r="D487" s="15">
        <v>28</v>
      </c>
      <c r="E487" s="13" t="s">
        <v>3028</v>
      </c>
    </row>
    <row r="488" spans="1:5" x14ac:dyDescent="0.25">
      <c r="A488" s="9" t="s">
        <v>1896</v>
      </c>
      <c r="B488" s="10" t="s">
        <v>1444</v>
      </c>
      <c r="C488" s="9" t="s">
        <v>1445</v>
      </c>
      <c r="D488" s="15">
        <v>110.8</v>
      </c>
      <c r="E488" s="13" t="s">
        <v>3028</v>
      </c>
    </row>
    <row r="489" spans="1:5" x14ac:dyDescent="0.25">
      <c r="A489" s="9" t="s">
        <v>1896</v>
      </c>
      <c r="B489" s="10" t="s">
        <v>1446</v>
      </c>
      <c r="C489" s="9" t="s">
        <v>1447</v>
      </c>
      <c r="D489" s="15">
        <v>91.8</v>
      </c>
      <c r="E489" s="13" t="s">
        <v>3028</v>
      </c>
    </row>
    <row r="490" spans="1:5" x14ac:dyDescent="0.25">
      <c r="A490" s="9" t="s">
        <v>1896</v>
      </c>
      <c r="B490" s="10" t="s">
        <v>1448</v>
      </c>
      <c r="C490" s="9" t="s">
        <v>1449</v>
      </c>
      <c r="D490" s="15">
        <v>148.1</v>
      </c>
      <c r="E490" s="13" t="s">
        <v>3028</v>
      </c>
    </row>
    <row r="491" spans="1:5" x14ac:dyDescent="0.25">
      <c r="A491" s="9" t="s">
        <v>1896</v>
      </c>
      <c r="B491" s="10" t="s">
        <v>1450</v>
      </c>
      <c r="C491" s="9" t="s">
        <v>1451</v>
      </c>
      <c r="D491" s="15">
        <v>224</v>
      </c>
      <c r="E491" s="13" t="s">
        <v>3028</v>
      </c>
    </row>
    <row r="492" spans="1:5" x14ac:dyDescent="0.25">
      <c r="A492" s="9" t="s">
        <v>1896</v>
      </c>
      <c r="B492" s="10" t="s">
        <v>1452</v>
      </c>
      <c r="C492" s="9" t="s">
        <v>1453</v>
      </c>
      <c r="D492" s="15">
        <v>16.8</v>
      </c>
      <c r="E492" s="13" t="s">
        <v>3028</v>
      </c>
    </row>
    <row r="493" spans="1:5" x14ac:dyDescent="0.25">
      <c r="A493" s="9" t="s">
        <v>1896</v>
      </c>
      <c r="B493" s="10" t="s">
        <v>1456</v>
      </c>
      <c r="C493" s="9" t="s">
        <v>1457</v>
      </c>
      <c r="D493" s="15">
        <v>33.6</v>
      </c>
      <c r="E493" s="13" t="s">
        <v>3028</v>
      </c>
    </row>
    <row r="494" spans="1:5" x14ac:dyDescent="0.25">
      <c r="A494" s="9" t="s">
        <v>1896</v>
      </c>
      <c r="B494" s="10" t="s">
        <v>1458</v>
      </c>
      <c r="C494" s="9" t="s">
        <v>1459</v>
      </c>
      <c r="D494" s="15">
        <v>106.02</v>
      </c>
      <c r="E494" s="13" t="s">
        <v>3028</v>
      </c>
    </row>
    <row r="495" spans="1:5" x14ac:dyDescent="0.25">
      <c r="A495" s="9" t="s">
        <v>1896</v>
      </c>
      <c r="B495" s="10" t="s">
        <v>1460</v>
      </c>
      <c r="C495" s="9" t="s">
        <v>1461</v>
      </c>
      <c r="D495" s="15">
        <v>68.260000000000005</v>
      </c>
      <c r="E495" s="13" t="s">
        <v>3028</v>
      </c>
    </row>
    <row r="496" spans="1:5" x14ac:dyDescent="0.25">
      <c r="A496" s="9" t="s">
        <v>1896</v>
      </c>
      <c r="B496" s="10" t="s">
        <v>1462</v>
      </c>
      <c r="C496" s="9" t="s">
        <v>1463</v>
      </c>
      <c r="D496" s="15">
        <v>240.8</v>
      </c>
      <c r="E496" s="13" t="s">
        <v>3028</v>
      </c>
    </row>
    <row r="497" spans="1:5" x14ac:dyDescent="0.25">
      <c r="A497" s="9" t="s">
        <v>1896</v>
      </c>
      <c r="B497" s="10" t="s">
        <v>1464</v>
      </c>
      <c r="C497" s="9" t="s">
        <v>1465</v>
      </c>
      <c r="D497" s="15">
        <v>61.6</v>
      </c>
      <c r="E497" s="13" t="s">
        <v>3028</v>
      </c>
    </row>
    <row r="498" spans="1:5" x14ac:dyDescent="0.25">
      <c r="A498" s="9" t="s">
        <v>1896</v>
      </c>
      <c r="B498" s="10" t="s">
        <v>1466</v>
      </c>
      <c r="C498" s="9" t="s">
        <v>1467</v>
      </c>
      <c r="D498" s="15">
        <v>44.8</v>
      </c>
      <c r="E498" s="13" t="s">
        <v>3028</v>
      </c>
    </row>
    <row r="499" spans="1:5" x14ac:dyDescent="0.25">
      <c r="A499" s="9" t="s">
        <v>1896</v>
      </c>
      <c r="B499" s="10" t="s">
        <v>1468</v>
      </c>
      <c r="C499" s="9" t="s">
        <v>1469</v>
      </c>
      <c r="D499" s="15">
        <v>76.13</v>
      </c>
      <c r="E499" s="13" t="s">
        <v>3028</v>
      </c>
    </row>
    <row r="500" spans="1:5" x14ac:dyDescent="0.25">
      <c r="A500" s="9" t="s">
        <v>1896</v>
      </c>
      <c r="B500" s="10" t="s">
        <v>1470</v>
      </c>
      <c r="C500" s="9" t="s">
        <v>1471</v>
      </c>
      <c r="D500" s="15">
        <v>25.73</v>
      </c>
      <c r="E500" s="13" t="s">
        <v>3028</v>
      </c>
    </row>
    <row r="501" spans="1:5" x14ac:dyDescent="0.25">
      <c r="A501" s="9" t="s">
        <v>1896</v>
      </c>
      <c r="B501" s="10" t="s">
        <v>1474</v>
      </c>
      <c r="C501" s="9" t="s">
        <v>1475</v>
      </c>
      <c r="D501" s="15">
        <v>93.16</v>
      </c>
      <c r="E501" s="13" t="s">
        <v>3028</v>
      </c>
    </row>
    <row r="502" spans="1:5" x14ac:dyDescent="0.25">
      <c r="A502" s="9" t="s">
        <v>1896</v>
      </c>
      <c r="B502" s="10" t="s">
        <v>1478</v>
      </c>
      <c r="C502" s="9" t="s">
        <v>1479</v>
      </c>
      <c r="D502" s="15">
        <v>104.96</v>
      </c>
      <c r="E502" s="13" t="s">
        <v>3028</v>
      </c>
    </row>
    <row r="503" spans="1:5" x14ac:dyDescent="0.25">
      <c r="A503" s="9" t="s">
        <v>1896</v>
      </c>
      <c r="B503" s="10" t="s">
        <v>1480</v>
      </c>
      <c r="C503" s="9" t="s">
        <v>1481</v>
      </c>
      <c r="D503" s="15">
        <v>70.760000000000005</v>
      </c>
      <c r="E503" s="13" t="s">
        <v>3028</v>
      </c>
    </row>
    <row r="504" spans="1:5" x14ac:dyDescent="0.25">
      <c r="A504" s="9" t="s">
        <v>1896</v>
      </c>
      <c r="B504" s="10" t="s">
        <v>1484</v>
      </c>
      <c r="C504" s="9" t="s">
        <v>1485</v>
      </c>
      <c r="D504" s="15">
        <v>69.7</v>
      </c>
      <c r="E504" s="13" t="s">
        <v>3028</v>
      </c>
    </row>
    <row r="505" spans="1:5" x14ac:dyDescent="0.25">
      <c r="A505" s="9" t="s">
        <v>1896</v>
      </c>
      <c r="B505" s="10" t="s">
        <v>1486</v>
      </c>
      <c r="C505" s="9" t="s">
        <v>1487</v>
      </c>
      <c r="D505" s="15">
        <v>322.52999999999997</v>
      </c>
      <c r="E505" s="13" t="s">
        <v>3028</v>
      </c>
    </row>
    <row r="506" spans="1:5" x14ac:dyDescent="0.25">
      <c r="A506" s="9" t="s">
        <v>1896</v>
      </c>
      <c r="B506" s="10" t="s">
        <v>1488</v>
      </c>
      <c r="C506" s="9" t="s">
        <v>1489</v>
      </c>
      <c r="D506" s="15">
        <v>28</v>
      </c>
      <c r="E506" s="13" t="s">
        <v>3028</v>
      </c>
    </row>
    <row r="507" spans="1:5" x14ac:dyDescent="0.25">
      <c r="A507" s="9" t="s">
        <v>1896</v>
      </c>
      <c r="B507" s="10" t="s">
        <v>1494</v>
      </c>
      <c r="C507" s="9" t="s">
        <v>1495</v>
      </c>
      <c r="D507" s="15">
        <v>108.9</v>
      </c>
      <c r="E507" s="13" t="s">
        <v>3028</v>
      </c>
    </row>
    <row r="508" spans="1:5" x14ac:dyDescent="0.25">
      <c r="A508" s="9" t="s">
        <v>1896</v>
      </c>
      <c r="B508" s="10" t="s">
        <v>1496</v>
      </c>
      <c r="C508" s="9" t="s">
        <v>1497</v>
      </c>
      <c r="D508" s="15">
        <v>145.83000000000001</v>
      </c>
      <c r="E508" s="13" t="s">
        <v>3028</v>
      </c>
    </row>
    <row r="509" spans="1:5" x14ac:dyDescent="0.25">
      <c r="A509" s="9" t="s">
        <v>1896</v>
      </c>
      <c r="B509" s="10" t="s">
        <v>1504</v>
      </c>
      <c r="C509" s="9" t="s">
        <v>1505</v>
      </c>
      <c r="D509" s="15">
        <v>220.09</v>
      </c>
      <c r="E509" s="13" t="s">
        <v>3028</v>
      </c>
    </row>
    <row r="510" spans="1:5" x14ac:dyDescent="0.25">
      <c r="A510" s="9" t="s">
        <v>1896</v>
      </c>
      <c r="B510" s="10" t="s">
        <v>1510</v>
      </c>
      <c r="C510" s="9" t="s">
        <v>1511</v>
      </c>
      <c r="D510" s="15">
        <v>89.6</v>
      </c>
      <c r="E510" s="13" t="s">
        <v>3028</v>
      </c>
    </row>
    <row r="511" spans="1:5" x14ac:dyDescent="0.25">
      <c r="A511" s="9" t="s">
        <v>1896</v>
      </c>
      <c r="B511" s="10" t="s">
        <v>1512</v>
      </c>
      <c r="C511" s="9" t="s">
        <v>1513</v>
      </c>
      <c r="D511" s="15">
        <v>197.9</v>
      </c>
      <c r="E511" s="13" t="s">
        <v>3028</v>
      </c>
    </row>
    <row r="512" spans="1:5" x14ac:dyDescent="0.25">
      <c r="A512" s="9" t="s">
        <v>1896</v>
      </c>
      <c r="B512" s="10" t="s">
        <v>1514</v>
      </c>
      <c r="C512" s="9" t="s">
        <v>1515</v>
      </c>
      <c r="D512" s="15">
        <v>5.6</v>
      </c>
      <c r="E512" s="13" t="s">
        <v>3028</v>
      </c>
    </row>
    <row r="513" spans="1:5" x14ac:dyDescent="0.25">
      <c r="A513" s="9" t="s">
        <v>1896</v>
      </c>
      <c r="B513" s="10" t="s">
        <v>1520</v>
      </c>
      <c r="C513" s="9" t="s">
        <v>1521</v>
      </c>
      <c r="D513" s="15">
        <v>25.73</v>
      </c>
      <c r="E513" s="13" t="s">
        <v>3028</v>
      </c>
    </row>
    <row r="514" spans="1:5" x14ac:dyDescent="0.25">
      <c r="A514" s="9" t="s">
        <v>1896</v>
      </c>
      <c r="B514" s="10" t="s">
        <v>1526</v>
      </c>
      <c r="C514" s="9" t="s">
        <v>1527</v>
      </c>
      <c r="D514" s="15">
        <v>36.1</v>
      </c>
      <c r="E514" s="13" t="s">
        <v>3028</v>
      </c>
    </row>
    <row r="515" spans="1:5" x14ac:dyDescent="0.25">
      <c r="A515" s="9" t="s">
        <v>1896</v>
      </c>
      <c r="B515" s="10" t="s">
        <v>1548</v>
      </c>
      <c r="C515" s="9" t="s">
        <v>1549</v>
      </c>
      <c r="D515" s="15">
        <v>395.55</v>
      </c>
      <c r="E515" s="13" t="s">
        <v>3028</v>
      </c>
    </row>
    <row r="516" spans="1:5" x14ac:dyDescent="0.25">
      <c r="A516" s="9" t="s">
        <v>1896</v>
      </c>
      <c r="B516" s="10" t="s">
        <v>1554</v>
      </c>
      <c r="C516" s="9" t="s">
        <v>1555</v>
      </c>
      <c r="D516" s="15">
        <v>92.1</v>
      </c>
      <c r="E516" s="13" t="s">
        <v>3028</v>
      </c>
    </row>
    <row r="517" spans="1:5" x14ac:dyDescent="0.25">
      <c r="A517" s="9" t="s">
        <v>1896</v>
      </c>
      <c r="B517" s="10" t="s">
        <v>1560</v>
      </c>
      <c r="C517" s="9" t="s">
        <v>1561</v>
      </c>
      <c r="D517" s="15">
        <v>546.34</v>
      </c>
      <c r="E517" s="13" t="s">
        <v>3028</v>
      </c>
    </row>
    <row r="518" spans="1:5" x14ac:dyDescent="0.25">
      <c r="A518" s="9" t="s">
        <v>1896</v>
      </c>
      <c r="B518" s="10" t="s">
        <v>1562</v>
      </c>
      <c r="C518" s="9" t="s">
        <v>1563</v>
      </c>
      <c r="D518" s="15">
        <v>423.99</v>
      </c>
      <c r="E518" s="13" t="s">
        <v>3028</v>
      </c>
    </row>
    <row r="519" spans="1:5" x14ac:dyDescent="0.25">
      <c r="A519" s="9" t="s">
        <v>1896</v>
      </c>
      <c r="B519" s="10" t="s">
        <v>1564</v>
      </c>
      <c r="C519" s="9" t="s">
        <v>1565</v>
      </c>
      <c r="D519" s="15">
        <v>346.2</v>
      </c>
      <c r="E519" s="13" t="s">
        <v>3028</v>
      </c>
    </row>
    <row r="520" spans="1:5" x14ac:dyDescent="0.25">
      <c r="A520" s="9" t="s">
        <v>1896</v>
      </c>
      <c r="B520" s="10" t="s">
        <v>1568</v>
      </c>
      <c r="C520" s="9" t="s">
        <v>1569</v>
      </c>
      <c r="D520" s="15">
        <v>149.36000000000001</v>
      </c>
      <c r="E520" s="13" t="s">
        <v>3028</v>
      </c>
    </row>
    <row r="521" spans="1:5" x14ac:dyDescent="0.25">
      <c r="A521" s="9" t="s">
        <v>1896</v>
      </c>
      <c r="B521" s="10" t="s">
        <v>1572</v>
      </c>
      <c r="C521" s="9" t="s">
        <v>1573</v>
      </c>
      <c r="D521" s="15">
        <v>176.1</v>
      </c>
      <c r="E521" s="13" t="s">
        <v>3028</v>
      </c>
    </row>
    <row r="522" spans="1:5" x14ac:dyDescent="0.25">
      <c r="A522" s="9" t="s">
        <v>1896</v>
      </c>
      <c r="B522" s="10" t="s">
        <v>1574</v>
      </c>
      <c r="C522" s="9" t="s">
        <v>1575</v>
      </c>
      <c r="D522" s="15">
        <v>687.88</v>
      </c>
      <c r="E522" s="13" t="s">
        <v>3028</v>
      </c>
    </row>
    <row r="523" spans="1:5" x14ac:dyDescent="0.25">
      <c r="A523" s="9" t="s">
        <v>1896</v>
      </c>
      <c r="B523" s="10" t="s">
        <v>1576</v>
      </c>
      <c r="C523" s="9" t="s">
        <v>1577</v>
      </c>
      <c r="D523" s="15">
        <v>77.8</v>
      </c>
      <c r="E523" s="13" t="s">
        <v>3028</v>
      </c>
    </row>
    <row r="524" spans="1:5" x14ac:dyDescent="0.25">
      <c r="A524" s="9" t="s">
        <v>1896</v>
      </c>
      <c r="B524" s="10" t="s">
        <v>1578</v>
      </c>
      <c r="C524" s="9" t="s">
        <v>1579</v>
      </c>
      <c r="D524" s="15">
        <v>336</v>
      </c>
      <c r="E524" s="13" t="s">
        <v>3028</v>
      </c>
    </row>
    <row r="525" spans="1:5" x14ac:dyDescent="0.25">
      <c r="A525" s="9" t="s">
        <v>1896</v>
      </c>
      <c r="B525" s="10" t="s">
        <v>1580</v>
      </c>
      <c r="C525" s="9" t="s">
        <v>1581</v>
      </c>
      <c r="D525" s="15">
        <v>15</v>
      </c>
      <c r="E525" s="13" t="s">
        <v>3028</v>
      </c>
    </row>
    <row r="526" spans="1:5" x14ac:dyDescent="0.25">
      <c r="A526" s="9" t="s">
        <v>1896</v>
      </c>
      <c r="B526" s="10" t="s">
        <v>1582</v>
      </c>
      <c r="C526" s="9" t="s">
        <v>1583</v>
      </c>
      <c r="D526" s="15">
        <v>145.83000000000001</v>
      </c>
      <c r="E526" s="13" t="s">
        <v>3028</v>
      </c>
    </row>
    <row r="527" spans="1:5" x14ac:dyDescent="0.25">
      <c r="A527" s="9" t="s">
        <v>1896</v>
      </c>
      <c r="B527" s="10" t="s">
        <v>1584</v>
      </c>
      <c r="C527" s="9" t="s">
        <v>1585</v>
      </c>
      <c r="D527" s="15">
        <v>140</v>
      </c>
      <c r="E527" s="13" t="s">
        <v>3028</v>
      </c>
    </row>
    <row r="528" spans="1:5" x14ac:dyDescent="0.25">
      <c r="A528" s="9" t="s">
        <v>1896</v>
      </c>
      <c r="B528" s="10" t="s">
        <v>1588</v>
      </c>
      <c r="C528" s="9" t="s">
        <v>1589</v>
      </c>
      <c r="D528" s="15">
        <v>140</v>
      </c>
      <c r="E528" s="13" t="s">
        <v>3028</v>
      </c>
    </row>
    <row r="529" spans="1:5" x14ac:dyDescent="0.25">
      <c r="A529" s="9" t="s">
        <v>1896</v>
      </c>
      <c r="B529" s="10" t="s">
        <v>1590</v>
      </c>
      <c r="C529" s="9" t="s">
        <v>1591</v>
      </c>
      <c r="D529" s="15">
        <v>772.29</v>
      </c>
      <c r="E529" s="13" t="s">
        <v>3028</v>
      </c>
    </row>
    <row r="530" spans="1:5" x14ac:dyDescent="0.25">
      <c r="A530" s="9" t="s">
        <v>1896</v>
      </c>
      <c r="B530" s="10" t="s">
        <v>1592</v>
      </c>
      <c r="C530" s="9" t="s">
        <v>1593</v>
      </c>
      <c r="D530" s="15">
        <v>324.43</v>
      </c>
      <c r="E530" s="13" t="s">
        <v>3028</v>
      </c>
    </row>
    <row r="531" spans="1:5" x14ac:dyDescent="0.25">
      <c r="A531" s="9" t="s">
        <v>1896</v>
      </c>
      <c r="B531" s="10" t="s">
        <v>1596</v>
      </c>
      <c r="C531" s="9" t="s">
        <v>1597</v>
      </c>
      <c r="D531" s="15">
        <v>220.9</v>
      </c>
      <c r="E531" s="13" t="s">
        <v>3028</v>
      </c>
    </row>
    <row r="532" spans="1:5" x14ac:dyDescent="0.25">
      <c r="A532" s="9" t="s">
        <v>1896</v>
      </c>
      <c r="B532" s="10" t="s">
        <v>1598</v>
      </c>
      <c r="C532" s="9" t="s">
        <v>1599</v>
      </c>
      <c r="D532" s="15">
        <v>332.9</v>
      </c>
      <c r="E532" s="13" t="s">
        <v>3028</v>
      </c>
    </row>
    <row r="533" spans="1:5" x14ac:dyDescent="0.25">
      <c r="A533" s="9" t="s">
        <v>1896</v>
      </c>
      <c r="B533" s="10" t="s">
        <v>1600</v>
      </c>
      <c r="C533" s="9" t="s">
        <v>1601</v>
      </c>
      <c r="D533" s="15">
        <v>901</v>
      </c>
      <c r="E533" s="13" t="s">
        <v>3028</v>
      </c>
    </row>
    <row r="534" spans="1:5" x14ac:dyDescent="0.25">
      <c r="A534" s="9" t="s">
        <v>1896</v>
      </c>
      <c r="B534" s="10" t="s">
        <v>1605</v>
      </c>
      <c r="C534" s="9" t="s">
        <v>1606</v>
      </c>
      <c r="D534" s="15">
        <v>156.80000000000001</v>
      </c>
      <c r="E534" s="13" t="s">
        <v>3028</v>
      </c>
    </row>
    <row r="535" spans="1:5" x14ac:dyDescent="0.25">
      <c r="A535" s="9" t="s">
        <v>1896</v>
      </c>
      <c r="B535" s="10" t="s">
        <v>1607</v>
      </c>
      <c r="C535" s="9" t="s">
        <v>1608</v>
      </c>
      <c r="D535" s="15">
        <v>430.19</v>
      </c>
      <c r="E535" s="13" t="s">
        <v>3028</v>
      </c>
    </row>
    <row r="536" spans="1:5" x14ac:dyDescent="0.25">
      <c r="A536" s="9" t="s">
        <v>1896</v>
      </c>
      <c r="B536" s="10" t="s">
        <v>1609</v>
      </c>
      <c r="C536" s="9" t="s">
        <v>1610</v>
      </c>
      <c r="D536" s="15">
        <v>111.4</v>
      </c>
      <c r="E536" s="13" t="s">
        <v>3028</v>
      </c>
    </row>
    <row r="537" spans="1:5" x14ac:dyDescent="0.25">
      <c r="A537" s="9" t="s">
        <v>1896</v>
      </c>
      <c r="B537" s="10" t="s">
        <v>1613</v>
      </c>
      <c r="C537" s="9" t="s">
        <v>1614</v>
      </c>
      <c r="D537" s="15">
        <v>33.6</v>
      </c>
      <c r="E537" s="13" t="s">
        <v>3028</v>
      </c>
    </row>
    <row r="538" spans="1:5" x14ac:dyDescent="0.25">
      <c r="A538" s="9" t="s">
        <v>1909</v>
      </c>
      <c r="B538" s="10" t="s">
        <v>306</v>
      </c>
      <c r="C538" s="9" t="s">
        <v>307</v>
      </c>
      <c r="D538" s="15">
        <v>226.05</v>
      </c>
      <c r="E538" s="13" t="s">
        <v>3028</v>
      </c>
    </row>
    <row r="539" spans="1:5" x14ac:dyDescent="0.25">
      <c r="A539" s="9" t="s">
        <v>1909</v>
      </c>
      <c r="B539" s="10" t="s">
        <v>354</v>
      </c>
      <c r="C539" s="9" t="s">
        <v>355</v>
      </c>
      <c r="D539" s="15">
        <v>162.75</v>
      </c>
      <c r="E539" s="13" t="s">
        <v>3028</v>
      </c>
    </row>
    <row r="540" spans="1:5" x14ac:dyDescent="0.25">
      <c r="A540" s="9" t="s">
        <v>1909</v>
      </c>
      <c r="B540" s="10" t="s">
        <v>378</v>
      </c>
      <c r="C540" s="9" t="s">
        <v>379</v>
      </c>
      <c r="D540" s="15">
        <v>127.14</v>
      </c>
      <c r="E540" s="13" t="s">
        <v>3028</v>
      </c>
    </row>
    <row r="541" spans="1:5" x14ac:dyDescent="0.25">
      <c r="A541" s="9" t="s">
        <v>1909</v>
      </c>
      <c r="B541" s="10" t="s">
        <v>424</v>
      </c>
      <c r="C541" s="9" t="s">
        <v>425</v>
      </c>
      <c r="D541" s="15">
        <v>74.900000000000006</v>
      </c>
      <c r="E541" s="13" t="s">
        <v>3028</v>
      </c>
    </row>
    <row r="542" spans="1:5" x14ac:dyDescent="0.25">
      <c r="A542" s="9" t="s">
        <v>1909</v>
      </c>
      <c r="B542" s="10" t="s">
        <v>462</v>
      </c>
      <c r="C542" s="9" t="s">
        <v>463</v>
      </c>
      <c r="D542" s="15">
        <v>226.3</v>
      </c>
      <c r="E542" s="13" t="s">
        <v>3028</v>
      </c>
    </row>
    <row r="543" spans="1:5" x14ac:dyDescent="0.25">
      <c r="A543" s="9" t="s">
        <v>1909</v>
      </c>
      <c r="B543" s="10" t="s">
        <v>488</v>
      </c>
      <c r="C543" s="9" t="s">
        <v>489</v>
      </c>
      <c r="D543" s="15">
        <v>43.3</v>
      </c>
      <c r="E543" s="13" t="s">
        <v>3028</v>
      </c>
    </row>
    <row r="544" spans="1:5" x14ac:dyDescent="0.25">
      <c r="A544" s="9" t="s">
        <v>1909</v>
      </c>
      <c r="B544" s="10" t="s">
        <v>526</v>
      </c>
      <c r="C544" s="9" t="s">
        <v>527</v>
      </c>
      <c r="D544" s="15">
        <v>185.76</v>
      </c>
      <c r="E544" s="13" t="s">
        <v>3028</v>
      </c>
    </row>
    <row r="545" spans="1:5" x14ac:dyDescent="0.25">
      <c r="A545" s="9" t="s">
        <v>1909</v>
      </c>
      <c r="B545" s="10" t="s">
        <v>540</v>
      </c>
      <c r="C545" s="9" t="s">
        <v>541</v>
      </c>
      <c r="D545" s="15">
        <v>138.74</v>
      </c>
      <c r="E545" s="13" t="s">
        <v>3028</v>
      </c>
    </row>
    <row r="546" spans="1:5" x14ac:dyDescent="0.25">
      <c r="A546" s="9" t="s">
        <v>1909</v>
      </c>
      <c r="B546" s="10" t="s">
        <v>558</v>
      </c>
      <c r="C546" s="9" t="s">
        <v>559</v>
      </c>
      <c r="D546" s="15">
        <v>136.41</v>
      </c>
      <c r="E546" s="13" t="s">
        <v>3028</v>
      </c>
    </row>
    <row r="547" spans="1:5" x14ac:dyDescent="0.25">
      <c r="A547" s="9" t="s">
        <v>1909</v>
      </c>
      <c r="B547" s="10" t="s">
        <v>604</v>
      </c>
      <c r="C547" s="9" t="s">
        <v>605</v>
      </c>
      <c r="D547" s="15">
        <v>60</v>
      </c>
      <c r="E547" s="13" t="s">
        <v>3028</v>
      </c>
    </row>
    <row r="548" spans="1:5" x14ac:dyDescent="0.25">
      <c r="A548" s="9" t="s">
        <v>1909</v>
      </c>
      <c r="B548" s="10" t="s">
        <v>640</v>
      </c>
      <c r="C548" s="9" t="s">
        <v>641</v>
      </c>
      <c r="D548" s="15">
        <v>14.6</v>
      </c>
      <c r="E548" s="13" t="s">
        <v>3028</v>
      </c>
    </row>
    <row r="549" spans="1:5" x14ac:dyDescent="0.25">
      <c r="A549" s="9" t="s">
        <v>1909</v>
      </c>
      <c r="B549" s="10" t="s">
        <v>666</v>
      </c>
      <c r="C549" s="9" t="s">
        <v>667</v>
      </c>
      <c r="D549" s="15">
        <v>58.12</v>
      </c>
      <c r="E549" s="13" t="s">
        <v>3028</v>
      </c>
    </row>
    <row r="550" spans="1:5" x14ac:dyDescent="0.25">
      <c r="A550" s="9" t="s">
        <v>1909</v>
      </c>
      <c r="B550" s="10" t="s">
        <v>720</v>
      </c>
      <c r="C550" s="9" t="s">
        <v>721</v>
      </c>
      <c r="D550" s="15">
        <v>70</v>
      </c>
      <c r="E550" s="13" t="s">
        <v>3028</v>
      </c>
    </row>
    <row r="551" spans="1:5" x14ac:dyDescent="0.25">
      <c r="A551" s="9" t="s">
        <v>1909</v>
      </c>
      <c r="B551" s="10" t="s">
        <v>750</v>
      </c>
      <c r="C551" s="9" t="s">
        <v>751</v>
      </c>
      <c r="D551" s="15">
        <v>133.43</v>
      </c>
      <c r="E551" s="13" t="s">
        <v>3028</v>
      </c>
    </row>
    <row r="552" spans="1:5" x14ac:dyDescent="0.25">
      <c r="A552" s="9" t="s">
        <v>1909</v>
      </c>
      <c r="B552" s="10" t="s">
        <v>780</v>
      </c>
      <c r="C552" s="9" t="s">
        <v>781</v>
      </c>
      <c r="D552" s="15">
        <v>78.819999999999993</v>
      </c>
      <c r="E552" s="13" t="s">
        <v>3028</v>
      </c>
    </row>
    <row r="553" spans="1:5" x14ac:dyDescent="0.25">
      <c r="A553" s="9" t="s">
        <v>1909</v>
      </c>
      <c r="B553" s="10" t="s">
        <v>834</v>
      </c>
      <c r="C553" s="9" t="s">
        <v>835</v>
      </c>
      <c r="D553" s="15">
        <v>45</v>
      </c>
      <c r="E553" s="13" t="s">
        <v>3028</v>
      </c>
    </row>
    <row r="554" spans="1:5" x14ac:dyDescent="0.25">
      <c r="A554" s="9" t="s">
        <v>1909</v>
      </c>
      <c r="B554" s="10" t="s">
        <v>1047</v>
      </c>
      <c r="C554" s="9" t="s">
        <v>1048</v>
      </c>
      <c r="D554" s="15">
        <v>25</v>
      </c>
      <c r="E554" s="13" t="s">
        <v>3028</v>
      </c>
    </row>
    <row r="555" spans="1:5" x14ac:dyDescent="0.25">
      <c r="A555" s="9" t="s">
        <v>1909</v>
      </c>
      <c r="B555" s="10" t="s">
        <v>1059</v>
      </c>
      <c r="C555" s="9" t="s">
        <v>1060</v>
      </c>
      <c r="D555" s="15">
        <v>50</v>
      </c>
      <c r="E555" s="13" t="s">
        <v>3028</v>
      </c>
    </row>
    <row r="556" spans="1:5" x14ac:dyDescent="0.25">
      <c r="A556" s="9" t="s">
        <v>1909</v>
      </c>
      <c r="B556" s="10" t="s">
        <v>1077</v>
      </c>
      <c r="C556" s="9" t="s">
        <v>1078</v>
      </c>
      <c r="D556" s="15">
        <v>15</v>
      </c>
      <c r="E556" s="13" t="s">
        <v>3028</v>
      </c>
    </row>
    <row r="557" spans="1:5" x14ac:dyDescent="0.25">
      <c r="A557" s="9" t="s">
        <v>1909</v>
      </c>
      <c r="B557" s="10" t="s">
        <v>1083</v>
      </c>
      <c r="C557" s="9" t="s">
        <v>1084</v>
      </c>
      <c r="D557" s="15">
        <v>242.29</v>
      </c>
      <c r="E557" s="13" t="s">
        <v>3028</v>
      </c>
    </row>
    <row r="558" spans="1:5" x14ac:dyDescent="0.25">
      <c r="A558" s="9" t="s">
        <v>1909</v>
      </c>
      <c r="B558" s="10" t="s">
        <v>1087</v>
      </c>
      <c r="C558" s="9" t="s">
        <v>1088</v>
      </c>
      <c r="D558" s="15">
        <v>164.3</v>
      </c>
      <c r="E558" s="13" t="s">
        <v>3028</v>
      </c>
    </row>
    <row r="559" spans="1:5" x14ac:dyDescent="0.25">
      <c r="A559" s="9" t="s">
        <v>1909</v>
      </c>
      <c r="B559" s="10" t="s">
        <v>1103</v>
      </c>
      <c r="C559" s="9" t="s">
        <v>1104</v>
      </c>
      <c r="D559" s="15">
        <v>347.04</v>
      </c>
      <c r="E559" s="13" t="s">
        <v>3028</v>
      </c>
    </row>
    <row r="560" spans="1:5" x14ac:dyDescent="0.25">
      <c r="A560" s="9" t="s">
        <v>1909</v>
      </c>
      <c r="B560" s="10" t="s">
        <v>1105</v>
      </c>
      <c r="C560" s="9" t="s">
        <v>1106</v>
      </c>
      <c r="D560" s="15">
        <v>50.29</v>
      </c>
      <c r="E560" s="13" t="s">
        <v>3028</v>
      </c>
    </row>
    <row r="561" spans="1:5" x14ac:dyDescent="0.25">
      <c r="A561" s="9" t="s">
        <v>1909</v>
      </c>
      <c r="B561" s="10" t="s">
        <v>1119</v>
      </c>
      <c r="C561" s="9" t="s">
        <v>1120</v>
      </c>
      <c r="D561" s="15">
        <v>124</v>
      </c>
      <c r="E561" s="13" t="s">
        <v>3028</v>
      </c>
    </row>
    <row r="562" spans="1:5" x14ac:dyDescent="0.25">
      <c r="A562" s="9" t="s">
        <v>1909</v>
      </c>
      <c r="B562" s="10" t="s">
        <v>1225</v>
      </c>
      <c r="C562" s="9" t="s">
        <v>1226</v>
      </c>
      <c r="D562" s="15">
        <v>76.8</v>
      </c>
      <c r="E562" s="13" t="s">
        <v>3028</v>
      </c>
    </row>
    <row r="563" spans="1:5" x14ac:dyDescent="0.25">
      <c r="A563" s="9" t="s">
        <v>1909</v>
      </c>
      <c r="B563" s="10" t="s">
        <v>1245</v>
      </c>
      <c r="C563" s="9" t="s">
        <v>1246</v>
      </c>
      <c r="D563" s="15">
        <v>213.99</v>
      </c>
      <c r="E563" s="13" t="s">
        <v>3028</v>
      </c>
    </row>
    <row r="564" spans="1:5" x14ac:dyDescent="0.25">
      <c r="A564" s="9" t="s">
        <v>1909</v>
      </c>
      <c r="B564" s="10" t="s">
        <v>1363</v>
      </c>
      <c r="C564" s="9" t="s">
        <v>1364</v>
      </c>
      <c r="D564" s="15">
        <v>25</v>
      </c>
      <c r="E564" s="13" t="s">
        <v>3028</v>
      </c>
    </row>
    <row r="565" spans="1:5" x14ac:dyDescent="0.25">
      <c r="A565" s="9" t="s">
        <v>1909</v>
      </c>
      <c r="B565" s="10" t="s">
        <v>1367</v>
      </c>
      <c r="C565" s="9" t="s">
        <v>1368</v>
      </c>
      <c r="D565" s="15">
        <v>24.47</v>
      </c>
      <c r="E565" s="13" t="s">
        <v>3028</v>
      </c>
    </row>
    <row r="566" spans="1:5" x14ac:dyDescent="0.25">
      <c r="A566" s="9" t="s">
        <v>1909</v>
      </c>
      <c r="B566" s="10" t="s">
        <v>1417</v>
      </c>
      <c r="C566" s="9" t="s">
        <v>1418</v>
      </c>
      <c r="D566" s="15">
        <v>76.540000000000006</v>
      </c>
      <c r="E566" s="13" t="s">
        <v>3028</v>
      </c>
    </row>
    <row r="567" spans="1:5" x14ac:dyDescent="0.25">
      <c r="A567" s="9" t="s">
        <v>1909</v>
      </c>
      <c r="B567" s="10" t="s">
        <v>1550</v>
      </c>
      <c r="C567" s="9" t="s">
        <v>1551</v>
      </c>
      <c r="D567" s="15">
        <v>63.7</v>
      </c>
      <c r="E567" s="13" t="s">
        <v>3028</v>
      </c>
    </row>
    <row r="568" spans="1:5" x14ac:dyDescent="0.25">
      <c r="A568" s="9" t="s">
        <v>1912</v>
      </c>
      <c r="B568" s="10" t="s">
        <v>93</v>
      </c>
      <c r="C568" s="9" t="s">
        <v>94</v>
      </c>
      <c r="D568" s="15">
        <v>75.510000000000005</v>
      </c>
      <c r="E568" s="13" t="s">
        <v>3028</v>
      </c>
    </row>
    <row r="569" spans="1:5" x14ac:dyDescent="0.25">
      <c r="A569" s="9" t="s">
        <v>1912</v>
      </c>
      <c r="B569" s="10" t="s">
        <v>95</v>
      </c>
      <c r="C569" s="9" t="s">
        <v>96</v>
      </c>
      <c r="D569" s="15">
        <v>90.66</v>
      </c>
      <c r="E569" s="13" t="s">
        <v>3028</v>
      </c>
    </row>
    <row r="570" spans="1:5" x14ac:dyDescent="0.25">
      <c r="A570" s="9" t="s">
        <v>1912</v>
      </c>
      <c r="B570" s="10" t="s">
        <v>97</v>
      </c>
      <c r="C570" s="9" t="s">
        <v>98</v>
      </c>
      <c r="D570" s="15">
        <v>98.17</v>
      </c>
      <c r="E570" s="13" t="s">
        <v>3028</v>
      </c>
    </row>
    <row r="571" spans="1:5" x14ac:dyDescent="0.25">
      <c r="A571" s="9" t="s">
        <v>1912</v>
      </c>
      <c r="B571" s="10" t="s">
        <v>99</v>
      </c>
      <c r="C571" s="9" t="s">
        <v>100</v>
      </c>
      <c r="D571" s="15">
        <v>75.510000000000005</v>
      </c>
      <c r="E571" s="13" t="s">
        <v>3028</v>
      </c>
    </row>
    <row r="572" spans="1:5" x14ac:dyDescent="0.25">
      <c r="A572" s="9" t="s">
        <v>1912</v>
      </c>
      <c r="B572" s="10" t="s">
        <v>101</v>
      </c>
      <c r="C572" s="9" t="s">
        <v>102</v>
      </c>
      <c r="D572" s="15">
        <v>79.23</v>
      </c>
      <c r="E572" s="13" t="s">
        <v>3028</v>
      </c>
    </row>
    <row r="573" spans="1:5" x14ac:dyDescent="0.25">
      <c r="A573" s="9" t="s">
        <v>1912</v>
      </c>
      <c r="B573" s="10" t="s">
        <v>103</v>
      </c>
      <c r="C573" s="9" t="s">
        <v>104</v>
      </c>
      <c r="D573" s="15">
        <v>81.09</v>
      </c>
      <c r="E573" s="13" t="s">
        <v>3028</v>
      </c>
    </row>
    <row r="574" spans="1:5" x14ac:dyDescent="0.25">
      <c r="A574" s="9" t="s">
        <v>1912</v>
      </c>
      <c r="B574" s="10" t="s">
        <v>105</v>
      </c>
      <c r="C574" s="9" t="s">
        <v>106</v>
      </c>
      <c r="D574" s="15">
        <v>77.37</v>
      </c>
      <c r="E574" s="13" t="s">
        <v>3028</v>
      </c>
    </row>
    <row r="575" spans="1:5" x14ac:dyDescent="0.25">
      <c r="A575" s="9" t="s">
        <v>1912</v>
      </c>
      <c r="B575" s="10" t="s">
        <v>107</v>
      </c>
      <c r="C575" s="9" t="s">
        <v>108</v>
      </c>
      <c r="D575" s="15">
        <v>13.07</v>
      </c>
      <c r="E575" s="13" t="s">
        <v>3028</v>
      </c>
    </row>
    <row r="576" spans="1:5" x14ac:dyDescent="0.25">
      <c r="A576" s="9" t="s">
        <v>1912</v>
      </c>
      <c r="B576" s="10" t="s">
        <v>117</v>
      </c>
      <c r="C576" s="9" t="s">
        <v>118</v>
      </c>
      <c r="D576" s="15">
        <v>36.86</v>
      </c>
      <c r="E576" s="13" t="s">
        <v>3028</v>
      </c>
    </row>
    <row r="577" spans="1:5" x14ac:dyDescent="0.25">
      <c r="A577" s="9" t="s">
        <v>1912</v>
      </c>
      <c r="B577" s="10" t="s">
        <v>119</v>
      </c>
      <c r="C577" s="9" t="s">
        <v>120</v>
      </c>
      <c r="D577" s="15">
        <v>45.26</v>
      </c>
      <c r="E577" s="13" t="s">
        <v>3028</v>
      </c>
    </row>
    <row r="578" spans="1:5" x14ac:dyDescent="0.25">
      <c r="A578" s="9" t="s">
        <v>1912</v>
      </c>
      <c r="B578" s="10" t="s">
        <v>127</v>
      </c>
      <c r="C578" s="9" t="s">
        <v>128</v>
      </c>
      <c r="D578" s="15">
        <v>80.16</v>
      </c>
      <c r="E578" s="13" t="s">
        <v>3028</v>
      </c>
    </row>
    <row r="579" spans="1:5" x14ac:dyDescent="0.25">
      <c r="A579" s="9" t="s">
        <v>1912</v>
      </c>
      <c r="B579" s="10" t="s">
        <v>129</v>
      </c>
      <c r="C579" s="9" t="s">
        <v>130</v>
      </c>
      <c r="D579" s="15">
        <v>473.21</v>
      </c>
      <c r="E579" s="13" t="s">
        <v>3028</v>
      </c>
    </row>
    <row r="580" spans="1:5" x14ac:dyDescent="0.25">
      <c r="A580" s="9" t="s">
        <v>1912</v>
      </c>
      <c r="B580" s="10" t="s">
        <v>131</v>
      </c>
      <c r="C580" s="9" t="s">
        <v>132</v>
      </c>
      <c r="D580" s="15">
        <v>48.98</v>
      </c>
      <c r="E580" s="13" t="s">
        <v>3028</v>
      </c>
    </row>
    <row r="581" spans="1:5" x14ac:dyDescent="0.25">
      <c r="A581" s="9" t="s">
        <v>1912</v>
      </c>
      <c r="B581" s="10" t="s">
        <v>135</v>
      </c>
      <c r="C581" s="9" t="s">
        <v>136</v>
      </c>
      <c r="D581" s="15">
        <v>79.23</v>
      </c>
      <c r="E581" s="13" t="s">
        <v>3028</v>
      </c>
    </row>
    <row r="582" spans="1:5" x14ac:dyDescent="0.25">
      <c r="A582" s="9" t="s">
        <v>1912</v>
      </c>
      <c r="B582" s="10" t="s">
        <v>137</v>
      </c>
      <c r="C582" s="9" t="s">
        <v>138</v>
      </c>
      <c r="D582" s="15">
        <v>47.12</v>
      </c>
      <c r="E582" s="13" t="s">
        <v>3028</v>
      </c>
    </row>
    <row r="583" spans="1:5" x14ac:dyDescent="0.25">
      <c r="A583" s="9" t="s">
        <v>1912</v>
      </c>
      <c r="B583" s="10" t="s">
        <v>143</v>
      </c>
      <c r="C583" s="9" t="s">
        <v>144</v>
      </c>
      <c r="D583" s="15">
        <v>79.23</v>
      </c>
      <c r="E583" s="13" t="s">
        <v>3028</v>
      </c>
    </row>
    <row r="584" spans="1:5" x14ac:dyDescent="0.25">
      <c r="A584" s="9" t="s">
        <v>1912</v>
      </c>
      <c r="B584" s="10" t="s">
        <v>145</v>
      </c>
      <c r="C584" s="9" t="s">
        <v>146</v>
      </c>
      <c r="D584" s="15">
        <v>82.95</v>
      </c>
      <c r="E584" s="13" t="s">
        <v>3028</v>
      </c>
    </row>
    <row r="585" spans="1:5" x14ac:dyDescent="0.25">
      <c r="A585" s="9" t="s">
        <v>1912</v>
      </c>
      <c r="B585" s="10" t="s">
        <v>149</v>
      </c>
      <c r="C585" s="9" t="s">
        <v>150</v>
      </c>
      <c r="D585" s="15">
        <v>79.23</v>
      </c>
      <c r="E585" s="13" t="s">
        <v>3028</v>
      </c>
    </row>
    <row r="586" spans="1:5" x14ac:dyDescent="0.25">
      <c r="A586" s="9" t="s">
        <v>1912</v>
      </c>
      <c r="B586" s="10" t="s">
        <v>153</v>
      </c>
      <c r="C586" s="9" t="s">
        <v>154</v>
      </c>
      <c r="D586" s="15">
        <v>76.44</v>
      </c>
      <c r="E586" s="13" t="s">
        <v>3028</v>
      </c>
    </row>
    <row r="587" spans="1:5" x14ac:dyDescent="0.25">
      <c r="A587" s="9" t="s">
        <v>1912</v>
      </c>
      <c r="B587" s="10" t="s">
        <v>155</v>
      </c>
      <c r="C587" s="9" t="s">
        <v>156</v>
      </c>
      <c r="D587" s="15">
        <v>75.510000000000005</v>
      </c>
      <c r="E587" s="13" t="s">
        <v>3028</v>
      </c>
    </row>
    <row r="588" spans="1:5" x14ac:dyDescent="0.25">
      <c r="A588" s="9" t="s">
        <v>1912</v>
      </c>
      <c r="B588" s="10" t="s">
        <v>159</v>
      </c>
      <c r="C588" s="9" t="s">
        <v>160</v>
      </c>
      <c r="D588" s="15">
        <v>75.510000000000005</v>
      </c>
      <c r="E588" s="13" t="s">
        <v>3028</v>
      </c>
    </row>
    <row r="589" spans="1:5" x14ac:dyDescent="0.25">
      <c r="A589" s="9" t="s">
        <v>1912</v>
      </c>
      <c r="B589" s="10" t="s">
        <v>161</v>
      </c>
      <c r="C589" s="9" t="s">
        <v>162</v>
      </c>
      <c r="D589" s="15">
        <v>75.510000000000005</v>
      </c>
      <c r="E589" s="13" t="s">
        <v>3028</v>
      </c>
    </row>
    <row r="590" spans="1:5" x14ac:dyDescent="0.25">
      <c r="A590" s="9" t="s">
        <v>1912</v>
      </c>
      <c r="B590" s="10" t="s">
        <v>166</v>
      </c>
      <c r="C590" s="9" t="s">
        <v>167</v>
      </c>
      <c r="D590" s="15">
        <v>79.23</v>
      </c>
      <c r="E590" s="13" t="s">
        <v>3028</v>
      </c>
    </row>
    <row r="591" spans="1:5" x14ac:dyDescent="0.25">
      <c r="A591" s="9" t="s">
        <v>1912</v>
      </c>
      <c r="B591" s="10" t="s">
        <v>172</v>
      </c>
      <c r="C591" s="9" t="s">
        <v>173</v>
      </c>
      <c r="D591" s="15">
        <v>22.86</v>
      </c>
      <c r="E591" s="13" t="s">
        <v>3028</v>
      </c>
    </row>
    <row r="592" spans="1:5" x14ac:dyDescent="0.25">
      <c r="A592" s="9" t="s">
        <v>1912</v>
      </c>
      <c r="B592" s="10" t="s">
        <v>176</v>
      </c>
      <c r="C592" s="9" t="s">
        <v>177</v>
      </c>
      <c r="D592" s="15">
        <v>75.510000000000005</v>
      </c>
      <c r="E592" s="13" t="s">
        <v>3028</v>
      </c>
    </row>
    <row r="593" spans="1:5" x14ac:dyDescent="0.25">
      <c r="A593" s="9" t="s">
        <v>1912</v>
      </c>
      <c r="B593" s="10" t="s">
        <v>178</v>
      </c>
      <c r="C593" s="9" t="s">
        <v>179</v>
      </c>
      <c r="D593" s="15">
        <v>78.3</v>
      </c>
      <c r="E593" s="13" t="s">
        <v>3028</v>
      </c>
    </row>
    <row r="594" spans="1:5" x14ac:dyDescent="0.25">
      <c r="A594" s="9" t="s">
        <v>1912</v>
      </c>
      <c r="B594" s="10" t="s">
        <v>180</v>
      </c>
      <c r="C594" s="9" t="s">
        <v>181</v>
      </c>
      <c r="D594" s="15">
        <v>24.2</v>
      </c>
      <c r="E594" s="13" t="s">
        <v>3028</v>
      </c>
    </row>
    <row r="595" spans="1:5" x14ac:dyDescent="0.25">
      <c r="A595" s="9" t="s">
        <v>1912</v>
      </c>
      <c r="B595" s="10" t="s">
        <v>184</v>
      </c>
      <c r="C595" s="9" t="s">
        <v>185</v>
      </c>
      <c r="D595" s="15">
        <v>75.510000000000005</v>
      </c>
      <c r="E595" s="13" t="s">
        <v>3028</v>
      </c>
    </row>
    <row r="596" spans="1:5" x14ac:dyDescent="0.25">
      <c r="A596" s="9" t="s">
        <v>1912</v>
      </c>
      <c r="B596" s="10" t="s">
        <v>186</v>
      </c>
      <c r="C596" s="9" t="s">
        <v>187</v>
      </c>
      <c r="D596" s="15">
        <v>84.99</v>
      </c>
      <c r="E596" s="13" t="s">
        <v>3028</v>
      </c>
    </row>
    <row r="597" spans="1:5" x14ac:dyDescent="0.25">
      <c r="A597" s="9" t="s">
        <v>1912</v>
      </c>
      <c r="B597" s="10" t="s">
        <v>188</v>
      </c>
      <c r="C597" s="9" t="s">
        <v>189</v>
      </c>
      <c r="D597" s="15">
        <v>75.510000000000005</v>
      </c>
      <c r="E597" s="13" t="s">
        <v>3028</v>
      </c>
    </row>
    <row r="598" spans="1:5" x14ac:dyDescent="0.25">
      <c r="A598" s="9" t="s">
        <v>1912</v>
      </c>
      <c r="B598" s="10" t="s">
        <v>194</v>
      </c>
      <c r="C598" s="9" t="s">
        <v>195</v>
      </c>
      <c r="D598" s="15">
        <v>21</v>
      </c>
      <c r="E598" s="13" t="s">
        <v>3028</v>
      </c>
    </row>
    <row r="599" spans="1:5" x14ac:dyDescent="0.25">
      <c r="A599" s="9" t="s">
        <v>1912</v>
      </c>
      <c r="B599" s="10" t="s">
        <v>196</v>
      </c>
      <c r="C599" s="9" t="s">
        <v>197</v>
      </c>
      <c r="D599" s="15">
        <v>81.09</v>
      </c>
      <c r="E599" s="13" t="s">
        <v>3028</v>
      </c>
    </row>
    <row r="600" spans="1:5" x14ac:dyDescent="0.25">
      <c r="A600" s="9" t="s">
        <v>1912</v>
      </c>
      <c r="B600" s="10" t="s">
        <v>200</v>
      </c>
      <c r="C600" s="9" t="s">
        <v>201</v>
      </c>
      <c r="D600" s="15">
        <v>81.09</v>
      </c>
      <c r="E600" s="13" t="s">
        <v>3028</v>
      </c>
    </row>
    <row r="601" spans="1:5" x14ac:dyDescent="0.25">
      <c r="A601" s="9" t="s">
        <v>1912</v>
      </c>
      <c r="B601" s="10" t="s">
        <v>202</v>
      </c>
      <c r="C601" s="9" t="s">
        <v>203</v>
      </c>
      <c r="D601" s="15">
        <v>75.510000000000005</v>
      </c>
      <c r="E601" s="13" t="s">
        <v>3028</v>
      </c>
    </row>
    <row r="602" spans="1:5" x14ac:dyDescent="0.25">
      <c r="A602" s="9" t="s">
        <v>1912</v>
      </c>
      <c r="B602" s="10" t="s">
        <v>204</v>
      </c>
      <c r="C602" s="9" t="s">
        <v>205</v>
      </c>
      <c r="D602" s="15">
        <v>75.510000000000005</v>
      </c>
      <c r="E602" s="13" t="s">
        <v>3028</v>
      </c>
    </row>
    <row r="603" spans="1:5" x14ac:dyDescent="0.25">
      <c r="A603" s="9" t="s">
        <v>1912</v>
      </c>
      <c r="B603" s="10" t="s">
        <v>206</v>
      </c>
      <c r="C603" s="9" t="s">
        <v>207</v>
      </c>
      <c r="D603" s="15">
        <v>56.89</v>
      </c>
      <c r="E603" s="13" t="s">
        <v>3028</v>
      </c>
    </row>
    <row r="604" spans="1:5" x14ac:dyDescent="0.25">
      <c r="A604" s="9" t="s">
        <v>1912</v>
      </c>
      <c r="B604" s="10" t="s">
        <v>212</v>
      </c>
      <c r="C604" s="9" t="s">
        <v>213</v>
      </c>
      <c r="D604" s="15">
        <v>79.23</v>
      </c>
      <c r="E604" s="13" t="s">
        <v>3028</v>
      </c>
    </row>
    <row r="605" spans="1:5" x14ac:dyDescent="0.25">
      <c r="A605" s="9" t="s">
        <v>1912</v>
      </c>
      <c r="B605" s="10" t="s">
        <v>214</v>
      </c>
      <c r="C605" s="9" t="s">
        <v>215</v>
      </c>
      <c r="D605" s="15">
        <v>45.26</v>
      </c>
      <c r="E605" s="13" t="s">
        <v>3028</v>
      </c>
    </row>
    <row r="606" spans="1:5" x14ac:dyDescent="0.25">
      <c r="A606" s="9" t="s">
        <v>1912</v>
      </c>
      <c r="B606" s="10" t="s">
        <v>216</v>
      </c>
      <c r="C606" s="9" t="s">
        <v>217</v>
      </c>
      <c r="D606" s="15">
        <v>75.510000000000005</v>
      </c>
      <c r="E606" s="13" t="s">
        <v>3028</v>
      </c>
    </row>
    <row r="607" spans="1:5" x14ac:dyDescent="0.25">
      <c r="A607" s="9" t="s">
        <v>1912</v>
      </c>
      <c r="B607" s="10" t="s">
        <v>218</v>
      </c>
      <c r="C607" s="9" t="s">
        <v>219</v>
      </c>
      <c r="D607" s="15">
        <v>30.25</v>
      </c>
      <c r="E607" s="13" t="s">
        <v>3028</v>
      </c>
    </row>
    <row r="608" spans="1:5" x14ac:dyDescent="0.25">
      <c r="A608" s="9" t="s">
        <v>1912</v>
      </c>
      <c r="B608" s="10" t="s">
        <v>222</v>
      </c>
      <c r="C608" s="9" t="s">
        <v>223</v>
      </c>
      <c r="D608" s="15">
        <v>315.91000000000003</v>
      </c>
      <c r="E608" s="13" t="s">
        <v>3028</v>
      </c>
    </row>
    <row r="609" spans="1:5" x14ac:dyDescent="0.25">
      <c r="A609" s="9" t="s">
        <v>1912</v>
      </c>
      <c r="B609" s="10" t="s">
        <v>224</v>
      </c>
      <c r="C609" s="9" t="s">
        <v>225</v>
      </c>
      <c r="D609" s="15">
        <v>79.23</v>
      </c>
      <c r="E609" s="13" t="s">
        <v>3028</v>
      </c>
    </row>
    <row r="610" spans="1:5" x14ac:dyDescent="0.25">
      <c r="A610" s="9" t="s">
        <v>1912</v>
      </c>
      <c r="B610" s="10" t="s">
        <v>230</v>
      </c>
      <c r="C610" s="9" t="s">
        <v>231</v>
      </c>
      <c r="D610" s="15">
        <v>246.46</v>
      </c>
      <c r="E610" s="13" t="s">
        <v>3028</v>
      </c>
    </row>
    <row r="611" spans="1:5" x14ac:dyDescent="0.25">
      <c r="A611" s="9" t="s">
        <v>1912</v>
      </c>
      <c r="B611" s="10" t="s">
        <v>234</v>
      </c>
      <c r="C611" s="9" t="s">
        <v>235</v>
      </c>
      <c r="D611" s="15">
        <v>81.09</v>
      </c>
      <c r="E611" s="13" t="s">
        <v>3028</v>
      </c>
    </row>
    <row r="612" spans="1:5" x14ac:dyDescent="0.25">
      <c r="A612" s="9" t="s">
        <v>1912</v>
      </c>
      <c r="B612" s="10" t="s">
        <v>238</v>
      </c>
      <c r="C612" s="9" t="s">
        <v>239</v>
      </c>
      <c r="D612" s="15">
        <v>81.09</v>
      </c>
      <c r="E612" s="13" t="s">
        <v>3028</v>
      </c>
    </row>
    <row r="613" spans="1:5" x14ac:dyDescent="0.25">
      <c r="A613" s="9" t="s">
        <v>1912</v>
      </c>
      <c r="B613" s="10" t="s">
        <v>242</v>
      </c>
      <c r="C613" s="9" t="s">
        <v>243</v>
      </c>
      <c r="D613" s="15">
        <v>18.149999999999999</v>
      </c>
      <c r="E613" s="13" t="s">
        <v>3028</v>
      </c>
    </row>
    <row r="614" spans="1:5" x14ac:dyDescent="0.25">
      <c r="A614" s="9" t="s">
        <v>1912</v>
      </c>
      <c r="B614" s="10" t="s">
        <v>244</v>
      </c>
      <c r="C614" s="9" t="s">
        <v>245</v>
      </c>
      <c r="D614" s="15">
        <v>81.09</v>
      </c>
      <c r="E614" s="13" t="s">
        <v>3028</v>
      </c>
    </row>
    <row r="615" spans="1:5" x14ac:dyDescent="0.25">
      <c r="A615" s="9" t="s">
        <v>1912</v>
      </c>
      <c r="B615" s="10" t="s">
        <v>246</v>
      </c>
      <c r="C615" s="9" t="s">
        <v>247</v>
      </c>
      <c r="D615" s="15">
        <v>75.510000000000005</v>
      </c>
      <c r="E615" s="13" t="s">
        <v>3028</v>
      </c>
    </row>
    <row r="616" spans="1:5" x14ac:dyDescent="0.25">
      <c r="A616" s="9" t="s">
        <v>1912</v>
      </c>
      <c r="B616" s="10" t="s">
        <v>248</v>
      </c>
      <c r="C616" s="9" t="s">
        <v>249</v>
      </c>
      <c r="D616" s="15">
        <v>66.650000000000006</v>
      </c>
      <c r="E616" s="13" t="s">
        <v>3028</v>
      </c>
    </row>
    <row r="617" spans="1:5" x14ac:dyDescent="0.25">
      <c r="A617" s="9" t="s">
        <v>1912</v>
      </c>
      <c r="B617" s="10" t="s">
        <v>250</v>
      </c>
      <c r="C617" s="9" t="s">
        <v>251</v>
      </c>
      <c r="D617" s="15">
        <v>36.299999999999997</v>
      </c>
      <c r="E617" s="13" t="s">
        <v>3028</v>
      </c>
    </row>
    <row r="618" spans="1:5" x14ac:dyDescent="0.25">
      <c r="A618" s="9" t="s">
        <v>1912</v>
      </c>
      <c r="B618" s="10" t="s">
        <v>254</v>
      </c>
      <c r="C618" s="9" t="s">
        <v>255</v>
      </c>
      <c r="D618" s="15">
        <v>130.07</v>
      </c>
      <c r="E618" s="13" t="s">
        <v>3028</v>
      </c>
    </row>
    <row r="619" spans="1:5" x14ac:dyDescent="0.25">
      <c r="A619" s="9" t="s">
        <v>1912</v>
      </c>
      <c r="B619" s="10" t="s">
        <v>256</v>
      </c>
      <c r="C619" s="9" t="s">
        <v>257</v>
      </c>
      <c r="D619" s="15">
        <v>75.510000000000005</v>
      </c>
      <c r="E619" s="13" t="s">
        <v>3028</v>
      </c>
    </row>
    <row r="620" spans="1:5" x14ac:dyDescent="0.25">
      <c r="A620" s="9" t="s">
        <v>1912</v>
      </c>
      <c r="B620" s="10" t="s">
        <v>258</v>
      </c>
      <c r="C620" s="9" t="s">
        <v>259</v>
      </c>
      <c r="D620" s="15">
        <v>42.45</v>
      </c>
      <c r="E620" s="13" t="s">
        <v>3028</v>
      </c>
    </row>
    <row r="621" spans="1:5" x14ac:dyDescent="0.25">
      <c r="A621" s="9" t="s">
        <v>1912</v>
      </c>
      <c r="B621" s="10" t="s">
        <v>262</v>
      </c>
      <c r="C621" s="9" t="s">
        <v>263</v>
      </c>
      <c r="D621" s="15">
        <v>77.37</v>
      </c>
      <c r="E621" s="13" t="s">
        <v>3028</v>
      </c>
    </row>
    <row r="622" spans="1:5" x14ac:dyDescent="0.25">
      <c r="A622" s="9" t="s">
        <v>1912</v>
      </c>
      <c r="B622" s="10" t="s">
        <v>264</v>
      </c>
      <c r="C622" s="9" t="s">
        <v>265</v>
      </c>
      <c r="D622" s="15">
        <v>75.510000000000005</v>
      </c>
      <c r="E622" s="13" t="s">
        <v>3028</v>
      </c>
    </row>
    <row r="623" spans="1:5" x14ac:dyDescent="0.25">
      <c r="A623" s="9" t="s">
        <v>1912</v>
      </c>
      <c r="B623" s="10" t="s">
        <v>268</v>
      </c>
      <c r="C623" s="9" t="s">
        <v>269</v>
      </c>
      <c r="D623" s="15">
        <v>42.37</v>
      </c>
      <c r="E623" s="13" t="s">
        <v>3028</v>
      </c>
    </row>
    <row r="624" spans="1:5" x14ac:dyDescent="0.25">
      <c r="A624" s="9" t="s">
        <v>1912</v>
      </c>
      <c r="B624" s="10" t="s">
        <v>272</v>
      </c>
      <c r="C624" s="9" t="s">
        <v>273</v>
      </c>
      <c r="D624" s="15">
        <v>490.77</v>
      </c>
      <c r="E624" s="13" t="s">
        <v>3028</v>
      </c>
    </row>
    <row r="625" spans="1:5" x14ac:dyDescent="0.25">
      <c r="A625" s="9" t="s">
        <v>1912</v>
      </c>
      <c r="B625" s="10" t="s">
        <v>274</v>
      </c>
      <c r="C625" s="9" t="s">
        <v>275</v>
      </c>
      <c r="D625" s="15">
        <v>75.510000000000005</v>
      </c>
      <c r="E625" s="13" t="s">
        <v>3028</v>
      </c>
    </row>
    <row r="626" spans="1:5" x14ac:dyDescent="0.25">
      <c r="A626" s="9" t="s">
        <v>1912</v>
      </c>
      <c r="B626" s="10" t="s">
        <v>280</v>
      </c>
      <c r="C626" s="9" t="s">
        <v>281</v>
      </c>
      <c r="D626" s="15">
        <v>91.08</v>
      </c>
      <c r="E626" s="13" t="s">
        <v>3028</v>
      </c>
    </row>
    <row r="627" spans="1:5" x14ac:dyDescent="0.25">
      <c r="A627" s="9" t="s">
        <v>1912</v>
      </c>
      <c r="B627" s="10" t="s">
        <v>288</v>
      </c>
      <c r="C627" s="9" t="s">
        <v>289</v>
      </c>
      <c r="D627" s="15">
        <v>75.510000000000005</v>
      </c>
      <c r="E627" s="13" t="s">
        <v>3028</v>
      </c>
    </row>
    <row r="628" spans="1:5" x14ac:dyDescent="0.25">
      <c r="A628" s="9" t="s">
        <v>1912</v>
      </c>
      <c r="B628" s="10" t="s">
        <v>290</v>
      </c>
      <c r="C628" s="9" t="s">
        <v>291</v>
      </c>
      <c r="D628" s="15">
        <v>42.33</v>
      </c>
      <c r="E628" s="13" t="s">
        <v>3028</v>
      </c>
    </row>
    <row r="629" spans="1:5" x14ac:dyDescent="0.25">
      <c r="A629" s="9" t="s">
        <v>1912</v>
      </c>
      <c r="B629" s="10" t="s">
        <v>292</v>
      </c>
      <c r="C629" s="9" t="s">
        <v>293</v>
      </c>
      <c r="D629" s="15">
        <v>79.23</v>
      </c>
      <c r="E629" s="13" t="s">
        <v>3028</v>
      </c>
    </row>
    <row r="630" spans="1:5" x14ac:dyDescent="0.25">
      <c r="A630" s="9" t="s">
        <v>1912</v>
      </c>
      <c r="B630" s="10" t="s">
        <v>296</v>
      </c>
      <c r="C630" s="9" t="s">
        <v>297</v>
      </c>
      <c r="D630" s="15">
        <v>18.149999999999999</v>
      </c>
      <c r="E630" s="13" t="s">
        <v>3028</v>
      </c>
    </row>
    <row r="631" spans="1:5" x14ac:dyDescent="0.25">
      <c r="A631" s="9" t="s">
        <v>1912</v>
      </c>
      <c r="B631" s="10" t="s">
        <v>298</v>
      </c>
      <c r="C631" s="9" t="s">
        <v>299</v>
      </c>
      <c r="D631" s="15">
        <v>79.23</v>
      </c>
      <c r="E631" s="13" t="s">
        <v>3028</v>
      </c>
    </row>
    <row r="632" spans="1:5" x14ac:dyDescent="0.25">
      <c r="A632" s="9" t="s">
        <v>1912</v>
      </c>
      <c r="B632" s="10" t="s">
        <v>304</v>
      </c>
      <c r="C632" s="9" t="s">
        <v>305</v>
      </c>
      <c r="D632" s="15">
        <v>75.510000000000005</v>
      </c>
      <c r="E632" s="13" t="s">
        <v>3028</v>
      </c>
    </row>
    <row r="633" spans="1:5" x14ac:dyDescent="0.25">
      <c r="A633" s="9" t="s">
        <v>1912</v>
      </c>
      <c r="B633" s="10" t="s">
        <v>308</v>
      </c>
      <c r="C633" s="9" t="s">
        <v>309</v>
      </c>
      <c r="D633" s="15">
        <v>79.23</v>
      </c>
      <c r="E633" s="13" t="s">
        <v>3028</v>
      </c>
    </row>
    <row r="634" spans="1:5" x14ac:dyDescent="0.25">
      <c r="A634" s="9" t="s">
        <v>1912</v>
      </c>
      <c r="B634" s="10" t="s">
        <v>312</v>
      </c>
      <c r="C634" s="9" t="s">
        <v>313</v>
      </c>
      <c r="D634" s="15">
        <v>77.37</v>
      </c>
      <c r="E634" s="13" t="s">
        <v>3028</v>
      </c>
    </row>
    <row r="635" spans="1:5" x14ac:dyDescent="0.25">
      <c r="A635" s="9" t="s">
        <v>1912</v>
      </c>
      <c r="B635" s="10" t="s">
        <v>314</v>
      </c>
      <c r="C635" s="9" t="s">
        <v>315</v>
      </c>
      <c r="D635" s="15">
        <v>96.33</v>
      </c>
      <c r="E635" s="13" t="s">
        <v>3028</v>
      </c>
    </row>
    <row r="636" spans="1:5" x14ac:dyDescent="0.25">
      <c r="A636" s="9" t="s">
        <v>1912</v>
      </c>
      <c r="B636" s="10" t="s">
        <v>316</v>
      </c>
      <c r="C636" s="9" t="s">
        <v>317</v>
      </c>
      <c r="D636" s="15">
        <v>79.23</v>
      </c>
      <c r="E636" s="13" t="s">
        <v>3028</v>
      </c>
    </row>
    <row r="637" spans="1:5" x14ac:dyDescent="0.25">
      <c r="A637" s="9" t="s">
        <v>1912</v>
      </c>
      <c r="B637" s="10" t="s">
        <v>318</v>
      </c>
      <c r="C637" s="9" t="s">
        <v>319</v>
      </c>
      <c r="D637" s="15">
        <v>36.36</v>
      </c>
      <c r="E637" s="13" t="s">
        <v>3028</v>
      </c>
    </row>
    <row r="638" spans="1:5" x14ac:dyDescent="0.25">
      <c r="A638" s="9" t="s">
        <v>1912</v>
      </c>
      <c r="B638" s="10" t="s">
        <v>324</v>
      </c>
      <c r="C638" s="9" t="s">
        <v>325</v>
      </c>
      <c r="D638" s="15">
        <v>79.23</v>
      </c>
      <c r="E638" s="13" t="s">
        <v>3028</v>
      </c>
    </row>
    <row r="639" spans="1:5" x14ac:dyDescent="0.25">
      <c r="A639" s="9" t="s">
        <v>1912</v>
      </c>
      <c r="B639" s="10" t="s">
        <v>330</v>
      </c>
      <c r="C639" s="9" t="s">
        <v>331</v>
      </c>
      <c r="D639" s="15">
        <v>98.65</v>
      </c>
      <c r="E639" s="13" t="s">
        <v>3028</v>
      </c>
    </row>
    <row r="640" spans="1:5" x14ac:dyDescent="0.25">
      <c r="A640" s="9" t="s">
        <v>1912</v>
      </c>
      <c r="B640" s="10" t="s">
        <v>344</v>
      </c>
      <c r="C640" s="9" t="s">
        <v>345</v>
      </c>
      <c r="D640" s="15">
        <v>98.65</v>
      </c>
      <c r="E640" s="13" t="s">
        <v>3028</v>
      </c>
    </row>
    <row r="641" spans="1:5" x14ac:dyDescent="0.25">
      <c r="A641" s="9" t="s">
        <v>1912</v>
      </c>
      <c r="B641" s="10" t="s">
        <v>348</v>
      </c>
      <c r="C641" s="9" t="s">
        <v>349</v>
      </c>
      <c r="D641" s="15">
        <v>75.510000000000005</v>
      </c>
      <c r="E641" s="13" t="s">
        <v>3028</v>
      </c>
    </row>
    <row r="642" spans="1:5" x14ac:dyDescent="0.25">
      <c r="A642" s="9" t="s">
        <v>1912</v>
      </c>
      <c r="B642" s="10" t="s">
        <v>350</v>
      </c>
      <c r="C642" s="9" t="s">
        <v>351</v>
      </c>
      <c r="D642" s="15">
        <v>75.510000000000005</v>
      </c>
      <c r="E642" s="13" t="s">
        <v>3028</v>
      </c>
    </row>
    <row r="643" spans="1:5" x14ac:dyDescent="0.25">
      <c r="A643" s="9" t="s">
        <v>1912</v>
      </c>
      <c r="B643" s="10" t="s">
        <v>354</v>
      </c>
      <c r="C643" s="9" t="s">
        <v>355</v>
      </c>
      <c r="D643" s="15">
        <v>42.31</v>
      </c>
      <c r="E643" s="13" t="s">
        <v>3028</v>
      </c>
    </row>
    <row r="644" spans="1:5" x14ac:dyDescent="0.25">
      <c r="A644" s="9" t="s">
        <v>1912</v>
      </c>
      <c r="B644" s="10" t="s">
        <v>360</v>
      </c>
      <c r="C644" s="9" t="s">
        <v>361</v>
      </c>
      <c r="D644" s="15">
        <v>42.35</v>
      </c>
      <c r="E644" s="13" t="s">
        <v>3028</v>
      </c>
    </row>
    <row r="645" spans="1:5" x14ac:dyDescent="0.25">
      <c r="A645" s="9" t="s">
        <v>1912</v>
      </c>
      <c r="B645" s="10" t="s">
        <v>368</v>
      </c>
      <c r="C645" s="9" t="s">
        <v>369</v>
      </c>
      <c r="D645" s="15">
        <v>77.37</v>
      </c>
      <c r="E645" s="13" t="s">
        <v>3028</v>
      </c>
    </row>
    <row r="646" spans="1:5" x14ac:dyDescent="0.25">
      <c r="A646" s="9" t="s">
        <v>1912</v>
      </c>
      <c r="B646" s="10" t="s">
        <v>372</v>
      </c>
      <c r="C646" s="9" t="s">
        <v>373</v>
      </c>
      <c r="D646" s="15">
        <v>81.09</v>
      </c>
      <c r="E646" s="13" t="s">
        <v>3028</v>
      </c>
    </row>
    <row r="647" spans="1:5" x14ac:dyDescent="0.25">
      <c r="A647" s="9" t="s">
        <v>1912</v>
      </c>
      <c r="B647" s="10" t="s">
        <v>374</v>
      </c>
      <c r="C647" s="9" t="s">
        <v>375</v>
      </c>
      <c r="D647" s="15">
        <v>97.01</v>
      </c>
      <c r="E647" s="13" t="s">
        <v>3028</v>
      </c>
    </row>
    <row r="648" spans="1:5" x14ac:dyDescent="0.25">
      <c r="A648" s="9" t="s">
        <v>1912</v>
      </c>
      <c r="B648" s="10" t="s">
        <v>376</v>
      </c>
      <c r="C648" s="9" t="s">
        <v>377</v>
      </c>
      <c r="D648" s="15">
        <v>250.35</v>
      </c>
      <c r="E648" s="13" t="s">
        <v>3028</v>
      </c>
    </row>
    <row r="649" spans="1:5" x14ac:dyDescent="0.25">
      <c r="A649" s="9" t="s">
        <v>1912</v>
      </c>
      <c r="B649" s="10" t="s">
        <v>378</v>
      </c>
      <c r="C649" s="9" t="s">
        <v>379</v>
      </c>
      <c r="D649" s="15">
        <v>75.510000000000005</v>
      </c>
      <c r="E649" s="13" t="s">
        <v>3028</v>
      </c>
    </row>
    <row r="650" spans="1:5" x14ac:dyDescent="0.25">
      <c r="A650" s="9" t="s">
        <v>1912</v>
      </c>
      <c r="B650" s="10" t="s">
        <v>384</v>
      </c>
      <c r="C650" s="9" t="s">
        <v>385</v>
      </c>
      <c r="D650" s="15">
        <v>77.37</v>
      </c>
      <c r="E650" s="13" t="s">
        <v>3028</v>
      </c>
    </row>
    <row r="651" spans="1:5" x14ac:dyDescent="0.25">
      <c r="A651" s="9" t="s">
        <v>1912</v>
      </c>
      <c r="B651" s="10" t="s">
        <v>388</v>
      </c>
      <c r="C651" s="9" t="s">
        <v>389</v>
      </c>
      <c r="D651" s="15">
        <v>75.510000000000005</v>
      </c>
      <c r="E651" s="13" t="s">
        <v>3028</v>
      </c>
    </row>
    <row r="652" spans="1:5" x14ac:dyDescent="0.25">
      <c r="A652" s="9" t="s">
        <v>1912</v>
      </c>
      <c r="B652" s="10" t="s">
        <v>390</v>
      </c>
      <c r="C652" s="9" t="s">
        <v>391</v>
      </c>
      <c r="D652" s="15">
        <v>81.09</v>
      </c>
      <c r="E652" s="13" t="s">
        <v>3028</v>
      </c>
    </row>
    <row r="653" spans="1:5" x14ac:dyDescent="0.25">
      <c r="A653" s="9" t="s">
        <v>1912</v>
      </c>
      <c r="B653" s="10" t="s">
        <v>394</v>
      </c>
      <c r="C653" s="9" t="s">
        <v>395</v>
      </c>
      <c r="D653" s="15">
        <v>77.37</v>
      </c>
      <c r="E653" s="13" t="s">
        <v>3028</v>
      </c>
    </row>
    <row r="654" spans="1:5" x14ac:dyDescent="0.25">
      <c r="A654" s="9" t="s">
        <v>1912</v>
      </c>
      <c r="B654" s="10" t="s">
        <v>396</v>
      </c>
      <c r="C654" s="9" t="s">
        <v>397</v>
      </c>
      <c r="D654" s="15">
        <v>77.37</v>
      </c>
      <c r="E654" s="13" t="s">
        <v>3028</v>
      </c>
    </row>
    <row r="655" spans="1:5" x14ac:dyDescent="0.25">
      <c r="A655" s="9" t="s">
        <v>1912</v>
      </c>
      <c r="B655" s="10" t="s">
        <v>398</v>
      </c>
      <c r="C655" s="9" t="s">
        <v>399</v>
      </c>
      <c r="D655" s="15">
        <v>75.510000000000005</v>
      </c>
      <c r="E655" s="13" t="s">
        <v>3028</v>
      </c>
    </row>
    <row r="656" spans="1:5" x14ac:dyDescent="0.25">
      <c r="A656" s="9" t="s">
        <v>1912</v>
      </c>
      <c r="B656" s="10" t="s">
        <v>402</v>
      </c>
      <c r="C656" s="9" t="s">
        <v>403</v>
      </c>
      <c r="D656" s="15">
        <v>12.1</v>
      </c>
      <c r="E656" s="13" t="s">
        <v>3028</v>
      </c>
    </row>
    <row r="657" spans="1:5" x14ac:dyDescent="0.25">
      <c r="A657" s="9" t="s">
        <v>1912</v>
      </c>
      <c r="B657" s="10" t="s">
        <v>414</v>
      </c>
      <c r="C657" s="9" t="s">
        <v>415</v>
      </c>
      <c r="D657" s="15">
        <v>75.510000000000005</v>
      </c>
      <c r="E657" s="13" t="s">
        <v>3028</v>
      </c>
    </row>
    <row r="658" spans="1:5" x14ac:dyDescent="0.25">
      <c r="A658" s="9" t="s">
        <v>1912</v>
      </c>
      <c r="B658" s="10" t="s">
        <v>418</v>
      </c>
      <c r="C658" s="9" t="s">
        <v>419</v>
      </c>
      <c r="D658" s="15">
        <v>477.11</v>
      </c>
      <c r="E658" s="13" t="s">
        <v>3028</v>
      </c>
    </row>
    <row r="659" spans="1:5" x14ac:dyDescent="0.25">
      <c r="A659" s="9" t="s">
        <v>1912</v>
      </c>
      <c r="B659" s="10" t="s">
        <v>420</v>
      </c>
      <c r="C659" s="9" t="s">
        <v>421</v>
      </c>
      <c r="D659" s="15">
        <v>849.1</v>
      </c>
      <c r="E659" s="13" t="s">
        <v>3028</v>
      </c>
    </row>
    <row r="660" spans="1:5" x14ac:dyDescent="0.25">
      <c r="A660" s="9" t="s">
        <v>1912</v>
      </c>
      <c r="B660" s="10" t="s">
        <v>424</v>
      </c>
      <c r="C660" s="9" t="s">
        <v>425</v>
      </c>
      <c r="D660" s="15">
        <v>45.26</v>
      </c>
      <c r="E660" s="13" t="s">
        <v>3028</v>
      </c>
    </row>
    <row r="661" spans="1:5" x14ac:dyDescent="0.25">
      <c r="A661" s="9" t="s">
        <v>1912</v>
      </c>
      <c r="B661" s="10" t="s">
        <v>426</v>
      </c>
      <c r="C661" s="9" t="s">
        <v>427</v>
      </c>
      <c r="D661" s="15">
        <v>75.510000000000005</v>
      </c>
      <c r="E661" s="13" t="s">
        <v>3028</v>
      </c>
    </row>
    <row r="662" spans="1:5" x14ac:dyDescent="0.25">
      <c r="A662" s="9" t="s">
        <v>1912</v>
      </c>
      <c r="B662" s="10" t="s">
        <v>430</v>
      </c>
      <c r="C662" s="9" t="s">
        <v>431</v>
      </c>
      <c r="D662" s="15">
        <v>79.23</v>
      </c>
      <c r="E662" s="13" t="s">
        <v>3028</v>
      </c>
    </row>
    <row r="663" spans="1:5" x14ac:dyDescent="0.25">
      <c r="A663" s="9" t="s">
        <v>1912</v>
      </c>
      <c r="B663" s="10" t="s">
        <v>432</v>
      </c>
      <c r="C663" s="9" t="s">
        <v>433</v>
      </c>
      <c r="D663" s="15">
        <v>98.65</v>
      </c>
      <c r="E663" s="13" t="s">
        <v>3028</v>
      </c>
    </row>
    <row r="664" spans="1:5" x14ac:dyDescent="0.25">
      <c r="A664" s="9" t="s">
        <v>1912</v>
      </c>
      <c r="B664" s="10" t="s">
        <v>436</v>
      </c>
      <c r="C664" s="9" t="s">
        <v>437</v>
      </c>
      <c r="D664" s="15">
        <v>77.37</v>
      </c>
      <c r="E664" s="13" t="s">
        <v>3028</v>
      </c>
    </row>
    <row r="665" spans="1:5" x14ac:dyDescent="0.25">
      <c r="A665" s="9" t="s">
        <v>1912</v>
      </c>
      <c r="B665" s="10" t="s">
        <v>438</v>
      </c>
      <c r="C665" s="9" t="s">
        <v>439</v>
      </c>
      <c r="D665" s="15">
        <v>79.23</v>
      </c>
      <c r="E665" s="13" t="s">
        <v>3028</v>
      </c>
    </row>
    <row r="666" spans="1:5" x14ac:dyDescent="0.25">
      <c r="A666" s="9" t="s">
        <v>1912</v>
      </c>
      <c r="B666" s="10" t="s">
        <v>442</v>
      </c>
      <c r="C666" s="9" t="s">
        <v>443</v>
      </c>
      <c r="D666" s="15">
        <v>123.65</v>
      </c>
      <c r="E666" s="13" t="s">
        <v>3028</v>
      </c>
    </row>
    <row r="667" spans="1:5" x14ac:dyDescent="0.25">
      <c r="A667" s="9" t="s">
        <v>1912</v>
      </c>
      <c r="B667" s="10" t="s">
        <v>444</v>
      </c>
      <c r="C667" s="9" t="s">
        <v>445</v>
      </c>
      <c r="D667" s="15">
        <v>77.37</v>
      </c>
      <c r="E667" s="13" t="s">
        <v>3028</v>
      </c>
    </row>
    <row r="668" spans="1:5" x14ac:dyDescent="0.25">
      <c r="A668" s="9" t="s">
        <v>1912</v>
      </c>
      <c r="B668" s="10" t="s">
        <v>450</v>
      </c>
      <c r="C668" s="9" t="s">
        <v>451</v>
      </c>
      <c r="D668" s="15">
        <v>74.58</v>
      </c>
      <c r="E668" s="13" t="s">
        <v>3028</v>
      </c>
    </row>
    <row r="669" spans="1:5" x14ac:dyDescent="0.25">
      <c r="A669" s="9" t="s">
        <v>1912</v>
      </c>
      <c r="B669" s="10" t="s">
        <v>452</v>
      </c>
      <c r="C669" s="9" t="s">
        <v>453</v>
      </c>
      <c r="D669" s="15">
        <v>39.19</v>
      </c>
      <c r="E669" s="13" t="s">
        <v>3028</v>
      </c>
    </row>
    <row r="670" spans="1:5" x14ac:dyDescent="0.25">
      <c r="A670" s="9" t="s">
        <v>1912</v>
      </c>
      <c r="B670" s="10" t="s">
        <v>454</v>
      </c>
      <c r="C670" s="9" t="s">
        <v>455</v>
      </c>
      <c r="D670" s="15">
        <v>75.510000000000005</v>
      </c>
      <c r="E670" s="13" t="s">
        <v>3028</v>
      </c>
    </row>
    <row r="671" spans="1:5" x14ac:dyDescent="0.25">
      <c r="A671" s="9" t="s">
        <v>1912</v>
      </c>
      <c r="B671" s="10" t="s">
        <v>458</v>
      </c>
      <c r="C671" s="9" t="s">
        <v>459</v>
      </c>
      <c r="D671" s="15">
        <v>79.23</v>
      </c>
      <c r="E671" s="13" t="s">
        <v>3028</v>
      </c>
    </row>
    <row r="672" spans="1:5" x14ac:dyDescent="0.25">
      <c r="A672" s="9" t="s">
        <v>1912</v>
      </c>
      <c r="B672" s="10" t="s">
        <v>460</v>
      </c>
      <c r="C672" s="9" t="s">
        <v>461</v>
      </c>
      <c r="D672" s="15">
        <v>75.510000000000005</v>
      </c>
      <c r="E672" s="13" t="s">
        <v>3028</v>
      </c>
    </row>
    <row r="673" spans="1:5" x14ac:dyDescent="0.25">
      <c r="A673" s="9" t="s">
        <v>1912</v>
      </c>
      <c r="B673" s="10" t="s">
        <v>462</v>
      </c>
      <c r="C673" s="9" t="s">
        <v>463</v>
      </c>
      <c r="D673" s="15">
        <v>95.58</v>
      </c>
      <c r="E673" s="13" t="s">
        <v>3028</v>
      </c>
    </row>
    <row r="674" spans="1:5" x14ac:dyDescent="0.25">
      <c r="A674" s="9" t="s">
        <v>1912</v>
      </c>
      <c r="B674" s="10" t="s">
        <v>468</v>
      </c>
      <c r="C674" s="9" t="s">
        <v>469</v>
      </c>
      <c r="D674" s="15">
        <v>79.23</v>
      </c>
      <c r="E674" s="13" t="s">
        <v>3028</v>
      </c>
    </row>
    <row r="675" spans="1:5" x14ac:dyDescent="0.25">
      <c r="A675" s="9" t="s">
        <v>1912</v>
      </c>
      <c r="B675" s="10" t="s">
        <v>470</v>
      </c>
      <c r="C675" s="9" t="s">
        <v>471</v>
      </c>
      <c r="D675" s="15">
        <v>79.23</v>
      </c>
      <c r="E675" s="13" t="s">
        <v>3028</v>
      </c>
    </row>
    <row r="676" spans="1:5" x14ac:dyDescent="0.25">
      <c r="A676" s="9" t="s">
        <v>1912</v>
      </c>
      <c r="B676" s="10" t="s">
        <v>474</v>
      </c>
      <c r="C676" s="9" t="s">
        <v>475</v>
      </c>
      <c r="D676" s="15">
        <v>77.37</v>
      </c>
      <c r="E676" s="13" t="s">
        <v>3028</v>
      </c>
    </row>
    <row r="677" spans="1:5" x14ac:dyDescent="0.25">
      <c r="A677" s="9" t="s">
        <v>1912</v>
      </c>
      <c r="B677" s="10" t="s">
        <v>476</v>
      </c>
      <c r="C677" s="9" t="s">
        <v>477</v>
      </c>
      <c r="D677" s="15">
        <v>77.37</v>
      </c>
      <c r="E677" s="13" t="s">
        <v>3028</v>
      </c>
    </row>
    <row r="678" spans="1:5" x14ac:dyDescent="0.25">
      <c r="A678" s="9" t="s">
        <v>1912</v>
      </c>
      <c r="B678" s="10" t="s">
        <v>478</v>
      </c>
      <c r="C678" s="9" t="s">
        <v>479</v>
      </c>
      <c r="D678" s="15">
        <v>61.14</v>
      </c>
      <c r="E678" s="13" t="s">
        <v>3028</v>
      </c>
    </row>
    <row r="679" spans="1:5" x14ac:dyDescent="0.25">
      <c r="A679" s="9" t="s">
        <v>1912</v>
      </c>
      <c r="B679" s="10" t="s">
        <v>480</v>
      </c>
      <c r="C679" s="9" t="s">
        <v>481</v>
      </c>
      <c r="D679" s="15">
        <v>12.1</v>
      </c>
      <c r="E679" s="13" t="s">
        <v>3028</v>
      </c>
    </row>
    <row r="680" spans="1:5" x14ac:dyDescent="0.25">
      <c r="A680" s="9" t="s">
        <v>1912</v>
      </c>
      <c r="B680" s="10" t="s">
        <v>482</v>
      </c>
      <c r="C680" s="9" t="s">
        <v>483</v>
      </c>
      <c r="D680" s="15">
        <v>75.510000000000005</v>
      </c>
      <c r="E680" s="13" t="s">
        <v>3028</v>
      </c>
    </row>
    <row r="681" spans="1:5" x14ac:dyDescent="0.25">
      <c r="A681" s="9" t="s">
        <v>1912</v>
      </c>
      <c r="B681" s="10" t="s">
        <v>488</v>
      </c>
      <c r="C681" s="9" t="s">
        <v>489</v>
      </c>
      <c r="D681" s="15">
        <v>77.37</v>
      </c>
      <c r="E681" s="13" t="s">
        <v>3028</v>
      </c>
    </row>
    <row r="682" spans="1:5" x14ac:dyDescent="0.25">
      <c r="A682" s="9" t="s">
        <v>1912</v>
      </c>
      <c r="B682" s="10" t="s">
        <v>490</v>
      </c>
      <c r="C682" s="9" t="s">
        <v>491</v>
      </c>
      <c r="D682" s="15">
        <v>14.93</v>
      </c>
      <c r="E682" s="13" t="s">
        <v>3028</v>
      </c>
    </row>
    <row r="683" spans="1:5" x14ac:dyDescent="0.25">
      <c r="A683" s="9" t="s">
        <v>1912</v>
      </c>
      <c r="B683" s="10" t="s">
        <v>492</v>
      </c>
      <c r="C683" s="9" t="s">
        <v>493</v>
      </c>
      <c r="D683" s="15">
        <v>75.510000000000005</v>
      </c>
      <c r="E683" s="13" t="s">
        <v>3028</v>
      </c>
    </row>
    <row r="684" spans="1:5" x14ac:dyDescent="0.25">
      <c r="A684" s="9" t="s">
        <v>1912</v>
      </c>
      <c r="B684" s="10" t="s">
        <v>494</v>
      </c>
      <c r="C684" s="9" t="s">
        <v>495</v>
      </c>
      <c r="D684" s="15">
        <v>77.37</v>
      </c>
      <c r="E684" s="13" t="s">
        <v>3028</v>
      </c>
    </row>
    <row r="685" spans="1:5" x14ac:dyDescent="0.25">
      <c r="A685" s="9" t="s">
        <v>1912</v>
      </c>
      <c r="B685" s="10" t="s">
        <v>496</v>
      </c>
      <c r="C685" s="9" t="s">
        <v>497</v>
      </c>
      <c r="D685" s="15">
        <v>42.31</v>
      </c>
      <c r="E685" s="13" t="s">
        <v>3028</v>
      </c>
    </row>
    <row r="686" spans="1:5" x14ac:dyDescent="0.25">
      <c r="A686" s="9" t="s">
        <v>1912</v>
      </c>
      <c r="B686" s="10" t="s">
        <v>500</v>
      </c>
      <c r="C686" s="9" t="s">
        <v>501</v>
      </c>
      <c r="D686" s="15">
        <v>18.149999999999999</v>
      </c>
      <c r="E686" s="13" t="s">
        <v>3028</v>
      </c>
    </row>
    <row r="687" spans="1:5" x14ac:dyDescent="0.25">
      <c r="A687" s="9" t="s">
        <v>1912</v>
      </c>
      <c r="B687" s="10" t="s">
        <v>504</v>
      </c>
      <c r="C687" s="9" t="s">
        <v>505</v>
      </c>
      <c r="D687" s="15">
        <v>14.93</v>
      </c>
      <c r="E687" s="13" t="s">
        <v>3028</v>
      </c>
    </row>
    <row r="688" spans="1:5" x14ac:dyDescent="0.25">
      <c r="A688" s="9" t="s">
        <v>1912</v>
      </c>
      <c r="B688" s="10" t="s">
        <v>506</v>
      </c>
      <c r="C688" s="9" t="s">
        <v>507</v>
      </c>
      <c r="D688" s="15">
        <v>75.510000000000005</v>
      </c>
      <c r="E688" s="13" t="s">
        <v>3028</v>
      </c>
    </row>
    <row r="689" spans="1:5" x14ac:dyDescent="0.25">
      <c r="A689" s="9" t="s">
        <v>1912</v>
      </c>
      <c r="B689" s="10" t="s">
        <v>510</v>
      </c>
      <c r="C689" s="9" t="s">
        <v>511</v>
      </c>
      <c r="D689" s="15">
        <v>77.37</v>
      </c>
      <c r="E689" s="13" t="s">
        <v>3028</v>
      </c>
    </row>
    <row r="690" spans="1:5" x14ac:dyDescent="0.25">
      <c r="A690" s="9" t="s">
        <v>1912</v>
      </c>
      <c r="B690" s="10" t="s">
        <v>512</v>
      </c>
      <c r="C690" s="9" t="s">
        <v>513</v>
      </c>
      <c r="D690" s="15">
        <v>79.23</v>
      </c>
      <c r="E690" s="13" t="s">
        <v>3028</v>
      </c>
    </row>
    <row r="691" spans="1:5" x14ac:dyDescent="0.25">
      <c r="A691" s="9" t="s">
        <v>1912</v>
      </c>
      <c r="B691" s="10" t="s">
        <v>514</v>
      </c>
      <c r="C691" s="9" t="s">
        <v>515</v>
      </c>
      <c r="D691" s="15">
        <v>79.23</v>
      </c>
      <c r="E691" s="13" t="s">
        <v>3028</v>
      </c>
    </row>
    <row r="692" spans="1:5" x14ac:dyDescent="0.25">
      <c r="A692" s="9" t="s">
        <v>1912</v>
      </c>
      <c r="B692" s="10" t="s">
        <v>516</v>
      </c>
      <c r="C692" s="9" t="s">
        <v>517</v>
      </c>
      <c r="D692" s="15">
        <v>18.149999999999999</v>
      </c>
      <c r="E692" s="13" t="s">
        <v>3028</v>
      </c>
    </row>
    <row r="693" spans="1:5" x14ac:dyDescent="0.25">
      <c r="A693" s="9" t="s">
        <v>1912</v>
      </c>
      <c r="B693" s="10" t="s">
        <v>522</v>
      </c>
      <c r="C693" s="9" t="s">
        <v>523</v>
      </c>
      <c r="D693" s="15">
        <v>12.14</v>
      </c>
      <c r="E693" s="13" t="s">
        <v>3028</v>
      </c>
    </row>
    <row r="694" spans="1:5" x14ac:dyDescent="0.25">
      <c r="A694" s="9" t="s">
        <v>1912</v>
      </c>
      <c r="B694" s="10" t="s">
        <v>524</v>
      </c>
      <c r="C694" s="9" t="s">
        <v>525</v>
      </c>
      <c r="D694" s="15">
        <v>250.35</v>
      </c>
      <c r="E694" s="13" t="s">
        <v>3028</v>
      </c>
    </row>
    <row r="695" spans="1:5" x14ac:dyDescent="0.25">
      <c r="A695" s="9" t="s">
        <v>1912</v>
      </c>
      <c r="B695" s="10" t="s">
        <v>526</v>
      </c>
      <c r="C695" s="9" t="s">
        <v>527</v>
      </c>
      <c r="D695" s="15">
        <v>77.37</v>
      </c>
      <c r="E695" s="13" t="s">
        <v>3028</v>
      </c>
    </row>
    <row r="696" spans="1:5" x14ac:dyDescent="0.25">
      <c r="A696" s="9" t="s">
        <v>1912</v>
      </c>
      <c r="B696" s="10" t="s">
        <v>532</v>
      </c>
      <c r="C696" s="9" t="s">
        <v>533</v>
      </c>
      <c r="D696" s="15">
        <v>96.33</v>
      </c>
      <c r="E696" s="13" t="s">
        <v>3028</v>
      </c>
    </row>
    <row r="697" spans="1:5" x14ac:dyDescent="0.25">
      <c r="A697" s="9" t="s">
        <v>1912</v>
      </c>
      <c r="B697" s="10" t="s">
        <v>534</v>
      </c>
      <c r="C697" s="9" t="s">
        <v>535</v>
      </c>
      <c r="D697" s="15">
        <v>471.35</v>
      </c>
      <c r="E697" s="13" t="s">
        <v>3028</v>
      </c>
    </row>
    <row r="698" spans="1:5" x14ac:dyDescent="0.25">
      <c r="A698" s="9" t="s">
        <v>1912</v>
      </c>
      <c r="B698" s="10" t="s">
        <v>540</v>
      </c>
      <c r="C698" s="9" t="s">
        <v>541</v>
      </c>
      <c r="D698" s="15">
        <v>18.149999999999999</v>
      </c>
      <c r="E698" s="13" t="s">
        <v>3028</v>
      </c>
    </row>
    <row r="699" spans="1:5" x14ac:dyDescent="0.25">
      <c r="A699" s="9" t="s">
        <v>1912</v>
      </c>
      <c r="B699" s="10" t="s">
        <v>544</v>
      </c>
      <c r="C699" s="9" t="s">
        <v>545</v>
      </c>
      <c r="D699" s="15">
        <v>77.37</v>
      </c>
      <c r="E699" s="13" t="s">
        <v>3028</v>
      </c>
    </row>
    <row r="700" spans="1:5" x14ac:dyDescent="0.25">
      <c r="A700" s="9" t="s">
        <v>1912</v>
      </c>
      <c r="B700" s="10" t="s">
        <v>546</v>
      </c>
      <c r="C700" s="9" t="s">
        <v>547</v>
      </c>
      <c r="D700" s="15">
        <v>81.09</v>
      </c>
      <c r="E700" s="13" t="s">
        <v>3028</v>
      </c>
    </row>
    <row r="701" spans="1:5" x14ac:dyDescent="0.25">
      <c r="A701" s="9" t="s">
        <v>1912</v>
      </c>
      <c r="B701" s="10" t="s">
        <v>548</v>
      </c>
      <c r="C701" s="9" t="s">
        <v>549</v>
      </c>
      <c r="D701" s="15">
        <v>36.299999999999997</v>
      </c>
      <c r="E701" s="13" t="s">
        <v>3028</v>
      </c>
    </row>
    <row r="702" spans="1:5" x14ac:dyDescent="0.25">
      <c r="A702" s="9" t="s">
        <v>1912</v>
      </c>
      <c r="B702" s="10" t="s">
        <v>550</v>
      </c>
      <c r="C702" s="9" t="s">
        <v>551</v>
      </c>
      <c r="D702" s="15">
        <v>180.87</v>
      </c>
      <c r="E702" s="13" t="s">
        <v>3028</v>
      </c>
    </row>
    <row r="703" spans="1:5" x14ac:dyDescent="0.25">
      <c r="A703" s="9" t="s">
        <v>1912</v>
      </c>
      <c r="B703" s="10" t="s">
        <v>552</v>
      </c>
      <c r="C703" s="9" t="s">
        <v>553</v>
      </c>
      <c r="D703" s="15">
        <v>1021.58</v>
      </c>
      <c r="E703" s="13" t="s">
        <v>3028</v>
      </c>
    </row>
    <row r="704" spans="1:5" x14ac:dyDescent="0.25">
      <c r="A704" s="9" t="s">
        <v>1912</v>
      </c>
      <c r="B704" s="10" t="s">
        <v>558</v>
      </c>
      <c r="C704" s="9" t="s">
        <v>559</v>
      </c>
      <c r="D704" s="15">
        <v>75.510000000000005</v>
      </c>
      <c r="E704" s="13" t="s">
        <v>3028</v>
      </c>
    </row>
    <row r="705" spans="1:5" x14ac:dyDescent="0.25">
      <c r="A705" s="9" t="s">
        <v>1912</v>
      </c>
      <c r="B705" s="10" t="s">
        <v>560</v>
      </c>
      <c r="C705" s="9" t="s">
        <v>561</v>
      </c>
      <c r="D705" s="15">
        <v>79.23</v>
      </c>
      <c r="E705" s="13" t="s">
        <v>3028</v>
      </c>
    </row>
    <row r="706" spans="1:5" x14ac:dyDescent="0.25">
      <c r="A706" s="9" t="s">
        <v>1912</v>
      </c>
      <c r="B706" s="10" t="s">
        <v>562</v>
      </c>
      <c r="C706" s="9" t="s">
        <v>563</v>
      </c>
      <c r="D706" s="15">
        <v>79.23</v>
      </c>
      <c r="E706" s="13" t="s">
        <v>3028</v>
      </c>
    </row>
    <row r="707" spans="1:5" x14ac:dyDescent="0.25">
      <c r="A707" s="9" t="s">
        <v>1912</v>
      </c>
      <c r="B707" s="10" t="s">
        <v>564</v>
      </c>
      <c r="C707" s="9" t="s">
        <v>565</v>
      </c>
      <c r="D707" s="15">
        <v>98.65</v>
      </c>
      <c r="E707" s="13" t="s">
        <v>3028</v>
      </c>
    </row>
    <row r="708" spans="1:5" x14ac:dyDescent="0.25">
      <c r="A708" s="9" t="s">
        <v>1912</v>
      </c>
      <c r="B708" s="10" t="s">
        <v>566</v>
      </c>
      <c r="C708" s="9" t="s">
        <v>567</v>
      </c>
      <c r="D708" s="15">
        <v>6.05</v>
      </c>
      <c r="E708" s="13" t="s">
        <v>3028</v>
      </c>
    </row>
    <row r="709" spans="1:5" x14ac:dyDescent="0.25">
      <c r="A709" s="9" t="s">
        <v>1912</v>
      </c>
      <c r="B709" s="10" t="s">
        <v>568</v>
      </c>
      <c r="C709" s="9" t="s">
        <v>569</v>
      </c>
      <c r="D709" s="15">
        <v>24.72</v>
      </c>
      <c r="E709" s="13" t="s">
        <v>3028</v>
      </c>
    </row>
    <row r="710" spans="1:5" x14ac:dyDescent="0.25">
      <c r="A710" s="9" t="s">
        <v>1912</v>
      </c>
      <c r="B710" s="10" t="s">
        <v>570</v>
      </c>
      <c r="C710" s="9" t="s">
        <v>571</v>
      </c>
      <c r="D710" s="15">
        <v>77.37</v>
      </c>
      <c r="E710" s="13" t="s">
        <v>3028</v>
      </c>
    </row>
    <row r="711" spans="1:5" x14ac:dyDescent="0.25">
      <c r="A711" s="9" t="s">
        <v>1912</v>
      </c>
      <c r="B711" s="10" t="s">
        <v>576</v>
      </c>
      <c r="C711" s="9" t="s">
        <v>577</v>
      </c>
      <c r="D711" s="15">
        <v>1019.72</v>
      </c>
      <c r="E711" s="13" t="s">
        <v>3028</v>
      </c>
    </row>
    <row r="712" spans="1:5" x14ac:dyDescent="0.25">
      <c r="A712" s="9" t="s">
        <v>1912</v>
      </c>
      <c r="B712" s="10" t="s">
        <v>586</v>
      </c>
      <c r="C712" s="9" t="s">
        <v>587</v>
      </c>
      <c r="D712" s="15">
        <v>57.36</v>
      </c>
      <c r="E712" s="13" t="s">
        <v>3028</v>
      </c>
    </row>
    <row r="713" spans="1:5" x14ac:dyDescent="0.25">
      <c r="A713" s="9" t="s">
        <v>1912</v>
      </c>
      <c r="B713" s="10" t="s">
        <v>588</v>
      </c>
      <c r="C713" s="9" t="s">
        <v>589</v>
      </c>
      <c r="D713" s="15">
        <v>77.37</v>
      </c>
      <c r="E713" s="13" t="s">
        <v>3028</v>
      </c>
    </row>
    <row r="714" spans="1:5" x14ac:dyDescent="0.25">
      <c r="A714" s="9" t="s">
        <v>1912</v>
      </c>
      <c r="B714" s="10" t="s">
        <v>592</v>
      </c>
      <c r="C714" s="9" t="s">
        <v>593</v>
      </c>
      <c r="D714" s="15">
        <v>79.23</v>
      </c>
      <c r="E714" s="13" t="s">
        <v>3028</v>
      </c>
    </row>
    <row r="715" spans="1:5" x14ac:dyDescent="0.25">
      <c r="A715" s="9" t="s">
        <v>1912</v>
      </c>
      <c r="B715" s="10" t="s">
        <v>604</v>
      </c>
      <c r="C715" s="9" t="s">
        <v>605</v>
      </c>
      <c r="D715" s="15">
        <v>79.23</v>
      </c>
      <c r="E715" s="13" t="s">
        <v>3028</v>
      </c>
    </row>
    <row r="716" spans="1:5" x14ac:dyDescent="0.25">
      <c r="A716" s="9" t="s">
        <v>1912</v>
      </c>
      <c r="B716" s="10" t="s">
        <v>606</v>
      </c>
      <c r="C716" s="9" t="s">
        <v>607</v>
      </c>
      <c r="D716" s="15">
        <v>248.06</v>
      </c>
      <c r="E716" s="13" t="s">
        <v>3028</v>
      </c>
    </row>
    <row r="717" spans="1:5" x14ac:dyDescent="0.25">
      <c r="A717" s="9" t="s">
        <v>1912</v>
      </c>
      <c r="B717" s="10" t="s">
        <v>610</v>
      </c>
      <c r="C717" s="9" t="s">
        <v>611</v>
      </c>
      <c r="D717" s="15">
        <v>61.08</v>
      </c>
      <c r="E717" s="13" t="s">
        <v>3028</v>
      </c>
    </row>
    <row r="718" spans="1:5" x14ac:dyDescent="0.25">
      <c r="A718" s="9" t="s">
        <v>1912</v>
      </c>
      <c r="B718" s="10" t="s">
        <v>612</v>
      </c>
      <c r="C718" s="9" t="s">
        <v>613</v>
      </c>
      <c r="D718" s="15">
        <v>53.17</v>
      </c>
      <c r="E718" s="13" t="s">
        <v>3028</v>
      </c>
    </row>
    <row r="719" spans="1:5" x14ac:dyDescent="0.25">
      <c r="A719" s="9" t="s">
        <v>1912</v>
      </c>
      <c r="B719" s="10" t="s">
        <v>614</v>
      </c>
      <c r="C719" s="9" t="s">
        <v>615</v>
      </c>
      <c r="D719" s="15">
        <v>75.510000000000005</v>
      </c>
      <c r="E719" s="13" t="s">
        <v>3028</v>
      </c>
    </row>
    <row r="720" spans="1:5" x14ac:dyDescent="0.25">
      <c r="A720" s="9" t="s">
        <v>1912</v>
      </c>
      <c r="B720" s="10" t="s">
        <v>616</v>
      </c>
      <c r="C720" s="9" t="s">
        <v>617</v>
      </c>
      <c r="D720" s="15">
        <v>48.44</v>
      </c>
      <c r="E720" s="13" t="s">
        <v>3028</v>
      </c>
    </row>
    <row r="721" spans="1:5" x14ac:dyDescent="0.25">
      <c r="A721" s="9" t="s">
        <v>1912</v>
      </c>
      <c r="B721" s="10" t="s">
        <v>622</v>
      </c>
      <c r="C721" s="9" t="s">
        <v>623</v>
      </c>
      <c r="D721" s="15">
        <v>22.86</v>
      </c>
      <c r="E721" s="13" t="s">
        <v>3028</v>
      </c>
    </row>
    <row r="722" spans="1:5" x14ac:dyDescent="0.25">
      <c r="A722" s="9" t="s">
        <v>1912</v>
      </c>
      <c r="B722" s="10" t="s">
        <v>624</v>
      </c>
      <c r="C722" s="9" t="s">
        <v>625</v>
      </c>
      <c r="D722" s="15">
        <v>161.15</v>
      </c>
      <c r="E722" s="13" t="s">
        <v>3028</v>
      </c>
    </row>
    <row r="723" spans="1:5" x14ac:dyDescent="0.25">
      <c r="A723" s="9" t="s">
        <v>1912</v>
      </c>
      <c r="B723" s="10" t="s">
        <v>626</v>
      </c>
      <c r="C723" s="9" t="s">
        <v>627</v>
      </c>
      <c r="D723" s="15">
        <v>12.1</v>
      </c>
      <c r="E723" s="13" t="s">
        <v>3028</v>
      </c>
    </row>
    <row r="724" spans="1:5" x14ac:dyDescent="0.25">
      <c r="A724" s="9" t="s">
        <v>1912</v>
      </c>
      <c r="B724" s="10" t="s">
        <v>628</v>
      </c>
      <c r="C724" s="9" t="s">
        <v>629</v>
      </c>
      <c r="D724" s="15">
        <v>24.2</v>
      </c>
      <c r="E724" s="13" t="s">
        <v>3028</v>
      </c>
    </row>
    <row r="725" spans="1:5" x14ac:dyDescent="0.25">
      <c r="A725" s="9" t="s">
        <v>1912</v>
      </c>
      <c r="B725" s="10" t="s">
        <v>630</v>
      </c>
      <c r="C725" s="9" t="s">
        <v>631</v>
      </c>
      <c r="D725" s="15">
        <v>54.51</v>
      </c>
      <c r="E725" s="13" t="s">
        <v>3028</v>
      </c>
    </row>
    <row r="726" spans="1:5" x14ac:dyDescent="0.25">
      <c r="A726" s="9" t="s">
        <v>1912</v>
      </c>
      <c r="B726" s="10" t="s">
        <v>632</v>
      </c>
      <c r="C726" s="9" t="s">
        <v>633</v>
      </c>
      <c r="D726" s="15">
        <v>99.71</v>
      </c>
      <c r="E726" s="13" t="s">
        <v>3028</v>
      </c>
    </row>
    <row r="727" spans="1:5" x14ac:dyDescent="0.25">
      <c r="A727" s="9" t="s">
        <v>1912</v>
      </c>
      <c r="B727" s="10" t="s">
        <v>634</v>
      </c>
      <c r="C727" s="9" t="s">
        <v>635</v>
      </c>
      <c r="D727" s="15">
        <v>1023.44</v>
      </c>
      <c r="E727" s="13" t="s">
        <v>3028</v>
      </c>
    </row>
    <row r="728" spans="1:5" x14ac:dyDescent="0.25">
      <c r="A728" s="9" t="s">
        <v>1912</v>
      </c>
      <c r="B728" s="10" t="s">
        <v>640</v>
      </c>
      <c r="C728" s="9" t="s">
        <v>641</v>
      </c>
      <c r="D728" s="15">
        <v>123.65</v>
      </c>
      <c r="E728" s="13" t="s">
        <v>3028</v>
      </c>
    </row>
    <row r="729" spans="1:5" x14ac:dyDescent="0.25">
      <c r="A729" s="9" t="s">
        <v>1912</v>
      </c>
      <c r="B729" s="10" t="s">
        <v>642</v>
      </c>
      <c r="C729" s="9" t="s">
        <v>643</v>
      </c>
      <c r="D729" s="15">
        <v>75.510000000000005</v>
      </c>
      <c r="E729" s="13" t="s">
        <v>3028</v>
      </c>
    </row>
    <row r="730" spans="1:5" x14ac:dyDescent="0.25">
      <c r="A730" s="9" t="s">
        <v>1912</v>
      </c>
      <c r="B730" s="10" t="s">
        <v>644</v>
      </c>
      <c r="C730" s="9" t="s">
        <v>645</v>
      </c>
      <c r="D730" s="15">
        <v>77.37</v>
      </c>
      <c r="E730" s="13" t="s">
        <v>3028</v>
      </c>
    </row>
    <row r="731" spans="1:5" x14ac:dyDescent="0.25">
      <c r="A731" s="9" t="s">
        <v>1912</v>
      </c>
      <c r="B731" s="10" t="s">
        <v>646</v>
      </c>
      <c r="C731" s="9" t="s">
        <v>647</v>
      </c>
      <c r="D731" s="15">
        <v>75.510000000000005</v>
      </c>
      <c r="E731" s="13" t="s">
        <v>3028</v>
      </c>
    </row>
    <row r="732" spans="1:5" x14ac:dyDescent="0.25">
      <c r="A732" s="9" t="s">
        <v>1912</v>
      </c>
      <c r="B732" s="10" t="s">
        <v>648</v>
      </c>
      <c r="C732" s="9" t="s">
        <v>649</v>
      </c>
      <c r="D732" s="15">
        <v>6.05</v>
      </c>
      <c r="E732" s="13" t="s">
        <v>3028</v>
      </c>
    </row>
    <row r="733" spans="1:5" x14ac:dyDescent="0.25">
      <c r="A733" s="9" t="s">
        <v>1912</v>
      </c>
      <c r="B733" s="10" t="s">
        <v>650</v>
      </c>
      <c r="C733" s="9" t="s">
        <v>651</v>
      </c>
      <c r="D733" s="15">
        <v>79.23</v>
      </c>
      <c r="E733" s="13" t="s">
        <v>3028</v>
      </c>
    </row>
    <row r="734" spans="1:5" x14ac:dyDescent="0.25">
      <c r="A734" s="9" t="s">
        <v>1912</v>
      </c>
      <c r="B734" s="10" t="s">
        <v>652</v>
      </c>
      <c r="C734" s="9" t="s">
        <v>653</v>
      </c>
      <c r="D734" s="15">
        <v>77.37</v>
      </c>
      <c r="E734" s="13" t="s">
        <v>3028</v>
      </c>
    </row>
    <row r="735" spans="1:5" x14ac:dyDescent="0.25">
      <c r="A735" s="9" t="s">
        <v>1912</v>
      </c>
      <c r="B735" s="10" t="s">
        <v>666</v>
      </c>
      <c r="C735" s="9" t="s">
        <v>667</v>
      </c>
      <c r="D735" s="15">
        <v>77.37</v>
      </c>
      <c r="E735" s="13" t="s">
        <v>3028</v>
      </c>
    </row>
    <row r="736" spans="1:5" x14ac:dyDescent="0.25">
      <c r="A736" s="9" t="s">
        <v>1912</v>
      </c>
      <c r="B736" s="10" t="s">
        <v>670</v>
      </c>
      <c r="C736" s="9" t="s">
        <v>671</v>
      </c>
      <c r="D736" s="15">
        <v>82.02</v>
      </c>
      <c r="E736" s="13" t="s">
        <v>3028</v>
      </c>
    </row>
    <row r="737" spans="1:5" x14ac:dyDescent="0.25">
      <c r="A737" s="9" t="s">
        <v>1912</v>
      </c>
      <c r="B737" s="10" t="s">
        <v>672</v>
      </c>
      <c r="C737" s="9" t="s">
        <v>673</v>
      </c>
      <c r="D737" s="15">
        <v>75.510000000000005</v>
      </c>
      <c r="E737" s="13" t="s">
        <v>3028</v>
      </c>
    </row>
    <row r="738" spans="1:5" x14ac:dyDescent="0.25">
      <c r="A738" s="9" t="s">
        <v>1912</v>
      </c>
      <c r="B738" s="10" t="s">
        <v>674</v>
      </c>
      <c r="C738" s="9" t="s">
        <v>675</v>
      </c>
      <c r="D738" s="15">
        <v>26.58</v>
      </c>
      <c r="E738" s="13" t="s">
        <v>3028</v>
      </c>
    </row>
    <row r="739" spans="1:5" x14ac:dyDescent="0.25">
      <c r="A739" s="9" t="s">
        <v>1912</v>
      </c>
      <c r="B739" s="10" t="s">
        <v>678</v>
      </c>
      <c r="C739" s="9" t="s">
        <v>679</v>
      </c>
      <c r="D739" s="15">
        <v>103.16</v>
      </c>
      <c r="E739" s="13" t="s">
        <v>3028</v>
      </c>
    </row>
    <row r="740" spans="1:5" x14ac:dyDescent="0.25">
      <c r="A740" s="9" t="s">
        <v>1912</v>
      </c>
      <c r="B740" s="10" t="s">
        <v>680</v>
      </c>
      <c r="C740" s="9" t="s">
        <v>681</v>
      </c>
      <c r="D740" s="15">
        <v>75.510000000000005</v>
      </c>
      <c r="E740" s="13" t="s">
        <v>3028</v>
      </c>
    </row>
    <row r="741" spans="1:5" x14ac:dyDescent="0.25">
      <c r="A741" s="9" t="s">
        <v>1912</v>
      </c>
      <c r="B741" s="10" t="s">
        <v>682</v>
      </c>
      <c r="C741" s="9" t="s">
        <v>683</v>
      </c>
      <c r="D741" s="15">
        <v>75.510000000000005</v>
      </c>
      <c r="E741" s="13" t="s">
        <v>3028</v>
      </c>
    </row>
    <row r="742" spans="1:5" x14ac:dyDescent="0.25">
      <c r="A742" s="9" t="s">
        <v>1912</v>
      </c>
      <c r="B742" s="10" t="s">
        <v>684</v>
      </c>
      <c r="C742" s="9" t="s">
        <v>685</v>
      </c>
      <c r="D742" s="15">
        <v>75.510000000000005</v>
      </c>
      <c r="E742" s="13" t="s">
        <v>3028</v>
      </c>
    </row>
    <row r="743" spans="1:5" x14ac:dyDescent="0.25">
      <c r="A743" s="9" t="s">
        <v>1912</v>
      </c>
      <c r="B743" s="10" t="s">
        <v>688</v>
      </c>
      <c r="C743" s="9" t="s">
        <v>689</v>
      </c>
      <c r="D743" s="15">
        <v>75.510000000000005</v>
      </c>
      <c r="E743" s="13" t="s">
        <v>3028</v>
      </c>
    </row>
    <row r="744" spans="1:5" x14ac:dyDescent="0.25">
      <c r="A744" s="9" t="s">
        <v>1912</v>
      </c>
      <c r="B744" s="10" t="s">
        <v>695</v>
      </c>
      <c r="C744" s="9" t="s">
        <v>696</v>
      </c>
      <c r="D744" s="15">
        <v>12.1</v>
      </c>
      <c r="E744" s="13" t="s">
        <v>3028</v>
      </c>
    </row>
    <row r="745" spans="1:5" x14ac:dyDescent="0.25">
      <c r="A745" s="9" t="s">
        <v>1912</v>
      </c>
      <c r="B745" s="10" t="s">
        <v>699</v>
      </c>
      <c r="C745" s="9" t="s">
        <v>700</v>
      </c>
      <c r="D745" s="15">
        <v>81.09</v>
      </c>
      <c r="E745" s="13" t="s">
        <v>3028</v>
      </c>
    </row>
    <row r="746" spans="1:5" x14ac:dyDescent="0.25">
      <c r="A746" s="9" t="s">
        <v>1912</v>
      </c>
      <c r="B746" s="10" t="s">
        <v>701</v>
      </c>
      <c r="C746" s="9" t="s">
        <v>702</v>
      </c>
      <c r="D746" s="15">
        <v>18.149999999999999</v>
      </c>
      <c r="E746" s="13" t="s">
        <v>3028</v>
      </c>
    </row>
    <row r="747" spans="1:5" x14ac:dyDescent="0.25">
      <c r="A747" s="9" t="s">
        <v>1912</v>
      </c>
      <c r="B747" s="10" t="s">
        <v>705</v>
      </c>
      <c r="C747" s="9" t="s">
        <v>706</v>
      </c>
      <c r="D747" s="15">
        <v>6.05</v>
      </c>
      <c r="E747" s="13" t="s">
        <v>3028</v>
      </c>
    </row>
    <row r="748" spans="1:5" x14ac:dyDescent="0.25">
      <c r="A748" s="9" t="s">
        <v>1912</v>
      </c>
      <c r="B748" s="10" t="s">
        <v>707</v>
      </c>
      <c r="C748" s="9" t="s">
        <v>708</v>
      </c>
      <c r="D748" s="15">
        <v>66.650000000000006</v>
      </c>
      <c r="E748" s="13" t="s">
        <v>3028</v>
      </c>
    </row>
    <row r="749" spans="1:5" x14ac:dyDescent="0.25">
      <c r="A749" s="9" t="s">
        <v>1912</v>
      </c>
      <c r="B749" s="10" t="s">
        <v>709</v>
      </c>
      <c r="C749" s="9" t="s">
        <v>710</v>
      </c>
      <c r="D749" s="15">
        <v>21</v>
      </c>
      <c r="E749" s="13" t="s">
        <v>3028</v>
      </c>
    </row>
    <row r="750" spans="1:5" x14ac:dyDescent="0.25">
      <c r="A750" s="9" t="s">
        <v>1912</v>
      </c>
      <c r="B750" s="10" t="s">
        <v>713</v>
      </c>
      <c r="C750" s="9" t="s">
        <v>714</v>
      </c>
      <c r="D750" s="15">
        <v>81.09</v>
      </c>
      <c r="E750" s="13" t="s">
        <v>3028</v>
      </c>
    </row>
    <row r="751" spans="1:5" x14ac:dyDescent="0.25">
      <c r="A751" s="9" t="s">
        <v>1912</v>
      </c>
      <c r="B751" s="10" t="s">
        <v>720</v>
      </c>
      <c r="C751" s="9" t="s">
        <v>721</v>
      </c>
      <c r="D751" s="15">
        <v>48.98</v>
      </c>
      <c r="E751" s="13" t="s">
        <v>3028</v>
      </c>
    </row>
    <row r="752" spans="1:5" x14ac:dyDescent="0.25">
      <c r="A752" s="9" t="s">
        <v>1912</v>
      </c>
      <c r="B752" s="10" t="s">
        <v>722</v>
      </c>
      <c r="C752" s="9" t="s">
        <v>723</v>
      </c>
      <c r="D752" s="15">
        <v>79.23</v>
      </c>
      <c r="E752" s="13" t="s">
        <v>3028</v>
      </c>
    </row>
    <row r="753" spans="1:5" x14ac:dyDescent="0.25">
      <c r="A753" s="9" t="s">
        <v>1912</v>
      </c>
      <c r="B753" s="10" t="s">
        <v>726</v>
      </c>
      <c r="C753" s="9" t="s">
        <v>727</v>
      </c>
      <c r="D753" s="15">
        <v>24.2</v>
      </c>
      <c r="E753" s="13" t="s">
        <v>3028</v>
      </c>
    </row>
    <row r="754" spans="1:5" x14ac:dyDescent="0.25">
      <c r="A754" s="9" t="s">
        <v>1912</v>
      </c>
      <c r="B754" s="10" t="s">
        <v>728</v>
      </c>
      <c r="C754" s="9" t="s">
        <v>729</v>
      </c>
      <c r="D754" s="15">
        <v>77.37</v>
      </c>
      <c r="E754" s="13" t="s">
        <v>3028</v>
      </c>
    </row>
    <row r="755" spans="1:5" x14ac:dyDescent="0.25">
      <c r="A755" s="9" t="s">
        <v>1912</v>
      </c>
      <c r="B755" s="10" t="s">
        <v>730</v>
      </c>
      <c r="C755" s="9" t="s">
        <v>731</v>
      </c>
      <c r="D755" s="15">
        <v>81.09</v>
      </c>
      <c r="E755" s="13" t="s">
        <v>3028</v>
      </c>
    </row>
    <row r="756" spans="1:5" x14ac:dyDescent="0.25">
      <c r="A756" s="9" t="s">
        <v>1912</v>
      </c>
      <c r="B756" s="10" t="s">
        <v>732</v>
      </c>
      <c r="C756" s="9" t="s">
        <v>733</v>
      </c>
      <c r="D756" s="15">
        <v>75.510000000000005</v>
      </c>
      <c r="E756" s="13" t="s">
        <v>3028</v>
      </c>
    </row>
    <row r="757" spans="1:5" x14ac:dyDescent="0.25">
      <c r="A757" s="9" t="s">
        <v>1912</v>
      </c>
      <c r="B757" s="10" t="s">
        <v>738</v>
      </c>
      <c r="C757" s="9" t="s">
        <v>739</v>
      </c>
      <c r="D757" s="15">
        <v>44.33</v>
      </c>
      <c r="E757" s="13" t="s">
        <v>3028</v>
      </c>
    </row>
    <row r="758" spans="1:5" x14ac:dyDescent="0.25">
      <c r="A758" s="9" t="s">
        <v>1912</v>
      </c>
      <c r="B758" s="10" t="s">
        <v>740</v>
      </c>
      <c r="C758" s="9" t="s">
        <v>741</v>
      </c>
      <c r="D758" s="15">
        <v>18.149999999999999</v>
      </c>
      <c r="E758" s="13" t="s">
        <v>3028</v>
      </c>
    </row>
    <row r="759" spans="1:5" x14ac:dyDescent="0.25">
      <c r="A759" s="9" t="s">
        <v>1912</v>
      </c>
      <c r="B759" s="10" t="s">
        <v>742</v>
      </c>
      <c r="C759" s="9" t="s">
        <v>743</v>
      </c>
      <c r="D759" s="15">
        <v>75.510000000000005</v>
      </c>
      <c r="E759" s="13" t="s">
        <v>3028</v>
      </c>
    </row>
    <row r="760" spans="1:5" x14ac:dyDescent="0.25">
      <c r="A760" s="9" t="s">
        <v>1912</v>
      </c>
      <c r="B760" s="10" t="s">
        <v>744</v>
      </c>
      <c r="C760" s="9" t="s">
        <v>745</v>
      </c>
      <c r="D760" s="15">
        <v>75.510000000000005</v>
      </c>
      <c r="E760" s="13" t="s">
        <v>3028</v>
      </c>
    </row>
    <row r="761" spans="1:5" x14ac:dyDescent="0.25">
      <c r="A761" s="9" t="s">
        <v>1912</v>
      </c>
      <c r="B761" s="10" t="s">
        <v>746</v>
      </c>
      <c r="C761" s="9" t="s">
        <v>747</v>
      </c>
      <c r="D761" s="15">
        <v>75.510000000000005</v>
      </c>
      <c r="E761" s="13" t="s">
        <v>3028</v>
      </c>
    </row>
    <row r="762" spans="1:5" x14ac:dyDescent="0.25">
      <c r="A762" s="9" t="s">
        <v>1912</v>
      </c>
      <c r="B762" s="10" t="s">
        <v>748</v>
      </c>
      <c r="C762" s="9" t="s">
        <v>749</v>
      </c>
      <c r="D762" s="15">
        <v>77.37</v>
      </c>
      <c r="E762" s="13" t="s">
        <v>3028</v>
      </c>
    </row>
    <row r="763" spans="1:5" x14ac:dyDescent="0.25">
      <c r="A763" s="9" t="s">
        <v>1912</v>
      </c>
      <c r="B763" s="10" t="s">
        <v>750</v>
      </c>
      <c r="C763" s="9" t="s">
        <v>751</v>
      </c>
      <c r="D763" s="15">
        <v>30.25</v>
      </c>
      <c r="E763" s="13" t="s">
        <v>3028</v>
      </c>
    </row>
    <row r="764" spans="1:5" x14ac:dyDescent="0.25">
      <c r="A764" s="9" t="s">
        <v>1912</v>
      </c>
      <c r="B764" s="10" t="s">
        <v>752</v>
      </c>
      <c r="C764" s="9" t="s">
        <v>753</v>
      </c>
      <c r="D764" s="15">
        <v>79.23</v>
      </c>
      <c r="E764" s="13" t="s">
        <v>3028</v>
      </c>
    </row>
    <row r="765" spans="1:5" x14ac:dyDescent="0.25">
      <c r="A765" s="9" t="s">
        <v>1912</v>
      </c>
      <c r="B765" s="10" t="s">
        <v>756</v>
      </c>
      <c r="C765" s="9" t="s">
        <v>757</v>
      </c>
      <c r="D765" s="15">
        <v>75.510000000000005</v>
      </c>
      <c r="E765" s="13" t="s">
        <v>3028</v>
      </c>
    </row>
    <row r="766" spans="1:5" x14ac:dyDescent="0.25">
      <c r="A766" s="9" t="s">
        <v>1912</v>
      </c>
      <c r="B766" s="10" t="s">
        <v>758</v>
      </c>
      <c r="C766" s="9" t="s">
        <v>759</v>
      </c>
      <c r="D766" s="15">
        <v>75.510000000000005</v>
      </c>
      <c r="E766" s="13" t="s">
        <v>3028</v>
      </c>
    </row>
    <row r="767" spans="1:5" x14ac:dyDescent="0.25">
      <c r="A767" s="9" t="s">
        <v>1912</v>
      </c>
      <c r="B767" s="10" t="s">
        <v>760</v>
      </c>
      <c r="C767" s="9" t="s">
        <v>761</v>
      </c>
      <c r="D767" s="15">
        <v>515.77</v>
      </c>
      <c r="E767" s="13" t="s">
        <v>3028</v>
      </c>
    </row>
    <row r="768" spans="1:5" x14ac:dyDescent="0.25">
      <c r="A768" s="9" t="s">
        <v>1912</v>
      </c>
      <c r="B768" s="10" t="s">
        <v>762</v>
      </c>
      <c r="C768" s="9" t="s">
        <v>763</v>
      </c>
      <c r="D768" s="15">
        <v>66.650000000000006</v>
      </c>
      <c r="E768" s="13" t="s">
        <v>3028</v>
      </c>
    </row>
    <row r="769" spans="1:5" x14ac:dyDescent="0.25">
      <c r="A769" s="9" t="s">
        <v>1912</v>
      </c>
      <c r="B769" s="10" t="s">
        <v>768</v>
      </c>
      <c r="C769" s="9" t="s">
        <v>769</v>
      </c>
      <c r="D769" s="15">
        <v>47.12</v>
      </c>
      <c r="E769" s="13" t="s">
        <v>3028</v>
      </c>
    </row>
    <row r="770" spans="1:5" x14ac:dyDescent="0.25">
      <c r="A770" s="9" t="s">
        <v>1912</v>
      </c>
      <c r="B770" s="10" t="s">
        <v>770</v>
      </c>
      <c r="C770" s="9" t="s">
        <v>771</v>
      </c>
      <c r="D770" s="15">
        <v>75.510000000000005</v>
      </c>
      <c r="E770" s="13" t="s">
        <v>3028</v>
      </c>
    </row>
    <row r="771" spans="1:5" x14ac:dyDescent="0.25">
      <c r="A771" s="9" t="s">
        <v>1912</v>
      </c>
      <c r="B771" s="10" t="s">
        <v>772</v>
      </c>
      <c r="C771" s="9" t="s">
        <v>773</v>
      </c>
      <c r="D771" s="15">
        <v>84.99</v>
      </c>
      <c r="E771" s="13" t="s">
        <v>3028</v>
      </c>
    </row>
    <row r="772" spans="1:5" x14ac:dyDescent="0.25">
      <c r="A772" s="9" t="s">
        <v>1912</v>
      </c>
      <c r="B772" s="10" t="s">
        <v>774</v>
      </c>
      <c r="C772" s="9" t="s">
        <v>775</v>
      </c>
      <c r="D772" s="15">
        <v>75.510000000000005</v>
      </c>
      <c r="E772" s="13" t="s">
        <v>3028</v>
      </c>
    </row>
    <row r="773" spans="1:5" x14ac:dyDescent="0.25">
      <c r="A773" s="9" t="s">
        <v>1912</v>
      </c>
      <c r="B773" s="10" t="s">
        <v>778</v>
      </c>
      <c r="C773" s="9" t="s">
        <v>779</v>
      </c>
      <c r="D773" s="15">
        <v>81.09</v>
      </c>
      <c r="E773" s="13" t="s">
        <v>3028</v>
      </c>
    </row>
    <row r="774" spans="1:5" x14ac:dyDescent="0.25">
      <c r="A774" s="9" t="s">
        <v>1912</v>
      </c>
      <c r="B774" s="10" t="s">
        <v>782</v>
      </c>
      <c r="C774" s="9" t="s">
        <v>783</v>
      </c>
      <c r="D774" s="15">
        <v>62.35</v>
      </c>
      <c r="E774" s="13" t="s">
        <v>3028</v>
      </c>
    </row>
    <row r="775" spans="1:5" x14ac:dyDescent="0.25">
      <c r="A775" s="9" t="s">
        <v>1912</v>
      </c>
      <c r="B775" s="10" t="s">
        <v>788</v>
      </c>
      <c r="C775" s="9" t="s">
        <v>789</v>
      </c>
      <c r="D775" s="15">
        <v>66.650000000000006</v>
      </c>
      <c r="E775" s="13" t="s">
        <v>3028</v>
      </c>
    </row>
    <row r="776" spans="1:5" x14ac:dyDescent="0.25">
      <c r="A776" s="9" t="s">
        <v>1912</v>
      </c>
      <c r="B776" s="10" t="s">
        <v>790</v>
      </c>
      <c r="C776" s="9" t="s">
        <v>791</v>
      </c>
      <c r="D776" s="15">
        <v>123.65</v>
      </c>
      <c r="E776" s="13" t="s">
        <v>3028</v>
      </c>
    </row>
    <row r="777" spans="1:5" x14ac:dyDescent="0.25">
      <c r="A777" s="9" t="s">
        <v>1912</v>
      </c>
      <c r="B777" s="10" t="s">
        <v>794</v>
      </c>
      <c r="C777" s="9" t="s">
        <v>795</v>
      </c>
      <c r="D777" s="15">
        <v>81.09</v>
      </c>
      <c r="E777" s="13" t="s">
        <v>3028</v>
      </c>
    </row>
    <row r="778" spans="1:5" x14ac:dyDescent="0.25">
      <c r="A778" s="9" t="s">
        <v>1912</v>
      </c>
      <c r="B778" s="10" t="s">
        <v>796</v>
      </c>
      <c r="C778" s="9" t="s">
        <v>797</v>
      </c>
      <c r="D778" s="15">
        <v>48.44</v>
      </c>
      <c r="E778" s="13" t="s">
        <v>3028</v>
      </c>
    </row>
    <row r="779" spans="1:5" x14ac:dyDescent="0.25">
      <c r="A779" s="9" t="s">
        <v>1912</v>
      </c>
      <c r="B779" s="10" t="s">
        <v>798</v>
      </c>
      <c r="C779" s="9" t="s">
        <v>799</v>
      </c>
      <c r="D779" s="15">
        <v>79.23</v>
      </c>
      <c r="E779" s="13" t="s">
        <v>3028</v>
      </c>
    </row>
    <row r="780" spans="1:5" x14ac:dyDescent="0.25">
      <c r="A780" s="9" t="s">
        <v>1912</v>
      </c>
      <c r="B780" s="10" t="s">
        <v>800</v>
      </c>
      <c r="C780" s="9" t="s">
        <v>801</v>
      </c>
      <c r="D780" s="15">
        <v>126.35</v>
      </c>
      <c r="E780" s="13" t="s">
        <v>3028</v>
      </c>
    </row>
    <row r="781" spans="1:5" x14ac:dyDescent="0.25">
      <c r="A781" s="9" t="s">
        <v>1912</v>
      </c>
      <c r="B781" s="10" t="s">
        <v>805</v>
      </c>
      <c r="C781" s="9" t="s">
        <v>806</v>
      </c>
      <c r="D781" s="15">
        <v>83.97</v>
      </c>
      <c r="E781" s="13" t="s">
        <v>3028</v>
      </c>
    </row>
    <row r="782" spans="1:5" x14ac:dyDescent="0.25">
      <c r="A782" s="9" t="s">
        <v>1912</v>
      </c>
      <c r="B782" s="10" t="s">
        <v>809</v>
      </c>
      <c r="C782" s="9" t="s">
        <v>810</v>
      </c>
      <c r="D782" s="15">
        <v>75.510000000000005</v>
      </c>
      <c r="E782" s="13" t="s">
        <v>3028</v>
      </c>
    </row>
    <row r="783" spans="1:5" x14ac:dyDescent="0.25">
      <c r="A783" s="9" t="s">
        <v>1912</v>
      </c>
      <c r="B783" s="10" t="s">
        <v>813</v>
      </c>
      <c r="C783" s="9" t="s">
        <v>814</v>
      </c>
      <c r="D783" s="15">
        <v>75.510000000000005</v>
      </c>
      <c r="E783" s="13" t="s">
        <v>3028</v>
      </c>
    </row>
    <row r="784" spans="1:5" x14ac:dyDescent="0.25">
      <c r="A784" s="9" t="s">
        <v>1912</v>
      </c>
      <c r="B784" s="10" t="s">
        <v>815</v>
      </c>
      <c r="C784" s="9" t="s">
        <v>816</v>
      </c>
      <c r="D784" s="15">
        <v>75.510000000000005</v>
      </c>
      <c r="E784" s="13" t="s">
        <v>3028</v>
      </c>
    </row>
    <row r="785" spans="1:5" x14ac:dyDescent="0.25">
      <c r="A785" s="9" t="s">
        <v>1912</v>
      </c>
      <c r="B785" s="10" t="s">
        <v>821</v>
      </c>
      <c r="C785" s="9" t="s">
        <v>822</v>
      </c>
      <c r="D785" s="15">
        <v>75.510000000000005</v>
      </c>
      <c r="E785" s="13" t="s">
        <v>3028</v>
      </c>
    </row>
    <row r="786" spans="1:5" x14ac:dyDescent="0.25">
      <c r="A786" s="9" t="s">
        <v>1912</v>
      </c>
      <c r="B786" s="10" t="s">
        <v>823</v>
      </c>
      <c r="C786" s="9" t="s">
        <v>824</v>
      </c>
      <c r="D786" s="15">
        <v>81.09</v>
      </c>
      <c r="E786" s="13" t="s">
        <v>3028</v>
      </c>
    </row>
    <row r="787" spans="1:5" x14ac:dyDescent="0.25">
      <c r="A787" s="9" t="s">
        <v>1912</v>
      </c>
      <c r="B787" s="10" t="s">
        <v>825</v>
      </c>
      <c r="C787" s="9" t="s">
        <v>826</v>
      </c>
      <c r="D787" s="15">
        <v>75.510000000000005</v>
      </c>
      <c r="E787" s="13" t="s">
        <v>3028</v>
      </c>
    </row>
    <row r="788" spans="1:5" x14ac:dyDescent="0.25">
      <c r="A788" s="9" t="s">
        <v>1912</v>
      </c>
      <c r="B788" s="10" t="s">
        <v>830</v>
      </c>
      <c r="C788" s="9" t="s">
        <v>831</v>
      </c>
      <c r="D788" s="15">
        <v>75.510000000000005</v>
      </c>
      <c r="E788" s="13" t="s">
        <v>3028</v>
      </c>
    </row>
    <row r="789" spans="1:5" x14ac:dyDescent="0.25">
      <c r="A789" s="9" t="s">
        <v>1912</v>
      </c>
      <c r="B789" s="10" t="s">
        <v>838</v>
      </c>
      <c r="C789" s="9" t="s">
        <v>839</v>
      </c>
      <c r="D789" s="15">
        <v>0</v>
      </c>
      <c r="E789" s="13" t="s">
        <v>3028</v>
      </c>
    </row>
    <row r="790" spans="1:5" x14ac:dyDescent="0.25">
      <c r="A790" s="9" t="s">
        <v>1912</v>
      </c>
      <c r="B790" s="10" t="s">
        <v>846</v>
      </c>
      <c r="C790" s="9" t="s">
        <v>847</v>
      </c>
      <c r="D790" s="15">
        <v>63.41</v>
      </c>
      <c r="E790" s="13" t="s">
        <v>3028</v>
      </c>
    </row>
    <row r="791" spans="1:5" x14ac:dyDescent="0.25">
      <c r="A791" s="9" t="s">
        <v>1912</v>
      </c>
      <c r="B791" s="10" t="s">
        <v>848</v>
      </c>
      <c r="C791" s="9" t="s">
        <v>849</v>
      </c>
      <c r="D791" s="15">
        <v>24.2</v>
      </c>
      <c r="E791" s="13" t="s">
        <v>3028</v>
      </c>
    </row>
    <row r="792" spans="1:5" x14ac:dyDescent="0.25">
      <c r="A792" s="9" t="s">
        <v>1912</v>
      </c>
      <c r="B792" s="10" t="s">
        <v>850</v>
      </c>
      <c r="C792" s="9" t="s">
        <v>851</v>
      </c>
      <c r="D792" s="15">
        <v>84.99</v>
      </c>
      <c r="E792" s="13" t="s">
        <v>3028</v>
      </c>
    </row>
    <row r="793" spans="1:5" x14ac:dyDescent="0.25">
      <c r="A793" s="9" t="s">
        <v>1912</v>
      </c>
      <c r="B793" s="10" t="s">
        <v>852</v>
      </c>
      <c r="C793" s="9" t="s">
        <v>853</v>
      </c>
      <c r="D793" s="15">
        <v>467.63</v>
      </c>
      <c r="E793" s="13" t="s">
        <v>3028</v>
      </c>
    </row>
    <row r="794" spans="1:5" x14ac:dyDescent="0.25">
      <c r="A794" s="9" t="s">
        <v>1912</v>
      </c>
      <c r="B794" s="10" t="s">
        <v>854</v>
      </c>
      <c r="C794" s="9" t="s">
        <v>855</v>
      </c>
      <c r="D794" s="15">
        <v>18.149999999999999</v>
      </c>
      <c r="E794" s="13" t="s">
        <v>3028</v>
      </c>
    </row>
    <row r="795" spans="1:5" x14ac:dyDescent="0.25">
      <c r="A795" s="9" t="s">
        <v>1912</v>
      </c>
      <c r="B795" s="10" t="s">
        <v>856</v>
      </c>
      <c r="C795" s="9" t="s">
        <v>857</v>
      </c>
      <c r="D795" s="15">
        <v>75.510000000000005</v>
      </c>
      <c r="E795" s="13" t="s">
        <v>3028</v>
      </c>
    </row>
    <row r="796" spans="1:5" x14ac:dyDescent="0.25">
      <c r="A796" s="9" t="s">
        <v>1912</v>
      </c>
      <c r="B796" s="10" t="s">
        <v>858</v>
      </c>
      <c r="C796" s="9" t="s">
        <v>859</v>
      </c>
      <c r="D796" s="15">
        <v>18.149999999999999</v>
      </c>
      <c r="E796" s="13" t="s">
        <v>3028</v>
      </c>
    </row>
    <row r="797" spans="1:5" x14ac:dyDescent="0.25">
      <c r="A797" s="9" t="s">
        <v>1912</v>
      </c>
      <c r="B797" s="10" t="s">
        <v>862</v>
      </c>
      <c r="C797" s="9" t="s">
        <v>863</v>
      </c>
      <c r="D797" s="15">
        <v>71.319999999999993</v>
      </c>
      <c r="E797" s="13" t="s">
        <v>3028</v>
      </c>
    </row>
    <row r="798" spans="1:5" x14ac:dyDescent="0.25">
      <c r="A798" s="9" t="s">
        <v>1912</v>
      </c>
      <c r="B798" s="10" t="s">
        <v>866</v>
      </c>
      <c r="C798" s="9" t="s">
        <v>867</v>
      </c>
      <c r="D798" s="15">
        <v>123.65</v>
      </c>
      <c r="E798" s="13" t="s">
        <v>3028</v>
      </c>
    </row>
    <row r="799" spans="1:5" x14ac:dyDescent="0.25">
      <c r="A799" s="9" t="s">
        <v>1912</v>
      </c>
      <c r="B799" s="10" t="s">
        <v>868</v>
      </c>
      <c r="C799" s="9" t="s">
        <v>869</v>
      </c>
      <c r="D799" s="15">
        <v>75.510000000000005</v>
      </c>
      <c r="E799" s="13" t="s">
        <v>3028</v>
      </c>
    </row>
    <row r="800" spans="1:5" x14ac:dyDescent="0.25">
      <c r="A800" s="9" t="s">
        <v>1912</v>
      </c>
      <c r="B800" s="10" t="s">
        <v>870</v>
      </c>
      <c r="C800" s="9" t="s">
        <v>871</v>
      </c>
      <c r="D800" s="15">
        <v>429.72</v>
      </c>
      <c r="E800" s="13" t="s">
        <v>3028</v>
      </c>
    </row>
    <row r="801" spans="1:5" x14ac:dyDescent="0.25">
      <c r="A801" s="9" t="s">
        <v>1912</v>
      </c>
      <c r="B801" s="10" t="s">
        <v>874</v>
      </c>
      <c r="C801" s="9" t="s">
        <v>875</v>
      </c>
      <c r="D801" s="15">
        <v>112.37</v>
      </c>
      <c r="E801" s="13" t="s">
        <v>3028</v>
      </c>
    </row>
    <row r="802" spans="1:5" x14ac:dyDescent="0.25">
      <c r="A802" s="9" t="s">
        <v>1912</v>
      </c>
      <c r="B802" s="10" t="s">
        <v>880</v>
      </c>
      <c r="C802" s="9" t="s">
        <v>881</v>
      </c>
      <c r="D802" s="15">
        <v>79.23</v>
      </c>
      <c r="E802" s="13" t="s">
        <v>3028</v>
      </c>
    </row>
    <row r="803" spans="1:5" x14ac:dyDescent="0.25">
      <c r="A803" s="9" t="s">
        <v>1912</v>
      </c>
      <c r="B803" s="10" t="s">
        <v>884</v>
      </c>
      <c r="C803" s="9" t="s">
        <v>885</v>
      </c>
      <c r="D803" s="15">
        <v>79.23</v>
      </c>
      <c r="E803" s="13" t="s">
        <v>3028</v>
      </c>
    </row>
    <row r="804" spans="1:5" x14ac:dyDescent="0.25">
      <c r="A804" s="9" t="s">
        <v>1912</v>
      </c>
      <c r="B804" s="10" t="s">
        <v>886</v>
      </c>
      <c r="C804" s="9" t="s">
        <v>887</v>
      </c>
      <c r="D804" s="15">
        <v>75.510000000000005</v>
      </c>
      <c r="E804" s="13" t="s">
        <v>3028</v>
      </c>
    </row>
    <row r="805" spans="1:5" x14ac:dyDescent="0.25">
      <c r="A805" s="9" t="s">
        <v>1912</v>
      </c>
      <c r="B805" s="10" t="s">
        <v>890</v>
      </c>
      <c r="C805" s="9" t="s">
        <v>891</v>
      </c>
      <c r="D805" s="15">
        <v>130.07</v>
      </c>
      <c r="E805" s="13" t="s">
        <v>3028</v>
      </c>
    </row>
    <row r="806" spans="1:5" x14ac:dyDescent="0.25">
      <c r="A806" s="9" t="s">
        <v>1912</v>
      </c>
      <c r="B806" s="10" t="s">
        <v>892</v>
      </c>
      <c r="C806" s="9" t="s">
        <v>893</v>
      </c>
      <c r="D806" s="15">
        <v>12.04</v>
      </c>
      <c r="E806" s="13" t="s">
        <v>3028</v>
      </c>
    </row>
    <row r="807" spans="1:5" x14ac:dyDescent="0.25">
      <c r="A807" s="9" t="s">
        <v>1912</v>
      </c>
      <c r="B807" s="10" t="s">
        <v>894</v>
      </c>
      <c r="C807" s="9" t="s">
        <v>895</v>
      </c>
      <c r="D807" s="15">
        <v>511.13</v>
      </c>
      <c r="E807" s="13" t="s">
        <v>3028</v>
      </c>
    </row>
    <row r="808" spans="1:5" x14ac:dyDescent="0.25">
      <c r="A808" s="9" t="s">
        <v>1912</v>
      </c>
      <c r="B808" s="10" t="s">
        <v>896</v>
      </c>
      <c r="C808" s="9" t="s">
        <v>897</v>
      </c>
      <c r="D808" s="15">
        <v>1021.58</v>
      </c>
      <c r="E808" s="13" t="s">
        <v>3028</v>
      </c>
    </row>
    <row r="809" spans="1:5" x14ac:dyDescent="0.25">
      <c r="A809" s="9" t="s">
        <v>1912</v>
      </c>
      <c r="B809" s="10" t="s">
        <v>902</v>
      </c>
      <c r="C809" s="9" t="s">
        <v>903</v>
      </c>
      <c r="D809" s="15">
        <v>65.27</v>
      </c>
      <c r="E809" s="13" t="s">
        <v>3028</v>
      </c>
    </row>
    <row r="810" spans="1:5" x14ac:dyDescent="0.25">
      <c r="A810" s="9" t="s">
        <v>1912</v>
      </c>
      <c r="B810" s="10" t="s">
        <v>906</v>
      </c>
      <c r="C810" s="9" t="s">
        <v>907</v>
      </c>
      <c r="D810" s="15">
        <v>75.510000000000005</v>
      </c>
      <c r="E810" s="13" t="s">
        <v>3028</v>
      </c>
    </row>
    <row r="811" spans="1:5" x14ac:dyDescent="0.25">
      <c r="A811" s="9" t="s">
        <v>1912</v>
      </c>
      <c r="B811" s="10" t="s">
        <v>912</v>
      </c>
      <c r="C811" s="9" t="s">
        <v>913</v>
      </c>
      <c r="D811" s="15">
        <v>166.9</v>
      </c>
      <c r="E811" s="13" t="s">
        <v>3028</v>
      </c>
    </row>
    <row r="812" spans="1:5" x14ac:dyDescent="0.25">
      <c r="A812" s="9" t="s">
        <v>1912</v>
      </c>
      <c r="B812" s="10" t="s">
        <v>914</v>
      </c>
      <c r="C812" s="9" t="s">
        <v>915</v>
      </c>
      <c r="D812" s="15">
        <v>72.89</v>
      </c>
      <c r="E812" s="13" t="s">
        <v>3028</v>
      </c>
    </row>
    <row r="813" spans="1:5" x14ac:dyDescent="0.25">
      <c r="A813" s="9" t="s">
        <v>1912</v>
      </c>
      <c r="B813" s="10" t="s">
        <v>916</v>
      </c>
      <c r="C813" s="9" t="s">
        <v>917</v>
      </c>
      <c r="D813" s="15">
        <v>81.09</v>
      </c>
      <c r="E813" s="13" t="s">
        <v>3028</v>
      </c>
    </row>
    <row r="814" spans="1:5" x14ac:dyDescent="0.25">
      <c r="A814" s="9" t="s">
        <v>1912</v>
      </c>
      <c r="B814" s="10" t="s">
        <v>920</v>
      </c>
      <c r="C814" s="9" t="s">
        <v>921</v>
      </c>
      <c r="D814" s="15">
        <v>6.05</v>
      </c>
      <c r="E814" s="13" t="s">
        <v>3028</v>
      </c>
    </row>
    <row r="815" spans="1:5" x14ac:dyDescent="0.25">
      <c r="A815" s="9" t="s">
        <v>1912</v>
      </c>
      <c r="B815" s="10" t="s">
        <v>926</v>
      </c>
      <c r="C815" s="9" t="s">
        <v>927</v>
      </c>
      <c r="D815" s="15">
        <v>18.149999999999999</v>
      </c>
      <c r="E815" s="13" t="s">
        <v>3028</v>
      </c>
    </row>
    <row r="816" spans="1:5" x14ac:dyDescent="0.25">
      <c r="A816" s="9" t="s">
        <v>1912</v>
      </c>
      <c r="B816" s="10" t="s">
        <v>930</v>
      </c>
      <c r="C816" s="9" t="s">
        <v>931</v>
      </c>
      <c r="D816" s="15">
        <v>584.19000000000005</v>
      </c>
      <c r="E816" s="13" t="s">
        <v>3028</v>
      </c>
    </row>
    <row r="817" spans="1:5" x14ac:dyDescent="0.25">
      <c r="A817" s="9" t="s">
        <v>1912</v>
      </c>
      <c r="B817" s="10" t="s">
        <v>934</v>
      </c>
      <c r="C817" s="9" t="s">
        <v>935</v>
      </c>
      <c r="D817" s="15">
        <v>75.510000000000005</v>
      </c>
      <c r="E817" s="13" t="s">
        <v>3028</v>
      </c>
    </row>
    <row r="818" spans="1:5" x14ac:dyDescent="0.25">
      <c r="A818" s="9" t="s">
        <v>1912</v>
      </c>
      <c r="B818" s="10" t="s">
        <v>936</v>
      </c>
      <c r="C818" s="9" t="s">
        <v>937</v>
      </c>
      <c r="D818" s="15">
        <v>181.34</v>
      </c>
      <c r="E818" s="13" t="s">
        <v>3028</v>
      </c>
    </row>
    <row r="819" spans="1:5" x14ac:dyDescent="0.25">
      <c r="A819" s="9" t="s">
        <v>1912</v>
      </c>
      <c r="B819" s="10" t="s">
        <v>940</v>
      </c>
      <c r="C819" s="9" t="s">
        <v>941</v>
      </c>
      <c r="D819" s="15">
        <v>476.04</v>
      </c>
      <c r="E819" s="13" t="s">
        <v>3028</v>
      </c>
    </row>
    <row r="820" spans="1:5" x14ac:dyDescent="0.25">
      <c r="A820" s="9" t="s">
        <v>1912</v>
      </c>
      <c r="B820" s="10" t="s">
        <v>946</v>
      </c>
      <c r="C820" s="9" t="s">
        <v>947</v>
      </c>
      <c r="D820" s="15">
        <v>81.09</v>
      </c>
      <c r="E820" s="13" t="s">
        <v>3028</v>
      </c>
    </row>
    <row r="821" spans="1:5" x14ac:dyDescent="0.25">
      <c r="A821" s="9" t="s">
        <v>1912</v>
      </c>
      <c r="B821" s="10" t="s">
        <v>948</v>
      </c>
      <c r="C821" s="9" t="s">
        <v>949</v>
      </c>
      <c r="D821" s="15">
        <v>77.37</v>
      </c>
      <c r="E821" s="13" t="s">
        <v>3028</v>
      </c>
    </row>
    <row r="822" spans="1:5" x14ac:dyDescent="0.25">
      <c r="A822" s="9" t="s">
        <v>1912</v>
      </c>
      <c r="B822" s="10" t="s">
        <v>954</v>
      </c>
      <c r="C822" s="9" t="s">
        <v>955</v>
      </c>
      <c r="D822" s="15">
        <v>12.14</v>
      </c>
      <c r="E822" s="13" t="s">
        <v>3028</v>
      </c>
    </row>
    <row r="823" spans="1:5" x14ac:dyDescent="0.25">
      <c r="A823" s="9" t="s">
        <v>1912</v>
      </c>
      <c r="B823" s="10" t="s">
        <v>962</v>
      </c>
      <c r="C823" s="9" t="s">
        <v>963</v>
      </c>
      <c r="D823" s="15">
        <v>18.149999999999999</v>
      </c>
      <c r="E823" s="13" t="s">
        <v>3028</v>
      </c>
    </row>
    <row r="824" spans="1:5" x14ac:dyDescent="0.25">
      <c r="A824" s="9" t="s">
        <v>1912</v>
      </c>
      <c r="B824" s="10" t="s">
        <v>968</v>
      </c>
      <c r="C824" s="9" t="s">
        <v>969</v>
      </c>
      <c r="D824" s="15">
        <v>98.65</v>
      </c>
      <c r="E824" s="13" t="s">
        <v>3028</v>
      </c>
    </row>
    <row r="825" spans="1:5" x14ac:dyDescent="0.25">
      <c r="A825" s="9" t="s">
        <v>1912</v>
      </c>
      <c r="B825" s="10" t="s">
        <v>970</v>
      </c>
      <c r="C825" s="9" t="s">
        <v>971</v>
      </c>
      <c r="D825" s="15">
        <v>77.37</v>
      </c>
      <c r="E825" s="13" t="s">
        <v>3028</v>
      </c>
    </row>
    <row r="826" spans="1:5" x14ac:dyDescent="0.25">
      <c r="A826" s="9" t="s">
        <v>1912</v>
      </c>
      <c r="B826" s="10" t="s">
        <v>972</v>
      </c>
      <c r="C826" s="9" t="s">
        <v>973</v>
      </c>
      <c r="D826" s="15">
        <v>118</v>
      </c>
      <c r="E826" s="13" t="s">
        <v>3028</v>
      </c>
    </row>
    <row r="827" spans="1:5" x14ac:dyDescent="0.25">
      <c r="A827" s="9" t="s">
        <v>1912</v>
      </c>
      <c r="B827" s="10" t="s">
        <v>978</v>
      </c>
      <c r="C827" s="9" t="s">
        <v>979</v>
      </c>
      <c r="D827" s="15">
        <v>79.23</v>
      </c>
      <c r="E827" s="13" t="s">
        <v>3028</v>
      </c>
    </row>
    <row r="828" spans="1:5" x14ac:dyDescent="0.25">
      <c r="A828" s="9" t="s">
        <v>1912</v>
      </c>
      <c r="B828" s="10" t="s">
        <v>980</v>
      </c>
      <c r="C828" s="9" t="s">
        <v>981</v>
      </c>
      <c r="D828" s="15">
        <v>849.06</v>
      </c>
      <c r="E828" s="13" t="s">
        <v>3028</v>
      </c>
    </row>
    <row r="829" spans="1:5" x14ac:dyDescent="0.25">
      <c r="A829" s="9" t="s">
        <v>1912</v>
      </c>
      <c r="B829" s="10" t="s">
        <v>982</v>
      </c>
      <c r="C829" s="9" t="s">
        <v>983</v>
      </c>
      <c r="D829" s="15">
        <v>18.149999999999999</v>
      </c>
      <c r="E829" s="13" t="s">
        <v>3028</v>
      </c>
    </row>
    <row r="830" spans="1:5" x14ac:dyDescent="0.25">
      <c r="A830" s="9" t="s">
        <v>1912</v>
      </c>
      <c r="B830" s="10" t="s">
        <v>984</v>
      </c>
      <c r="C830" s="9" t="s">
        <v>985</v>
      </c>
      <c r="D830" s="15">
        <v>18.149999999999999</v>
      </c>
      <c r="E830" s="13" t="s">
        <v>3028</v>
      </c>
    </row>
    <row r="831" spans="1:5" x14ac:dyDescent="0.25">
      <c r="A831" s="9" t="s">
        <v>1912</v>
      </c>
      <c r="B831" s="10" t="s">
        <v>986</v>
      </c>
      <c r="C831" s="9" t="s">
        <v>987</v>
      </c>
      <c r="D831" s="15">
        <v>75.510000000000005</v>
      </c>
      <c r="E831" s="13" t="s">
        <v>3028</v>
      </c>
    </row>
    <row r="832" spans="1:5" x14ac:dyDescent="0.25">
      <c r="A832" s="9" t="s">
        <v>1912</v>
      </c>
      <c r="B832" s="10" t="s">
        <v>990</v>
      </c>
      <c r="C832" s="9" t="s">
        <v>991</v>
      </c>
      <c r="D832" s="15">
        <v>22.86</v>
      </c>
      <c r="E832" s="13" t="s">
        <v>3028</v>
      </c>
    </row>
    <row r="833" spans="1:5" x14ac:dyDescent="0.25">
      <c r="A833" s="9" t="s">
        <v>1912</v>
      </c>
      <c r="B833" s="10" t="s">
        <v>992</v>
      </c>
      <c r="C833" s="9" t="s">
        <v>993</v>
      </c>
      <c r="D833" s="15">
        <v>18.149999999999999</v>
      </c>
      <c r="E833" s="13" t="s">
        <v>3028</v>
      </c>
    </row>
    <row r="834" spans="1:5" x14ac:dyDescent="0.25">
      <c r="A834" s="9" t="s">
        <v>1912</v>
      </c>
      <c r="B834" s="10" t="s">
        <v>994</v>
      </c>
      <c r="C834" s="9" t="s">
        <v>995</v>
      </c>
      <c r="D834" s="15">
        <v>319.33999999999997</v>
      </c>
      <c r="E834" s="13" t="s">
        <v>3028</v>
      </c>
    </row>
    <row r="835" spans="1:5" x14ac:dyDescent="0.25">
      <c r="A835" s="9" t="s">
        <v>1912</v>
      </c>
      <c r="B835" s="10" t="s">
        <v>1000</v>
      </c>
      <c r="C835" s="9" t="s">
        <v>1001</v>
      </c>
      <c r="D835" s="15">
        <v>0</v>
      </c>
      <c r="E835" s="13" t="s">
        <v>3028</v>
      </c>
    </row>
    <row r="836" spans="1:5" x14ac:dyDescent="0.25">
      <c r="A836" s="9" t="s">
        <v>1912</v>
      </c>
      <c r="B836" s="10" t="s">
        <v>1006</v>
      </c>
      <c r="C836" s="9" t="s">
        <v>1007</v>
      </c>
      <c r="D836" s="15">
        <v>83.45</v>
      </c>
      <c r="E836" s="13" t="s">
        <v>3028</v>
      </c>
    </row>
    <row r="837" spans="1:5" x14ac:dyDescent="0.25">
      <c r="A837" s="9" t="s">
        <v>1912</v>
      </c>
      <c r="B837" s="10" t="s">
        <v>1010</v>
      </c>
      <c r="C837" s="9" t="s">
        <v>1011</v>
      </c>
      <c r="D837" s="15">
        <v>75.510000000000005</v>
      </c>
      <c r="E837" s="13" t="s">
        <v>3028</v>
      </c>
    </row>
    <row r="838" spans="1:5" x14ac:dyDescent="0.25">
      <c r="A838" s="9" t="s">
        <v>1912</v>
      </c>
      <c r="B838" s="10" t="s">
        <v>1012</v>
      </c>
      <c r="C838" s="9" t="s">
        <v>1013</v>
      </c>
      <c r="D838" s="15">
        <v>66.650000000000006</v>
      </c>
      <c r="E838" s="13" t="s">
        <v>3028</v>
      </c>
    </row>
    <row r="839" spans="1:5" x14ac:dyDescent="0.25">
      <c r="A839" s="9" t="s">
        <v>1912</v>
      </c>
      <c r="B839" s="10" t="s">
        <v>1014</v>
      </c>
      <c r="C839" s="9" t="s">
        <v>1015</v>
      </c>
      <c r="D839" s="15">
        <v>75.510000000000005</v>
      </c>
      <c r="E839" s="13" t="s">
        <v>3028</v>
      </c>
    </row>
    <row r="840" spans="1:5" x14ac:dyDescent="0.25">
      <c r="A840" s="9" t="s">
        <v>1912</v>
      </c>
      <c r="B840" s="10" t="s">
        <v>1018</v>
      </c>
      <c r="C840" s="9" t="s">
        <v>1019</v>
      </c>
      <c r="D840" s="15">
        <v>81.09</v>
      </c>
      <c r="E840" s="13" t="s">
        <v>3028</v>
      </c>
    </row>
    <row r="841" spans="1:5" x14ac:dyDescent="0.25">
      <c r="A841" s="9" t="s">
        <v>1912</v>
      </c>
      <c r="B841" s="10" t="s">
        <v>1020</v>
      </c>
      <c r="C841" s="9" t="s">
        <v>1021</v>
      </c>
      <c r="D841" s="15">
        <v>79.23</v>
      </c>
      <c r="E841" s="13" t="s">
        <v>3028</v>
      </c>
    </row>
    <row r="842" spans="1:5" x14ac:dyDescent="0.25">
      <c r="A842" s="9" t="s">
        <v>1912</v>
      </c>
      <c r="B842" s="10" t="s">
        <v>1022</v>
      </c>
      <c r="C842" s="9" t="s">
        <v>1023</v>
      </c>
      <c r="D842" s="15">
        <v>73.180000000000007</v>
      </c>
      <c r="E842" s="13" t="s">
        <v>3028</v>
      </c>
    </row>
    <row r="843" spans="1:5" x14ac:dyDescent="0.25">
      <c r="A843" s="9" t="s">
        <v>1912</v>
      </c>
      <c r="B843" s="10" t="s">
        <v>1024</v>
      </c>
      <c r="C843" s="9" t="s">
        <v>1025</v>
      </c>
      <c r="D843" s="15">
        <v>81.09</v>
      </c>
      <c r="E843" s="13" t="s">
        <v>3028</v>
      </c>
    </row>
    <row r="844" spans="1:5" x14ac:dyDescent="0.25">
      <c r="A844" s="9" t="s">
        <v>1912</v>
      </c>
      <c r="B844" s="10" t="s">
        <v>1030</v>
      </c>
      <c r="C844" s="9" t="s">
        <v>1031</v>
      </c>
      <c r="D844" s="15">
        <v>81.09</v>
      </c>
      <c r="E844" s="13" t="s">
        <v>3028</v>
      </c>
    </row>
    <row r="845" spans="1:5" x14ac:dyDescent="0.25">
      <c r="A845" s="9" t="s">
        <v>1912</v>
      </c>
      <c r="B845" s="10" t="s">
        <v>1032</v>
      </c>
      <c r="C845" s="9" t="s">
        <v>1033</v>
      </c>
      <c r="D845" s="15">
        <v>75.510000000000005</v>
      </c>
      <c r="E845" s="13" t="s">
        <v>3028</v>
      </c>
    </row>
    <row r="846" spans="1:5" x14ac:dyDescent="0.25">
      <c r="A846" s="9" t="s">
        <v>1912</v>
      </c>
      <c r="B846" s="10" t="s">
        <v>1034</v>
      </c>
      <c r="C846" s="9" t="s">
        <v>1035</v>
      </c>
      <c r="D846" s="15">
        <v>75.510000000000005</v>
      </c>
      <c r="E846" s="13" t="s">
        <v>3028</v>
      </c>
    </row>
    <row r="847" spans="1:5" x14ac:dyDescent="0.25">
      <c r="A847" s="9" t="s">
        <v>1912</v>
      </c>
      <c r="B847" s="10" t="s">
        <v>1038</v>
      </c>
      <c r="C847" s="9" t="s">
        <v>1039</v>
      </c>
      <c r="D847" s="15">
        <v>1016</v>
      </c>
      <c r="E847" s="13" t="s">
        <v>3028</v>
      </c>
    </row>
    <row r="848" spans="1:5" x14ac:dyDescent="0.25">
      <c r="A848" s="9" t="s">
        <v>1912</v>
      </c>
      <c r="B848" s="10" t="s">
        <v>1040</v>
      </c>
      <c r="C848" s="9" t="s">
        <v>1041</v>
      </c>
      <c r="D848" s="15">
        <v>81.09</v>
      </c>
      <c r="E848" s="13" t="s">
        <v>3028</v>
      </c>
    </row>
    <row r="849" spans="1:5" x14ac:dyDescent="0.25">
      <c r="A849" s="9" t="s">
        <v>1912</v>
      </c>
      <c r="B849" s="10" t="s">
        <v>1042</v>
      </c>
      <c r="C849" s="9" t="s">
        <v>1043</v>
      </c>
      <c r="D849" s="15">
        <v>81.09</v>
      </c>
      <c r="E849" s="13" t="s">
        <v>3028</v>
      </c>
    </row>
    <row r="850" spans="1:5" x14ac:dyDescent="0.25">
      <c r="A850" s="9" t="s">
        <v>1912</v>
      </c>
      <c r="B850" s="10" t="s">
        <v>1049</v>
      </c>
      <c r="C850" s="9" t="s">
        <v>1050</v>
      </c>
      <c r="D850" s="15">
        <v>77.37</v>
      </c>
      <c r="E850" s="13" t="s">
        <v>3028</v>
      </c>
    </row>
    <row r="851" spans="1:5" x14ac:dyDescent="0.25">
      <c r="A851" s="9" t="s">
        <v>1912</v>
      </c>
      <c r="B851" s="10" t="s">
        <v>1059</v>
      </c>
      <c r="C851" s="9" t="s">
        <v>1060</v>
      </c>
      <c r="D851" s="15">
        <v>54.51</v>
      </c>
      <c r="E851" s="13" t="s">
        <v>3028</v>
      </c>
    </row>
    <row r="852" spans="1:5" x14ac:dyDescent="0.25">
      <c r="A852" s="9" t="s">
        <v>1912</v>
      </c>
      <c r="B852" s="10" t="s">
        <v>1063</v>
      </c>
      <c r="C852" s="9" t="s">
        <v>1064</v>
      </c>
      <c r="D852" s="15">
        <v>31.64</v>
      </c>
      <c r="E852" s="13" t="s">
        <v>3028</v>
      </c>
    </row>
    <row r="853" spans="1:5" x14ac:dyDescent="0.25">
      <c r="A853" s="9" t="s">
        <v>1912</v>
      </c>
      <c r="B853" s="10" t="s">
        <v>1067</v>
      </c>
      <c r="C853" s="9" t="s">
        <v>1068</v>
      </c>
      <c r="D853" s="15">
        <v>18.149999999999999</v>
      </c>
      <c r="E853" s="13" t="s">
        <v>3028</v>
      </c>
    </row>
    <row r="854" spans="1:5" x14ac:dyDescent="0.25">
      <c r="A854" s="9" t="s">
        <v>1912</v>
      </c>
      <c r="B854" s="10" t="s">
        <v>1079</v>
      </c>
      <c r="C854" s="9" t="s">
        <v>1080</v>
      </c>
      <c r="D854" s="15">
        <v>75.510000000000005</v>
      </c>
      <c r="E854" s="13" t="s">
        <v>3028</v>
      </c>
    </row>
    <row r="855" spans="1:5" x14ac:dyDescent="0.25">
      <c r="A855" s="9" t="s">
        <v>1912</v>
      </c>
      <c r="B855" s="10" t="s">
        <v>1081</v>
      </c>
      <c r="C855" s="9" t="s">
        <v>1082</v>
      </c>
      <c r="D855" s="15">
        <v>81.09</v>
      </c>
      <c r="E855" s="13" t="s">
        <v>3028</v>
      </c>
    </row>
    <row r="856" spans="1:5" x14ac:dyDescent="0.25">
      <c r="A856" s="9" t="s">
        <v>1912</v>
      </c>
      <c r="B856" s="10" t="s">
        <v>1083</v>
      </c>
      <c r="C856" s="9" t="s">
        <v>1084</v>
      </c>
      <c r="D856" s="15">
        <v>61.95</v>
      </c>
      <c r="E856" s="13" t="s">
        <v>3028</v>
      </c>
    </row>
    <row r="857" spans="1:5" x14ac:dyDescent="0.25">
      <c r="A857" s="9" t="s">
        <v>1912</v>
      </c>
      <c r="B857" s="10" t="s">
        <v>1085</v>
      </c>
      <c r="C857" s="9" t="s">
        <v>1086</v>
      </c>
      <c r="D857" s="15">
        <v>150.85</v>
      </c>
      <c r="E857" s="13" t="s">
        <v>3028</v>
      </c>
    </row>
    <row r="858" spans="1:5" x14ac:dyDescent="0.25">
      <c r="A858" s="9" t="s">
        <v>1912</v>
      </c>
      <c r="B858" s="10" t="s">
        <v>1087</v>
      </c>
      <c r="C858" s="9" t="s">
        <v>1088</v>
      </c>
      <c r="D858" s="15">
        <v>30.25</v>
      </c>
      <c r="E858" s="13" t="s">
        <v>3028</v>
      </c>
    </row>
    <row r="859" spans="1:5" x14ac:dyDescent="0.25">
      <c r="A859" s="9" t="s">
        <v>1912</v>
      </c>
      <c r="B859" s="10" t="s">
        <v>1093</v>
      </c>
      <c r="C859" s="9" t="s">
        <v>1094</v>
      </c>
      <c r="D859" s="15">
        <v>79.23</v>
      </c>
      <c r="E859" s="13" t="s">
        <v>3028</v>
      </c>
    </row>
    <row r="860" spans="1:5" x14ac:dyDescent="0.25">
      <c r="A860" s="9" t="s">
        <v>1912</v>
      </c>
      <c r="B860" s="10" t="s">
        <v>1097</v>
      </c>
      <c r="C860" s="9" t="s">
        <v>1098</v>
      </c>
      <c r="D860" s="15">
        <v>79.23</v>
      </c>
      <c r="E860" s="13" t="s">
        <v>3028</v>
      </c>
    </row>
    <row r="861" spans="1:5" x14ac:dyDescent="0.25">
      <c r="A861" s="9" t="s">
        <v>1912</v>
      </c>
      <c r="B861" s="10" t="s">
        <v>1099</v>
      </c>
      <c r="C861" s="9" t="s">
        <v>1100</v>
      </c>
      <c r="D861" s="15">
        <v>84.99</v>
      </c>
      <c r="E861" s="13" t="s">
        <v>3028</v>
      </c>
    </row>
    <row r="862" spans="1:5" x14ac:dyDescent="0.25">
      <c r="A862" s="9" t="s">
        <v>1912</v>
      </c>
      <c r="B862" s="10" t="s">
        <v>1101</v>
      </c>
      <c r="C862" s="9" t="s">
        <v>1102</v>
      </c>
      <c r="D862" s="15">
        <v>77.37</v>
      </c>
      <c r="E862" s="13" t="s">
        <v>3028</v>
      </c>
    </row>
    <row r="863" spans="1:5" x14ac:dyDescent="0.25">
      <c r="A863" s="9" t="s">
        <v>1912</v>
      </c>
      <c r="B863" s="10" t="s">
        <v>1103</v>
      </c>
      <c r="C863" s="9" t="s">
        <v>1104</v>
      </c>
      <c r="D863" s="15">
        <v>74.58</v>
      </c>
      <c r="E863" s="13" t="s">
        <v>3028</v>
      </c>
    </row>
    <row r="864" spans="1:5" x14ac:dyDescent="0.25">
      <c r="A864" s="9" t="s">
        <v>1912</v>
      </c>
      <c r="B864" s="10" t="s">
        <v>1105</v>
      </c>
      <c r="C864" s="9" t="s">
        <v>1106</v>
      </c>
      <c r="D864" s="15">
        <v>75.510000000000005</v>
      </c>
      <c r="E864" s="13" t="s">
        <v>3028</v>
      </c>
    </row>
    <row r="865" spans="1:5" x14ac:dyDescent="0.25">
      <c r="A865" s="9" t="s">
        <v>1912</v>
      </c>
      <c r="B865" s="10" t="s">
        <v>1109</v>
      </c>
      <c r="C865" s="9" t="s">
        <v>1110</v>
      </c>
      <c r="D865" s="15">
        <v>18.149999999999999</v>
      </c>
      <c r="E865" s="13" t="s">
        <v>3028</v>
      </c>
    </row>
    <row r="866" spans="1:5" x14ac:dyDescent="0.25">
      <c r="A866" s="9" t="s">
        <v>1912</v>
      </c>
      <c r="B866" s="10" t="s">
        <v>1111</v>
      </c>
      <c r="C866" s="9" t="s">
        <v>1112</v>
      </c>
      <c r="D866" s="15">
        <v>12.1</v>
      </c>
      <c r="E866" s="13" t="s">
        <v>3028</v>
      </c>
    </row>
    <row r="867" spans="1:5" x14ac:dyDescent="0.25">
      <c r="A867" s="9" t="s">
        <v>1912</v>
      </c>
      <c r="B867" s="10" t="s">
        <v>1115</v>
      </c>
      <c r="C867" s="9" t="s">
        <v>1116</v>
      </c>
      <c r="D867" s="15">
        <v>77.37</v>
      </c>
      <c r="E867" s="13" t="s">
        <v>3028</v>
      </c>
    </row>
    <row r="868" spans="1:5" x14ac:dyDescent="0.25">
      <c r="A868" s="9" t="s">
        <v>1912</v>
      </c>
      <c r="B868" s="10" t="s">
        <v>1117</v>
      </c>
      <c r="C868" s="9" t="s">
        <v>1118</v>
      </c>
      <c r="D868" s="15">
        <v>75.510000000000005</v>
      </c>
      <c r="E868" s="13" t="s">
        <v>3028</v>
      </c>
    </row>
    <row r="869" spans="1:5" x14ac:dyDescent="0.25">
      <c r="A869" s="9" t="s">
        <v>1912</v>
      </c>
      <c r="B869" s="10" t="s">
        <v>1119</v>
      </c>
      <c r="C869" s="9" t="s">
        <v>1120</v>
      </c>
      <c r="D869" s="15">
        <v>762.51</v>
      </c>
      <c r="E869" s="13" t="s">
        <v>3028</v>
      </c>
    </row>
    <row r="870" spans="1:5" x14ac:dyDescent="0.25">
      <c r="A870" s="9" t="s">
        <v>1912</v>
      </c>
      <c r="B870" s="10" t="s">
        <v>1121</v>
      </c>
      <c r="C870" s="9" t="s">
        <v>1122</v>
      </c>
      <c r="D870" s="15">
        <v>79.23</v>
      </c>
      <c r="E870" s="13" t="s">
        <v>3028</v>
      </c>
    </row>
    <row r="871" spans="1:5" x14ac:dyDescent="0.25">
      <c r="A871" s="9" t="s">
        <v>1912</v>
      </c>
      <c r="B871" s="10" t="s">
        <v>1123</v>
      </c>
      <c r="C871" s="9" t="s">
        <v>1124</v>
      </c>
      <c r="D871" s="15">
        <v>235.89</v>
      </c>
      <c r="E871" s="13" t="s">
        <v>3028</v>
      </c>
    </row>
    <row r="872" spans="1:5" x14ac:dyDescent="0.25">
      <c r="A872" s="9" t="s">
        <v>1912</v>
      </c>
      <c r="B872" s="10" t="s">
        <v>1125</v>
      </c>
      <c r="C872" s="9" t="s">
        <v>1126</v>
      </c>
      <c r="D872" s="15">
        <v>75.510000000000005</v>
      </c>
      <c r="E872" s="13" t="s">
        <v>3028</v>
      </c>
    </row>
    <row r="873" spans="1:5" x14ac:dyDescent="0.25">
      <c r="A873" s="9" t="s">
        <v>1912</v>
      </c>
      <c r="B873" s="10" t="s">
        <v>1127</v>
      </c>
      <c r="C873" s="9" t="s">
        <v>1128</v>
      </c>
      <c r="D873" s="15">
        <v>471.35</v>
      </c>
      <c r="E873" s="13" t="s">
        <v>3028</v>
      </c>
    </row>
    <row r="874" spans="1:5" x14ac:dyDescent="0.25">
      <c r="A874" s="9" t="s">
        <v>1912</v>
      </c>
      <c r="B874" s="10" t="s">
        <v>1131</v>
      </c>
      <c r="C874" s="9" t="s">
        <v>1132</v>
      </c>
      <c r="D874" s="15">
        <v>77.37</v>
      </c>
      <c r="E874" s="13" t="s">
        <v>3028</v>
      </c>
    </row>
    <row r="875" spans="1:5" x14ac:dyDescent="0.25">
      <c r="A875" s="9" t="s">
        <v>1912</v>
      </c>
      <c r="B875" s="10" t="s">
        <v>1139</v>
      </c>
      <c r="C875" s="9" t="s">
        <v>1140</v>
      </c>
      <c r="D875" s="15">
        <v>469.49</v>
      </c>
      <c r="E875" s="13" t="s">
        <v>3028</v>
      </c>
    </row>
    <row r="876" spans="1:5" x14ac:dyDescent="0.25">
      <c r="A876" s="9" t="s">
        <v>1912</v>
      </c>
      <c r="B876" s="10" t="s">
        <v>1143</v>
      </c>
      <c r="C876" s="9" t="s">
        <v>1144</v>
      </c>
      <c r="D876" s="15">
        <v>75.510000000000005</v>
      </c>
      <c r="E876" s="13" t="s">
        <v>3028</v>
      </c>
    </row>
    <row r="877" spans="1:5" x14ac:dyDescent="0.25">
      <c r="A877" s="9" t="s">
        <v>1912</v>
      </c>
      <c r="B877" s="10" t="s">
        <v>1149</v>
      </c>
      <c r="C877" s="9" t="s">
        <v>1150</v>
      </c>
      <c r="D877" s="15">
        <v>850.96</v>
      </c>
      <c r="E877" s="13" t="s">
        <v>3028</v>
      </c>
    </row>
    <row r="878" spans="1:5" x14ac:dyDescent="0.25">
      <c r="A878" s="9" t="s">
        <v>1912</v>
      </c>
      <c r="B878" s="10" t="s">
        <v>1153</v>
      </c>
      <c r="C878" s="9" t="s">
        <v>1154</v>
      </c>
      <c r="D878" s="15">
        <v>75.510000000000005</v>
      </c>
      <c r="E878" s="13" t="s">
        <v>3028</v>
      </c>
    </row>
    <row r="879" spans="1:5" x14ac:dyDescent="0.25">
      <c r="A879" s="9" t="s">
        <v>1912</v>
      </c>
      <c r="B879" s="10" t="s">
        <v>1155</v>
      </c>
      <c r="C879" s="9" t="s">
        <v>1156</v>
      </c>
      <c r="D879" s="15">
        <v>77.37</v>
      </c>
      <c r="E879" s="13" t="s">
        <v>3028</v>
      </c>
    </row>
    <row r="880" spans="1:5" x14ac:dyDescent="0.25">
      <c r="A880" s="9" t="s">
        <v>1912</v>
      </c>
      <c r="B880" s="10" t="s">
        <v>1159</v>
      </c>
      <c r="C880" s="9" t="s">
        <v>1160</v>
      </c>
      <c r="D880" s="15">
        <v>41.82</v>
      </c>
      <c r="E880" s="13" t="s">
        <v>3028</v>
      </c>
    </row>
    <row r="881" spans="1:5" x14ac:dyDescent="0.25">
      <c r="A881" s="9" t="s">
        <v>1912</v>
      </c>
      <c r="B881" s="10" t="s">
        <v>1171</v>
      </c>
      <c r="C881" s="9" t="s">
        <v>1172</v>
      </c>
      <c r="D881" s="15">
        <v>81.09</v>
      </c>
      <c r="E881" s="13" t="s">
        <v>3028</v>
      </c>
    </row>
    <row r="882" spans="1:5" x14ac:dyDescent="0.25">
      <c r="A882" s="9" t="s">
        <v>1912</v>
      </c>
      <c r="B882" s="10" t="s">
        <v>1179</v>
      </c>
      <c r="C882" s="9" t="s">
        <v>1180</v>
      </c>
      <c r="D882" s="15">
        <v>75.510000000000005</v>
      </c>
      <c r="E882" s="13" t="s">
        <v>3028</v>
      </c>
    </row>
    <row r="883" spans="1:5" x14ac:dyDescent="0.25">
      <c r="A883" s="9" t="s">
        <v>1912</v>
      </c>
      <c r="B883" s="10" t="s">
        <v>1181</v>
      </c>
      <c r="C883" s="9" t="s">
        <v>1182</v>
      </c>
      <c r="D883" s="15">
        <v>48.98</v>
      </c>
      <c r="E883" s="13" t="s">
        <v>3028</v>
      </c>
    </row>
    <row r="884" spans="1:5" x14ac:dyDescent="0.25">
      <c r="A884" s="9" t="s">
        <v>1912</v>
      </c>
      <c r="B884" s="10" t="s">
        <v>1183</v>
      </c>
      <c r="C884" s="9" t="s">
        <v>1184</v>
      </c>
      <c r="D884" s="15">
        <v>83.45</v>
      </c>
      <c r="E884" s="13" t="s">
        <v>3028</v>
      </c>
    </row>
    <row r="885" spans="1:5" x14ac:dyDescent="0.25">
      <c r="A885" s="9" t="s">
        <v>1912</v>
      </c>
      <c r="B885" s="10" t="s">
        <v>1185</v>
      </c>
      <c r="C885" s="9" t="s">
        <v>1186</v>
      </c>
      <c r="D885" s="15">
        <v>77.37</v>
      </c>
      <c r="E885" s="13" t="s">
        <v>3028</v>
      </c>
    </row>
    <row r="886" spans="1:5" x14ac:dyDescent="0.25">
      <c r="A886" s="9" t="s">
        <v>1912</v>
      </c>
      <c r="B886" s="10" t="s">
        <v>1191</v>
      </c>
      <c r="C886" s="9" t="s">
        <v>1192</v>
      </c>
      <c r="D886" s="15">
        <v>75.510000000000005</v>
      </c>
      <c r="E886" s="13" t="s">
        <v>3028</v>
      </c>
    </row>
    <row r="887" spans="1:5" x14ac:dyDescent="0.25">
      <c r="A887" s="9" t="s">
        <v>1912</v>
      </c>
      <c r="B887" s="10" t="s">
        <v>1195</v>
      </c>
      <c r="C887" s="9" t="s">
        <v>1196</v>
      </c>
      <c r="D887" s="15">
        <v>54.51</v>
      </c>
      <c r="E887" s="13" t="s">
        <v>3028</v>
      </c>
    </row>
    <row r="888" spans="1:5" x14ac:dyDescent="0.25">
      <c r="A888" s="9" t="s">
        <v>1912</v>
      </c>
      <c r="B888" s="10" t="s">
        <v>1197</v>
      </c>
      <c r="C888" s="9" t="s">
        <v>1198</v>
      </c>
      <c r="D888" s="15">
        <v>77.37</v>
      </c>
      <c r="E888" s="13" t="s">
        <v>3028</v>
      </c>
    </row>
    <row r="889" spans="1:5" x14ac:dyDescent="0.25">
      <c r="A889" s="9" t="s">
        <v>1912</v>
      </c>
      <c r="B889" s="10" t="s">
        <v>1199</v>
      </c>
      <c r="C889" s="9" t="s">
        <v>1200</v>
      </c>
      <c r="D889" s="15">
        <v>81.09</v>
      </c>
      <c r="E889" s="13" t="s">
        <v>3028</v>
      </c>
    </row>
    <row r="890" spans="1:5" x14ac:dyDescent="0.25">
      <c r="A890" s="9" t="s">
        <v>1912</v>
      </c>
      <c r="B890" s="10" t="s">
        <v>1201</v>
      </c>
      <c r="C890" s="9" t="s">
        <v>1202</v>
      </c>
      <c r="D890" s="15">
        <v>264.83</v>
      </c>
      <c r="E890" s="13" t="s">
        <v>3028</v>
      </c>
    </row>
    <row r="891" spans="1:5" x14ac:dyDescent="0.25">
      <c r="A891" s="9" t="s">
        <v>1912</v>
      </c>
      <c r="B891" s="10" t="s">
        <v>1205</v>
      </c>
      <c r="C891" s="9" t="s">
        <v>1206</v>
      </c>
      <c r="D891" s="15">
        <v>28.44</v>
      </c>
      <c r="E891" s="13" t="s">
        <v>3028</v>
      </c>
    </row>
    <row r="892" spans="1:5" x14ac:dyDescent="0.25">
      <c r="A892" s="9" t="s">
        <v>1912</v>
      </c>
      <c r="B892" s="10" t="s">
        <v>1207</v>
      </c>
      <c r="C892" s="9" t="s">
        <v>1208</v>
      </c>
      <c r="D892" s="15">
        <v>79.23</v>
      </c>
      <c r="E892" s="13" t="s">
        <v>3028</v>
      </c>
    </row>
    <row r="893" spans="1:5" x14ac:dyDescent="0.25">
      <c r="A893" s="9" t="s">
        <v>1912</v>
      </c>
      <c r="B893" s="10" t="s">
        <v>1209</v>
      </c>
      <c r="C893" s="9" t="s">
        <v>1210</v>
      </c>
      <c r="D893" s="15">
        <v>1016</v>
      </c>
      <c r="E893" s="13" t="s">
        <v>3028</v>
      </c>
    </row>
    <row r="894" spans="1:5" x14ac:dyDescent="0.25">
      <c r="A894" s="9" t="s">
        <v>1912</v>
      </c>
      <c r="B894" s="10" t="s">
        <v>1213</v>
      </c>
      <c r="C894" s="9" t="s">
        <v>1214</v>
      </c>
      <c r="D894" s="15">
        <v>682.2</v>
      </c>
      <c r="E894" s="13" t="s">
        <v>3028</v>
      </c>
    </row>
    <row r="895" spans="1:5" x14ac:dyDescent="0.25">
      <c r="A895" s="9" t="s">
        <v>1912</v>
      </c>
      <c r="B895" s="10" t="s">
        <v>1219</v>
      </c>
      <c r="C895" s="9" t="s">
        <v>1220</v>
      </c>
      <c r="D895" s="15">
        <v>77.37</v>
      </c>
      <c r="E895" s="13" t="s">
        <v>3028</v>
      </c>
    </row>
    <row r="896" spans="1:5" x14ac:dyDescent="0.25">
      <c r="A896" s="9" t="s">
        <v>1912</v>
      </c>
      <c r="B896" s="10" t="s">
        <v>1221</v>
      </c>
      <c r="C896" s="9" t="s">
        <v>1222</v>
      </c>
      <c r="D896" s="15">
        <v>75.510000000000005</v>
      </c>
      <c r="E896" s="13" t="s">
        <v>3028</v>
      </c>
    </row>
    <row r="897" spans="1:5" x14ac:dyDescent="0.25">
      <c r="A897" s="9" t="s">
        <v>1912</v>
      </c>
      <c r="B897" s="10" t="s">
        <v>1223</v>
      </c>
      <c r="C897" s="9" t="s">
        <v>1224</v>
      </c>
      <c r="D897" s="15">
        <v>81.09</v>
      </c>
      <c r="E897" s="13" t="s">
        <v>3028</v>
      </c>
    </row>
    <row r="898" spans="1:5" x14ac:dyDescent="0.25">
      <c r="A898" s="9" t="s">
        <v>1912</v>
      </c>
      <c r="B898" s="10" t="s">
        <v>1225</v>
      </c>
      <c r="C898" s="9" t="s">
        <v>1226</v>
      </c>
      <c r="D898" s="15">
        <v>229.48</v>
      </c>
      <c r="E898" s="13" t="s">
        <v>3028</v>
      </c>
    </row>
    <row r="899" spans="1:5" x14ac:dyDescent="0.25">
      <c r="A899" s="9" t="s">
        <v>1912</v>
      </c>
      <c r="B899" s="10" t="s">
        <v>1227</v>
      </c>
      <c r="C899" s="9" t="s">
        <v>1228</v>
      </c>
      <c r="D899" s="15">
        <v>79.23</v>
      </c>
      <c r="E899" s="13" t="s">
        <v>3028</v>
      </c>
    </row>
    <row r="900" spans="1:5" x14ac:dyDescent="0.25">
      <c r="A900" s="9" t="s">
        <v>1912</v>
      </c>
      <c r="B900" s="10" t="s">
        <v>1231</v>
      </c>
      <c r="C900" s="9" t="s">
        <v>1232</v>
      </c>
      <c r="D900" s="15">
        <v>68.989999999999995</v>
      </c>
      <c r="E900" s="13" t="s">
        <v>3028</v>
      </c>
    </row>
    <row r="901" spans="1:5" x14ac:dyDescent="0.25">
      <c r="A901" s="9" t="s">
        <v>1912</v>
      </c>
      <c r="B901" s="10" t="s">
        <v>1233</v>
      </c>
      <c r="C901" s="9" t="s">
        <v>1234</v>
      </c>
      <c r="D901" s="15">
        <v>48.48</v>
      </c>
      <c r="E901" s="13" t="s">
        <v>3028</v>
      </c>
    </row>
    <row r="902" spans="1:5" x14ac:dyDescent="0.25">
      <c r="A902" s="9" t="s">
        <v>1912</v>
      </c>
      <c r="B902" s="10" t="s">
        <v>1235</v>
      </c>
      <c r="C902" s="9" t="s">
        <v>1236</v>
      </c>
      <c r="D902" s="15">
        <v>98.65</v>
      </c>
      <c r="E902" s="13" t="s">
        <v>3028</v>
      </c>
    </row>
    <row r="903" spans="1:5" x14ac:dyDescent="0.25">
      <c r="A903" s="9" t="s">
        <v>1912</v>
      </c>
      <c r="B903" s="10" t="s">
        <v>1237</v>
      </c>
      <c r="C903" s="9" t="s">
        <v>1238</v>
      </c>
      <c r="D903" s="15">
        <v>79.23</v>
      </c>
      <c r="E903" s="13" t="s">
        <v>3028</v>
      </c>
    </row>
    <row r="904" spans="1:5" x14ac:dyDescent="0.25">
      <c r="A904" s="9" t="s">
        <v>1912</v>
      </c>
      <c r="B904" s="10" t="s">
        <v>1241</v>
      </c>
      <c r="C904" s="9" t="s">
        <v>1242</v>
      </c>
      <c r="D904" s="15">
        <v>75.510000000000005</v>
      </c>
      <c r="E904" s="13" t="s">
        <v>3028</v>
      </c>
    </row>
    <row r="905" spans="1:5" x14ac:dyDescent="0.25">
      <c r="A905" s="9" t="s">
        <v>1912</v>
      </c>
      <c r="B905" s="10" t="s">
        <v>1243</v>
      </c>
      <c r="C905" s="9" t="s">
        <v>1244</v>
      </c>
      <c r="D905" s="15">
        <v>77.37</v>
      </c>
      <c r="E905" s="13" t="s">
        <v>3028</v>
      </c>
    </row>
    <row r="906" spans="1:5" x14ac:dyDescent="0.25">
      <c r="A906" s="9" t="s">
        <v>1912</v>
      </c>
      <c r="B906" s="10" t="s">
        <v>1245</v>
      </c>
      <c r="C906" s="9" t="s">
        <v>1246</v>
      </c>
      <c r="D906" s="15">
        <v>83.45</v>
      </c>
      <c r="E906" s="13" t="s">
        <v>3028</v>
      </c>
    </row>
    <row r="907" spans="1:5" x14ac:dyDescent="0.25">
      <c r="A907" s="9" t="s">
        <v>1912</v>
      </c>
      <c r="B907" s="10" t="s">
        <v>1249</v>
      </c>
      <c r="C907" s="9" t="s">
        <v>1250</v>
      </c>
      <c r="D907" s="15">
        <v>24.72</v>
      </c>
      <c r="E907" s="13" t="s">
        <v>3028</v>
      </c>
    </row>
    <row r="908" spans="1:5" x14ac:dyDescent="0.25">
      <c r="A908" s="9" t="s">
        <v>1912</v>
      </c>
      <c r="B908" s="10" t="s">
        <v>1253</v>
      </c>
      <c r="C908" s="9" t="s">
        <v>1254</v>
      </c>
      <c r="D908" s="15">
        <v>69.459999999999994</v>
      </c>
      <c r="E908" s="13" t="s">
        <v>3028</v>
      </c>
    </row>
    <row r="909" spans="1:5" x14ac:dyDescent="0.25">
      <c r="A909" s="9" t="s">
        <v>1912</v>
      </c>
      <c r="B909" s="10" t="s">
        <v>1255</v>
      </c>
      <c r="C909" s="9" t="s">
        <v>1256</v>
      </c>
      <c r="D909" s="15">
        <v>79.23</v>
      </c>
      <c r="E909" s="13" t="s">
        <v>3028</v>
      </c>
    </row>
    <row r="910" spans="1:5" x14ac:dyDescent="0.25">
      <c r="A910" s="9" t="s">
        <v>1912</v>
      </c>
      <c r="B910" s="10" t="s">
        <v>1257</v>
      </c>
      <c r="C910" s="9" t="s">
        <v>1258</v>
      </c>
      <c r="D910" s="15">
        <v>79.23</v>
      </c>
      <c r="E910" s="13" t="s">
        <v>3028</v>
      </c>
    </row>
    <row r="911" spans="1:5" x14ac:dyDescent="0.25">
      <c r="A911" s="9" t="s">
        <v>1912</v>
      </c>
      <c r="B911" s="10" t="s">
        <v>1259</v>
      </c>
      <c r="C911" s="9" t="s">
        <v>1260</v>
      </c>
      <c r="D911" s="15">
        <v>359.48</v>
      </c>
      <c r="E911" s="13" t="s">
        <v>3028</v>
      </c>
    </row>
    <row r="912" spans="1:5" x14ac:dyDescent="0.25">
      <c r="A912" s="9" t="s">
        <v>1912</v>
      </c>
      <c r="B912" s="10" t="s">
        <v>1261</v>
      </c>
      <c r="C912" s="9" t="s">
        <v>1262</v>
      </c>
      <c r="D912" s="15">
        <v>98.65</v>
      </c>
      <c r="E912" s="13" t="s">
        <v>3028</v>
      </c>
    </row>
    <row r="913" spans="1:5" x14ac:dyDescent="0.25">
      <c r="A913" s="9" t="s">
        <v>1912</v>
      </c>
      <c r="B913" s="10" t="s">
        <v>1263</v>
      </c>
      <c r="C913" s="9" t="s">
        <v>1264</v>
      </c>
      <c r="D913" s="15">
        <v>75.510000000000005</v>
      </c>
      <c r="E913" s="13" t="s">
        <v>3028</v>
      </c>
    </row>
    <row r="914" spans="1:5" x14ac:dyDescent="0.25">
      <c r="A914" s="9" t="s">
        <v>1912</v>
      </c>
      <c r="B914" s="10" t="s">
        <v>1265</v>
      </c>
      <c r="C914" s="9" t="s">
        <v>1266</v>
      </c>
      <c r="D914" s="15">
        <v>75.510000000000005</v>
      </c>
      <c r="E914" s="13" t="s">
        <v>3028</v>
      </c>
    </row>
    <row r="915" spans="1:5" x14ac:dyDescent="0.25">
      <c r="A915" s="9" t="s">
        <v>1912</v>
      </c>
      <c r="B915" s="10" t="s">
        <v>1271</v>
      </c>
      <c r="C915" s="9" t="s">
        <v>1272</v>
      </c>
      <c r="D915" s="15">
        <v>75.510000000000005</v>
      </c>
      <c r="E915" s="13" t="s">
        <v>3028</v>
      </c>
    </row>
    <row r="916" spans="1:5" x14ac:dyDescent="0.25">
      <c r="A916" s="9" t="s">
        <v>1912</v>
      </c>
      <c r="B916" s="10" t="s">
        <v>1275</v>
      </c>
      <c r="C916" s="9" t="s">
        <v>1276</v>
      </c>
      <c r="D916" s="15">
        <v>30.25</v>
      </c>
      <c r="E916" s="13" t="s">
        <v>3028</v>
      </c>
    </row>
    <row r="917" spans="1:5" x14ac:dyDescent="0.25">
      <c r="A917" s="9" t="s">
        <v>1912</v>
      </c>
      <c r="B917" s="10" t="s">
        <v>1277</v>
      </c>
      <c r="C917" s="9" t="s">
        <v>1278</v>
      </c>
      <c r="D917" s="15">
        <v>42.33</v>
      </c>
      <c r="E917" s="13" t="s">
        <v>3028</v>
      </c>
    </row>
    <row r="918" spans="1:5" x14ac:dyDescent="0.25">
      <c r="A918" s="9" t="s">
        <v>1912</v>
      </c>
      <c r="B918" s="10" t="s">
        <v>1283</v>
      </c>
      <c r="C918" s="9" t="s">
        <v>1284</v>
      </c>
      <c r="D918" s="15">
        <v>75.510000000000005</v>
      </c>
      <c r="E918" s="13" t="s">
        <v>3028</v>
      </c>
    </row>
    <row r="919" spans="1:5" x14ac:dyDescent="0.25">
      <c r="A919" s="9" t="s">
        <v>1912</v>
      </c>
      <c r="B919" s="10" t="s">
        <v>1285</v>
      </c>
      <c r="C919" s="9" t="s">
        <v>1286</v>
      </c>
      <c r="D919" s="15">
        <v>30.25</v>
      </c>
      <c r="E919" s="13" t="s">
        <v>3028</v>
      </c>
    </row>
    <row r="920" spans="1:5" x14ac:dyDescent="0.25">
      <c r="A920" s="9" t="s">
        <v>1912</v>
      </c>
      <c r="B920" s="10" t="s">
        <v>1297</v>
      </c>
      <c r="C920" s="9" t="s">
        <v>1298</v>
      </c>
      <c r="D920" s="15">
        <v>22.86</v>
      </c>
      <c r="E920" s="13" t="s">
        <v>3028</v>
      </c>
    </row>
    <row r="921" spans="1:5" x14ac:dyDescent="0.25">
      <c r="A921" s="9" t="s">
        <v>1912</v>
      </c>
      <c r="B921" s="10" t="s">
        <v>1308</v>
      </c>
      <c r="C921" s="9" t="s">
        <v>1309</v>
      </c>
      <c r="D921" s="15">
        <v>75.510000000000005</v>
      </c>
      <c r="E921" s="13" t="s">
        <v>3028</v>
      </c>
    </row>
    <row r="922" spans="1:5" x14ac:dyDescent="0.25">
      <c r="A922" s="9" t="s">
        <v>1912</v>
      </c>
      <c r="B922" s="10" t="s">
        <v>1312</v>
      </c>
      <c r="C922" s="9" t="s">
        <v>1313</v>
      </c>
      <c r="D922" s="15">
        <v>98.65</v>
      </c>
      <c r="E922" s="13" t="s">
        <v>3028</v>
      </c>
    </row>
    <row r="923" spans="1:5" x14ac:dyDescent="0.25">
      <c r="A923" s="9" t="s">
        <v>1912</v>
      </c>
      <c r="B923" s="10" t="s">
        <v>1316</v>
      </c>
      <c r="C923" s="9" t="s">
        <v>1317</v>
      </c>
      <c r="D923" s="15">
        <v>61.08</v>
      </c>
      <c r="E923" s="13" t="s">
        <v>3028</v>
      </c>
    </row>
    <row r="924" spans="1:5" x14ac:dyDescent="0.25">
      <c r="A924" s="9" t="s">
        <v>1912</v>
      </c>
      <c r="B924" s="10" t="s">
        <v>1322</v>
      </c>
      <c r="C924" s="9" t="s">
        <v>1323</v>
      </c>
      <c r="D924" s="15">
        <v>21</v>
      </c>
      <c r="E924" s="13" t="s">
        <v>3028</v>
      </c>
    </row>
    <row r="925" spans="1:5" x14ac:dyDescent="0.25">
      <c r="A925" s="9" t="s">
        <v>1912</v>
      </c>
      <c r="B925" s="10" t="s">
        <v>1330</v>
      </c>
      <c r="C925" s="9" t="s">
        <v>1331</v>
      </c>
      <c r="D925" s="15">
        <v>77.37</v>
      </c>
      <c r="E925" s="13" t="s">
        <v>3028</v>
      </c>
    </row>
    <row r="926" spans="1:5" x14ac:dyDescent="0.25">
      <c r="A926" s="9" t="s">
        <v>1912</v>
      </c>
      <c r="B926" s="10" t="s">
        <v>1332</v>
      </c>
      <c r="C926" s="9" t="s">
        <v>1333</v>
      </c>
      <c r="D926" s="15">
        <v>57.36</v>
      </c>
      <c r="E926" s="13" t="s">
        <v>3028</v>
      </c>
    </row>
    <row r="927" spans="1:5" x14ac:dyDescent="0.25">
      <c r="A927" s="9" t="s">
        <v>1912</v>
      </c>
      <c r="B927" s="10" t="s">
        <v>1334</v>
      </c>
      <c r="C927" s="9" t="s">
        <v>1335</v>
      </c>
      <c r="D927" s="15">
        <v>30.48</v>
      </c>
      <c r="E927" s="13" t="s">
        <v>3028</v>
      </c>
    </row>
    <row r="928" spans="1:5" x14ac:dyDescent="0.25">
      <c r="A928" s="9" t="s">
        <v>1912</v>
      </c>
      <c r="B928" s="10" t="s">
        <v>1338</v>
      </c>
      <c r="C928" s="9" t="s">
        <v>1339</v>
      </c>
      <c r="D928" s="15">
        <v>75.510000000000005</v>
      </c>
      <c r="E928" s="13" t="s">
        <v>3028</v>
      </c>
    </row>
    <row r="929" spans="1:5" x14ac:dyDescent="0.25">
      <c r="A929" s="9" t="s">
        <v>1912</v>
      </c>
      <c r="B929" s="10" t="s">
        <v>1340</v>
      </c>
      <c r="C929" s="9" t="s">
        <v>1341</v>
      </c>
      <c r="D929" s="15">
        <v>930.65</v>
      </c>
      <c r="E929" s="13" t="s">
        <v>3028</v>
      </c>
    </row>
    <row r="930" spans="1:5" x14ac:dyDescent="0.25">
      <c r="A930" s="9" t="s">
        <v>1912</v>
      </c>
      <c r="B930" s="10" t="s">
        <v>1346</v>
      </c>
      <c r="C930" s="9" t="s">
        <v>1347</v>
      </c>
      <c r="D930" s="15">
        <v>75.510000000000005</v>
      </c>
      <c r="E930" s="13" t="s">
        <v>3028</v>
      </c>
    </row>
    <row r="931" spans="1:5" x14ac:dyDescent="0.25">
      <c r="A931" s="9" t="s">
        <v>1912</v>
      </c>
      <c r="B931" s="10" t="s">
        <v>1357</v>
      </c>
      <c r="C931" s="9" t="s">
        <v>1358</v>
      </c>
      <c r="D931" s="15">
        <v>1025.48</v>
      </c>
      <c r="E931" s="13" t="s">
        <v>3028</v>
      </c>
    </row>
    <row r="932" spans="1:5" x14ac:dyDescent="0.25">
      <c r="A932" s="9" t="s">
        <v>1912</v>
      </c>
      <c r="B932" s="10" t="s">
        <v>1361</v>
      </c>
      <c r="C932" s="9" t="s">
        <v>1362</v>
      </c>
      <c r="D932" s="15">
        <v>75.510000000000005</v>
      </c>
      <c r="E932" s="13" t="s">
        <v>3028</v>
      </c>
    </row>
    <row r="933" spans="1:5" x14ac:dyDescent="0.25">
      <c r="A933" s="9" t="s">
        <v>1912</v>
      </c>
      <c r="B933" s="10" t="s">
        <v>1363</v>
      </c>
      <c r="C933" s="9" t="s">
        <v>1364</v>
      </c>
      <c r="D933" s="15">
        <v>24.2</v>
      </c>
      <c r="E933" s="13" t="s">
        <v>3028</v>
      </c>
    </row>
    <row r="934" spans="1:5" x14ac:dyDescent="0.25">
      <c r="A934" s="9" t="s">
        <v>1912</v>
      </c>
      <c r="B934" s="10" t="s">
        <v>1367</v>
      </c>
      <c r="C934" s="9" t="s">
        <v>1368</v>
      </c>
      <c r="D934" s="15">
        <v>78.3</v>
      </c>
      <c r="E934" s="13" t="s">
        <v>3028</v>
      </c>
    </row>
    <row r="935" spans="1:5" x14ac:dyDescent="0.25">
      <c r="A935" s="9" t="s">
        <v>1912</v>
      </c>
      <c r="B935" s="10" t="s">
        <v>1391</v>
      </c>
      <c r="C935" s="9" t="s">
        <v>1392</v>
      </c>
      <c r="D935" s="15">
        <v>77.37</v>
      </c>
      <c r="E935" s="13" t="s">
        <v>3028</v>
      </c>
    </row>
    <row r="936" spans="1:5" x14ac:dyDescent="0.25">
      <c r="A936" s="9" t="s">
        <v>1912</v>
      </c>
      <c r="B936" s="10" t="s">
        <v>1393</v>
      </c>
      <c r="C936" s="9" t="s">
        <v>1394</v>
      </c>
      <c r="D936" s="15">
        <v>60.58</v>
      </c>
      <c r="E936" s="13" t="s">
        <v>3028</v>
      </c>
    </row>
    <row r="937" spans="1:5" x14ac:dyDescent="0.25">
      <c r="A937" s="9" t="s">
        <v>1912</v>
      </c>
      <c r="B937" s="10" t="s">
        <v>1395</v>
      </c>
      <c r="C937" s="9" t="s">
        <v>1396</v>
      </c>
      <c r="D937" s="15">
        <v>79.23</v>
      </c>
      <c r="E937" s="13" t="s">
        <v>3028</v>
      </c>
    </row>
    <row r="938" spans="1:5" x14ac:dyDescent="0.25">
      <c r="A938" s="9" t="s">
        <v>1912</v>
      </c>
      <c r="B938" s="10" t="s">
        <v>1399</v>
      </c>
      <c r="C938" s="9" t="s">
        <v>1400</v>
      </c>
      <c r="D938" s="15">
        <v>36.32</v>
      </c>
      <c r="E938" s="13" t="s">
        <v>3028</v>
      </c>
    </row>
    <row r="939" spans="1:5" x14ac:dyDescent="0.25">
      <c r="A939" s="9" t="s">
        <v>1912</v>
      </c>
      <c r="B939" s="10" t="s">
        <v>1403</v>
      </c>
      <c r="C939" s="9" t="s">
        <v>1404</v>
      </c>
      <c r="D939" s="15">
        <v>77.37</v>
      </c>
      <c r="E939" s="13" t="s">
        <v>3028</v>
      </c>
    </row>
    <row r="940" spans="1:5" x14ac:dyDescent="0.25">
      <c r="A940" s="9" t="s">
        <v>1912</v>
      </c>
      <c r="B940" s="10" t="s">
        <v>1405</v>
      </c>
      <c r="C940" s="9" t="s">
        <v>1406</v>
      </c>
      <c r="D940" s="15">
        <v>81.09</v>
      </c>
      <c r="E940" s="13" t="s">
        <v>3028</v>
      </c>
    </row>
    <row r="941" spans="1:5" x14ac:dyDescent="0.25">
      <c r="A941" s="9" t="s">
        <v>1912</v>
      </c>
      <c r="B941" s="10" t="s">
        <v>1407</v>
      </c>
      <c r="C941" s="9" t="s">
        <v>1408</v>
      </c>
      <c r="D941" s="15">
        <v>12.1</v>
      </c>
      <c r="E941" s="13" t="s">
        <v>3028</v>
      </c>
    </row>
    <row r="942" spans="1:5" x14ac:dyDescent="0.25">
      <c r="A942" s="9" t="s">
        <v>1912</v>
      </c>
      <c r="B942" s="10" t="s">
        <v>1409</v>
      </c>
      <c r="C942" s="9" t="s">
        <v>1410</v>
      </c>
      <c r="D942" s="15">
        <v>81.09</v>
      </c>
      <c r="E942" s="13" t="s">
        <v>3028</v>
      </c>
    </row>
    <row r="943" spans="1:5" x14ac:dyDescent="0.25">
      <c r="A943" s="9" t="s">
        <v>1912</v>
      </c>
      <c r="B943" s="10" t="s">
        <v>1415</v>
      </c>
      <c r="C943" s="9" t="s">
        <v>1416</v>
      </c>
      <c r="D943" s="15">
        <v>75.510000000000005</v>
      </c>
      <c r="E943" s="13" t="s">
        <v>3028</v>
      </c>
    </row>
    <row r="944" spans="1:5" x14ac:dyDescent="0.25">
      <c r="A944" s="9" t="s">
        <v>1912</v>
      </c>
      <c r="B944" s="10" t="s">
        <v>1419</v>
      </c>
      <c r="C944" s="9" t="s">
        <v>1420</v>
      </c>
      <c r="D944" s="15">
        <v>79.23</v>
      </c>
      <c r="E944" s="13" t="s">
        <v>3028</v>
      </c>
    </row>
    <row r="945" spans="1:5" x14ac:dyDescent="0.25">
      <c r="A945" s="9" t="s">
        <v>1912</v>
      </c>
      <c r="B945" s="10" t="s">
        <v>1423</v>
      </c>
      <c r="C945" s="9" t="s">
        <v>1424</v>
      </c>
      <c r="D945" s="15">
        <v>77.37</v>
      </c>
      <c r="E945" s="13" t="s">
        <v>3028</v>
      </c>
    </row>
    <row r="946" spans="1:5" x14ac:dyDescent="0.25">
      <c r="A946" s="9" t="s">
        <v>1912</v>
      </c>
      <c r="B946" s="10" t="s">
        <v>1444</v>
      </c>
      <c r="C946" s="9" t="s">
        <v>1445</v>
      </c>
      <c r="D946" s="15">
        <v>68.989999999999995</v>
      </c>
      <c r="E946" s="13" t="s">
        <v>3028</v>
      </c>
    </row>
    <row r="947" spans="1:5" x14ac:dyDescent="0.25">
      <c r="A947" s="9" t="s">
        <v>1912</v>
      </c>
      <c r="B947" s="10" t="s">
        <v>1448</v>
      </c>
      <c r="C947" s="9" t="s">
        <v>1449</v>
      </c>
      <c r="D947" s="15">
        <v>1016</v>
      </c>
      <c r="E947" s="13" t="s">
        <v>3028</v>
      </c>
    </row>
    <row r="948" spans="1:5" x14ac:dyDescent="0.25">
      <c r="A948" s="9" t="s">
        <v>1912</v>
      </c>
      <c r="B948" s="10" t="s">
        <v>1450</v>
      </c>
      <c r="C948" s="9" t="s">
        <v>1451</v>
      </c>
      <c r="D948" s="15">
        <v>82.95</v>
      </c>
      <c r="E948" s="13" t="s">
        <v>3028</v>
      </c>
    </row>
    <row r="949" spans="1:5" x14ac:dyDescent="0.25">
      <c r="A949" s="9" t="s">
        <v>1912</v>
      </c>
      <c r="B949" s="10" t="s">
        <v>1454</v>
      </c>
      <c r="C949" s="9" t="s">
        <v>1455</v>
      </c>
      <c r="D949" s="15">
        <v>48.98</v>
      </c>
      <c r="E949" s="13" t="s">
        <v>3028</v>
      </c>
    </row>
    <row r="950" spans="1:5" x14ac:dyDescent="0.25">
      <c r="A950" s="9" t="s">
        <v>1912</v>
      </c>
      <c r="B950" s="10" t="s">
        <v>1456</v>
      </c>
      <c r="C950" s="9" t="s">
        <v>1457</v>
      </c>
      <c r="D950" s="15">
        <v>24.2</v>
      </c>
      <c r="E950" s="13" t="s">
        <v>3028</v>
      </c>
    </row>
    <row r="951" spans="1:5" x14ac:dyDescent="0.25">
      <c r="A951" s="9" t="s">
        <v>1912</v>
      </c>
      <c r="B951" s="10" t="s">
        <v>1458</v>
      </c>
      <c r="C951" s="9" t="s">
        <v>1459</v>
      </c>
      <c r="D951" s="15">
        <v>62.94</v>
      </c>
      <c r="E951" s="13" t="s">
        <v>3028</v>
      </c>
    </row>
    <row r="952" spans="1:5" x14ac:dyDescent="0.25">
      <c r="A952" s="9" t="s">
        <v>1912</v>
      </c>
      <c r="B952" s="10" t="s">
        <v>1460</v>
      </c>
      <c r="C952" s="9" t="s">
        <v>1461</v>
      </c>
      <c r="D952" s="15">
        <v>1017.86</v>
      </c>
      <c r="E952" s="13" t="s">
        <v>3028</v>
      </c>
    </row>
    <row r="953" spans="1:5" x14ac:dyDescent="0.25">
      <c r="A953" s="9" t="s">
        <v>1912</v>
      </c>
      <c r="B953" s="10" t="s">
        <v>1462</v>
      </c>
      <c r="C953" s="9" t="s">
        <v>1463</v>
      </c>
      <c r="D953" s="15">
        <v>84.99</v>
      </c>
      <c r="E953" s="13" t="s">
        <v>3028</v>
      </c>
    </row>
    <row r="954" spans="1:5" x14ac:dyDescent="0.25">
      <c r="A954" s="9" t="s">
        <v>1912</v>
      </c>
      <c r="B954" s="10" t="s">
        <v>1468</v>
      </c>
      <c r="C954" s="9" t="s">
        <v>1469</v>
      </c>
      <c r="D954" s="15">
        <v>75.510000000000005</v>
      </c>
      <c r="E954" s="13" t="s">
        <v>3028</v>
      </c>
    </row>
    <row r="955" spans="1:5" x14ac:dyDescent="0.25">
      <c r="A955" s="9" t="s">
        <v>1912</v>
      </c>
      <c r="B955" s="10" t="s">
        <v>1474</v>
      </c>
      <c r="C955" s="9" t="s">
        <v>1475</v>
      </c>
      <c r="D955" s="15">
        <v>467.63</v>
      </c>
      <c r="E955" s="13" t="s">
        <v>3028</v>
      </c>
    </row>
    <row r="956" spans="1:5" x14ac:dyDescent="0.25">
      <c r="A956" s="9" t="s">
        <v>1912</v>
      </c>
      <c r="B956" s="10" t="s">
        <v>1476</v>
      </c>
      <c r="C956" s="9" t="s">
        <v>1477</v>
      </c>
      <c r="D956" s="15">
        <v>57.36</v>
      </c>
      <c r="E956" s="13" t="s">
        <v>3028</v>
      </c>
    </row>
    <row r="957" spans="1:5" x14ac:dyDescent="0.25">
      <c r="A957" s="9" t="s">
        <v>1912</v>
      </c>
      <c r="B957" s="10" t="s">
        <v>1478</v>
      </c>
      <c r="C957" s="9" t="s">
        <v>1479</v>
      </c>
      <c r="D957" s="15">
        <v>82.95</v>
      </c>
      <c r="E957" s="13" t="s">
        <v>3028</v>
      </c>
    </row>
    <row r="958" spans="1:5" x14ac:dyDescent="0.25">
      <c r="A958" s="9" t="s">
        <v>1912</v>
      </c>
      <c r="B958" s="10" t="s">
        <v>1482</v>
      </c>
      <c r="C958" s="9" t="s">
        <v>1483</v>
      </c>
      <c r="D958" s="15">
        <v>82.95</v>
      </c>
      <c r="E958" s="13" t="s">
        <v>3028</v>
      </c>
    </row>
    <row r="959" spans="1:5" x14ac:dyDescent="0.25">
      <c r="A959" s="9" t="s">
        <v>1912</v>
      </c>
      <c r="B959" s="10" t="s">
        <v>1484</v>
      </c>
      <c r="C959" s="9" t="s">
        <v>1485</v>
      </c>
      <c r="D959" s="15">
        <v>81.09</v>
      </c>
      <c r="E959" s="13" t="s">
        <v>3028</v>
      </c>
    </row>
    <row r="960" spans="1:5" x14ac:dyDescent="0.25">
      <c r="A960" s="9" t="s">
        <v>1912</v>
      </c>
      <c r="B960" s="10" t="s">
        <v>1486</v>
      </c>
      <c r="C960" s="9" t="s">
        <v>1487</v>
      </c>
      <c r="D960" s="15">
        <v>79.23</v>
      </c>
      <c r="E960" s="13" t="s">
        <v>3028</v>
      </c>
    </row>
    <row r="961" spans="1:5" x14ac:dyDescent="0.25">
      <c r="A961" s="9" t="s">
        <v>1912</v>
      </c>
      <c r="B961" s="10" t="s">
        <v>1496</v>
      </c>
      <c r="C961" s="9" t="s">
        <v>1497</v>
      </c>
      <c r="D961" s="15">
        <v>48.98</v>
      </c>
      <c r="E961" s="13" t="s">
        <v>3028</v>
      </c>
    </row>
    <row r="962" spans="1:5" x14ac:dyDescent="0.25">
      <c r="A962" s="9" t="s">
        <v>1912</v>
      </c>
      <c r="B962" s="10" t="s">
        <v>1504</v>
      </c>
      <c r="C962" s="9" t="s">
        <v>1505</v>
      </c>
      <c r="D962" s="15">
        <v>48.98</v>
      </c>
      <c r="E962" s="13" t="s">
        <v>3028</v>
      </c>
    </row>
    <row r="963" spans="1:5" x14ac:dyDescent="0.25">
      <c r="A963" s="9" t="s">
        <v>1912</v>
      </c>
      <c r="B963" s="10" t="s">
        <v>1508</v>
      </c>
      <c r="C963" s="9" t="s">
        <v>1509</v>
      </c>
      <c r="D963" s="15">
        <v>75.510000000000005</v>
      </c>
      <c r="E963" s="13" t="s">
        <v>3028</v>
      </c>
    </row>
    <row r="964" spans="1:5" x14ac:dyDescent="0.25">
      <c r="A964" s="9" t="s">
        <v>1912</v>
      </c>
      <c r="B964" s="10" t="s">
        <v>1510</v>
      </c>
      <c r="C964" s="9" t="s">
        <v>1511</v>
      </c>
      <c r="D964" s="15">
        <v>266.69</v>
      </c>
      <c r="E964" s="13" t="s">
        <v>3028</v>
      </c>
    </row>
    <row r="965" spans="1:5" x14ac:dyDescent="0.25">
      <c r="A965" s="9" t="s">
        <v>1912</v>
      </c>
      <c r="B965" s="10" t="s">
        <v>1526</v>
      </c>
      <c r="C965" s="9" t="s">
        <v>1527</v>
      </c>
      <c r="D965" s="15">
        <v>41.82</v>
      </c>
      <c r="E965" s="13" t="s">
        <v>3028</v>
      </c>
    </row>
    <row r="966" spans="1:5" x14ac:dyDescent="0.25">
      <c r="A966" s="9" t="s">
        <v>1912</v>
      </c>
      <c r="B966" s="10" t="s">
        <v>1544</v>
      </c>
      <c r="C966" s="9" t="s">
        <v>1545</v>
      </c>
      <c r="D966" s="15">
        <v>24.72</v>
      </c>
      <c r="E966" s="13" t="s">
        <v>3028</v>
      </c>
    </row>
    <row r="967" spans="1:5" x14ac:dyDescent="0.25">
      <c r="A967" s="9" t="s">
        <v>1912</v>
      </c>
      <c r="B967" s="10" t="s">
        <v>1552</v>
      </c>
      <c r="C967" s="9" t="s">
        <v>1553</v>
      </c>
      <c r="D967" s="15">
        <v>54.51</v>
      </c>
      <c r="E967" s="13" t="s">
        <v>3028</v>
      </c>
    </row>
    <row r="968" spans="1:5" x14ac:dyDescent="0.25">
      <c r="A968" s="9" t="s">
        <v>1912</v>
      </c>
      <c r="B968" s="10" t="s">
        <v>1556</v>
      </c>
      <c r="C968" s="9" t="s">
        <v>1557</v>
      </c>
      <c r="D968" s="15">
        <v>565.77</v>
      </c>
      <c r="E968" s="13" t="s">
        <v>3028</v>
      </c>
    </row>
    <row r="969" spans="1:5" x14ac:dyDescent="0.25">
      <c r="A969" s="9" t="s">
        <v>1912</v>
      </c>
      <c r="B969" s="10" t="s">
        <v>1558</v>
      </c>
      <c r="C969" s="9" t="s">
        <v>1559</v>
      </c>
      <c r="D969" s="15">
        <v>79.23</v>
      </c>
      <c r="E969" s="13" t="s">
        <v>3028</v>
      </c>
    </row>
    <row r="970" spans="1:5" x14ac:dyDescent="0.25">
      <c r="A970" s="9" t="s">
        <v>1912</v>
      </c>
      <c r="B970" s="10" t="s">
        <v>1560</v>
      </c>
      <c r="C970" s="9" t="s">
        <v>1561</v>
      </c>
      <c r="D970" s="15">
        <v>75.510000000000005</v>
      </c>
      <c r="E970" s="13" t="s">
        <v>3028</v>
      </c>
    </row>
    <row r="971" spans="1:5" x14ac:dyDescent="0.25">
      <c r="A971" s="9" t="s">
        <v>1912</v>
      </c>
      <c r="B971" s="10" t="s">
        <v>1570</v>
      </c>
      <c r="C971" s="9" t="s">
        <v>1571</v>
      </c>
      <c r="D971" s="15">
        <v>67.11</v>
      </c>
      <c r="E971" s="13" t="s">
        <v>3028</v>
      </c>
    </row>
    <row r="972" spans="1:5" x14ac:dyDescent="0.25">
      <c r="A972" s="9" t="s">
        <v>1912</v>
      </c>
      <c r="B972" s="10" t="s">
        <v>1572</v>
      </c>
      <c r="C972" s="9" t="s">
        <v>1573</v>
      </c>
      <c r="D972" s="15">
        <v>96.33</v>
      </c>
      <c r="E972" s="13" t="s">
        <v>3028</v>
      </c>
    </row>
    <row r="973" spans="1:5" x14ac:dyDescent="0.25">
      <c r="A973" s="9" t="s">
        <v>1912</v>
      </c>
      <c r="B973" s="10" t="s">
        <v>1574</v>
      </c>
      <c r="C973" s="9" t="s">
        <v>1575</v>
      </c>
      <c r="D973" s="15">
        <v>77.37</v>
      </c>
      <c r="E973" s="13" t="s">
        <v>3028</v>
      </c>
    </row>
    <row r="974" spans="1:5" x14ac:dyDescent="0.25">
      <c r="A974" s="9" t="s">
        <v>1912</v>
      </c>
      <c r="B974" s="10" t="s">
        <v>1578</v>
      </c>
      <c r="C974" s="9" t="s">
        <v>1579</v>
      </c>
      <c r="D974" s="15">
        <v>79.23</v>
      </c>
      <c r="E974" s="13" t="s">
        <v>3028</v>
      </c>
    </row>
    <row r="975" spans="1:5" x14ac:dyDescent="0.25">
      <c r="A975" s="9" t="s">
        <v>1912</v>
      </c>
      <c r="B975" s="10" t="s">
        <v>1582</v>
      </c>
      <c r="C975" s="9" t="s">
        <v>1583</v>
      </c>
      <c r="D975" s="15">
        <v>79.23</v>
      </c>
      <c r="E975" s="13" t="s">
        <v>3028</v>
      </c>
    </row>
    <row r="976" spans="1:5" x14ac:dyDescent="0.25">
      <c r="A976" s="9" t="s">
        <v>1912</v>
      </c>
      <c r="B976" s="10" t="s">
        <v>1588</v>
      </c>
      <c r="C976" s="9" t="s">
        <v>1589</v>
      </c>
      <c r="D976" s="15">
        <v>18.149999999999999</v>
      </c>
      <c r="E976" s="13" t="s">
        <v>3028</v>
      </c>
    </row>
    <row r="977" spans="1:5" x14ac:dyDescent="0.25">
      <c r="A977" s="9" t="s">
        <v>1912</v>
      </c>
      <c r="B977" s="10" t="s">
        <v>1590</v>
      </c>
      <c r="C977" s="9" t="s">
        <v>1591</v>
      </c>
      <c r="D977" s="15">
        <v>75.510000000000005</v>
      </c>
      <c r="E977" s="13" t="s">
        <v>3028</v>
      </c>
    </row>
    <row r="978" spans="1:5" x14ac:dyDescent="0.25">
      <c r="A978" s="9" t="s">
        <v>1912</v>
      </c>
      <c r="B978" s="10" t="s">
        <v>1592</v>
      </c>
      <c r="C978" s="9" t="s">
        <v>1593</v>
      </c>
      <c r="D978" s="15">
        <v>79.23</v>
      </c>
      <c r="E978" s="13" t="s">
        <v>3028</v>
      </c>
    </row>
    <row r="979" spans="1:5" x14ac:dyDescent="0.25">
      <c r="A979" s="9" t="s">
        <v>1912</v>
      </c>
      <c r="B979" s="10" t="s">
        <v>1598</v>
      </c>
      <c r="C979" s="9" t="s">
        <v>1599</v>
      </c>
      <c r="D979" s="15">
        <v>79.23</v>
      </c>
      <c r="E979" s="13" t="s">
        <v>3028</v>
      </c>
    </row>
    <row r="980" spans="1:5" x14ac:dyDescent="0.25">
      <c r="A980" s="9" t="s">
        <v>1912</v>
      </c>
      <c r="B980" s="10" t="s">
        <v>1600</v>
      </c>
      <c r="C980" s="9" t="s">
        <v>1601</v>
      </c>
      <c r="D980" s="15">
        <v>75.510000000000005</v>
      </c>
      <c r="E980" s="13" t="s">
        <v>3028</v>
      </c>
    </row>
    <row r="981" spans="1:5" x14ac:dyDescent="0.25">
      <c r="A981" s="9" t="s">
        <v>1912</v>
      </c>
      <c r="B981" s="10" t="s">
        <v>1607</v>
      </c>
      <c r="C981" s="9" t="s">
        <v>1608</v>
      </c>
      <c r="D981" s="15">
        <v>467.63</v>
      </c>
      <c r="E981" s="13" t="s">
        <v>3028</v>
      </c>
    </row>
    <row r="982" spans="1:5" x14ac:dyDescent="0.25">
      <c r="A982" s="9" t="s">
        <v>1912</v>
      </c>
      <c r="B982" s="10" t="s">
        <v>1609</v>
      </c>
      <c r="C982" s="9" t="s">
        <v>1610</v>
      </c>
      <c r="D982" s="15">
        <v>75.510000000000005</v>
      </c>
      <c r="E982" s="13" t="s">
        <v>3028</v>
      </c>
    </row>
    <row r="983" spans="1:5" x14ac:dyDescent="0.25">
      <c r="A983" s="9" t="s">
        <v>1912</v>
      </c>
      <c r="B983" s="10" t="s">
        <v>1613</v>
      </c>
      <c r="C983" s="9" t="s">
        <v>1614</v>
      </c>
      <c r="D983" s="15">
        <v>84.99</v>
      </c>
      <c r="E983" s="13" t="s">
        <v>3028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E7"/>
  <sheetViews>
    <sheetView topLeftCell="B1" workbookViewId="0">
      <selection activeCell="D3" sqref="D3"/>
    </sheetView>
  </sheetViews>
  <sheetFormatPr defaultRowHeight="15" x14ac:dyDescent="0.25"/>
  <cols>
    <col min="1" max="1" width="11.875" hidden="1" customWidth="1"/>
    <col min="2" max="2" width="16.25" style="10" customWidth="1"/>
    <col min="3" max="3" width="32.125" style="10" customWidth="1"/>
    <col min="4" max="4" width="11.125" style="10" customWidth="1"/>
  </cols>
  <sheetData>
    <row r="1" spans="1:5" ht="47.85" customHeight="1" x14ac:dyDescent="0.25">
      <c r="A1" s="23" t="s">
        <v>58</v>
      </c>
      <c r="B1" s="23"/>
      <c r="C1" s="23"/>
      <c r="D1" s="23"/>
    </row>
    <row r="2" spans="1:5" ht="60" x14ac:dyDescent="0.25">
      <c r="A2" s="12"/>
      <c r="B2" s="12" t="s">
        <v>59</v>
      </c>
      <c r="C2" s="12" t="s">
        <v>10</v>
      </c>
      <c r="D2" s="12" t="s">
        <v>60</v>
      </c>
    </row>
    <row r="3" spans="1:5" x14ac:dyDescent="0.25">
      <c r="A3">
        <v>96071036534</v>
      </c>
      <c r="B3" s="10" t="s">
        <v>1621</v>
      </c>
      <c r="C3" s="10" t="s">
        <v>1622</v>
      </c>
      <c r="D3" s="10" t="s">
        <v>1623</v>
      </c>
      <c r="E3" t="s">
        <v>3028</v>
      </c>
    </row>
    <row r="4" spans="1:5" x14ac:dyDescent="0.25">
      <c r="A4">
        <v>92361048868</v>
      </c>
      <c r="B4" s="10" t="s">
        <v>1892</v>
      </c>
      <c r="C4" s="10" t="s">
        <v>1893</v>
      </c>
      <c r="D4" s="10" t="s">
        <v>1894</v>
      </c>
      <c r="E4" t="s">
        <v>3028</v>
      </c>
    </row>
    <row r="5" spans="1:5" x14ac:dyDescent="0.25">
      <c r="A5">
        <v>35262518869</v>
      </c>
      <c r="B5" s="10" t="s">
        <v>1895</v>
      </c>
      <c r="C5" s="10" t="s">
        <v>1896</v>
      </c>
      <c r="D5" s="10" t="s">
        <v>83</v>
      </c>
      <c r="E5" t="s">
        <v>3028</v>
      </c>
    </row>
    <row r="6" spans="1:5" x14ac:dyDescent="0.25">
      <c r="A6">
        <v>98620363620</v>
      </c>
      <c r="B6" s="10" t="s">
        <v>1908</v>
      </c>
      <c r="C6" s="10" t="s">
        <v>1909</v>
      </c>
      <c r="D6" s="10" t="s">
        <v>1910</v>
      </c>
      <c r="E6" t="s">
        <v>3028</v>
      </c>
    </row>
    <row r="7" spans="1:5" x14ac:dyDescent="0.25">
      <c r="A7">
        <v>60005688949</v>
      </c>
      <c r="B7" s="10" t="s">
        <v>1911</v>
      </c>
      <c r="C7" s="10" t="s">
        <v>1912</v>
      </c>
      <c r="D7" s="10" t="s">
        <v>1913</v>
      </c>
      <c r="E7" t="s">
        <v>3028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4" t="s">
        <v>57</v>
      </c>
      <c r="B1" s="24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B2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2" ht="47.85" customHeight="1" x14ac:dyDescent="0.25">
      <c r="A1" s="24" t="s">
        <v>56</v>
      </c>
      <c r="B1" s="24"/>
    </row>
    <row r="2" spans="1:2" ht="24" x14ac:dyDescent="0.25">
      <c r="A2" s="4" t="s">
        <v>0</v>
      </c>
      <c r="B2" s="14" t="str">
        <f>CONCATENATE("Valor pago no Ano",CHAR(10),"TOTAL: ",ROUND(SUM(B3:B1048576),2))</f>
        <v>Valor pago no Ano
TOTAL: 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D1518"/>
  <sheetViews>
    <sheetView workbookViewId="0">
      <selection activeCell="B3" sqref="B3"/>
    </sheetView>
  </sheetViews>
  <sheetFormatPr defaultRowHeight="15" x14ac:dyDescent="0.25"/>
  <cols>
    <col min="1" max="1" width="23.75" style="10" customWidth="1"/>
    <col min="2" max="2" width="42.5" style="15" customWidth="1"/>
  </cols>
  <sheetData>
    <row r="1" spans="1:3" ht="47.85" customHeight="1" x14ac:dyDescent="0.25">
      <c r="A1" s="25" t="s">
        <v>55</v>
      </c>
      <c r="B1" s="25"/>
    </row>
    <row r="2" spans="1:3" ht="24" x14ac:dyDescent="0.25">
      <c r="A2" s="4" t="s">
        <v>0</v>
      </c>
      <c r="B2" s="14" t="str">
        <f>CONCATENATE("Valor pago no Ano",CHAR(10),"TOTAL: ",ROUND(SUM(B3:B1048576),2))</f>
        <v>Valor pago no Ano
TOTAL: 178229,31</v>
      </c>
    </row>
    <row r="3" spans="1:3" x14ac:dyDescent="0.25">
      <c r="A3" s="10" t="s">
        <v>93</v>
      </c>
      <c r="B3" s="15">
        <v>0</v>
      </c>
      <c r="C3" t="s">
        <v>3028</v>
      </c>
    </row>
    <row r="4" spans="1:3" x14ac:dyDescent="0.25">
      <c r="A4" s="10" t="s">
        <v>93</v>
      </c>
      <c r="B4" s="15">
        <v>0</v>
      </c>
      <c r="C4" t="s">
        <v>3028</v>
      </c>
    </row>
    <row r="5" spans="1:3" x14ac:dyDescent="0.25">
      <c r="A5" s="10" t="s">
        <v>95</v>
      </c>
      <c r="B5" s="15">
        <v>0</v>
      </c>
      <c r="C5" t="s">
        <v>3028</v>
      </c>
    </row>
    <row r="6" spans="1:3" x14ac:dyDescent="0.25">
      <c r="A6" s="10" t="s">
        <v>95</v>
      </c>
      <c r="B6" s="15">
        <v>0</v>
      </c>
      <c r="C6" t="s">
        <v>3028</v>
      </c>
    </row>
    <row r="7" spans="1:3" x14ac:dyDescent="0.25">
      <c r="A7" s="10" t="s">
        <v>97</v>
      </c>
      <c r="B7" s="15">
        <v>0</v>
      </c>
      <c r="C7" t="s">
        <v>3028</v>
      </c>
    </row>
    <row r="8" spans="1:3" x14ac:dyDescent="0.25">
      <c r="A8" s="10" t="s">
        <v>97</v>
      </c>
      <c r="B8" s="15">
        <v>0</v>
      </c>
      <c r="C8" t="s">
        <v>3028</v>
      </c>
    </row>
    <row r="9" spans="1:3" x14ac:dyDescent="0.25">
      <c r="A9" s="10" t="s">
        <v>99</v>
      </c>
      <c r="B9" s="15">
        <v>0</v>
      </c>
      <c r="C9" t="s">
        <v>3028</v>
      </c>
    </row>
    <row r="10" spans="1:3" x14ac:dyDescent="0.25">
      <c r="A10" s="10" t="s">
        <v>99</v>
      </c>
      <c r="B10" s="15">
        <v>0</v>
      </c>
      <c r="C10" t="s">
        <v>3028</v>
      </c>
    </row>
    <row r="11" spans="1:3" x14ac:dyDescent="0.25">
      <c r="A11" s="10" t="s">
        <v>101</v>
      </c>
      <c r="B11" s="15">
        <v>0</v>
      </c>
      <c r="C11" t="s">
        <v>3028</v>
      </c>
    </row>
    <row r="12" spans="1:3" x14ac:dyDescent="0.25">
      <c r="A12" s="10" t="s">
        <v>101</v>
      </c>
      <c r="B12" s="15">
        <v>0</v>
      </c>
      <c r="C12" t="s">
        <v>3028</v>
      </c>
    </row>
    <row r="13" spans="1:3" x14ac:dyDescent="0.25">
      <c r="A13" s="10" t="s">
        <v>103</v>
      </c>
      <c r="B13" s="15">
        <v>0</v>
      </c>
      <c r="C13" t="s">
        <v>3028</v>
      </c>
    </row>
    <row r="14" spans="1:3" x14ac:dyDescent="0.25">
      <c r="A14" s="10" t="s">
        <v>103</v>
      </c>
      <c r="B14" s="15">
        <v>0</v>
      </c>
      <c r="C14" t="s">
        <v>3028</v>
      </c>
    </row>
    <row r="15" spans="1:3" x14ac:dyDescent="0.25">
      <c r="A15" s="10" t="s">
        <v>105</v>
      </c>
      <c r="B15" s="15">
        <v>0</v>
      </c>
      <c r="C15" t="s">
        <v>3028</v>
      </c>
    </row>
    <row r="16" spans="1:3" x14ac:dyDescent="0.25">
      <c r="A16" s="10" t="s">
        <v>105</v>
      </c>
      <c r="B16" s="15">
        <v>0</v>
      </c>
      <c r="C16" t="s">
        <v>3028</v>
      </c>
    </row>
    <row r="17" spans="1:3" x14ac:dyDescent="0.25">
      <c r="A17" s="10" t="s">
        <v>107</v>
      </c>
      <c r="B17" s="15">
        <v>0</v>
      </c>
      <c r="C17" t="s">
        <v>3028</v>
      </c>
    </row>
    <row r="18" spans="1:3" x14ac:dyDescent="0.25">
      <c r="A18" s="10" t="s">
        <v>107</v>
      </c>
      <c r="B18" s="15">
        <v>0</v>
      </c>
      <c r="C18" t="s">
        <v>3028</v>
      </c>
    </row>
    <row r="19" spans="1:3" x14ac:dyDescent="0.25">
      <c r="A19" s="10" t="s">
        <v>109</v>
      </c>
      <c r="B19" s="15">
        <v>0</v>
      </c>
      <c r="C19" t="s">
        <v>3028</v>
      </c>
    </row>
    <row r="20" spans="1:3" x14ac:dyDescent="0.25">
      <c r="A20" s="10" t="s">
        <v>109</v>
      </c>
      <c r="B20" s="15">
        <v>0</v>
      </c>
      <c r="C20" t="s">
        <v>3028</v>
      </c>
    </row>
    <row r="21" spans="1:3" x14ac:dyDescent="0.25">
      <c r="A21" s="10" t="s">
        <v>111</v>
      </c>
      <c r="B21" s="15">
        <v>0</v>
      </c>
      <c r="C21" t="s">
        <v>3028</v>
      </c>
    </row>
    <row r="22" spans="1:3" x14ac:dyDescent="0.25">
      <c r="A22" s="10" t="s">
        <v>111</v>
      </c>
      <c r="B22" s="15">
        <v>0</v>
      </c>
      <c r="C22" t="s">
        <v>3028</v>
      </c>
    </row>
    <row r="23" spans="1:3" x14ac:dyDescent="0.25">
      <c r="A23" s="10" t="s">
        <v>113</v>
      </c>
      <c r="B23" s="15">
        <v>0</v>
      </c>
      <c r="C23" t="s">
        <v>3028</v>
      </c>
    </row>
    <row r="24" spans="1:3" x14ac:dyDescent="0.25">
      <c r="A24" s="10" t="s">
        <v>113</v>
      </c>
      <c r="B24" s="15">
        <v>0</v>
      </c>
      <c r="C24" t="s">
        <v>3028</v>
      </c>
    </row>
    <row r="25" spans="1:3" x14ac:dyDescent="0.25">
      <c r="A25" s="10" t="s">
        <v>115</v>
      </c>
      <c r="B25" s="15">
        <v>0</v>
      </c>
      <c r="C25" t="s">
        <v>3028</v>
      </c>
    </row>
    <row r="26" spans="1:3" x14ac:dyDescent="0.25">
      <c r="A26" s="10" t="s">
        <v>115</v>
      </c>
      <c r="B26" s="15">
        <v>0</v>
      </c>
      <c r="C26" t="s">
        <v>3028</v>
      </c>
    </row>
    <row r="27" spans="1:3" x14ac:dyDescent="0.25">
      <c r="A27" s="10" t="s">
        <v>117</v>
      </c>
      <c r="B27" s="15">
        <v>0</v>
      </c>
      <c r="C27" t="s">
        <v>3028</v>
      </c>
    </row>
    <row r="28" spans="1:3" x14ac:dyDescent="0.25">
      <c r="A28" s="10" t="s">
        <v>117</v>
      </c>
      <c r="B28" s="15">
        <v>0</v>
      </c>
      <c r="C28" t="s">
        <v>3028</v>
      </c>
    </row>
    <row r="29" spans="1:3" x14ac:dyDescent="0.25">
      <c r="A29" s="10" t="s">
        <v>119</v>
      </c>
      <c r="B29" s="15">
        <v>0</v>
      </c>
      <c r="C29" t="s">
        <v>3028</v>
      </c>
    </row>
    <row r="30" spans="1:3" x14ac:dyDescent="0.25">
      <c r="A30" s="10" t="s">
        <v>119</v>
      </c>
      <c r="B30" s="15">
        <v>0</v>
      </c>
      <c r="C30" t="s">
        <v>3028</v>
      </c>
    </row>
    <row r="31" spans="1:3" x14ac:dyDescent="0.25">
      <c r="A31" s="10" t="s">
        <v>121</v>
      </c>
      <c r="B31" s="15">
        <v>0</v>
      </c>
      <c r="C31" t="s">
        <v>3028</v>
      </c>
    </row>
    <row r="32" spans="1:3" x14ac:dyDescent="0.25">
      <c r="A32" s="10" t="s">
        <v>121</v>
      </c>
      <c r="B32" s="15">
        <v>0</v>
      </c>
      <c r="C32" t="s">
        <v>3028</v>
      </c>
    </row>
    <row r="33" spans="1:3" x14ac:dyDescent="0.25">
      <c r="A33" s="10" t="s">
        <v>123</v>
      </c>
      <c r="B33" s="15">
        <v>0</v>
      </c>
      <c r="C33" t="s">
        <v>3028</v>
      </c>
    </row>
    <row r="34" spans="1:3" x14ac:dyDescent="0.25">
      <c r="A34" s="10" t="s">
        <v>123</v>
      </c>
      <c r="B34" s="15">
        <v>0</v>
      </c>
      <c r="C34" t="s">
        <v>3028</v>
      </c>
    </row>
    <row r="35" spans="1:3" x14ac:dyDescent="0.25">
      <c r="A35" s="10" t="s">
        <v>125</v>
      </c>
      <c r="B35" s="15">
        <v>0</v>
      </c>
      <c r="C35" t="s">
        <v>3028</v>
      </c>
    </row>
    <row r="36" spans="1:3" x14ac:dyDescent="0.25">
      <c r="A36" s="10" t="s">
        <v>125</v>
      </c>
      <c r="B36" s="15">
        <v>0</v>
      </c>
      <c r="C36" t="s">
        <v>3028</v>
      </c>
    </row>
    <row r="37" spans="1:3" x14ac:dyDescent="0.25">
      <c r="A37" s="10" t="s">
        <v>127</v>
      </c>
      <c r="B37" s="15">
        <v>0</v>
      </c>
      <c r="C37" t="s">
        <v>3028</v>
      </c>
    </row>
    <row r="38" spans="1:3" x14ac:dyDescent="0.25">
      <c r="A38" s="10" t="s">
        <v>127</v>
      </c>
      <c r="B38" s="15">
        <v>0</v>
      </c>
      <c r="C38" t="s">
        <v>3028</v>
      </c>
    </row>
    <row r="39" spans="1:3" x14ac:dyDescent="0.25">
      <c r="A39" s="10" t="s">
        <v>129</v>
      </c>
      <c r="B39" s="15">
        <v>0</v>
      </c>
      <c r="C39" t="s">
        <v>3028</v>
      </c>
    </row>
    <row r="40" spans="1:3" x14ac:dyDescent="0.25">
      <c r="A40" s="10" t="s">
        <v>129</v>
      </c>
      <c r="B40" s="15">
        <v>0</v>
      </c>
      <c r="C40" t="s">
        <v>3028</v>
      </c>
    </row>
    <row r="41" spans="1:3" x14ac:dyDescent="0.25">
      <c r="A41" s="10" t="s">
        <v>131</v>
      </c>
      <c r="B41" s="15">
        <v>0</v>
      </c>
      <c r="C41" t="s">
        <v>3028</v>
      </c>
    </row>
    <row r="42" spans="1:3" x14ac:dyDescent="0.25">
      <c r="A42" s="10" t="s">
        <v>131</v>
      </c>
      <c r="B42" s="15">
        <v>0</v>
      </c>
      <c r="C42" t="s">
        <v>3028</v>
      </c>
    </row>
    <row r="43" spans="1:3" x14ac:dyDescent="0.25">
      <c r="A43" s="10" t="s">
        <v>133</v>
      </c>
      <c r="B43" s="15">
        <v>0</v>
      </c>
      <c r="C43" t="s">
        <v>3028</v>
      </c>
    </row>
    <row r="44" spans="1:3" x14ac:dyDescent="0.25">
      <c r="A44" s="10" t="s">
        <v>133</v>
      </c>
      <c r="B44" s="15">
        <v>0</v>
      </c>
      <c r="C44" t="s">
        <v>3028</v>
      </c>
    </row>
    <row r="45" spans="1:3" x14ac:dyDescent="0.25">
      <c r="A45" s="10" t="s">
        <v>135</v>
      </c>
      <c r="B45" s="15">
        <v>0</v>
      </c>
      <c r="C45" t="s">
        <v>3028</v>
      </c>
    </row>
    <row r="46" spans="1:3" x14ac:dyDescent="0.25">
      <c r="A46" s="10" t="s">
        <v>135</v>
      </c>
      <c r="B46" s="15">
        <v>0</v>
      </c>
      <c r="C46" t="s">
        <v>3028</v>
      </c>
    </row>
    <row r="47" spans="1:3" x14ac:dyDescent="0.25">
      <c r="A47" s="10" t="s">
        <v>137</v>
      </c>
      <c r="B47" s="15">
        <v>0</v>
      </c>
      <c r="C47" t="s">
        <v>3028</v>
      </c>
    </row>
    <row r="48" spans="1:3" x14ac:dyDescent="0.25">
      <c r="A48" s="10" t="s">
        <v>137</v>
      </c>
      <c r="B48" s="15">
        <v>0</v>
      </c>
      <c r="C48" t="s">
        <v>3028</v>
      </c>
    </row>
    <row r="49" spans="1:3" x14ac:dyDescent="0.25">
      <c r="A49" s="10" t="s">
        <v>139</v>
      </c>
      <c r="B49" s="15">
        <v>0</v>
      </c>
      <c r="C49" t="s">
        <v>3028</v>
      </c>
    </row>
    <row r="50" spans="1:3" x14ac:dyDescent="0.25">
      <c r="A50" s="10" t="s">
        <v>139</v>
      </c>
      <c r="B50" s="15">
        <v>0</v>
      </c>
      <c r="C50" t="s">
        <v>3028</v>
      </c>
    </row>
    <row r="51" spans="1:3" x14ac:dyDescent="0.25">
      <c r="A51" s="10" t="s">
        <v>141</v>
      </c>
      <c r="B51" s="15">
        <v>0</v>
      </c>
      <c r="C51" t="s">
        <v>3028</v>
      </c>
    </row>
    <row r="52" spans="1:3" x14ac:dyDescent="0.25">
      <c r="A52" s="10" t="s">
        <v>141</v>
      </c>
      <c r="B52" s="15">
        <v>0</v>
      </c>
      <c r="C52" t="s">
        <v>3028</v>
      </c>
    </row>
    <row r="53" spans="1:3" x14ac:dyDescent="0.25">
      <c r="A53" s="10" t="s">
        <v>143</v>
      </c>
      <c r="B53" s="15">
        <v>0</v>
      </c>
      <c r="C53" t="s">
        <v>3028</v>
      </c>
    </row>
    <row r="54" spans="1:3" x14ac:dyDescent="0.25">
      <c r="A54" s="10" t="s">
        <v>143</v>
      </c>
      <c r="B54" s="15">
        <v>0</v>
      </c>
      <c r="C54" t="s">
        <v>3028</v>
      </c>
    </row>
    <row r="55" spans="1:3" x14ac:dyDescent="0.25">
      <c r="A55" s="10" t="s">
        <v>145</v>
      </c>
      <c r="B55" s="15">
        <v>0</v>
      </c>
      <c r="C55" t="s">
        <v>3028</v>
      </c>
    </row>
    <row r="56" spans="1:3" x14ac:dyDescent="0.25">
      <c r="A56" s="10" t="s">
        <v>145</v>
      </c>
      <c r="B56" s="15">
        <v>0</v>
      </c>
      <c r="C56" t="s">
        <v>3028</v>
      </c>
    </row>
    <row r="57" spans="1:3" x14ac:dyDescent="0.25">
      <c r="A57" s="10" t="s">
        <v>147</v>
      </c>
      <c r="B57" s="15">
        <v>0</v>
      </c>
      <c r="C57" t="s">
        <v>3028</v>
      </c>
    </row>
    <row r="58" spans="1:3" x14ac:dyDescent="0.25">
      <c r="A58" s="10" t="s">
        <v>147</v>
      </c>
      <c r="B58" s="15">
        <v>0</v>
      </c>
      <c r="C58" t="s">
        <v>3028</v>
      </c>
    </row>
    <row r="59" spans="1:3" x14ac:dyDescent="0.25">
      <c r="A59" s="10" t="s">
        <v>149</v>
      </c>
      <c r="B59" s="15">
        <v>0</v>
      </c>
      <c r="C59" t="s">
        <v>3028</v>
      </c>
    </row>
    <row r="60" spans="1:3" x14ac:dyDescent="0.25">
      <c r="A60" s="10" t="s">
        <v>149</v>
      </c>
      <c r="B60" s="15">
        <v>0</v>
      </c>
      <c r="C60" t="s">
        <v>3028</v>
      </c>
    </row>
    <row r="61" spans="1:3" x14ac:dyDescent="0.25">
      <c r="A61" s="10" t="s">
        <v>151</v>
      </c>
      <c r="B61" s="15">
        <v>0</v>
      </c>
      <c r="C61" t="s">
        <v>3028</v>
      </c>
    </row>
    <row r="62" spans="1:3" x14ac:dyDescent="0.25">
      <c r="A62" s="10" t="s">
        <v>151</v>
      </c>
      <c r="B62" s="15">
        <v>0</v>
      </c>
      <c r="C62" t="s">
        <v>3028</v>
      </c>
    </row>
    <row r="63" spans="1:3" x14ac:dyDescent="0.25">
      <c r="A63" s="10" t="s">
        <v>153</v>
      </c>
      <c r="B63" s="15">
        <v>0</v>
      </c>
      <c r="C63" t="s">
        <v>3028</v>
      </c>
    </row>
    <row r="64" spans="1:3" x14ac:dyDescent="0.25">
      <c r="A64" s="10" t="s">
        <v>153</v>
      </c>
      <c r="B64" s="15">
        <v>0</v>
      </c>
      <c r="C64" t="s">
        <v>3028</v>
      </c>
    </row>
    <row r="65" spans="1:3" x14ac:dyDescent="0.25">
      <c r="A65" s="10" t="s">
        <v>155</v>
      </c>
      <c r="B65" s="15">
        <v>0</v>
      </c>
      <c r="C65" t="s">
        <v>3028</v>
      </c>
    </row>
    <row r="66" spans="1:3" x14ac:dyDescent="0.25">
      <c r="A66" s="10" t="s">
        <v>155</v>
      </c>
      <c r="B66" s="15">
        <v>0</v>
      </c>
      <c r="C66" t="s">
        <v>3028</v>
      </c>
    </row>
    <row r="67" spans="1:3" x14ac:dyDescent="0.25">
      <c r="A67" s="10" t="s">
        <v>157</v>
      </c>
      <c r="B67" s="15">
        <v>0</v>
      </c>
      <c r="C67" t="s">
        <v>3028</v>
      </c>
    </row>
    <row r="68" spans="1:3" x14ac:dyDescent="0.25">
      <c r="A68" s="10" t="s">
        <v>157</v>
      </c>
      <c r="B68" s="15">
        <v>0</v>
      </c>
      <c r="C68" t="s">
        <v>3028</v>
      </c>
    </row>
    <row r="69" spans="1:3" x14ac:dyDescent="0.25">
      <c r="A69" s="10" t="s">
        <v>159</v>
      </c>
      <c r="B69" s="15">
        <v>0</v>
      </c>
      <c r="C69" t="s">
        <v>3028</v>
      </c>
    </row>
    <row r="70" spans="1:3" x14ac:dyDescent="0.25">
      <c r="A70" s="10" t="s">
        <v>159</v>
      </c>
      <c r="B70" s="15">
        <v>0</v>
      </c>
      <c r="C70" t="s">
        <v>3028</v>
      </c>
    </row>
    <row r="71" spans="1:3" x14ac:dyDescent="0.25">
      <c r="A71" s="10" t="s">
        <v>161</v>
      </c>
      <c r="B71" s="15">
        <v>0</v>
      </c>
      <c r="C71" t="s">
        <v>3028</v>
      </c>
    </row>
    <row r="72" spans="1:3" x14ac:dyDescent="0.25">
      <c r="A72" s="10" t="s">
        <v>161</v>
      </c>
      <c r="B72" s="15">
        <v>0</v>
      </c>
      <c r="C72" t="s">
        <v>3028</v>
      </c>
    </row>
    <row r="73" spans="1:3" x14ac:dyDescent="0.25">
      <c r="A73" s="10" t="s">
        <v>166</v>
      </c>
      <c r="B73" s="15">
        <v>0</v>
      </c>
      <c r="C73" t="s">
        <v>3028</v>
      </c>
    </row>
    <row r="74" spans="1:3" x14ac:dyDescent="0.25">
      <c r="A74" s="10" t="s">
        <v>166</v>
      </c>
      <c r="B74" s="15">
        <v>0</v>
      </c>
      <c r="C74" t="s">
        <v>3028</v>
      </c>
    </row>
    <row r="75" spans="1:3" x14ac:dyDescent="0.25">
      <c r="A75" s="10" t="s">
        <v>170</v>
      </c>
      <c r="B75" s="15">
        <v>0</v>
      </c>
      <c r="C75" t="s">
        <v>3028</v>
      </c>
    </row>
    <row r="76" spans="1:3" x14ac:dyDescent="0.25">
      <c r="A76" s="10" t="s">
        <v>170</v>
      </c>
      <c r="B76" s="15">
        <v>0</v>
      </c>
      <c r="C76" t="s">
        <v>3028</v>
      </c>
    </row>
    <row r="77" spans="1:3" x14ac:dyDescent="0.25">
      <c r="A77" s="10" t="s">
        <v>172</v>
      </c>
      <c r="B77" s="15">
        <v>0</v>
      </c>
      <c r="C77" t="s">
        <v>3028</v>
      </c>
    </row>
    <row r="78" spans="1:3" x14ac:dyDescent="0.25">
      <c r="A78" s="10" t="s">
        <v>172</v>
      </c>
      <c r="B78" s="15">
        <v>0</v>
      </c>
      <c r="C78" t="s">
        <v>3028</v>
      </c>
    </row>
    <row r="79" spans="1:3" x14ac:dyDescent="0.25">
      <c r="A79" s="10" t="s">
        <v>174</v>
      </c>
      <c r="B79" s="15">
        <v>0</v>
      </c>
      <c r="C79" t="s">
        <v>3028</v>
      </c>
    </row>
    <row r="80" spans="1:3" x14ac:dyDescent="0.25">
      <c r="A80" s="10" t="s">
        <v>174</v>
      </c>
      <c r="B80" s="15">
        <v>0</v>
      </c>
      <c r="C80" t="s">
        <v>3028</v>
      </c>
    </row>
    <row r="81" spans="1:4" x14ac:dyDescent="0.25">
      <c r="A81" s="10" t="s">
        <v>176</v>
      </c>
      <c r="B81" s="15">
        <v>0</v>
      </c>
      <c r="C81" t="s">
        <v>3028</v>
      </c>
    </row>
    <row r="82" spans="1:4" x14ac:dyDescent="0.25">
      <c r="A82" s="10" t="s">
        <v>176</v>
      </c>
      <c r="B82" s="15">
        <v>0</v>
      </c>
      <c r="C82" t="s">
        <v>3028</v>
      </c>
    </row>
    <row r="83" spans="1:4" x14ac:dyDescent="0.25">
      <c r="A83" s="10" t="s">
        <v>178</v>
      </c>
      <c r="B83" s="15">
        <v>0</v>
      </c>
      <c r="C83" t="s">
        <v>3028</v>
      </c>
    </row>
    <row r="84" spans="1:4" x14ac:dyDescent="0.25">
      <c r="A84" s="10" t="s">
        <v>178</v>
      </c>
      <c r="B84" s="15">
        <v>0</v>
      </c>
      <c r="C84" t="s">
        <v>3028</v>
      </c>
    </row>
    <row r="85" spans="1:4" x14ac:dyDescent="0.25">
      <c r="A85" s="10" t="s">
        <v>180</v>
      </c>
      <c r="B85" s="15">
        <v>0</v>
      </c>
      <c r="C85" t="s">
        <v>3028</v>
      </c>
    </row>
    <row r="86" spans="1:4" x14ac:dyDescent="0.25">
      <c r="A86" s="10" t="s">
        <v>180</v>
      </c>
      <c r="B86" s="15">
        <v>0</v>
      </c>
      <c r="C86" t="s">
        <v>3028</v>
      </c>
    </row>
    <row r="87" spans="1:4" x14ac:dyDescent="0.25">
      <c r="A87" s="10" t="s">
        <v>180</v>
      </c>
      <c r="B87" s="15">
        <v>1316.11</v>
      </c>
      <c r="D87" t="s">
        <v>3028</v>
      </c>
    </row>
    <row r="88" spans="1:4" x14ac:dyDescent="0.25">
      <c r="A88" s="10" t="s">
        <v>182</v>
      </c>
      <c r="B88" s="15">
        <v>0</v>
      </c>
      <c r="C88" t="s">
        <v>3028</v>
      </c>
    </row>
    <row r="89" spans="1:4" x14ac:dyDescent="0.25">
      <c r="A89" s="10" t="s">
        <v>182</v>
      </c>
      <c r="B89" s="15">
        <v>0</v>
      </c>
      <c r="C89" t="s">
        <v>3028</v>
      </c>
    </row>
    <row r="90" spans="1:4" x14ac:dyDescent="0.25">
      <c r="A90" s="10" t="s">
        <v>184</v>
      </c>
      <c r="B90" s="15">
        <v>0</v>
      </c>
      <c r="C90" t="s">
        <v>3028</v>
      </c>
    </row>
    <row r="91" spans="1:4" x14ac:dyDescent="0.25">
      <c r="A91" s="10" t="s">
        <v>184</v>
      </c>
      <c r="B91" s="15">
        <v>0</v>
      </c>
      <c r="C91" t="s">
        <v>3028</v>
      </c>
    </row>
    <row r="92" spans="1:4" x14ac:dyDescent="0.25">
      <c r="A92" s="10" t="s">
        <v>186</v>
      </c>
      <c r="B92" s="15">
        <v>0</v>
      </c>
      <c r="C92" t="s">
        <v>3028</v>
      </c>
    </row>
    <row r="93" spans="1:4" x14ac:dyDescent="0.25">
      <c r="A93" s="10" t="s">
        <v>186</v>
      </c>
      <c r="B93" s="15">
        <v>0</v>
      </c>
      <c r="C93" t="s">
        <v>3028</v>
      </c>
    </row>
    <row r="94" spans="1:4" x14ac:dyDescent="0.25">
      <c r="A94" s="10" t="s">
        <v>188</v>
      </c>
      <c r="B94" s="15">
        <v>0</v>
      </c>
      <c r="C94" t="s">
        <v>3028</v>
      </c>
    </row>
    <row r="95" spans="1:4" x14ac:dyDescent="0.25">
      <c r="A95" s="10" t="s">
        <v>188</v>
      </c>
      <c r="B95" s="15">
        <v>0</v>
      </c>
      <c r="C95" t="s">
        <v>3028</v>
      </c>
    </row>
    <row r="96" spans="1:4" x14ac:dyDescent="0.25">
      <c r="A96" s="10" t="s">
        <v>190</v>
      </c>
      <c r="B96" s="15">
        <v>0</v>
      </c>
      <c r="C96" t="s">
        <v>3028</v>
      </c>
    </row>
    <row r="97" spans="1:3" x14ac:dyDescent="0.25">
      <c r="A97" s="10" t="s">
        <v>190</v>
      </c>
      <c r="B97" s="15">
        <v>0</v>
      </c>
      <c r="C97" t="s">
        <v>3028</v>
      </c>
    </row>
    <row r="98" spans="1:3" x14ac:dyDescent="0.25">
      <c r="A98" s="10" t="s">
        <v>192</v>
      </c>
      <c r="B98" s="15">
        <v>0</v>
      </c>
      <c r="C98" t="s">
        <v>3028</v>
      </c>
    </row>
    <row r="99" spans="1:3" x14ac:dyDescent="0.25">
      <c r="A99" s="10" t="s">
        <v>192</v>
      </c>
      <c r="B99" s="15">
        <v>0</v>
      </c>
      <c r="C99" t="s">
        <v>3028</v>
      </c>
    </row>
    <row r="100" spans="1:3" x14ac:dyDescent="0.25">
      <c r="A100" s="10" t="s">
        <v>194</v>
      </c>
      <c r="B100" s="15">
        <v>0</v>
      </c>
      <c r="C100" t="s">
        <v>3028</v>
      </c>
    </row>
    <row r="101" spans="1:3" x14ac:dyDescent="0.25">
      <c r="A101" s="10" t="s">
        <v>194</v>
      </c>
      <c r="B101" s="15">
        <v>0</v>
      </c>
      <c r="C101" t="s">
        <v>3028</v>
      </c>
    </row>
    <row r="102" spans="1:3" x14ac:dyDescent="0.25">
      <c r="A102" s="10" t="s">
        <v>196</v>
      </c>
      <c r="B102" s="15">
        <v>0</v>
      </c>
      <c r="C102" t="s">
        <v>3028</v>
      </c>
    </row>
    <row r="103" spans="1:3" x14ac:dyDescent="0.25">
      <c r="A103" s="10" t="s">
        <v>196</v>
      </c>
      <c r="B103" s="15">
        <v>0</v>
      </c>
      <c r="C103" t="s">
        <v>3028</v>
      </c>
    </row>
    <row r="104" spans="1:3" x14ac:dyDescent="0.25">
      <c r="A104" s="10" t="s">
        <v>198</v>
      </c>
      <c r="B104" s="15">
        <v>0</v>
      </c>
      <c r="C104" t="s">
        <v>3028</v>
      </c>
    </row>
    <row r="105" spans="1:3" x14ac:dyDescent="0.25">
      <c r="A105" s="10" t="s">
        <v>198</v>
      </c>
      <c r="B105" s="15">
        <v>0</v>
      </c>
      <c r="C105" t="s">
        <v>3028</v>
      </c>
    </row>
    <row r="106" spans="1:3" x14ac:dyDescent="0.25">
      <c r="A106" s="10" t="s">
        <v>200</v>
      </c>
      <c r="B106" s="15">
        <v>0</v>
      </c>
      <c r="C106" t="s">
        <v>3028</v>
      </c>
    </row>
    <row r="107" spans="1:3" x14ac:dyDescent="0.25">
      <c r="A107" s="10" t="s">
        <v>200</v>
      </c>
      <c r="B107" s="15">
        <v>0</v>
      </c>
      <c r="C107" t="s">
        <v>3028</v>
      </c>
    </row>
    <row r="108" spans="1:3" x14ac:dyDescent="0.25">
      <c r="A108" s="10" t="s">
        <v>202</v>
      </c>
      <c r="B108" s="15">
        <v>0</v>
      </c>
      <c r="C108" t="s">
        <v>3028</v>
      </c>
    </row>
    <row r="109" spans="1:3" x14ac:dyDescent="0.25">
      <c r="A109" s="10" t="s">
        <v>202</v>
      </c>
      <c r="B109" s="15">
        <v>0</v>
      </c>
      <c r="C109" t="s">
        <v>3028</v>
      </c>
    </row>
    <row r="110" spans="1:3" x14ac:dyDescent="0.25">
      <c r="A110" s="10" t="s">
        <v>204</v>
      </c>
      <c r="B110" s="15">
        <v>0</v>
      </c>
      <c r="C110" t="s">
        <v>3028</v>
      </c>
    </row>
    <row r="111" spans="1:3" x14ac:dyDescent="0.25">
      <c r="A111" s="10" t="s">
        <v>204</v>
      </c>
      <c r="B111" s="15">
        <v>0</v>
      </c>
      <c r="C111" t="s">
        <v>3028</v>
      </c>
    </row>
    <row r="112" spans="1:3" x14ac:dyDescent="0.25">
      <c r="A112" s="10" t="s">
        <v>206</v>
      </c>
      <c r="B112" s="15">
        <v>0</v>
      </c>
      <c r="C112" t="s">
        <v>3028</v>
      </c>
    </row>
    <row r="113" spans="1:4" x14ac:dyDescent="0.25">
      <c r="A113" s="10" t="s">
        <v>206</v>
      </c>
      <c r="B113" s="15">
        <v>0</v>
      </c>
      <c r="C113" t="s">
        <v>3028</v>
      </c>
    </row>
    <row r="114" spans="1:4" x14ac:dyDescent="0.25">
      <c r="A114" s="10" t="s">
        <v>208</v>
      </c>
      <c r="B114" s="15">
        <v>0</v>
      </c>
      <c r="C114" t="s">
        <v>3028</v>
      </c>
    </row>
    <row r="115" spans="1:4" x14ac:dyDescent="0.25">
      <c r="A115" s="10" t="s">
        <v>208</v>
      </c>
      <c r="B115" s="15">
        <v>0</v>
      </c>
      <c r="C115" t="s">
        <v>3028</v>
      </c>
    </row>
    <row r="116" spans="1:4" x14ac:dyDescent="0.25">
      <c r="A116" s="10" t="s">
        <v>208</v>
      </c>
      <c r="B116" s="15">
        <v>4504.12</v>
      </c>
      <c r="D116" t="s">
        <v>3028</v>
      </c>
    </row>
    <row r="117" spans="1:4" x14ac:dyDescent="0.25">
      <c r="A117" s="10" t="s">
        <v>210</v>
      </c>
      <c r="B117" s="15">
        <v>0</v>
      </c>
      <c r="C117" t="s">
        <v>3028</v>
      </c>
    </row>
    <row r="118" spans="1:4" x14ac:dyDescent="0.25">
      <c r="A118" s="10" t="s">
        <v>210</v>
      </c>
      <c r="B118" s="15">
        <v>0</v>
      </c>
      <c r="C118" t="s">
        <v>3028</v>
      </c>
    </row>
    <row r="119" spans="1:4" x14ac:dyDescent="0.25">
      <c r="A119" s="10" t="s">
        <v>212</v>
      </c>
      <c r="B119" s="15">
        <v>0</v>
      </c>
      <c r="C119" t="s">
        <v>3028</v>
      </c>
    </row>
    <row r="120" spans="1:4" x14ac:dyDescent="0.25">
      <c r="A120" s="10" t="s">
        <v>212</v>
      </c>
      <c r="B120" s="15">
        <v>0</v>
      </c>
      <c r="C120" t="s">
        <v>3028</v>
      </c>
    </row>
    <row r="121" spans="1:4" x14ac:dyDescent="0.25">
      <c r="A121" s="10" t="s">
        <v>214</v>
      </c>
      <c r="B121" s="15">
        <v>0</v>
      </c>
      <c r="C121" t="s">
        <v>3028</v>
      </c>
    </row>
    <row r="122" spans="1:4" x14ac:dyDescent="0.25">
      <c r="A122" s="10" t="s">
        <v>214</v>
      </c>
      <c r="B122" s="15">
        <v>0</v>
      </c>
      <c r="C122" t="s">
        <v>3028</v>
      </c>
    </row>
    <row r="123" spans="1:4" x14ac:dyDescent="0.25">
      <c r="A123" s="10" t="s">
        <v>216</v>
      </c>
      <c r="B123" s="15">
        <v>0</v>
      </c>
      <c r="C123" t="s">
        <v>3028</v>
      </c>
    </row>
    <row r="124" spans="1:4" x14ac:dyDescent="0.25">
      <c r="A124" s="10" t="s">
        <v>216</v>
      </c>
      <c r="B124" s="15">
        <v>0</v>
      </c>
      <c r="C124" t="s">
        <v>3028</v>
      </c>
    </row>
    <row r="125" spans="1:4" x14ac:dyDescent="0.25">
      <c r="A125" s="10" t="s">
        <v>218</v>
      </c>
      <c r="B125" s="15">
        <v>0</v>
      </c>
      <c r="C125" t="s">
        <v>3028</v>
      </c>
    </row>
    <row r="126" spans="1:4" x14ac:dyDescent="0.25">
      <c r="A126" s="10" t="s">
        <v>218</v>
      </c>
      <c r="B126" s="15">
        <v>0</v>
      </c>
      <c r="C126" t="s">
        <v>3028</v>
      </c>
    </row>
    <row r="127" spans="1:4" x14ac:dyDescent="0.25">
      <c r="A127" s="10" t="s">
        <v>222</v>
      </c>
      <c r="B127" s="15">
        <v>0</v>
      </c>
      <c r="C127" t="s">
        <v>3028</v>
      </c>
    </row>
    <row r="128" spans="1:4" x14ac:dyDescent="0.25">
      <c r="A128" s="10" t="s">
        <v>222</v>
      </c>
      <c r="B128" s="15">
        <v>0</v>
      </c>
      <c r="C128" t="s">
        <v>3028</v>
      </c>
    </row>
    <row r="129" spans="1:4" x14ac:dyDescent="0.25">
      <c r="A129" s="10" t="s">
        <v>224</v>
      </c>
      <c r="B129" s="15">
        <v>0</v>
      </c>
      <c r="C129" t="s">
        <v>3028</v>
      </c>
    </row>
    <row r="130" spans="1:4" x14ac:dyDescent="0.25">
      <c r="A130" s="10" t="s">
        <v>224</v>
      </c>
      <c r="B130" s="15">
        <v>0</v>
      </c>
      <c r="C130" t="s">
        <v>3028</v>
      </c>
    </row>
    <row r="131" spans="1:4" x14ac:dyDescent="0.25">
      <c r="A131" s="10" t="s">
        <v>226</v>
      </c>
      <c r="B131" s="15">
        <v>0</v>
      </c>
      <c r="C131" t="s">
        <v>3028</v>
      </c>
    </row>
    <row r="132" spans="1:4" x14ac:dyDescent="0.25">
      <c r="A132" s="10" t="s">
        <v>226</v>
      </c>
      <c r="B132" s="15">
        <v>0</v>
      </c>
      <c r="C132" t="s">
        <v>3028</v>
      </c>
    </row>
    <row r="133" spans="1:4" x14ac:dyDescent="0.25">
      <c r="A133" s="10" t="s">
        <v>228</v>
      </c>
      <c r="B133" s="15">
        <v>0</v>
      </c>
      <c r="C133" t="s">
        <v>3028</v>
      </c>
    </row>
    <row r="134" spans="1:4" x14ac:dyDescent="0.25">
      <c r="A134" s="10" t="s">
        <v>228</v>
      </c>
      <c r="B134" s="15">
        <v>0</v>
      </c>
      <c r="C134" t="s">
        <v>3028</v>
      </c>
    </row>
    <row r="135" spans="1:4" x14ac:dyDescent="0.25">
      <c r="A135" s="10" t="s">
        <v>230</v>
      </c>
      <c r="B135" s="15">
        <v>0</v>
      </c>
      <c r="C135" t="s">
        <v>3028</v>
      </c>
    </row>
    <row r="136" spans="1:4" x14ac:dyDescent="0.25">
      <c r="A136" s="10" t="s">
        <v>230</v>
      </c>
      <c r="B136" s="15">
        <v>0</v>
      </c>
      <c r="C136" t="s">
        <v>3028</v>
      </c>
    </row>
    <row r="137" spans="1:4" x14ac:dyDescent="0.25">
      <c r="A137" s="10" t="s">
        <v>232</v>
      </c>
      <c r="B137" s="15">
        <v>0</v>
      </c>
      <c r="C137" t="s">
        <v>3028</v>
      </c>
    </row>
    <row r="138" spans="1:4" x14ac:dyDescent="0.25">
      <c r="A138" s="10" t="s">
        <v>232</v>
      </c>
      <c r="B138" s="15">
        <v>0</v>
      </c>
      <c r="C138" t="s">
        <v>3028</v>
      </c>
    </row>
    <row r="139" spans="1:4" x14ac:dyDescent="0.25">
      <c r="A139" s="10" t="s">
        <v>234</v>
      </c>
      <c r="B139" s="15">
        <v>0</v>
      </c>
      <c r="C139" t="s">
        <v>3028</v>
      </c>
    </row>
    <row r="140" spans="1:4" x14ac:dyDescent="0.25">
      <c r="A140" s="10" t="s">
        <v>234</v>
      </c>
      <c r="B140" s="15">
        <v>0</v>
      </c>
      <c r="C140" t="s">
        <v>3028</v>
      </c>
    </row>
    <row r="141" spans="1:4" x14ac:dyDescent="0.25">
      <c r="A141" s="10" t="s">
        <v>236</v>
      </c>
      <c r="B141" s="15">
        <v>0</v>
      </c>
      <c r="C141" t="s">
        <v>3028</v>
      </c>
    </row>
    <row r="142" spans="1:4" x14ac:dyDescent="0.25">
      <c r="A142" s="10" t="s">
        <v>236</v>
      </c>
      <c r="B142" s="15">
        <v>0</v>
      </c>
      <c r="C142" t="s">
        <v>3028</v>
      </c>
    </row>
    <row r="143" spans="1:4" x14ac:dyDescent="0.25">
      <c r="A143" s="10" t="s">
        <v>236</v>
      </c>
      <c r="B143" s="15">
        <v>2262.09</v>
      </c>
      <c r="D143" t="s">
        <v>3028</v>
      </c>
    </row>
    <row r="144" spans="1:4" x14ac:dyDescent="0.25">
      <c r="A144" s="10" t="s">
        <v>238</v>
      </c>
      <c r="B144" s="15">
        <v>0</v>
      </c>
      <c r="C144" t="s">
        <v>3028</v>
      </c>
    </row>
    <row r="145" spans="1:4" x14ac:dyDescent="0.25">
      <c r="A145" s="10" t="s">
        <v>238</v>
      </c>
      <c r="B145" s="15">
        <v>0</v>
      </c>
      <c r="C145" t="s">
        <v>3028</v>
      </c>
    </row>
    <row r="146" spans="1:4" x14ac:dyDescent="0.25">
      <c r="A146" s="10" t="s">
        <v>240</v>
      </c>
      <c r="B146" s="15">
        <v>0</v>
      </c>
      <c r="C146" t="s">
        <v>3028</v>
      </c>
    </row>
    <row r="147" spans="1:4" x14ac:dyDescent="0.25">
      <c r="A147" s="10" t="s">
        <v>240</v>
      </c>
      <c r="B147" s="15">
        <v>0</v>
      </c>
      <c r="C147" t="s">
        <v>3028</v>
      </c>
    </row>
    <row r="148" spans="1:4" x14ac:dyDescent="0.25">
      <c r="A148" s="10" t="s">
        <v>242</v>
      </c>
      <c r="B148" s="15">
        <v>0</v>
      </c>
      <c r="C148" t="s">
        <v>3028</v>
      </c>
    </row>
    <row r="149" spans="1:4" x14ac:dyDescent="0.25">
      <c r="A149" s="10" t="s">
        <v>242</v>
      </c>
      <c r="B149" s="15">
        <v>0</v>
      </c>
      <c r="C149" t="s">
        <v>3028</v>
      </c>
    </row>
    <row r="150" spans="1:4" x14ac:dyDescent="0.25">
      <c r="A150" s="10" t="s">
        <v>242</v>
      </c>
      <c r="B150" s="15">
        <v>1766.31</v>
      </c>
      <c r="D150" t="s">
        <v>3028</v>
      </c>
    </row>
    <row r="151" spans="1:4" x14ac:dyDescent="0.25">
      <c r="A151" s="10" t="s">
        <v>244</v>
      </c>
      <c r="B151" s="15">
        <v>0</v>
      </c>
      <c r="C151" t="s">
        <v>3028</v>
      </c>
    </row>
    <row r="152" spans="1:4" x14ac:dyDescent="0.25">
      <c r="A152" s="10" t="s">
        <v>244</v>
      </c>
      <c r="B152" s="15">
        <v>0</v>
      </c>
      <c r="C152" t="s">
        <v>3028</v>
      </c>
    </row>
    <row r="153" spans="1:4" x14ac:dyDescent="0.25">
      <c r="A153" s="10" t="s">
        <v>246</v>
      </c>
      <c r="B153" s="15">
        <v>0</v>
      </c>
      <c r="C153" t="s">
        <v>3028</v>
      </c>
    </row>
    <row r="154" spans="1:4" x14ac:dyDescent="0.25">
      <c r="A154" s="10" t="s">
        <v>246</v>
      </c>
      <c r="B154" s="15">
        <v>0</v>
      </c>
      <c r="C154" t="s">
        <v>3028</v>
      </c>
    </row>
    <row r="155" spans="1:4" x14ac:dyDescent="0.25">
      <c r="A155" s="10" t="s">
        <v>248</v>
      </c>
      <c r="B155" s="15">
        <v>0</v>
      </c>
      <c r="C155" t="s">
        <v>3028</v>
      </c>
    </row>
    <row r="156" spans="1:4" x14ac:dyDescent="0.25">
      <c r="A156" s="10" t="s">
        <v>248</v>
      </c>
      <c r="B156" s="15">
        <v>0</v>
      </c>
      <c r="C156" t="s">
        <v>3028</v>
      </c>
    </row>
    <row r="157" spans="1:4" x14ac:dyDescent="0.25">
      <c r="A157" s="10" t="s">
        <v>250</v>
      </c>
      <c r="B157" s="15">
        <v>0</v>
      </c>
      <c r="C157" t="s">
        <v>3028</v>
      </c>
    </row>
    <row r="158" spans="1:4" x14ac:dyDescent="0.25">
      <c r="A158" s="10" t="s">
        <v>250</v>
      </c>
      <c r="B158" s="15">
        <v>0</v>
      </c>
      <c r="C158" t="s">
        <v>3028</v>
      </c>
    </row>
    <row r="159" spans="1:4" x14ac:dyDescent="0.25">
      <c r="A159" s="10" t="s">
        <v>252</v>
      </c>
      <c r="B159" s="15">
        <v>0</v>
      </c>
      <c r="C159" t="s">
        <v>3028</v>
      </c>
    </row>
    <row r="160" spans="1:4" x14ac:dyDescent="0.25">
      <c r="A160" s="10" t="s">
        <v>252</v>
      </c>
      <c r="B160" s="15">
        <v>0</v>
      </c>
      <c r="C160" t="s">
        <v>3028</v>
      </c>
    </row>
    <row r="161" spans="1:4" x14ac:dyDescent="0.25">
      <c r="A161" s="10" t="s">
        <v>254</v>
      </c>
      <c r="B161" s="15">
        <v>0</v>
      </c>
      <c r="C161" t="s">
        <v>3028</v>
      </c>
    </row>
    <row r="162" spans="1:4" x14ac:dyDescent="0.25">
      <c r="A162" s="10" t="s">
        <v>254</v>
      </c>
      <c r="B162" s="15">
        <v>0</v>
      </c>
      <c r="C162" t="s">
        <v>3028</v>
      </c>
    </row>
    <row r="163" spans="1:4" x14ac:dyDescent="0.25">
      <c r="A163" s="10" t="s">
        <v>256</v>
      </c>
      <c r="B163" s="15">
        <v>0</v>
      </c>
      <c r="C163" t="s">
        <v>3028</v>
      </c>
    </row>
    <row r="164" spans="1:4" x14ac:dyDescent="0.25">
      <c r="A164" s="10" t="s">
        <v>256</v>
      </c>
      <c r="B164" s="15">
        <v>0</v>
      </c>
      <c r="C164" t="s">
        <v>3028</v>
      </c>
    </row>
    <row r="165" spans="1:4" x14ac:dyDescent="0.25">
      <c r="A165" s="10" t="s">
        <v>258</v>
      </c>
      <c r="B165" s="15">
        <v>0</v>
      </c>
      <c r="C165" t="s">
        <v>3028</v>
      </c>
    </row>
    <row r="166" spans="1:4" x14ac:dyDescent="0.25">
      <c r="A166" s="10" t="s">
        <v>258</v>
      </c>
      <c r="B166" s="15">
        <v>0</v>
      </c>
      <c r="C166" t="s">
        <v>3028</v>
      </c>
    </row>
    <row r="167" spans="1:4" x14ac:dyDescent="0.25">
      <c r="A167" s="10" t="s">
        <v>260</v>
      </c>
      <c r="B167" s="15">
        <v>0</v>
      </c>
      <c r="C167" t="s">
        <v>3028</v>
      </c>
    </row>
    <row r="168" spans="1:4" x14ac:dyDescent="0.25">
      <c r="A168" s="10" t="s">
        <v>260</v>
      </c>
      <c r="B168" s="15">
        <v>0</v>
      </c>
      <c r="C168" t="s">
        <v>3028</v>
      </c>
    </row>
    <row r="169" spans="1:4" x14ac:dyDescent="0.25">
      <c r="A169" s="10" t="s">
        <v>260</v>
      </c>
      <c r="B169" s="15">
        <v>8542.8700000000008</v>
      </c>
      <c r="D169" t="s">
        <v>3028</v>
      </c>
    </row>
    <row r="170" spans="1:4" x14ac:dyDescent="0.25">
      <c r="A170" s="10" t="s">
        <v>262</v>
      </c>
      <c r="B170" s="15">
        <v>0</v>
      </c>
      <c r="C170" t="s">
        <v>3028</v>
      </c>
    </row>
    <row r="171" spans="1:4" x14ac:dyDescent="0.25">
      <c r="A171" s="10" t="s">
        <v>262</v>
      </c>
      <c r="B171" s="15">
        <v>0</v>
      </c>
      <c r="C171" t="s">
        <v>3028</v>
      </c>
    </row>
    <row r="172" spans="1:4" x14ac:dyDescent="0.25">
      <c r="A172" s="10" t="s">
        <v>264</v>
      </c>
      <c r="B172" s="15">
        <v>0</v>
      </c>
      <c r="C172" t="s">
        <v>3028</v>
      </c>
    </row>
    <row r="173" spans="1:4" x14ac:dyDescent="0.25">
      <c r="A173" s="10" t="s">
        <v>264</v>
      </c>
      <c r="B173" s="15">
        <v>0</v>
      </c>
      <c r="C173" t="s">
        <v>3028</v>
      </c>
    </row>
    <row r="174" spans="1:4" x14ac:dyDescent="0.25">
      <c r="A174" s="10" t="s">
        <v>266</v>
      </c>
      <c r="B174" s="15">
        <v>0</v>
      </c>
      <c r="C174" t="s">
        <v>3028</v>
      </c>
    </row>
    <row r="175" spans="1:4" x14ac:dyDescent="0.25">
      <c r="A175" s="10" t="s">
        <v>266</v>
      </c>
      <c r="B175" s="15">
        <v>0</v>
      </c>
      <c r="C175" t="s">
        <v>3028</v>
      </c>
    </row>
    <row r="176" spans="1:4" x14ac:dyDescent="0.25">
      <c r="A176" s="10" t="s">
        <v>268</v>
      </c>
      <c r="B176" s="15">
        <v>0</v>
      </c>
      <c r="C176" t="s">
        <v>3028</v>
      </c>
    </row>
    <row r="177" spans="1:3" x14ac:dyDescent="0.25">
      <c r="A177" s="10" t="s">
        <v>268</v>
      </c>
      <c r="B177" s="15">
        <v>0</v>
      </c>
      <c r="C177" t="s">
        <v>3028</v>
      </c>
    </row>
    <row r="178" spans="1:3" x14ac:dyDescent="0.25">
      <c r="A178" s="10" t="s">
        <v>270</v>
      </c>
      <c r="B178" s="15">
        <v>0</v>
      </c>
      <c r="C178" t="s">
        <v>3028</v>
      </c>
    </row>
    <row r="179" spans="1:3" x14ac:dyDescent="0.25">
      <c r="A179" s="10" t="s">
        <v>270</v>
      </c>
      <c r="B179" s="15">
        <v>0</v>
      </c>
      <c r="C179" t="s">
        <v>3028</v>
      </c>
    </row>
    <row r="180" spans="1:3" x14ac:dyDescent="0.25">
      <c r="A180" s="10" t="s">
        <v>272</v>
      </c>
      <c r="B180" s="15">
        <v>0</v>
      </c>
      <c r="C180" t="s">
        <v>3028</v>
      </c>
    </row>
    <row r="181" spans="1:3" x14ac:dyDescent="0.25">
      <c r="A181" s="10" t="s">
        <v>272</v>
      </c>
      <c r="B181" s="15">
        <v>0</v>
      </c>
      <c r="C181" t="s">
        <v>3028</v>
      </c>
    </row>
    <row r="182" spans="1:3" x14ac:dyDescent="0.25">
      <c r="A182" s="10" t="s">
        <v>274</v>
      </c>
      <c r="B182" s="15">
        <v>0</v>
      </c>
      <c r="C182" t="s">
        <v>3028</v>
      </c>
    </row>
    <row r="183" spans="1:3" x14ac:dyDescent="0.25">
      <c r="A183" s="10" t="s">
        <v>274</v>
      </c>
      <c r="B183" s="15">
        <v>0</v>
      </c>
      <c r="C183" t="s">
        <v>3028</v>
      </c>
    </row>
    <row r="184" spans="1:3" x14ac:dyDescent="0.25">
      <c r="A184" s="10" t="s">
        <v>276</v>
      </c>
      <c r="B184" s="15">
        <v>0</v>
      </c>
      <c r="C184" t="s">
        <v>3028</v>
      </c>
    </row>
    <row r="185" spans="1:3" x14ac:dyDescent="0.25">
      <c r="A185" s="10" t="s">
        <v>276</v>
      </c>
      <c r="B185" s="15">
        <v>0</v>
      </c>
      <c r="C185" t="s">
        <v>3028</v>
      </c>
    </row>
    <row r="186" spans="1:3" x14ac:dyDescent="0.25">
      <c r="A186" s="10" t="s">
        <v>278</v>
      </c>
      <c r="B186" s="15">
        <v>0</v>
      </c>
      <c r="C186" t="s">
        <v>3028</v>
      </c>
    </row>
    <row r="187" spans="1:3" x14ac:dyDescent="0.25">
      <c r="A187" s="10" t="s">
        <v>278</v>
      </c>
      <c r="B187" s="15">
        <v>0</v>
      </c>
      <c r="C187" t="s">
        <v>3028</v>
      </c>
    </row>
    <row r="188" spans="1:3" x14ac:dyDescent="0.25">
      <c r="A188" s="10" t="s">
        <v>280</v>
      </c>
      <c r="B188" s="15">
        <v>0</v>
      </c>
      <c r="C188" t="s">
        <v>3028</v>
      </c>
    </row>
    <row r="189" spans="1:3" x14ac:dyDescent="0.25">
      <c r="A189" s="10" t="s">
        <v>280</v>
      </c>
      <c r="B189" s="15">
        <v>0</v>
      </c>
      <c r="C189" t="s">
        <v>3028</v>
      </c>
    </row>
    <row r="190" spans="1:3" x14ac:dyDescent="0.25">
      <c r="A190" s="10" t="s">
        <v>282</v>
      </c>
      <c r="B190" s="15">
        <v>0</v>
      </c>
      <c r="C190" t="s">
        <v>3028</v>
      </c>
    </row>
    <row r="191" spans="1:3" x14ac:dyDescent="0.25">
      <c r="A191" s="10" t="s">
        <v>282</v>
      </c>
      <c r="B191" s="15">
        <v>0</v>
      </c>
      <c r="C191" t="s">
        <v>3028</v>
      </c>
    </row>
    <row r="192" spans="1:3" x14ac:dyDescent="0.25">
      <c r="A192" s="10" t="s">
        <v>284</v>
      </c>
      <c r="B192" s="15">
        <v>0</v>
      </c>
      <c r="C192" t="s">
        <v>3028</v>
      </c>
    </row>
    <row r="193" spans="1:4" x14ac:dyDescent="0.25">
      <c r="A193" s="10" t="s">
        <v>284</v>
      </c>
      <c r="B193" s="15">
        <v>0</v>
      </c>
      <c r="C193" t="s">
        <v>3028</v>
      </c>
    </row>
    <row r="194" spans="1:4" x14ac:dyDescent="0.25">
      <c r="A194" s="10" t="s">
        <v>286</v>
      </c>
      <c r="B194" s="15">
        <v>0</v>
      </c>
      <c r="C194" t="s">
        <v>3028</v>
      </c>
    </row>
    <row r="195" spans="1:4" x14ac:dyDescent="0.25">
      <c r="A195" s="10" t="s">
        <v>286</v>
      </c>
      <c r="B195" s="15">
        <v>0</v>
      </c>
      <c r="C195" t="s">
        <v>3028</v>
      </c>
    </row>
    <row r="196" spans="1:4" x14ac:dyDescent="0.25">
      <c r="A196" s="10" t="s">
        <v>288</v>
      </c>
      <c r="B196" s="15">
        <v>0</v>
      </c>
      <c r="C196" t="s">
        <v>3028</v>
      </c>
    </row>
    <row r="197" spans="1:4" x14ac:dyDescent="0.25">
      <c r="A197" s="10" t="s">
        <v>288</v>
      </c>
      <c r="B197" s="15">
        <v>0</v>
      </c>
      <c r="C197" t="s">
        <v>3028</v>
      </c>
    </row>
    <row r="198" spans="1:4" x14ac:dyDescent="0.25">
      <c r="A198" s="10" t="s">
        <v>290</v>
      </c>
      <c r="B198" s="15">
        <v>0</v>
      </c>
      <c r="C198" t="s">
        <v>3028</v>
      </c>
    </row>
    <row r="199" spans="1:4" x14ac:dyDescent="0.25">
      <c r="A199" s="10" t="s">
        <v>290</v>
      </c>
      <c r="B199" s="15">
        <v>0</v>
      </c>
      <c r="C199" t="s">
        <v>3028</v>
      </c>
    </row>
    <row r="200" spans="1:4" x14ac:dyDescent="0.25">
      <c r="A200" s="10" t="s">
        <v>292</v>
      </c>
      <c r="B200" s="15">
        <v>0</v>
      </c>
      <c r="C200" t="s">
        <v>3028</v>
      </c>
    </row>
    <row r="201" spans="1:4" x14ac:dyDescent="0.25">
      <c r="A201" s="10" t="s">
        <v>292</v>
      </c>
      <c r="B201" s="15">
        <v>0</v>
      </c>
      <c r="C201" t="s">
        <v>3028</v>
      </c>
    </row>
    <row r="202" spans="1:4" x14ac:dyDescent="0.25">
      <c r="A202" s="10" t="s">
        <v>294</v>
      </c>
      <c r="B202" s="15">
        <v>0</v>
      </c>
      <c r="C202" t="s">
        <v>3028</v>
      </c>
    </row>
    <row r="203" spans="1:4" x14ac:dyDescent="0.25">
      <c r="A203" s="10" t="s">
        <v>294</v>
      </c>
      <c r="B203" s="15">
        <v>0</v>
      </c>
      <c r="C203" t="s">
        <v>3028</v>
      </c>
    </row>
    <row r="204" spans="1:4" x14ac:dyDescent="0.25">
      <c r="A204" s="10" t="s">
        <v>296</v>
      </c>
      <c r="B204" s="15">
        <v>0</v>
      </c>
      <c r="C204" t="s">
        <v>3028</v>
      </c>
    </row>
    <row r="205" spans="1:4" x14ac:dyDescent="0.25">
      <c r="A205" s="10" t="s">
        <v>296</v>
      </c>
      <c r="B205" s="15">
        <v>0</v>
      </c>
      <c r="C205" t="s">
        <v>3028</v>
      </c>
    </row>
    <row r="206" spans="1:4" x14ac:dyDescent="0.25">
      <c r="A206" s="10" t="s">
        <v>296</v>
      </c>
      <c r="B206" s="15">
        <v>2112.13</v>
      </c>
      <c r="D206" t="s">
        <v>3028</v>
      </c>
    </row>
    <row r="207" spans="1:4" x14ac:dyDescent="0.25">
      <c r="A207" s="10" t="s">
        <v>298</v>
      </c>
      <c r="B207" s="15">
        <v>0</v>
      </c>
      <c r="C207" t="s">
        <v>3028</v>
      </c>
    </row>
    <row r="208" spans="1:4" x14ac:dyDescent="0.25">
      <c r="A208" s="10" t="s">
        <v>298</v>
      </c>
      <c r="B208" s="15">
        <v>0</v>
      </c>
      <c r="C208" t="s">
        <v>3028</v>
      </c>
    </row>
    <row r="209" spans="1:3" x14ac:dyDescent="0.25">
      <c r="A209" s="10" t="s">
        <v>300</v>
      </c>
      <c r="B209" s="15">
        <v>0</v>
      </c>
      <c r="C209" t="s">
        <v>3028</v>
      </c>
    </row>
    <row r="210" spans="1:3" x14ac:dyDescent="0.25">
      <c r="A210" s="10" t="s">
        <v>300</v>
      </c>
      <c r="B210" s="15">
        <v>0</v>
      </c>
      <c r="C210" t="s">
        <v>3028</v>
      </c>
    </row>
    <row r="211" spans="1:3" x14ac:dyDescent="0.25">
      <c r="A211" s="10" t="s">
        <v>302</v>
      </c>
      <c r="B211" s="15">
        <v>0</v>
      </c>
      <c r="C211" t="s">
        <v>3028</v>
      </c>
    </row>
    <row r="212" spans="1:3" x14ac:dyDescent="0.25">
      <c r="A212" s="10" t="s">
        <v>302</v>
      </c>
      <c r="B212" s="15">
        <v>0</v>
      </c>
      <c r="C212" t="s">
        <v>3028</v>
      </c>
    </row>
    <row r="213" spans="1:3" x14ac:dyDescent="0.25">
      <c r="A213" s="10" t="s">
        <v>304</v>
      </c>
      <c r="B213" s="15">
        <v>0</v>
      </c>
      <c r="C213" t="s">
        <v>3028</v>
      </c>
    </row>
    <row r="214" spans="1:3" x14ac:dyDescent="0.25">
      <c r="A214" s="10" t="s">
        <v>304</v>
      </c>
      <c r="B214" s="15">
        <v>0</v>
      </c>
      <c r="C214" t="s">
        <v>3028</v>
      </c>
    </row>
    <row r="215" spans="1:3" x14ac:dyDescent="0.25">
      <c r="A215" s="10" t="s">
        <v>306</v>
      </c>
      <c r="B215" s="15">
        <v>0</v>
      </c>
      <c r="C215" t="s">
        <v>3028</v>
      </c>
    </row>
    <row r="216" spans="1:3" x14ac:dyDescent="0.25">
      <c r="A216" s="10" t="s">
        <v>306</v>
      </c>
      <c r="B216" s="15">
        <v>0</v>
      </c>
      <c r="C216" t="s">
        <v>3028</v>
      </c>
    </row>
    <row r="217" spans="1:3" x14ac:dyDescent="0.25">
      <c r="A217" s="10" t="s">
        <v>308</v>
      </c>
      <c r="B217" s="15">
        <v>0</v>
      </c>
      <c r="C217" t="s">
        <v>3028</v>
      </c>
    </row>
    <row r="218" spans="1:3" x14ac:dyDescent="0.25">
      <c r="A218" s="10" t="s">
        <v>308</v>
      </c>
      <c r="B218" s="15">
        <v>0</v>
      </c>
      <c r="C218" t="s">
        <v>3028</v>
      </c>
    </row>
    <row r="219" spans="1:3" x14ac:dyDescent="0.25">
      <c r="A219" s="10" t="s">
        <v>310</v>
      </c>
      <c r="B219" s="15">
        <v>0</v>
      </c>
      <c r="C219" t="s">
        <v>3028</v>
      </c>
    </row>
    <row r="220" spans="1:3" x14ac:dyDescent="0.25">
      <c r="A220" s="10" t="s">
        <v>310</v>
      </c>
      <c r="B220" s="15">
        <v>0</v>
      </c>
      <c r="C220" t="s">
        <v>3028</v>
      </c>
    </row>
    <row r="221" spans="1:3" x14ac:dyDescent="0.25">
      <c r="A221" s="10" t="s">
        <v>312</v>
      </c>
      <c r="B221" s="15">
        <v>0</v>
      </c>
      <c r="C221" t="s">
        <v>3028</v>
      </c>
    </row>
    <row r="222" spans="1:3" x14ac:dyDescent="0.25">
      <c r="A222" s="10" t="s">
        <v>312</v>
      </c>
      <c r="B222" s="15">
        <v>0</v>
      </c>
      <c r="C222" t="s">
        <v>3028</v>
      </c>
    </row>
    <row r="223" spans="1:3" x14ac:dyDescent="0.25">
      <c r="A223" s="10" t="s">
        <v>314</v>
      </c>
      <c r="B223" s="15">
        <v>0</v>
      </c>
      <c r="C223" t="s">
        <v>3028</v>
      </c>
    </row>
    <row r="224" spans="1:3" x14ac:dyDescent="0.25">
      <c r="A224" s="10" t="s">
        <v>314</v>
      </c>
      <c r="B224" s="15">
        <v>0</v>
      </c>
      <c r="C224" t="s">
        <v>3028</v>
      </c>
    </row>
    <row r="225" spans="1:3" x14ac:dyDescent="0.25">
      <c r="A225" s="10" t="s">
        <v>316</v>
      </c>
      <c r="B225" s="15">
        <v>0</v>
      </c>
      <c r="C225" t="s">
        <v>3028</v>
      </c>
    </row>
    <row r="226" spans="1:3" x14ac:dyDescent="0.25">
      <c r="A226" s="10" t="s">
        <v>316</v>
      </c>
      <c r="B226" s="15">
        <v>0</v>
      </c>
      <c r="C226" t="s">
        <v>3028</v>
      </c>
    </row>
    <row r="227" spans="1:3" x14ac:dyDescent="0.25">
      <c r="A227" s="10" t="s">
        <v>318</v>
      </c>
      <c r="B227" s="15">
        <v>0</v>
      </c>
      <c r="C227" t="s">
        <v>3028</v>
      </c>
    </row>
    <row r="228" spans="1:3" x14ac:dyDescent="0.25">
      <c r="A228" s="10" t="s">
        <v>318</v>
      </c>
      <c r="B228" s="15">
        <v>0</v>
      </c>
      <c r="C228" t="s">
        <v>3028</v>
      </c>
    </row>
    <row r="229" spans="1:3" x14ac:dyDescent="0.25">
      <c r="A229" s="10" t="s">
        <v>320</v>
      </c>
      <c r="B229" s="15">
        <v>0</v>
      </c>
      <c r="C229" t="s">
        <v>3028</v>
      </c>
    </row>
    <row r="230" spans="1:3" x14ac:dyDescent="0.25">
      <c r="A230" s="10" t="s">
        <v>320</v>
      </c>
      <c r="B230" s="15">
        <v>0</v>
      </c>
      <c r="C230" t="s">
        <v>3028</v>
      </c>
    </row>
    <row r="231" spans="1:3" x14ac:dyDescent="0.25">
      <c r="A231" s="10" t="s">
        <v>322</v>
      </c>
      <c r="B231" s="15">
        <v>0</v>
      </c>
      <c r="C231" t="s">
        <v>3028</v>
      </c>
    </row>
    <row r="232" spans="1:3" x14ac:dyDescent="0.25">
      <c r="A232" s="10" t="s">
        <v>322</v>
      </c>
      <c r="B232" s="15">
        <v>0</v>
      </c>
      <c r="C232" t="s">
        <v>3028</v>
      </c>
    </row>
    <row r="233" spans="1:3" x14ac:dyDescent="0.25">
      <c r="A233" s="10" t="s">
        <v>324</v>
      </c>
      <c r="B233" s="15">
        <v>0</v>
      </c>
      <c r="C233" t="s">
        <v>3028</v>
      </c>
    </row>
    <row r="234" spans="1:3" x14ac:dyDescent="0.25">
      <c r="A234" s="10" t="s">
        <v>324</v>
      </c>
      <c r="B234" s="15">
        <v>0</v>
      </c>
      <c r="C234" t="s">
        <v>3028</v>
      </c>
    </row>
    <row r="235" spans="1:3" x14ac:dyDescent="0.25">
      <c r="A235" s="10" t="s">
        <v>326</v>
      </c>
      <c r="B235" s="15">
        <v>0</v>
      </c>
      <c r="C235" t="s">
        <v>3028</v>
      </c>
    </row>
    <row r="236" spans="1:3" x14ac:dyDescent="0.25">
      <c r="A236" s="10" t="s">
        <v>326</v>
      </c>
      <c r="B236" s="15">
        <v>0</v>
      </c>
      <c r="C236" t="s">
        <v>3028</v>
      </c>
    </row>
    <row r="237" spans="1:3" x14ac:dyDescent="0.25">
      <c r="A237" s="10" t="s">
        <v>328</v>
      </c>
      <c r="B237" s="15">
        <v>0</v>
      </c>
      <c r="C237" t="s">
        <v>3028</v>
      </c>
    </row>
    <row r="238" spans="1:3" x14ac:dyDescent="0.25">
      <c r="A238" s="10" t="s">
        <v>328</v>
      </c>
      <c r="B238" s="15">
        <v>0</v>
      </c>
      <c r="C238" t="s">
        <v>3028</v>
      </c>
    </row>
    <row r="239" spans="1:3" x14ac:dyDescent="0.25">
      <c r="A239" s="10" t="s">
        <v>330</v>
      </c>
      <c r="B239" s="15">
        <v>0</v>
      </c>
      <c r="C239" t="s">
        <v>3028</v>
      </c>
    </row>
    <row r="240" spans="1:3" x14ac:dyDescent="0.25">
      <c r="A240" s="10" t="s">
        <v>330</v>
      </c>
      <c r="B240" s="15">
        <v>0</v>
      </c>
      <c r="C240" t="s">
        <v>3028</v>
      </c>
    </row>
    <row r="241" spans="1:3" x14ac:dyDescent="0.25">
      <c r="A241" s="10" t="s">
        <v>332</v>
      </c>
      <c r="B241" s="15">
        <v>0</v>
      </c>
      <c r="C241" t="s">
        <v>3028</v>
      </c>
    </row>
    <row r="242" spans="1:3" x14ac:dyDescent="0.25">
      <c r="A242" s="10" t="s">
        <v>332</v>
      </c>
      <c r="B242" s="15">
        <v>0</v>
      </c>
      <c r="C242" t="s">
        <v>3028</v>
      </c>
    </row>
    <row r="243" spans="1:3" x14ac:dyDescent="0.25">
      <c r="A243" s="10" t="s">
        <v>334</v>
      </c>
      <c r="B243" s="15">
        <v>0</v>
      </c>
      <c r="C243" t="s">
        <v>3028</v>
      </c>
    </row>
    <row r="244" spans="1:3" x14ac:dyDescent="0.25">
      <c r="A244" s="10" t="s">
        <v>334</v>
      </c>
      <c r="B244" s="15">
        <v>0</v>
      </c>
      <c r="C244" t="s">
        <v>3028</v>
      </c>
    </row>
    <row r="245" spans="1:3" x14ac:dyDescent="0.25">
      <c r="A245" s="10" t="s">
        <v>338</v>
      </c>
      <c r="B245" s="15">
        <v>0</v>
      </c>
      <c r="C245" t="s">
        <v>3028</v>
      </c>
    </row>
    <row r="246" spans="1:3" x14ac:dyDescent="0.25">
      <c r="A246" s="10" t="s">
        <v>338</v>
      </c>
      <c r="B246" s="15">
        <v>0</v>
      </c>
      <c r="C246" t="s">
        <v>3028</v>
      </c>
    </row>
    <row r="247" spans="1:3" x14ac:dyDescent="0.25">
      <c r="A247" s="10" t="s">
        <v>340</v>
      </c>
      <c r="B247" s="15">
        <v>0</v>
      </c>
      <c r="C247" t="s">
        <v>3028</v>
      </c>
    </row>
    <row r="248" spans="1:3" x14ac:dyDescent="0.25">
      <c r="A248" s="10" t="s">
        <v>340</v>
      </c>
      <c r="B248" s="15">
        <v>0</v>
      </c>
      <c r="C248" t="s">
        <v>3028</v>
      </c>
    </row>
    <row r="249" spans="1:3" x14ac:dyDescent="0.25">
      <c r="A249" s="10" t="s">
        <v>342</v>
      </c>
      <c r="B249" s="15">
        <v>0</v>
      </c>
      <c r="C249" t="s">
        <v>3028</v>
      </c>
    </row>
    <row r="250" spans="1:3" x14ac:dyDescent="0.25">
      <c r="A250" s="10" t="s">
        <v>342</v>
      </c>
      <c r="B250" s="15">
        <v>0</v>
      </c>
      <c r="C250" t="s">
        <v>3028</v>
      </c>
    </row>
    <row r="251" spans="1:3" x14ac:dyDescent="0.25">
      <c r="A251" s="10" t="s">
        <v>344</v>
      </c>
      <c r="B251" s="15">
        <v>0</v>
      </c>
      <c r="C251" t="s">
        <v>3028</v>
      </c>
    </row>
    <row r="252" spans="1:3" x14ac:dyDescent="0.25">
      <c r="A252" s="10" t="s">
        <v>344</v>
      </c>
      <c r="B252" s="15">
        <v>0</v>
      </c>
      <c r="C252" t="s">
        <v>3028</v>
      </c>
    </row>
    <row r="253" spans="1:3" x14ac:dyDescent="0.25">
      <c r="A253" s="10" t="s">
        <v>346</v>
      </c>
      <c r="B253" s="15">
        <v>0</v>
      </c>
      <c r="C253" t="s">
        <v>3028</v>
      </c>
    </row>
    <row r="254" spans="1:3" x14ac:dyDescent="0.25">
      <c r="A254" s="10" t="s">
        <v>346</v>
      </c>
      <c r="B254" s="15">
        <v>0</v>
      </c>
      <c r="C254" t="s">
        <v>3028</v>
      </c>
    </row>
    <row r="255" spans="1:3" x14ac:dyDescent="0.25">
      <c r="A255" s="10" t="s">
        <v>348</v>
      </c>
      <c r="B255" s="15">
        <v>0</v>
      </c>
      <c r="C255" t="s">
        <v>3028</v>
      </c>
    </row>
    <row r="256" spans="1:3" x14ac:dyDescent="0.25">
      <c r="A256" s="10" t="s">
        <v>348</v>
      </c>
      <c r="B256" s="15">
        <v>0</v>
      </c>
      <c r="C256" t="s">
        <v>3028</v>
      </c>
    </row>
    <row r="257" spans="1:4" x14ac:dyDescent="0.25">
      <c r="A257" s="10" t="s">
        <v>350</v>
      </c>
      <c r="B257" s="15">
        <v>0</v>
      </c>
      <c r="C257" t="s">
        <v>3028</v>
      </c>
    </row>
    <row r="258" spans="1:4" x14ac:dyDescent="0.25">
      <c r="A258" s="10" t="s">
        <v>350</v>
      </c>
      <c r="B258" s="15">
        <v>0</v>
      </c>
      <c r="C258" t="s">
        <v>3028</v>
      </c>
    </row>
    <row r="259" spans="1:4" x14ac:dyDescent="0.25">
      <c r="A259" s="10" t="s">
        <v>352</v>
      </c>
      <c r="B259" s="15">
        <v>0</v>
      </c>
      <c r="C259" t="s">
        <v>3028</v>
      </c>
    </row>
    <row r="260" spans="1:4" x14ac:dyDescent="0.25">
      <c r="A260" s="10" t="s">
        <v>352</v>
      </c>
      <c r="B260" s="15">
        <v>0</v>
      </c>
      <c r="C260" t="s">
        <v>3028</v>
      </c>
    </row>
    <row r="261" spans="1:4" x14ac:dyDescent="0.25">
      <c r="A261" s="10" t="s">
        <v>354</v>
      </c>
      <c r="B261" s="15">
        <v>0</v>
      </c>
      <c r="C261" t="s">
        <v>3028</v>
      </c>
    </row>
    <row r="262" spans="1:4" x14ac:dyDescent="0.25">
      <c r="A262" s="10" t="s">
        <v>354</v>
      </c>
      <c r="B262" s="15">
        <v>0</v>
      </c>
      <c r="C262" t="s">
        <v>3028</v>
      </c>
    </row>
    <row r="263" spans="1:4" x14ac:dyDescent="0.25">
      <c r="A263" s="10" t="s">
        <v>354</v>
      </c>
      <c r="B263" s="15">
        <v>1300</v>
      </c>
      <c r="D263" t="s">
        <v>3028</v>
      </c>
    </row>
    <row r="264" spans="1:4" x14ac:dyDescent="0.25">
      <c r="A264" s="10" t="s">
        <v>356</v>
      </c>
      <c r="B264" s="15">
        <v>0</v>
      </c>
      <c r="C264" t="s">
        <v>3028</v>
      </c>
    </row>
    <row r="265" spans="1:4" x14ac:dyDescent="0.25">
      <c r="A265" s="10" t="s">
        <v>356</v>
      </c>
      <c r="B265" s="15">
        <v>0</v>
      </c>
      <c r="C265" t="s">
        <v>3028</v>
      </c>
    </row>
    <row r="266" spans="1:4" x14ac:dyDescent="0.25">
      <c r="A266" s="10" t="s">
        <v>358</v>
      </c>
      <c r="B266" s="15">
        <v>0</v>
      </c>
      <c r="C266" t="s">
        <v>3028</v>
      </c>
    </row>
    <row r="267" spans="1:4" x14ac:dyDescent="0.25">
      <c r="A267" s="10" t="s">
        <v>358</v>
      </c>
      <c r="B267" s="15">
        <v>0</v>
      </c>
      <c r="C267" t="s">
        <v>3028</v>
      </c>
    </row>
    <row r="268" spans="1:4" x14ac:dyDescent="0.25">
      <c r="A268" s="10" t="s">
        <v>360</v>
      </c>
      <c r="B268" s="15">
        <v>0</v>
      </c>
      <c r="C268" t="s">
        <v>3028</v>
      </c>
    </row>
    <row r="269" spans="1:4" x14ac:dyDescent="0.25">
      <c r="A269" s="10" t="s">
        <v>360</v>
      </c>
      <c r="B269" s="15">
        <v>0</v>
      </c>
      <c r="C269" t="s">
        <v>3028</v>
      </c>
    </row>
    <row r="270" spans="1:4" x14ac:dyDescent="0.25">
      <c r="A270" s="10" t="s">
        <v>362</v>
      </c>
      <c r="B270" s="15">
        <v>0</v>
      </c>
      <c r="C270" t="s">
        <v>3028</v>
      </c>
    </row>
    <row r="271" spans="1:4" x14ac:dyDescent="0.25">
      <c r="A271" s="10" t="s">
        <v>362</v>
      </c>
      <c r="B271" s="15">
        <v>0</v>
      </c>
      <c r="C271" t="s">
        <v>3028</v>
      </c>
    </row>
    <row r="272" spans="1:4" x14ac:dyDescent="0.25">
      <c r="A272" s="10" t="s">
        <v>364</v>
      </c>
      <c r="B272" s="15">
        <v>0</v>
      </c>
      <c r="C272" t="s">
        <v>3028</v>
      </c>
    </row>
    <row r="273" spans="1:4" x14ac:dyDescent="0.25">
      <c r="A273" s="10" t="s">
        <v>364</v>
      </c>
      <c r="B273" s="15">
        <v>0</v>
      </c>
      <c r="C273" t="s">
        <v>3028</v>
      </c>
    </row>
    <row r="274" spans="1:4" x14ac:dyDescent="0.25">
      <c r="A274" s="10" t="s">
        <v>366</v>
      </c>
      <c r="B274" s="15">
        <v>0</v>
      </c>
      <c r="C274" t="s">
        <v>3028</v>
      </c>
    </row>
    <row r="275" spans="1:4" x14ac:dyDescent="0.25">
      <c r="A275" s="10" t="s">
        <v>366</v>
      </c>
      <c r="B275" s="15">
        <v>0</v>
      </c>
      <c r="C275" t="s">
        <v>3028</v>
      </c>
    </row>
    <row r="276" spans="1:4" x14ac:dyDescent="0.25">
      <c r="A276" s="10" t="s">
        <v>368</v>
      </c>
      <c r="B276" s="15">
        <v>0</v>
      </c>
      <c r="C276" t="s">
        <v>3028</v>
      </c>
    </row>
    <row r="277" spans="1:4" x14ac:dyDescent="0.25">
      <c r="A277" s="10" t="s">
        <v>368</v>
      </c>
      <c r="B277" s="15">
        <v>0</v>
      </c>
      <c r="C277" t="s">
        <v>3028</v>
      </c>
    </row>
    <row r="278" spans="1:4" x14ac:dyDescent="0.25">
      <c r="A278" s="10" t="s">
        <v>370</v>
      </c>
      <c r="B278" s="15">
        <v>0</v>
      </c>
      <c r="C278" t="s">
        <v>3028</v>
      </c>
    </row>
    <row r="279" spans="1:4" x14ac:dyDescent="0.25">
      <c r="A279" s="10" t="s">
        <v>370</v>
      </c>
      <c r="B279" s="15">
        <v>0</v>
      </c>
      <c r="C279" t="s">
        <v>3028</v>
      </c>
    </row>
    <row r="280" spans="1:4" x14ac:dyDescent="0.25">
      <c r="A280" s="10" t="s">
        <v>372</v>
      </c>
      <c r="B280" s="15">
        <v>0</v>
      </c>
      <c r="C280" t="s">
        <v>3028</v>
      </c>
    </row>
    <row r="281" spans="1:4" x14ac:dyDescent="0.25">
      <c r="A281" s="10" t="s">
        <v>372</v>
      </c>
      <c r="B281" s="15">
        <v>0</v>
      </c>
      <c r="C281" t="s">
        <v>3028</v>
      </c>
    </row>
    <row r="282" spans="1:4" x14ac:dyDescent="0.25">
      <c r="A282" s="10" t="s">
        <v>374</v>
      </c>
      <c r="B282" s="15">
        <v>0</v>
      </c>
      <c r="C282" t="s">
        <v>3028</v>
      </c>
    </row>
    <row r="283" spans="1:4" x14ac:dyDescent="0.25">
      <c r="A283" s="10" t="s">
        <v>374</v>
      </c>
      <c r="B283" s="15">
        <v>0</v>
      </c>
      <c r="C283" t="s">
        <v>3028</v>
      </c>
    </row>
    <row r="284" spans="1:4" x14ac:dyDescent="0.25">
      <c r="A284" s="10" t="s">
        <v>376</v>
      </c>
      <c r="B284" s="15">
        <v>0</v>
      </c>
      <c r="C284" t="s">
        <v>3028</v>
      </c>
    </row>
    <row r="285" spans="1:4" x14ac:dyDescent="0.25">
      <c r="A285" s="10" t="s">
        <v>376</v>
      </c>
      <c r="B285" s="15">
        <v>0</v>
      </c>
      <c r="C285" t="s">
        <v>3028</v>
      </c>
    </row>
    <row r="286" spans="1:4" x14ac:dyDescent="0.25">
      <c r="A286" s="10" t="s">
        <v>376</v>
      </c>
      <c r="B286" s="15">
        <v>2794.59</v>
      </c>
      <c r="D286" t="s">
        <v>3028</v>
      </c>
    </row>
    <row r="287" spans="1:4" x14ac:dyDescent="0.25">
      <c r="A287" s="10" t="s">
        <v>378</v>
      </c>
      <c r="B287" s="15">
        <v>0</v>
      </c>
      <c r="C287" t="s">
        <v>3028</v>
      </c>
    </row>
    <row r="288" spans="1:4" x14ac:dyDescent="0.25">
      <c r="A288" s="10" t="s">
        <v>378</v>
      </c>
      <c r="B288" s="15">
        <v>0</v>
      </c>
      <c r="C288" t="s">
        <v>3028</v>
      </c>
    </row>
    <row r="289" spans="1:3" x14ac:dyDescent="0.25">
      <c r="A289" s="10" t="s">
        <v>380</v>
      </c>
      <c r="B289" s="15">
        <v>0</v>
      </c>
      <c r="C289" t="s">
        <v>3028</v>
      </c>
    </row>
    <row r="290" spans="1:3" x14ac:dyDescent="0.25">
      <c r="A290" s="10" t="s">
        <v>380</v>
      </c>
      <c r="B290" s="15">
        <v>0</v>
      </c>
      <c r="C290" t="s">
        <v>3028</v>
      </c>
    </row>
    <row r="291" spans="1:3" x14ac:dyDescent="0.25">
      <c r="A291" s="10" t="s">
        <v>382</v>
      </c>
      <c r="B291" s="15">
        <v>0</v>
      </c>
      <c r="C291" t="s">
        <v>3028</v>
      </c>
    </row>
    <row r="292" spans="1:3" x14ac:dyDescent="0.25">
      <c r="A292" s="10" t="s">
        <v>382</v>
      </c>
      <c r="B292" s="15">
        <v>0</v>
      </c>
      <c r="C292" t="s">
        <v>3028</v>
      </c>
    </row>
    <row r="293" spans="1:3" x14ac:dyDescent="0.25">
      <c r="A293" s="10" t="s">
        <v>384</v>
      </c>
      <c r="B293" s="15">
        <v>0</v>
      </c>
      <c r="C293" t="s">
        <v>3028</v>
      </c>
    </row>
    <row r="294" spans="1:3" x14ac:dyDescent="0.25">
      <c r="A294" s="10" t="s">
        <v>384</v>
      </c>
      <c r="B294" s="15">
        <v>0</v>
      </c>
      <c r="C294" t="s">
        <v>3028</v>
      </c>
    </row>
    <row r="295" spans="1:3" x14ac:dyDescent="0.25">
      <c r="A295" s="10" t="s">
        <v>386</v>
      </c>
      <c r="B295" s="15">
        <v>0</v>
      </c>
      <c r="C295" t="s">
        <v>3028</v>
      </c>
    </row>
    <row r="296" spans="1:3" x14ac:dyDescent="0.25">
      <c r="A296" s="10" t="s">
        <v>386</v>
      </c>
      <c r="B296" s="15">
        <v>0</v>
      </c>
      <c r="C296" t="s">
        <v>3028</v>
      </c>
    </row>
    <row r="297" spans="1:3" x14ac:dyDescent="0.25">
      <c r="A297" s="10" t="s">
        <v>388</v>
      </c>
      <c r="B297" s="15">
        <v>0</v>
      </c>
      <c r="C297" t="s">
        <v>3028</v>
      </c>
    </row>
    <row r="298" spans="1:3" x14ac:dyDescent="0.25">
      <c r="A298" s="10" t="s">
        <v>388</v>
      </c>
      <c r="B298" s="15">
        <v>0</v>
      </c>
      <c r="C298" t="s">
        <v>3028</v>
      </c>
    </row>
    <row r="299" spans="1:3" x14ac:dyDescent="0.25">
      <c r="A299" s="10" t="s">
        <v>390</v>
      </c>
      <c r="B299" s="15">
        <v>0</v>
      </c>
      <c r="C299" t="s">
        <v>3028</v>
      </c>
    </row>
    <row r="300" spans="1:3" x14ac:dyDescent="0.25">
      <c r="A300" s="10" t="s">
        <v>390</v>
      </c>
      <c r="B300" s="15">
        <v>0</v>
      </c>
      <c r="C300" t="s">
        <v>3028</v>
      </c>
    </row>
    <row r="301" spans="1:3" x14ac:dyDescent="0.25">
      <c r="A301" s="10" t="s">
        <v>392</v>
      </c>
      <c r="B301" s="15">
        <v>0</v>
      </c>
      <c r="C301" t="s">
        <v>3028</v>
      </c>
    </row>
    <row r="302" spans="1:3" x14ac:dyDescent="0.25">
      <c r="A302" s="10" t="s">
        <v>392</v>
      </c>
      <c r="B302" s="15">
        <v>0</v>
      </c>
      <c r="C302" t="s">
        <v>3028</v>
      </c>
    </row>
    <row r="303" spans="1:3" x14ac:dyDescent="0.25">
      <c r="A303" s="10" t="s">
        <v>394</v>
      </c>
      <c r="B303" s="15">
        <v>0</v>
      </c>
      <c r="C303" t="s">
        <v>3028</v>
      </c>
    </row>
    <row r="304" spans="1:3" x14ac:dyDescent="0.25">
      <c r="A304" s="10" t="s">
        <v>394</v>
      </c>
      <c r="B304" s="15">
        <v>0</v>
      </c>
      <c r="C304" t="s">
        <v>3028</v>
      </c>
    </row>
    <row r="305" spans="1:3" x14ac:dyDescent="0.25">
      <c r="A305" s="10" t="s">
        <v>396</v>
      </c>
      <c r="B305" s="15">
        <v>0</v>
      </c>
      <c r="C305" t="s">
        <v>3028</v>
      </c>
    </row>
    <row r="306" spans="1:3" x14ac:dyDescent="0.25">
      <c r="A306" s="10" t="s">
        <v>396</v>
      </c>
      <c r="B306" s="15">
        <v>0</v>
      </c>
      <c r="C306" t="s">
        <v>3028</v>
      </c>
    </row>
    <row r="307" spans="1:3" x14ac:dyDescent="0.25">
      <c r="A307" s="10" t="s">
        <v>398</v>
      </c>
      <c r="B307" s="15">
        <v>0</v>
      </c>
      <c r="C307" t="s">
        <v>3028</v>
      </c>
    </row>
    <row r="308" spans="1:3" x14ac:dyDescent="0.25">
      <c r="A308" s="10" t="s">
        <v>398</v>
      </c>
      <c r="B308" s="15">
        <v>0</v>
      </c>
      <c r="C308" t="s">
        <v>3028</v>
      </c>
    </row>
    <row r="309" spans="1:3" x14ac:dyDescent="0.25">
      <c r="A309" s="10" t="s">
        <v>400</v>
      </c>
      <c r="B309" s="15">
        <v>0</v>
      </c>
      <c r="C309" t="s">
        <v>3028</v>
      </c>
    </row>
    <row r="310" spans="1:3" x14ac:dyDescent="0.25">
      <c r="A310" s="10" t="s">
        <v>400</v>
      </c>
      <c r="B310" s="15">
        <v>0</v>
      </c>
      <c r="C310" t="s">
        <v>3028</v>
      </c>
    </row>
    <row r="311" spans="1:3" x14ac:dyDescent="0.25">
      <c r="A311" s="10" t="s">
        <v>402</v>
      </c>
      <c r="B311" s="15">
        <v>0</v>
      </c>
      <c r="C311" t="s">
        <v>3028</v>
      </c>
    </row>
    <row r="312" spans="1:3" x14ac:dyDescent="0.25">
      <c r="A312" s="10" t="s">
        <v>402</v>
      </c>
      <c r="B312" s="15">
        <v>0</v>
      </c>
      <c r="C312" t="s">
        <v>3028</v>
      </c>
    </row>
    <row r="313" spans="1:3" x14ac:dyDescent="0.25">
      <c r="A313" s="10" t="s">
        <v>404</v>
      </c>
      <c r="B313" s="15">
        <v>0</v>
      </c>
      <c r="C313" t="s">
        <v>3028</v>
      </c>
    </row>
    <row r="314" spans="1:3" x14ac:dyDescent="0.25">
      <c r="A314" s="10" t="s">
        <v>404</v>
      </c>
      <c r="B314" s="15">
        <v>0</v>
      </c>
      <c r="C314" t="s">
        <v>3028</v>
      </c>
    </row>
    <row r="315" spans="1:3" x14ac:dyDescent="0.25">
      <c r="A315" s="10" t="s">
        <v>406</v>
      </c>
      <c r="B315" s="15">
        <v>0</v>
      </c>
      <c r="C315" t="s">
        <v>3028</v>
      </c>
    </row>
    <row r="316" spans="1:3" x14ac:dyDescent="0.25">
      <c r="A316" s="10" t="s">
        <v>406</v>
      </c>
      <c r="B316" s="15">
        <v>0</v>
      </c>
      <c r="C316" t="s">
        <v>3028</v>
      </c>
    </row>
    <row r="317" spans="1:3" x14ac:dyDescent="0.25">
      <c r="A317" s="10" t="s">
        <v>408</v>
      </c>
      <c r="B317" s="15">
        <v>0</v>
      </c>
      <c r="C317" t="s">
        <v>3028</v>
      </c>
    </row>
    <row r="318" spans="1:3" x14ac:dyDescent="0.25">
      <c r="A318" s="10" t="s">
        <v>408</v>
      </c>
      <c r="B318" s="15">
        <v>0</v>
      </c>
      <c r="C318" t="s">
        <v>3028</v>
      </c>
    </row>
    <row r="319" spans="1:3" x14ac:dyDescent="0.25">
      <c r="A319" s="10" t="s">
        <v>410</v>
      </c>
      <c r="B319" s="15">
        <v>0</v>
      </c>
      <c r="C319" t="s">
        <v>3028</v>
      </c>
    </row>
    <row r="320" spans="1:3" x14ac:dyDescent="0.25">
      <c r="A320" s="10" t="s">
        <v>410</v>
      </c>
      <c r="B320" s="15">
        <v>0</v>
      </c>
      <c r="C320" t="s">
        <v>3028</v>
      </c>
    </row>
    <row r="321" spans="1:3" x14ac:dyDescent="0.25">
      <c r="A321" s="10" t="s">
        <v>412</v>
      </c>
      <c r="B321" s="15">
        <v>0</v>
      </c>
      <c r="C321" t="s">
        <v>3028</v>
      </c>
    </row>
    <row r="322" spans="1:3" x14ac:dyDescent="0.25">
      <c r="A322" s="10" t="s">
        <v>412</v>
      </c>
      <c r="B322" s="15">
        <v>0</v>
      </c>
      <c r="C322" t="s">
        <v>3028</v>
      </c>
    </row>
    <row r="323" spans="1:3" x14ac:dyDescent="0.25">
      <c r="A323" s="10" t="s">
        <v>414</v>
      </c>
      <c r="B323" s="15">
        <v>0</v>
      </c>
      <c r="C323" t="s">
        <v>3028</v>
      </c>
    </row>
    <row r="324" spans="1:3" x14ac:dyDescent="0.25">
      <c r="A324" s="10" t="s">
        <v>414</v>
      </c>
      <c r="B324" s="15">
        <v>0</v>
      </c>
      <c r="C324" t="s">
        <v>3028</v>
      </c>
    </row>
    <row r="325" spans="1:3" x14ac:dyDescent="0.25">
      <c r="A325" s="10" t="s">
        <v>416</v>
      </c>
      <c r="B325" s="15">
        <v>0</v>
      </c>
      <c r="C325" t="s">
        <v>3028</v>
      </c>
    </row>
    <row r="326" spans="1:3" x14ac:dyDescent="0.25">
      <c r="A326" s="10" t="s">
        <v>416</v>
      </c>
      <c r="B326" s="15">
        <v>0</v>
      </c>
      <c r="C326" t="s">
        <v>3028</v>
      </c>
    </row>
    <row r="327" spans="1:3" x14ac:dyDescent="0.25">
      <c r="A327" s="10" t="s">
        <v>418</v>
      </c>
      <c r="B327" s="15">
        <v>0</v>
      </c>
      <c r="C327" t="s">
        <v>3028</v>
      </c>
    </row>
    <row r="328" spans="1:3" x14ac:dyDescent="0.25">
      <c r="A328" s="10" t="s">
        <v>418</v>
      </c>
      <c r="B328" s="15">
        <v>0</v>
      </c>
      <c r="C328" t="s">
        <v>3028</v>
      </c>
    </row>
    <row r="329" spans="1:3" x14ac:dyDescent="0.25">
      <c r="A329" s="10" t="s">
        <v>420</v>
      </c>
      <c r="B329" s="15">
        <v>0</v>
      </c>
      <c r="C329" t="s">
        <v>3028</v>
      </c>
    </row>
    <row r="330" spans="1:3" x14ac:dyDescent="0.25">
      <c r="A330" s="10" t="s">
        <v>420</v>
      </c>
      <c r="B330" s="15">
        <v>0</v>
      </c>
      <c r="C330" t="s">
        <v>3028</v>
      </c>
    </row>
    <row r="331" spans="1:3" x14ac:dyDescent="0.25">
      <c r="A331" s="10" t="s">
        <v>422</v>
      </c>
      <c r="B331" s="15">
        <v>0</v>
      </c>
      <c r="C331" t="s">
        <v>3028</v>
      </c>
    </row>
    <row r="332" spans="1:3" x14ac:dyDescent="0.25">
      <c r="A332" s="10" t="s">
        <v>422</v>
      </c>
      <c r="B332" s="15">
        <v>0</v>
      </c>
      <c r="C332" t="s">
        <v>3028</v>
      </c>
    </row>
    <row r="333" spans="1:3" x14ac:dyDescent="0.25">
      <c r="A333" s="10" t="s">
        <v>424</v>
      </c>
      <c r="B333" s="15">
        <v>0</v>
      </c>
      <c r="C333" t="s">
        <v>3028</v>
      </c>
    </row>
    <row r="334" spans="1:3" x14ac:dyDescent="0.25">
      <c r="A334" s="10" t="s">
        <v>424</v>
      </c>
      <c r="B334" s="15">
        <v>0</v>
      </c>
      <c r="C334" t="s">
        <v>3028</v>
      </c>
    </row>
    <row r="335" spans="1:3" x14ac:dyDescent="0.25">
      <c r="A335" s="10" t="s">
        <v>426</v>
      </c>
      <c r="B335" s="15">
        <v>0</v>
      </c>
      <c r="C335" t="s">
        <v>3028</v>
      </c>
    </row>
    <row r="336" spans="1:3" x14ac:dyDescent="0.25">
      <c r="A336" s="10" t="s">
        <v>426</v>
      </c>
      <c r="B336" s="15">
        <v>0</v>
      </c>
      <c r="C336" t="s">
        <v>3028</v>
      </c>
    </row>
    <row r="337" spans="1:3" x14ac:dyDescent="0.25">
      <c r="A337" s="10" t="s">
        <v>428</v>
      </c>
      <c r="B337" s="15">
        <v>0</v>
      </c>
      <c r="C337" t="s">
        <v>3028</v>
      </c>
    </row>
    <row r="338" spans="1:3" x14ac:dyDescent="0.25">
      <c r="A338" s="10" t="s">
        <v>428</v>
      </c>
      <c r="B338" s="15">
        <v>0</v>
      </c>
      <c r="C338" t="s">
        <v>3028</v>
      </c>
    </row>
    <row r="339" spans="1:3" x14ac:dyDescent="0.25">
      <c r="A339" s="10" t="s">
        <v>430</v>
      </c>
      <c r="B339" s="15">
        <v>0</v>
      </c>
      <c r="C339" t="s">
        <v>3028</v>
      </c>
    </row>
    <row r="340" spans="1:3" x14ac:dyDescent="0.25">
      <c r="A340" s="10" t="s">
        <v>430</v>
      </c>
      <c r="B340" s="15">
        <v>0</v>
      </c>
      <c r="C340" t="s">
        <v>3028</v>
      </c>
    </row>
    <row r="341" spans="1:3" x14ac:dyDescent="0.25">
      <c r="A341" s="10" t="s">
        <v>432</v>
      </c>
      <c r="B341" s="15">
        <v>0</v>
      </c>
      <c r="C341" t="s">
        <v>3028</v>
      </c>
    </row>
    <row r="342" spans="1:3" x14ac:dyDescent="0.25">
      <c r="A342" s="10" t="s">
        <v>432</v>
      </c>
      <c r="B342" s="15">
        <v>0</v>
      </c>
      <c r="C342" t="s">
        <v>3028</v>
      </c>
    </row>
    <row r="343" spans="1:3" x14ac:dyDescent="0.25">
      <c r="A343" s="10" t="s">
        <v>434</v>
      </c>
      <c r="B343" s="15">
        <v>0</v>
      </c>
      <c r="C343" t="s">
        <v>3028</v>
      </c>
    </row>
    <row r="344" spans="1:3" x14ac:dyDescent="0.25">
      <c r="A344" s="10" t="s">
        <v>434</v>
      </c>
      <c r="B344" s="15">
        <v>0</v>
      </c>
      <c r="C344" t="s">
        <v>3028</v>
      </c>
    </row>
    <row r="345" spans="1:3" x14ac:dyDescent="0.25">
      <c r="A345" s="10" t="s">
        <v>436</v>
      </c>
      <c r="B345" s="15">
        <v>0</v>
      </c>
      <c r="C345" t="s">
        <v>3028</v>
      </c>
    </row>
    <row r="346" spans="1:3" x14ac:dyDescent="0.25">
      <c r="A346" s="10" t="s">
        <v>436</v>
      </c>
      <c r="B346" s="15">
        <v>0</v>
      </c>
      <c r="C346" t="s">
        <v>3028</v>
      </c>
    </row>
    <row r="347" spans="1:3" x14ac:dyDescent="0.25">
      <c r="A347" s="10" t="s">
        <v>438</v>
      </c>
      <c r="B347" s="15">
        <v>0</v>
      </c>
      <c r="C347" t="s">
        <v>3028</v>
      </c>
    </row>
    <row r="348" spans="1:3" x14ac:dyDescent="0.25">
      <c r="A348" s="10" t="s">
        <v>438</v>
      </c>
      <c r="B348" s="15">
        <v>0</v>
      </c>
      <c r="C348" t="s">
        <v>3028</v>
      </c>
    </row>
    <row r="349" spans="1:3" x14ac:dyDescent="0.25">
      <c r="A349" s="10" t="s">
        <v>440</v>
      </c>
      <c r="B349" s="15">
        <v>0</v>
      </c>
      <c r="C349" t="s">
        <v>3028</v>
      </c>
    </row>
    <row r="350" spans="1:3" x14ac:dyDescent="0.25">
      <c r="A350" s="10" t="s">
        <v>440</v>
      </c>
      <c r="B350" s="15">
        <v>0</v>
      </c>
      <c r="C350" t="s">
        <v>3028</v>
      </c>
    </row>
    <row r="351" spans="1:3" x14ac:dyDescent="0.25">
      <c r="A351" s="10" t="s">
        <v>442</v>
      </c>
      <c r="B351" s="15">
        <v>0</v>
      </c>
      <c r="C351" t="s">
        <v>3028</v>
      </c>
    </row>
    <row r="352" spans="1:3" x14ac:dyDescent="0.25">
      <c r="A352" s="10" t="s">
        <v>442</v>
      </c>
      <c r="B352" s="15">
        <v>0</v>
      </c>
      <c r="C352" t="s">
        <v>3028</v>
      </c>
    </row>
    <row r="353" spans="1:3" x14ac:dyDescent="0.25">
      <c r="A353" s="10" t="s">
        <v>444</v>
      </c>
      <c r="B353" s="15">
        <v>0</v>
      </c>
      <c r="C353" t="s">
        <v>3028</v>
      </c>
    </row>
    <row r="354" spans="1:3" x14ac:dyDescent="0.25">
      <c r="A354" s="10" t="s">
        <v>444</v>
      </c>
      <c r="B354" s="15">
        <v>0</v>
      </c>
      <c r="C354" t="s">
        <v>3028</v>
      </c>
    </row>
    <row r="355" spans="1:3" x14ac:dyDescent="0.25">
      <c r="A355" s="10" t="s">
        <v>450</v>
      </c>
      <c r="B355" s="15">
        <v>0</v>
      </c>
      <c r="C355" t="s">
        <v>3028</v>
      </c>
    </row>
    <row r="356" spans="1:3" x14ac:dyDescent="0.25">
      <c r="A356" s="10" t="s">
        <v>450</v>
      </c>
      <c r="B356" s="15">
        <v>0</v>
      </c>
      <c r="C356" t="s">
        <v>3028</v>
      </c>
    </row>
    <row r="357" spans="1:3" x14ac:dyDescent="0.25">
      <c r="A357" s="10" t="s">
        <v>452</v>
      </c>
      <c r="B357" s="15">
        <v>0</v>
      </c>
      <c r="C357" t="s">
        <v>3028</v>
      </c>
    </row>
    <row r="358" spans="1:3" x14ac:dyDescent="0.25">
      <c r="A358" s="10" t="s">
        <v>452</v>
      </c>
      <c r="B358" s="15">
        <v>0</v>
      </c>
      <c r="C358" t="s">
        <v>3028</v>
      </c>
    </row>
    <row r="359" spans="1:3" x14ac:dyDescent="0.25">
      <c r="A359" s="10" t="s">
        <v>454</v>
      </c>
      <c r="B359" s="15">
        <v>0</v>
      </c>
      <c r="C359" t="s">
        <v>3028</v>
      </c>
    </row>
    <row r="360" spans="1:3" x14ac:dyDescent="0.25">
      <c r="A360" s="10" t="s">
        <v>454</v>
      </c>
      <c r="B360" s="15">
        <v>0</v>
      </c>
      <c r="C360" t="s">
        <v>3028</v>
      </c>
    </row>
    <row r="361" spans="1:3" x14ac:dyDescent="0.25">
      <c r="A361" s="10" t="s">
        <v>456</v>
      </c>
      <c r="B361" s="15">
        <v>0</v>
      </c>
      <c r="C361" t="s">
        <v>3028</v>
      </c>
    </row>
    <row r="362" spans="1:3" x14ac:dyDescent="0.25">
      <c r="A362" s="10" t="s">
        <v>456</v>
      </c>
      <c r="B362" s="15">
        <v>0</v>
      </c>
      <c r="C362" t="s">
        <v>3028</v>
      </c>
    </row>
    <row r="363" spans="1:3" x14ac:dyDescent="0.25">
      <c r="A363" s="10" t="s">
        <v>458</v>
      </c>
      <c r="B363" s="15">
        <v>0</v>
      </c>
      <c r="C363" t="s">
        <v>3028</v>
      </c>
    </row>
    <row r="364" spans="1:3" x14ac:dyDescent="0.25">
      <c r="A364" s="10" t="s">
        <v>458</v>
      </c>
      <c r="B364" s="15">
        <v>0</v>
      </c>
      <c r="C364" t="s">
        <v>3028</v>
      </c>
    </row>
    <row r="365" spans="1:3" x14ac:dyDescent="0.25">
      <c r="A365" s="10" t="s">
        <v>460</v>
      </c>
      <c r="B365" s="15">
        <v>0</v>
      </c>
      <c r="C365" t="s">
        <v>3028</v>
      </c>
    </row>
    <row r="366" spans="1:3" x14ac:dyDescent="0.25">
      <c r="A366" s="10" t="s">
        <v>460</v>
      </c>
      <c r="B366" s="15">
        <v>0</v>
      </c>
      <c r="C366" t="s">
        <v>3028</v>
      </c>
    </row>
    <row r="367" spans="1:3" x14ac:dyDescent="0.25">
      <c r="A367" s="10" t="s">
        <v>462</v>
      </c>
      <c r="B367" s="15">
        <v>0</v>
      </c>
      <c r="C367" t="s">
        <v>3028</v>
      </c>
    </row>
    <row r="368" spans="1:3" x14ac:dyDescent="0.25">
      <c r="A368" s="10" t="s">
        <v>462</v>
      </c>
      <c r="B368" s="15">
        <v>0</v>
      </c>
      <c r="C368" t="s">
        <v>3028</v>
      </c>
    </row>
    <row r="369" spans="1:3" x14ac:dyDescent="0.25">
      <c r="A369" s="10" t="s">
        <v>464</v>
      </c>
      <c r="B369" s="15">
        <v>0</v>
      </c>
      <c r="C369" t="s">
        <v>3028</v>
      </c>
    </row>
    <row r="370" spans="1:3" x14ac:dyDescent="0.25">
      <c r="A370" s="10" t="s">
        <v>464</v>
      </c>
      <c r="B370" s="15">
        <v>0</v>
      </c>
      <c r="C370" t="s">
        <v>3028</v>
      </c>
    </row>
    <row r="371" spans="1:3" x14ac:dyDescent="0.25">
      <c r="A371" s="10" t="s">
        <v>466</v>
      </c>
      <c r="B371" s="15">
        <v>0</v>
      </c>
      <c r="C371" t="s">
        <v>3028</v>
      </c>
    </row>
    <row r="372" spans="1:3" x14ac:dyDescent="0.25">
      <c r="A372" s="10" t="s">
        <v>466</v>
      </c>
      <c r="B372" s="15">
        <v>0</v>
      </c>
      <c r="C372" t="s">
        <v>3028</v>
      </c>
    </row>
    <row r="373" spans="1:3" x14ac:dyDescent="0.25">
      <c r="A373" s="10" t="s">
        <v>468</v>
      </c>
      <c r="B373" s="15">
        <v>0</v>
      </c>
      <c r="C373" t="s">
        <v>3028</v>
      </c>
    </row>
    <row r="374" spans="1:3" x14ac:dyDescent="0.25">
      <c r="A374" s="10" t="s">
        <v>468</v>
      </c>
      <c r="B374" s="15">
        <v>0</v>
      </c>
      <c r="C374" t="s">
        <v>3028</v>
      </c>
    </row>
    <row r="375" spans="1:3" x14ac:dyDescent="0.25">
      <c r="A375" s="10" t="s">
        <v>470</v>
      </c>
      <c r="B375" s="15">
        <v>0</v>
      </c>
      <c r="C375" t="s">
        <v>3028</v>
      </c>
    </row>
    <row r="376" spans="1:3" x14ac:dyDescent="0.25">
      <c r="A376" s="10" t="s">
        <v>470</v>
      </c>
      <c r="B376" s="15">
        <v>0</v>
      </c>
      <c r="C376" t="s">
        <v>3028</v>
      </c>
    </row>
    <row r="377" spans="1:3" x14ac:dyDescent="0.25">
      <c r="A377" s="10" t="s">
        <v>472</v>
      </c>
      <c r="B377" s="15">
        <v>0</v>
      </c>
      <c r="C377" t="s">
        <v>3028</v>
      </c>
    </row>
    <row r="378" spans="1:3" x14ac:dyDescent="0.25">
      <c r="A378" s="10" t="s">
        <v>472</v>
      </c>
      <c r="B378" s="15">
        <v>0</v>
      </c>
      <c r="C378" t="s">
        <v>3028</v>
      </c>
    </row>
    <row r="379" spans="1:3" x14ac:dyDescent="0.25">
      <c r="A379" s="10" t="s">
        <v>474</v>
      </c>
      <c r="B379" s="15">
        <v>0</v>
      </c>
      <c r="C379" t="s">
        <v>3028</v>
      </c>
    </row>
    <row r="380" spans="1:3" x14ac:dyDescent="0.25">
      <c r="A380" s="10" t="s">
        <v>474</v>
      </c>
      <c r="B380" s="15">
        <v>0</v>
      </c>
      <c r="C380" t="s">
        <v>3028</v>
      </c>
    </row>
    <row r="381" spans="1:3" x14ac:dyDescent="0.25">
      <c r="A381" s="10" t="s">
        <v>476</v>
      </c>
      <c r="B381" s="15">
        <v>0</v>
      </c>
      <c r="C381" t="s">
        <v>3028</v>
      </c>
    </row>
    <row r="382" spans="1:3" x14ac:dyDescent="0.25">
      <c r="A382" s="10" t="s">
        <v>476</v>
      </c>
      <c r="B382" s="15">
        <v>0</v>
      </c>
      <c r="C382" t="s">
        <v>3028</v>
      </c>
    </row>
    <row r="383" spans="1:3" x14ac:dyDescent="0.25">
      <c r="A383" s="10" t="s">
        <v>478</v>
      </c>
      <c r="B383" s="15">
        <v>0</v>
      </c>
      <c r="C383" t="s">
        <v>3028</v>
      </c>
    </row>
    <row r="384" spans="1:3" x14ac:dyDescent="0.25">
      <c r="A384" s="10" t="s">
        <v>478</v>
      </c>
      <c r="B384" s="15">
        <v>0</v>
      </c>
      <c r="C384" t="s">
        <v>3028</v>
      </c>
    </row>
    <row r="385" spans="1:3" x14ac:dyDescent="0.25">
      <c r="A385" s="10" t="s">
        <v>480</v>
      </c>
      <c r="B385" s="15">
        <v>0</v>
      </c>
      <c r="C385" t="s">
        <v>3028</v>
      </c>
    </row>
    <row r="386" spans="1:3" x14ac:dyDescent="0.25">
      <c r="A386" s="10" t="s">
        <v>480</v>
      </c>
      <c r="B386" s="15">
        <v>0</v>
      </c>
      <c r="C386" t="s">
        <v>3028</v>
      </c>
    </row>
    <row r="387" spans="1:3" x14ac:dyDescent="0.25">
      <c r="A387" s="10" t="s">
        <v>482</v>
      </c>
      <c r="B387" s="15">
        <v>0</v>
      </c>
      <c r="C387" t="s">
        <v>3028</v>
      </c>
    </row>
    <row r="388" spans="1:3" x14ac:dyDescent="0.25">
      <c r="A388" s="10" t="s">
        <v>482</v>
      </c>
      <c r="B388" s="15">
        <v>0</v>
      </c>
      <c r="C388" t="s">
        <v>3028</v>
      </c>
    </row>
    <row r="389" spans="1:3" x14ac:dyDescent="0.25">
      <c r="A389" s="10" t="s">
        <v>484</v>
      </c>
      <c r="B389" s="15">
        <v>0</v>
      </c>
      <c r="C389" t="s">
        <v>3028</v>
      </c>
    </row>
    <row r="390" spans="1:3" x14ac:dyDescent="0.25">
      <c r="A390" s="10" t="s">
        <v>484</v>
      </c>
      <c r="B390" s="15">
        <v>0</v>
      </c>
      <c r="C390" t="s">
        <v>3028</v>
      </c>
    </row>
    <row r="391" spans="1:3" x14ac:dyDescent="0.25">
      <c r="A391" s="10" t="s">
        <v>486</v>
      </c>
      <c r="B391" s="15">
        <v>0</v>
      </c>
      <c r="C391" t="s">
        <v>3028</v>
      </c>
    </row>
    <row r="392" spans="1:3" x14ac:dyDescent="0.25">
      <c r="A392" s="10" t="s">
        <v>486</v>
      </c>
      <c r="B392" s="15">
        <v>0</v>
      </c>
      <c r="C392" t="s">
        <v>3028</v>
      </c>
    </row>
    <row r="393" spans="1:3" x14ac:dyDescent="0.25">
      <c r="A393" s="10" t="s">
        <v>488</v>
      </c>
      <c r="B393" s="15">
        <v>0</v>
      </c>
      <c r="C393" t="s">
        <v>3028</v>
      </c>
    </row>
    <row r="394" spans="1:3" x14ac:dyDescent="0.25">
      <c r="A394" s="10" t="s">
        <v>488</v>
      </c>
      <c r="B394" s="15">
        <v>0</v>
      </c>
      <c r="C394" t="s">
        <v>3028</v>
      </c>
    </row>
    <row r="395" spans="1:3" x14ac:dyDescent="0.25">
      <c r="A395" s="10" t="s">
        <v>490</v>
      </c>
      <c r="B395" s="15">
        <v>0</v>
      </c>
      <c r="C395" t="s">
        <v>3028</v>
      </c>
    </row>
    <row r="396" spans="1:3" x14ac:dyDescent="0.25">
      <c r="A396" s="10" t="s">
        <v>490</v>
      </c>
      <c r="B396" s="15">
        <v>0</v>
      </c>
      <c r="C396" t="s">
        <v>3028</v>
      </c>
    </row>
    <row r="397" spans="1:3" x14ac:dyDescent="0.25">
      <c r="A397" s="10" t="s">
        <v>492</v>
      </c>
      <c r="B397" s="15">
        <v>0</v>
      </c>
      <c r="C397" t="s">
        <v>3028</v>
      </c>
    </row>
    <row r="398" spans="1:3" x14ac:dyDescent="0.25">
      <c r="A398" s="10" t="s">
        <v>492</v>
      </c>
      <c r="B398" s="15">
        <v>0</v>
      </c>
      <c r="C398" t="s">
        <v>3028</v>
      </c>
    </row>
    <row r="399" spans="1:3" x14ac:dyDescent="0.25">
      <c r="A399" s="10" t="s">
        <v>494</v>
      </c>
      <c r="B399" s="15">
        <v>0</v>
      </c>
      <c r="C399" t="s">
        <v>3028</v>
      </c>
    </row>
    <row r="400" spans="1:3" x14ac:dyDescent="0.25">
      <c r="A400" s="10" t="s">
        <v>494</v>
      </c>
      <c r="B400" s="15">
        <v>0</v>
      </c>
      <c r="C400" t="s">
        <v>3028</v>
      </c>
    </row>
    <row r="401" spans="1:4" x14ac:dyDescent="0.25">
      <c r="A401" s="10" t="s">
        <v>496</v>
      </c>
      <c r="B401" s="15">
        <v>0</v>
      </c>
      <c r="C401" t="s">
        <v>3028</v>
      </c>
    </row>
    <row r="402" spans="1:4" x14ac:dyDescent="0.25">
      <c r="A402" s="10" t="s">
        <v>496</v>
      </c>
      <c r="B402" s="15">
        <v>0</v>
      </c>
      <c r="C402" t="s">
        <v>3028</v>
      </c>
    </row>
    <row r="403" spans="1:4" x14ac:dyDescent="0.25">
      <c r="A403" s="10" t="s">
        <v>500</v>
      </c>
      <c r="B403" s="15">
        <v>0</v>
      </c>
      <c r="C403" t="s">
        <v>3028</v>
      </c>
    </row>
    <row r="404" spans="1:4" x14ac:dyDescent="0.25">
      <c r="A404" s="10" t="s">
        <v>500</v>
      </c>
      <c r="B404" s="15">
        <v>0</v>
      </c>
      <c r="C404" t="s">
        <v>3028</v>
      </c>
    </row>
    <row r="405" spans="1:4" x14ac:dyDescent="0.25">
      <c r="A405" s="10" t="s">
        <v>502</v>
      </c>
      <c r="B405" s="15">
        <v>0</v>
      </c>
      <c r="C405" t="s">
        <v>3028</v>
      </c>
    </row>
    <row r="406" spans="1:4" x14ac:dyDescent="0.25">
      <c r="A406" s="10" t="s">
        <v>502</v>
      </c>
      <c r="B406" s="15">
        <v>0</v>
      </c>
      <c r="C406" t="s">
        <v>3028</v>
      </c>
    </row>
    <row r="407" spans="1:4" x14ac:dyDescent="0.25">
      <c r="A407" s="10" t="s">
        <v>502</v>
      </c>
      <c r="B407" s="15">
        <v>8117.07</v>
      </c>
      <c r="D407" t="s">
        <v>3028</v>
      </c>
    </row>
    <row r="408" spans="1:4" x14ac:dyDescent="0.25">
      <c r="A408" s="10" t="s">
        <v>504</v>
      </c>
      <c r="B408" s="15">
        <v>0</v>
      </c>
      <c r="C408" t="s">
        <v>3028</v>
      </c>
    </row>
    <row r="409" spans="1:4" x14ac:dyDescent="0.25">
      <c r="A409" s="10" t="s">
        <v>504</v>
      </c>
      <c r="B409" s="15">
        <v>0</v>
      </c>
      <c r="C409" t="s">
        <v>3028</v>
      </c>
    </row>
    <row r="410" spans="1:4" x14ac:dyDescent="0.25">
      <c r="A410" s="10" t="s">
        <v>506</v>
      </c>
      <c r="B410" s="15">
        <v>0</v>
      </c>
      <c r="C410" t="s">
        <v>3028</v>
      </c>
    </row>
    <row r="411" spans="1:4" x14ac:dyDescent="0.25">
      <c r="A411" s="10" t="s">
        <v>506</v>
      </c>
      <c r="B411" s="15">
        <v>0</v>
      </c>
      <c r="C411" t="s">
        <v>3028</v>
      </c>
    </row>
    <row r="412" spans="1:4" x14ac:dyDescent="0.25">
      <c r="A412" s="10" t="s">
        <v>508</v>
      </c>
      <c r="B412" s="15">
        <v>0</v>
      </c>
      <c r="C412" t="s">
        <v>3028</v>
      </c>
    </row>
    <row r="413" spans="1:4" x14ac:dyDescent="0.25">
      <c r="A413" s="10" t="s">
        <v>508</v>
      </c>
      <c r="B413" s="15">
        <v>0</v>
      </c>
      <c r="C413" t="s">
        <v>3028</v>
      </c>
    </row>
    <row r="414" spans="1:4" x14ac:dyDescent="0.25">
      <c r="A414" s="10" t="s">
        <v>510</v>
      </c>
      <c r="B414" s="15">
        <v>0</v>
      </c>
      <c r="C414" t="s">
        <v>3028</v>
      </c>
    </row>
    <row r="415" spans="1:4" x14ac:dyDescent="0.25">
      <c r="A415" s="10" t="s">
        <v>510</v>
      </c>
      <c r="B415" s="15">
        <v>0</v>
      </c>
      <c r="C415" t="s">
        <v>3028</v>
      </c>
    </row>
    <row r="416" spans="1:4" x14ac:dyDescent="0.25">
      <c r="A416" s="10" t="s">
        <v>85</v>
      </c>
      <c r="B416" s="15">
        <v>0</v>
      </c>
      <c r="C416" t="s">
        <v>3028</v>
      </c>
    </row>
    <row r="417" spans="1:3" x14ac:dyDescent="0.25">
      <c r="A417" s="10" t="s">
        <v>85</v>
      </c>
      <c r="B417" s="15">
        <v>0</v>
      </c>
      <c r="C417" t="s">
        <v>3028</v>
      </c>
    </row>
    <row r="418" spans="1:3" x14ac:dyDescent="0.25">
      <c r="A418" s="10" t="s">
        <v>512</v>
      </c>
      <c r="B418" s="15">
        <v>0</v>
      </c>
      <c r="C418" t="s">
        <v>3028</v>
      </c>
    </row>
    <row r="419" spans="1:3" x14ac:dyDescent="0.25">
      <c r="A419" s="10" t="s">
        <v>512</v>
      </c>
      <c r="B419" s="15">
        <v>0</v>
      </c>
      <c r="C419" t="s">
        <v>3028</v>
      </c>
    </row>
    <row r="420" spans="1:3" x14ac:dyDescent="0.25">
      <c r="A420" s="10" t="s">
        <v>514</v>
      </c>
      <c r="B420" s="15">
        <v>0</v>
      </c>
      <c r="C420" t="s">
        <v>3028</v>
      </c>
    </row>
    <row r="421" spans="1:3" x14ac:dyDescent="0.25">
      <c r="A421" s="10" t="s">
        <v>514</v>
      </c>
      <c r="B421" s="15">
        <v>0</v>
      </c>
      <c r="C421" t="s">
        <v>3028</v>
      </c>
    </row>
    <row r="422" spans="1:3" x14ac:dyDescent="0.25">
      <c r="A422" s="10" t="s">
        <v>516</v>
      </c>
      <c r="B422" s="15">
        <v>0</v>
      </c>
      <c r="C422" t="s">
        <v>3028</v>
      </c>
    </row>
    <row r="423" spans="1:3" x14ac:dyDescent="0.25">
      <c r="A423" s="10" t="s">
        <v>516</v>
      </c>
      <c r="B423" s="15">
        <v>0</v>
      </c>
      <c r="C423" t="s">
        <v>3028</v>
      </c>
    </row>
    <row r="424" spans="1:3" x14ac:dyDescent="0.25">
      <c r="A424" s="10" t="s">
        <v>518</v>
      </c>
      <c r="B424" s="15">
        <v>0</v>
      </c>
      <c r="C424" t="s">
        <v>3028</v>
      </c>
    </row>
    <row r="425" spans="1:3" x14ac:dyDescent="0.25">
      <c r="A425" s="10" t="s">
        <v>518</v>
      </c>
      <c r="B425" s="15">
        <v>0</v>
      </c>
      <c r="C425" t="s">
        <v>3028</v>
      </c>
    </row>
    <row r="426" spans="1:3" x14ac:dyDescent="0.25">
      <c r="A426" s="10" t="s">
        <v>520</v>
      </c>
      <c r="B426" s="15">
        <v>0</v>
      </c>
      <c r="C426" t="s">
        <v>3028</v>
      </c>
    </row>
    <row r="427" spans="1:3" x14ac:dyDescent="0.25">
      <c r="A427" s="10" t="s">
        <v>520</v>
      </c>
      <c r="B427" s="15">
        <v>0</v>
      </c>
      <c r="C427" t="s">
        <v>3028</v>
      </c>
    </row>
    <row r="428" spans="1:3" x14ac:dyDescent="0.25">
      <c r="A428" s="10" t="s">
        <v>522</v>
      </c>
      <c r="B428" s="15">
        <v>0</v>
      </c>
      <c r="C428" t="s">
        <v>3028</v>
      </c>
    </row>
    <row r="429" spans="1:3" x14ac:dyDescent="0.25">
      <c r="A429" s="10" t="s">
        <v>522</v>
      </c>
      <c r="B429" s="15">
        <v>0</v>
      </c>
      <c r="C429" t="s">
        <v>3028</v>
      </c>
    </row>
    <row r="430" spans="1:3" x14ac:dyDescent="0.25">
      <c r="A430" s="10" t="s">
        <v>524</v>
      </c>
      <c r="B430" s="15">
        <v>0</v>
      </c>
      <c r="C430" t="s">
        <v>3028</v>
      </c>
    </row>
    <row r="431" spans="1:3" x14ac:dyDescent="0.25">
      <c r="A431" s="10" t="s">
        <v>524</v>
      </c>
      <c r="B431" s="15">
        <v>0</v>
      </c>
      <c r="C431" t="s">
        <v>3028</v>
      </c>
    </row>
    <row r="432" spans="1:3" x14ac:dyDescent="0.25">
      <c r="A432" s="10" t="s">
        <v>526</v>
      </c>
      <c r="B432" s="15">
        <v>0</v>
      </c>
      <c r="C432" t="s">
        <v>3028</v>
      </c>
    </row>
    <row r="433" spans="1:4" x14ac:dyDescent="0.25">
      <c r="A433" s="10" t="s">
        <v>526</v>
      </c>
      <c r="B433" s="15">
        <v>0</v>
      </c>
      <c r="C433" t="s">
        <v>3028</v>
      </c>
    </row>
    <row r="434" spans="1:4" x14ac:dyDescent="0.25">
      <c r="A434" s="10" t="s">
        <v>528</v>
      </c>
      <c r="B434" s="15">
        <v>0</v>
      </c>
      <c r="C434" t="s">
        <v>3028</v>
      </c>
    </row>
    <row r="435" spans="1:4" x14ac:dyDescent="0.25">
      <c r="A435" s="10" t="s">
        <v>528</v>
      </c>
      <c r="B435" s="15">
        <v>0</v>
      </c>
      <c r="C435" t="s">
        <v>3028</v>
      </c>
    </row>
    <row r="436" spans="1:4" x14ac:dyDescent="0.25">
      <c r="A436" s="10" t="s">
        <v>530</v>
      </c>
      <c r="B436" s="15">
        <v>0</v>
      </c>
      <c r="C436" t="s">
        <v>3028</v>
      </c>
    </row>
    <row r="437" spans="1:4" x14ac:dyDescent="0.25">
      <c r="A437" s="10" t="s">
        <v>530</v>
      </c>
      <c r="B437" s="15">
        <v>0</v>
      </c>
      <c r="C437" t="s">
        <v>3028</v>
      </c>
    </row>
    <row r="438" spans="1:4" x14ac:dyDescent="0.25">
      <c r="A438" s="10" t="s">
        <v>532</v>
      </c>
      <c r="B438" s="15">
        <v>0</v>
      </c>
      <c r="C438" t="s">
        <v>3028</v>
      </c>
    </row>
    <row r="439" spans="1:4" x14ac:dyDescent="0.25">
      <c r="A439" s="10" t="s">
        <v>532</v>
      </c>
      <c r="B439" s="15">
        <v>0</v>
      </c>
      <c r="C439" t="s">
        <v>3028</v>
      </c>
    </row>
    <row r="440" spans="1:4" x14ac:dyDescent="0.25">
      <c r="A440" s="10" t="s">
        <v>534</v>
      </c>
      <c r="B440" s="15">
        <v>0</v>
      </c>
      <c r="C440" t="s">
        <v>3028</v>
      </c>
    </row>
    <row r="441" spans="1:4" x14ac:dyDescent="0.25">
      <c r="A441" s="10" t="s">
        <v>534</v>
      </c>
      <c r="B441" s="15">
        <v>0</v>
      </c>
      <c r="C441" t="s">
        <v>3028</v>
      </c>
    </row>
    <row r="442" spans="1:4" x14ac:dyDescent="0.25">
      <c r="A442" s="10" t="s">
        <v>536</v>
      </c>
      <c r="B442" s="15">
        <v>0</v>
      </c>
      <c r="C442" t="s">
        <v>3028</v>
      </c>
    </row>
    <row r="443" spans="1:4" x14ac:dyDescent="0.25">
      <c r="A443" s="10" t="s">
        <v>536</v>
      </c>
      <c r="B443" s="15">
        <v>0</v>
      </c>
      <c r="C443" t="s">
        <v>3028</v>
      </c>
    </row>
    <row r="444" spans="1:4" x14ac:dyDescent="0.25">
      <c r="A444" s="10" t="s">
        <v>536</v>
      </c>
      <c r="B444" s="15">
        <v>1766.31</v>
      </c>
      <c r="D444" t="s">
        <v>3028</v>
      </c>
    </row>
    <row r="445" spans="1:4" x14ac:dyDescent="0.25">
      <c r="A445" s="10" t="s">
        <v>538</v>
      </c>
      <c r="B445" s="15">
        <v>0</v>
      </c>
      <c r="C445" t="s">
        <v>3028</v>
      </c>
    </row>
    <row r="446" spans="1:4" x14ac:dyDescent="0.25">
      <c r="A446" s="10" t="s">
        <v>538</v>
      </c>
      <c r="B446" s="15">
        <v>0</v>
      </c>
      <c r="C446" t="s">
        <v>3028</v>
      </c>
    </row>
    <row r="447" spans="1:4" x14ac:dyDescent="0.25">
      <c r="A447" s="10" t="s">
        <v>540</v>
      </c>
      <c r="B447" s="15">
        <v>0</v>
      </c>
      <c r="C447" t="s">
        <v>3028</v>
      </c>
    </row>
    <row r="448" spans="1:4" x14ac:dyDescent="0.25">
      <c r="A448" s="10" t="s">
        <v>540</v>
      </c>
      <c r="B448" s="15">
        <v>0</v>
      </c>
      <c r="C448" t="s">
        <v>3028</v>
      </c>
    </row>
    <row r="449" spans="1:3" x14ac:dyDescent="0.25">
      <c r="A449" s="10" t="s">
        <v>542</v>
      </c>
      <c r="B449" s="15">
        <v>0</v>
      </c>
      <c r="C449" t="s">
        <v>3028</v>
      </c>
    </row>
    <row r="450" spans="1:3" x14ac:dyDescent="0.25">
      <c r="A450" s="10" t="s">
        <v>542</v>
      </c>
      <c r="B450" s="15">
        <v>0</v>
      </c>
      <c r="C450" t="s">
        <v>3028</v>
      </c>
    </row>
    <row r="451" spans="1:3" x14ac:dyDescent="0.25">
      <c r="A451" s="10" t="s">
        <v>544</v>
      </c>
      <c r="B451" s="15">
        <v>0</v>
      </c>
      <c r="C451" t="s">
        <v>3028</v>
      </c>
    </row>
    <row r="452" spans="1:3" x14ac:dyDescent="0.25">
      <c r="A452" s="10" t="s">
        <v>544</v>
      </c>
      <c r="B452" s="15">
        <v>0</v>
      </c>
      <c r="C452" t="s">
        <v>3028</v>
      </c>
    </row>
    <row r="453" spans="1:3" x14ac:dyDescent="0.25">
      <c r="A453" s="10" t="s">
        <v>546</v>
      </c>
      <c r="B453" s="15">
        <v>0</v>
      </c>
      <c r="C453" t="s">
        <v>3028</v>
      </c>
    </row>
    <row r="454" spans="1:3" x14ac:dyDescent="0.25">
      <c r="A454" s="10" t="s">
        <v>546</v>
      </c>
      <c r="B454" s="15">
        <v>0</v>
      </c>
      <c r="C454" t="s">
        <v>3028</v>
      </c>
    </row>
    <row r="455" spans="1:3" x14ac:dyDescent="0.25">
      <c r="A455" s="10" t="s">
        <v>548</v>
      </c>
      <c r="B455" s="15">
        <v>0</v>
      </c>
      <c r="C455" t="s">
        <v>3028</v>
      </c>
    </row>
    <row r="456" spans="1:3" x14ac:dyDescent="0.25">
      <c r="A456" s="10" t="s">
        <v>548</v>
      </c>
      <c r="B456" s="15">
        <v>0</v>
      </c>
      <c r="C456" t="s">
        <v>3028</v>
      </c>
    </row>
    <row r="457" spans="1:3" x14ac:dyDescent="0.25">
      <c r="A457" s="10" t="s">
        <v>550</v>
      </c>
      <c r="B457" s="15">
        <v>0</v>
      </c>
      <c r="C457" t="s">
        <v>3028</v>
      </c>
    </row>
    <row r="458" spans="1:3" x14ac:dyDescent="0.25">
      <c r="A458" s="10" t="s">
        <v>550</v>
      </c>
      <c r="B458" s="15">
        <v>0</v>
      </c>
      <c r="C458" t="s">
        <v>3028</v>
      </c>
    </row>
    <row r="459" spans="1:3" x14ac:dyDescent="0.25">
      <c r="A459" s="10" t="s">
        <v>552</v>
      </c>
      <c r="B459" s="15">
        <v>0</v>
      </c>
      <c r="C459" t="s">
        <v>3028</v>
      </c>
    </row>
    <row r="460" spans="1:3" x14ac:dyDescent="0.25">
      <c r="A460" s="10" t="s">
        <v>552</v>
      </c>
      <c r="B460" s="15">
        <v>0</v>
      </c>
      <c r="C460" t="s">
        <v>3028</v>
      </c>
    </row>
    <row r="461" spans="1:3" x14ac:dyDescent="0.25">
      <c r="A461" s="10" t="s">
        <v>554</v>
      </c>
      <c r="B461" s="15">
        <v>0</v>
      </c>
      <c r="C461" t="s">
        <v>3028</v>
      </c>
    </row>
    <row r="462" spans="1:3" x14ac:dyDescent="0.25">
      <c r="A462" s="10" t="s">
        <v>554</v>
      </c>
      <c r="B462" s="15">
        <v>0</v>
      </c>
      <c r="C462" t="s">
        <v>3028</v>
      </c>
    </row>
    <row r="463" spans="1:3" x14ac:dyDescent="0.25">
      <c r="A463" s="10" t="s">
        <v>556</v>
      </c>
      <c r="B463" s="15">
        <v>0</v>
      </c>
      <c r="C463" t="s">
        <v>3028</v>
      </c>
    </row>
    <row r="464" spans="1:3" x14ac:dyDescent="0.25">
      <c r="A464" s="10" t="s">
        <v>556</v>
      </c>
      <c r="B464" s="15">
        <v>0</v>
      </c>
      <c r="C464" t="s">
        <v>3028</v>
      </c>
    </row>
    <row r="465" spans="1:4" x14ac:dyDescent="0.25">
      <c r="A465" s="10" t="s">
        <v>558</v>
      </c>
      <c r="B465" s="15">
        <v>0</v>
      </c>
      <c r="C465" t="s">
        <v>3028</v>
      </c>
    </row>
    <row r="466" spans="1:4" x14ac:dyDescent="0.25">
      <c r="A466" s="10" t="s">
        <v>558</v>
      </c>
      <c r="B466" s="15">
        <v>0</v>
      </c>
      <c r="C466" t="s">
        <v>3028</v>
      </c>
    </row>
    <row r="467" spans="1:4" x14ac:dyDescent="0.25">
      <c r="A467" s="10" t="s">
        <v>560</v>
      </c>
      <c r="B467" s="15">
        <v>0</v>
      </c>
      <c r="C467" t="s">
        <v>3028</v>
      </c>
    </row>
    <row r="468" spans="1:4" x14ac:dyDescent="0.25">
      <c r="A468" s="10" t="s">
        <v>560</v>
      </c>
      <c r="B468" s="15">
        <v>0</v>
      </c>
      <c r="C468" t="s">
        <v>3028</v>
      </c>
    </row>
    <row r="469" spans="1:4" x14ac:dyDescent="0.25">
      <c r="A469" s="10" t="s">
        <v>562</v>
      </c>
      <c r="B469" s="15">
        <v>0</v>
      </c>
      <c r="C469" t="s">
        <v>3028</v>
      </c>
    </row>
    <row r="470" spans="1:4" x14ac:dyDescent="0.25">
      <c r="A470" s="10" t="s">
        <v>562</v>
      </c>
      <c r="B470" s="15">
        <v>0</v>
      </c>
      <c r="C470" t="s">
        <v>3028</v>
      </c>
    </row>
    <row r="471" spans="1:4" x14ac:dyDescent="0.25">
      <c r="A471" s="10" t="s">
        <v>564</v>
      </c>
      <c r="B471" s="15">
        <v>0</v>
      </c>
      <c r="C471" t="s">
        <v>3028</v>
      </c>
    </row>
    <row r="472" spans="1:4" x14ac:dyDescent="0.25">
      <c r="A472" s="10" t="s">
        <v>564</v>
      </c>
      <c r="B472" s="15">
        <v>0</v>
      </c>
      <c r="C472" t="s">
        <v>3028</v>
      </c>
    </row>
    <row r="473" spans="1:4" x14ac:dyDescent="0.25">
      <c r="A473" s="10" t="s">
        <v>566</v>
      </c>
      <c r="B473" s="15">
        <v>0</v>
      </c>
      <c r="C473" t="s">
        <v>3028</v>
      </c>
    </row>
    <row r="474" spans="1:4" x14ac:dyDescent="0.25">
      <c r="A474" s="10" t="s">
        <v>566</v>
      </c>
      <c r="B474" s="15">
        <v>0</v>
      </c>
      <c r="C474" t="s">
        <v>3028</v>
      </c>
    </row>
    <row r="475" spans="1:4" x14ac:dyDescent="0.25">
      <c r="A475" s="10" t="s">
        <v>566</v>
      </c>
      <c r="B475" s="15">
        <v>7216.23</v>
      </c>
      <c r="D475" t="s">
        <v>3028</v>
      </c>
    </row>
    <row r="476" spans="1:4" x14ac:dyDescent="0.25">
      <c r="A476" s="10" t="s">
        <v>568</v>
      </c>
      <c r="B476" s="15">
        <v>0</v>
      </c>
      <c r="C476" t="s">
        <v>3028</v>
      </c>
    </row>
    <row r="477" spans="1:4" x14ac:dyDescent="0.25">
      <c r="A477" s="10" t="s">
        <v>568</v>
      </c>
      <c r="B477" s="15">
        <v>0</v>
      </c>
      <c r="C477" t="s">
        <v>3028</v>
      </c>
    </row>
    <row r="478" spans="1:4" x14ac:dyDescent="0.25">
      <c r="A478" s="10" t="s">
        <v>570</v>
      </c>
      <c r="B478" s="15">
        <v>0</v>
      </c>
      <c r="C478" t="s">
        <v>3028</v>
      </c>
    </row>
    <row r="479" spans="1:4" x14ac:dyDescent="0.25">
      <c r="A479" s="10" t="s">
        <v>570</v>
      </c>
      <c r="B479" s="15">
        <v>0</v>
      </c>
      <c r="C479" t="s">
        <v>3028</v>
      </c>
    </row>
    <row r="480" spans="1:4" x14ac:dyDescent="0.25">
      <c r="A480" s="10" t="s">
        <v>572</v>
      </c>
      <c r="B480" s="15">
        <v>0</v>
      </c>
      <c r="C480" t="s">
        <v>3028</v>
      </c>
    </row>
    <row r="481" spans="1:3" x14ac:dyDescent="0.25">
      <c r="A481" s="10" t="s">
        <v>572</v>
      </c>
      <c r="B481" s="15">
        <v>0</v>
      </c>
      <c r="C481" t="s">
        <v>3028</v>
      </c>
    </row>
    <row r="482" spans="1:3" x14ac:dyDescent="0.25">
      <c r="A482" s="10" t="s">
        <v>574</v>
      </c>
      <c r="B482" s="15">
        <v>0</v>
      </c>
      <c r="C482" t="s">
        <v>3028</v>
      </c>
    </row>
    <row r="483" spans="1:3" x14ac:dyDescent="0.25">
      <c r="A483" s="10" t="s">
        <v>574</v>
      </c>
      <c r="B483" s="15">
        <v>0</v>
      </c>
      <c r="C483" t="s">
        <v>3028</v>
      </c>
    </row>
    <row r="484" spans="1:3" x14ac:dyDescent="0.25">
      <c r="A484" s="10" t="s">
        <v>576</v>
      </c>
      <c r="B484" s="15">
        <v>0</v>
      </c>
      <c r="C484" t="s">
        <v>3028</v>
      </c>
    </row>
    <row r="485" spans="1:3" x14ac:dyDescent="0.25">
      <c r="A485" s="10" t="s">
        <v>576</v>
      </c>
      <c r="B485" s="15">
        <v>0</v>
      </c>
      <c r="C485" t="s">
        <v>3028</v>
      </c>
    </row>
    <row r="486" spans="1:3" x14ac:dyDescent="0.25">
      <c r="A486" s="10" t="s">
        <v>578</v>
      </c>
      <c r="B486" s="15">
        <v>0</v>
      </c>
      <c r="C486" t="s">
        <v>3028</v>
      </c>
    </row>
    <row r="487" spans="1:3" x14ac:dyDescent="0.25">
      <c r="A487" s="10" t="s">
        <v>578</v>
      </c>
      <c r="B487" s="15">
        <v>0</v>
      </c>
      <c r="C487" t="s">
        <v>3028</v>
      </c>
    </row>
    <row r="488" spans="1:3" x14ac:dyDescent="0.25">
      <c r="A488" s="10" t="s">
        <v>580</v>
      </c>
      <c r="B488" s="15">
        <v>0</v>
      </c>
      <c r="C488" t="s">
        <v>3028</v>
      </c>
    </row>
    <row r="489" spans="1:3" x14ac:dyDescent="0.25">
      <c r="A489" s="10" t="s">
        <v>580</v>
      </c>
      <c r="B489" s="15">
        <v>0</v>
      </c>
      <c r="C489" t="s">
        <v>3028</v>
      </c>
    </row>
    <row r="490" spans="1:3" x14ac:dyDescent="0.25">
      <c r="A490" s="10" t="s">
        <v>582</v>
      </c>
      <c r="B490" s="15">
        <v>0</v>
      </c>
      <c r="C490" t="s">
        <v>3028</v>
      </c>
    </row>
    <row r="491" spans="1:3" x14ac:dyDescent="0.25">
      <c r="A491" s="10" t="s">
        <v>582</v>
      </c>
      <c r="B491" s="15">
        <v>0</v>
      </c>
      <c r="C491" t="s">
        <v>3028</v>
      </c>
    </row>
    <row r="492" spans="1:3" x14ac:dyDescent="0.25">
      <c r="A492" s="10" t="s">
        <v>584</v>
      </c>
      <c r="B492" s="15">
        <v>0</v>
      </c>
      <c r="C492" t="s">
        <v>3028</v>
      </c>
    </row>
    <row r="493" spans="1:3" x14ac:dyDescent="0.25">
      <c r="A493" s="10" t="s">
        <v>584</v>
      </c>
      <c r="B493" s="15">
        <v>0</v>
      </c>
      <c r="C493" t="s">
        <v>3028</v>
      </c>
    </row>
    <row r="494" spans="1:3" x14ac:dyDescent="0.25">
      <c r="A494" s="10" t="s">
        <v>586</v>
      </c>
      <c r="B494" s="15">
        <v>0</v>
      </c>
      <c r="C494" t="s">
        <v>3028</v>
      </c>
    </row>
    <row r="495" spans="1:3" x14ac:dyDescent="0.25">
      <c r="A495" s="10" t="s">
        <v>586</v>
      </c>
      <c r="B495" s="15">
        <v>0</v>
      </c>
      <c r="C495" t="s">
        <v>3028</v>
      </c>
    </row>
    <row r="496" spans="1:3" x14ac:dyDescent="0.25">
      <c r="A496" s="10" t="s">
        <v>588</v>
      </c>
      <c r="B496" s="15">
        <v>0</v>
      </c>
      <c r="C496" t="s">
        <v>3028</v>
      </c>
    </row>
    <row r="497" spans="1:3" x14ac:dyDescent="0.25">
      <c r="A497" s="10" t="s">
        <v>588</v>
      </c>
      <c r="B497" s="15">
        <v>0</v>
      </c>
      <c r="C497" t="s">
        <v>3028</v>
      </c>
    </row>
    <row r="498" spans="1:3" x14ac:dyDescent="0.25">
      <c r="A498" s="10" t="s">
        <v>590</v>
      </c>
      <c r="B498" s="15">
        <v>0</v>
      </c>
      <c r="C498" t="s">
        <v>3028</v>
      </c>
    </row>
    <row r="499" spans="1:3" x14ac:dyDescent="0.25">
      <c r="A499" s="10" t="s">
        <v>590</v>
      </c>
      <c r="B499" s="15">
        <v>0</v>
      </c>
      <c r="C499" t="s">
        <v>3028</v>
      </c>
    </row>
    <row r="500" spans="1:3" x14ac:dyDescent="0.25">
      <c r="A500" s="10" t="s">
        <v>592</v>
      </c>
      <c r="B500" s="15">
        <v>0</v>
      </c>
      <c r="C500" t="s">
        <v>3028</v>
      </c>
    </row>
    <row r="501" spans="1:3" x14ac:dyDescent="0.25">
      <c r="A501" s="10" t="s">
        <v>592</v>
      </c>
      <c r="B501" s="15">
        <v>0</v>
      </c>
      <c r="C501" t="s">
        <v>3028</v>
      </c>
    </row>
    <row r="502" spans="1:3" x14ac:dyDescent="0.25">
      <c r="A502" s="10" t="s">
        <v>594</v>
      </c>
      <c r="B502" s="15">
        <v>0</v>
      </c>
      <c r="C502" t="s">
        <v>3028</v>
      </c>
    </row>
    <row r="503" spans="1:3" x14ac:dyDescent="0.25">
      <c r="A503" s="10" t="s">
        <v>594</v>
      </c>
      <c r="B503" s="15">
        <v>0</v>
      </c>
      <c r="C503" t="s">
        <v>3028</v>
      </c>
    </row>
    <row r="504" spans="1:3" x14ac:dyDescent="0.25">
      <c r="A504" s="10" t="s">
        <v>596</v>
      </c>
      <c r="B504" s="15">
        <v>0</v>
      </c>
      <c r="C504" t="s">
        <v>3028</v>
      </c>
    </row>
    <row r="505" spans="1:3" x14ac:dyDescent="0.25">
      <c r="A505" s="10" t="s">
        <v>596</v>
      </c>
      <c r="B505" s="15">
        <v>0</v>
      </c>
      <c r="C505" t="s">
        <v>3028</v>
      </c>
    </row>
    <row r="506" spans="1:3" x14ac:dyDescent="0.25">
      <c r="A506" s="10" t="s">
        <v>598</v>
      </c>
      <c r="B506" s="15">
        <v>0</v>
      </c>
      <c r="C506" t="s">
        <v>3028</v>
      </c>
    </row>
    <row r="507" spans="1:3" x14ac:dyDescent="0.25">
      <c r="A507" s="10" t="s">
        <v>598</v>
      </c>
      <c r="B507" s="15">
        <v>0</v>
      </c>
      <c r="C507" t="s">
        <v>3028</v>
      </c>
    </row>
    <row r="508" spans="1:3" x14ac:dyDescent="0.25">
      <c r="A508" s="10" t="s">
        <v>600</v>
      </c>
      <c r="B508" s="15">
        <v>0</v>
      </c>
      <c r="C508" t="s">
        <v>3028</v>
      </c>
    </row>
    <row r="509" spans="1:3" x14ac:dyDescent="0.25">
      <c r="A509" s="10" t="s">
        <v>600</v>
      </c>
      <c r="B509" s="15">
        <v>0</v>
      </c>
      <c r="C509" t="s">
        <v>3028</v>
      </c>
    </row>
    <row r="510" spans="1:3" x14ac:dyDescent="0.25">
      <c r="A510" s="10" t="s">
        <v>602</v>
      </c>
      <c r="B510" s="15">
        <v>0</v>
      </c>
      <c r="C510" t="s">
        <v>3028</v>
      </c>
    </row>
    <row r="511" spans="1:3" x14ac:dyDescent="0.25">
      <c r="A511" s="10" t="s">
        <v>602</v>
      </c>
      <c r="B511" s="15">
        <v>0</v>
      </c>
      <c r="C511" t="s">
        <v>3028</v>
      </c>
    </row>
    <row r="512" spans="1:3" x14ac:dyDescent="0.25">
      <c r="A512" s="10" t="s">
        <v>604</v>
      </c>
      <c r="B512" s="15">
        <v>0</v>
      </c>
      <c r="C512" t="s">
        <v>3028</v>
      </c>
    </row>
    <row r="513" spans="1:4" x14ac:dyDescent="0.25">
      <c r="A513" s="10" t="s">
        <v>604</v>
      </c>
      <c r="B513" s="15">
        <v>0</v>
      </c>
      <c r="C513" t="s">
        <v>3028</v>
      </c>
    </row>
    <row r="514" spans="1:4" x14ac:dyDescent="0.25">
      <c r="A514" s="10" t="s">
        <v>606</v>
      </c>
      <c r="B514" s="15">
        <v>0</v>
      </c>
      <c r="C514" t="s">
        <v>3028</v>
      </c>
    </row>
    <row r="515" spans="1:4" x14ac:dyDescent="0.25">
      <c r="A515" s="10" t="s">
        <v>606</v>
      </c>
      <c r="B515" s="15">
        <v>0</v>
      </c>
      <c r="C515" t="s">
        <v>3028</v>
      </c>
    </row>
    <row r="516" spans="1:4" x14ac:dyDescent="0.25">
      <c r="A516" s="10" t="s">
        <v>608</v>
      </c>
      <c r="B516" s="15">
        <v>0</v>
      </c>
      <c r="C516" t="s">
        <v>3028</v>
      </c>
    </row>
    <row r="517" spans="1:4" x14ac:dyDescent="0.25">
      <c r="A517" s="10" t="s">
        <v>608</v>
      </c>
      <c r="B517" s="15">
        <v>0</v>
      </c>
      <c r="C517" t="s">
        <v>3028</v>
      </c>
    </row>
    <row r="518" spans="1:4" x14ac:dyDescent="0.25">
      <c r="A518" s="10" t="s">
        <v>610</v>
      </c>
      <c r="B518" s="15">
        <v>0</v>
      </c>
      <c r="C518" t="s">
        <v>3028</v>
      </c>
    </row>
    <row r="519" spans="1:4" x14ac:dyDescent="0.25">
      <c r="A519" s="10" t="s">
        <v>610</v>
      </c>
      <c r="B519" s="15">
        <v>0</v>
      </c>
      <c r="C519" t="s">
        <v>3028</v>
      </c>
    </row>
    <row r="520" spans="1:4" x14ac:dyDescent="0.25">
      <c r="A520" s="10" t="s">
        <v>612</v>
      </c>
      <c r="B520" s="15">
        <v>0</v>
      </c>
      <c r="C520" t="s">
        <v>3028</v>
      </c>
    </row>
    <row r="521" spans="1:4" x14ac:dyDescent="0.25">
      <c r="A521" s="10" t="s">
        <v>612</v>
      </c>
      <c r="B521" s="15">
        <v>0</v>
      </c>
      <c r="C521" t="s">
        <v>3028</v>
      </c>
    </row>
    <row r="522" spans="1:4" x14ac:dyDescent="0.25">
      <c r="A522" s="10" t="s">
        <v>614</v>
      </c>
      <c r="B522" s="15">
        <v>0</v>
      </c>
      <c r="C522" t="s">
        <v>3028</v>
      </c>
    </row>
    <row r="523" spans="1:4" x14ac:dyDescent="0.25">
      <c r="A523" s="10" t="s">
        <v>614</v>
      </c>
      <c r="B523" s="15">
        <v>0</v>
      </c>
      <c r="C523" t="s">
        <v>3028</v>
      </c>
    </row>
    <row r="524" spans="1:4" x14ac:dyDescent="0.25">
      <c r="A524" s="10" t="s">
        <v>616</v>
      </c>
      <c r="B524" s="15">
        <v>0</v>
      </c>
      <c r="C524" t="s">
        <v>3028</v>
      </c>
    </row>
    <row r="525" spans="1:4" x14ac:dyDescent="0.25">
      <c r="A525" s="10" t="s">
        <v>616</v>
      </c>
      <c r="B525" s="15">
        <v>0</v>
      </c>
      <c r="C525" t="s">
        <v>3028</v>
      </c>
    </row>
    <row r="526" spans="1:4" x14ac:dyDescent="0.25">
      <c r="A526" s="10" t="s">
        <v>616</v>
      </c>
      <c r="B526" s="15">
        <v>8542.8700000000008</v>
      </c>
      <c r="D526" t="s">
        <v>3028</v>
      </c>
    </row>
    <row r="527" spans="1:4" x14ac:dyDescent="0.25">
      <c r="A527" s="10" t="s">
        <v>618</v>
      </c>
      <c r="B527" s="15">
        <v>0</v>
      </c>
      <c r="C527" t="s">
        <v>3028</v>
      </c>
    </row>
    <row r="528" spans="1:4" x14ac:dyDescent="0.25">
      <c r="A528" s="10" t="s">
        <v>618</v>
      </c>
      <c r="B528" s="15">
        <v>0</v>
      </c>
      <c r="C528" t="s">
        <v>3028</v>
      </c>
    </row>
    <row r="529" spans="1:4" x14ac:dyDescent="0.25">
      <c r="A529" s="10" t="s">
        <v>620</v>
      </c>
      <c r="B529" s="15">
        <v>0</v>
      </c>
      <c r="C529" t="s">
        <v>3028</v>
      </c>
    </row>
    <row r="530" spans="1:4" x14ac:dyDescent="0.25">
      <c r="A530" s="10" t="s">
        <v>620</v>
      </c>
      <c r="B530" s="15">
        <v>0</v>
      </c>
      <c r="C530" t="s">
        <v>3028</v>
      </c>
    </row>
    <row r="531" spans="1:4" x14ac:dyDescent="0.25">
      <c r="A531" s="10" t="s">
        <v>622</v>
      </c>
      <c r="B531" s="15">
        <v>0</v>
      </c>
      <c r="C531" t="s">
        <v>3028</v>
      </c>
    </row>
    <row r="532" spans="1:4" x14ac:dyDescent="0.25">
      <c r="A532" s="10" t="s">
        <v>622</v>
      </c>
      <c r="B532" s="15">
        <v>0</v>
      </c>
      <c r="C532" t="s">
        <v>3028</v>
      </c>
    </row>
    <row r="533" spans="1:4" x14ac:dyDescent="0.25">
      <c r="A533" s="10" t="s">
        <v>624</v>
      </c>
      <c r="B533" s="15">
        <v>0</v>
      </c>
      <c r="C533" t="s">
        <v>3028</v>
      </c>
    </row>
    <row r="534" spans="1:4" x14ac:dyDescent="0.25">
      <c r="A534" s="10" t="s">
        <v>624</v>
      </c>
      <c r="B534" s="15">
        <v>0</v>
      </c>
      <c r="C534" t="s">
        <v>3028</v>
      </c>
    </row>
    <row r="535" spans="1:4" x14ac:dyDescent="0.25">
      <c r="A535" s="10" t="s">
        <v>626</v>
      </c>
      <c r="B535" s="15">
        <v>0</v>
      </c>
      <c r="C535" t="s">
        <v>3028</v>
      </c>
    </row>
    <row r="536" spans="1:4" x14ac:dyDescent="0.25">
      <c r="A536" s="10" t="s">
        <v>626</v>
      </c>
      <c r="B536" s="15">
        <v>0</v>
      </c>
      <c r="C536" t="s">
        <v>3028</v>
      </c>
    </row>
    <row r="537" spans="1:4" x14ac:dyDescent="0.25">
      <c r="A537" s="10" t="s">
        <v>626</v>
      </c>
      <c r="B537" s="15">
        <v>1766.31</v>
      </c>
      <c r="D537" t="s">
        <v>3028</v>
      </c>
    </row>
    <row r="538" spans="1:4" x14ac:dyDescent="0.25">
      <c r="A538" s="10" t="s">
        <v>628</v>
      </c>
      <c r="B538" s="15">
        <v>0</v>
      </c>
      <c r="C538" t="s">
        <v>3028</v>
      </c>
    </row>
    <row r="539" spans="1:4" x14ac:dyDescent="0.25">
      <c r="A539" s="10" t="s">
        <v>628</v>
      </c>
      <c r="B539" s="15">
        <v>0</v>
      </c>
      <c r="C539" t="s">
        <v>3028</v>
      </c>
    </row>
    <row r="540" spans="1:4" x14ac:dyDescent="0.25">
      <c r="A540" s="10" t="s">
        <v>628</v>
      </c>
      <c r="B540" s="15">
        <v>2539.06</v>
      </c>
      <c r="D540" t="s">
        <v>3028</v>
      </c>
    </row>
    <row r="541" spans="1:4" x14ac:dyDescent="0.25">
      <c r="A541" s="10" t="s">
        <v>630</v>
      </c>
      <c r="B541" s="15">
        <v>0</v>
      </c>
      <c r="C541" t="s">
        <v>3028</v>
      </c>
    </row>
    <row r="542" spans="1:4" x14ac:dyDescent="0.25">
      <c r="A542" s="10" t="s">
        <v>630</v>
      </c>
      <c r="B542" s="15">
        <v>0</v>
      </c>
      <c r="C542" t="s">
        <v>3028</v>
      </c>
    </row>
    <row r="543" spans="1:4" x14ac:dyDescent="0.25">
      <c r="A543" s="10" t="s">
        <v>630</v>
      </c>
      <c r="B543" s="15">
        <v>867.21</v>
      </c>
      <c r="D543" t="s">
        <v>3028</v>
      </c>
    </row>
    <row r="544" spans="1:4" x14ac:dyDescent="0.25">
      <c r="A544" s="10" t="s">
        <v>632</v>
      </c>
      <c r="B544" s="15">
        <v>0</v>
      </c>
      <c r="C544" t="s">
        <v>3028</v>
      </c>
    </row>
    <row r="545" spans="1:3" x14ac:dyDescent="0.25">
      <c r="A545" s="10" t="s">
        <v>632</v>
      </c>
      <c r="B545" s="15">
        <v>0</v>
      </c>
      <c r="C545" t="s">
        <v>3028</v>
      </c>
    </row>
    <row r="546" spans="1:3" x14ac:dyDescent="0.25">
      <c r="A546" s="10" t="s">
        <v>634</v>
      </c>
      <c r="B546" s="15">
        <v>0</v>
      </c>
      <c r="C546" t="s">
        <v>3028</v>
      </c>
    </row>
    <row r="547" spans="1:3" x14ac:dyDescent="0.25">
      <c r="A547" s="10" t="s">
        <v>634</v>
      </c>
      <c r="B547" s="15">
        <v>0</v>
      </c>
      <c r="C547" t="s">
        <v>3028</v>
      </c>
    </row>
    <row r="548" spans="1:3" x14ac:dyDescent="0.25">
      <c r="A548" s="10" t="s">
        <v>636</v>
      </c>
      <c r="B548" s="15">
        <v>0</v>
      </c>
      <c r="C548" t="s">
        <v>3028</v>
      </c>
    </row>
    <row r="549" spans="1:3" x14ac:dyDescent="0.25">
      <c r="A549" s="10" t="s">
        <v>636</v>
      </c>
      <c r="B549" s="15">
        <v>0</v>
      </c>
      <c r="C549" t="s">
        <v>3028</v>
      </c>
    </row>
    <row r="550" spans="1:3" x14ac:dyDescent="0.25">
      <c r="A550" s="10" t="s">
        <v>638</v>
      </c>
      <c r="B550" s="15">
        <v>0</v>
      </c>
      <c r="C550" t="s">
        <v>3028</v>
      </c>
    </row>
    <row r="551" spans="1:3" x14ac:dyDescent="0.25">
      <c r="A551" s="10" t="s">
        <v>638</v>
      </c>
      <c r="B551" s="15">
        <v>0</v>
      </c>
      <c r="C551" t="s">
        <v>3028</v>
      </c>
    </row>
    <row r="552" spans="1:3" x14ac:dyDescent="0.25">
      <c r="A552" s="10" t="s">
        <v>640</v>
      </c>
      <c r="B552" s="15">
        <v>0</v>
      </c>
      <c r="C552" t="s">
        <v>3028</v>
      </c>
    </row>
    <row r="553" spans="1:3" x14ac:dyDescent="0.25">
      <c r="A553" s="10" t="s">
        <v>640</v>
      </c>
      <c r="B553" s="15">
        <v>0</v>
      </c>
      <c r="C553" t="s">
        <v>3028</v>
      </c>
    </row>
    <row r="554" spans="1:3" x14ac:dyDescent="0.25">
      <c r="A554" s="10" t="s">
        <v>642</v>
      </c>
      <c r="B554" s="15">
        <v>0</v>
      </c>
      <c r="C554" t="s">
        <v>3028</v>
      </c>
    </row>
    <row r="555" spans="1:3" x14ac:dyDescent="0.25">
      <c r="A555" s="10" t="s">
        <v>642</v>
      </c>
      <c r="B555" s="15">
        <v>0</v>
      </c>
      <c r="C555" t="s">
        <v>3028</v>
      </c>
    </row>
    <row r="556" spans="1:3" x14ac:dyDescent="0.25">
      <c r="A556" s="10" t="s">
        <v>644</v>
      </c>
      <c r="B556" s="15">
        <v>0</v>
      </c>
      <c r="C556" t="s">
        <v>3028</v>
      </c>
    </row>
    <row r="557" spans="1:3" x14ac:dyDescent="0.25">
      <c r="A557" s="10" t="s">
        <v>644</v>
      </c>
      <c r="B557" s="15">
        <v>0</v>
      </c>
      <c r="C557" t="s">
        <v>3028</v>
      </c>
    </row>
    <row r="558" spans="1:3" x14ac:dyDescent="0.25">
      <c r="A558" s="10" t="s">
        <v>646</v>
      </c>
      <c r="B558" s="15">
        <v>0</v>
      </c>
      <c r="C558" t="s">
        <v>3028</v>
      </c>
    </row>
    <row r="559" spans="1:3" x14ac:dyDescent="0.25">
      <c r="A559" s="10" t="s">
        <v>646</v>
      </c>
      <c r="B559" s="15">
        <v>0</v>
      </c>
      <c r="C559" t="s">
        <v>3028</v>
      </c>
    </row>
    <row r="560" spans="1:3" x14ac:dyDescent="0.25">
      <c r="A560" s="10" t="s">
        <v>648</v>
      </c>
      <c r="B560" s="15">
        <v>0</v>
      </c>
      <c r="C560" t="s">
        <v>3028</v>
      </c>
    </row>
    <row r="561" spans="1:3" x14ac:dyDescent="0.25">
      <c r="A561" s="10" t="s">
        <v>648</v>
      </c>
      <c r="B561" s="15">
        <v>0</v>
      </c>
      <c r="C561" t="s">
        <v>3028</v>
      </c>
    </row>
    <row r="562" spans="1:3" x14ac:dyDescent="0.25">
      <c r="A562" s="10" t="s">
        <v>650</v>
      </c>
      <c r="B562" s="15">
        <v>0</v>
      </c>
      <c r="C562" t="s">
        <v>3028</v>
      </c>
    </row>
    <row r="563" spans="1:3" x14ac:dyDescent="0.25">
      <c r="A563" s="10" t="s">
        <v>650</v>
      </c>
      <c r="B563" s="15">
        <v>0</v>
      </c>
      <c r="C563" t="s">
        <v>3028</v>
      </c>
    </row>
    <row r="564" spans="1:3" x14ac:dyDescent="0.25">
      <c r="A564" s="10" t="s">
        <v>652</v>
      </c>
      <c r="B564" s="15">
        <v>0</v>
      </c>
      <c r="C564" t="s">
        <v>3028</v>
      </c>
    </row>
    <row r="565" spans="1:3" x14ac:dyDescent="0.25">
      <c r="A565" s="10" t="s">
        <v>652</v>
      </c>
      <c r="B565" s="15">
        <v>0</v>
      </c>
      <c r="C565" t="s">
        <v>3028</v>
      </c>
    </row>
    <row r="566" spans="1:3" x14ac:dyDescent="0.25">
      <c r="A566" s="10" t="s">
        <v>654</v>
      </c>
      <c r="B566" s="15">
        <v>0</v>
      </c>
      <c r="C566" t="s">
        <v>3028</v>
      </c>
    </row>
    <row r="567" spans="1:3" x14ac:dyDescent="0.25">
      <c r="A567" s="10" t="s">
        <v>654</v>
      </c>
      <c r="B567" s="15">
        <v>0</v>
      </c>
      <c r="C567" t="s">
        <v>3028</v>
      </c>
    </row>
    <row r="568" spans="1:3" x14ac:dyDescent="0.25">
      <c r="A568" s="10" t="s">
        <v>656</v>
      </c>
      <c r="B568" s="15">
        <v>0</v>
      </c>
      <c r="C568" t="s">
        <v>3028</v>
      </c>
    </row>
    <row r="569" spans="1:3" x14ac:dyDescent="0.25">
      <c r="A569" s="10" t="s">
        <v>656</v>
      </c>
      <c r="B569" s="15">
        <v>0</v>
      </c>
      <c r="C569" t="s">
        <v>3028</v>
      </c>
    </row>
    <row r="570" spans="1:3" x14ac:dyDescent="0.25">
      <c r="A570" s="10" t="s">
        <v>658</v>
      </c>
      <c r="B570" s="15">
        <v>0</v>
      </c>
      <c r="C570" t="s">
        <v>3028</v>
      </c>
    </row>
    <row r="571" spans="1:3" x14ac:dyDescent="0.25">
      <c r="A571" s="10" t="s">
        <v>658</v>
      </c>
      <c r="B571" s="15">
        <v>0</v>
      </c>
      <c r="C571" t="s">
        <v>3028</v>
      </c>
    </row>
    <row r="572" spans="1:3" x14ac:dyDescent="0.25">
      <c r="A572" s="10" t="s">
        <v>660</v>
      </c>
      <c r="B572" s="15">
        <v>0</v>
      </c>
      <c r="C572" t="s">
        <v>3028</v>
      </c>
    </row>
    <row r="573" spans="1:3" x14ac:dyDescent="0.25">
      <c r="A573" s="10" t="s">
        <v>660</v>
      </c>
      <c r="B573" s="15">
        <v>0</v>
      </c>
      <c r="C573" t="s">
        <v>3028</v>
      </c>
    </row>
    <row r="574" spans="1:3" x14ac:dyDescent="0.25">
      <c r="A574" s="10" t="s">
        <v>662</v>
      </c>
      <c r="B574" s="15">
        <v>0</v>
      </c>
      <c r="C574" t="s">
        <v>3028</v>
      </c>
    </row>
    <row r="575" spans="1:3" x14ac:dyDescent="0.25">
      <c r="A575" s="10" t="s">
        <v>662</v>
      </c>
      <c r="B575" s="15">
        <v>0</v>
      </c>
      <c r="C575" t="s">
        <v>3028</v>
      </c>
    </row>
    <row r="576" spans="1:3" x14ac:dyDescent="0.25">
      <c r="A576" s="10" t="s">
        <v>664</v>
      </c>
      <c r="B576" s="15">
        <v>0</v>
      </c>
      <c r="C576" t="s">
        <v>3028</v>
      </c>
    </row>
    <row r="577" spans="1:4" x14ac:dyDescent="0.25">
      <c r="A577" s="10" t="s">
        <v>664</v>
      </c>
      <c r="B577" s="15">
        <v>0</v>
      </c>
      <c r="C577" t="s">
        <v>3028</v>
      </c>
    </row>
    <row r="578" spans="1:4" x14ac:dyDescent="0.25">
      <c r="A578" s="10" t="s">
        <v>666</v>
      </c>
      <c r="B578" s="15">
        <v>0</v>
      </c>
      <c r="C578" t="s">
        <v>3028</v>
      </c>
    </row>
    <row r="579" spans="1:4" x14ac:dyDescent="0.25">
      <c r="A579" s="10" t="s">
        <v>666</v>
      </c>
      <c r="B579" s="15">
        <v>0</v>
      </c>
      <c r="C579" t="s">
        <v>3028</v>
      </c>
    </row>
    <row r="580" spans="1:4" x14ac:dyDescent="0.25">
      <c r="A580" s="10" t="s">
        <v>668</v>
      </c>
      <c r="B580" s="15">
        <v>0</v>
      </c>
      <c r="C580" t="s">
        <v>3028</v>
      </c>
    </row>
    <row r="581" spans="1:4" x14ac:dyDescent="0.25">
      <c r="A581" s="10" t="s">
        <v>668</v>
      </c>
      <c r="B581" s="15">
        <v>0</v>
      </c>
      <c r="C581" t="s">
        <v>3028</v>
      </c>
    </row>
    <row r="582" spans="1:4" x14ac:dyDescent="0.25">
      <c r="A582" s="10" t="s">
        <v>668</v>
      </c>
      <c r="B582" s="15">
        <v>23723.16</v>
      </c>
      <c r="D582" t="s">
        <v>3028</v>
      </c>
    </row>
    <row r="583" spans="1:4" x14ac:dyDescent="0.25">
      <c r="A583" s="10" t="s">
        <v>670</v>
      </c>
      <c r="B583" s="15">
        <v>0</v>
      </c>
      <c r="C583" t="s">
        <v>3028</v>
      </c>
    </row>
    <row r="584" spans="1:4" x14ac:dyDescent="0.25">
      <c r="A584" s="10" t="s">
        <v>670</v>
      </c>
      <c r="B584" s="15">
        <v>0</v>
      </c>
      <c r="C584" t="s">
        <v>3028</v>
      </c>
    </row>
    <row r="585" spans="1:4" x14ac:dyDescent="0.25">
      <c r="A585" s="10" t="s">
        <v>672</v>
      </c>
      <c r="B585" s="15">
        <v>0</v>
      </c>
      <c r="C585" t="s">
        <v>3028</v>
      </c>
    </row>
    <row r="586" spans="1:4" x14ac:dyDescent="0.25">
      <c r="A586" s="10" t="s">
        <v>672</v>
      </c>
      <c r="B586" s="15">
        <v>0</v>
      </c>
      <c r="C586" t="s">
        <v>3028</v>
      </c>
    </row>
    <row r="587" spans="1:4" x14ac:dyDescent="0.25">
      <c r="A587" s="10" t="s">
        <v>674</v>
      </c>
      <c r="B587" s="15">
        <v>0</v>
      </c>
      <c r="C587" t="s">
        <v>3028</v>
      </c>
    </row>
    <row r="588" spans="1:4" x14ac:dyDescent="0.25">
      <c r="A588" s="10" t="s">
        <v>674</v>
      </c>
      <c r="B588" s="15">
        <v>0</v>
      </c>
      <c r="C588" t="s">
        <v>3028</v>
      </c>
    </row>
    <row r="589" spans="1:4" x14ac:dyDescent="0.25">
      <c r="A589" s="10" t="s">
        <v>676</v>
      </c>
      <c r="B589" s="15">
        <v>0</v>
      </c>
      <c r="C589" t="s">
        <v>3028</v>
      </c>
    </row>
    <row r="590" spans="1:4" x14ac:dyDescent="0.25">
      <c r="A590" s="10" t="s">
        <v>676</v>
      </c>
      <c r="B590" s="15">
        <v>0</v>
      </c>
      <c r="C590" t="s">
        <v>3028</v>
      </c>
    </row>
    <row r="591" spans="1:4" x14ac:dyDescent="0.25">
      <c r="A591" s="10" t="s">
        <v>678</v>
      </c>
      <c r="B591" s="15">
        <v>0</v>
      </c>
      <c r="C591" t="s">
        <v>3028</v>
      </c>
    </row>
    <row r="592" spans="1:4" x14ac:dyDescent="0.25">
      <c r="A592" s="10" t="s">
        <v>678</v>
      </c>
      <c r="B592" s="15">
        <v>0</v>
      </c>
      <c r="C592" t="s">
        <v>3028</v>
      </c>
    </row>
    <row r="593" spans="1:4" x14ac:dyDescent="0.25">
      <c r="A593" s="10" t="s">
        <v>680</v>
      </c>
      <c r="B593" s="15">
        <v>0</v>
      </c>
      <c r="C593" t="s">
        <v>3028</v>
      </c>
    </row>
    <row r="594" spans="1:4" x14ac:dyDescent="0.25">
      <c r="A594" s="10" t="s">
        <v>680</v>
      </c>
      <c r="B594" s="15">
        <v>0</v>
      </c>
      <c r="C594" t="s">
        <v>3028</v>
      </c>
    </row>
    <row r="595" spans="1:4" x14ac:dyDescent="0.25">
      <c r="A595" s="10" t="s">
        <v>682</v>
      </c>
      <c r="B595" s="15">
        <v>0</v>
      </c>
      <c r="C595" t="s">
        <v>3028</v>
      </c>
    </row>
    <row r="596" spans="1:4" x14ac:dyDescent="0.25">
      <c r="A596" s="10" t="s">
        <v>682</v>
      </c>
      <c r="B596" s="15">
        <v>0</v>
      </c>
      <c r="C596" t="s">
        <v>3028</v>
      </c>
    </row>
    <row r="597" spans="1:4" x14ac:dyDescent="0.25">
      <c r="A597" s="10" t="s">
        <v>684</v>
      </c>
      <c r="B597" s="15">
        <v>0</v>
      </c>
      <c r="C597" t="s">
        <v>3028</v>
      </c>
    </row>
    <row r="598" spans="1:4" x14ac:dyDescent="0.25">
      <c r="A598" s="10" t="s">
        <v>684</v>
      </c>
      <c r="B598" s="15">
        <v>0</v>
      </c>
      <c r="C598" t="s">
        <v>3028</v>
      </c>
    </row>
    <row r="599" spans="1:4" x14ac:dyDescent="0.25">
      <c r="A599" s="10" t="s">
        <v>686</v>
      </c>
      <c r="B599" s="15">
        <v>0</v>
      </c>
      <c r="C599" t="s">
        <v>3028</v>
      </c>
    </row>
    <row r="600" spans="1:4" x14ac:dyDescent="0.25">
      <c r="A600" s="10" t="s">
        <v>686</v>
      </c>
      <c r="B600" s="15">
        <v>0</v>
      </c>
      <c r="C600" t="s">
        <v>3028</v>
      </c>
    </row>
    <row r="601" spans="1:4" x14ac:dyDescent="0.25">
      <c r="A601" s="10" t="s">
        <v>688</v>
      </c>
      <c r="B601" s="15">
        <v>0</v>
      </c>
      <c r="C601" t="s">
        <v>3028</v>
      </c>
    </row>
    <row r="602" spans="1:4" x14ac:dyDescent="0.25">
      <c r="A602" s="10" t="s">
        <v>688</v>
      </c>
      <c r="B602" s="15">
        <v>0</v>
      </c>
      <c r="C602" t="s">
        <v>3028</v>
      </c>
    </row>
    <row r="603" spans="1:4" x14ac:dyDescent="0.25">
      <c r="A603" s="10" t="s">
        <v>693</v>
      </c>
      <c r="B603" s="15">
        <v>0</v>
      </c>
      <c r="C603" t="s">
        <v>3028</v>
      </c>
    </row>
    <row r="604" spans="1:4" x14ac:dyDescent="0.25">
      <c r="A604" s="10" t="s">
        <v>693</v>
      </c>
      <c r="B604" s="15">
        <v>0</v>
      </c>
      <c r="C604" t="s">
        <v>3028</v>
      </c>
    </row>
    <row r="605" spans="1:4" x14ac:dyDescent="0.25">
      <c r="A605" s="10" t="s">
        <v>695</v>
      </c>
      <c r="B605" s="15">
        <v>0</v>
      </c>
      <c r="C605" t="s">
        <v>3028</v>
      </c>
    </row>
    <row r="606" spans="1:4" x14ac:dyDescent="0.25">
      <c r="A606" s="10" t="s">
        <v>695</v>
      </c>
      <c r="B606" s="15">
        <v>0</v>
      </c>
      <c r="C606" t="s">
        <v>3028</v>
      </c>
    </row>
    <row r="607" spans="1:4" x14ac:dyDescent="0.25">
      <c r="A607" s="10" t="s">
        <v>695</v>
      </c>
      <c r="B607" s="15">
        <v>1661.63</v>
      </c>
      <c r="D607" t="s">
        <v>3028</v>
      </c>
    </row>
    <row r="608" spans="1:4" x14ac:dyDescent="0.25">
      <c r="A608" s="10" t="s">
        <v>697</v>
      </c>
      <c r="B608" s="15">
        <v>0</v>
      </c>
      <c r="C608" t="s">
        <v>3028</v>
      </c>
    </row>
    <row r="609" spans="1:4" x14ac:dyDescent="0.25">
      <c r="A609" s="10" t="s">
        <v>697</v>
      </c>
      <c r="B609" s="15">
        <v>0</v>
      </c>
      <c r="C609" t="s">
        <v>3028</v>
      </c>
    </row>
    <row r="610" spans="1:4" x14ac:dyDescent="0.25">
      <c r="A610" s="10" t="s">
        <v>699</v>
      </c>
      <c r="B610" s="15">
        <v>0</v>
      </c>
      <c r="C610" t="s">
        <v>3028</v>
      </c>
    </row>
    <row r="611" spans="1:4" x14ac:dyDescent="0.25">
      <c r="A611" s="10" t="s">
        <v>699</v>
      </c>
      <c r="B611" s="15">
        <v>0</v>
      </c>
      <c r="C611" t="s">
        <v>3028</v>
      </c>
    </row>
    <row r="612" spans="1:4" x14ac:dyDescent="0.25">
      <c r="A612" s="10" t="s">
        <v>701</v>
      </c>
      <c r="B612" s="15">
        <v>0</v>
      </c>
      <c r="C612" t="s">
        <v>3028</v>
      </c>
    </row>
    <row r="613" spans="1:4" x14ac:dyDescent="0.25">
      <c r="A613" s="10" t="s">
        <v>701</v>
      </c>
      <c r="B613" s="15">
        <v>0</v>
      </c>
      <c r="C613" t="s">
        <v>3028</v>
      </c>
    </row>
    <row r="614" spans="1:4" x14ac:dyDescent="0.25">
      <c r="A614" s="10" t="s">
        <v>701</v>
      </c>
      <c r="B614" s="15">
        <v>4909.93</v>
      </c>
      <c r="D614" t="s">
        <v>3028</v>
      </c>
    </row>
    <row r="615" spans="1:4" x14ac:dyDescent="0.25">
      <c r="A615" s="10" t="s">
        <v>703</v>
      </c>
      <c r="B615" s="15">
        <v>0</v>
      </c>
      <c r="C615" t="s">
        <v>3028</v>
      </c>
    </row>
    <row r="616" spans="1:4" x14ac:dyDescent="0.25">
      <c r="A616" s="10" t="s">
        <v>703</v>
      </c>
      <c r="B616" s="15">
        <v>0</v>
      </c>
      <c r="C616" t="s">
        <v>3028</v>
      </c>
    </row>
    <row r="617" spans="1:4" x14ac:dyDescent="0.25">
      <c r="A617" s="10" t="s">
        <v>705</v>
      </c>
      <c r="B617" s="15">
        <v>0</v>
      </c>
      <c r="C617" t="s">
        <v>3028</v>
      </c>
    </row>
    <row r="618" spans="1:4" x14ac:dyDescent="0.25">
      <c r="A618" s="10" t="s">
        <v>705</v>
      </c>
      <c r="B618" s="15">
        <v>0</v>
      </c>
      <c r="C618" t="s">
        <v>3028</v>
      </c>
    </row>
    <row r="619" spans="1:4" x14ac:dyDescent="0.25">
      <c r="A619" s="10" t="s">
        <v>705</v>
      </c>
      <c r="B619" s="15">
        <v>2329.34</v>
      </c>
      <c r="D619" t="s">
        <v>3028</v>
      </c>
    </row>
    <row r="620" spans="1:4" x14ac:dyDescent="0.25">
      <c r="A620" s="10" t="s">
        <v>707</v>
      </c>
      <c r="B620" s="15">
        <v>0</v>
      </c>
      <c r="C620" t="s">
        <v>3028</v>
      </c>
    </row>
    <row r="621" spans="1:4" x14ac:dyDescent="0.25">
      <c r="A621" s="10" t="s">
        <v>707</v>
      </c>
      <c r="B621" s="15">
        <v>0</v>
      </c>
      <c r="C621" t="s">
        <v>3028</v>
      </c>
    </row>
    <row r="622" spans="1:4" x14ac:dyDescent="0.25">
      <c r="A622" s="10" t="s">
        <v>709</v>
      </c>
      <c r="B622" s="15">
        <v>0</v>
      </c>
      <c r="C622" t="s">
        <v>3028</v>
      </c>
    </row>
    <row r="623" spans="1:4" x14ac:dyDescent="0.25">
      <c r="A623" s="10" t="s">
        <v>709</v>
      </c>
      <c r="B623" s="15">
        <v>0</v>
      </c>
      <c r="C623" t="s">
        <v>3028</v>
      </c>
    </row>
    <row r="624" spans="1:4" x14ac:dyDescent="0.25">
      <c r="A624" s="10" t="s">
        <v>711</v>
      </c>
      <c r="B624" s="15">
        <v>0</v>
      </c>
      <c r="C624" t="s">
        <v>3028</v>
      </c>
    </row>
    <row r="625" spans="1:3" x14ac:dyDescent="0.25">
      <c r="A625" s="10" t="s">
        <v>711</v>
      </c>
      <c r="B625" s="15">
        <v>0</v>
      </c>
      <c r="C625" t="s">
        <v>3028</v>
      </c>
    </row>
    <row r="626" spans="1:3" x14ac:dyDescent="0.25">
      <c r="A626" s="10" t="s">
        <v>713</v>
      </c>
      <c r="B626" s="15">
        <v>0</v>
      </c>
      <c r="C626" t="s">
        <v>3028</v>
      </c>
    </row>
    <row r="627" spans="1:3" x14ac:dyDescent="0.25">
      <c r="A627" s="10" t="s">
        <v>713</v>
      </c>
      <c r="B627" s="15">
        <v>0</v>
      </c>
      <c r="C627" t="s">
        <v>3028</v>
      </c>
    </row>
    <row r="628" spans="1:3" x14ac:dyDescent="0.25">
      <c r="A628" s="10" t="s">
        <v>715</v>
      </c>
      <c r="B628" s="15">
        <v>0</v>
      </c>
      <c r="C628" t="s">
        <v>3028</v>
      </c>
    </row>
    <row r="629" spans="1:3" x14ac:dyDescent="0.25">
      <c r="A629" s="10" t="s">
        <v>715</v>
      </c>
      <c r="B629" s="15">
        <v>0</v>
      </c>
      <c r="C629" t="s">
        <v>3028</v>
      </c>
    </row>
    <row r="630" spans="1:3" x14ac:dyDescent="0.25">
      <c r="A630" s="10" t="s">
        <v>720</v>
      </c>
      <c r="B630" s="15">
        <v>0</v>
      </c>
      <c r="C630" t="s">
        <v>3028</v>
      </c>
    </row>
    <row r="631" spans="1:3" x14ac:dyDescent="0.25">
      <c r="A631" s="10" t="s">
        <v>720</v>
      </c>
      <c r="B631" s="15">
        <v>0</v>
      </c>
      <c r="C631" t="s">
        <v>3028</v>
      </c>
    </row>
    <row r="632" spans="1:3" x14ac:dyDescent="0.25">
      <c r="A632" s="10" t="s">
        <v>722</v>
      </c>
      <c r="B632" s="15">
        <v>0</v>
      </c>
      <c r="C632" t="s">
        <v>3028</v>
      </c>
    </row>
    <row r="633" spans="1:3" x14ac:dyDescent="0.25">
      <c r="A633" s="10" t="s">
        <v>722</v>
      </c>
      <c r="B633" s="15">
        <v>0</v>
      </c>
      <c r="C633" t="s">
        <v>3028</v>
      </c>
    </row>
    <row r="634" spans="1:3" x14ac:dyDescent="0.25">
      <c r="A634" s="10" t="s">
        <v>724</v>
      </c>
      <c r="B634" s="15">
        <v>0</v>
      </c>
      <c r="C634" t="s">
        <v>3028</v>
      </c>
    </row>
    <row r="635" spans="1:3" x14ac:dyDescent="0.25">
      <c r="A635" s="10" t="s">
        <v>724</v>
      </c>
      <c r="B635" s="15">
        <v>0</v>
      </c>
      <c r="C635" t="s">
        <v>3028</v>
      </c>
    </row>
    <row r="636" spans="1:3" x14ac:dyDescent="0.25">
      <c r="A636" s="10" t="s">
        <v>726</v>
      </c>
      <c r="B636" s="15">
        <v>0</v>
      </c>
      <c r="C636" t="s">
        <v>3028</v>
      </c>
    </row>
    <row r="637" spans="1:3" x14ac:dyDescent="0.25">
      <c r="A637" s="10" t="s">
        <v>726</v>
      </c>
      <c r="B637" s="15">
        <v>0</v>
      </c>
      <c r="C637" t="s">
        <v>3028</v>
      </c>
    </row>
    <row r="638" spans="1:3" x14ac:dyDescent="0.25">
      <c r="A638" s="10" t="s">
        <v>728</v>
      </c>
      <c r="B638" s="15">
        <v>0</v>
      </c>
      <c r="C638" t="s">
        <v>3028</v>
      </c>
    </row>
    <row r="639" spans="1:3" x14ac:dyDescent="0.25">
      <c r="A639" s="10" t="s">
        <v>728</v>
      </c>
      <c r="B639" s="15">
        <v>0</v>
      </c>
      <c r="C639" t="s">
        <v>3028</v>
      </c>
    </row>
    <row r="640" spans="1:3" x14ac:dyDescent="0.25">
      <c r="A640" s="10" t="s">
        <v>730</v>
      </c>
      <c r="B640" s="15">
        <v>0</v>
      </c>
      <c r="C640" t="s">
        <v>3028</v>
      </c>
    </row>
    <row r="641" spans="1:3" x14ac:dyDescent="0.25">
      <c r="A641" s="10" t="s">
        <v>730</v>
      </c>
      <c r="B641" s="15">
        <v>0</v>
      </c>
      <c r="C641" t="s">
        <v>3028</v>
      </c>
    </row>
    <row r="642" spans="1:3" x14ac:dyDescent="0.25">
      <c r="A642" s="10" t="s">
        <v>732</v>
      </c>
      <c r="B642" s="15">
        <v>0</v>
      </c>
      <c r="C642" t="s">
        <v>3028</v>
      </c>
    </row>
    <row r="643" spans="1:3" x14ac:dyDescent="0.25">
      <c r="A643" s="10" t="s">
        <v>732</v>
      </c>
      <c r="B643" s="15">
        <v>0</v>
      </c>
      <c r="C643" t="s">
        <v>3028</v>
      </c>
    </row>
    <row r="644" spans="1:3" x14ac:dyDescent="0.25">
      <c r="A644" s="10" t="s">
        <v>734</v>
      </c>
      <c r="B644" s="15">
        <v>0</v>
      </c>
      <c r="C644" t="s">
        <v>3028</v>
      </c>
    </row>
    <row r="645" spans="1:3" x14ac:dyDescent="0.25">
      <c r="A645" s="10" t="s">
        <v>734</v>
      </c>
      <c r="B645" s="15">
        <v>0</v>
      </c>
      <c r="C645" t="s">
        <v>3028</v>
      </c>
    </row>
    <row r="646" spans="1:3" x14ac:dyDescent="0.25">
      <c r="A646" s="10" t="s">
        <v>736</v>
      </c>
      <c r="B646" s="15">
        <v>0</v>
      </c>
      <c r="C646" t="s">
        <v>3028</v>
      </c>
    </row>
    <row r="647" spans="1:3" x14ac:dyDescent="0.25">
      <c r="A647" s="10" t="s">
        <v>736</v>
      </c>
      <c r="B647" s="15">
        <v>0</v>
      </c>
      <c r="C647" t="s">
        <v>3028</v>
      </c>
    </row>
    <row r="648" spans="1:3" x14ac:dyDescent="0.25">
      <c r="A648" s="10" t="s">
        <v>738</v>
      </c>
      <c r="B648" s="15">
        <v>0</v>
      </c>
      <c r="C648" t="s">
        <v>3028</v>
      </c>
    </row>
    <row r="649" spans="1:3" x14ac:dyDescent="0.25">
      <c r="A649" s="10" t="s">
        <v>738</v>
      </c>
      <c r="B649" s="15">
        <v>0</v>
      </c>
      <c r="C649" t="s">
        <v>3028</v>
      </c>
    </row>
    <row r="650" spans="1:3" x14ac:dyDescent="0.25">
      <c r="A650" s="10" t="s">
        <v>740</v>
      </c>
      <c r="B650" s="15">
        <v>0</v>
      </c>
      <c r="C650" t="s">
        <v>3028</v>
      </c>
    </row>
    <row r="651" spans="1:3" x14ac:dyDescent="0.25">
      <c r="A651" s="10" t="s">
        <v>740</v>
      </c>
      <c r="B651" s="15">
        <v>0</v>
      </c>
      <c r="C651" t="s">
        <v>3028</v>
      </c>
    </row>
    <row r="652" spans="1:3" x14ac:dyDescent="0.25">
      <c r="A652" s="10" t="s">
        <v>742</v>
      </c>
      <c r="B652" s="15">
        <v>0</v>
      </c>
      <c r="C652" t="s">
        <v>3028</v>
      </c>
    </row>
    <row r="653" spans="1:3" x14ac:dyDescent="0.25">
      <c r="A653" s="10" t="s">
        <v>742</v>
      </c>
      <c r="B653" s="15">
        <v>0</v>
      </c>
      <c r="C653" t="s">
        <v>3028</v>
      </c>
    </row>
    <row r="654" spans="1:3" x14ac:dyDescent="0.25">
      <c r="A654" s="10" t="s">
        <v>744</v>
      </c>
      <c r="B654" s="15">
        <v>0</v>
      </c>
      <c r="C654" t="s">
        <v>3028</v>
      </c>
    </row>
    <row r="655" spans="1:3" x14ac:dyDescent="0.25">
      <c r="A655" s="10" t="s">
        <v>744</v>
      </c>
      <c r="B655" s="15">
        <v>0</v>
      </c>
      <c r="C655" t="s">
        <v>3028</v>
      </c>
    </row>
    <row r="656" spans="1:3" x14ac:dyDescent="0.25">
      <c r="A656" s="10" t="s">
        <v>746</v>
      </c>
      <c r="B656" s="15">
        <v>0</v>
      </c>
      <c r="C656" t="s">
        <v>3028</v>
      </c>
    </row>
    <row r="657" spans="1:4" x14ac:dyDescent="0.25">
      <c r="A657" s="10" t="s">
        <v>746</v>
      </c>
      <c r="B657" s="15">
        <v>0</v>
      </c>
      <c r="C657" t="s">
        <v>3028</v>
      </c>
    </row>
    <row r="658" spans="1:4" x14ac:dyDescent="0.25">
      <c r="A658" s="10" t="s">
        <v>748</v>
      </c>
      <c r="B658" s="15">
        <v>0</v>
      </c>
      <c r="C658" t="s">
        <v>3028</v>
      </c>
    </row>
    <row r="659" spans="1:4" x14ac:dyDescent="0.25">
      <c r="A659" s="10" t="s">
        <v>748</v>
      </c>
      <c r="B659" s="15">
        <v>0</v>
      </c>
      <c r="C659" t="s">
        <v>3028</v>
      </c>
    </row>
    <row r="660" spans="1:4" x14ac:dyDescent="0.25">
      <c r="A660" s="10" t="s">
        <v>750</v>
      </c>
      <c r="B660" s="15">
        <v>0</v>
      </c>
      <c r="C660" t="s">
        <v>3028</v>
      </c>
    </row>
    <row r="661" spans="1:4" x14ac:dyDescent="0.25">
      <c r="A661" s="10" t="s">
        <v>750</v>
      </c>
      <c r="B661" s="15">
        <v>0</v>
      </c>
      <c r="C661" t="s">
        <v>3028</v>
      </c>
    </row>
    <row r="662" spans="1:4" x14ac:dyDescent="0.25">
      <c r="A662" s="10" t="s">
        <v>750</v>
      </c>
      <c r="B662" s="15">
        <v>3088.8</v>
      </c>
      <c r="D662" t="s">
        <v>3028</v>
      </c>
    </row>
    <row r="663" spans="1:4" x14ac:dyDescent="0.25">
      <c r="A663" s="10" t="s">
        <v>752</v>
      </c>
      <c r="B663" s="15">
        <v>0</v>
      </c>
      <c r="C663" t="s">
        <v>3028</v>
      </c>
    </row>
    <row r="664" spans="1:4" x14ac:dyDescent="0.25">
      <c r="A664" s="10" t="s">
        <v>752</v>
      </c>
      <c r="B664" s="15">
        <v>0</v>
      </c>
      <c r="C664" t="s">
        <v>3028</v>
      </c>
    </row>
    <row r="665" spans="1:4" x14ac:dyDescent="0.25">
      <c r="A665" s="10" t="s">
        <v>754</v>
      </c>
      <c r="B665" s="15">
        <v>0</v>
      </c>
      <c r="C665" t="s">
        <v>3028</v>
      </c>
    </row>
    <row r="666" spans="1:4" x14ac:dyDescent="0.25">
      <c r="A666" s="10" t="s">
        <v>754</v>
      </c>
      <c r="B666" s="15">
        <v>0</v>
      </c>
      <c r="C666" t="s">
        <v>3028</v>
      </c>
    </row>
    <row r="667" spans="1:4" x14ac:dyDescent="0.25">
      <c r="A667" s="10" t="s">
        <v>756</v>
      </c>
      <c r="B667" s="15">
        <v>0</v>
      </c>
      <c r="C667" t="s">
        <v>3028</v>
      </c>
    </row>
    <row r="668" spans="1:4" x14ac:dyDescent="0.25">
      <c r="A668" s="10" t="s">
        <v>756</v>
      </c>
      <c r="B668" s="15">
        <v>0</v>
      </c>
      <c r="C668" t="s">
        <v>3028</v>
      </c>
    </row>
    <row r="669" spans="1:4" x14ac:dyDescent="0.25">
      <c r="A669" s="10" t="s">
        <v>758</v>
      </c>
      <c r="B669" s="15">
        <v>0</v>
      </c>
      <c r="C669" t="s">
        <v>3028</v>
      </c>
    </row>
    <row r="670" spans="1:4" x14ac:dyDescent="0.25">
      <c r="A670" s="10" t="s">
        <v>758</v>
      </c>
      <c r="B670" s="15">
        <v>0</v>
      </c>
      <c r="C670" t="s">
        <v>3028</v>
      </c>
    </row>
    <row r="671" spans="1:4" x14ac:dyDescent="0.25">
      <c r="A671" s="10" t="s">
        <v>760</v>
      </c>
      <c r="B671" s="15">
        <v>0</v>
      </c>
      <c r="C671" t="s">
        <v>3028</v>
      </c>
    </row>
    <row r="672" spans="1:4" x14ac:dyDescent="0.25">
      <c r="A672" s="10" t="s">
        <v>760</v>
      </c>
      <c r="B672" s="15">
        <v>0</v>
      </c>
      <c r="C672" t="s">
        <v>3028</v>
      </c>
    </row>
    <row r="673" spans="1:4" x14ac:dyDescent="0.25">
      <c r="A673" s="10" t="s">
        <v>762</v>
      </c>
      <c r="B673" s="15">
        <v>0</v>
      </c>
      <c r="C673" t="s">
        <v>3028</v>
      </c>
    </row>
    <row r="674" spans="1:4" x14ac:dyDescent="0.25">
      <c r="A674" s="10" t="s">
        <v>762</v>
      </c>
      <c r="B674" s="15">
        <v>0</v>
      </c>
      <c r="C674" t="s">
        <v>3028</v>
      </c>
    </row>
    <row r="675" spans="1:4" x14ac:dyDescent="0.25">
      <c r="A675" s="10" t="s">
        <v>762</v>
      </c>
      <c r="B675" s="15">
        <v>1980.63</v>
      </c>
      <c r="D675" t="s">
        <v>3028</v>
      </c>
    </row>
    <row r="676" spans="1:4" x14ac:dyDescent="0.25">
      <c r="A676" s="10" t="s">
        <v>764</v>
      </c>
      <c r="B676" s="15">
        <v>0</v>
      </c>
      <c r="C676" t="s">
        <v>3028</v>
      </c>
    </row>
    <row r="677" spans="1:4" x14ac:dyDescent="0.25">
      <c r="A677" s="10" t="s">
        <v>764</v>
      </c>
      <c r="B677" s="15">
        <v>0</v>
      </c>
      <c r="C677" t="s">
        <v>3028</v>
      </c>
    </row>
    <row r="678" spans="1:4" x14ac:dyDescent="0.25">
      <c r="A678" s="10" t="s">
        <v>766</v>
      </c>
      <c r="B678" s="15">
        <v>0</v>
      </c>
      <c r="C678" t="s">
        <v>3028</v>
      </c>
    </row>
    <row r="679" spans="1:4" x14ac:dyDescent="0.25">
      <c r="A679" s="10" t="s">
        <v>766</v>
      </c>
      <c r="B679" s="15">
        <v>0</v>
      </c>
      <c r="C679" t="s">
        <v>3028</v>
      </c>
    </row>
    <row r="680" spans="1:4" x14ac:dyDescent="0.25">
      <c r="A680" s="10" t="s">
        <v>768</v>
      </c>
      <c r="B680" s="15">
        <v>0</v>
      </c>
      <c r="C680" t="s">
        <v>3028</v>
      </c>
    </row>
    <row r="681" spans="1:4" x14ac:dyDescent="0.25">
      <c r="A681" s="10" t="s">
        <v>768</v>
      </c>
      <c r="B681" s="15">
        <v>0</v>
      </c>
      <c r="C681" t="s">
        <v>3028</v>
      </c>
    </row>
    <row r="682" spans="1:4" x14ac:dyDescent="0.25">
      <c r="A682" s="10" t="s">
        <v>770</v>
      </c>
      <c r="B682" s="15">
        <v>0</v>
      </c>
      <c r="C682" t="s">
        <v>3028</v>
      </c>
    </row>
    <row r="683" spans="1:4" x14ac:dyDescent="0.25">
      <c r="A683" s="10" t="s">
        <v>770</v>
      </c>
      <c r="B683" s="15">
        <v>0</v>
      </c>
      <c r="C683" t="s">
        <v>3028</v>
      </c>
    </row>
    <row r="684" spans="1:4" x14ac:dyDescent="0.25">
      <c r="A684" s="10" t="s">
        <v>772</v>
      </c>
      <c r="B684" s="15">
        <v>0</v>
      </c>
      <c r="C684" t="s">
        <v>3028</v>
      </c>
    </row>
    <row r="685" spans="1:4" x14ac:dyDescent="0.25">
      <c r="A685" s="10" t="s">
        <v>772</v>
      </c>
      <c r="B685" s="15">
        <v>0</v>
      </c>
      <c r="C685" t="s">
        <v>3028</v>
      </c>
    </row>
    <row r="686" spans="1:4" x14ac:dyDescent="0.25">
      <c r="A686" s="10" t="s">
        <v>774</v>
      </c>
      <c r="B686" s="15">
        <v>0</v>
      </c>
      <c r="C686" t="s">
        <v>3028</v>
      </c>
    </row>
    <row r="687" spans="1:4" x14ac:dyDescent="0.25">
      <c r="A687" s="10" t="s">
        <v>774</v>
      </c>
      <c r="B687" s="15">
        <v>0</v>
      </c>
      <c r="C687" t="s">
        <v>3028</v>
      </c>
    </row>
    <row r="688" spans="1:4" x14ac:dyDescent="0.25">
      <c r="A688" s="10" t="s">
        <v>776</v>
      </c>
      <c r="B688" s="15">
        <v>0</v>
      </c>
      <c r="C688" t="s">
        <v>3028</v>
      </c>
    </row>
    <row r="689" spans="1:4" x14ac:dyDescent="0.25">
      <c r="A689" s="10" t="s">
        <v>776</v>
      </c>
      <c r="B689" s="15">
        <v>0</v>
      </c>
      <c r="C689" t="s">
        <v>3028</v>
      </c>
    </row>
    <row r="690" spans="1:4" x14ac:dyDescent="0.25">
      <c r="A690" s="10" t="s">
        <v>778</v>
      </c>
      <c r="B690" s="15">
        <v>0</v>
      </c>
      <c r="C690" t="s">
        <v>3028</v>
      </c>
    </row>
    <row r="691" spans="1:4" x14ac:dyDescent="0.25">
      <c r="A691" s="10" t="s">
        <v>778</v>
      </c>
      <c r="B691" s="15">
        <v>0</v>
      </c>
      <c r="C691" t="s">
        <v>3028</v>
      </c>
    </row>
    <row r="692" spans="1:4" x14ac:dyDescent="0.25">
      <c r="A692" s="10" t="s">
        <v>780</v>
      </c>
      <c r="B692" s="15">
        <v>0</v>
      </c>
      <c r="C692" t="s">
        <v>3028</v>
      </c>
    </row>
    <row r="693" spans="1:4" x14ac:dyDescent="0.25">
      <c r="A693" s="10" t="s">
        <v>780</v>
      </c>
      <c r="B693" s="15">
        <v>0</v>
      </c>
      <c r="C693" t="s">
        <v>3028</v>
      </c>
    </row>
    <row r="694" spans="1:4" x14ac:dyDescent="0.25">
      <c r="A694" s="10" t="s">
        <v>782</v>
      </c>
      <c r="B694" s="15">
        <v>0</v>
      </c>
      <c r="C694" t="s">
        <v>3028</v>
      </c>
    </row>
    <row r="695" spans="1:4" x14ac:dyDescent="0.25">
      <c r="A695" s="10" t="s">
        <v>782</v>
      </c>
      <c r="B695" s="15">
        <v>0</v>
      </c>
      <c r="C695" t="s">
        <v>3028</v>
      </c>
    </row>
    <row r="696" spans="1:4" x14ac:dyDescent="0.25">
      <c r="A696" s="10" t="s">
        <v>784</v>
      </c>
      <c r="B696" s="15">
        <v>0</v>
      </c>
      <c r="C696" t="s">
        <v>3028</v>
      </c>
    </row>
    <row r="697" spans="1:4" x14ac:dyDescent="0.25">
      <c r="A697" s="10" t="s">
        <v>784</v>
      </c>
      <c r="B697" s="15">
        <v>0</v>
      </c>
      <c r="C697" t="s">
        <v>3028</v>
      </c>
    </row>
    <row r="698" spans="1:4" x14ac:dyDescent="0.25">
      <c r="A698" s="10" t="s">
        <v>788</v>
      </c>
      <c r="B698" s="15">
        <v>0</v>
      </c>
      <c r="C698" t="s">
        <v>3028</v>
      </c>
    </row>
    <row r="699" spans="1:4" x14ac:dyDescent="0.25">
      <c r="A699" s="10" t="s">
        <v>788</v>
      </c>
      <c r="B699" s="15">
        <v>0</v>
      </c>
      <c r="C699" t="s">
        <v>3028</v>
      </c>
    </row>
    <row r="700" spans="1:4" x14ac:dyDescent="0.25">
      <c r="A700" s="10" t="s">
        <v>788</v>
      </c>
      <c r="B700" s="15">
        <v>1980.63</v>
      </c>
      <c r="D700" t="s">
        <v>3028</v>
      </c>
    </row>
    <row r="701" spans="1:4" x14ac:dyDescent="0.25">
      <c r="A701" s="10" t="s">
        <v>790</v>
      </c>
      <c r="B701" s="15">
        <v>0</v>
      </c>
      <c r="C701" t="s">
        <v>3028</v>
      </c>
    </row>
    <row r="702" spans="1:4" x14ac:dyDescent="0.25">
      <c r="A702" s="10" t="s">
        <v>790</v>
      </c>
      <c r="B702" s="15">
        <v>0</v>
      </c>
      <c r="C702" t="s">
        <v>3028</v>
      </c>
    </row>
    <row r="703" spans="1:4" x14ac:dyDescent="0.25">
      <c r="A703" s="10" t="s">
        <v>792</v>
      </c>
      <c r="B703" s="15">
        <v>0</v>
      </c>
      <c r="C703" t="s">
        <v>3028</v>
      </c>
    </row>
    <row r="704" spans="1:4" x14ac:dyDescent="0.25">
      <c r="A704" s="10" t="s">
        <v>792</v>
      </c>
      <c r="B704" s="15">
        <v>0</v>
      </c>
      <c r="C704" t="s">
        <v>3028</v>
      </c>
    </row>
    <row r="705" spans="1:4" x14ac:dyDescent="0.25">
      <c r="A705" s="10" t="s">
        <v>794</v>
      </c>
      <c r="B705" s="15">
        <v>0</v>
      </c>
      <c r="C705" t="s">
        <v>3028</v>
      </c>
    </row>
    <row r="706" spans="1:4" x14ac:dyDescent="0.25">
      <c r="A706" s="10" t="s">
        <v>794</v>
      </c>
      <c r="B706" s="15">
        <v>0</v>
      </c>
      <c r="C706" t="s">
        <v>3028</v>
      </c>
    </row>
    <row r="707" spans="1:4" x14ac:dyDescent="0.25">
      <c r="A707" s="10" t="s">
        <v>796</v>
      </c>
      <c r="B707" s="15">
        <v>0</v>
      </c>
      <c r="C707" t="s">
        <v>3028</v>
      </c>
    </row>
    <row r="708" spans="1:4" x14ac:dyDescent="0.25">
      <c r="A708" s="10" t="s">
        <v>796</v>
      </c>
      <c r="B708" s="15">
        <v>0</v>
      </c>
      <c r="C708" t="s">
        <v>3028</v>
      </c>
    </row>
    <row r="709" spans="1:4" x14ac:dyDescent="0.25">
      <c r="A709" s="10" t="s">
        <v>796</v>
      </c>
      <c r="B709" s="15">
        <v>3069.02</v>
      </c>
      <c r="D709" t="s">
        <v>3028</v>
      </c>
    </row>
    <row r="710" spans="1:4" x14ac:dyDescent="0.25">
      <c r="A710" s="10" t="s">
        <v>798</v>
      </c>
      <c r="B710" s="15">
        <v>0</v>
      </c>
      <c r="C710" t="s">
        <v>3028</v>
      </c>
    </row>
    <row r="711" spans="1:4" x14ac:dyDescent="0.25">
      <c r="A711" s="10" t="s">
        <v>798</v>
      </c>
      <c r="B711" s="15">
        <v>0</v>
      </c>
      <c r="C711" t="s">
        <v>3028</v>
      </c>
    </row>
    <row r="712" spans="1:4" x14ac:dyDescent="0.25">
      <c r="A712" s="10" t="s">
        <v>800</v>
      </c>
      <c r="B712" s="15">
        <v>0</v>
      </c>
      <c r="C712" t="s">
        <v>3028</v>
      </c>
    </row>
    <row r="713" spans="1:4" x14ac:dyDescent="0.25">
      <c r="A713" s="10" t="s">
        <v>800</v>
      </c>
      <c r="B713" s="15">
        <v>0</v>
      </c>
      <c r="C713" t="s">
        <v>3028</v>
      </c>
    </row>
    <row r="714" spans="1:4" x14ac:dyDescent="0.25">
      <c r="A714" s="10" t="s">
        <v>805</v>
      </c>
      <c r="B714" s="15">
        <v>0</v>
      </c>
      <c r="C714" t="s">
        <v>3028</v>
      </c>
    </row>
    <row r="715" spans="1:4" x14ac:dyDescent="0.25">
      <c r="A715" s="10" t="s">
        <v>805</v>
      </c>
      <c r="B715" s="15">
        <v>0</v>
      </c>
      <c r="C715" t="s">
        <v>3028</v>
      </c>
    </row>
    <row r="716" spans="1:4" x14ac:dyDescent="0.25">
      <c r="A716" s="10" t="s">
        <v>807</v>
      </c>
      <c r="B716" s="15">
        <v>0</v>
      </c>
      <c r="C716" t="s">
        <v>3028</v>
      </c>
    </row>
    <row r="717" spans="1:4" x14ac:dyDescent="0.25">
      <c r="A717" s="10" t="s">
        <v>807</v>
      </c>
      <c r="B717" s="15">
        <v>0</v>
      </c>
      <c r="C717" t="s">
        <v>3028</v>
      </c>
    </row>
    <row r="718" spans="1:4" x14ac:dyDescent="0.25">
      <c r="A718" s="10" t="s">
        <v>807</v>
      </c>
      <c r="B718" s="15">
        <v>4283.72</v>
      </c>
      <c r="D718" t="s">
        <v>3028</v>
      </c>
    </row>
    <row r="719" spans="1:4" x14ac:dyDescent="0.25">
      <c r="A719" s="10" t="s">
        <v>809</v>
      </c>
      <c r="B719" s="15">
        <v>0</v>
      </c>
      <c r="C719" t="s">
        <v>3028</v>
      </c>
    </row>
    <row r="720" spans="1:4" x14ac:dyDescent="0.25">
      <c r="A720" s="10" t="s">
        <v>809</v>
      </c>
      <c r="B720" s="15">
        <v>0</v>
      </c>
      <c r="C720" t="s">
        <v>3028</v>
      </c>
    </row>
    <row r="721" spans="1:3" x14ac:dyDescent="0.25">
      <c r="A721" s="10" t="s">
        <v>811</v>
      </c>
      <c r="B721" s="15">
        <v>0</v>
      </c>
      <c r="C721" t="s">
        <v>3028</v>
      </c>
    </row>
    <row r="722" spans="1:3" x14ac:dyDescent="0.25">
      <c r="A722" s="10" t="s">
        <v>811</v>
      </c>
      <c r="B722" s="15">
        <v>0</v>
      </c>
      <c r="C722" t="s">
        <v>3028</v>
      </c>
    </row>
    <row r="723" spans="1:3" x14ac:dyDescent="0.25">
      <c r="A723" s="10" t="s">
        <v>813</v>
      </c>
      <c r="B723" s="15">
        <v>0</v>
      </c>
      <c r="C723" t="s">
        <v>3028</v>
      </c>
    </row>
    <row r="724" spans="1:3" x14ac:dyDescent="0.25">
      <c r="A724" s="10" t="s">
        <v>813</v>
      </c>
      <c r="B724" s="15">
        <v>0</v>
      </c>
      <c r="C724" t="s">
        <v>3028</v>
      </c>
    </row>
    <row r="725" spans="1:3" x14ac:dyDescent="0.25">
      <c r="A725" s="10" t="s">
        <v>815</v>
      </c>
      <c r="B725" s="15">
        <v>0</v>
      </c>
      <c r="C725" t="s">
        <v>3028</v>
      </c>
    </row>
    <row r="726" spans="1:3" x14ac:dyDescent="0.25">
      <c r="A726" s="10" t="s">
        <v>815</v>
      </c>
      <c r="B726" s="15">
        <v>0</v>
      </c>
      <c r="C726" t="s">
        <v>3028</v>
      </c>
    </row>
    <row r="727" spans="1:3" x14ac:dyDescent="0.25">
      <c r="A727" s="10" t="s">
        <v>817</v>
      </c>
      <c r="B727" s="15">
        <v>0</v>
      </c>
      <c r="C727" t="s">
        <v>3028</v>
      </c>
    </row>
    <row r="728" spans="1:3" x14ac:dyDescent="0.25">
      <c r="A728" s="10" t="s">
        <v>817</v>
      </c>
      <c r="B728" s="15">
        <v>0</v>
      </c>
      <c r="C728" t="s">
        <v>3028</v>
      </c>
    </row>
    <row r="729" spans="1:3" x14ac:dyDescent="0.25">
      <c r="A729" s="10" t="s">
        <v>819</v>
      </c>
      <c r="B729" s="15">
        <v>0</v>
      </c>
      <c r="C729" t="s">
        <v>3028</v>
      </c>
    </row>
    <row r="730" spans="1:3" x14ac:dyDescent="0.25">
      <c r="A730" s="10" t="s">
        <v>819</v>
      </c>
      <c r="B730" s="15">
        <v>0</v>
      </c>
      <c r="C730" t="s">
        <v>3028</v>
      </c>
    </row>
    <row r="731" spans="1:3" x14ac:dyDescent="0.25">
      <c r="A731" s="10" t="s">
        <v>821</v>
      </c>
      <c r="B731" s="15">
        <v>0</v>
      </c>
      <c r="C731" t="s">
        <v>3028</v>
      </c>
    </row>
    <row r="732" spans="1:3" x14ac:dyDescent="0.25">
      <c r="A732" s="10" t="s">
        <v>821</v>
      </c>
      <c r="B732" s="15">
        <v>0</v>
      </c>
      <c r="C732" t="s">
        <v>3028</v>
      </c>
    </row>
    <row r="733" spans="1:3" x14ac:dyDescent="0.25">
      <c r="A733" s="10" t="s">
        <v>823</v>
      </c>
      <c r="B733" s="15">
        <v>0</v>
      </c>
      <c r="C733" t="s">
        <v>3028</v>
      </c>
    </row>
    <row r="734" spans="1:3" x14ac:dyDescent="0.25">
      <c r="A734" s="10" t="s">
        <v>823</v>
      </c>
      <c r="B734" s="15">
        <v>0</v>
      </c>
      <c r="C734" t="s">
        <v>3028</v>
      </c>
    </row>
    <row r="735" spans="1:3" x14ac:dyDescent="0.25">
      <c r="A735" s="10" t="s">
        <v>825</v>
      </c>
      <c r="B735" s="15">
        <v>0</v>
      </c>
      <c r="C735" t="s">
        <v>3028</v>
      </c>
    </row>
    <row r="736" spans="1:3" x14ac:dyDescent="0.25">
      <c r="A736" s="10" t="s">
        <v>825</v>
      </c>
      <c r="B736" s="15">
        <v>0</v>
      </c>
      <c r="C736" t="s">
        <v>3028</v>
      </c>
    </row>
    <row r="737" spans="1:4" x14ac:dyDescent="0.25">
      <c r="A737" s="10" t="s">
        <v>830</v>
      </c>
      <c r="B737" s="15">
        <v>0</v>
      </c>
      <c r="C737" t="s">
        <v>3028</v>
      </c>
    </row>
    <row r="738" spans="1:4" x14ac:dyDescent="0.25">
      <c r="A738" s="10" t="s">
        <v>830</v>
      </c>
      <c r="B738" s="15">
        <v>0</v>
      </c>
      <c r="C738" t="s">
        <v>3028</v>
      </c>
    </row>
    <row r="739" spans="1:4" x14ac:dyDescent="0.25">
      <c r="A739" s="10" t="s">
        <v>832</v>
      </c>
      <c r="B739" s="15">
        <v>0</v>
      </c>
      <c r="C739" t="s">
        <v>3028</v>
      </c>
    </row>
    <row r="740" spans="1:4" x14ac:dyDescent="0.25">
      <c r="A740" s="10" t="s">
        <v>832</v>
      </c>
      <c r="B740" s="15">
        <v>0</v>
      </c>
      <c r="C740" t="s">
        <v>3028</v>
      </c>
    </row>
    <row r="741" spans="1:4" x14ac:dyDescent="0.25">
      <c r="A741" s="10" t="s">
        <v>834</v>
      </c>
      <c r="B741" s="15">
        <v>0</v>
      </c>
      <c r="C741" t="s">
        <v>3028</v>
      </c>
    </row>
    <row r="742" spans="1:4" x14ac:dyDescent="0.25">
      <c r="A742" s="10" t="s">
        <v>834</v>
      </c>
      <c r="B742" s="15">
        <v>0</v>
      </c>
      <c r="C742" t="s">
        <v>3028</v>
      </c>
    </row>
    <row r="743" spans="1:4" x14ac:dyDescent="0.25">
      <c r="A743" s="10" t="s">
        <v>838</v>
      </c>
      <c r="B743" s="15">
        <v>0</v>
      </c>
      <c r="C743" t="s">
        <v>3028</v>
      </c>
    </row>
    <row r="744" spans="1:4" x14ac:dyDescent="0.25">
      <c r="A744" s="10" t="s">
        <v>838</v>
      </c>
      <c r="B744" s="15">
        <v>0</v>
      </c>
      <c r="C744" t="s">
        <v>3028</v>
      </c>
    </row>
    <row r="745" spans="1:4" x14ac:dyDescent="0.25">
      <c r="A745" s="10" t="s">
        <v>840</v>
      </c>
      <c r="B745" s="15">
        <v>0</v>
      </c>
      <c r="C745" t="s">
        <v>3028</v>
      </c>
    </row>
    <row r="746" spans="1:4" x14ac:dyDescent="0.25">
      <c r="A746" s="10" t="s">
        <v>840</v>
      </c>
      <c r="B746" s="15">
        <v>0</v>
      </c>
      <c r="C746" t="s">
        <v>3028</v>
      </c>
    </row>
    <row r="747" spans="1:4" x14ac:dyDescent="0.25">
      <c r="A747" s="10" t="s">
        <v>842</v>
      </c>
      <c r="B747" s="15">
        <v>0</v>
      </c>
      <c r="C747" t="s">
        <v>3028</v>
      </c>
    </row>
    <row r="748" spans="1:4" x14ac:dyDescent="0.25">
      <c r="A748" s="10" t="s">
        <v>842</v>
      </c>
      <c r="B748" s="15">
        <v>0</v>
      </c>
      <c r="C748" t="s">
        <v>3028</v>
      </c>
    </row>
    <row r="749" spans="1:4" x14ac:dyDescent="0.25">
      <c r="A749" s="10" t="s">
        <v>842</v>
      </c>
      <c r="B749" s="15">
        <v>1766.31</v>
      </c>
      <c r="D749" t="s">
        <v>3028</v>
      </c>
    </row>
    <row r="750" spans="1:4" x14ac:dyDescent="0.25">
      <c r="A750" s="10" t="s">
        <v>844</v>
      </c>
      <c r="B750" s="15">
        <v>0</v>
      </c>
      <c r="C750" t="s">
        <v>3028</v>
      </c>
    </row>
    <row r="751" spans="1:4" x14ac:dyDescent="0.25">
      <c r="A751" s="10" t="s">
        <v>844</v>
      </c>
      <c r="B751" s="15">
        <v>0</v>
      </c>
      <c r="C751" t="s">
        <v>3028</v>
      </c>
    </row>
    <row r="752" spans="1:4" x14ac:dyDescent="0.25">
      <c r="A752" s="10" t="s">
        <v>846</v>
      </c>
      <c r="B752" s="15">
        <v>0</v>
      </c>
      <c r="C752" t="s">
        <v>3028</v>
      </c>
    </row>
    <row r="753" spans="1:4" x14ac:dyDescent="0.25">
      <c r="A753" s="10" t="s">
        <v>846</v>
      </c>
      <c r="B753" s="15">
        <v>0</v>
      </c>
      <c r="C753" t="s">
        <v>3028</v>
      </c>
    </row>
    <row r="754" spans="1:4" x14ac:dyDescent="0.25">
      <c r="A754" s="10" t="s">
        <v>848</v>
      </c>
      <c r="B754" s="15">
        <v>0</v>
      </c>
      <c r="C754" t="s">
        <v>3028</v>
      </c>
    </row>
    <row r="755" spans="1:4" x14ac:dyDescent="0.25">
      <c r="A755" s="10" t="s">
        <v>848</v>
      </c>
      <c r="B755" s="15">
        <v>0</v>
      </c>
      <c r="C755" t="s">
        <v>3028</v>
      </c>
    </row>
    <row r="756" spans="1:4" x14ac:dyDescent="0.25">
      <c r="A756" s="10" t="s">
        <v>848</v>
      </c>
      <c r="B756" s="15">
        <v>16857.8</v>
      </c>
      <c r="D756" t="s">
        <v>3028</v>
      </c>
    </row>
    <row r="757" spans="1:4" x14ac:dyDescent="0.25">
      <c r="A757" s="10" t="s">
        <v>850</v>
      </c>
      <c r="B757" s="15">
        <v>0</v>
      </c>
      <c r="C757" t="s">
        <v>3028</v>
      </c>
    </row>
    <row r="758" spans="1:4" x14ac:dyDescent="0.25">
      <c r="A758" s="10" t="s">
        <v>850</v>
      </c>
      <c r="B758" s="15">
        <v>0</v>
      </c>
      <c r="C758" t="s">
        <v>3028</v>
      </c>
    </row>
    <row r="759" spans="1:4" x14ac:dyDescent="0.25">
      <c r="A759" s="10" t="s">
        <v>852</v>
      </c>
      <c r="B759" s="15">
        <v>0</v>
      </c>
      <c r="C759" t="s">
        <v>3028</v>
      </c>
    </row>
    <row r="760" spans="1:4" x14ac:dyDescent="0.25">
      <c r="A760" s="10" t="s">
        <v>852</v>
      </c>
      <c r="B760" s="15">
        <v>0</v>
      </c>
      <c r="C760" t="s">
        <v>3028</v>
      </c>
    </row>
    <row r="761" spans="1:4" x14ac:dyDescent="0.25">
      <c r="A761" s="10" t="s">
        <v>854</v>
      </c>
      <c r="B761" s="15">
        <v>0</v>
      </c>
      <c r="C761" t="s">
        <v>3028</v>
      </c>
    </row>
    <row r="762" spans="1:4" x14ac:dyDescent="0.25">
      <c r="A762" s="10" t="s">
        <v>854</v>
      </c>
      <c r="B762" s="15">
        <v>0</v>
      </c>
      <c r="C762" t="s">
        <v>3028</v>
      </c>
    </row>
    <row r="763" spans="1:4" x14ac:dyDescent="0.25">
      <c r="A763" s="10" t="s">
        <v>856</v>
      </c>
      <c r="B763" s="15">
        <v>0</v>
      </c>
      <c r="C763" t="s">
        <v>3028</v>
      </c>
    </row>
    <row r="764" spans="1:4" x14ac:dyDescent="0.25">
      <c r="A764" s="10" t="s">
        <v>856</v>
      </c>
      <c r="B764" s="15">
        <v>0</v>
      </c>
      <c r="C764" t="s">
        <v>3028</v>
      </c>
    </row>
    <row r="765" spans="1:4" x14ac:dyDescent="0.25">
      <c r="A765" s="10" t="s">
        <v>858</v>
      </c>
      <c r="B765" s="15">
        <v>0</v>
      </c>
      <c r="C765" t="s">
        <v>3028</v>
      </c>
    </row>
    <row r="766" spans="1:4" x14ac:dyDescent="0.25">
      <c r="A766" s="10" t="s">
        <v>858</v>
      </c>
      <c r="B766" s="15">
        <v>0</v>
      </c>
      <c r="C766" t="s">
        <v>3028</v>
      </c>
    </row>
    <row r="767" spans="1:4" x14ac:dyDescent="0.25">
      <c r="A767" s="10" t="s">
        <v>858</v>
      </c>
      <c r="B767" s="15">
        <v>1316.11</v>
      </c>
      <c r="D767" t="s">
        <v>3028</v>
      </c>
    </row>
    <row r="768" spans="1:4" x14ac:dyDescent="0.25">
      <c r="A768" s="10" t="s">
        <v>860</v>
      </c>
      <c r="B768" s="15">
        <v>0</v>
      </c>
      <c r="C768" t="s">
        <v>3028</v>
      </c>
    </row>
    <row r="769" spans="1:3" x14ac:dyDescent="0.25">
      <c r="A769" s="10" t="s">
        <v>860</v>
      </c>
      <c r="B769" s="15">
        <v>0</v>
      </c>
      <c r="C769" t="s">
        <v>3028</v>
      </c>
    </row>
    <row r="770" spans="1:3" x14ac:dyDescent="0.25">
      <c r="A770" s="10" t="s">
        <v>862</v>
      </c>
      <c r="B770" s="15">
        <v>0</v>
      </c>
      <c r="C770" t="s">
        <v>3028</v>
      </c>
    </row>
    <row r="771" spans="1:3" x14ac:dyDescent="0.25">
      <c r="A771" s="10" t="s">
        <v>862</v>
      </c>
      <c r="B771" s="15">
        <v>0</v>
      </c>
      <c r="C771" t="s">
        <v>3028</v>
      </c>
    </row>
    <row r="772" spans="1:3" x14ac:dyDescent="0.25">
      <c r="A772" s="10" t="s">
        <v>864</v>
      </c>
      <c r="B772" s="15">
        <v>0</v>
      </c>
      <c r="C772" t="s">
        <v>3028</v>
      </c>
    </row>
    <row r="773" spans="1:3" x14ac:dyDescent="0.25">
      <c r="A773" s="10" t="s">
        <v>864</v>
      </c>
      <c r="B773" s="15">
        <v>0</v>
      </c>
      <c r="C773" t="s">
        <v>3028</v>
      </c>
    </row>
    <row r="774" spans="1:3" x14ac:dyDescent="0.25">
      <c r="A774" s="10" t="s">
        <v>866</v>
      </c>
      <c r="B774" s="15">
        <v>0</v>
      </c>
      <c r="C774" t="s">
        <v>3028</v>
      </c>
    </row>
    <row r="775" spans="1:3" x14ac:dyDescent="0.25">
      <c r="A775" s="10" t="s">
        <v>866</v>
      </c>
      <c r="B775" s="15">
        <v>0</v>
      </c>
      <c r="C775" t="s">
        <v>3028</v>
      </c>
    </row>
    <row r="776" spans="1:3" x14ac:dyDescent="0.25">
      <c r="A776" s="10" t="s">
        <v>868</v>
      </c>
      <c r="B776" s="15">
        <v>0</v>
      </c>
      <c r="C776" t="s">
        <v>3028</v>
      </c>
    </row>
    <row r="777" spans="1:3" x14ac:dyDescent="0.25">
      <c r="A777" s="10" t="s">
        <v>868</v>
      </c>
      <c r="B777" s="15">
        <v>0</v>
      </c>
      <c r="C777" t="s">
        <v>3028</v>
      </c>
    </row>
    <row r="778" spans="1:3" x14ac:dyDescent="0.25">
      <c r="A778" s="10" t="s">
        <v>870</v>
      </c>
      <c r="B778" s="15">
        <v>0</v>
      </c>
      <c r="C778" t="s">
        <v>3028</v>
      </c>
    </row>
    <row r="779" spans="1:3" x14ac:dyDescent="0.25">
      <c r="A779" s="10" t="s">
        <v>870</v>
      </c>
      <c r="B779" s="15">
        <v>0</v>
      </c>
      <c r="C779" t="s">
        <v>3028</v>
      </c>
    </row>
    <row r="780" spans="1:3" x14ac:dyDescent="0.25">
      <c r="A780" s="10" t="s">
        <v>872</v>
      </c>
      <c r="B780" s="15">
        <v>0</v>
      </c>
      <c r="C780" t="s">
        <v>3028</v>
      </c>
    </row>
    <row r="781" spans="1:3" x14ac:dyDescent="0.25">
      <c r="A781" s="10" t="s">
        <v>872</v>
      </c>
      <c r="B781" s="15">
        <v>0</v>
      </c>
      <c r="C781" t="s">
        <v>3028</v>
      </c>
    </row>
    <row r="782" spans="1:3" x14ac:dyDescent="0.25">
      <c r="A782" s="10" t="s">
        <v>874</v>
      </c>
      <c r="B782" s="15">
        <v>0</v>
      </c>
      <c r="C782" t="s">
        <v>3028</v>
      </c>
    </row>
    <row r="783" spans="1:3" x14ac:dyDescent="0.25">
      <c r="A783" s="10" t="s">
        <v>874</v>
      </c>
      <c r="B783" s="15">
        <v>0</v>
      </c>
      <c r="C783" t="s">
        <v>3028</v>
      </c>
    </row>
    <row r="784" spans="1:3" x14ac:dyDescent="0.25">
      <c r="A784" s="10" t="s">
        <v>876</v>
      </c>
      <c r="B784" s="15">
        <v>0</v>
      </c>
      <c r="C784" t="s">
        <v>3028</v>
      </c>
    </row>
    <row r="785" spans="1:3" x14ac:dyDescent="0.25">
      <c r="A785" s="10" t="s">
        <v>876</v>
      </c>
      <c r="B785" s="15">
        <v>0</v>
      </c>
      <c r="C785" t="s">
        <v>3028</v>
      </c>
    </row>
    <row r="786" spans="1:3" x14ac:dyDescent="0.25">
      <c r="A786" s="10" t="s">
        <v>878</v>
      </c>
      <c r="B786" s="15">
        <v>0</v>
      </c>
      <c r="C786" t="s">
        <v>3028</v>
      </c>
    </row>
    <row r="787" spans="1:3" x14ac:dyDescent="0.25">
      <c r="A787" s="10" t="s">
        <v>878</v>
      </c>
      <c r="B787" s="15">
        <v>0</v>
      </c>
      <c r="C787" t="s">
        <v>3028</v>
      </c>
    </row>
    <row r="788" spans="1:3" x14ac:dyDescent="0.25">
      <c r="A788" s="10" t="s">
        <v>880</v>
      </c>
      <c r="B788" s="15">
        <v>0</v>
      </c>
      <c r="C788" t="s">
        <v>3028</v>
      </c>
    </row>
    <row r="789" spans="1:3" x14ac:dyDescent="0.25">
      <c r="A789" s="10" t="s">
        <v>880</v>
      </c>
      <c r="B789" s="15">
        <v>0</v>
      </c>
      <c r="C789" t="s">
        <v>3028</v>
      </c>
    </row>
    <row r="790" spans="1:3" x14ac:dyDescent="0.25">
      <c r="A790" s="10" t="s">
        <v>882</v>
      </c>
      <c r="B790" s="15">
        <v>0</v>
      </c>
      <c r="C790" t="s">
        <v>3028</v>
      </c>
    </row>
    <row r="791" spans="1:3" x14ac:dyDescent="0.25">
      <c r="A791" s="10" t="s">
        <v>882</v>
      </c>
      <c r="B791" s="15">
        <v>0</v>
      </c>
      <c r="C791" t="s">
        <v>3028</v>
      </c>
    </row>
    <row r="792" spans="1:3" x14ac:dyDescent="0.25">
      <c r="A792" s="10" t="s">
        <v>884</v>
      </c>
      <c r="B792" s="15">
        <v>0</v>
      </c>
      <c r="C792" t="s">
        <v>3028</v>
      </c>
    </row>
    <row r="793" spans="1:3" x14ac:dyDescent="0.25">
      <c r="A793" s="10" t="s">
        <v>884</v>
      </c>
      <c r="B793" s="15">
        <v>0</v>
      </c>
      <c r="C793" t="s">
        <v>3028</v>
      </c>
    </row>
    <row r="794" spans="1:3" x14ac:dyDescent="0.25">
      <c r="A794" s="10" t="s">
        <v>886</v>
      </c>
      <c r="B794" s="15">
        <v>0</v>
      </c>
      <c r="C794" t="s">
        <v>3028</v>
      </c>
    </row>
    <row r="795" spans="1:3" x14ac:dyDescent="0.25">
      <c r="A795" s="10" t="s">
        <v>886</v>
      </c>
      <c r="B795" s="15">
        <v>0</v>
      </c>
      <c r="C795" t="s">
        <v>3028</v>
      </c>
    </row>
    <row r="796" spans="1:3" x14ac:dyDescent="0.25">
      <c r="A796" s="10" t="s">
        <v>888</v>
      </c>
      <c r="B796" s="15">
        <v>0</v>
      </c>
      <c r="C796" t="s">
        <v>3028</v>
      </c>
    </row>
    <row r="797" spans="1:3" x14ac:dyDescent="0.25">
      <c r="A797" s="10" t="s">
        <v>888</v>
      </c>
      <c r="B797" s="15">
        <v>0</v>
      </c>
      <c r="C797" t="s">
        <v>3028</v>
      </c>
    </row>
    <row r="798" spans="1:3" x14ac:dyDescent="0.25">
      <c r="A798" s="10" t="s">
        <v>890</v>
      </c>
      <c r="B798" s="15">
        <v>0</v>
      </c>
      <c r="C798" t="s">
        <v>3028</v>
      </c>
    </row>
    <row r="799" spans="1:3" x14ac:dyDescent="0.25">
      <c r="A799" s="10" t="s">
        <v>890</v>
      </c>
      <c r="B799" s="15">
        <v>0</v>
      </c>
      <c r="C799" t="s">
        <v>3028</v>
      </c>
    </row>
    <row r="800" spans="1:3" x14ac:dyDescent="0.25">
      <c r="A800" s="10" t="s">
        <v>892</v>
      </c>
      <c r="B800" s="15">
        <v>0</v>
      </c>
      <c r="C800" t="s">
        <v>3028</v>
      </c>
    </row>
    <row r="801" spans="1:3" x14ac:dyDescent="0.25">
      <c r="A801" s="10" t="s">
        <v>892</v>
      </c>
      <c r="B801" s="15">
        <v>0</v>
      </c>
      <c r="C801" t="s">
        <v>3028</v>
      </c>
    </row>
    <row r="802" spans="1:3" x14ac:dyDescent="0.25">
      <c r="A802" s="10" t="s">
        <v>894</v>
      </c>
      <c r="B802" s="15">
        <v>0</v>
      </c>
      <c r="C802" t="s">
        <v>3028</v>
      </c>
    </row>
    <row r="803" spans="1:3" x14ac:dyDescent="0.25">
      <c r="A803" s="10" t="s">
        <v>894</v>
      </c>
      <c r="B803" s="15">
        <v>0</v>
      </c>
      <c r="C803" t="s">
        <v>3028</v>
      </c>
    </row>
    <row r="804" spans="1:3" x14ac:dyDescent="0.25">
      <c r="A804" s="10" t="s">
        <v>896</v>
      </c>
      <c r="B804" s="15">
        <v>0</v>
      </c>
      <c r="C804" t="s">
        <v>3028</v>
      </c>
    </row>
    <row r="805" spans="1:3" x14ac:dyDescent="0.25">
      <c r="A805" s="10" t="s">
        <v>896</v>
      </c>
      <c r="B805" s="15">
        <v>0</v>
      </c>
      <c r="C805" t="s">
        <v>3028</v>
      </c>
    </row>
    <row r="806" spans="1:3" x14ac:dyDescent="0.25">
      <c r="A806" s="10" t="s">
        <v>898</v>
      </c>
      <c r="B806" s="15">
        <v>0</v>
      </c>
      <c r="C806" t="s">
        <v>3028</v>
      </c>
    </row>
    <row r="807" spans="1:3" x14ac:dyDescent="0.25">
      <c r="A807" s="10" t="s">
        <v>898</v>
      </c>
      <c r="B807" s="15">
        <v>0</v>
      </c>
      <c r="C807" t="s">
        <v>3028</v>
      </c>
    </row>
    <row r="808" spans="1:3" x14ac:dyDescent="0.25">
      <c r="A808" s="10" t="s">
        <v>900</v>
      </c>
      <c r="B808" s="15">
        <v>0</v>
      </c>
      <c r="C808" t="s">
        <v>3028</v>
      </c>
    </row>
    <row r="809" spans="1:3" x14ac:dyDescent="0.25">
      <c r="A809" s="10" t="s">
        <v>900</v>
      </c>
      <c r="B809" s="15">
        <v>0</v>
      </c>
      <c r="C809" t="s">
        <v>3028</v>
      </c>
    </row>
    <row r="810" spans="1:3" x14ac:dyDescent="0.25">
      <c r="A810" s="10" t="s">
        <v>902</v>
      </c>
      <c r="B810" s="15">
        <v>0</v>
      </c>
      <c r="C810" t="s">
        <v>3028</v>
      </c>
    </row>
    <row r="811" spans="1:3" x14ac:dyDescent="0.25">
      <c r="A811" s="10" t="s">
        <v>902</v>
      </c>
      <c r="B811" s="15">
        <v>0</v>
      </c>
      <c r="C811" t="s">
        <v>3028</v>
      </c>
    </row>
    <row r="812" spans="1:3" x14ac:dyDescent="0.25">
      <c r="A812" s="10" t="s">
        <v>904</v>
      </c>
      <c r="B812" s="15">
        <v>0</v>
      </c>
      <c r="C812" t="s">
        <v>3028</v>
      </c>
    </row>
    <row r="813" spans="1:3" x14ac:dyDescent="0.25">
      <c r="A813" s="10" t="s">
        <v>904</v>
      </c>
      <c r="B813" s="15">
        <v>0</v>
      </c>
      <c r="C813" t="s">
        <v>3028</v>
      </c>
    </row>
    <row r="814" spans="1:3" x14ac:dyDescent="0.25">
      <c r="A814" s="10" t="s">
        <v>906</v>
      </c>
      <c r="B814" s="15">
        <v>0</v>
      </c>
      <c r="C814" t="s">
        <v>3028</v>
      </c>
    </row>
    <row r="815" spans="1:3" x14ac:dyDescent="0.25">
      <c r="A815" s="10" t="s">
        <v>906</v>
      </c>
      <c r="B815" s="15">
        <v>0</v>
      </c>
      <c r="C815" t="s">
        <v>3028</v>
      </c>
    </row>
    <row r="816" spans="1:3" x14ac:dyDescent="0.25">
      <c r="A816" s="10" t="s">
        <v>908</v>
      </c>
      <c r="B816" s="15">
        <v>0</v>
      </c>
      <c r="C816" t="s">
        <v>3028</v>
      </c>
    </row>
    <row r="817" spans="1:3" x14ac:dyDescent="0.25">
      <c r="A817" s="10" t="s">
        <v>908</v>
      </c>
      <c r="B817" s="15">
        <v>0</v>
      </c>
      <c r="C817" t="s">
        <v>3028</v>
      </c>
    </row>
    <row r="818" spans="1:3" x14ac:dyDescent="0.25">
      <c r="A818" s="10" t="s">
        <v>910</v>
      </c>
      <c r="B818" s="15">
        <v>0</v>
      </c>
      <c r="C818" t="s">
        <v>3028</v>
      </c>
    </row>
    <row r="819" spans="1:3" x14ac:dyDescent="0.25">
      <c r="A819" s="10" t="s">
        <v>910</v>
      </c>
      <c r="B819" s="15">
        <v>0</v>
      </c>
      <c r="C819" t="s">
        <v>3028</v>
      </c>
    </row>
    <row r="820" spans="1:3" x14ac:dyDescent="0.25">
      <c r="A820" s="10" t="s">
        <v>912</v>
      </c>
      <c r="B820" s="15">
        <v>0</v>
      </c>
      <c r="C820" t="s">
        <v>3028</v>
      </c>
    </row>
    <row r="821" spans="1:3" x14ac:dyDescent="0.25">
      <c r="A821" s="10" t="s">
        <v>912</v>
      </c>
      <c r="B821" s="15">
        <v>0</v>
      </c>
      <c r="C821" t="s">
        <v>3028</v>
      </c>
    </row>
    <row r="822" spans="1:3" x14ac:dyDescent="0.25">
      <c r="A822" s="10" t="s">
        <v>914</v>
      </c>
      <c r="B822" s="15">
        <v>0</v>
      </c>
      <c r="C822" t="s">
        <v>3028</v>
      </c>
    </row>
    <row r="823" spans="1:3" x14ac:dyDescent="0.25">
      <c r="A823" s="10" t="s">
        <v>914</v>
      </c>
      <c r="B823" s="15">
        <v>0</v>
      </c>
      <c r="C823" t="s">
        <v>3028</v>
      </c>
    </row>
    <row r="824" spans="1:3" x14ac:dyDescent="0.25">
      <c r="A824" s="10" t="s">
        <v>916</v>
      </c>
      <c r="B824" s="15">
        <v>0</v>
      </c>
      <c r="C824" t="s">
        <v>3028</v>
      </c>
    </row>
    <row r="825" spans="1:3" x14ac:dyDescent="0.25">
      <c r="A825" s="10" t="s">
        <v>916</v>
      </c>
      <c r="B825" s="15">
        <v>0</v>
      </c>
      <c r="C825" t="s">
        <v>3028</v>
      </c>
    </row>
    <row r="826" spans="1:3" x14ac:dyDescent="0.25">
      <c r="A826" s="10" t="s">
        <v>918</v>
      </c>
      <c r="B826" s="15">
        <v>0</v>
      </c>
      <c r="C826" t="s">
        <v>3028</v>
      </c>
    </row>
    <row r="827" spans="1:3" x14ac:dyDescent="0.25">
      <c r="A827" s="10" t="s">
        <v>918</v>
      </c>
      <c r="B827" s="15">
        <v>0</v>
      </c>
      <c r="C827" t="s">
        <v>3028</v>
      </c>
    </row>
    <row r="828" spans="1:3" x14ac:dyDescent="0.25">
      <c r="A828" s="10" t="s">
        <v>920</v>
      </c>
      <c r="B828" s="15">
        <v>0</v>
      </c>
      <c r="C828" t="s">
        <v>3028</v>
      </c>
    </row>
    <row r="829" spans="1:3" x14ac:dyDescent="0.25">
      <c r="A829" s="10" t="s">
        <v>920</v>
      </c>
      <c r="B829" s="15">
        <v>0</v>
      </c>
      <c r="C829" t="s">
        <v>3028</v>
      </c>
    </row>
    <row r="830" spans="1:3" x14ac:dyDescent="0.25">
      <c r="A830" s="10" t="s">
        <v>922</v>
      </c>
      <c r="B830" s="15">
        <v>0</v>
      </c>
      <c r="C830" t="s">
        <v>3028</v>
      </c>
    </row>
    <row r="831" spans="1:3" x14ac:dyDescent="0.25">
      <c r="A831" s="10" t="s">
        <v>922</v>
      </c>
      <c r="B831" s="15">
        <v>0</v>
      </c>
      <c r="C831" t="s">
        <v>3028</v>
      </c>
    </row>
    <row r="832" spans="1:3" x14ac:dyDescent="0.25">
      <c r="A832" s="10" t="s">
        <v>924</v>
      </c>
      <c r="B832" s="15">
        <v>0</v>
      </c>
      <c r="C832" t="s">
        <v>3028</v>
      </c>
    </row>
    <row r="833" spans="1:4" x14ac:dyDescent="0.25">
      <c r="A833" s="10" t="s">
        <v>924</v>
      </c>
      <c r="B833" s="15">
        <v>0</v>
      </c>
      <c r="C833" t="s">
        <v>3028</v>
      </c>
    </row>
    <row r="834" spans="1:4" x14ac:dyDescent="0.25">
      <c r="A834" s="10" t="s">
        <v>926</v>
      </c>
      <c r="B834" s="15">
        <v>0</v>
      </c>
      <c r="C834" t="s">
        <v>3028</v>
      </c>
    </row>
    <row r="835" spans="1:4" x14ac:dyDescent="0.25">
      <c r="A835" s="10" t="s">
        <v>926</v>
      </c>
      <c r="B835" s="15">
        <v>0</v>
      </c>
      <c r="C835" t="s">
        <v>3028</v>
      </c>
    </row>
    <row r="836" spans="1:4" x14ac:dyDescent="0.25">
      <c r="A836" s="10" t="s">
        <v>928</v>
      </c>
      <c r="B836" s="15">
        <v>0</v>
      </c>
      <c r="C836" t="s">
        <v>3028</v>
      </c>
    </row>
    <row r="837" spans="1:4" x14ac:dyDescent="0.25">
      <c r="A837" s="10" t="s">
        <v>928</v>
      </c>
      <c r="B837" s="15">
        <v>0</v>
      </c>
      <c r="C837" t="s">
        <v>3028</v>
      </c>
    </row>
    <row r="838" spans="1:4" x14ac:dyDescent="0.25">
      <c r="A838" s="10" t="s">
        <v>930</v>
      </c>
      <c r="B838" s="15">
        <v>0</v>
      </c>
      <c r="C838" t="s">
        <v>3028</v>
      </c>
    </row>
    <row r="839" spans="1:4" x14ac:dyDescent="0.25">
      <c r="A839" s="10" t="s">
        <v>930</v>
      </c>
      <c r="B839" s="15">
        <v>0</v>
      </c>
      <c r="C839" t="s">
        <v>3028</v>
      </c>
    </row>
    <row r="840" spans="1:4" x14ac:dyDescent="0.25">
      <c r="A840" s="10" t="s">
        <v>932</v>
      </c>
      <c r="B840" s="15">
        <v>0</v>
      </c>
      <c r="C840" t="s">
        <v>3028</v>
      </c>
    </row>
    <row r="841" spans="1:4" x14ac:dyDescent="0.25">
      <c r="A841" s="10" t="s">
        <v>932</v>
      </c>
      <c r="B841" s="15">
        <v>0</v>
      </c>
      <c r="C841" t="s">
        <v>3028</v>
      </c>
    </row>
    <row r="842" spans="1:4" x14ac:dyDescent="0.25">
      <c r="A842" s="10" t="s">
        <v>932</v>
      </c>
      <c r="B842" s="15">
        <v>1806.81</v>
      </c>
      <c r="D842" t="s">
        <v>3028</v>
      </c>
    </row>
    <row r="843" spans="1:4" x14ac:dyDescent="0.25">
      <c r="A843" s="10" t="s">
        <v>934</v>
      </c>
      <c r="B843" s="15">
        <v>0</v>
      </c>
      <c r="C843" t="s">
        <v>3028</v>
      </c>
    </row>
    <row r="844" spans="1:4" x14ac:dyDescent="0.25">
      <c r="A844" s="10" t="s">
        <v>934</v>
      </c>
      <c r="B844" s="15">
        <v>0</v>
      </c>
      <c r="C844" t="s">
        <v>3028</v>
      </c>
    </row>
    <row r="845" spans="1:4" x14ac:dyDescent="0.25">
      <c r="A845" s="10" t="s">
        <v>936</v>
      </c>
      <c r="B845" s="15">
        <v>0</v>
      </c>
      <c r="C845" t="s">
        <v>3028</v>
      </c>
    </row>
    <row r="846" spans="1:4" x14ac:dyDescent="0.25">
      <c r="A846" s="10" t="s">
        <v>936</v>
      </c>
      <c r="B846" s="15">
        <v>0</v>
      </c>
      <c r="C846" t="s">
        <v>3028</v>
      </c>
    </row>
    <row r="847" spans="1:4" x14ac:dyDescent="0.25">
      <c r="A847" s="10" t="s">
        <v>938</v>
      </c>
      <c r="B847" s="15">
        <v>0</v>
      </c>
      <c r="C847" t="s">
        <v>3028</v>
      </c>
    </row>
    <row r="848" spans="1:4" x14ac:dyDescent="0.25">
      <c r="A848" s="10" t="s">
        <v>938</v>
      </c>
      <c r="B848" s="15">
        <v>0</v>
      </c>
      <c r="C848" t="s">
        <v>3028</v>
      </c>
    </row>
    <row r="849" spans="1:3" x14ac:dyDescent="0.25">
      <c r="A849" s="10" t="s">
        <v>940</v>
      </c>
      <c r="B849" s="15">
        <v>0</v>
      </c>
      <c r="C849" t="s">
        <v>3028</v>
      </c>
    </row>
    <row r="850" spans="1:3" x14ac:dyDescent="0.25">
      <c r="A850" s="10" t="s">
        <v>940</v>
      </c>
      <c r="B850" s="15">
        <v>0</v>
      </c>
      <c r="C850" t="s">
        <v>3028</v>
      </c>
    </row>
    <row r="851" spans="1:3" x14ac:dyDescent="0.25">
      <c r="A851" s="10" t="s">
        <v>942</v>
      </c>
      <c r="B851" s="15">
        <v>0</v>
      </c>
      <c r="C851" t="s">
        <v>3028</v>
      </c>
    </row>
    <row r="852" spans="1:3" x14ac:dyDescent="0.25">
      <c r="A852" s="10" t="s">
        <v>942</v>
      </c>
      <c r="B852" s="15">
        <v>0</v>
      </c>
      <c r="C852" t="s">
        <v>3028</v>
      </c>
    </row>
    <row r="853" spans="1:3" x14ac:dyDescent="0.25">
      <c r="A853" s="10" t="s">
        <v>944</v>
      </c>
      <c r="B853" s="15">
        <v>0</v>
      </c>
      <c r="C853" t="s">
        <v>3028</v>
      </c>
    </row>
    <row r="854" spans="1:3" x14ac:dyDescent="0.25">
      <c r="A854" s="10" t="s">
        <v>944</v>
      </c>
      <c r="B854" s="15">
        <v>0</v>
      </c>
      <c r="C854" t="s">
        <v>3028</v>
      </c>
    </row>
    <row r="855" spans="1:3" x14ac:dyDescent="0.25">
      <c r="A855" s="10" t="s">
        <v>946</v>
      </c>
      <c r="B855" s="15">
        <v>0</v>
      </c>
      <c r="C855" t="s">
        <v>3028</v>
      </c>
    </row>
    <row r="856" spans="1:3" x14ac:dyDescent="0.25">
      <c r="A856" s="10" t="s">
        <v>946</v>
      </c>
      <c r="B856" s="15">
        <v>0</v>
      </c>
      <c r="C856" t="s">
        <v>3028</v>
      </c>
    </row>
    <row r="857" spans="1:3" x14ac:dyDescent="0.25">
      <c r="A857" s="10" t="s">
        <v>948</v>
      </c>
      <c r="B857" s="15">
        <v>0</v>
      </c>
      <c r="C857" t="s">
        <v>3028</v>
      </c>
    </row>
    <row r="858" spans="1:3" x14ac:dyDescent="0.25">
      <c r="A858" s="10" t="s">
        <v>948</v>
      </c>
      <c r="B858" s="15">
        <v>0</v>
      </c>
      <c r="C858" t="s">
        <v>3028</v>
      </c>
    </row>
    <row r="859" spans="1:3" x14ac:dyDescent="0.25">
      <c r="A859" s="10" t="s">
        <v>954</v>
      </c>
      <c r="B859" s="15">
        <v>0</v>
      </c>
      <c r="C859" t="s">
        <v>3028</v>
      </c>
    </row>
    <row r="860" spans="1:3" x14ac:dyDescent="0.25">
      <c r="A860" s="10" t="s">
        <v>954</v>
      </c>
      <c r="B860" s="15">
        <v>0</v>
      </c>
      <c r="C860" t="s">
        <v>3028</v>
      </c>
    </row>
    <row r="861" spans="1:3" x14ac:dyDescent="0.25">
      <c r="A861" s="10" t="s">
        <v>956</v>
      </c>
      <c r="B861" s="15">
        <v>0</v>
      </c>
      <c r="C861" t="s">
        <v>3028</v>
      </c>
    </row>
    <row r="862" spans="1:3" x14ac:dyDescent="0.25">
      <c r="A862" s="10" t="s">
        <v>956</v>
      </c>
      <c r="B862" s="15">
        <v>0</v>
      </c>
      <c r="C862" t="s">
        <v>3028</v>
      </c>
    </row>
    <row r="863" spans="1:3" x14ac:dyDescent="0.25">
      <c r="A863" s="10" t="s">
        <v>958</v>
      </c>
      <c r="B863" s="15">
        <v>0</v>
      </c>
      <c r="C863" t="s">
        <v>3028</v>
      </c>
    </row>
    <row r="864" spans="1:3" x14ac:dyDescent="0.25">
      <c r="A864" s="10" t="s">
        <v>958</v>
      </c>
      <c r="B864" s="15">
        <v>0</v>
      </c>
      <c r="C864" t="s">
        <v>3028</v>
      </c>
    </row>
    <row r="865" spans="1:4" x14ac:dyDescent="0.25">
      <c r="A865" s="10" t="s">
        <v>960</v>
      </c>
      <c r="B865" s="15">
        <v>0</v>
      </c>
      <c r="C865" t="s">
        <v>3028</v>
      </c>
    </row>
    <row r="866" spans="1:4" x14ac:dyDescent="0.25">
      <c r="A866" s="10" t="s">
        <v>960</v>
      </c>
      <c r="B866" s="15">
        <v>0</v>
      </c>
      <c r="C866" t="s">
        <v>3028</v>
      </c>
    </row>
    <row r="867" spans="1:4" x14ac:dyDescent="0.25">
      <c r="A867" s="10" t="s">
        <v>962</v>
      </c>
      <c r="B867" s="15">
        <v>0</v>
      </c>
      <c r="C867" t="s">
        <v>3028</v>
      </c>
    </row>
    <row r="868" spans="1:4" x14ac:dyDescent="0.25">
      <c r="A868" s="10" t="s">
        <v>962</v>
      </c>
      <c r="B868" s="15">
        <v>0</v>
      </c>
      <c r="C868" t="s">
        <v>3028</v>
      </c>
    </row>
    <row r="869" spans="1:4" x14ac:dyDescent="0.25">
      <c r="A869" s="10" t="s">
        <v>962</v>
      </c>
      <c r="B869" s="15">
        <v>1766.31</v>
      </c>
      <c r="D869" t="s">
        <v>3028</v>
      </c>
    </row>
    <row r="870" spans="1:4" x14ac:dyDescent="0.25">
      <c r="A870" s="10" t="s">
        <v>964</v>
      </c>
      <c r="B870" s="15">
        <v>0</v>
      </c>
      <c r="C870" t="s">
        <v>3028</v>
      </c>
    </row>
    <row r="871" spans="1:4" x14ac:dyDescent="0.25">
      <c r="A871" s="10" t="s">
        <v>964</v>
      </c>
      <c r="B871" s="15">
        <v>0</v>
      </c>
      <c r="C871" t="s">
        <v>3028</v>
      </c>
    </row>
    <row r="872" spans="1:4" x14ac:dyDescent="0.25">
      <c r="A872" s="10" t="s">
        <v>966</v>
      </c>
      <c r="B872" s="15">
        <v>0</v>
      </c>
      <c r="C872" t="s">
        <v>3028</v>
      </c>
    </row>
    <row r="873" spans="1:4" x14ac:dyDescent="0.25">
      <c r="A873" s="10" t="s">
        <v>966</v>
      </c>
      <c r="B873" s="15">
        <v>0</v>
      </c>
      <c r="C873" t="s">
        <v>3028</v>
      </c>
    </row>
    <row r="874" spans="1:4" x14ac:dyDescent="0.25">
      <c r="A874" s="10" t="s">
        <v>968</v>
      </c>
      <c r="B874" s="15">
        <v>0</v>
      </c>
      <c r="C874" t="s">
        <v>3028</v>
      </c>
    </row>
    <row r="875" spans="1:4" x14ac:dyDescent="0.25">
      <c r="A875" s="10" t="s">
        <v>968</v>
      </c>
      <c r="B875" s="15">
        <v>0</v>
      </c>
      <c r="C875" t="s">
        <v>3028</v>
      </c>
    </row>
    <row r="876" spans="1:4" x14ac:dyDescent="0.25">
      <c r="A876" s="10" t="s">
        <v>970</v>
      </c>
      <c r="B876" s="15">
        <v>0</v>
      </c>
      <c r="C876" t="s">
        <v>3028</v>
      </c>
    </row>
    <row r="877" spans="1:4" x14ac:dyDescent="0.25">
      <c r="A877" s="10" t="s">
        <v>970</v>
      </c>
      <c r="B877" s="15">
        <v>0</v>
      </c>
      <c r="C877" t="s">
        <v>3028</v>
      </c>
    </row>
    <row r="878" spans="1:4" x14ac:dyDescent="0.25">
      <c r="A878" s="10" t="s">
        <v>972</v>
      </c>
      <c r="B878" s="15">
        <v>0</v>
      </c>
      <c r="C878" t="s">
        <v>3028</v>
      </c>
    </row>
    <row r="879" spans="1:4" x14ac:dyDescent="0.25">
      <c r="A879" s="10" t="s">
        <v>972</v>
      </c>
      <c r="B879" s="15">
        <v>0</v>
      </c>
      <c r="C879" t="s">
        <v>3028</v>
      </c>
    </row>
    <row r="880" spans="1:4" x14ac:dyDescent="0.25">
      <c r="A880" s="10" t="s">
        <v>974</v>
      </c>
      <c r="B880" s="15">
        <v>0</v>
      </c>
      <c r="C880" t="s">
        <v>3028</v>
      </c>
    </row>
    <row r="881" spans="1:4" x14ac:dyDescent="0.25">
      <c r="A881" s="10" t="s">
        <v>974</v>
      </c>
      <c r="B881" s="15">
        <v>0</v>
      </c>
      <c r="C881" t="s">
        <v>3028</v>
      </c>
    </row>
    <row r="882" spans="1:4" x14ac:dyDescent="0.25">
      <c r="A882" s="10" t="s">
        <v>976</v>
      </c>
      <c r="B882" s="15">
        <v>0</v>
      </c>
      <c r="C882" t="s">
        <v>3028</v>
      </c>
    </row>
    <row r="883" spans="1:4" x14ac:dyDescent="0.25">
      <c r="A883" s="10" t="s">
        <v>976</v>
      </c>
      <c r="B883" s="15">
        <v>0</v>
      </c>
      <c r="C883" t="s">
        <v>3028</v>
      </c>
    </row>
    <row r="884" spans="1:4" x14ac:dyDescent="0.25">
      <c r="A884" s="10" t="s">
        <v>978</v>
      </c>
      <c r="B884" s="15">
        <v>0</v>
      </c>
      <c r="C884" t="s">
        <v>3028</v>
      </c>
    </row>
    <row r="885" spans="1:4" x14ac:dyDescent="0.25">
      <c r="A885" s="10" t="s">
        <v>978</v>
      </c>
      <c r="B885" s="15">
        <v>0</v>
      </c>
      <c r="C885" t="s">
        <v>3028</v>
      </c>
    </row>
    <row r="886" spans="1:4" x14ac:dyDescent="0.25">
      <c r="A886" s="10" t="s">
        <v>980</v>
      </c>
      <c r="B886" s="15">
        <v>0</v>
      </c>
      <c r="C886" t="s">
        <v>3028</v>
      </c>
    </row>
    <row r="887" spans="1:4" x14ac:dyDescent="0.25">
      <c r="A887" s="10" t="s">
        <v>980</v>
      </c>
      <c r="B887" s="15">
        <v>0</v>
      </c>
      <c r="C887" t="s">
        <v>3028</v>
      </c>
    </row>
    <row r="888" spans="1:4" x14ac:dyDescent="0.25">
      <c r="A888" s="10" t="s">
        <v>982</v>
      </c>
      <c r="B888" s="15">
        <v>0</v>
      </c>
      <c r="C888" t="s">
        <v>3028</v>
      </c>
    </row>
    <row r="889" spans="1:4" x14ac:dyDescent="0.25">
      <c r="A889" s="10" t="s">
        <v>982</v>
      </c>
      <c r="B889" s="15">
        <v>0</v>
      </c>
      <c r="C889" t="s">
        <v>3028</v>
      </c>
    </row>
    <row r="890" spans="1:4" x14ac:dyDescent="0.25">
      <c r="A890" s="10" t="s">
        <v>984</v>
      </c>
      <c r="B890" s="15">
        <v>0</v>
      </c>
      <c r="C890" t="s">
        <v>3028</v>
      </c>
    </row>
    <row r="891" spans="1:4" x14ac:dyDescent="0.25">
      <c r="A891" s="10" t="s">
        <v>984</v>
      </c>
      <c r="B891" s="15">
        <v>0</v>
      </c>
      <c r="C891" t="s">
        <v>3028</v>
      </c>
    </row>
    <row r="892" spans="1:4" x14ac:dyDescent="0.25">
      <c r="A892" s="10" t="s">
        <v>984</v>
      </c>
      <c r="B892" s="15">
        <v>1413.05</v>
      </c>
      <c r="D892" t="s">
        <v>3028</v>
      </c>
    </row>
    <row r="893" spans="1:4" x14ac:dyDescent="0.25">
      <c r="A893" s="10" t="s">
        <v>986</v>
      </c>
      <c r="B893" s="15">
        <v>0</v>
      </c>
      <c r="C893" t="s">
        <v>3028</v>
      </c>
    </row>
    <row r="894" spans="1:4" x14ac:dyDescent="0.25">
      <c r="A894" s="10" t="s">
        <v>986</v>
      </c>
      <c r="B894" s="15">
        <v>0</v>
      </c>
      <c r="C894" t="s">
        <v>3028</v>
      </c>
    </row>
    <row r="895" spans="1:4" x14ac:dyDescent="0.25">
      <c r="A895" s="10" t="s">
        <v>988</v>
      </c>
      <c r="B895" s="15">
        <v>0</v>
      </c>
      <c r="C895" t="s">
        <v>3028</v>
      </c>
    </row>
    <row r="896" spans="1:4" x14ac:dyDescent="0.25">
      <c r="A896" s="10" t="s">
        <v>988</v>
      </c>
      <c r="B896" s="15">
        <v>0</v>
      </c>
      <c r="C896" t="s">
        <v>3028</v>
      </c>
    </row>
    <row r="897" spans="1:3" x14ac:dyDescent="0.25">
      <c r="A897" s="10" t="s">
        <v>990</v>
      </c>
      <c r="B897" s="15">
        <v>0</v>
      </c>
      <c r="C897" t="s">
        <v>3028</v>
      </c>
    </row>
    <row r="898" spans="1:3" x14ac:dyDescent="0.25">
      <c r="A898" s="10" t="s">
        <v>990</v>
      </c>
      <c r="B898" s="15">
        <v>0</v>
      </c>
      <c r="C898" t="s">
        <v>3028</v>
      </c>
    </row>
    <row r="899" spans="1:3" x14ac:dyDescent="0.25">
      <c r="A899" s="10" t="s">
        <v>992</v>
      </c>
      <c r="B899" s="15">
        <v>0</v>
      </c>
      <c r="C899" t="s">
        <v>3028</v>
      </c>
    </row>
    <row r="900" spans="1:3" x14ac:dyDescent="0.25">
      <c r="A900" s="10" t="s">
        <v>992</v>
      </c>
      <c r="B900" s="15">
        <v>0</v>
      </c>
      <c r="C900" t="s">
        <v>3028</v>
      </c>
    </row>
    <row r="901" spans="1:3" x14ac:dyDescent="0.25">
      <c r="A901" s="10" t="s">
        <v>994</v>
      </c>
      <c r="B901" s="15">
        <v>0</v>
      </c>
      <c r="C901" t="s">
        <v>3028</v>
      </c>
    </row>
    <row r="902" spans="1:3" x14ac:dyDescent="0.25">
      <c r="A902" s="10" t="s">
        <v>994</v>
      </c>
      <c r="B902" s="15">
        <v>0</v>
      </c>
      <c r="C902" t="s">
        <v>3028</v>
      </c>
    </row>
    <row r="903" spans="1:3" x14ac:dyDescent="0.25">
      <c r="A903" s="10" t="s">
        <v>996</v>
      </c>
      <c r="B903" s="15">
        <v>0</v>
      </c>
      <c r="C903" t="s">
        <v>3028</v>
      </c>
    </row>
    <row r="904" spans="1:3" x14ac:dyDescent="0.25">
      <c r="A904" s="10" t="s">
        <v>996</v>
      </c>
      <c r="B904" s="15">
        <v>0</v>
      </c>
      <c r="C904" t="s">
        <v>3028</v>
      </c>
    </row>
    <row r="905" spans="1:3" x14ac:dyDescent="0.25">
      <c r="A905" s="10" t="s">
        <v>998</v>
      </c>
      <c r="B905" s="15">
        <v>0</v>
      </c>
      <c r="C905" t="s">
        <v>3028</v>
      </c>
    </row>
    <row r="906" spans="1:3" x14ac:dyDescent="0.25">
      <c r="A906" s="10" t="s">
        <v>998</v>
      </c>
      <c r="B906" s="15">
        <v>0</v>
      </c>
      <c r="C906" t="s">
        <v>3028</v>
      </c>
    </row>
    <row r="907" spans="1:3" x14ac:dyDescent="0.25">
      <c r="A907" s="10" t="s">
        <v>1000</v>
      </c>
      <c r="B907" s="15">
        <v>0</v>
      </c>
      <c r="C907" t="s">
        <v>3028</v>
      </c>
    </row>
    <row r="908" spans="1:3" x14ac:dyDescent="0.25">
      <c r="A908" s="10" t="s">
        <v>1000</v>
      </c>
      <c r="B908" s="15">
        <v>0</v>
      </c>
      <c r="C908" t="s">
        <v>3028</v>
      </c>
    </row>
    <row r="909" spans="1:3" x14ac:dyDescent="0.25">
      <c r="A909" s="10" t="s">
        <v>1002</v>
      </c>
      <c r="B909" s="15">
        <v>0</v>
      </c>
      <c r="C909" t="s">
        <v>3028</v>
      </c>
    </row>
    <row r="910" spans="1:3" x14ac:dyDescent="0.25">
      <c r="A910" s="10" t="s">
        <v>1002</v>
      </c>
      <c r="B910" s="15">
        <v>0</v>
      </c>
      <c r="C910" t="s">
        <v>3028</v>
      </c>
    </row>
    <row r="911" spans="1:3" x14ac:dyDescent="0.25">
      <c r="A911" s="10" t="s">
        <v>1004</v>
      </c>
      <c r="B911" s="15">
        <v>0</v>
      </c>
      <c r="C911" t="s">
        <v>3028</v>
      </c>
    </row>
    <row r="912" spans="1:3" x14ac:dyDescent="0.25">
      <c r="A912" s="10" t="s">
        <v>1004</v>
      </c>
      <c r="B912" s="15">
        <v>0</v>
      </c>
      <c r="C912" t="s">
        <v>3028</v>
      </c>
    </row>
    <row r="913" spans="1:4" x14ac:dyDescent="0.25">
      <c r="A913" s="10" t="s">
        <v>1006</v>
      </c>
      <c r="B913" s="15">
        <v>0</v>
      </c>
      <c r="C913" t="s">
        <v>3028</v>
      </c>
    </row>
    <row r="914" spans="1:4" x14ac:dyDescent="0.25">
      <c r="A914" s="10" t="s">
        <v>1006</v>
      </c>
      <c r="B914" s="15">
        <v>0</v>
      </c>
      <c r="C914" t="s">
        <v>3028</v>
      </c>
    </row>
    <row r="915" spans="1:4" x14ac:dyDescent="0.25">
      <c r="A915" s="10" t="s">
        <v>1008</v>
      </c>
      <c r="B915" s="15">
        <v>0</v>
      </c>
      <c r="C915" t="s">
        <v>3028</v>
      </c>
    </row>
    <row r="916" spans="1:4" x14ac:dyDescent="0.25">
      <c r="A916" s="10" t="s">
        <v>1008</v>
      </c>
      <c r="B916" s="15">
        <v>0</v>
      </c>
      <c r="C916" t="s">
        <v>3028</v>
      </c>
    </row>
    <row r="917" spans="1:4" x14ac:dyDescent="0.25">
      <c r="A917" s="10" t="s">
        <v>1010</v>
      </c>
      <c r="B917" s="15">
        <v>0</v>
      </c>
      <c r="C917" t="s">
        <v>3028</v>
      </c>
    </row>
    <row r="918" spans="1:4" x14ac:dyDescent="0.25">
      <c r="A918" s="10" t="s">
        <v>1010</v>
      </c>
      <c r="B918" s="15">
        <v>0</v>
      </c>
      <c r="C918" t="s">
        <v>3028</v>
      </c>
    </row>
    <row r="919" spans="1:4" x14ac:dyDescent="0.25">
      <c r="A919" s="10" t="s">
        <v>1012</v>
      </c>
      <c r="B919" s="15">
        <v>0</v>
      </c>
      <c r="C919" t="s">
        <v>3028</v>
      </c>
    </row>
    <row r="920" spans="1:4" x14ac:dyDescent="0.25">
      <c r="A920" s="10" t="s">
        <v>1012</v>
      </c>
      <c r="B920" s="15">
        <v>0</v>
      </c>
      <c r="C920" t="s">
        <v>3028</v>
      </c>
    </row>
    <row r="921" spans="1:4" x14ac:dyDescent="0.25">
      <c r="A921" s="10" t="s">
        <v>1012</v>
      </c>
      <c r="B921" s="15">
        <v>1445.35</v>
      </c>
      <c r="D921" t="s">
        <v>3028</v>
      </c>
    </row>
    <row r="922" spans="1:4" x14ac:dyDescent="0.25">
      <c r="A922" s="10" t="s">
        <v>1014</v>
      </c>
      <c r="B922" s="15">
        <v>0</v>
      </c>
      <c r="C922" t="s">
        <v>3028</v>
      </c>
    </row>
    <row r="923" spans="1:4" x14ac:dyDescent="0.25">
      <c r="A923" s="10" t="s">
        <v>1014</v>
      </c>
      <c r="B923" s="15">
        <v>0</v>
      </c>
      <c r="C923" t="s">
        <v>3028</v>
      </c>
    </row>
    <row r="924" spans="1:4" x14ac:dyDescent="0.25">
      <c r="A924" s="10" t="s">
        <v>1016</v>
      </c>
      <c r="B924" s="15">
        <v>0</v>
      </c>
      <c r="C924" t="s">
        <v>3028</v>
      </c>
    </row>
    <row r="925" spans="1:4" x14ac:dyDescent="0.25">
      <c r="A925" s="10" t="s">
        <v>1016</v>
      </c>
      <c r="B925" s="15">
        <v>0</v>
      </c>
      <c r="C925" t="s">
        <v>3028</v>
      </c>
    </row>
    <row r="926" spans="1:4" x14ac:dyDescent="0.25">
      <c r="A926" s="10" t="s">
        <v>1018</v>
      </c>
      <c r="B926" s="15">
        <v>0</v>
      </c>
      <c r="C926" t="s">
        <v>3028</v>
      </c>
    </row>
    <row r="927" spans="1:4" x14ac:dyDescent="0.25">
      <c r="A927" s="10" t="s">
        <v>1018</v>
      </c>
      <c r="B927" s="15">
        <v>0</v>
      </c>
      <c r="C927" t="s">
        <v>3028</v>
      </c>
    </row>
    <row r="928" spans="1:4" x14ac:dyDescent="0.25">
      <c r="A928" s="10" t="s">
        <v>1020</v>
      </c>
      <c r="B928" s="15">
        <v>0</v>
      </c>
      <c r="C928" t="s">
        <v>3028</v>
      </c>
    </row>
    <row r="929" spans="1:3" x14ac:dyDescent="0.25">
      <c r="A929" s="10" t="s">
        <v>1020</v>
      </c>
      <c r="B929" s="15">
        <v>0</v>
      </c>
      <c r="C929" t="s">
        <v>3028</v>
      </c>
    </row>
    <row r="930" spans="1:3" x14ac:dyDescent="0.25">
      <c r="A930" s="10" t="s">
        <v>1022</v>
      </c>
      <c r="B930" s="15">
        <v>0</v>
      </c>
      <c r="C930" t="s">
        <v>3028</v>
      </c>
    </row>
    <row r="931" spans="1:3" x14ac:dyDescent="0.25">
      <c r="A931" s="10" t="s">
        <v>1022</v>
      </c>
      <c r="B931" s="15">
        <v>0</v>
      </c>
      <c r="C931" t="s">
        <v>3028</v>
      </c>
    </row>
    <row r="932" spans="1:3" x14ac:dyDescent="0.25">
      <c r="A932" s="10" t="s">
        <v>1024</v>
      </c>
      <c r="B932" s="15">
        <v>0</v>
      </c>
      <c r="C932" t="s">
        <v>3028</v>
      </c>
    </row>
    <row r="933" spans="1:3" x14ac:dyDescent="0.25">
      <c r="A933" s="10" t="s">
        <v>1024</v>
      </c>
      <c r="B933" s="15">
        <v>0</v>
      </c>
      <c r="C933" t="s">
        <v>3028</v>
      </c>
    </row>
    <row r="934" spans="1:3" x14ac:dyDescent="0.25">
      <c r="A934" s="10" t="s">
        <v>1026</v>
      </c>
      <c r="B934" s="15">
        <v>0</v>
      </c>
      <c r="C934" t="s">
        <v>3028</v>
      </c>
    </row>
    <row r="935" spans="1:3" x14ac:dyDescent="0.25">
      <c r="A935" s="10" t="s">
        <v>1026</v>
      </c>
      <c r="B935" s="15">
        <v>0</v>
      </c>
      <c r="C935" t="s">
        <v>3028</v>
      </c>
    </row>
    <row r="936" spans="1:3" x14ac:dyDescent="0.25">
      <c r="A936" s="10" t="s">
        <v>1028</v>
      </c>
      <c r="B936" s="15">
        <v>0</v>
      </c>
      <c r="C936" t="s">
        <v>3028</v>
      </c>
    </row>
    <row r="937" spans="1:3" x14ac:dyDescent="0.25">
      <c r="A937" s="10" t="s">
        <v>1028</v>
      </c>
      <c r="B937" s="15">
        <v>0</v>
      </c>
      <c r="C937" t="s">
        <v>3028</v>
      </c>
    </row>
    <row r="938" spans="1:3" x14ac:dyDescent="0.25">
      <c r="A938" s="10" t="s">
        <v>1030</v>
      </c>
      <c r="B938" s="15">
        <v>0</v>
      </c>
      <c r="C938" t="s">
        <v>3028</v>
      </c>
    </row>
    <row r="939" spans="1:3" x14ac:dyDescent="0.25">
      <c r="A939" s="10" t="s">
        <v>1030</v>
      </c>
      <c r="B939" s="15">
        <v>0</v>
      </c>
      <c r="C939" t="s">
        <v>3028</v>
      </c>
    </row>
    <row r="940" spans="1:3" x14ac:dyDescent="0.25">
      <c r="A940" s="10" t="s">
        <v>1032</v>
      </c>
      <c r="B940" s="15">
        <v>0</v>
      </c>
      <c r="C940" t="s">
        <v>3028</v>
      </c>
    </row>
    <row r="941" spans="1:3" x14ac:dyDescent="0.25">
      <c r="A941" s="10" t="s">
        <v>1032</v>
      </c>
      <c r="B941" s="15">
        <v>0</v>
      </c>
      <c r="C941" t="s">
        <v>3028</v>
      </c>
    </row>
    <row r="942" spans="1:3" x14ac:dyDescent="0.25">
      <c r="A942" s="10" t="s">
        <v>1034</v>
      </c>
      <c r="B942" s="15">
        <v>0</v>
      </c>
      <c r="C942" t="s">
        <v>3028</v>
      </c>
    </row>
    <row r="943" spans="1:3" x14ac:dyDescent="0.25">
      <c r="A943" s="10" t="s">
        <v>1034</v>
      </c>
      <c r="B943" s="15">
        <v>0</v>
      </c>
      <c r="C943" t="s">
        <v>3028</v>
      </c>
    </row>
    <row r="944" spans="1:3" x14ac:dyDescent="0.25">
      <c r="A944" s="10" t="s">
        <v>1038</v>
      </c>
      <c r="B944" s="15">
        <v>0</v>
      </c>
      <c r="C944" t="s">
        <v>3028</v>
      </c>
    </row>
    <row r="945" spans="1:3" x14ac:dyDescent="0.25">
      <c r="A945" s="10" t="s">
        <v>1038</v>
      </c>
      <c r="B945" s="15">
        <v>0</v>
      </c>
      <c r="C945" t="s">
        <v>3028</v>
      </c>
    </row>
    <row r="946" spans="1:3" x14ac:dyDescent="0.25">
      <c r="A946" s="10" t="s">
        <v>1040</v>
      </c>
      <c r="B946" s="15">
        <v>0</v>
      </c>
      <c r="C946" t="s">
        <v>3028</v>
      </c>
    </row>
    <row r="947" spans="1:3" x14ac:dyDescent="0.25">
      <c r="A947" s="10" t="s">
        <v>1040</v>
      </c>
      <c r="B947" s="15">
        <v>0</v>
      </c>
      <c r="C947" t="s">
        <v>3028</v>
      </c>
    </row>
    <row r="948" spans="1:3" x14ac:dyDescent="0.25">
      <c r="A948" s="10" t="s">
        <v>1042</v>
      </c>
      <c r="B948" s="15">
        <v>0</v>
      </c>
      <c r="C948" t="s">
        <v>3028</v>
      </c>
    </row>
    <row r="949" spans="1:3" x14ac:dyDescent="0.25">
      <c r="A949" s="10" t="s">
        <v>1042</v>
      </c>
      <c r="B949" s="15">
        <v>0</v>
      </c>
      <c r="C949" t="s">
        <v>3028</v>
      </c>
    </row>
    <row r="950" spans="1:3" x14ac:dyDescent="0.25">
      <c r="A950" s="10" t="s">
        <v>1047</v>
      </c>
      <c r="B950" s="15">
        <v>0</v>
      </c>
      <c r="C950" t="s">
        <v>3028</v>
      </c>
    </row>
    <row r="951" spans="1:3" x14ac:dyDescent="0.25">
      <c r="A951" s="10" t="s">
        <v>1047</v>
      </c>
      <c r="B951" s="15">
        <v>0</v>
      </c>
      <c r="C951" t="s">
        <v>3028</v>
      </c>
    </row>
    <row r="952" spans="1:3" x14ac:dyDescent="0.25">
      <c r="A952" s="10" t="s">
        <v>1049</v>
      </c>
      <c r="B952" s="15">
        <v>0</v>
      </c>
      <c r="C952" t="s">
        <v>3028</v>
      </c>
    </row>
    <row r="953" spans="1:3" x14ac:dyDescent="0.25">
      <c r="A953" s="10" t="s">
        <v>1049</v>
      </c>
      <c r="B953" s="15">
        <v>0</v>
      </c>
      <c r="C953" t="s">
        <v>3028</v>
      </c>
    </row>
    <row r="954" spans="1:3" x14ac:dyDescent="0.25">
      <c r="A954" s="10" t="s">
        <v>1051</v>
      </c>
      <c r="B954" s="15">
        <v>0</v>
      </c>
      <c r="C954" t="s">
        <v>3028</v>
      </c>
    </row>
    <row r="955" spans="1:3" x14ac:dyDescent="0.25">
      <c r="A955" s="10" t="s">
        <v>1051</v>
      </c>
      <c r="B955" s="15">
        <v>0</v>
      </c>
      <c r="C955" t="s">
        <v>3028</v>
      </c>
    </row>
    <row r="956" spans="1:3" x14ac:dyDescent="0.25">
      <c r="A956" s="10" t="s">
        <v>1053</v>
      </c>
      <c r="B956" s="15">
        <v>0</v>
      </c>
      <c r="C956" t="s">
        <v>3028</v>
      </c>
    </row>
    <row r="957" spans="1:3" x14ac:dyDescent="0.25">
      <c r="A957" s="10" t="s">
        <v>1053</v>
      </c>
      <c r="B957" s="15">
        <v>0</v>
      </c>
      <c r="C957" t="s">
        <v>3028</v>
      </c>
    </row>
    <row r="958" spans="1:3" x14ac:dyDescent="0.25">
      <c r="A958" s="10" t="s">
        <v>1057</v>
      </c>
      <c r="B958" s="15">
        <v>0</v>
      </c>
      <c r="C958" t="s">
        <v>3028</v>
      </c>
    </row>
    <row r="959" spans="1:3" x14ac:dyDescent="0.25">
      <c r="A959" s="10" t="s">
        <v>1057</v>
      </c>
      <c r="B959" s="15">
        <v>0</v>
      </c>
      <c r="C959" t="s">
        <v>3028</v>
      </c>
    </row>
    <row r="960" spans="1:3" x14ac:dyDescent="0.25">
      <c r="A960" s="10" t="s">
        <v>1059</v>
      </c>
      <c r="B960" s="15">
        <v>0</v>
      </c>
      <c r="C960" t="s">
        <v>3028</v>
      </c>
    </row>
    <row r="961" spans="1:4" x14ac:dyDescent="0.25">
      <c r="A961" s="10" t="s">
        <v>1059</v>
      </c>
      <c r="B961" s="15">
        <v>0</v>
      </c>
      <c r="C961" t="s">
        <v>3028</v>
      </c>
    </row>
    <row r="962" spans="1:4" x14ac:dyDescent="0.25">
      <c r="A962" s="10" t="s">
        <v>1059</v>
      </c>
      <c r="B962" s="15">
        <v>1300</v>
      </c>
      <c r="D962" t="s">
        <v>3028</v>
      </c>
    </row>
    <row r="963" spans="1:4" x14ac:dyDescent="0.25">
      <c r="A963" s="10" t="s">
        <v>1061</v>
      </c>
      <c r="B963" s="15">
        <v>0</v>
      </c>
      <c r="C963" t="s">
        <v>3028</v>
      </c>
    </row>
    <row r="964" spans="1:4" x14ac:dyDescent="0.25">
      <c r="A964" s="10" t="s">
        <v>1061</v>
      </c>
      <c r="B964" s="15">
        <v>0</v>
      </c>
      <c r="C964" t="s">
        <v>3028</v>
      </c>
    </row>
    <row r="965" spans="1:4" x14ac:dyDescent="0.25">
      <c r="A965" s="10" t="s">
        <v>1063</v>
      </c>
      <c r="B965" s="15">
        <v>0</v>
      </c>
      <c r="C965" t="s">
        <v>3028</v>
      </c>
    </row>
    <row r="966" spans="1:4" x14ac:dyDescent="0.25">
      <c r="A966" s="10" t="s">
        <v>1063</v>
      </c>
      <c r="B966" s="15">
        <v>0</v>
      </c>
      <c r="C966" t="s">
        <v>3028</v>
      </c>
    </row>
    <row r="967" spans="1:4" x14ac:dyDescent="0.25">
      <c r="A967" s="10" t="s">
        <v>1065</v>
      </c>
      <c r="B967" s="15">
        <v>0</v>
      </c>
      <c r="C967" t="s">
        <v>3028</v>
      </c>
    </row>
    <row r="968" spans="1:4" x14ac:dyDescent="0.25">
      <c r="A968" s="10" t="s">
        <v>1065</v>
      </c>
      <c r="B968" s="15">
        <v>0</v>
      </c>
      <c r="C968" t="s">
        <v>3028</v>
      </c>
    </row>
    <row r="969" spans="1:4" x14ac:dyDescent="0.25">
      <c r="A969" s="10" t="s">
        <v>1067</v>
      </c>
      <c r="B969" s="15">
        <v>0</v>
      </c>
      <c r="C969" t="s">
        <v>3028</v>
      </c>
    </row>
    <row r="970" spans="1:4" x14ac:dyDescent="0.25">
      <c r="A970" s="10" t="s">
        <v>1067</v>
      </c>
      <c r="B970" s="15">
        <v>0</v>
      </c>
      <c r="C970" t="s">
        <v>3028</v>
      </c>
    </row>
    <row r="971" spans="1:4" x14ac:dyDescent="0.25">
      <c r="A971" s="10" t="s">
        <v>1069</v>
      </c>
      <c r="B971" s="15">
        <v>0</v>
      </c>
      <c r="C971" t="s">
        <v>3028</v>
      </c>
    </row>
    <row r="972" spans="1:4" x14ac:dyDescent="0.25">
      <c r="A972" s="10" t="s">
        <v>1069</v>
      </c>
      <c r="B972" s="15">
        <v>0</v>
      </c>
      <c r="C972" t="s">
        <v>3028</v>
      </c>
    </row>
    <row r="973" spans="1:4" x14ac:dyDescent="0.25">
      <c r="A973" s="10" t="s">
        <v>1071</v>
      </c>
      <c r="B973" s="15">
        <v>0</v>
      </c>
      <c r="C973" t="s">
        <v>3028</v>
      </c>
    </row>
    <row r="974" spans="1:4" x14ac:dyDescent="0.25">
      <c r="A974" s="10" t="s">
        <v>1071</v>
      </c>
      <c r="B974" s="15">
        <v>0</v>
      </c>
      <c r="C974" t="s">
        <v>3028</v>
      </c>
    </row>
    <row r="975" spans="1:4" x14ac:dyDescent="0.25">
      <c r="A975" s="10" t="s">
        <v>1073</v>
      </c>
      <c r="B975" s="15">
        <v>0</v>
      </c>
      <c r="C975" t="s">
        <v>3028</v>
      </c>
    </row>
    <row r="976" spans="1:4" x14ac:dyDescent="0.25">
      <c r="A976" s="10" t="s">
        <v>1073</v>
      </c>
      <c r="B976" s="15">
        <v>0</v>
      </c>
      <c r="C976" t="s">
        <v>3028</v>
      </c>
    </row>
    <row r="977" spans="1:4" x14ac:dyDescent="0.25">
      <c r="A977" s="10" t="s">
        <v>1075</v>
      </c>
      <c r="B977" s="15">
        <v>0</v>
      </c>
      <c r="C977" t="s">
        <v>3028</v>
      </c>
    </row>
    <row r="978" spans="1:4" x14ac:dyDescent="0.25">
      <c r="A978" s="10" t="s">
        <v>1075</v>
      </c>
      <c r="B978" s="15">
        <v>0</v>
      </c>
      <c r="C978" t="s">
        <v>3028</v>
      </c>
    </row>
    <row r="979" spans="1:4" x14ac:dyDescent="0.25">
      <c r="A979" s="10" t="s">
        <v>1077</v>
      </c>
      <c r="B979" s="15">
        <v>0</v>
      </c>
      <c r="C979" t="s">
        <v>3028</v>
      </c>
    </row>
    <row r="980" spans="1:4" x14ac:dyDescent="0.25">
      <c r="A980" s="10" t="s">
        <v>1077</v>
      </c>
      <c r="B980" s="15">
        <v>0</v>
      </c>
      <c r="C980" t="s">
        <v>3028</v>
      </c>
    </row>
    <row r="981" spans="1:4" x14ac:dyDescent="0.25">
      <c r="A981" s="10" t="s">
        <v>1077</v>
      </c>
      <c r="B981" s="15">
        <v>1782</v>
      </c>
      <c r="D981" t="s">
        <v>3028</v>
      </c>
    </row>
    <row r="982" spans="1:4" x14ac:dyDescent="0.25">
      <c r="A982" s="10" t="s">
        <v>1079</v>
      </c>
      <c r="B982" s="15">
        <v>0</v>
      </c>
      <c r="C982" t="s">
        <v>3028</v>
      </c>
    </row>
    <row r="983" spans="1:4" x14ac:dyDescent="0.25">
      <c r="A983" s="10" t="s">
        <v>1079</v>
      </c>
      <c r="B983" s="15">
        <v>0</v>
      </c>
      <c r="C983" t="s">
        <v>3028</v>
      </c>
    </row>
    <row r="984" spans="1:4" x14ac:dyDescent="0.25">
      <c r="A984" s="10" t="s">
        <v>1081</v>
      </c>
      <c r="B984" s="15">
        <v>0</v>
      </c>
      <c r="C984" t="s">
        <v>3028</v>
      </c>
    </row>
    <row r="985" spans="1:4" x14ac:dyDescent="0.25">
      <c r="A985" s="10" t="s">
        <v>1081</v>
      </c>
      <c r="B985" s="15">
        <v>0</v>
      </c>
      <c r="C985" t="s">
        <v>3028</v>
      </c>
    </row>
    <row r="986" spans="1:4" x14ac:dyDescent="0.25">
      <c r="A986" s="10" t="s">
        <v>1083</v>
      </c>
      <c r="B986" s="15">
        <v>0</v>
      </c>
      <c r="C986" t="s">
        <v>3028</v>
      </c>
    </row>
    <row r="987" spans="1:4" x14ac:dyDescent="0.25">
      <c r="A987" s="10" t="s">
        <v>1083</v>
      </c>
      <c r="B987" s="15">
        <v>0</v>
      </c>
      <c r="C987" t="s">
        <v>3028</v>
      </c>
    </row>
    <row r="988" spans="1:4" x14ac:dyDescent="0.25">
      <c r="A988" s="10" t="s">
        <v>1085</v>
      </c>
      <c r="B988" s="15">
        <v>0</v>
      </c>
      <c r="C988" t="s">
        <v>3028</v>
      </c>
    </row>
    <row r="989" spans="1:4" x14ac:dyDescent="0.25">
      <c r="A989" s="10" t="s">
        <v>1085</v>
      </c>
      <c r="B989" s="15">
        <v>0</v>
      </c>
      <c r="C989" t="s">
        <v>3028</v>
      </c>
    </row>
    <row r="990" spans="1:4" x14ac:dyDescent="0.25">
      <c r="A990" s="10" t="s">
        <v>1087</v>
      </c>
      <c r="B990" s="15">
        <v>0</v>
      </c>
      <c r="C990" t="s">
        <v>3028</v>
      </c>
    </row>
    <row r="991" spans="1:4" x14ac:dyDescent="0.25">
      <c r="A991" s="10" t="s">
        <v>1087</v>
      </c>
      <c r="B991" s="15">
        <v>0</v>
      </c>
      <c r="C991" t="s">
        <v>3028</v>
      </c>
    </row>
    <row r="992" spans="1:4" x14ac:dyDescent="0.25">
      <c r="A992" s="10" t="s">
        <v>1087</v>
      </c>
      <c r="B992" s="15">
        <v>1578.32</v>
      </c>
      <c r="D992" t="s">
        <v>3028</v>
      </c>
    </row>
    <row r="993" spans="1:4" x14ac:dyDescent="0.25">
      <c r="A993" s="10" t="s">
        <v>1089</v>
      </c>
      <c r="B993" s="15">
        <v>0</v>
      </c>
      <c r="C993" t="s">
        <v>3028</v>
      </c>
    </row>
    <row r="994" spans="1:4" x14ac:dyDescent="0.25">
      <c r="A994" s="10" t="s">
        <v>1089</v>
      </c>
      <c r="B994" s="15">
        <v>0</v>
      </c>
      <c r="C994" t="s">
        <v>3028</v>
      </c>
    </row>
    <row r="995" spans="1:4" x14ac:dyDescent="0.25">
      <c r="A995" s="10" t="s">
        <v>1091</v>
      </c>
      <c r="B995" s="15">
        <v>0</v>
      </c>
      <c r="C995" t="s">
        <v>3028</v>
      </c>
    </row>
    <row r="996" spans="1:4" x14ac:dyDescent="0.25">
      <c r="A996" s="10" t="s">
        <v>1091</v>
      </c>
      <c r="B996" s="15">
        <v>0</v>
      </c>
      <c r="C996" t="s">
        <v>3028</v>
      </c>
    </row>
    <row r="997" spans="1:4" x14ac:dyDescent="0.25">
      <c r="A997" s="10" t="s">
        <v>1093</v>
      </c>
      <c r="B997" s="15">
        <v>0</v>
      </c>
      <c r="C997" t="s">
        <v>3028</v>
      </c>
    </row>
    <row r="998" spans="1:4" x14ac:dyDescent="0.25">
      <c r="A998" s="10" t="s">
        <v>1093</v>
      </c>
      <c r="B998" s="15">
        <v>0</v>
      </c>
      <c r="C998" t="s">
        <v>3028</v>
      </c>
    </row>
    <row r="999" spans="1:4" x14ac:dyDescent="0.25">
      <c r="A999" s="10" t="s">
        <v>1095</v>
      </c>
      <c r="B999" s="15">
        <v>0</v>
      </c>
      <c r="C999" t="s">
        <v>3028</v>
      </c>
    </row>
    <row r="1000" spans="1:4" x14ac:dyDescent="0.25">
      <c r="A1000" s="10" t="s">
        <v>1095</v>
      </c>
      <c r="B1000" s="15">
        <v>0</v>
      </c>
      <c r="C1000" t="s">
        <v>3028</v>
      </c>
    </row>
    <row r="1001" spans="1:4" x14ac:dyDescent="0.25">
      <c r="A1001" s="10" t="s">
        <v>1095</v>
      </c>
      <c r="B1001" s="15">
        <v>2766.25</v>
      </c>
      <c r="D1001" t="s">
        <v>3028</v>
      </c>
    </row>
    <row r="1002" spans="1:4" x14ac:dyDescent="0.25">
      <c r="A1002" s="10" t="s">
        <v>1097</v>
      </c>
      <c r="B1002" s="15">
        <v>0</v>
      </c>
      <c r="C1002" t="s">
        <v>3028</v>
      </c>
    </row>
    <row r="1003" spans="1:4" x14ac:dyDescent="0.25">
      <c r="A1003" s="10" t="s">
        <v>1097</v>
      </c>
      <c r="B1003" s="15">
        <v>0</v>
      </c>
      <c r="C1003" t="s">
        <v>3028</v>
      </c>
    </row>
    <row r="1004" spans="1:4" x14ac:dyDescent="0.25">
      <c r="A1004" s="10" t="s">
        <v>1099</v>
      </c>
      <c r="B1004" s="15">
        <v>0</v>
      </c>
      <c r="C1004" t="s">
        <v>3028</v>
      </c>
    </row>
    <row r="1005" spans="1:4" x14ac:dyDescent="0.25">
      <c r="A1005" s="10" t="s">
        <v>1099</v>
      </c>
      <c r="B1005" s="15">
        <v>0</v>
      </c>
      <c r="C1005" t="s">
        <v>3028</v>
      </c>
    </row>
    <row r="1006" spans="1:4" x14ac:dyDescent="0.25">
      <c r="A1006" s="10" t="s">
        <v>1101</v>
      </c>
      <c r="B1006" s="15">
        <v>0</v>
      </c>
      <c r="C1006" t="s">
        <v>3028</v>
      </c>
    </row>
    <row r="1007" spans="1:4" x14ac:dyDescent="0.25">
      <c r="A1007" s="10" t="s">
        <v>1101</v>
      </c>
      <c r="B1007" s="15">
        <v>0</v>
      </c>
      <c r="C1007" t="s">
        <v>3028</v>
      </c>
    </row>
    <row r="1008" spans="1:4" x14ac:dyDescent="0.25">
      <c r="A1008" s="10" t="s">
        <v>1103</v>
      </c>
      <c r="B1008" s="15">
        <v>0</v>
      </c>
      <c r="C1008" t="s">
        <v>3028</v>
      </c>
    </row>
    <row r="1009" spans="1:4" x14ac:dyDescent="0.25">
      <c r="A1009" s="10" t="s">
        <v>1103</v>
      </c>
      <c r="B1009" s="15">
        <v>0</v>
      </c>
      <c r="C1009" t="s">
        <v>3028</v>
      </c>
    </row>
    <row r="1010" spans="1:4" x14ac:dyDescent="0.25">
      <c r="A1010" s="10" t="s">
        <v>1105</v>
      </c>
      <c r="B1010" s="15">
        <v>0</v>
      </c>
      <c r="C1010" t="s">
        <v>3028</v>
      </c>
    </row>
    <row r="1011" spans="1:4" x14ac:dyDescent="0.25">
      <c r="A1011" s="10" t="s">
        <v>1105</v>
      </c>
      <c r="B1011" s="15">
        <v>0</v>
      </c>
      <c r="C1011" t="s">
        <v>3028</v>
      </c>
    </row>
    <row r="1012" spans="1:4" x14ac:dyDescent="0.25">
      <c r="A1012" s="10" t="s">
        <v>1107</v>
      </c>
      <c r="B1012" s="15">
        <v>0</v>
      </c>
      <c r="C1012" t="s">
        <v>3028</v>
      </c>
    </row>
    <row r="1013" spans="1:4" x14ac:dyDescent="0.25">
      <c r="A1013" s="10" t="s">
        <v>1107</v>
      </c>
      <c r="B1013" s="15">
        <v>0</v>
      </c>
      <c r="C1013" t="s">
        <v>3028</v>
      </c>
    </row>
    <row r="1014" spans="1:4" x14ac:dyDescent="0.25">
      <c r="A1014" s="10" t="s">
        <v>1109</v>
      </c>
      <c r="B1014" s="15">
        <v>0</v>
      </c>
      <c r="C1014" t="s">
        <v>3028</v>
      </c>
    </row>
    <row r="1015" spans="1:4" x14ac:dyDescent="0.25">
      <c r="A1015" s="10" t="s">
        <v>1109</v>
      </c>
      <c r="B1015" s="15">
        <v>0</v>
      </c>
      <c r="C1015" t="s">
        <v>3028</v>
      </c>
    </row>
    <row r="1016" spans="1:4" x14ac:dyDescent="0.25">
      <c r="A1016" s="10" t="s">
        <v>1111</v>
      </c>
      <c r="B1016" s="15">
        <v>0</v>
      </c>
      <c r="C1016" t="s">
        <v>3028</v>
      </c>
    </row>
    <row r="1017" spans="1:4" x14ac:dyDescent="0.25">
      <c r="A1017" s="10" t="s">
        <v>1111</v>
      </c>
      <c r="B1017" s="15">
        <v>0</v>
      </c>
      <c r="C1017" t="s">
        <v>3028</v>
      </c>
    </row>
    <row r="1018" spans="1:4" x14ac:dyDescent="0.25">
      <c r="A1018" s="10" t="s">
        <v>1111</v>
      </c>
      <c r="B1018" s="15">
        <v>526.44000000000005</v>
      </c>
      <c r="D1018" t="s">
        <v>3028</v>
      </c>
    </row>
    <row r="1019" spans="1:4" x14ac:dyDescent="0.25">
      <c r="A1019" s="10" t="s">
        <v>1113</v>
      </c>
      <c r="B1019" s="15">
        <v>0</v>
      </c>
      <c r="C1019" t="s">
        <v>3028</v>
      </c>
    </row>
    <row r="1020" spans="1:4" x14ac:dyDescent="0.25">
      <c r="A1020" s="10" t="s">
        <v>1113</v>
      </c>
      <c r="B1020" s="15">
        <v>0</v>
      </c>
      <c r="C1020" t="s">
        <v>3028</v>
      </c>
    </row>
    <row r="1021" spans="1:4" x14ac:dyDescent="0.25">
      <c r="A1021" s="10" t="s">
        <v>1115</v>
      </c>
      <c r="B1021" s="15">
        <v>0</v>
      </c>
      <c r="C1021" t="s">
        <v>3028</v>
      </c>
    </row>
    <row r="1022" spans="1:4" x14ac:dyDescent="0.25">
      <c r="A1022" s="10" t="s">
        <v>1115</v>
      </c>
      <c r="B1022" s="15">
        <v>0</v>
      </c>
      <c r="C1022" t="s">
        <v>3028</v>
      </c>
    </row>
    <row r="1023" spans="1:4" x14ac:dyDescent="0.25">
      <c r="A1023" s="10" t="s">
        <v>1117</v>
      </c>
      <c r="B1023" s="15">
        <v>0</v>
      </c>
      <c r="C1023" t="s">
        <v>3028</v>
      </c>
    </row>
    <row r="1024" spans="1:4" x14ac:dyDescent="0.25">
      <c r="A1024" s="10" t="s">
        <v>1117</v>
      </c>
      <c r="B1024" s="15">
        <v>0</v>
      </c>
      <c r="C1024" t="s">
        <v>3028</v>
      </c>
    </row>
    <row r="1025" spans="1:4" x14ac:dyDescent="0.25">
      <c r="A1025" s="10" t="s">
        <v>1119</v>
      </c>
      <c r="B1025" s="15">
        <v>0</v>
      </c>
      <c r="C1025" t="s">
        <v>3028</v>
      </c>
    </row>
    <row r="1026" spans="1:4" x14ac:dyDescent="0.25">
      <c r="A1026" s="10" t="s">
        <v>1119</v>
      </c>
      <c r="B1026" s="15">
        <v>0</v>
      </c>
      <c r="C1026" t="s">
        <v>3028</v>
      </c>
    </row>
    <row r="1027" spans="1:4" x14ac:dyDescent="0.25">
      <c r="A1027" s="10" t="s">
        <v>1121</v>
      </c>
      <c r="B1027" s="15">
        <v>0</v>
      </c>
      <c r="C1027" t="s">
        <v>3028</v>
      </c>
    </row>
    <row r="1028" spans="1:4" x14ac:dyDescent="0.25">
      <c r="A1028" s="10" t="s">
        <v>1121</v>
      </c>
      <c r="B1028" s="15">
        <v>0</v>
      </c>
      <c r="C1028" t="s">
        <v>3028</v>
      </c>
    </row>
    <row r="1029" spans="1:4" x14ac:dyDescent="0.25">
      <c r="A1029" s="10" t="s">
        <v>1123</v>
      </c>
      <c r="B1029" s="15">
        <v>0</v>
      </c>
      <c r="C1029" t="s">
        <v>3028</v>
      </c>
    </row>
    <row r="1030" spans="1:4" x14ac:dyDescent="0.25">
      <c r="A1030" s="10" t="s">
        <v>1123</v>
      </c>
      <c r="B1030" s="15">
        <v>0</v>
      </c>
      <c r="C1030" t="s">
        <v>3028</v>
      </c>
    </row>
    <row r="1031" spans="1:4" x14ac:dyDescent="0.25">
      <c r="A1031" s="10" t="s">
        <v>1125</v>
      </c>
      <c r="B1031" s="15">
        <v>0</v>
      </c>
      <c r="C1031" t="s">
        <v>3028</v>
      </c>
    </row>
    <row r="1032" spans="1:4" x14ac:dyDescent="0.25">
      <c r="A1032" s="10" t="s">
        <v>1125</v>
      </c>
      <c r="B1032" s="15">
        <v>0</v>
      </c>
      <c r="C1032" t="s">
        <v>3028</v>
      </c>
    </row>
    <row r="1033" spans="1:4" x14ac:dyDescent="0.25">
      <c r="A1033" s="10" t="s">
        <v>1127</v>
      </c>
      <c r="B1033" s="15">
        <v>0</v>
      </c>
      <c r="C1033" t="s">
        <v>3028</v>
      </c>
    </row>
    <row r="1034" spans="1:4" x14ac:dyDescent="0.25">
      <c r="A1034" s="10" t="s">
        <v>1127</v>
      </c>
      <c r="B1034" s="15">
        <v>0</v>
      </c>
      <c r="C1034" t="s">
        <v>3028</v>
      </c>
    </row>
    <row r="1035" spans="1:4" x14ac:dyDescent="0.25">
      <c r="A1035" s="10" t="s">
        <v>1129</v>
      </c>
      <c r="B1035" s="15">
        <v>0</v>
      </c>
      <c r="C1035" t="s">
        <v>3028</v>
      </c>
    </row>
    <row r="1036" spans="1:4" x14ac:dyDescent="0.25">
      <c r="A1036" s="10" t="s">
        <v>1129</v>
      </c>
      <c r="B1036" s="15">
        <v>0</v>
      </c>
      <c r="C1036" t="s">
        <v>3028</v>
      </c>
    </row>
    <row r="1037" spans="1:4" x14ac:dyDescent="0.25">
      <c r="A1037" s="10" t="s">
        <v>1129</v>
      </c>
      <c r="B1037" s="15">
        <v>1316.11</v>
      </c>
      <c r="D1037" t="s">
        <v>3028</v>
      </c>
    </row>
    <row r="1038" spans="1:4" x14ac:dyDescent="0.25">
      <c r="A1038" s="10" t="s">
        <v>1131</v>
      </c>
      <c r="B1038" s="15">
        <v>0</v>
      </c>
      <c r="C1038" t="s">
        <v>3028</v>
      </c>
    </row>
    <row r="1039" spans="1:4" x14ac:dyDescent="0.25">
      <c r="A1039" s="10" t="s">
        <v>1131</v>
      </c>
      <c r="B1039" s="15">
        <v>0</v>
      </c>
      <c r="C1039" t="s">
        <v>3028</v>
      </c>
    </row>
    <row r="1040" spans="1:4" x14ac:dyDescent="0.25">
      <c r="A1040" s="10" t="s">
        <v>1133</v>
      </c>
      <c r="B1040" s="15">
        <v>0</v>
      </c>
      <c r="C1040" t="s">
        <v>3028</v>
      </c>
    </row>
    <row r="1041" spans="1:4" x14ac:dyDescent="0.25">
      <c r="A1041" s="10" t="s">
        <v>1133</v>
      </c>
      <c r="B1041" s="15">
        <v>0</v>
      </c>
      <c r="C1041" t="s">
        <v>3028</v>
      </c>
    </row>
    <row r="1042" spans="1:4" x14ac:dyDescent="0.25">
      <c r="A1042" s="10" t="s">
        <v>1135</v>
      </c>
      <c r="B1042" s="15">
        <v>0</v>
      </c>
      <c r="C1042" t="s">
        <v>3028</v>
      </c>
    </row>
    <row r="1043" spans="1:4" x14ac:dyDescent="0.25">
      <c r="A1043" s="10" t="s">
        <v>1135</v>
      </c>
      <c r="B1043" s="15">
        <v>0</v>
      </c>
      <c r="C1043" t="s">
        <v>3028</v>
      </c>
    </row>
    <row r="1044" spans="1:4" x14ac:dyDescent="0.25">
      <c r="A1044" s="10" t="s">
        <v>1135</v>
      </c>
      <c r="B1044" s="15">
        <v>1766.31</v>
      </c>
      <c r="D1044" t="s">
        <v>3028</v>
      </c>
    </row>
    <row r="1045" spans="1:4" x14ac:dyDescent="0.25">
      <c r="A1045" s="10" t="s">
        <v>1137</v>
      </c>
      <c r="B1045" s="15">
        <v>0</v>
      </c>
      <c r="C1045" t="s">
        <v>3028</v>
      </c>
    </row>
    <row r="1046" spans="1:4" x14ac:dyDescent="0.25">
      <c r="A1046" s="10" t="s">
        <v>1137</v>
      </c>
      <c r="B1046" s="15">
        <v>0</v>
      </c>
      <c r="C1046" t="s">
        <v>3028</v>
      </c>
    </row>
    <row r="1047" spans="1:4" x14ac:dyDescent="0.25">
      <c r="A1047" s="10" t="s">
        <v>1139</v>
      </c>
      <c r="B1047" s="15">
        <v>0</v>
      </c>
      <c r="C1047" t="s">
        <v>3028</v>
      </c>
    </row>
    <row r="1048" spans="1:4" x14ac:dyDescent="0.25">
      <c r="A1048" s="10" t="s">
        <v>1139</v>
      </c>
      <c r="B1048" s="15">
        <v>0</v>
      </c>
      <c r="C1048" t="s">
        <v>3028</v>
      </c>
    </row>
    <row r="1049" spans="1:4" x14ac:dyDescent="0.25">
      <c r="A1049" s="10" t="s">
        <v>1141</v>
      </c>
      <c r="B1049" s="15">
        <v>0</v>
      </c>
      <c r="C1049" t="s">
        <v>3028</v>
      </c>
    </row>
    <row r="1050" spans="1:4" x14ac:dyDescent="0.25">
      <c r="A1050" s="10" t="s">
        <v>1141</v>
      </c>
      <c r="B1050" s="15">
        <v>0</v>
      </c>
      <c r="C1050" t="s">
        <v>3028</v>
      </c>
    </row>
    <row r="1051" spans="1:4" x14ac:dyDescent="0.25">
      <c r="A1051" s="10" t="s">
        <v>1143</v>
      </c>
      <c r="B1051" s="15">
        <v>0</v>
      </c>
      <c r="C1051" t="s">
        <v>3028</v>
      </c>
    </row>
    <row r="1052" spans="1:4" x14ac:dyDescent="0.25">
      <c r="A1052" s="10" t="s">
        <v>1143</v>
      </c>
      <c r="B1052" s="15">
        <v>0</v>
      </c>
      <c r="C1052" t="s">
        <v>3028</v>
      </c>
    </row>
    <row r="1053" spans="1:4" x14ac:dyDescent="0.25">
      <c r="A1053" s="10" t="s">
        <v>1145</v>
      </c>
      <c r="B1053" s="15">
        <v>0</v>
      </c>
      <c r="C1053" t="s">
        <v>3028</v>
      </c>
    </row>
    <row r="1054" spans="1:4" x14ac:dyDescent="0.25">
      <c r="A1054" s="10" t="s">
        <v>1145</v>
      </c>
      <c r="B1054" s="15">
        <v>0</v>
      </c>
      <c r="C1054" t="s">
        <v>3028</v>
      </c>
    </row>
    <row r="1055" spans="1:4" x14ac:dyDescent="0.25">
      <c r="A1055" s="10" t="s">
        <v>1147</v>
      </c>
      <c r="B1055" s="15">
        <v>0</v>
      </c>
      <c r="C1055" t="s">
        <v>3028</v>
      </c>
    </row>
    <row r="1056" spans="1:4" x14ac:dyDescent="0.25">
      <c r="A1056" s="10" t="s">
        <v>1147</v>
      </c>
      <c r="B1056" s="15">
        <v>0</v>
      </c>
      <c r="C1056" t="s">
        <v>3028</v>
      </c>
    </row>
    <row r="1057" spans="1:3" x14ac:dyDescent="0.25">
      <c r="A1057" s="10" t="s">
        <v>1149</v>
      </c>
      <c r="B1057" s="15">
        <v>0</v>
      </c>
      <c r="C1057" t="s">
        <v>3028</v>
      </c>
    </row>
    <row r="1058" spans="1:3" x14ac:dyDescent="0.25">
      <c r="A1058" s="10" t="s">
        <v>1149</v>
      </c>
      <c r="B1058" s="15">
        <v>0</v>
      </c>
      <c r="C1058" t="s">
        <v>3028</v>
      </c>
    </row>
    <row r="1059" spans="1:3" x14ac:dyDescent="0.25">
      <c r="A1059" s="10" t="s">
        <v>1151</v>
      </c>
      <c r="B1059" s="15">
        <v>0</v>
      </c>
      <c r="C1059" t="s">
        <v>3028</v>
      </c>
    </row>
    <row r="1060" spans="1:3" x14ac:dyDescent="0.25">
      <c r="A1060" s="10" t="s">
        <v>1151</v>
      </c>
      <c r="B1060" s="15">
        <v>0</v>
      </c>
      <c r="C1060" t="s">
        <v>3028</v>
      </c>
    </row>
    <row r="1061" spans="1:3" x14ac:dyDescent="0.25">
      <c r="A1061" s="10" t="s">
        <v>1153</v>
      </c>
      <c r="B1061" s="15">
        <v>0</v>
      </c>
      <c r="C1061" t="s">
        <v>3028</v>
      </c>
    </row>
    <row r="1062" spans="1:3" x14ac:dyDescent="0.25">
      <c r="A1062" s="10" t="s">
        <v>1153</v>
      </c>
      <c r="B1062" s="15">
        <v>0</v>
      </c>
      <c r="C1062" t="s">
        <v>3028</v>
      </c>
    </row>
    <row r="1063" spans="1:3" x14ac:dyDescent="0.25">
      <c r="A1063" s="10" t="s">
        <v>1155</v>
      </c>
      <c r="B1063" s="15">
        <v>0</v>
      </c>
      <c r="C1063" t="s">
        <v>3028</v>
      </c>
    </row>
    <row r="1064" spans="1:3" x14ac:dyDescent="0.25">
      <c r="A1064" s="10" t="s">
        <v>1155</v>
      </c>
      <c r="B1064" s="15">
        <v>0</v>
      </c>
      <c r="C1064" t="s">
        <v>3028</v>
      </c>
    </row>
    <row r="1065" spans="1:3" x14ac:dyDescent="0.25">
      <c r="A1065" s="10" t="s">
        <v>1159</v>
      </c>
      <c r="B1065" s="15">
        <v>0</v>
      </c>
      <c r="C1065" t="s">
        <v>3028</v>
      </c>
    </row>
    <row r="1066" spans="1:3" x14ac:dyDescent="0.25">
      <c r="A1066" s="10" t="s">
        <v>1159</v>
      </c>
      <c r="B1066" s="15">
        <v>0</v>
      </c>
      <c r="C1066" t="s">
        <v>3028</v>
      </c>
    </row>
    <row r="1067" spans="1:3" x14ac:dyDescent="0.25">
      <c r="A1067" s="10" t="s">
        <v>1161</v>
      </c>
      <c r="B1067" s="15">
        <v>0</v>
      </c>
      <c r="C1067" t="s">
        <v>3028</v>
      </c>
    </row>
    <row r="1068" spans="1:3" x14ac:dyDescent="0.25">
      <c r="A1068" s="10" t="s">
        <v>1161</v>
      </c>
      <c r="B1068" s="15">
        <v>0</v>
      </c>
      <c r="C1068" t="s">
        <v>3028</v>
      </c>
    </row>
    <row r="1069" spans="1:3" x14ac:dyDescent="0.25">
      <c r="A1069" s="10" t="s">
        <v>1163</v>
      </c>
      <c r="B1069" s="15">
        <v>0</v>
      </c>
      <c r="C1069" t="s">
        <v>3028</v>
      </c>
    </row>
    <row r="1070" spans="1:3" x14ac:dyDescent="0.25">
      <c r="A1070" s="10" t="s">
        <v>1163</v>
      </c>
      <c r="B1070" s="15">
        <v>0</v>
      </c>
      <c r="C1070" t="s">
        <v>3028</v>
      </c>
    </row>
    <row r="1071" spans="1:3" x14ac:dyDescent="0.25">
      <c r="A1071" s="10" t="s">
        <v>1165</v>
      </c>
      <c r="B1071" s="15">
        <v>0</v>
      </c>
      <c r="C1071" t="s">
        <v>3028</v>
      </c>
    </row>
    <row r="1072" spans="1:3" x14ac:dyDescent="0.25">
      <c r="A1072" s="10" t="s">
        <v>1165</v>
      </c>
      <c r="B1072" s="15">
        <v>0</v>
      </c>
      <c r="C1072" t="s">
        <v>3028</v>
      </c>
    </row>
    <row r="1073" spans="1:4" x14ac:dyDescent="0.25">
      <c r="A1073" s="10" t="s">
        <v>1167</v>
      </c>
      <c r="B1073" s="15">
        <v>0</v>
      </c>
      <c r="C1073" t="s">
        <v>3028</v>
      </c>
    </row>
    <row r="1074" spans="1:4" x14ac:dyDescent="0.25">
      <c r="A1074" s="10" t="s">
        <v>1167</v>
      </c>
      <c r="B1074" s="15">
        <v>0</v>
      </c>
      <c r="C1074" t="s">
        <v>3028</v>
      </c>
    </row>
    <row r="1075" spans="1:4" x14ac:dyDescent="0.25">
      <c r="A1075" s="10" t="s">
        <v>1169</v>
      </c>
      <c r="B1075" s="15">
        <v>0</v>
      </c>
      <c r="C1075" t="s">
        <v>3028</v>
      </c>
    </row>
    <row r="1076" spans="1:4" x14ac:dyDescent="0.25">
      <c r="A1076" s="10" t="s">
        <v>1169</v>
      </c>
      <c r="B1076" s="15">
        <v>0</v>
      </c>
      <c r="C1076" t="s">
        <v>3028</v>
      </c>
    </row>
    <row r="1077" spans="1:4" x14ac:dyDescent="0.25">
      <c r="A1077" s="10" t="s">
        <v>1171</v>
      </c>
      <c r="B1077" s="15">
        <v>0</v>
      </c>
      <c r="C1077" t="s">
        <v>3028</v>
      </c>
    </row>
    <row r="1078" spans="1:4" x14ac:dyDescent="0.25">
      <c r="A1078" s="10" t="s">
        <v>1171</v>
      </c>
      <c r="B1078" s="15">
        <v>0</v>
      </c>
      <c r="C1078" t="s">
        <v>3028</v>
      </c>
    </row>
    <row r="1079" spans="1:4" x14ac:dyDescent="0.25">
      <c r="A1079" s="10" t="s">
        <v>1173</v>
      </c>
      <c r="B1079" s="15">
        <v>0</v>
      </c>
      <c r="C1079" t="s">
        <v>3028</v>
      </c>
    </row>
    <row r="1080" spans="1:4" x14ac:dyDescent="0.25">
      <c r="A1080" s="10" t="s">
        <v>1173</v>
      </c>
      <c r="B1080" s="15">
        <v>0</v>
      </c>
      <c r="C1080" t="s">
        <v>3028</v>
      </c>
    </row>
    <row r="1081" spans="1:4" x14ac:dyDescent="0.25">
      <c r="A1081" s="10" t="s">
        <v>1173</v>
      </c>
      <c r="B1081" s="15">
        <v>1300</v>
      </c>
      <c r="D1081" t="s">
        <v>3028</v>
      </c>
    </row>
    <row r="1082" spans="1:4" x14ac:dyDescent="0.25">
      <c r="A1082" s="10" t="s">
        <v>1175</v>
      </c>
      <c r="B1082" s="15">
        <v>0</v>
      </c>
      <c r="C1082" t="s">
        <v>3028</v>
      </c>
    </row>
    <row r="1083" spans="1:4" x14ac:dyDescent="0.25">
      <c r="A1083" s="10" t="s">
        <v>1175</v>
      </c>
      <c r="B1083" s="15">
        <v>0</v>
      </c>
      <c r="C1083" t="s">
        <v>3028</v>
      </c>
    </row>
    <row r="1084" spans="1:4" x14ac:dyDescent="0.25">
      <c r="A1084" s="10" t="s">
        <v>1177</v>
      </c>
      <c r="B1084" s="15">
        <v>0</v>
      </c>
      <c r="C1084" t="s">
        <v>3028</v>
      </c>
    </row>
    <row r="1085" spans="1:4" x14ac:dyDescent="0.25">
      <c r="A1085" s="10" t="s">
        <v>1177</v>
      </c>
      <c r="B1085" s="15">
        <v>0</v>
      </c>
      <c r="C1085" t="s">
        <v>3028</v>
      </c>
    </row>
    <row r="1086" spans="1:4" x14ac:dyDescent="0.25">
      <c r="A1086" s="10" t="s">
        <v>1179</v>
      </c>
      <c r="B1086" s="15">
        <v>0</v>
      </c>
      <c r="C1086" t="s">
        <v>3028</v>
      </c>
    </row>
    <row r="1087" spans="1:4" x14ac:dyDescent="0.25">
      <c r="A1087" s="10" t="s">
        <v>1179</v>
      </c>
      <c r="B1087" s="15">
        <v>0</v>
      </c>
      <c r="C1087" t="s">
        <v>3028</v>
      </c>
    </row>
    <row r="1088" spans="1:4" x14ac:dyDescent="0.25">
      <c r="A1088" s="10" t="s">
        <v>1181</v>
      </c>
      <c r="B1088" s="15">
        <v>0</v>
      </c>
      <c r="C1088" t="s">
        <v>3028</v>
      </c>
    </row>
    <row r="1089" spans="1:4" x14ac:dyDescent="0.25">
      <c r="A1089" s="10" t="s">
        <v>1181</v>
      </c>
      <c r="B1089" s="15">
        <v>0</v>
      </c>
      <c r="C1089" t="s">
        <v>3028</v>
      </c>
    </row>
    <row r="1090" spans="1:4" x14ac:dyDescent="0.25">
      <c r="A1090" s="10" t="s">
        <v>1183</v>
      </c>
      <c r="B1090" s="15">
        <v>0</v>
      </c>
      <c r="C1090" t="s">
        <v>3028</v>
      </c>
    </row>
    <row r="1091" spans="1:4" x14ac:dyDescent="0.25">
      <c r="A1091" s="10" t="s">
        <v>1183</v>
      </c>
      <c r="B1091" s="15">
        <v>0</v>
      </c>
      <c r="C1091" t="s">
        <v>3028</v>
      </c>
    </row>
    <row r="1092" spans="1:4" x14ac:dyDescent="0.25">
      <c r="A1092" s="10" t="s">
        <v>1185</v>
      </c>
      <c r="B1092" s="15">
        <v>0</v>
      </c>
      <c r="C1092" t="s">
        <v>3028</v>
      </c>
    </row>
    <row r="1093" spans="1:4" x14ac:dyDescent="0.25">
      <c r="A1093" s="10" t="s">
        <v>1185</v>
      </c>
      <c r="B1093" s="15">
        <v>0</v>
      </c>
      <c r="C1093" t="s">
        <v>3028</v>
      </c>
    </row>
    <row r="1094" spans="1:4" x14ac:dyDescent="0.25">
      <c r="A1094" s="10" t="s">
        <v>1187</v>
      </c>
      <c r="B1094" s="15">
        <v>0</v>
      </c>
      <c r="C1094" t="s">
        <v>3028</v>
      </c>
    </row>
    <row r="1095" spans="1:4" x14ac:dyDescent="0.25">
      <c r="A1095" s="10" t="s">
        <v>1187</v>
      </c>
      <c r="B1095" s="15">
        <v>0</v>
      </c>
      <c r="C1095" t="s">
        <v>3028</v>
      </c>
    </row>
    <row r="1096" spans="1:4" x14ac:dyDescent="0.25">
      <c r="A1096" s="10" t="s">
        <v>1191</v>
      </c>
      <c r="B1096" s="15">
        <v>0</v>
      </c>
      <c r="C1096" t="s">
        <v>3028</v>
      </c>
    </row>
    <row r="1097" spans="1:4" x14ac:dyDescent="0.25">
      <c r="A1097" s="10" t="s">
        <v>1191</v>
      </c>
      <c r="B1097" s="15">
        <v>0</v>
      </c>
      <c r="C1097" t="s">
        <v>3028</v>
      </c>
    </row>
    <row r="1098" spans="1:4" x14ac:dyDescent="0.25">
      <c r="A1098" s="10" t="s">
        <v>1193</v>
      </c>
      <c r="B1098" s="15">
        <v>0</v>
      </c>
      <c r="C1098" t="s">
        <v>3028</v>
      </c>
    </row>
    <row r="1099" spans="1:4" x14ac:dyDescent="0.25">
      <c r="A1099" s="10" t="s">
        <v>1193</v>
      </c>
      <c r="B1099" s="15">
        <v>0</v>
      </c>
      <c r="C1099" t="s">
        <v>3028</v>
      </c>
    </row>
    <row r="1100" spans="1:4" x14ac:dyDescent="0.25">
      <c r="A1100" s="10" t="s">
        <v>1195</v>
      </c>
      <c r="B1100" s="15">
        <v>0</v>
      </c>
      <c r="C1100" t="s">
        <v>3028</v>
      </c>
    </row>
    <row r="1101" spans="1:4" x14ac:dyDescent="0.25">
      <c r="A1101" s="10" t="s">
        <v>1195</v>
      </c>
      <c r="B1101" s="15">
        <v>0</v>
      </c>
      <c r="C1101" t="s">
        <v>3028</v>
      </c>
    </row>
    <row r="1102" spans="1:4" x14ac:dyDescent="0.25">
      <c r="A1102" s="10" t="s">
        <v>1195</v>
      </c>
      <c r="B1102" s="15">
        <v>2262.09</v>
      </c>
      <c r="D1102" t="s">
        <v>3028</v>
      </c>
    </row>
    <row r="1103" spans="1:4" x14ac:dyDescent="0.25">
      <c r="A1103" s="10" t="s">
        <v>1197</v>
      </c>
      <c r="B1103" s="15">
        <v>0</v>
      </c>
      <c r="C1103" t="s">
        <v>3028</v>
      </c>
    </row>
    <row r="1104" spans="1:4" x14ac:dyDescent="0.25">
      <c r="A1104" s="10" t="s">
        <v>1197</v>
      </c>
      <c r="B1104" s="15">
        <v>0</v>
      </c>
      <c r="C1104" t="s">
        <v>3028</v>
      </c>
    </row>
    <row r="1105" spans="1:4" x14ac:dyDescent="0.25">
      <c r="A1105" s="10" t="s">
        <v>1199</v>
      </c>
      <c r="B1105" s="15">
        <v>0</v>
      </c>
      <c r="C1105" t="s">
        <v>3028</v>
      </c>
    </row>
    <row r="1106" spans="1:4" x14ac:dyDescent="0.25">
      <c r="A1106" s="10" t="s">
        <v>1199</v>
      </c>
      <c r="B1106" s="15">
        <v>0</v>
      </c>
      <c r="C1106" t="s">
        <v>3028</v>
      </c>
    </row>
    <row r="1107" spans="1:4" x14ac:dyDescent="0.25">
      <c r="A1107" s="10" t="s">
        <v>1201</v>
      </c>
      <c r="B1107" s="15">
        <v>0</v>
      </c>
      <c r="C1107" t="s">
        <v>3028</v>
      </c>
    </row>
    <row r="1108" spans="1:4" x14ac:dyDescent="0.25">
      <c r="A1108" s="10" t="s">
        <v>1201</v>
      </c>
      <c r="B1108" s="15">
        <v>0</v>
      </c>
      <c r="C1108" t="s">
        <v>3028</v>
      </c>
    </row>
    <row r="1109" spans="1:4" x14ac:dyDescent="0.25">
      <c r="A1109" s="10" t="s">
        <v>1203</v>
      </c>
      <c r="B1109" s="15">
        <v>0</v>
      </c>
      <c r="C1109" t="s">
        <v>3028</v>
      </c>
    </row>
    <row r="1110" spans="1:4" x14ac:dyDescent="0.25">
      <c r="A1110" s="10" t="s">
        <v>1203</v>
      </c>
      <c r="B1110" s="15">
        <v>0</v>
      </c>
      <c r="C1110" t="s">
        <v>3028</v>
      </c>
    </row>
    <row r="1111" spans="1:4" x14ac:dyDescent="0.25">
      <c r="A1111" s="10" t="s">
        <v>1203</v>
      </c>
      <c r="B1111" s="15">
        <v>1806.81</v>
      </c>
      <c r="D1111" t="s">
        <v>3028</v>
      </c>
    </row>
    <row r="1112" spans="1:4" x14ac:dyDescent="0.25">
      <c r="A1112" s="10" t="s">
        <v>1205</v>
      </c>
      <c r="B1112" s="15">
        <v>0</v>
      </c>
      <c r="C1112" t="s">
        <v>3028</v>
      </c>
    </row>
    <row r="1113" spans="1:4" x14ac:dyDescent="0.25">
      <c r="A1113" s="10" t="s">
        <v>1205</v>
      </c>
      <c r="B1113" s="15">
        <v>0</v>
      </c>
      <c r="C1113" t="s">
        <v>3028</v>
      </c>
    </row>
    <row r="1114" spans="1:4" x14ac:dyDescent="0.25">
      <c r="A1114" s="10" t="s">
        <v>1207</v>
      </c>
      <c r="B1114" s="15">
        <v>0</v>
      </c>
      <c r="C1114" t="s">
        <v>3028</v>
      </c>
    </row>
    <row r="1115" spans="1:4" x14ac:dyDescent="0.25">
      <c r="A1115" s="10" t="s">
        <v>1207</v>
      </c>
      <c r="B1115" s="15">
        <v>0</v>
      </c>
      <c r="C1115" t="s">
        <v>3028</v>
      </c>
    </row>
    <row r="1116" spans="1:4" x14ac:dyDescent="0.25">
      <c r="A1116" s="10" t="s">
        <v>1209</v>
      </c>
      <c r="B1116" s="15">
        <v>0</v>
      </c>
      <c r="C1116" t="s">
        <v>3028</v>
      </c>
    </row>
    <row r="1117" spans="1:4" x14ac:dyDescent="0.25">
      <c r="A1117" s="10" t="s">
        <v>1209</v>
      </c>
      <c r="B1117" s="15">
        <v>0</v>
      </c>
      <c r="C1117" t="s">
        <v>3028</v>
      </c>
    </row>
    <row r="1118" spans="1:4" x14ac:dyDescent="0.25">
      <c r="A1118" s="10" t="s">
        <v>1211</v>
      </c>
      <c r="B1118" s="15">
        <v>0</v>
      </c>
      <c r="C1118" t="s">
        <v>3028</v>
      </c>
    </row>
    <row r="1119" spans="1:4" x14ac:dyDescent="0.25">
      <c r="A1119" s="10" t="s">
        <v>1211</v>
      </c>
      <c r="B1119" s="15">
        <v>0</v>
      </c>
      <c r="C1119" t="s">
        <v>3028</v>
      </c>
    </row>
    <row r="1120" spans="1:4" x14ac:dyDescent="0.25">
      <c r="A1120" s="10" t="s">
        <v>1213</v>
      </c>
      <c r="B1120" s="15">
        <v>0</v>
      </c>
      <c r="C1120" t="s">
        <v>3028</v>
      </c>
    </row>
    <row r="1121" spans="1:3" x14ac:dyDescent="0.25">
      <c r="A1121" s="10" t="s">
        <v>1213</v>
      </c>
      <c r="B1121" s="15">
        <v>0</v>
      </c>
      <c r="C1121" t="s">
        <v>3028</v>
      </c>
    </row>
    <row r="1122" spans="1:3" x14ac:dyDescent="0.25">
      <c r="A1122" s="10" t="s">
        <v>1215</v>
      </c>
      <c r="B1122" s="15">
        <v>0</v>
      </c>
      <c r="C1122" t="s">
        <v>3028</v>
      </c>
    </row>
    <row r="1123" spans="1:3" x14ac:dyDescent="0.25">
      <c r="A1123" s="10" t="s">
        <v>1215</v>
      </c>
      <c r="B1123" s="15">
        <v>0</v>
      </c>
      <c r="C1123" t="s">
        <v>3028</v>
      </c>
    </row>
    <row r="1124" spans="1:3" x14ac:dyDescent="0.25">
      <c r="A1124" s="10" t="s">
        <v>1217</v>
      </c>
      <c r="B1124" s="15">
        <v>0</v>
      </c>
      <c r="C1124" t="s">
        <v>3028</v>
      </c>
    </row>
    <row r="1125" spans="1:3" x14ac:dyDescent="0.25">
      <c r="A1125" s="10" t="s">
        <v>1217</v>
      </c>
      <c r="B1125" s="15">
        <v>0</v>
      </c>
      <c r="C1125" t="s">
        <v>3028</v>
      </c>
    </row>
    <row r="1126" spans="1:3" x14ac:dyDescent="0.25">
      <c r="A1126" s="10" t="s">
        <v>1219</v>
      </c>
      <c r="B1126" s="15">
        <v>0</v>
      </c>
      <c r="C1126" t="s">
        <v>3028</v>
      </c>
    </row>
    <row r="1127" spans="1:3" x14ac:dyDescent="0.25">
      <c r="A1127" s="10" t="s">
        <v>1219</v>
      </c>
      <c r="B1127" s="15">
        <v>0</v>
      </c>
      <c r="C1127" t="s">
        <v>3028</v>
      </c>
    </row>
    <row r="1128" spans="1:3" x14ac:dyDescent="0.25">
      <c r="A1128" s="10" t="s">
        <v>1221</v>
      </c>
      <c r="B1128" s="15">
        <v>0</v>
      </c>
      <c r="C1128" t="s">
        <v>3028</v>
      </c>
    </row>
    <row r="1129" spans="1:3" x14ac:dyDescent="0.25">
      <c r="A1129" s="10" t="s">
        <v>1221</v>
      </c>
      <c r="B1129" s="15">
        <v>0</v>
      </c>
      <c r="C1129" t="s">
        <v>3028</v>
      </c>
    </row>
    <row r="1130" spans="1:3" x14ac:dyDescent="0.25">
      <c r="A1130" s="10" t="s">
        <v>1223</v>
      </c>
      <c r="B1130" s="15">
        <v>0</v>
      </c>
      <c r="C1130" t="s">
        <v>3028</v>
      </c>
    </row>
    <row r="1131" spans="1:3" x14ac:dyDescent="0.25">
      <c r="A1131" s="10" t="s">
        <v>1223</v>
      </c>
      <c r="B1131" s="15">
        <v>0</v>
      </c>
      <c r="C1131" t="s">
        <v>3028</v>
      </c>
    </row>
    <row r="1132" spans="1:3" x14ac:dyDescent="0.25">
      <c r="A1132" s="10" t="s">
        <v>1225</v>
      </c>
      <c r="B1132" s="15">
        <v>0</v>
      </c>
      <c r="C1132" t="s">
        <v>3028</v>
      </c>
    </row>
    <row r="1133" spans="1:3" x14ac:dyDescent="0.25">
      <c r="A1133" s="10" t="s">
        <v>1225</v>
      </c>
      <c r="B1133" s="15">
        <v>0</v>
      </c>
      <c r="C1133" t="s">
        <v>3028</v>
      </c>
    </row>
    <row r="1134" spans="1:3" x14ac:dyDescent="0.25">
      <c r="A1134" s="10" t="s">
        <v>1227</v>
      </c>
      <c r="B1134" s="15">
        <v>0</v>
      </c>
      <c r="C1134" t="s">
        <v>3028</v>
      </c>
    </row>
    <row r="1135" spans="1:3" x14ac:dyDescent="0.25">
      <c r="A1135" s="10" t="s">
        <v>1227</v>
      </c>
      <c r="B1135" s="15">
        <v>0</v>
      </c>
      <c r="C1135" t="s">
        <v>3028</v>
      </c>
    </row>
    <row r="1136" spans="1:3" x14ac:dyDescent="0.25">
      <c r="A1136" s="10" t="s">
        <v>1229</v>
      </c>
      <c r="B1136" s="15">
        <v>0</v>
      </c>
      <c r="C1136" t="s">
        <v>3028</v>
      </c>
    </row>
    <row r="1137" spans="1:3" x14ac:dyDescent="0.25">
      <c r="A1137" s="10" t="s">
        <v>1229</v>
      </c>
      <c r="B1137" s="15">
        <v>0</v>
      </c>
      <c r="C1137" t="s">
        <v>3028</v>
      </c>
    </row>
    <row r="1138" spans="1:3" x14ac:dyDescent="0.25">
      <c r="A1138" s="10" t="s">
        <v>1231</v>
      </c>
      <c r="B1138" s="15">
        <v>0</v>
      </c>
      <c r="C1138" t="s">
        <v>3028</v>
      </c>
    </row>
    <row r="1139" spans="1:3" x14ac:dyDescent="0.25">
      <c r="A1139" s="10" t="s">
        <v>1231</v>
      </c>
      <c r="B1139" s="15">
        <v>0</v>
      </c>
      <c r="C1139" t="s">
        <v>3028</v>
      </c>
    </row>
    <row r="1140" spans="1:3" x14ac:dyDescent="0.25">
      <c r="A1140" s="10" t="s">
        <v>1233</v>
      </c>
      <c r="B1140" s="15">
        <v>0</v>
      </c>
      <c r="C1140" t="s">
        <v>3028</v>
      </c>
    </row>
    <row r="1141" spans="1:3" x14ac:dyDescent="0.25">
      <c r="A1141" s="10" t="s">
        <v>1233</v>
      </c>
      <c r="B1141" s="15">
        <v>0</v>
      </c>
      <c r="C1141" t="s">
        <v>3028</v>
      </c>
    </row>
    <row r="1142" spans="1:3" x14ac:dyDescent="0.25">
      <c r="A1142" s="10" t="s">
        <v>1235</v>
      </c>
      <c r="B1142" s="15">
        <v>0</v>
      </c>
      <c r="C1142" t="s">
        <v>3028</v>
      </c>
    </row>
    <row r="1143" spans="1:3" x14ac:dyDescent="0.25">
      <c r="A1143" s="10" t="s">
        <v>1235</v>
      </c>
      <c r="B1143" s="15">
        <v>0</v>
      </c>
      <c r="C1143" t="s">
        <v>3028</v>
      </c>
    </row>
    <row r="1144" spans="1:3" x14ac:dyDescent="0.25">
      <c r="A1144" s="10" t="s">
        <v>1237</v>
      </c>
      <c r="B1144" s="15">
        <v>0</v>
      </c>
      <c r="C1144" t="s">
        <v>3028</v>
      </c>
    </row>
    <row r="1145" spans="1:3" x14ac:dyDescent="0.25">
      <c r="A1145" s="10" t="s">
        <v>1237</v>
      </c>
      <c r="B1145" s="15">
        <v>0</v>
      </c>
      <c r="C1145" t="s">
        <v>3028</v>
      </c>
    </row>
    <row r="1146" spans="1:3" x14ac:dyDescent="0.25">
      <c r="A1146" s="10" t="s">
        <v>1239</v>
      </c>
      <c r="B1146" s="15">
        <v>0</v>
      </c>
      <c r="C1146" t="s">
        <v>3028</v>
      </c>
    </row>
    <row r="1147" spans="1:3" x14ac:dyDescent="0.25">
      <c r="A1147" s="10" t="s">
        <v>1239</v>
      </c>
      <c r="B1147" s="15">
        <v>0</v>
      </c>
      <c r="C1147" t="s">
        <v>3028</v>
      </c>
    </row>
    <row r="1148" spans="1:3" x14ac:dyDescent="0.25">
      <c r="A1148" s="10" t="s">
        <v>1241</v>
      </c>
      <c r="B1148" s="15">
        <v>0</v>
      </c>
      <c r="C1148" t="s">
        <v>3028</v>
      </c>
    </row>
    <row r="1149" spans="1:3" x14ac:dyDescent="0.25">
      <c r="A1149" s="10" t="s">
        <v>1241</v>
      </c>
      <c r="B1149" s="15">
        <v>0</v>
      </c>
      <c r="C1149" t="s">
        <v>3028</v>
      </c>
    </row>
    <row r="1150" spans="1:3" x14ac:dyDescent="0.25">
      <c r="A1150" s="10" t="s">
        <v>1243</v>
      </c>
      <c r="B1150" s="15">
        <v>0</v>
      </c>
      <c r="C1150" t="s">
        <v>3028</v>
      </c>
    </row>
    <row r="1151" spans="1:3" x14ac:dyDescent="0.25">
      <c r="A1151" s="10" t="s">
        <v>1243</v>
      </c>
      <c r="B1151" s="15">
        <v>0</v>
      </c>
      <c r="C1151" t="s">
        <v>3028</v>
      </c>
    </row>
    <row r="1152" spans="1:3" x14ac:dyDescent="0.25">
      <c r="A1152" s="10" t="s">
        <v>1245</v>
      </c>
      <c r="B1152" s="15">
        <v>0</v>
      </c>
      <c r="C1152" t="s">
        <v>3028</v>
      </c>
    </row>
    <row r="1153" spans="1:3" x14ac:dyDescent="0.25">
      <c r="A1153" s="10" t="s">
        <v>1245</v>
      </c>
      <c r="B1153" s="15">
        <v>0</v>
      </c>
      <c r="C1153" t="s">
        <v>3028</v>
      </c>
    </row>
    <row r="1154" spans="1:3" x14ac:dyDescent="0.25">
      <c r="A1154" s="10" t="s">
        <v>1247</v>
      </c>
      <c r="B1154" s="15">
        <v>0</v>
      </c>
      <c r="C1154" t="s">
        <v>3028</v>
      </c>
    </row>
    <row r="1155" spans="1:3" x14ac:dyDescent="0.25">
      <c r="A1155" s="10" t="s">
        <v>1247</v>
      </c>
      <c r="B1155" s="15">
        <v>0</v>
      </c>
      <c r="C1155" t="s">
        <v>3028</v>
      </c>
    </row>
    <row r="1156" spans="1:3" x14ac:dyDescent="0.25">
      <c r="A1156" s="10" t="s">
        <v>1249</v>
      </c>
      <c r="B1156" s="15">
        <v>0</v>
      </c>
      <c r="C1156" t="s">
        <v>3028</v>
      </c>
    </row>
    <row r="1157" spans="1:3" x14ac:dyDescent="0.25">
      <c r="A1157" s="10" t="s">
        <v>1249</v>
      </c>
      <c r="B1157" s="15">
        <v>0</v>
      </c>
      <c r="C1157" t="s">
        <v>3028</v>
      </c>
    </row>
    <row r="1158" spans="1:3" x14ac:dyDescent="0.25">
      <c r="A1158" s="10" t="s">
        <v>1251</v>
      </c>
      <c r="B1158" s="15">
        <v>0</v>
      </c>
      <c r="C1158" t="s">
        <v>3028</v>
      </c>
    </row>
    <row r="1159" spans="1:3" x14ac:dyDescent="0.25">
      <c r="A1159" s="10" t="s">
        <v>1251</v>
      </c>
      <c r="B1159" s="15">
        <v>0</v>
      </c>
      <c r="C1159" t="s">
        <v>3028</v>
      </c>
    </row>
    <row r="1160" spans="1:3" x14ac:dyDescent="0.25">
      <c r="A1160" s="10" t="s">
        <v>1253</v>
      </c>
      <c r="B1160" s="15">
        <v>0</v>
      </c>
      <c r="C1160" t="s">
        <v>3028</v>
      </c>
    </row>
    <row r="1161" spans="1:3" x14ac:dyDescent="0.25">
      <c r="A1161" s="10" t="s">
        <v>1253</v>
      </c>
      <c r="B1161" s="15">
        <v>0</v>
      </c>
      <c r="C1161" t="s">
        <v>3028</v>
      </c>
    </row>
    <row r="1162" spans="1:3" x14ac:dyDescent="0.25">
      <c r="A1162" s="10" t="s">
        <v>1255</v>
      </c>
      <c r="B1162" s="15">
        <v>0</v>
      </c>
      <c r="C1162" t="s">
        <v>3028</v>
      </c>
    </row>
    <row r="1163" spans="1:3" x14ac:dyDescent="0.25">
      <c r="A1163" s="10" t="s">
        <v>1255</v>
      </c>
      <c r="B1163" s="15">
        <v>0</v>
      </c>
      <c r="C1163" t="s">
        <v>3028</v>
      </c>
    </row>
    <row r="1164" spans="1:3" x14ac:dyDescent="0.25">
      <c r="A1164" s="10" t="s">
        <v>1257</v>
      </c>
      <c r="B1164" s="15">
        <v>0</v>
      </c>
      <c r="C1164" t="s">
        <v>3028</v>
      </c>
    </row>
    <row r="1165" spans="1:3" x14ac:dyDescent="0.25">
      <c r="A1165" s="10" t="s">
        <v>1257</v>
      </c>
      <c r="B1165" s="15">
        <v>0</v>
      </c>
      <c r="C1165" t="s">
        <v>3028</v>
      </c>
    </row>
    <row r="1166" spans="1:3" x14ac:dyDescent="0.25">
      <c r="A1166" s="10" t="s">
        <v>1259</v>
      </c>
      <c r="B1166" s="15">
        <v>0</v>
      </c>
      <c r="C1166" t="s">
        <v>3028</v>
      </c>
    </row>
    <row r="1167" spans="1:3" x14ac:dyDescent="0.25">
      <c r="A1167" s="10" t="s">
        <v>1259</v>
      </c>
      <c r="B1167" s="15">
        <v>0</v>
      </c>
      <c r="C1167" t="s">
        <v>3028</v>
      </c>
    </row>
    <row r="1168" spans="1:3" x14ac:dyDescent="0.25">
      <c r="A1168" s="10" t="s">
        <v>1261</v>
      </c>
      <c r="B1168" s="15">
        <v>0</v>
      </c>
      <c r="C1168" t="s">
        <v>3028</v>
      </c>
    </row>
    <row r="1169" spans="1:3" x14ac:dyDescent="0.25">
      <c r="A1169" s="10" t="s">
        <v>1261</v>
      </c>
      <c r="B1169" s="15">
        <v>0</v>
      </c>
      <c r="C1169" t="s">
        <v>3028</v>
      </c>
    </row>
    <row r="1170" spans="1:3" x14ac:dyDescent="0.25">
      <c r="A1170" s="10" t="s">
        <v>1263</v>
      </c>
      <c r="B1170" s="15">
        <v>0</v>
      </c>
      <c r="C1170" t="s">
        <v>3028</v>
      </c>
    </row>
    <row r="1171" spans="1:3" x14ac:dyDescent="0.25">
      <c r="A1171" s="10" t="s">
        <v>1263</v>
      </c>
      <c r="B1171" s="15">
        <v>0</v>
      </c>
      <c r="C1171" t="s">
        <v>3028</v>
      </c>
    </row>
    <row r="1172" spans="1:3" x14ac:dyDescent="0.25">
      <c r="A1172" s="10" t="s">
        <v>1265</v>
      </c>
      <c r="B1172" s="15">
        <v>0</v>
      </c>
      <c r="C1172" t="s">
        <v>3028</v>
      </c>
    </row>
    <row r="1173" spans="1:3" x14ac:dyDescent="0.25">
      <c r="A1173" s="10" t="s">
        <v>1265</v>
      </c>
      <c r="B1173" s="15">
        <v>0</v>
      </c>
      <c r="C1173" t="s">
        <v>3028</v>
      </c>
    </row>
    <row r="1174" spans="1:3" x14ac:dyDescent="0.25">
      <c r="A1174" s="10" t="s">
        <v>1267</v>
      </c>
      <c r="B1174" s="15">
        <v>0</v>
      </c>
      <c r="C1174" t="s">
        <v>3028</v>
      </c>
    </row>
    <row r="1175" spans="1:3" x14ac:dyDescent="0.25">
      <c r="A1175" s="10" t="s">
        <v>1267</v>
      </c>
      <c r="B1175" s="15">
        <v>0</v>
      </c>
      <c r="C1175" t="s">
        <v>3028</v>
      </c>
    </row>
    <row r="1176" spans="1:3" x14ac:dyDescent="0.25">
      <c r="A1176" s="10" t="s">
        <v>1269</v>
      </c>
      <c r="B1176" s="15">
        <v>0</v>
      </c>
      <c r="C1176" t="s">
        <v>3028</v>
      </c>
    </row>
    <row r="1177" spans="1:3" x14ac:dyDescent="0.25">
      <c r="A1177" s="10" t="s">
        <v>1269</v>
      </c>
      <c r="B1177" s="15">
        <v>0</v>
      </c>
      <c r="C1177" t="s">
        <v>3028</v>
      </c>
    </row>
    <row r="1178" spans="1:3" x14ac:dyDescent="0.25">
      <c r="A1178" s="10" t="s">
        <v>1271</v>
      </c>
      <c r="B1178" s="15">
        <v>0</v>
      </c>
      <c r="C1178" t="s">
        <v>3028</v>
      </c>
    </row>
    <row r="1179" spans="1:3" x14ac:dyDescent="0.25">
      <c r="A1179" s="10" t="s">
        <v>1271</v>
      </c>
      <c r="B1179" s="15">
        <v>0</v>
      </c>
      <c r="C1179" t="s">
        <v>3028</v>
      </c>
    </row>
    <row r="1180" spans="1:3" x14ac:dyDescent="0.25">
      <c r="A1180" s="10" t="s">
        <v>1273</v>
      </c>
      <c r="B1180" s="15">
        <v>0</v>
      </c>
      <c r="C1180" t="s">
        <v>3028</v>
      </c>
    </row>
    <row r="1181" spans="1:3" x14ac:dyDescent="0.25">
      <c r="A1181" s="10" t="s">
        <v>1273</v>
      </c>
      <c r="B1181" s="15">
        <v>0</v>
      </c>
      <c r="C1181" t="s">
        <v>3028</v>
      </c>
    </row>
    <row r="1182" spans="1:3" x14ac:dyDescent="0.25">
      <c r="A1182" s="10" t="s">
        <v>1275</v>
      </c>
      <c r="B1182" s="15">
        <v>0</v>
      </c>
      <c r="C1182" t="s">
        <v>3028</v>
      </c>
    </row>
    <row r="1183" spans="1:3" x14ac:dyDescent="0.25">
      <c r="A1183" s="10" t="s">
        <v>1275</v>
      </c>
      <c r="B1183" s="15">
        <v>0</v>
      </c>
      <c r="C1183" t="s">
        <v>3028</v>
      </c>
    </row>
    <row r="1184" spans="1:3" x14ac:dyDescent="0.25">
      <c r="A1184" s="10" t="s">
        <v>1277</v>
      </c>
      <c r="B1184" s="15">
        <v>0</v>
      </c>
      <c r="C1184" t="s">
        <v>3028</v>
      </c>
    </row>
    <row r="1185" spans="1:3" x14ac:dyDescent="0.25">
      <c r="A1185" s="10" t="s">
        <v>1277</v>
      </c>
      <c r="B1185" s="15">
        <v>0</v>
      </c>
      <c r="C1185" t="s">
        <v>3028</v>
      </c>
    </row>
    <row r="1186" spans="1:3" x14ac:dyDescent="0.25">
      <c r="A1186" s="10" t="s">
        <v>1279</v>
      </c>
      <c r="B1186" s="15">
        <v>0</v>
      </c>
      <c r="C1186" t="s">
        <v>3028</v>
      </c>
    </row>
    <row r="1187" spans="1:3" x14ac:dyDescent="0.25">
      <c r="A1187" s="10" t="s">
        <v>1279</v>
      </c>
      <c r="B1187" s="15">
        <v>0</v>
      </c>
      <c r="C1187" t="s">
        <v>3028</v>
      </c>
    </row>
    <row r="1188" spans="1:3" x14ac:dyDescent="0.25">
      <c r="A1188" s="10" t="s">
        <v>1281</v>
      </c>
      <c r="B1188" s="15">
        <v>0</v>
      </c>
      <c r="C1188" t="s">
        <v>3028</v>
      </c>
    </row>
    <row r="1189" spans="1:3" x14ac:dyDescent="0.25">
      <c r="A1189" s="10" t="s">
        <v>1281</v>
      </c>
      <c r="B1189" s="15">
        <v>0</v>
      </c>
      <c r="C1189" t="s">
        <v>3028</v>
      </c>
    </row>
    <row r="1190" spans="1:3" x14ac:dyDescent="0.25">
      <c r="A1190" s="10" t="s">
        <v>1283</v>
      </c>
      <c r="B1190" s="15">
        <v>0</v>
      </c>
      <c r="C1190" t="s">
        <v>3028</v>
      </c>
    </row>
    <row r="1191" spans="1:3" x14ac:dyDescent="0.25">
      <c r="A1191" s="10" t="s">
        <v>1283</v>
      </c>
      <c r="B1191" s="15">
        <v>0</v>
      </c>
      <c r="C1191" t="s">
        <v>3028</v>
      </c>
    </row>
    <row r="1192" spans="1:3" x14ac:dyDescent="0.25">
      <c r="A1192" s="10" t="s">
        <v>1285</v>
      </c>
      <c r="B1192" s="15">
        <v>0</v>
      </c>
      <c r="C1192" t="s">
        <v>3028</v>
      </c>
    </row>
    <row r="1193" spans="1:3" x14ac:dyDescent="0.25">
      <c r="A1193" s="10" t="s">
        <v>1285</v>
      </c>
      <c r="B1193" s="15">
        <v>0</v>
      </c>
      <c r="C1193" t="s">
        <v>3028</v>
      </c>
    </row>
    <row r="1194" spans="1:3" x14ac:dyDescent="0.25">
      <c r="A1194" s="10" t="s">
        <v>1287</v>
      </c>
      <c r="B1194" s="15">
        <v>0</v>
      </c>
      <c r="C1194" t="s">
        <v>3028</v>
      </c>
    </row>
    <row r="1195" spans="1:3" x14ac:dyDescent="0.25">
      <c r="A1195" s="10" t="s">
        <v>1287</v>
      </c>
      <c r="B1195" s="15">
        <v>0</v>
      </c>
      <c r="C1195" t="s">
        <v>3028</v>
      </c>
    </row>
    <row r="1196" spans="1:3" x14ac:dyDescent="0.25">
      <c r="A1196" s="10" t="s">
        <v>1289</v>
      </c>
      <c r="B1196" s="15">
        <v>0</v>
      </c>
      <c r="C1196" t="s">
        <v>3028</v>
      </c>
    </row>
    <row r="1197" spans="1:3" x14ac:dyDescent="0.25">
      <c r="A1197" s="10" t="s">
        <v>1289</v>
      </c>
      <c r="B1197" s="15">
        <v>0</v>
      </c>
      <c r="C1197" t="s">
        <v>3028</v>
      </c>
    </row>
    <row r="1198" spans="1:3" x14ac:dyDescent="0.25">
      <c r="A1198" s="10" t="s">
        <v>1291</v>
      </c>
      <c r="B1198" s="15">
        <v>0</v>
      </c>
      <c r="C1198" t="s">
        <v>3028</v>
      </c>
    </row>
    <row r="1199" spans="1:3" x14ac:dyDescent="0.25">
      <c r="A1199" s="10" t="s">
        <v>1291</v>
      </c>
      <c r="B1199" s="15">
        <v>0</v>
      </c>
      <c r="C1199" t="s">
        <v>3028</v>
      </c>
    </row>
    <row r="1200" spans="1:3" x14ac:dyDescent="0.25">
      <c r="A1200" s="10" t="s">
        <v>1293</v>
      </c>
      <c r="B1200" s="15">
        <v>0</v>
      </c>
      <c r="C1200" t="s">
        <v>3028</v>
      </c>
    </row>
    <row r="1201" spans="1:3" x14ac:dyDescent="0.25">
      <c r="A1201" s="10" t="s">
        <v>1293</v>
      </c>
      <c r="B1201" s="15">
        <v>0</v>
      </c>
      <c r="C1201" t="s">
        <v>3028</v>
      </c>
    </row>
    <row r="1202" spans="1:3" x14ac:dyDescent="0.25">
      <c r="A1202" s="10" t="s">
        <v>1295</v>
      </c>
      <c r="B1202" s="15">
        <v>0</v>
      </c>
      <c r="C1202" t="s">
        <v>3028</v>
      </c>
    </row>
    <row r="1203" spans="1:3" x14ac:dyDescent="0.25">
      <c r="A1203" s="10" t="s">
        <v>1295</v>
      </c>
      <c r="B1203" s="15">
        <v>0</v>
      </c>
      <c r="C1203" t="s">
        <v>3028</v>
      </c>
    </row>
    <row r="1204" spans="1:3" x14ac:dyDescent="0.25">
      <c r="A1204" s="10" t="s">
        <v>1297</v>
      </c>
      <c r="B1204" s="15">
        <v>0</v>
      </c>
      <c r="C1204" t="s">
        <v>3028</v>
      </c>
    </row>
    <row r="1205" spans="1:3" x14ac:dyDescent="0.25">
      <c r="A1205" s="10" t="s">
        <v>1297</v>
      </c>
      <c r="B1205" s="15">
        <v>0</v>
      </c>
      <c r="C1205" t="s">
        <v>3028</v>
      </c>
    </row>
    <row r="1206" spans="1:3" x14ac:dyDescent="0.25">
      <c r="A1206" s="10" t="s">
        <v>1299</v>
      </c>
      <c r="B1206" s="15">
        <v>0</v>
      </c>
      <c r="C1206" t="s">
        <v>3028</v>
      </c>
    </row>
    <row r="1207" spans="1:3" x14ac:dyDescent="0.25">
      <c r="A1207" s="10" t="s">
        <v>1299</v>
      </c>
      <c r="B1207" s="15">
        <v>0</v>
      </c>
      <c r="C1207" t="s">
        <v>3028</v>
      </c>
    </row>
    <row r="1208" spans="1:3" x14ac:dyDescent="0.25">
      <c r="A1208" s="10" t="s">
        <v>1301</v>
      </c>
      <c r="B1208" s="15">
        <v>0</v>
      </c>
      <c r="C1208" t="s">
        <v>3028</v>
      </c>
    </row>
    <row r="1209" spans="1:3" x14ac:dyDescent="0.25">
      <c r="A1209" s="10" t="s">
        <v>1301</v>
      </c>
      <c r="B1209" s="15">
        <v>0</v>
      </c>
      <c r="C1209" t="s">
        <v>3028</v>
      </c>
    </row>
    <row r="1210" spans="1:3" x14ac:dyDescent="0.25">
      <c r="A1210" s="10" t="s">
        <v>92</v>
      </c>
      <c r="B1210" s="15">
        <v>0</v>
      </c>
      <c r="C1210" t="s">
        <v>3028</v>
      </c>
    </row>
    <row r="1211" spans="1:3" x14ac:dyDescent="0.25">
      <c r="A1211" s="10" t="s">
        <v>92</v>
      </c>
      <c r="B1211" s="15">
        <v>0</v>
      </c>
      <c r="C1211" t="s">
        <v>3028</v>
      </c>
    </row>
    <row r="1212" spans="1:3" x14ac:dyDescent="0.25">
      <c r="A1212" s="10" t="s">
        <v>1304</v>
      </c>
      <c r="B1212" s="15">
        <v>0</v>
      </c>
      <c r="C1212" t="s">
        <v>3028</v>
      </c>
    </row>
    <row r="1213" spans="1:3" x14ac:dyDescent="0.25">
      <c r="A1213" s="10" t="s">
        <v>1304</v>
      </c>
      <c r="B1213" s="15">
        <v>0</v>
      </c>
      <c r="C1213" t="s">
        <v>3028</v>
      </c>
    </row>
    <row r="1214" spans="1:3" x14ac:dyDescent="0.25">
      <c r="A1214" s="10" t="s">
        <v>1306</v>
      </c>
      <c r="B1214" s="15">
        <v>0</v>
      </c>
      <c r="C1214" t="s">
        <v>3028</v>
      </c>
    </row>
    <row r="1215" spans="1:3" x14ac:dyDescent="0.25">
      <c r="A1215" s="10" t="s">
        <v>1306</v>
      </c>
      <c r="B1215" s="15">
        <v>0</v>
      </c>
      <c r="C1215" t="s">
        <v>3028</v>
      </c>
    </row>
    <row r="1216" spans="1:3" x14ac:dyDescent="0.25">
      <c r="A1216" s="10" t="s">
        <v>1308</v>
      </c>
      <c r="B1216" s="15">
        <v>0</v>
      </c>
      <c r="C1216" t="s">
        <v>3028</v>
      </c>
    </row>
    <row r="1217" spans="1:3" x14ac:dyDescent="0.25">
      <c r="A1217" s="10" t="s">
        <v>1308</v>
      </c>
      <c r="B1217" s="15">
        <v>0</v>
      </c>
      <c r="C1217" t="s">
        <v>3028</v>
      </c>
    </row>
    <row r="1218" spans="1:3" x14ac:dyDescent="0.25">
      <c r="A1218" s="10" t="s">
        <v>1312</v>
      </c>
      <c r="B1218" s="15">
        <v>0</v>
      </c>
      <c r="C1218" t="s">
        <v>3028</v>
      </c>
    </row>
    <row r="1219" spans="1:3" x14ac:dyDescent="0.25">
      <c r="A1219" s="10" t="s">
        <v>1312</v>
      </c>
      <c r="B1219" s="15">
        <v>0</v>
      </c>
      <c r="C1219" t="s">
        <v>3028</v>
      </c>
    </row>
    <row r="1220" spans="1:3" x14ac:dyDescent="0.25">
      <c r="A1220" s="10" t="s">
        <v>1314</v>
      </c>
      <c r="B1220" s="15">
        <v>0</v>
      </c>
      <c r="C1220" t="s">
        <v>3028</v>
      </c>
    </row>
    <row r="1221" spans="1:3" x14ac:dyDescent="0.25">
      <c r="A1221" s="10" t="s">
        <v>1314</v>
      </c>
      <c r="B1221" s="15">
        <v>0</v>
      </c>
      <c r="C1221" t="s">
        <v>3028</v>
      </c>
    </row>
    <row r="1222" spans="1:3" x14ac:dyDescent="0.25">
      <c r="A1222" s="10" t="s">
        <v>1316</v>
      </c>
      <c r="B1222" s="15">
        <v>0</v>
      </c>
      <c r="C1222" t="s">
        <v>3028</v>
      </c>
    </row>
    <row r="1223" spans="1:3" x14ac:dyDescent="0.25">
      <c r="A1223" s="10" t="s">
        <v>1316</v>
      </c>
      <c r="B1223" s="15">
        <v>0</v>
      </c>
      <c r="C1223" t="s">
        <v>3028</v>
      </c>
    </row>
    <row r="1224" spans="1:3" x14ac:dyDescent="0.25">
      <c r="A1224" s="10" t="s">
        <v>1318</v>
      </c>
      <c r="B1224" s="15">
        <v>0</v>
      </c>
      <c r="C1224" t="s">
        <v>3028</v>
      </c>
    </row>
    <row r="1225" spans="1:3" x14ac:dyDescent="0.25">
      <c r="A1225" s="10" t="s">
        <v>1318</v>
      </c>
      <c r="B1225" s="15">
        <v>0</v>
      </c>
      <c r="C1225" t="s">
        <v>3028</v>
      </c>
    </row>
    <row r="1226" spans="1:3" x14ac:dyDescent="0.25">
      <c r="A1226" s="10" t="s">
        <v>1320</v>
      </c>
      <c r="B1226" s="15">
        <v>0</v>
      </c>
      <c r="C1226" t="s">
        <v>3028</v>
      </c>
    </row>
    <row r="1227" spans="1:3" x14ac:dyDescent="0.25">
      <c r="A1227" s="10" t="s">
        <v>1320</v>
      </c>
      <c r="B1227" s="15">
        <v>0</v>
      </c>
      <c r="C1227" t="s">
        <v>3028</v>
      </c>
    </row>
    <row r="1228" spans="1:3" x14ac:dyDescent="0.25">
      <c r="A1228" s="10" t="s">
        <v>1322</v>
      </c>
      <c r="B1228" s="15">
        <v>0</v>
      </c>
      <c r="C1228" t="s">
        <v>3028</v>
      </c>
    </row>
    <row r="1229" spans="1:3" x14ac:dyDescent="0.25">
      <c r="A1229" s="10" t="s">
        <v>1322</v>
      </c>
      <c r="B1229" s="15">
        <v>0</v>
      </c>
      <c r="C1229" t="s">
        <v>3028</v>
      </c>
    </row>
    <row r="1230" spans="1:3" x14ac:dyDescent="0.25">
      <c r="A1230" s="10" t="s">
        <v>1324</v>
      </c>
      <c r="B1230" s="15">
        <v>0</v>
      </c>
      <c r="C1230" t="s">
        <v>3028</v>
      </c>
    </row>
    <row r="1231" spans="1:3" x14ac:dyDescent="0.25">
      <c r="A1231" s="10" t="s">
        <v>1324</v>
      </c>
      <c r="B1231" s="15">
        <v>0</v>
      </c>
      <c r="C1231" t="s">
        <v>3028</v>
      </c>
    </row>
    <row r="1232" spans="1:3" x14ac:dyDescent="0.25">
      <c r="A1232" s="10" t="s">
        <v>1326</v>
      </c>
      <c r="B1232" s="15">
        <v>0</v>
      </c>
      <c r="C1232" t="s">
        <v>3028</v>
      </c>
    </row>
    <row r="1233" spans="1:4" x14ac:dyDescent="0.25">
      <c r="A1233" s="10" t="s">
        <v>1326</v>
      </c>
      <c r="B1233" s="15">
        <v>0</v>
      </c>
      <c r="C1233" t="s">
        <v>3028</v>
      </c>
    </row>
    <row r="1234" spans="1:4" x14ac:dyDescent="0.25">
      <c r="A1234" s="10" t="s">
        <v>1328</v>
      </c>
      <c r="B1234" s="15">
        <v>0</v>
      </c>
      <c r="C1234" t="s">
        <v>3028</v>
      </c>
    </row>
    <row r="1235" spans="1:4" x14ac:dyDescent="0.25">
      <c r="A1235" s="10" t="s">
        <v>1328</v>
      </c>
      <c r="B1235" s="15">
        <v>0</v>
      </c>
      <c r="C1235" t="s">
        <v>3028</v>
      </c>
    </row>
    <row r="1236" spans="1:4" x14ac:dyDescent="0.25">
      <c r="A1236" s="10" t="s">
        <v>1330</v>
      </c>
      <c r="B1236" s="15">
        <v>0</v>
      </c>
      <c r="C1236" t="s">
        <v>3028</v>
      </c>
    </row>
    <row r="1237" spans="1:4" x14ac:dyDescent="0.25">
      <c r="A1237" s="10" t="s">
        <v>1330</v>
      </c>
      <c r="B1237" s="15">
        <v>0</v>
      </c>
      <c r="C1237" t="s">
        <v>3028</v>
      </c>
    </row>
    <row r="1238" spans="1:4" x14ac:dyDescent="0.25">
      <c r="A1238" s="10" t="s">
        <v>1332</v>
      </c>
      <c r="B1238" s="15">
        <v>0</v>
      </c>
      <c r="C1238" t="s">
        <v>3028</v>
      </c>
    </row>
    <row r="1239" spans="1:4" x14ac:dyDescent="0.25">
      <c r="A1239" s="10" t="s">
        <v>1332</v>
      </c>
      <c r="B1239" s="15">
        <v>0</v>
      </c>
      <c r="C1239" t="s">
        <v>3028</v>
      </c>
    </row>
    <row r="1240" spans="1:4" x14ac:dyDescent="0.25">
      <c r="A1240" s="10" t="s">
        <v>1334</v>
      </c>
      <c r="B1240" s="15">
        <v>0</v>
      </c>
      <c r="C1240" t="s">
        <v>3028</v>
      </c>
    </row>
    <row r="1241" spans="1:4" x14ac:dyDescent="0.25">
      <c r="A1241" s="10" t="s">
        <v>1334</v>
      </c>
      <c r="B1241" s="15">
        <v>0</v>
      </c>
      <c r="C1241" t="s">
        <v>3028</v>
      </c>
    </row>
    <row r="1242" spans="1:4" x14ac:dyDescent="0.25">
      <c r="A1242" s="10" t="s">
        <v>1336</v>
      </c>
      <c r="B1242" s="15">
        <v>0</v>
      </c>
      <c r="C1242" t="s">
        <v>3028</v>
      </c>
    </row>
    <row r="1243" spans="1:4" x14ac:dyDescent="0.25">
      <c r="A1243" s="10" t="s">
        <v>1336</v>
      </c>
      <c r="B1243" s="15">
        <v>0</v>
      </c>
      <c r="C1243" t="s">
        <v>3028</v>
      </c>
    </row>
    <row r="1244" spans="1:4" x14ac:dyDescent="0.25">
      <c r="A1244" s="10" t="s">
        <v>1338</v>
      </c>
      <c r="B1244" s="15">
        <v>0</v>
      </c>
      <c r="C1244" t="s">
        <v>3028</v>
      </c>
    </row>
    <row r="1245" spans="1:4" x14ac:dyDescent="0.25">
      <c r="A1245" s="10" t="s">
        <v>1338</v>
      </c>
      <c r="B1245" s="15">
        <v>0</v>
      </c>
      <c r="C1245" t="s">
        <v>3028</v>
      </c>
    </row>
    <row r="1246" spans="1:4" x14ac:dyDescent="0.25">
      <c r="A1246" s="10" t="s">
        <v>1340</v>
      </c>
      <c r="B1246" s="15">
        <v>0</v>
      </c>
      <c r="C1246" t="s">
        <v>3028</v>
      </c>
    </row>
    <row r="1247" spans="1:4" x14ac:dyDescent="0.25">
      <c r="A1247" s="10" t="s">
        <v>1340</v>
      </c>
      <c r="B1247" s="15">
        <v>0</v>
      </c>
      <c r="C1247" t="s">
        <v>3028</v>
      </c>
    </row>
    <row r="1248" spans="1:4" x14ac:dyDescent="0.25">
      <c r="A1248" s="10" t="s">
        <v>1340</v>
      </c>
      <c r="B1248" s="15">
        <v>2188.6</v>
      </c>
      <c r="D1248" t="s">
        <v>3028</v>
      </c>
    </row>
    <row r="1249" spans="1:3" x14ac:dyDescent="0.25">
      <c r="A1249" s="10" t="s">
        <v>1342</v>
      </c>
      <c r="B1249" s="15">
        <v>0</v>
      </c>
      <c r="C1249" t="s">
        <v>3028</v>
      </c>
    </row>
    <row r="1250" spans="1:3" x14ac:dyDescent="0.25">
      <c r="A1250" s="10" t="s">
        <v>1342</v>
      </c>
      <c r="B1250" s="15">
        <v>0</v>
      </c>
      <c r="C1250" t="s">
        <v>3028</v>
      </c>
    </row>
    <row r="1251" spans="1:3" x14ac:dyDescent="0.25">
      <c r="A1251" s="10" t="s">
        <v>1344</v>
      </c>
      <c r="B1251" s="15">
        <v>0</v>
      </c>
      <c r="C1251" t="s">
        <v>3028</v>
      </c>
    </row>
    <row r="1252" spans="1:3" x14ac:dyDescent="0.25">
      <c r="A1252" s="10" t="s">
        <v>1344</v>
      </c>
      <c r="B1252" s="15">
        <v>0</v>
      </c>
      <c r="C1252" t="s">
        <v>3028</v>
      </c>
    </row>
    <row r="1253" spans="1:3" x14ac:dyDescent="0.25">
      <c r="A1253" s="10" t="s">
        <v>1346</v>
      </c>
      <c r="B1253" s="15">
        <v>0</v>
      </c>
      <c r="C1253" t="s">
        <v>3028</v>
      </c>
    </row>
    <row r="1254" spans="1:3" x14ac:dyDescent="0.25">
      <c r="A1254" s="10" t="s">
        <v>1346</v>
      </c>
      <c r="B1254" s="15">
        <v>0</v>
      </c>
      <c r="C1254" t="s">
        <v>3028</v>
      </c>
    </row>
    <row r="1255" spans="1:3" x14ac:dyDescent="0.25">
      <c r="A1255" s="10" t="s">
        <v>1348</v>
      </c>
      <c r="B1255" s="15">
        <v>0</v>
      </c>
      <c r="C1255" t="s">
        <v>3028</v>
      </c>
    </row>
    <row r="1256" spans="1:3" x14ac:dyDescent="0.25">
      <c r="A1256" s="10" t="s">
        <v>1348</v>
      </c>
      <c r="B1256" s="15">
        <v>0</v>
      </c>
      <c r="C1256" t="s">
        <v>3028</v>
      </c>
    </row>
    <row r="1257" spans="1:3" x14ac:dyDescent="0.25">
      <c r="A1257" s="10" t="s">
        <v>1353</v>
      </c>
      <c r="B1257" s="15">
        <v>0</v>
      </c>
      <c r="C1257" t="s">
        <v>3028</v>
      </c>
    </row>
    <row r="1258" spans="1:3" x14ac:dyDescent="0.25">
      <c r="A1258" s="10" t="s">
        <v>1353</v>
      </c>
      <c r="B1258" s="15">
        <v>0</v>
      </c>
      <c r="C1258" t="s">
        <v>3028</v>
      </c>
    </row>
    <row r="1259" spans="1:3" x14ac:dyDescent="0.25">
      <c r="A1259" s="10" t="s">
        <v>1355</v>
      </c>
      <c r="B1259" s="15">
        <v>0</v>
      </c>
      <c r="C1259" t="s">
        <v>3028</v>
      </c>
    </row>
    <row r="1260" spans="1:3" x14ac:dyDescent="0.25">
      <c r="A1260" s="10" t="s">
        <v>1355</v>
      </c>
      <c r="B1260" s="15">
        <v>0</v>
      </c>
      <c r="C1260" t="s">
        <v>3028</v>
      </c>
    </row>
    <row r="1261" spans="1:3" x14ac:dyDescent="0.25">
      <c r="A1261" s="10" t="s">
        <v>1357</v>
      </c>
      <c r="B1261" s="15">
        <v>0</v>
      </c>
      <c r="C1261" t="s">
        <v>3028</v>
      </c>
    </row>
    <row r="1262" spans="1:3" x14ac:dyDescent="0.25">
      <c r="A1262" s="10" t="s">
        <v>1357</v>
      </c>
      <c r="B1262" s="15">
        <v>0</v>
      </c>
      <c r="C1262" t="s">
        <v>3028</v>
      </c>
    </row>
    <row r="1263" spans="1:3" x14ac:dyDescent="0.25">
      <c r="A1263" s="10" t="s">
        <v>1359</v>
      </c>
      <c r="B1263" s="15">
        <v>0</v>
      </c>
      <c r="C1263" t="s">
        <v>3028</v>
      </c>
    </row>
    <row r="1264" spans="1:3" x14ac:dyDescent="0.25">
      <c r="A1264" s="10" t="s">
        <v>1359</v>
      </c>
      <c r="B1264" s="15">
        <v>0</v>
      </c>
      <c r="C1264" t="s">
        <v>3028</v>
      </c>
    </row>
    <row r="1265" spans="1:4" x14ac:dyDescent="0.25">
      <c r="A1265" s="10" t="s">
        <v>1361</v>
      </c>
      <c r="B1265" s="15">
        <v>0</v>
      </c>
      <c r="C1265" t="s">
        <v>3028</v>
      </c>
    </row>
    <row r="1266" spans="1:4" x14ac:dyDescent="0.25">
      <c r="A1266" s="10" t="s">
        <v>1361</v>
      </c>
      <c r="B1266" s="15">
        <v>0</v>
      </c>
      <c r="C1266" t="s">
        <v>3028</v>
      </c>
    </row>
    <row r="1267" spans="1:4" x14ac:dyDescent="0.25">
      <c r="A1267" s="10" t="s">
        <v>1363</v>
      </c>
      <c r="B1267" s="15">
        <v>0</v>
      </c>
      <c r="C1267" t="s">
        <v>3028</v>
      </c>
    </row>
    <row r="1268" spans="1:4" x14ac:dyDescent="0.25">
      <c r="A1268" s="10" t="s">
        <v>1363</v>
      </c>
      <c r="B1268" s="15">
        <v>0</v>
      </c>
      <c r="C1268" t="s">
        <v>3028</v>
      </c>
    </row>
    <row r="1269" spans="1:4" x14ac:dyDescent="0.25">
      <c r="A1269" s="10" t="s">
        <v>1363</v>
      </c>
      <c r="B1269" s="15">
        <v>1578.32</v>
      </c>
      <c r="D1269" t="s">
        <v>3028</v>
      </c>
    </row>
    <row r="1270" spans="1:4" x14ac:dyDescent="0.25">
      <c r="A1270" s="10" t="s">
        <v>1365</v>
      </c>
      <c r="B1270" s="15">
        <v>0</v>
      </c>
      <c r="C1270" t="s">
        <v>3028</v>
      </c>
    </row>
    <row r="1271" spans="1:4" x14ac:dyDescent="0.25">
      <c r="A1271" s="10" t="s">
        <v>1365</v>
      </c>
      <c r="B1271" s="15">
        <v>0</v>
      </c>
      <c r="C1271" t="s">
        <v>3028</v>
      </c>
    </row>
    <row r="1272" spans="1:4" x14ac:dyDescent="0.25">
      <c r="A1272" s="10" t="s">
        <v>1367</v>
      </c>
      <c r="B1272" s="15">
        <v>0</v>
      </c>
      <c r="C1272" t="s">
        <v>3028</v>
      </c>
    </row>
    <row r="1273" spans="1:4" x14ac:dyDescent="0.25">
      <c r="A1273" s="10" t="s">
        <v>1367</v>
      </c>
      <c r="B1273" s="15">
        <v>0</v>
      </c>
      <c r="C1273" t="s">
        <v>3028</v>
      </c>
    </row>
    <row r="1274" spans="1:4" x14ac:dyDescent="0.25">
      <c r="A1274" s="10" t="s">
        <v>1369</v>
      </c>
      <c r="B1274" s="15">
        <v>0</v>
      </c>
      <c r="C1274" t="s">
        <v>3028</v>
      </c>
    </row>
    <row r="1275" spans="1:4" x14ac:dyDescent="0.25">
      <c r="A1275" s="10" t="s">
        <v>1369</v>
      </c>
      <c r="B1275" s="15">
        <v>0</v>
      </c>
      <c r="C1275" t="s">
        <v>3028</v>
      </c>
    </row>
    <row r="1276" spans="1:4" x14ac:dyDescent="0.25">
      <c r="A1276" s="10" t="s">
        <v>1371</v>
      </c>
      <c r="B1276" s="15">
        <v>0</v>
      </c>
      <c r="C1276" t="s">
        <v>3028</v>
      </c>
    </row>
    <row r="1277" spans="1:4" x14ac:dyDescent="0.25">
      <c r="A1277" s="10" t="s">
        <v>1371</v>
      </c>
      <c r="B1277" s="15">
        <v>0</v>
      </c>
      <c r="C1277" t="s">
        <v>3028</v>
      </c>
    </row>
    <row r="1278" spans="1:4" x14ac:dyDescent="0.25">
      <c r="A1278" s="10" t="s">
        <v>1373</v>
      </c>
      <c r="B1278" s="15">
        <v>0</v>
      </c>
      <c r="C1278" t="s">
        <v>3028</v>
      </c>
    </row>
    <row r="1279" spans="1:4" x14ac:dyDescent="0.25">
      <c r="A1279" s="10" t="s">
        <v>1373</v>
      </c>
      <c r="B1279" s="15">
        <v>0</v>
      </c>
      <c r="C1279" t="s">
        <v>3028</v>
      </c>
    </row>
    <row r="1280" spans="1:4" x14ac:dyDescent="0.25">
      <c r="A1280" s="10" t="s">
        <v>1375</v>
      </c>
      <c r="B1280" s="15">
        <v>0</v>
      </c>
      <c r="C1280" t="s">
        <v>3028</v>
      </c>
    </row>
    <row r="1281" spans="1:3" x14ac:dyDescent="0.25">
      <c r="A1281" s="10" t="s">
        <v>1375</v>
      </c>
      <c r="B1281" s="15">
        <v>0</v>
      </c>
      <c r="C1281" t="s">
        <v>3028</v>
      </c>
    </row>
    <row r="1282" spans="1:3" x14ac:dyDescent="0.25">
      <c r="A1282" s="10" t="s">
        <v>1377</v>
      </c>
      <c r="B1282" s="15">
        <v>0</v>
      </c>
      <c r="C1282" t="s">
        <v>3028</v>
      </c>
    </row>
    <row r="1283" spans="1:3" x14ac:dyDescent="0.25">
      <c r="A1283" s="10" t="s">
        <v>1377</v>
      </c>
      <c r="B1283" s="15">
        <v>0</v>
      </c>
      <c r="C1283" t="s">
        <v>3028</v>
      </c>
    </row>
    <row r="1284" spans="1:3" x14ac:dyDescent="0.25">
      <c r="A1284" s="10" t="s">
        <v>1379</v>
      </c>
      <c r="B1284" s="15">
        <v>0</v>
      </c>
      <c r="C1284" t="s">
        <v>3028</v>
      </c>
    </row>
    <row r="1285" spans="1:3" x14ac:dyDescent="0.25">
      <c r="A1285" s="10" t="s">
        <v>1379</v>
      </c>
      <c r="B1285" s="15">
        <v>0</v>
      </c>
      <c r="C1285" t="s">
        <v>3028</v>
      </c>
    </row>
    <row r="1286" spans="1:3" x14ac:dyDescent="0.25">
      <c r="A1286" s="10" t="s">
        <v>1381</v>
      </c>
      <c r="B1286" s="15">
        <v>0</v>
      </c>
      <c r="C1286" t="s">
        <v>3028</v>
      </c>
    </row>
    <row r="1287" spans="1:3" x14ac:dyDescent="0.25">
      <c r="A1287" s="10" t="s">
        <v>1381</v>
      </c>
      <c r="B1287" s="15">
        <v>0</v>
      </c>
      <c r="C1287" t="s">
        <v>3028</v>
      </c>
    </row>
    <row r="1288" spans="1:3" x14ac:dyDescent="0.25">
      <c r="A1288" s="10" t="s">
        <v>1383</v>
      </c>
      <c r="B1288" s="15">
        <v>0</v>
      </c>
      <c r="C1288" t="s">
        <v>3028</v>
      </c>
    </row>
    <row r="1289" spans="1:3" x14ac:dyDescent="0.25">
      <c r="A1289" s="10" t="s">
        <v>1383</v>
      </c>
      <c r="B1289" s="15">
        <v>0</v>
      </c>
      <c r="C1289" t="s">
        <v>3028</v>
      </c>
    </row>
    <row r="1290" spans="1:3" x14ac:dyDescent="0.25">
      <c r="A1290" s="10" t="s">
        <v>1385</v>
      </c>
      <c r="B1290" s="15">
        <v>0</v>
      </c>
      <c r="C1290" t="s">
        <v>3028</v>
      </c>
    </row>
    <row r="1291" spans="1:3" x14ac:dyDescent="0.25">
      <c r="A1291" s="10" t="s">
        <v>1385</v>
      </c>
      <c r="B1291" s="15">
        <v>0</v>
      </c>
      <c r="C1291" t="s">
        <v>3028</v>
      </c>
    </row>
    <row r="1292" spans="1:3" x14ac:dyDescent="0.25">
      <c r="A1292" s="10" t="s">
        <v>1387</v>
      </c>
      <c r="B1292" s="15">
        <v>0</v>
      </c>
      <c r="C1292" t="s">
        <v>3028</v>
      </c>
    </row>
    <row r="1293" spans="1:3" x14ac:dyDescent="0.25">
      <c r="A1293" s="10" t="s">
        <v>1387</v>
      </c>
      <c r="B1293" s="15">
        <v>0</v>
      </c>
      <c r="C1293" t="s">
        <v>3028</v>
      </c>
    </row>
    <row r="1294" spans="1:3" x14ac:dyDescent="0.25">
      <c r="A1294" s="10" t="s">
        <v>1389</v>
      </c>
      <c r="B1294" s="15">
        <v>0</v>
      </c>
      <c r="C1294" t="s">
        <v>3028</v>
      </c>
    </row>
    <row r="1295" spans="1:3" x14ac:dyDescent="0.25">
      <c r="A1295" s="10" t="s">
        <v>1389</v>
      </c>
      <c r="B1295" s="15">
        <v>0</v>
      </c>
      <c r="C1295" t="s">
        <v>3028</v>
      </c>
    </row>
    <row r="1296" spans="1:3" x14ac:dyDescent="0.25">
      <c r="A1296" s="10" t="s">
        <v>1391</v>
      </c>
      <c r="B1296" s="15">
        <v>0</v>
      </c>
      <c r="C1296" t="s">
        <v>3028</v>
      </c>
    </row>
    <row r="1297" spans="1:4" x14ac:dyDescent="0.25">
      <c r="A1297" s="10" t="s">
        <v>1391</v>
      </c>
      <c r="B1297" s="15">
        <v>0</v>
      </c>
      <c r="C1297" t="s">
        <v>3028</v>
      </c>
    </row>
    <row r="1298" spans="1:4" x14ac:dyDescent="0.25">
      <c r="A1298" s="10" t="s">
        <v>1393</v>
      </c>
      <c r="B1298" s="15">
        <v>0</v>
      </c>
      <c r="C1298" t="s">
        <v>3028</v>
      </c>
    </row>
    <row r="1299" spans="1:4" x14ac:dyDescent="0.25">
      <c r="A1299" s="10" t="s">
        <v>1393</v>
      </c>
      <c r="B1299" s="15">
        <v>0</v>
      </c>
      <c r="C1299" t="s">
        <v>3028</v>
      </c>
    </row>
    <row r="1300" spans="1:4" x14ac:dyDescent="0.25">
      <c r="A1300" s="10" t="s">
        <v>1395</v>
      </c>
      <c r="B1300" s="15">
        <v>0</v>
      </c>
      <c r="C1300" t="s">
        <v>3028</v>
      </c>
    </row>
    <row r="1301" spans="1:4" x14ac:dyDescent="0.25">
      <c r="A1301" s="10" t="s">
        <v>1395</v>
      </c>
      <c r="B1301" s="15">
        <v>0</v>
      </c>
      <c r="C1301" t="s">
        <v>3028</v>
      </c>
    </row>
    <row r="1302" spans="1:4" x14ac:dyDescent="0.25">
      <c r="A1302" s="10" t="s">
        <v>1397</v>
      </c>
      <c r="B1302" s="15">
        <v>0</v>
      </c>
      <c r="C1302" t="s">
        <v>3028</v>
      </c>
    </row>
    <row r="1303" spans="1:4" x14ac:dyDescent="0.25">
      <c r="A1303" s="10" t="s">
        <v>1397</v>
      </c>
      <c r="B1303" s="15">
        <v>0</v>
      </c>
      <c r="C1303" t="s">
        <v>3028</v>
      </c>
    </row>
    <row r="1304" spans="1:4" x14ac:dyDescent="0.25">
      <c r="A1304" s="10" t="s">
        <v>1399</v>
      </c>
      <c r="B1304" s="15">
        <v>0</v>
      </c>
      <c r="C1304" t="s">
        <v>3028</v>
      </c>
    </row>
    <row r="1305" spans="1:4" x14ac:dyDescent="0.25">
      <c r="A1305" s="10" t="s">
        <v>1399</v>
      </c>
      <c r="B1305" s="15">
        <v>0</v>
      </c>
      <c r="C1305" t="s">
        <v>3028</v>
      </c>
    </row>
    <row r="1306" spans="1:4" x14ac:dyDescent="0.25">
      <c r="A1306" s="10" t="s">
        <v>1401</v>
      </c>
      <c r="B1306" s="15">
        <v>0</v>
      </c>
      <c r="C1306" t="s">
        <v>3028</v>
      </c>
    </row>
    <row r="1307" spans="1:4" x14ac:dyDescent="0.25">
      <c r="A1307" s="10" t="s">
        <v>1401</v>
      </c>
      <c r="B1307" s="15">
        <v>0</v>
      </c>
      <c r="C1307" t="s">
        <v>3028</v>
      </c>
    </row>
    <row r="1308" spans="1:4" x14ac:dyDescent="0.25">
      <c r="A1308" s="10" t="s">
        <v>1401</v>
      </c>
      <c r="B1308" s="15">
        <v>2765.48</v>
      </c>
      <c r="D1308" t="s">
        <v>3028</v>
      </c>
    </row>
    <row r="1309" spans="1:4" x14ac:dyDescent="0.25">
      <c r="A1309" s="10" t="s">
        <v>1403</v>
      </c>
      <c r="B1309" s="15">
        <v>0</v>
      </c>
      <c r="C1309" t="s">
        <v>3028</v>
      </c>
    </row>
    <row r="1310" spans="1:4" x14ac:dyDescent="0.25">
      <c r="A1310" s="10" t="s">
        <v>1403</v>
      </c>
      <c r="B1310" s="15">
        <v>0</v>
      </c>
      <c r="C1310" t="s">
        <v>3028</v>
      </c>
    </row>
    <row r="1311" spans="1:4" x14ac:dyDescent="0.25">
      <c r="A1311" s="10" t="s">
        <v>1405</v>
      </c>
      <c r="B1311" s="15">
        <v>0</v>
      </c>
      <c r="C1311" t="s">
        <v>3028</v>
      </c>
    </row>
    <row r="1312" spans="1:4" x14ac:dyDescent="0.25">
      <c r="A1312" s="10" t="s">
        <v>1405</v>
      </c>
      <c r="B1312" s="15">
        <v>0</v>
      </c>
      <c r="C1312" t="s">
        <v>3028</v>
      </c>
    </row>
    <row r="1313" spans="1:4" x14ac:dyDescent="0.25">
      <c r="A1313" s="10" t="s">
        <v>1407</v>
      </c>
      <c r="B1313" s="15">
        <v>0</v>
      </c>
      <c r="C1313" t="s">
        <v>3028</v>
      </c>
    </row>
    <row r="1314" spans="1:4" x14ac:dyDescent="0.25">
      <c r="A1314" s="10" t="s">
        <v>1407</v>
      </c>
      <c r="B1314" s="15">
        <v>0</v>
      </c>
      <c r="C1314" t="s">
        <v>3028</v>
      </c>
    </row>
    <row r="1315" spans="1:4" x14ac:dyDescent="0.25">
      <c r="A1315" s="10" t="s">
        <v>1409</v>
      </c>
      <c r="B1315" s="15">
        <v>0</v>
      </c>
      <c r="C1315" t="s">
        <v>3028</v>
      </c>
    </row>
    <row r="1316" spans="1:4" x14ac:dyDescent="0.25">
      <c r="A1316" s="10" t="s">
        <v>1409</v>
      </c>
      <c r="B1316" s="15">
        <v>0</v>
      </c>
      <c r="C1316" t="s">
        <v>3028</v>
      </c>
    </row>
    <row r="1317" spans="1:4" x14ac:dyDescent="0.25">
      <c r="A1317" s="10" t="s">
        <v>1411</v>
      </c>
      <c r="B1317" s="15">
        <v>0</v>
      </c>
      <c r="C1317" t="s">
        <v>3028</v>
      </c>
    </row>
    <row r="1318" spans="1:4" x14ac:dyDescent="0.25">
      <c r="A1318" s="10" t="s">
        <v>1411</v>
      </c>
      <c r="B1318" s="15">
        <v>0</v>
      </c>
      <c r="C1318" t="s">
        <v>3028</v>
      </c>
    </row>
    <row r="1319" spans="1:4" x14ac:dyDescent="0.25">
      <c r="A1319" s="10" t="s">
        <v>1413</v>
      </c>
      <c r="B1319" s="15">
        <v>0</v>
      </c>
      <c r="C1319" t="s">
        <v>3028</v>
      </c>
    </row>
    <row r="1320" spans="1:4" x14ac:dyDescent="0.25">
      <c r="A1320" s="10" t="s">
        <v>1413</v>
      </c>
      <c r="B1320" s="15">
        <v>0</v>
      </c>
      <c r="C1320" t="s">
        <v>3028</v>
      </c>
    </row>
    <row r="1321" spans="1:4" x14ac:dyDescent="0.25">
      <c r="A1321" s="10" t="s">
        <v>1415</v>
      </c>
      <c r="B1321" s="15">
        <v>0</v>
      </c>
      <c r="C1321" t="s">
        <v>3028</v>
      </c>
    </row>
    <row r="1322" spans="1:4" x14ac:dyDescent="0.25">
      <c r="A1322" s="10" t="s">
        <v>1415</v>
      </c>
      <c r="B1322" s="15">
        <v>0</v>
      </c>
      <c r="C1322" t="s">
        <v>3028</v>
      </c>
    </row>
    <row r="1323" spans="1:4" x14ac:dyDescent="0.25">
      <c r="A1323" s="10" t="s">
        <v>1417</v>
      </c>
      <c r="B1323" s="15">
        <v>0</v>
      </c>
      <c r="C1323" t="s">
        <v>3028</v>
      </c>
    </row>
    <row r="1324" spans="1:4" x14ac:dyDescent="0.25">
      <c r="A1324" s="10" t="s">
        <v>1417</v>
      </c>
      <c r="B1324" s="15">
        <v>0</v>
      </c>
      <c r="C1324" t="s">
        <v>3028</v>
      </c>
    </row>
    <row r="1325" spans="1:4" x14ac:dyDescent="0.25">
      <c r="A1325" s="10" t="s">
        <v>1417</v>
      </c>
      <c r="B1325" s="15">
        <v>1782</v>
      </c>
      <c r="D1325" t="s">
        <v>3028</v>
      </c>
    </row>
    <row r="1326" spans="1:4" x14ac:dyDescent="0.25">
      <c r="A1326" s="10" t="s">
        <v>1419</v>
      </c>
      <c r="B1326" s="15">
        <v>0</v>
      </c>
      <c r="C1326" t="s">
        <v>3028</v>
      </c>
    </row>
    <row r="1327" spans="1:4" x14ac:dyDescent="0.25">
      <c r="A1327" s="10" t="s">
        <v>1419</v>
      </c>
      <c r="B1327" s="15">
        <v>0</v>
      </c>
      <c r="C1327" t="s">
        <v>3028</v>
      </c>
    </row>
    <row r="1328" spans="1:4" x14ac:dyDescent="0.25">
      <c r="A1328" s="10" t="s">
        <v>1421</v>
      </c>
      <c r="B1328" s="15">
        <v>0</v>
      </c>
      <c r="C1328" t="s">
        <v>3028</v>
      </c>
    </row>
    <row r="1329" spans="1:3" x14ac:dyDescent="0.25">
      <c r="A1329" s="10" t="s">
        <v>1421</v>
      </c>
      <c r="B1329" s="15">
        <v>0</v>
      </c>
      <c r="C1329" t="s">
        <v>3028</v>
      </c>
    </row>
    <row r="1330" spans="1:3" x14ac:dyDescent="0.25">
      <c r="A1330" s="10" t="s">
        <v>1423</v>
      </c>
      <c r="B1330" s="15">
        <v>0</v>
      </c>
      <c r="C1330" t="s">
        <v>3028</v>
      </c>
    </row>
    <row r="1331" spans="1:3" x14ac:dyDescent="0.25">
      <c r="A1331" s="10" t="s">
        <v>1423</v>
      </c>
      <c r="B1331" s="15">
        <v>0</v>
      </c>
      <c r="C1331" t="s">
        <v>3028</v>
      </c>
    </row>
    <row r="1332" spans="1:3" x14ac:dyDescent="0.25">
      <c r="A1332" s="10" t="s">
        <v>1425</v>
      </c>
      <c r="B1332" s="15">
        <v>0</v>
      </c>
      <c r="C1332" t="s">
        <v>3028</v>
      </c>
    </row>
    <row r="1333" spans="1:3" x14ac:dyDescent="0.25">
      <c r="A1333" s="10" t="s">
        <v>1425</v>
      </c>
      <c r="B1333" s="15">
        <v>0</v>
      </c>
      <c r="C1333" t="s">
        <v>3028</v>
      </c>
    </row>
    <row r="1334" spans="1:3" x14ac:dyDescent="0.25">
      <c r="A1334" s="10" t="s">
        <v>1427</v>
      </c>
      <c r="B1334" s="15">
        <v>0</v>
      </c>
      <c r="C1334" t="s">
        <v>3028</v>
      </c>
    </row>
    <row r="1335" spans="1:3" x14ac:dyDescent="0.25">
      <c r="A1335" s="10" t="s">
        <v>1427</v>
      </c>
      <c r="B1335" s="15">
        <v>0</v>
      </c>
      <c r="C1335" t="s">
        <v>3028</v>
      </c>
    </row>
    <row r="1336" spans="1:3" x14ac:dyDescent="0.25">
      <c r="A1336" s="10" t="s">
        <v>1429</v>
      </c>
      <c r="B1336" s="15">
        <v>0</v>
      </c>
      <c r="C1336" t="s">
        <v>3028</v>
      </c>
    </row>
    <row r="1337" spans="1:3" x14ac:dyDescent="0.25">
      <c r="A1337" s="10" t="s">
        <v>1429</v>
      </c>
      <c r="B1337" s="15">
        <v>0</v>
      </c>
      <c r="C1337" t="s">
        <v>3028</v>
      </c>
    </row>
    <row r="1338" spans="1:3" x14ac:dyDescent="0.25">
      <c r="A1338" s="10" t="s">
        <v>1431</v>
      </c>
      <c r="B1338" s="15">
        <v>0</v>
      </c>
      <c r="C1338" t="s">
        <v>3028</v>
      </c>
    </row>
    <row r="1339" spans="1:3" x14ac:dyDescent="0.25">
      <c r="A1339" s="10" t="s">
        <v>1431</v>
      </c>
      <c r="B1339" s="15">
        <v>0</v>
      </c>
      <c r="C1339" t="s">
        <v>3028</v>
      </c>
    </row>
    <row r="1340" spans="1:3" x14ac:dyDescent="0.25">
      <c r="A1340" s="10" t="s">
        <v>1433</v>
      </c>
      <c r="B1340" s="15">
        <v>0</v>
      </c>
      <c r="C1340" t="s">
        <v>3028</v>
      </c>
    </row>
    <row r="1341" spans="1:3" x14ac:dyDescent="0.25">
      <c r="A1341" s="10" t="s">
        <v>1433</v>
      </c>
      <c r="B1341" s="15">
        <v>0</v>
      </c>
      <c r="C1341" t="s">
        <v>3028</v>
      </c>
    </row>
    <row r="1342" spans="1:3" x14ac:dyDescent="0.25">
      <c r="A1342" s="10" t="s">
        <v>1435</v>
      </c>
      <c r="B1342" s="15">
        <v>0</v>
      </c>
      <c r="C1342" t="s">
        <v>3028</v>
      </c>
    </row>
    <row r="1343" spans="1:3" x14ac:dyDescent="0.25">
      <c r="A1343" s="10" t="s">
        <v>1435</v>
      </c>
      <c r="B1343" s="15">
        <v>0</v>
      </c>
      <c r="C1343" t="s">
        <v>3028</v>
      </c>
    </row>
    <row r="1344" spans="1:3" x14ac:dyDescent="0.25">
      <c r="A1344" s="10" t="s">
        <v>1437</v>
      </c>
      <c r="B1344" s="15">
        <v>0</v>
      </c>
      <c r="C1344" t="s">
        <v>3028</v>
      </c>
    </row>
    <row r="1345" spans="1:3" x14ac:dyDescent="0.25">
      <c r="A1345" s="10" t="s">
        <v>1437</v>
      </c>
      <c r="B1345" s="15">
        <v>0</v>
      </c>
      <c r="C1345" t="s">
        <v>3028</v>
      </c>
    </row>
    <row r="1346" spans="1:3" x14ac:dyDescent="0.25">
      <c r="A1346" s="10" t="s">
        <v>1442</v>
      </c>
      <c r="B1346" s="15">
        <v>0</v>
      </c>
      <c r="C1346" t="s">
        <v>3028</v>
      </c>
    </row>
    <row r="1347" spans="1:3" x14ac:dyDescent="0.25">
      <c r="A1347" s="10" t="s">
        <v>1442</v>
      </c>
      <c r="B1347" s="15">
        <v>0</v>
      </c>
      <c r="C1347" t="s">
        <v>3028</v>
      </c>
    </row>
    <row r="1348" spans="1:3" x14ac:dyDescent="0.25">
      <c r="A1348" s="10" t="s">
        <v>1444</v>
      </c>
      <c r="B1348" s="15">
        <v>0</v>
      </c>
      <c r="C1348" t="s">
        <v>3028</v>
      </c>
    </row>
    <row r="1349" spans="1:3" x14ac:dyDescent="0.25">
      <c r="A1349" s="10" t="s">
        <v>1444</v>
      </c>
      <c r="B1349" s="15">
        <v>0</v>
      </c>
      <c r="C1349" t="s">
        <v>3028</v>
      </c>
    </row>
    <row r="1350" spans="1:3" x14ac:dyDescent="0.25">
      <c r="A1350" s="10" t="s">
        <v>1446</v>
      </c>
      <c r="B1350" s="15">
        <v>0</v>
      </c>
      <c r="C1350" t="s">
        <v>3028</v>
      </c>
    </row>
    <row r="1351" spans="1:3" x14ac:dyDescent="0.25">
      <c r="A1351" s="10" t="s">
        <v>1446</v>
      </c>
      <c r="B1351" s="15">
        <v>0</v>
      </c>
      <c r="C1351" t="s">
        <v>3028</v>
      </c>
    </row>
    <row r="1352" spans="1:3" x14ac:dyDescent="0.25">
      <c r="A1352" s="10" t="s">
        <v>1448</v>
      </c>
      <c r="B1352" s="15">
        <v>0</v>
      </c>
      <c r="C1352" t="s">
        <v>3028</v>
      </c>
    </row>
    <row r="1353" spans="1:3" x14ac:dyDescent="0.25">
      <c r="A1353" s="10" t="s">
        <v>1448</v>
      </c>
      <c r="B1353" s="15">
        <v>0</v>
      </c>
      <c r="C1353" t="s">
        <v>3028</v>
      </c>
    </row>
    <row r="1354" spans="1:3" x14ac:dyDescent="0.25">
      <c r="A1354" s="10" t="s">
        <v>1450</v>
      </c>
      <c r="B1354" s="15">
        <v>0</v>
      </c>
      <c r="C1354" t="s">
        <v>3028</v>
      </c>
    </row>
    <row r="1355" spans="1:3" x14ac:dyDescent="0.25">
      <c r="A1355" s="10" t="s">
        <v>1450</v>
      </c>
      <c r="B1355" s="15">
        <v>0</v>
      </c>
      <c r="C1355" t="s">
        <v>3028</v>
      </c>
    </row>
    <row r="1356" spans="1:3" x14ac:dyDescent="0.25">
      <c r="A1356" s="10" t="s">
        <v>1452</v>
      </c>
      <c r="B1356" s="15">
        <v>0</v>
      </c>
      <c r="C1356" t="s">
        <v>3028</v>
      </c>
    </row>
    <row r="1357" spans="1:3" x14ac:dyDescent="0.25">
      <c r="A1357" s="10" t="s">
        <v>1452</v>
      </c>
      <c r="B1357" s="15">
        <v>0</v>
      </c>
      <c r="C1357" t="s">
        <v>3028</v>
      </c>
    </row>
    <row r="1358" spans="1:3" x14ac:dyDescent="0.25">
      <c r="A1358" s="10" t="s">
        <v>1454</v>
      </c>
      <c r="B1358" s="15">
        <v>0</v>
      </c>
      <c r="C1358" t="s">
        <v>3028</v>
      </c>
    </row>
    <row r="1359" spans="1:3" x14ac:dyDescent="0.25">
      <c r="A1359" s="10" t="s">
        <v>1454</v>
      </c>
      <c r="B1359" s="15">
        <v>0</v>
      </c>
      <c r="C1359" t="s">
        <v>3028</v>
      </c>
    </row>
    <row r="1360" spans="1:3" x14ac:dyDescent="0.25">
      <c r="A1360" s="10" t="s">
        <v>1456</v>
      </c>
      <c r="B1360" s="15">
        <v>0</v>
      </c>
      <c r="C1360" t="s">
        <v>3028</v>
      </c>
    </row>
    <row r="1361" spans="1:4" x14ac:dyDescent="0.25">
      <c r="A1361" s="10" t="s">
        <v>1456</v>
      </c>
      <c r="B1361" s="15">
        <v>0</v>
      </c>
      <c r="C1361" t="s">
        <v>3028</v>
      </c>
    </row>
    <row r="1362" spans="1:4" x14ac:dyDescent="0.25">
      <c r="A1362" s="10" t="s">
        <v>1456</v>
      </c>
      <c r="B1362" s="15">
        <v>1316.11</v>
      </c>
      <c r="D1362" t="s">
        <v>3028</v>
      </c>
    </row>
    <row r="1363" spans="1:4" x14ac:dyDescent="0.25">
      <c r="A1363" s="10" t="s">
        <v>1458</v>
      </c>
      <c r="B1363" s="15">
        <v>0</v>
      </c>
      <c r="C1363" t="s">
        <v>3028</v>
      </c>
    </row>
    <row r="1364" spans="1:4" x14ac:dyDescent="0.25">
      <c r="A1364" s="10" t="s">
        <v>1458</v>
      </c>
      <c r="B1364" s="15">
        <v>0</v>
      </c>
      <c r="C1364" t="s">
        <v>3028</v>
      </c>
    </row>
    <row r="1365" spans="1:4" x14ac:dyDescent="0.25">
      <c r="A1365" s="10" t="s">
        <v>1460</v>
      </c>
      <c r="B1365" s="15">
        <v>0</v>
      </c>
      <c r="C1365" t="s">
        <v>3028</v>
      </c>
    </row>
    <row r="1366" spans="1:4" x14ac:dyDescent="0.25">
      <c r="A1366" s="10" t="s">
        <v>1460</v>
      </c>
      <c r="B1366" s="15">
        <v>0</v>
      </c>
      <c r="C1366" t="s">
        <v>3028</v>
      </c>
    </row>
    <row r="1367" spans="1:4" x14ac:dyDescent="0.25">
      <c r="A1367" s="10" t="s">
        <v>1462</v>
      </c>
      <c r="B1367" s="15">
        <v>0</v>
      </c>
      <c r="C1367" t="s">
        <v>3028</v>
      </c>
    </row>
    <row r="1368" spans="1:4" x14ac:dyDescent="0.25">
      <c r="A1368" s="10" t="s">
        <v>1462</v>
      </c>
      <c r="B1368" s="15">
        <v>0</v>
      </c>
      <c r="C1368" t="s">
        <v>3028</v>
      </c>
    </row>
    <row r="1369" spans="1:4" x14ac:dyDescent="0.25">
      <c r="A1369" s="10" t="s">
        <v>1464</v>
      </c>
      <c r="B1369" s="15">
        <v>0</v>
      </c>
      <c r="C1369" t="s">
        <v>3028</v>
      </c>
    </row>
    <row r="1370" spans="1:4" x14ac:dyDescent="0.25">
      <c r="A1370" s="10" t="s">
        <v>1464</v>
      </c>
      <c r="B1370" s="15">
        <v>0</v>
      </c>
      <c r="C1370" t="s">
        <v>3028</v>
      </c>
    </row>
    <row r="1371" spans="1:4" x14ac:dyDescent="0.25">
      <c r="A1371" s="10" t="s">
        <v>1466</v>
      </c>
      <c r="B1371" s="15">
        <v>0</v>
      </c>
      <c r="C1371" t="s">
        <v>3028</v>
      </c>
    </row>
    <row r="1372" spans="1:4" x14ac:dyDescent="0.25">
      <c r="A1372" s="10" t="s">
        <v>1466</v>
      </c>
      <c r="B1372" s="15">
        <v>0</v>
      </c>
      <c r="C1372" t="s">
        <v>3028</v>
      </c>
    </row>
    <row r="1373" spans="1:4" x14ac:dyDescent="0.25">
      <c r="A1373" s="10" t="s">
        <v>1468</v>
      </c>
      <c r="B1373" s="15">
        <v>0</v>
      </c>
      <c r="C1373" t="s">
        <v>3028</v>
      </c>
    </row>
    <row r="1374" spans="1:4" x14ac:dyDescent="0.25">
      <c r="A1374" s="10" t="s">
        <v>1468</v>
      </c>
      <c r="B1374" s="15">
        <v>0</v>
      </c>
      <c r="C1374" t="s">
        <v>3028</v>
      </c>
    </row>
    <row r="1375" spans="1:4" x14ac:dyDescent="0.25">
      <c r="A1375" s="10" t="s">
        <v>1470</v>
      </c>
      <c r="B1375" s="15">
        <v>0</v>
      </c>
      <c r="C1375" t="s">
        <v>3028</v>
      </c>
    </row>
    <row r="1376" spans="1:4" x14ac:dyDescent="0.25">
      <c r="A1376" s="10" t="s">
        <v>1470</v>
      </c>
      <c r="B1376" s="15">
        <v>0</v>
      </c>
      <c r="C1376" t="s">
        <v>3028</v>
      </c>
    </row>
    <row r="1377" spans="1:3" x14ac:dyDescent="0.25">
      <c r="A1377" s="10" t="s">
        <v>1472</v>
      </c>
      <c r="B1377" s="15">
        <v>0</v>
      </c>
      <c r="C1377" t="s">
        <v>3028</v>
      </c>
    </row>
    <row r="1378" spans="1:3" x14ac:dyDescent="0.25">
      <c r="A1378" s="10" t="s">
        <v>1472</v>
      </c>
      <c r="B1378" s="15">
        <v>0</v>
      </c>
      <c r="C1378" t="s">
        <v>3028</v>
      </c>
    </row>
    <row r="1379" spans="1:3" x14ac:dyDescent="0.25">
      <c r="A1379" s="10" t="s">
        <v>1474</v>
      </c>
      <c r="B1379" s="15">
        <v>0</v>
      </c>
      <c r="C1379" t="s">
        <v>3028</v>
      </c>
    </row>
    <row r="1380" spans="1:3" x14ac:dyDescent="0.25">
      <c r="A1380" s="10" t="s">
        <v>1474</v>
      </c>
      <c r="B1380" s="15">
        <v>0</v>
      </c>
      <c r="C1380" t="s">
        <v>3028</v>
      </c>
    </row>
    <row r="1381" spans="1:3" x14ac:dyDescent="0.25">
      <c r="A1381" s="10" t="s">
        <v>1476</v>
      </c>
      <c r="B1381" s="15">
        <v>0</v>
      </c>
      <c r="C1381" t="s">
        <v>3028</v>
      </c>
    </row>
    <row r="1382" spans="1:3" x14ac:dyDescent="0.25">
      <c r="A1382" s="10" t="s">
        <v>1476</v>
      </c>
      <c r="B1382" s="15">
        <v>0</v>
      </c>
      <c r="C1382" t="s">
        <v>3028</v>
      </c>
    </row>
    <row r="1383" spans="1:3" x14ac:dyDescent="0.25">
      <c r="A1383" s="10" t="s">
        <v>1478</v>
      </c>
      <c r="B1383" s="15">
        <v>0</v>
      </c>
      <c r="C1383" t="s">
        <v>3028</v>
      </c>
    </row>
    <row r="1384" spans="1:3" x14ac:dyDescent="0.25">
      <c r="A1384" s="10" t="s">
        <v>1478</v>
      </c>
      <c r="B1384" s="15">
        <v>0</v>
      </c>
      <c r="C1384" t="s">
        <v>3028</v>
      </c>
    </row>
    <row r="1385" spans="1:3" x14ac:dyDescent="0.25">
      <c r="A1385" s="10" t="s">
        <v>1480</v>
      </c>
      <c r="B1385" s="15">
        <v>0</v>
      </c>
      <c r="C1385" t="s">
        <v>3028</v>
      </c>
    </row>
    <row r="1386" spans="1:3" x14ac:dyDescent="0.25">
      <c r="A1386" s="10" t="s">
        <v>1480</v>
      </c>
      <c r="B1386" s="15">
        <v>0</v>
      </c>
      <c r="C1386" t="s">
        <v>3028</v>
      </c>
    </row>
    <row r="1387" spans="1:3" x14ac:dyDescent="0.25">
      <c r="A1387" s="10" t="s">
        <v>1482</v>
      </c>
      <c r="B1387" s="15">
        <v>0</v>
      </c>
      <c r="C1387" t="s">
        <v>3028</v>
      </c>
    </row>
    <row r="1388" spans="1:3" x14ac:dyDescent="0.25">
      <c r="A1388" s="10" t="s">
        <v>1482</v>
      </c>
      <c r="B1388" s="15">
        <v>0</v>
      </c>
      <c r="C1388" t="s">
        <v>3028</v>
      </c>
    </row>
    <row r="1389" spans="1:3" x14ac:dyDescent="0.25">
      <c r="A1389" s="10" t="s">
        <v>1484</v>
      </c>
      <c r="B1389" s="15">
        <v>0</v>
      </c>
      <c r="C1389" t="s">
        <v>3028</v>
      </c>
    </row>
    <row r="1390" spans="1:3" x14ac:dyDescent="0.25">
      <c r="A1390" s="10" t="s">
        <v>1484</v>
      </c>
      <c r="B1390" s="15">
        <v>0</v>
      </c>
      <c r="C1390" t="s">
        <v>3028</v>
      </c>
    </row>
    <row r="1391" spans="1:3" x14ac:dyDescent="0.25">
      <c r="A1391" s="10" t="s">
        <v>1486</v>
      </c>
      <c r="B1391" s="15">
        <v>0</v>
      </c>
      <c r="C1391" t="s">
        <v>3028</v>
      </c>
    </row>
    <row r="1392" spans="1:3" x14ac:dyDescent="0.25">
      <c r="A1392" s="10" t="s">
        <v>1486</v>
      </c>
      <c r="B1392" s="15">
        <v>0</v>
      </c>
      <c r="C1392" t="s">
        <v>3028</v>
      </c>
    </row>
    <row r="1393" spans="1:4" x14ac:dyDescent="0.25">
      <c r="A1393" s="10" t="s">
        <v>1488</v>
      </c>
      <c r="B1393" s="15">
        <v>0</v>
      </c>
      <c r="C1393" t="s">
        <v>3028</v>
      </c>
    </row>
    <row r="1394" spans="1:4" x14ac:dyDescent="0.25">
      <c r="A1394" s="10" t="s">
        <v>1488</v>
      </c>
      <c r="B1394" s="15">
        <v>0</v>
      </c>
      <c r="C1394" t="s">
        <v>3028</v>
      </c>
    </row>
    <row r="1395" spans="1:4" x14ac:dyDescent="0.25">
      <c r="A1395" s="10" t="s">
        <v>1490</v>
      </c>
      <c r="B1395" s="15">
        <v>0</v>
      </c>
      <c r="C1395" t="s">
        <v>3028</v>
      </c>
    </row>
    <row r="1396" spans="1:4" x14ac:dyDescent="0.25">
      <c r="A1396" s="10" t="s">
        <v>1490</v>
      </c>
      <c r="B1396" s="15">
        <v>0</v>
      </c>
      <c r="C1396" t="s">
        <v>3028</v>
      </c>
    </row>
    <row r="1397" spans="1:4" x14ac:dyDescent="0.25">
      <c r="A1397" s="10" t="s">
        <v>1490</v>
      </c>
      <c r="B1397" s="15">
        <v>1316.11</v>
      </c>
      <c r="D1397" t="s">
        <v>3028</v>
      </c>
    </row>
    <row r="1398" spans="1:4" x14ac:dyDescent="0.25">
      <c r="A1398" s="10" t="s">
        <v>1492</v>
      </c>
      <c r="B1398" s="15">
        <v>0</v>
      </c>
      <c r="C1398" t="s">
        <v>3028</v>
      </c>
    </row>
    <row r="1399" spans="1:4" x14ac:dyDescent="0.25">
      <c r="A1399" s="10" t="s">
        <v>1492</v>
      </c>
      <c r="B1399" s="15">
        <v>0</v>
      </c>
      <c r="C1399" t="s">
        <v>3028</v>
      </c>
    </row>
    <row r="1400" spans="1:4" x14ac:dyDescent="0.25">
      <c r="A1400" s="10" t="s">
        <v>1494</v>
      </c>
      <c r="B1400" s="15">
        <v>0</v>
      </c>
      <c r="C1400" t="s">
        <v>3028</v>
      </c>
    </row>
    <row r="1401" spans="1:4" x14ac:dyDescent="0.25">
      <c r="A1401" s="10" t="s">
        <v>1494</v>
      </c>
      <c r="B1401" s="15">
        <v>0</v>
      </c>
      <c r="C1401" t="s">
        <v>3028</v>
      </c>
    </row>
    <row r="1402" spans="1:4" x14ac:dyDescent="0.25">
      <c r="A1402" s="10" t="s">
        <v>1496</v>
      </c>
      <c r="B1402" s="15">
        <v>0</v>
      </c>
      <c r="C1402" t="s">
        <v>3028</v>
      </c>
    </row>
    <row r="1403" spans="1:4" x14ac:dyDescent="0.25">
      <c r="A1403" s="10" t="s">
        <v>1496</v>
      </c>
      <c r="B1403" s="15">
        <v>0</v>
      </c>
      <c r="C1403" t="s">
        <v>3028</v>
      </c>
    </row>
    <row r="1404" spans="1:4" x14ac:dyDescent="0.25">
      <c r="A1404" s="10" t="s">
        <v>1498</v>
      </c>
      <c r="B1404" s="15">
        <v>0</v>
      </c>
      <c r="C1404" t="s">
        <v>3028</v>
      </c>
    </row>
    <row r="1405" spans="1:4" x14ac:dyDescent="0.25">
      <c r="A1405" s="10" t="s">
        <v>1498</v>
      </c>
      <c r="B1405" s="15">
        <v>0</v>
      </c>
      <c r="C1405" t="s">
        <v>3028</v>
      </c>
    </row>
    <row r="1406" spans="1:4" x14ac:dyDescent="0.25">
      <c r="A1406" s="10" t="s">
        <v>1500</v>
      </c>
      <c r="B1406" s="15">
        <v>0</v>
      </c>
      <c r="C1406" t="s">
        <v>3028</v>
      </c>
    </row>
    <row r="1407" spans="1:4" x14ac:dyDescent="0.25">
      <c r="A1407" s="10" t="s">
        <v>1500</v>
      </c>
      <c r="B1407" s="15">
        <v>0</v>
      </c>
      <c r="C1407" t="s">
        <v>3028</v>
      </c>
    </row>
    <row r="1408" spans="1:4" x14ac:dyDescent="0.25">
      <c r="A1408" s="10" t="s">
        <v>1502</v>
      </c>
      <c r="B1408" s="15">
        <v>0</v>
      </c>
      <c r="C1408" t="s">
        <v>3028</v>
      </c>
    </row>
    <row r="1409" spans="1:3" x14ac:dyDescent="0.25">
      <c r="A1409" s="10" t="s">
        <v>1502</v>
      </c>
      <c r="B1409" s="15">
        <v>0</v>
      </c>
      <c r="C1409" t="s">
        <v>3028</v>
      </c>
    </row>
    <row r="1410" spans="1:3" x14ac:dyDescent="0.25">
      <c r="A1410" s="10" t="s">
        <v>1504</v>
      </c>
      <c r="B1410" s="15">
        <v>0</v>
      </c>
      <c r="C1410" t="s">
        <v>3028</v>
      </c>
    </row>
    <row r="1411" spans="1:3" x14ac:dyDescent="0.25">
      <c r="A1411" s="10" t="s">
        <v>1504</v>
      </c>
      <c r="B1411" s="15">
        <v>0</v>
      </c>
      <c r="C1411" t="s">
        <v>3028</v>
      </c>
    </row>
    <row r="1412" spans="1:3" x14ac:dyDescent="0.25">
      <c r="A1412" s="10" t="s">
        <v>1506</v>
      </c>
      <c r="B1412" s="15">
        <v>0</v>
      </c>
      <c r="C1412" t="s">
        <v>3028</v>
      </c>
    </row>
    <row r="1413" spans="1:3" x14ac:dyDescent="0.25">
      <c r="A1413" s="10" t="s">
        <v>1506</v>
      </c>
      <c r="B1413" s="15">
        <v>0</v>
      </c>
      <c r="C1413" t="s">
        <v>3028</v>
      </c>
    </row>
    <row r="1414" spans="1:3" x14ac:dyDescent="0.25">
      <c r="A1414" s="10" t="s">
        <v>1508</v>
      </c>
      <c r="B1414" s="15">
        <v>0</v>
      </c>
      <c r="C1414" t="s">
        <v>3028</v>
      </c>
    </row>
    <row r="1415" spans="1:3" x14ac:dyDescent="0.25">
      <c r="A1415" s="10" t="s">
        <v>1508</v>
      </c>
      <c r="B1415" s="15">
        <v>0</v>
      </c>
      <c r="C1415" t="s">
        <v>3028</v>
      </c>
    </row>
    <row r="1416" spans="1:3" x14ac:dyDescent="0.25">
      <c r="A1416" s="10" t="s">
        <v>1510</v>
      </c>
      <c r="B1416" s="15">
        <v>0</v>
      </c>
      <c r="C1416" t="s">
        <v>3028</v>
      </c>
    </row>
    <row r="1417" spans="1:3" x14ac:dyDescent="0.25">
      <c r="A1417" s="10" t="s">
        <v>1510</v>
      </c>
      <c r="B1417" s="15">
        <v>0</v>
      </c>
      <c r="C1417" t="s">
        <v>3028</v>
      </c>
    </row>
    <row r="1418" spans="1:3" x14ac:dyDescent="0.25">
      <c r="A1418" s="10" t="s">
        <v>1512</v>
      </c>
      <c r="B1418" s="15">
        <v>0</v>
      </c>
      <c r="C1418" t="s">
        <v>3028</v>
      </c>
    </row>
    <row r="1419" spans="1:3" x14ac:dyDescent="0.25">
      <c r="A1419" s="10" t="s">
        <v>1512</v>
      </c>
      <c r="B1419" s="15">
        <v>0</v>
      </c>
      <c r="C1419" t="s">
        <v>3028</v>
      </c>
    </row>
    <row r="1420" spans="1:3" x14ac:dyDescent="0.25">
      <c r="A1420" s="10" t="s">
        <v>1514</v>
      </c>
      <c r="B1420" s="15">
        <v>0</v>
      </c>
      <c r="C1420" t="s">
        <v>3028</v>
      </c>
    </row>
    <row r="1421" spans="1:3" x14ac:dyDescent="0.25">
      <c r="A1421" s="10" t="s">
        <v>1514</v>
      </c>
      <c r="B1421" s="15">
        <v>0</v>
      </c>
      <c r="C1421" t="s">
        <v>3028</v>
      </c>
    </row>
    <row r="1422" spans="1:3" x14ac:dyDescent="0.25">
      <c r="A1422" s="10" t="s">
        <v>1516</v>
      </c>
      <c r="B1422" s="15">
        <v>0</v>
      </c>
      <c r="C1422" t="s">
        <v>3028</v>
      </c>
    </row>
    <row r="1423" spans="1:3" x14ac:dyDescent="0.25">
      <c r="A1423" s="10" t="s">
        <v>1516</v>
      </c>
      <c r="B1423" s="15">
        <v>0</v>
      </c>
      <c r="C1423" t="s">
        <v>3028</v>
      </c>
    </row>
    <row r="1424" spans="1:3" x14ac:dyDescent="0.25">
      <c r="A1424" s="10" t="s">
        <v>1518</v>
      </c>
      <c r="B1424" s="15">
        <v>0</v>
      </c>
      <c r="C1424" t="s">
        <v>3028</v>
      </c>
    </row>
    <row r="1425" spans="1:3" x14ac:dyDescent="0.25">
      <c r="A1425" s="10" t="s">
        <v>1518</v>
      </c>
      <c r="B1425" s="15">
        <v>0</v>
      </c>
      <c r="C1425" t="s">
        <v>3028</v>
      </c>
    </row>
    <row r="1426" spans="1:3" x14ac:dyDescent="0.25">
      <c r="A1426" s="10" t="s">
        <v>1520</v>
      </c>
      <c r="B1426" s="15">
        <v>0</v>
      </c>
      <c r="C1426" t="s">
        <v>3028</v>
      </c>
    </row>
    <row r="1427" spans="1:3" x14ac:dyDescent="0.25">
      <c r="A1427" s="10" t="s">
        <v>1520</v>
      </c>
      <c r="B1427" s="15">
        <v>0</v>
      </c>
      <c r="C1427" t="s">
        <v>3028</v>
      </c>
    </row>
    <row r="1428" spans="1:3" x14ac:dyDescent="0.25">
      <c r="A1428" s="10" t="s">
        <v>1522</v>
      </c>
      <c r="B1428" s="15">
        <v>0</v>
      </c>
      <c r="C1428" t="s">
        <v>3028</v>
      </c>
    </row>
    <row r="1429" spans="1:3" x14ac:dyDescent="0.25">
      <c r="A1429" s="10" t="s">
        <v>1522</v>
      </c>
      <c r="B1429" s="15">
        <v>0</v>
      </c>
      <c r="C1429" t="s">
        <v>3028</v>
      </c>
    </row>
    <row r="1430" spans="1:3" x14ac:dyDescent="0.25">
      <c r="A1430" s="10" t="s">
        <v>1524</v>
      </c>
      <c r="B1430" s="15">
        <v>0</v>
      </c>
      <c r="C1430" t="s">
        <v>3028</v>
      </c>
    </row>
    <row r="1431" spans="1:3" x14ac:dyDescent="0.25">
      <c r="A1431" s="10" t="s">
        <v>1524</v>
      </c>
      <c r="B1431" s="15">
        <v>0</v>
      </c>
      <c r="C1431" t="s">
        <v>3028</v>
      </c>
    </row>
    <row r="1432" spans="1:3" x14ac:dyDescent="0.25">
      <c r="A1432" s="10" t="s">
        <v>1526</v>
      </c>
      <c r="B1432" s="15">
        <v>0</v>
      </c>
      <c r="C1432" t="s">
        <v>3028</v>
      </c>
    </row>
    <row r="1433" spans="1:3" x14ac:dyDescent="0.25">
      <c r="A1433" s="10" t="s">
        <v>1526</v>
      </c>
      <c r="B1433" s="15">
        <v>0</v>
      </c>
      <c r="C1433" t="s">
        <v>3028</v>
      </c>
    </row>
    <row r="1434" spans="1:3" x14ac:dyDescent="0.25">
      <c r="A1434" s="10" t="s">
        <v>1528</v>
      </c>
      <c r="B1434" s="15">
        <v>0</v>
      </c>
      <c r="C1434" t="s">
        <v>3028</v>
      </c>
    </row>
    <row r="1435" spans="1:3" x14ac:dyDescent="0.25">
      <c r="A1435" s="10" t="s">
        <v>1528</v>
      </c>
      <c r="B1435" s="15">
        <v>0</v>
      </c>
      <c r="C1435" t="s">
        <v>3028</v>
      </c>
    </row>
    <row r="1436" spans="1:3" x14ac:dyDescent="0.25">
      <c r="A1436" s="10" t="s">
        <v>1530</v>
      </c>
      <c r="B1436" s="15">
        <v>0</v>
      </c>
      <c r="C1436" t="s">
        <v>3028</v>
      </c>
    </row>
    <row r="1437" spans="1:3" x14ac:dyDescent="0.25">
      <c r="A1437" s="10" t="s">
        <v>1530</v>
      </c>
      <c r="B1437" s="15">
        <v>0</v>
      </c>
      <c r="C1437" t="s">
        <v>3028</v>
      </c>
    </row>
    <row r="1438" spans="1:3" x14ac:dyDescent="0.25">
      <c r="A1438" s="10" t="s">
        <v>1532</v>
      </c>
      <c r="B1438" s="15">
        <v>0</v>
      </c>
      <c r="C1438" t="s">
        <v>3028</v>
      </c>
    </row>
    <row r="1439" spans="1:3" x14ac:dyDescent="0.25">
      <c r="A1439" s="10" t="s">
        <v>1532</v>
      </c>
      <c r="B1439" s="15">
        <v>0</v>
      </c>
      <c r="C1439" t="s">
        <v>3028</v>
      </c>
    </row>
    <row r="1440" spans="1:3" x14ac:dyDescent="0.25">
      <c r="A1440" s="10" t="s">
        <v>1534</v>
      </c>
      <c r="B1440" s="15">
        <v>0</v>
      </c>
      <c r="C1440" t="s">
        <v>3028</v>
      </c>
    </row>
    <row r="1441" spans="1:3" x14ac:dyDescent="0.25">
      <c r="A1441" s="10" t="s">
        <v>1534</v>
      </c>
      <c r="B1441" s="15">
        <v>0</v>
      </c>
      <c r="C1441" t="s">
        <v>3028</v>
      </c>
    </row>
    <row r="1442" spans="1:3" x14ac:dyDescent="0.25">
      <c r="A1442" s="10" t="s">
        <v>1536</v>
      </c>
      <c r="B1442" s="15">
        <v>0</v>
      </c>
      <c r="C1442" t="s">
        <v>3028</v>
      </c>
    </row>
    <row r="1443" spans="1:3" x14ac:dyDescent="0.25">
      <c r="A1443" s="10" t="s">
        <v>1536</v>
      </c>
      <c r="B1443" s="15">
        <v>0</v>
      </c>
      <c r="C1443" t="s">
        <v>3028</v>
      </c>
    </row>
    <row r="1444" spans="1:3" x14ac:dyDescent="0.25">
      <c r="A1444" s="10" t="s">
        <v>1538</v>
      </c>
      <c r="B1444" s="15">
        <v>0</v>
      </c>
      <c r="C1444" t="s">
        <v>3028</v>
      </c>
    </row>
    <row r="1445" spans="1:3" x14ac:dyDescent="0.25">
      <c r="A1445" s="10" t="s">
        <v>1538</v>
      </c>
      <c r="B1445" s="15">
        <v>0</v>
      </c>
      <c r="C1445" t="s">
        <v>3028</v>
      </c>
    </row>
    <row r="1446" spans="1:3" x14ac:dyDescent="0.25">
      <c r="A1446" s="10" t="s">
        <v>1540</v>
      </c>
      <c r="B1446" s="15">
        <v>0</v>
      </c>
      <c r="C1446" t="s">
        <v>3028</v>
      </c>
    </row>
    <row r="1447" spans="1:3" x14ac:dyDescent="0.25">
      <c r="A1447" s="10" t="s">
        <v>1540</v>
      </c>
      <c r="B1447" s="15">
        <v>0</v>
      </c>
      <c r="C1447" t="s">
        <v>3028</v>
      </c>
    </row>
    <row r="1448" spans="1:3" x14ac:dyDescent="0.25">
      <c r="A1448" s="10" t="s">
        <v>1542</v>
      </c>
      <c r="B1448" s="15">
        <v>0</v>
      </c>
      <c r="C1448" t="s">
        <v>3028</v>
      </c>
    </row>
    <row r="1449" spans="1:3" x14ac:dyDescent="0.25">
      <c r="A1449" s="10" t="s">
        <v>1542</v>
      </c>
      <c r="B1449" s="15">
        <v>0</v>
      </c>
      <c r="C1449" t="s">
        <v>3028</v>
      </c>
    </row>
    <row r="1450" spans="1:3" x14ac:dyDescent="0.25">
      <c r="A1450" s="10" t="s">
        <v>1544</v>
      </c>
      <c r="B1450" s="15">
        <v>0</v>
      </c>
      <c r="C1450" t="s">
        <v>3028</v>
      </c>
    </row>
    <row r="1451" spans="1:3" x14ac:dyDescent="0.25">
      <c r="A1451" s="10" t="s">
        <v>1544</v>
      </c>
      <c r="B1451" s="15">
        <v>0</v>
      </c>
      <c r="C1451" t="s">
        <v>3028</v>
      </c>
    </row>
    <row r="1452" spans="1:3" x14ac:dyDescent="0.25">
      <c r="A1452" s="10" t="s">
        <v>1546</v>
      </c>
      <c r="B1452" s="15">
        <v>0</v>
      </c>
      <c r="C1452" t="s">
        <v>3028</v>
      </c>
    </row>
    <row r="1453" spans="1:3" x14ac:dyDescent="0.25">
      <c r="A1453" s="10" t="s">
        <v>1546</v>
      </c>
      <c r="B1453" s="15">
        <v>0</v>
      </c>
      <c r="C1453" t="s">
        <v>3028</v>
      </c>
    </row>
    <row r="1454" spans="1:3" x14ac:dyDescent="0.25">
      <c r="A1454" s="10" t="s">
        <v>1548</v>
      </c>
      <c r="B1454" s="15">
        <v>0</v>
      </c>
      <c r="C1454" t="s">
        <v>3028</v>
      </c>
    </row>
    <row r="1455" spans="1:3" x14ac:dyDescent="0.25">
      <c r="A1455" s="10" t="s">
        <v>1548</v>
      </c>
      <c r="B1455" s="15">
        <v>0</v>
      </c>
      <c r="C1455" t="s">
        <v>3028</v>
      </c>
    </row>
    <row r="1456" spans="1:3" x14ac:dyDescent="0.25">
      <c r="A1456" s="10" t="s">
        <v>1550</v>
      </c>
      <c r="B1456" s="15">
        <v>0</v>
      </c>
      <c r="C1456" t="s">
        <v>3028</v>
      </c>
    </row>
    <row r="1457" spans="1:4" x14ac:dyDescent="0.25">
      <c r="A1457" s="10" t="s">
        <v>1550</v>
      </c>
      <c r="B1457" s="15">
        <v>0</v>
      </c>
      <c r="C1457" t="s">
        <v>3028</v>
      </c>
    </row>
    <row r="1458" spans="1:4" x14ac:dyDescent="0.25">
      <c r="A1458" s="10" t="s">
        <v>1552</v>
      </c>
      <c r="B1458" s="15">
        <v>0</v>
      </c>
      <c r="C1458" t="s">
        <v>3028</v>
      </c>
    </row>
    <row r="1459" spans="1:4" x14ac:dyDescent="0.25">
      <c r="A1459" s="10" t="s">
        <v>1552</v>
      </c>
      <c r="B1459" s="15">
        <v>0</v>
      </c>
      <c r="C1459" t="s">
        <v>3028</v>
      </c>
    </row>
    <row r="1460" spans="1:4" x14ac:dyDescent="0.25">
      <c r="A1460" s="10" t="s">
        <v>1552</v>
      </c>
      <c r="B1460" s="15">
        <v>22066.48</v>
      </c>
      <c r="D1460" t="s">
        <v>3028</v>
      </c>
    </row>
    <row r="1461" spans="1:4" x14ac:dyDescent="0.25">
      <c r="A1461" s="10" t="s">
        <v>1554</v>
      </c>
      <c r="B1461" s="15">
        <v>0</v>
      </c>
      <c r="C1461" t="s">
        <v>3028</v>
      </c>
    </row>
    <row r="1462" spans="1:4" x14ac:dyDescent="0.25">
      <c r="A1462" s="10" t="s">
        <v>1554</v>
      </c>
      <c r="B1462" s="15">
        <v>0</v>
      </c>
      <c r="C1462" t="s">
        <v>3028</v>
      </c>
    </row>
    <row r="1463" spans="1:4" x14ac:dyDescent="0.25">
      <c r="A1463" s="10" t="s">
        <v>1556</v>
      </c>
      <c r="B1463" s="15">
        <v>0</v>
      </c>
      <c r="C1463" t="s">
        <v>3028</v>
      </c>
    </row>
    <row r="1464" spans="1:4" x14ac:dyDescent="0.25">
      <c r="A1464" s="10" t="s">
        <v>1556</v>
      </c>
      <c r="B1464" s="15">
        <v>0</v>
      </c>
      <c r="C1464" t="s">
        <v>3028</v>
      </c>
    </row>
    <row r="1465" spans="1:4" x14ac:dyDescent="0.25">
      <c r="A1465" s="10" t="s">
        <v>1558</v>
      </c>
      <c r="B1465" s="15">
        <v>0</v>
      </c>
      <c r="C1465" t="s">
        <v>3028</v>
      </c>
    </row>
    <row r="1466" spans="1:4" x14ac:dyDescent="0.25">
      <c r="A1466" s="10" t="s">
        <v>1558</v>
      </c>
      <c r="B1466" s="15">
        <v>0</v>
      </c>
      <c r="C1466" t="s">
        <v>3028</v>
      </c>
    </row>
    <row r="1467" spans="1:4" x14ac:dyDescent="0.25">
      <c r="A1467" s="10" t="s">
        <v>1560</v>
      </c>
      <c r="B1467" s="15">
        <v>0</v>
      </c>
      <c r="C1467" t="s">
        <v>3028</v>
      </c>
    </row>
    <row r="1468" spans="1:4" x14ac:dyDescent="0.25">
      <c r="A1468" s="10" t="s">
        <v>1560</v>
      </c>
      <c r="B1468" s="15">
        <v>0</v>
      </c>
      <c r="C1468" t="s">
        <v>3028</v>
      </c>
    </row>
    <row r="1469" spans="1:4" x14ac:dyDescent="0.25">
      <c r="A1469" s="10" t="s">
        <v>1562</v>
      </c>
      <c r="B1469" s="15">
        <v>0</v>
      </c>
      <c r="C1469" t="s">
        <v>3028</v>
      </c>
    </row>
    <row r="1470" spans="1:4" x14ac:dyDescent="0.25">
      <c r="A1470" s="10" t="s">
        <v>1562</v>
      </c>
      <c r="B1470" s="15">
        <v>0</v>
      </c>
      <c r="C1470" t="s">
        <v>3028</v>
      </c>
    </row>
    <row r="1471" spans="1:4" x14ac:dyDescent="0.25">
      <c r="A1471" s="10" t="s">
        <v>1564</v>
      </c>
      <c r="B1471" s="15">
        <v>0</v>
      </c>
      <c r="C1471" t="s">
        <v>3028</v>
      </c>
    </row>
    <row r="1472" spans="1:4" x14ac:dyDescent="0.25">
      <c r="A1472" s="10" t="s">
        <v>1564</v>
      </c>
      <c r="B1472" s="15">
        <v>0</v>
      </c>
      <c r="C1472" t="s">
        <v>3028</v>
      </c>
    </row>
    <row r="1473" spans="1:3" x14ac:dyDescent="0.25">
      <c r="A1473" s="10" t="s">
        <v>1566</v>
      </c>
      <c r="B1473" s="15">
        <v>0</v>
      </c>
      <c r="C1473" t="s">
        <v>3028</v>
      </c>
    </row>
    <row r="1474" spans="1:3" x14ac:dyDescent="0.25">
      <c r="A1474" s="10" t="s">
        <v>1566</v>
      </c>
      <c r="B1474" s="15">
        <v>0</v>
      </c>
      <c r="C1474" t="s">
        <v>3028</v>
      </c>
    </row>
    <row r="1475" spans="1:3" x14ac:dyDescent="0.25">
      <c r="A1475" s="10" t="s">
        <v>1568</v>
      </c>
      <c r="B1475" s="15">
        <v>0</v>
      </c>
      <c r="C1475" t="s">
        <v>3028</v>
      </c>
    </row>
    <row r="1476" spans="1:3" x14ac:dyDescent="0.25">
      <c r="A1476" s="10" t="s">
        <v>1568</v>
      </c>
      <c r="B1476" s="15">
        <v>0</v>
      </c>
      <c r="C1476" t="s">
        <v>3028</v>
      </c>
    </row>
    <row r="1477" spans="1:3" x14ac:dyDescent="0.25">
      <c r="A1477" s="10" t="s">
        <v>1570</v>
      </c>
      <c r="B1477" s="15">
        <v>0</v>
      </c>
      <c r="C1477" t="s">
        <v>3028</v>
      </c>
    </row>
    <row r="1478" spans="1:3" x14ac:dyDescent="0.25">
      <c r="A1478" s="10" t="s">
        <v>1570</v>
      </c>
      <c r="B1478" s="15">
        <v>0</v>
      </c>
      <c r="C1478" t="s">
        <v>3028</v>
      </c>
    </row>
    <row r="1479" spans="1:3" x14ac:dyDescent="0.25">
      <c r="A1479" s="10" t="s">
        <v>1572</v>
      </c>
      <c r="B1479" s="15">
        <v>0</v>
      </c>
      <c r="C1479" t="s">
        <v>3028</v>
      </c>
    </row>
    <row r="1480" spans="1:3" x14ac:dyDescent="0.25">
      <c r="A1480" s="10" t="s">
        <v>1572</v>
      </c>
      <c r="B1480" s="15">
        <v>0</v>
      </c>
      <c r="C1480" t="s">
        <v>3028</v>
      </c>
    </row>
    <row r="1481" spans="1:3" x14ac:dyDescent="0.25">
      <c r="A1481" s="10" t="s">
        <v>1574</v>
      </c>
      <c r="B1481" s="15">
        <v>0</v>
      </c>
      <c r="C1481" t="s">
        <v>3028</v>
      </c>
    </row>
    <row r="1482" spans="1:3" x14ac:dyDescent="0.25">
      <c r="A1482" s="10" t="s">
        <v>1574</v>
      </c>
      <c r="B1482" s="15">
        <v>0</v>
      </c>
      <c r="C1482" t="s">
        <v>3028</v>
      </c>
    </row>
    <row r="1483" spans="1:3" x14ac:dyDescent="0.25">
      <c r="A1483" s="10" t="s">
        <v>1576</v>
      </c>
      <c r="B1483" s="15">
        <v>0</v>
      </c>
      <c r="C1483" t="s">
        <v>3028</v>
      </c>
    </row>
    <row r="1484" spans="1:3" x14ac:dyDescent="0.25">
      <c r="A1484" s="10" t="s">
        <v>1576</v>
      </c>
      <c r="B1484" s="15">
        <v>0</v>
      </c>
      <c r="C1484" t="s">
        <v>3028</v>
      </c>
    </row>
    <row r="1485" spans="1:3" x14ac:dyDescent="0.25">
      <c r="A1485" s="10" t="s">
        <v>1578</v>
      </c>
      <c r="B1485" s="15">
        <v>0</v>
      </c>
      <c r="C1485" t="s">
        <v>3028</v>
      </c>
    </row>
    <row r="1486" spans="1:3" x14ac:dyDescent="0.25">
      <c r="A1486" s="10" t="s">
        <v>1578</v>
      </c>
      <c r="B1486" s="15">
        <v>0</v>
      </c>
      <c r="C1486" t="s">
        <v>3028</v>
      </c>
    </row>
    <row r="1487" spans="1:3" x14ac:dyDescent="0.25">
      <c r="A1487" s="10" t="s">
        <v>1580</v>
      </c>
      <c r="B1487" s="15">
        <v>0</v>
      </c>
      <c r="C1487" t="s">
        <v>3028</v>
      </c>
    </row>
    <row r="1488" spans="1:3" x14ac:dyDescent="0.25">
      <c r="A1488" s="10" t="s">
        <v>1580</v>
      </c>
      <c r="B1488" s="15">
        <v>0</v>
      </c>
      <c r="C1488" t="s">
        <v>3028</v>
      </c>
    </row>
    <row r="1489" spans="1:3" x14ac:dyDescent="0.25">
      <c r="A1489" s="10" t="s">
        <v>1582</v>
      </c>
      <c r="B1489" s="15">
        <v>0</v>
      </c>
      <c r="C1489" t="s">
        <v>3028</v>
      </c>
    </row>
    <row r="1490" spans="1:3" x14ac:dyDescent="0.25">
      <c r="A1490" s="10" t="s">
        <v>1582</v>
      </c>
      <c r="B1490" s="15">
        <v>0</v>
      </c>
      <c r="C1490" t="s">
        <v>3028</v>
      </c>
    </row>
    <row r="1491" spans="1:3" x14ac:dyDescent="0.25">
      <c r="A1491" s="10" t="s">
        <v>1584</v>
      </c>
      <c r="B1491" s="15">
        <v>0</v>
      </c>
      <c r="C1491" t="s">
        <v>3028</v>
      </c>
    </row>
    <row r="1492" spans="1:3" x14ac:dyDescent="0.25">
      <c r="A1492" s="10" t="s">
        <v>1584</v>
      </c>
      <c r="B1492" s="15">
        <v>0</v>
      </c>
      <c r="C1492" t="s">
        <v>3028</v>
      </c>
    </row>
    <row r="1493" spans="1:3" x14ac:dyDescent="0.25">
      <c r="A1493" s="10" t="s">
        <v>1586</v>
      </c>
      <c r="B1493" s="15">
        <v>0</v>
      </c>
      <c r="C1493" t="s">
        <v>3028</v>
      </c>
    </row>
    <row r="1494" spans="1:3" x14ac:dyDescent="0.25">
      <c r="A1494" s="10" t="s">
        <v>1586</v>
      </c>
      <c r="B1494" s="15">
        <v>0</v>
      </c>
      <c r="C1494" t="s">
        <v>3028</v>
      </c>
    </row>
    <row r="1495" spans="1:3" x14ac:dyDescent="0.25">
      <c r="A1495" s="10" t="s">
        <v>1588</v>
      </c>
      <c r="B1495" s="15">
        <v>0</v>
      </c>
      <c r="C1495" t="s">
        <v>3028</v>
      </c>
    </row>
    <row r="1496" spans="1:3" x14ac:dyDescent="0.25">
      <c r="A1496" s="10" t="s">
        <v>1588</v>
      </c>
      <c r="B1496" s="15">
        <v>0</v>
      </c>
      <c r="C1496" t="s">
        <v>3028</v>
      </c>
    </row>
    <row r="1497" spans="1:3" x14ac:dyDescent="0.25">
      <c r="A1497" s="10" t="s">
        <v>1590</v>
      </c>
      <c r="B1497" s="15">
        <v>0</v>
      </c>
      <c r="C1497" t="s">
        <v>3028</v>
      </c>
    </row>
    <row r="1498" spans="1:3" x14ac:dyDescent="0.25">
      <c r="A1498" s="10" t="s">
        <v>1590</v>
      </c>
      <c r="B1498" s="15">
        <v>0</v>
      </c>
      <c r="C1498" t="s">
        <v>3028</v>
      </c>
    </row>
    <row r="1499" spans="1:3" x14ac:dyDescent="0.25">
      <c r="A1499" s="10" t="s">
        <v>1592</v>
      </c>
      <c r="B1499" s="15">
        <v>0</v>
      </c>
      <c r="C1499" t="s">
        <v>3028</v>
      </c>
    </row>
    <row r="1500" spans="1:3" x14ac:dyDescent="0.25">
      <c r="A1500" s="10" t="s">
        <v>1592</v>
      </c>
      <c r="B1500" s="15">
        <v>0</v>
      </c>
      <c r="C1500" t="s">
        <v>3028</v>
      </c>
    </row>
    <row r="1501" spans="1:3" x14ac:dyDescent="0.25">
      <c r="A1501" s="10" t="s">
        <v>1594</v>
      </c>
      <c r="B1501" s="15">
        <v>0</v>
      </c>
      <c r="C1501" t="s">
        <v>3028</v>
      </c>
    </row>
    <row r="1502" spans="1:3" x14ac:dyDescent="0.25">
      <c r="A1502" s="10" t="s">
        <v>1594</v>
      </c>
      <c r="B1502" s="15">
        <v>0</v>
      </c>
      <c r="C1502" t="s">
        <v>3028</v>
      </c>
    </row>
    <row r="1503" spans="1:3" x14ac:dyDescent="0.25">
      <c r="A1503" s="10" t="s">
        <v>1596</v>
      </c>
      <c r="B1503" s="15">
        <v>0</v>
      </c>
      <c r="C1503" t="s">
        <v>3028</v>
      </c>
    </row>
    <row r="1504" spans="1:3" x14ac:dyDescent="0.25">
      <c r="A1504" s="10" t="s">
        <v>1596</v>
      </c>
      <c r="B1504" s="15">
        <v>0</v>
      </c>
      <c r="C1504" t="s">
        <v>3028</v>
      </c>
    </row>
    <row r="1505" spans="1:3" x14ac:dyDescent="0.25">
      <c r="A1505" s="10" t="s">
        <v>1598</v>
      </c>
      <c r="B1505" s="15">
        <v>0</v>
      </c>
      <c r="C1505" t="s">
        <v>3028</v>
      </c>
    </row>
    <row r="1506" spans="1:3" x14ac:dyDescent="0.25">
      <c r="A1506" s="10" t="s">
        <v>1598</v>
      </c>
      <c r="B1506" s="15">
        <v>0</v>
      </c>
      <c r="C1506" t="s">
        <v>3028</v>
      </c>
    </row>
    <row r="1507" spans="1:3" x14ac:dyDescent="0.25">
      <c r="A1507" s="10" t="s">
        <v>1600</v>
      </c>
      <c r="B1507" s="15">
        <v>0</v>
      </c>
      <c r="C1507" t="s">
        <v>3028</v>
      </c>
    </row>
    <row r="1508" spans="1:3" x14ac:dyDescent="0.25">
      <c r="A1508" s="10" t="s">
        <v>1600</v>
      </c>
      <c r="B1508" s="15">
        <v>0</v>
      </c>
      <c r="C1508" t="s">
        <v>3028</v>
      </c>
    </row>
    <row r="1509" spans="1:3" x14ac:dyDescent="0.25">
      <c r="A1509" s="10" t="s">
        <v>1605</v>
      </c>
      <c r="B1509" s="15">
        <v>0</v>
      </c>
      <c r="C1509" t="s">
        <v>3028</v>
      </c>
    </row>
    <row r="1510" spans="1:3" x14ac:dyDescent="0.25">
      <c r="A1510" s="10" t="s">
        <v>1605</v>
      </c>
      <c r="B1510" s="15">
        <v>0</v>
      </c>
      <c r="C1510" t="s">
        <v>3028</v>
      </c>
    </row>
    <row r="1511" spans="1:3" x14ac:dyDescent="0.25">
      <c r="A1511" s="10" t="s">
        <v>1607</v>
      </c>
      <c r="B1511" s="15">
        <v>0</v>
      </c>
      <c r="C1511" t="s">
        <v>3028</v>
      </c>
    </row>
    <row r="1512" spans="1:3" x14ac:dyDescent="0.25">
      <c r="A1512" s="10" t="s">
        <v>1607</v>
      </c>
      <c r="B1512" s="15">
        <v>0</v>
      </c>
      <c r="C1512" t="s">
        <v>3028</v>
      </c>
    </row>
    <row r="1513" spans="1:3" x14ac:dyDescent="0.25">
      <c r="A1513" s="10" t="s">
        <v>1609</v>
      </c>
      <c r="B1513" s="15">
        <v>0</v>
      </c>
      <c r="C1513" t="s">
        <v>3028</v>
      </c>
    </row>
    <row r="1514" spans="1:3" x14ac:dyDescent="0.25">
      <c r="A1514" s="10" t="s">
        <v>1609</v>
      </c>
      <c r="B1514" s="15">
        <v>0</v>
      </c>
      <c r="C1514" t="s">
        <v>3028</v>
      </c>
    </row>
    <row r="1515" spans="1:3" x14ac:dyDescent="0.25">
      <c r="A1515" s="10" t="s">
        <v>1611</v>
      </c>
      <c r="B1515" s="15">
        <v>0</v>
      </c>
      <c r="C1515" t="s">
        <v>3028</v>
      </c>
    </row>
    <row r="1516" spans="1:3" x14ac:dyDescent="0.25">
      <c r="A1516" s="10" t="s">
        <v>1611</v>
      </c>
      <c r="B1516" s="15">
        <v>0</v>
      </c>
      <c r="C1516" t="s">
        <v>3028</v>
      </c>
    </row>
    <row r="1517" spans="1:3" x14ac:dyDescent="0.25">
      <c r="A1517" s="10" t="s">
        <v>1613</v>
      </c>
      <c r="B1517" s="15">
        <v>0</v>
      </c>
      <c r="C1517" t="s">
        <v>3028</v>
      </c>
    </row>
    <row r="1518" spans="1:3" x14ac:dyDescent="0.25">
      <c r="A1518" s="10" t="s">
        <v>1613</v>
      </c>
      <c r="B1518" s="15">
        <v>0</v>
      </c>
      <c r="C1518" t="s">
        <v>3028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3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2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1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6" t="s">
        <v>46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0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9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8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7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6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5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7.8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4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3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2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1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0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9"/>
  <dimension ref="A1:O4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5" ht="47.85" customHeight="1" x14ac:dyDescent="0.25">
      <c r="A1" s="27" t="s">
        <v>34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201,66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137,5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  <row r="3" spans="1:15" x14ac:dyDescent="0.25">
      <c r="A3" s="10" t="s">
        <v>334</v>
      </c>
      <c r="C3" s="15">
        <v>0</v>
      </c>
      <c r="D3" s="15">
        <v>201.66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 t="s">
        <v>3028</v>
      </c>
      <c r="O3" t="s">
        <v>3028</v>
      </c>
    </row>
    <row r="4" spans="1:15" x14ac:dyDescent="0.25">
      <c r="A4" s="10" t="s">
        <v>496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137.5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 t="s">
        <v>3028</v>
      </c>
      <c r="O4" t="s">
        <v>3028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8"/>
  <dimension ref="A1:N2"/>
  <sheetViews>
    <sheetView workbookViewId="0">
      <selection activeCell="B2" sqref="B1:N1048576"/>
    </sheetView>
  </sheetViews>
  <sheetFormatPr defaultRowHeight="15" x14ac:dyDescent="0.25"/>
  <cols>
    <col min="1" max="1" width="9" style="10"/>
    <col min="2" max="14" width="11.625" style="15" customWidth="1"/>
  </cols>
  <sheetData>
    <row r="1" spans="1:14" ht="47.85" customHeight="1" x14ac:dyDescent="0.25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",SUM(B3:B1048576))</f>
        <v>JANEIRO
TOTAL: 0</v>
      </c>
      <c r="C2" s="14" t="str">
        <f>CONCATENATE("FEVEREIRO",CHAR(10),"TOTAL: ",SUM(C3:C1048576))</f>
        <v>FEVEREIRO
TOTAL: 0</v>
      </c>
      <c r="D2" s="14" t="str">
        <f>CONCATENATE("MARÇO",CHAR(10),"TOTAL: ",SUM(D3:D1048576))</f>
        <v>MARÇO
TOTAL: 0</v>
      </c>
      <c r="E2" s="14" t="str">
        <f>CONCATENATE("ABRIL",CHAR(10),"TOTAL: ",SUM(E3:E1048576))</f>
        <v>ABRIL
TOTAL: 0</v>
      </c>
      <c r="F2" s="14" t="str">
        <f>CONCATENATE("MAIO",CHAR(10),"TOTAL: ",SUM(F3:F1048576))</f>
        <v>MAIO
TOTAL: 0</v>
      </c>
      <c r="G2" s="14" t="str">
        <f>CONCATENATE("JUNHO",CHAR(10),"TOTAL: ",SUM(G3:G1048576))</f>
        <v>JUNHO
TOTAL: 0</v>
      </c>
      <c r="H2" s="14" t="str">
        <f>CONCATENATE("JULHO",CHAR(10),"TOTAL: ",SUM(H3:H1048576))</f>
        <v>JULHO
TOTAL: 0</v>
      </c>
      <c r="I2" s="14" t="str">
        <f>CONCATENATE("AGOSTO",CHAR(10),"TOTAL: ",SUM(I3:I1048576))</f>
        <v>AGOSTO
TOTAL: 0</v>
      </c>
      <c r="J2" s="14" t="str">
        <f>CONCATENATE("SETEMBRO",CHAR(10),"TOTAL: ",SUM(J3:J1048576))</f>
        <v>SETEMBRO
TOTAL: 0</v>
      </c>
      <c r="K2" s="14" t="str">
        <f>CONCATENATE("OUTUBRO",CHAR(10),"TOTAL: ",SUM(K3:K1048576))</f>
        <v>OUTUBRO
TOTAL: 0</v>
      </c>
      <c r="L2" s="14" t="str">
        <f>CONCATENATE("NOVEMBRO",CHAR(10),"TOTAL: ",SUM(L3:L1048576))</f>
        <v>NOVEMBRO
TOTAL: 0</v>
      </c>
      <c r="M2" s="14" t="str">
        <f>CONCATENATE("DEZEMBRO",CHAR(10),"TOTAL: ",SUM(M3:M1048576))</f>
        <v>DEZEMBRO
TOTAL: 0</v>
      </c>
      <c r="N2" s="14" t="str">
        <f>CONCATENATE("DEC. TERCEIRO",CHAR(10),"TOTAL: ",SUM(N3:N1048576))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4"/>
  <dimension ref="A1:O619"/>
  <sheetViews>
    <sheetView workbookViewId="0">
      <selection activeCell="B2" sqref="B2:N2"/>
    </sheetView>
  </sheetViews>
  <sheetFormatPr defaultRowHeight="12" x14ac:dyDescent="0.2"/>
  <cols>
    <col min="1" max="1" width="11.875" style="10" customWidth="1"/>
    <col min="2" max="14" width="11.625" style="15" customWidth="1"/>
    <col min="15" max="16384" width="9" style="9"/>
  </cols>
  <sheetData>
    <row r="1" spans="1:15" customFormat="1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customFormat="1" ht="43.5" customHeight="1" x14ac:dyDescent="0.25">
      <c r="A2" s="4" t="s">
        <v>0</v>
      </c>
      <c r="B2" s="14" t="str">
        <f>CONCATENATE("JANEIRO",CHAR(10),"TOTAL: ",ROUND(SUM(B3:B1048576),2))</f>
        <v>JANEIRO
TOTAL: 7425</v>
      </c>
      <c r="C2" s="14" t="str">
        <f>CONCATENATE("FEVEREIRO",CHAR(10),"TOTAL: ",ROUND(SUM(C3:C1048576),2))</f>
        <v>FEVEREIRO
TOTAL: 7058,3</v>
      </c>
      <c r="D2" s="14" t="str">
        <f>CONCATENATE("MARÇO",CHAR(10),"TOTAL: ",ROUND(SUM(D3:D1048576),2))</f>
        <v>MARÇO
TOTAL: 21926,61</v>
      </c>
      <c r="E2" s="14" t="str">
        <f>CONCATENATE("ABRIL",CHAR(10),"TOTAL: ",ROUND(SUM(E3:E1048576),2))</f>
        <v>ABRIL
TOTAL: 418531,65</v>
      </c>
      <c r="F2" s="14" t="str">
        <f>CONCATENATE("MAIO",CHAR(10),"TOTAL: ",ROUND(SUM(F3:F1048576),2))</f>
        <v>MAIO
TOTAL: 2365</v>
      </c>
      <c r="G2" s="14" t="str">
        <f>CONCATENATE("JUNHO",CHAR(10),"TOTAL: ",ROUND(SUM(G3:G1048576),2))</f>
        <v>JUNHO
TOTAL: 2108,34</v>
      </c>
      <c r="H2" s="14" t="str">
        <f>CONCATENATE("JULHO",CHAR(10),"TOTAL: ",ROUND(SUM(H3:H1048576),2))</f>
        <v>JULHO
TOTAL: 6215</v>
      </c>
      <c r="I2" s="14" t="str">
        <f>CONCATENATE("AGOSTO",CHAR(10),"TOTAL: ",ROUND(SUM(I3:I1048576),2))</f>
        <v>AGOSTO
TOTAL: 3666,64</v>
      </c>
      <c r="J2" s="14" t="str">
        <f>CONCATENATE("SETEMBRO",CHAR(10),"TOTAL: ",ROUND(SUM(J3:J1048576),2))</f>
        <v>SETEMBRO
TOTAL: 5683,72</v>
      </c>
      <c r="K2" s="14" t="str">
        <f>CONCATENATE("OUTUBRO",CHAR(10),"TOTAL: ",ROUND(SUM(K3:K1048576),2))</f>
        <v>OUTUBRO
TOTAL: 3941,67</v>
      </c>
      <c r="L2" s="14" t="str">
        <f>CONCATENATE("NOVEMBRO",CHAR(10),"TOTAL: ",ROUND(SUM(L3:L1048576),2))</f>
        <v>NOVEMBRO
TOTAL: 7333,32</v>
      </c>
      <c r="M2" s="14" t="str">
        <f>CONCATENATE("DEZEMBRO",CHAR(10),"TOTAL: ",ROUND(SUM(M3:M1048576),2))</f>
        <v>DEZEMBRO
TOTAL: 165</v>
      </c>
      <c r="N2" s="14" t="str">
        <f>CONCATENATE("DEC. TERCEIRO",CHAR(10),"TOTAL: ",ROUND(SUM(N3:N1048576),2))</f>
        <v>DEC. TERCEIRO
TOTAL: 0</v>
      </c>
    </row>
    <row r="3" spans="1:15" x14ac:dyDescent="0.2">
      <c r="A3" s="10" t="s">
        <v>93</v>
      </c>
      <c r="B3" s="15">
        <v>0</v>
      </c>
      <c r="C3" s="15">
        <v>0</v>
      </c>
      <c r="D3" s="15">
        <v>0</v>
      </c>
      <c r="E3" s="15">
        <v>825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 t="s">
        <v>3028</v>
      </c>
      <c r="O3" s="9" t="s">
        <v>3028</v>
      </c>
    </row>
    <row r="4" spans="1:15" x14ac:dyDescent="0.2">
      <c r="A4" s="10" t="s">
        <v>95</v>
      </c>
      <c r="B4" s="15">
        <v>0</v>
      </c>
      <c r="C4" s="15">
        <v>0</v>
      </c>
      <c r="D4" s="15">
        <v>0</v>
      </c>
      <c r="E4" s="15">
        <v>825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 t="s">
        <v>3028</v>
      </c>
      <c r="O4" s="9" t="s">
        <v>3028</v>
      </c>
    </row>
    <row r="5" spans="1:15" x14ac:dyDescent="0.2">
      <c r="A5" s="10" t="s">
        <v>97</v>
      </c>
      <c r="B5" s="15">
        <v>0</v>
      </c>
      <c r="C5" s="15">
        <v>0</v>
      </c>
      <c r="D5" s="15">
        <v>0</v>
      </c>
      <c r="E5" s="15">
        <v>825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 t="s">
        <v>3028</v>
      </c>
      <c r="O5" s="9" t="s">
        <v>3028</v>
      </c>
    </row>
    <row r="6" spans="1:15" x14ac:dyDescent="0.2">
      <c r="A6" s="10" t="s">
        <v>99</v>
      </c>
      <c r="B6" s="15">
        <v>0</v>
      </c>
      <c r="C6" s="15">
        <v>0</v>
      </c>
      <c r="D6" s="15">
        <v>0</v>
      </c>
      <c r="E6" s="15">
        <v>825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 t="s">
        <v>3028</v>
      </c>
      <c r="O6" s="9" t="s">
        <v>3028</v>
      </c>
    </row>
    <row r="7" spans="1:15" x14ac:dyDescent="0.2">
      <c r="A7" s="10" t="s">
        <v>101</v>
      </c>
      <c r="B7" s="15">
        <v>0</v>
      </c>
      <c r="C7" s="15">
        <v>0</v>
      </c>
      <c r="D7" s="15">
        <v>0</v>
      </c>
      <c r="E7" s="15">
        <v>825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 t="s">
        <v>3028</v>
      </c>
      <c r="O7" s="9" t="s">
        <v>3028</v>
      </c>
    </row>
    <row r="8" spans="1:15" x14ac:dyDescent="0.2">
      <c r="A8" s="10" t="s">
        <v>103</v>
      </c>
      <c r="B8" s="15">
        <v>0</v>
      </c>
      <c r="C8" s="15">
        <v>0</v>
      </c>
      <c r="D8" s="15">
        <v>0</v>
      </c>
      <c r="E8" s="15">
        <v>495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 t="s">
        <v>3028</v>
      </c>
      <c r="O8" s="9" t="s">
        <v>3028</v>
      </c>
    </row>
    <row r="9" spans="1:15" x14ac:dyDescent="0.2">
      <c r="A9" s="10" t="s">
        <v>105</v>
      </c>
      <c r="B9" s="15">
        <v>0</v>
      </c>
      <c r="C9" s="15">
        <v>0</v>
      </c>
      <c r="D9" s="15">
        <v>0</v>
      </c>
      <c r="E9" s="15">
        <v>825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 t="s">
        <v>3028</v>
      </c>
      <c r="O9" s="9" t="s">
        <v>3028</v>
      </c>
    </row>
    <row r="10" spans="1:15" x14ac:dyDescent="0.2">
      <c r="A10" s="10" t="s">
        <v>107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165</v>
      </c>
      <c r="N10" s="15" t="s">
        <v>3028</v>
      </c>
      <c r="O10" s="9" t="s">
        <v>3028</v>
      </c>
    </row>
    <row r="11" spans="1:15" x14ac:dyDescent="0.2">
      <c r="A11" s="10" t="s">
        <v>109</v>
      </c>
      <c r="B11" s="15">
        <v>0</v>
      </c>
      <c r="C11" s="15">
        <v>0</v>
      </c>
      <c r="D11" s="15">
        <v>0</v>
      </c>
      <c r="E11" s="15">
        <v>825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 t="s">
        <v>3028</v>
      </c>
      <c r="O11" s="9" t="s">
        <v>3028</v>
      </c>
    </row>
    <row r="12" spans="1:15" x14ac:dyDescent="0.2">
      <c r="A12" s="10" t="s">
        <v>111</v>
      </c>
      <c r="B12" s="15">
        <v>0</v>
      </c>
      <c r="C12" s="15">
        <v>0</v>
      </c>
      <c r="D12" s="15">
        <v>0</v>
      </c>
      <c r="E12" s="15">
        <v>825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 t="s">
        <v>3028</v>
      </c>
      <c r="O12" s="9" t="s">
        <v>3028</v>
      </c>
    </row>
    <row r="13" spans="1:15" x14ac:dyDescent="0.2">
      <c r="A13" s="10" t="s">
        <v>113</v>
      </c>
      <c r="B13" s="15">
        <v>0</v>
      </c>
      <c r="C13" s="15">
        <v>0</v>
      </c>
      <c r="D13" s="15">
        <v>0</v>
      </c>
      <c r="E13" s="15">
        <v>825</v>
      </c>
      <c r="F13" s="15">
        <v>0</v>
      </c>
      <c r="G13" s="15">
        <v>0</v>
      </c>
      <c r="H13" s="15">
        <v>1100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 t="s">
        <v>3028</v>
      </c>
      <c r="O13" s="9" t="s">
        <v>3028</v>
      </c>
    </row>
    <row r="14" spans="1:15" x14ac:dyDescent="0.2">
      <c r="A14" s="10" t="s">
        <v>115</v>
      </c>
      <c r="B14" s="15">
        <v>0</v>
      </c>
      <c r="C14" s="15">
        <v>0</v>
      </c>
      <c r="D14" s="15">
        <v>0</v>
      </c>
      <c r="E14" s="15">
        <v>825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 t="s">
        <v>3028</v>
      </c>
      <c r="O14" s="9" t="s">
        <v>3028</v>
      </c>
    </row>
    <row r="15" spans="1:15" x14ac:dyDescent="0.2">
      <c r="A15" s="10" t="s">
        <v>117</v>
      </c>
      <c r="B15" s="15">
        <v>0</v>
      </c>
      <c r="C15" s="15">
        <v>0</v>
      </c>
      <c r="D15" s="15">
        <v>0</v>
      </c>
      <c r="E15" s="15">
        <v>55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 t="s">
        <v>3028</v>
      </c>
      <c r="O15" s="9" t="s">
        <v>3028</v>
      </c>
    </row>
    <row r="16" spans="1:15" x14ac:dyDescent="0.2">
      <c r="A16" s="10" t="s">
        <v>119</v>
      </c>
      <c r="B16" s="15">
        <v>0</v>
      </c>
      <c r="C16" s="15">
        <v>0</v>
      </c>
      <c r="D16" s="15">
        <v>0</v>
      </c>
      <c r="E16" s="15">
        <v>91.67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 t="s">
        <v>3028</v>
      </c>
      <c r="O16" s="9" t="s">
        <v>3028</v>
      </c>
    </row>
    <row r="17" spans="1:15" x14ac:dyDescent="0.2">
      <c r="A17" s="10" t="s">
        <v>121</v>
      </c>
      <c r="B17" s="15">
        <v>0</v>
      </c>
      <c r="C17" s="15">
        <v>0</v>
      </c>
      <c r="D17" s="15">
        <v>0</v>
      </c>
      <c r="E17" s="15">
        <v>825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 t="s">
        <v>3028</v>
      </c>
      <c r="O17" s="9" t="s">
        <v>3028</v>
      </c>
    </row>
    <row r="18" spans="1:15" x14ac:dyDescent="0.2">
      <c r="A18" s="10" t="s">
        <v>123</v>
      </c>
      <c r="B18" s="15">
        <v>0</v>
      </c>
      <c r="C18" s="15">
        <v>0</v>
      </c>
      <c r="D18" s="15">
        <v>0</v>
      </c>
      <c r="E18" s="15">
        <v>825</v>
      </c>
      <c r="F18" s="15">
        <v>0</v>
      </c>
      <c r="G18" s="15">
        <v>0</v>
      </c>
      <c r="H18" s="15">
        <v>550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 t="s">
        <v>3028</v>
      </c>
      <c r="O18" s="9" t="s">
        <v>3028</v>
      </c>
    </row>
    <row r="19" spans="1:15" x14ac:dyDescent="0.2">
      <c r="A19" s="10" t="s">
        <v>127</v>
      </c>
      <c r="B19" s="15">
        <v>0</v>
      </c>
      <c r="C19" s="15">
        <v>0</v>
      </c>
      <c r="D19" s="15">
        <v>0</v>
      </c>
      <c r="E19" s="15">
        <v>825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 t="s">
        <v>3028</v>
      </c>
      <c r="O19" s="9" t="s">
        <v>3028</v>
      </c>
    </row>
    <row r="20" spans="1:15" x14ac:dyDescent="0.2">
      <c r="A20" s="10" t="s">
        <v>129</v>
      </c>
      <c r="B20" s="15">
        <v>0</v>
      </c>
      <c r="C20" s="15">
        <v>0</v>
      </c>
      <c r="D20" s="15">
        <v>0</v>
      </c>
      <c r="E20" s="15">
        <v>495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 t="s">
        <v>3028</v>
      </c>
      <c r="O20" s="9" t="s">
        <v>3028</v>
      </c>
    </row>
    <row r="21" spans="1:15" x14ac:dyDescent="0.2">
      <c r="A21" s="10" t="s">
        <v>131</v>
      </c>
      <c r="B21" s="15">
        <v>0</v>
      </c>
      <c r="C21" s="15">
        <v>0</v>
      </c>
      <c r="D21" s="15">
        <v>0</v>
      </c>
      <c r="E21" s="15">
        <v>825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 t="s">
        <v>3028</v>
      </c>
      <c r="O21" s="9" t="s">
        <v>3028</v>
      </c>
    </row>
    <row r="22" spans="1:15" x14ac:dyDescent="0.2">
      <c r="A22" s="10" t="s">
        <v>133</v>
      </c>
      <c r="B22" s="15">
        <v>0</v>
      </c>
      <c r="C22" s="15">
        <v>0</v>
      </c>
      <c r="D22" s="15">
        <v>0</v>
      </c>
      <c r="E22" s="15">
        <v>825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 t="s">
        <v>3028</v>
      </c>
      <c r="O22" s="9" t="s">
        <v>3028</v>
      </c>
    </row>
    <row r="23" spans="1:15" x14ac:dyDescent="0.2">
      <c r="A23" s="10" t="s">
        <v>135</v>
      </c>
      <c r="B23" s="15">
        <v>0</v>
      </c>
      <c r="C23" s="15">
        <v>0</v>
      </c>
      <c r="D23" s="15">
        <v>0</v>
      </c>
      <c r="E23" s="15">
        <v>825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 t="s">
        <v>3028</v>
      </c>
      <c r="O23" s="9" t="s">
        <v>3028</v>
      </c>
    </row>
    <row r="24" spans="1:15" x14ac:dyDescent="0.2">
      <c r="A24" s="10" t="s">
        <v>137</v>
      </c>
      <c r="B24" s="15">
        <v>0</v>
      </c>
      <c r="C24" s="15">
        <v>0</v>
      </c>
      <c r="D24" s="15">
        <v>0</v>
      </c>
      <c r="E24" s="15">
        <v>275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 t="s">
        <v>3028</v>
      </c>
      <c r="O24" s="9" t="s">
        <v>3028</v>
      </c>
    </row>
    <row r="25" spans="1:15" x14ac:dyDescent="0.2">
      <c r="A25" s="10" t="s">
        <v>139</v>
      </c>
      <c r="B25" s="15">
        <v>0</v>
      </c>
      <c r="C25" s="15">
        <v>0</v>
      </c>
      <c r="D25" s="15">
        <v>0</v>
      </c>
      <c r="E25" s="15">
        <v>825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 t="s">
        <v>3028</v>
      </c>
      <c r="O25" s="9" t="s">
        <v>3028</v>
      </c>
    </row>
    <row r="26" spans="1:15" x14ac:dyDescent="0.2">
      <c r="A26" s="10" t="s">
        <v>141</v>
      </c>
      <c r="B26" s="15">
        <v>0</v>
      </c>
      <c r="C26" s="15">
        <v>0</v>
      </c>
      <c r="D26" s="15">
        <v>0</v>
      </c>
      <c r="E26" s="15">
        <v>825</v>
      </c>
      <c r="F26" s="15">
        <v>0</v>
      </c>
      <c r="G26" s="15">
        <v>0</v>
      </c>
      <c r="H26" s="15">
        <v>0</v>
      </c>
      <c r="I26" s="15">
        <v>0</v>
      </c>
      <c r="J26" s="15">
        <v>733.33</v>
      </c>
      <c r="K26" s="15">
        <v>0</v>
      </c>
      <c r="L26" s="15">
        <v>0</v>
      </c>
      <c r="M26" s="15">
        <v>0</v>
      </c>
      <c r="N26" s="15" t="s">
        <v>3028</v>
      </c>
      <c r="O26" s="9" t="s">
        <v>3028</v>
      </c>
    </row>
    <row r="27" spans="1:15" x14ac:dyDescent="0.2">
      <c r="A27" s="10" t="s">
        <v>143</v>
      </c>
      <c r="B27" s="15">
        <v>0</v>
      </c>
      <c r="C27" s="15">
        <v>0</v>
      </c>
      <c r="D27" s="15">
        <v>0</v>
      </c>
      <c r="E27" s="15">
        <v>825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 t="s">
        <v>3028</v>
      </c>
      <c r="O27" s="9" t="s">
        <v>3028</v>
      </c>
    </row>
    <row r="28" spans="1:15" x14ac:dyDescent="0.2">
      <c r="A28" s="10" t="s">
        <v>145</v>
      </c>
      <c r="B28" s="15">
        <v>0</v>
      </c>
      <c r="C28" s="15">
        <v>0</v>
      </c>
      <c r="D28" s="15">
        <v>0</v>
      </c>
      <c r="E28" s="15">
        <v>825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 t="s">
        <v>3028</v>
      </c>
      <c r="O28" s="9" t="s">
        <v>3028</v>
      </c>
    </row>
    <row r="29" spans="1:15" x14ac:dyDescent="0.2">
      <c r="A29" s="10" t="s">
        <v>147</v>
      </c>
      <c r="B29" s="15">
        <v>0</v>
      </c>
      <c r="C29" s="15">
        <v>0</v>
      </c>
      <c r="D29" s="15">
        <v>0</v>
      </c>
      <c r="E29" s="15">
        <v>825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 t="s">
        <v>3028</v>
      </c>
      <c r="O29" s="9" t="s">
        <v>3028</v>
      </c>
    </row>
    <row r="30" spans="1:15" x14ac:dyDescent="0.2">
      <c r="A30" s="10" t="s">
        <v>149</v>
      </c>
      <c r="B30" s="15">
        <v>0</v>
      </c>
      <c r="C30" s="15">
        <v>0</v>
      </c>
      <c r="D30" s="15">
        <v>0</v>
      </c>
      <c r="E30" s="15">
        <v>825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 t="s">
        <v>3028</v>
      </c>
      <c r="O30" s="9" t="s">
        <v>3028</v>
      </c>
    </row>
    <row r="31" spans="1:15" x14ac:dyDescent="0.2">
      <c r="A31" s="10" t="s">
        <v>151</v>
      </c>
      <c r="B31" s="15">
        <v>0</v>
      </c>
      <c r="C31" s="15">
        <v>0</v>
      </c>
      <c r="D31" s="15">
        <v>0</v>
      </c>
      <c r="E31" s="15">
        <v>495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 t="s">
        <v>3028</v>
      </c>
      <c r="O31" s="9" t="s">
        <v>3028</v>
      </c>
    </row>
    <row r="32" spans="1:15" x14ac:dyDescent="0.2">
      <c r="A32" s="10" t="s">
        <v>153</v>
      </c>
      <c r="B32" s="15">
        <v>0</v>
      </c>
      <c r="C32" s="15">
        <v>0</v>
      </c>
      <c r="D32" s="15">
        <v>0</v>
      </c>
      <c r="E32" s="15">
        <v>660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 t="s">
        <v>3028</v>
      </c>
      <c r="O32" s="9" t="s">
        <v>3028</v>
      </c>
    </row>
    <row r="33" spans="1:15" x14ac:dyDescent="0.2">
      <c r="A33" s="10" t="s">
        <v>155</v>
      </c>
      <c r="B33" s="15">
        <v>0</v>
      </c>
      <c r="C33" s="15">
        <v>0</v>
      </c>
      <c r="D33" s="15">
        <v>0</v>
      </c>
      <c r="E33" s="15">
        <v>825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 t="s">
        <v>3028</v>
      </c>
      <c r="O33" s="9" t="s">
        <v>3028</v>
      </c>
    </row>
    <row r="34" spans="1:15" x14ac:dyDescent="0.2">
      <c r="A34" s="10" t="s">
        <v>157</v>
      </c>
      <c r="B34" s="15">
        <v>0</v>
      </c>
      <c r="C34" s="15">
        <v>0</v>
      </c>
      <c r="D34" s="15">
        <v>0</v>
      </c>
      <c r="E34" s="15">
        <v>825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 t="s">
        <v>3028</v>
      </c>
      <c r="O34" s="9" t="s">
        <v>3028</v>
      </c>
    </row>
    <row r="35" spans="1:15" x14ac:dyDescent="0.2">
      <c r="A35" s="10" t="s">
        <v>159</v>
      </c>
      <c r="B35" s="15">
        <v>0</v>
      </c>
      <c r="C35" s="15">
        <v>0</v>
      </c>
      <c r="D35" s="15">
        <v>0</v>
      </c>
      <c r="E35" s="15">
        <v>825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 t="s">
        <v>3028</v>
      </c>
      <c r="O35" s="9" t="s">
        <v>3028</v>
      </c>
    </row>
    <row r="36" spans="1:15" x14ac:dyDescent="0.2">
      <c r="A36" s="10" t="s">
        <v>161</v>
      </c>
      <c r="B36" s="15">
        <v>0</v>
      </c>
      <c r="C36" s="15">
        <v>0</v>
      </c>
      <c r="D36" s="15">
        <v>0</v>
      </c>
      <c r="E36" s="15">
        <v>825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 t="s">
        <v>3028</v>
      </c>
      <c r="O36" s="9" t="s">
        <v>3028</v>
      </c>
    </row>
    <row r="37" spans="1:15" x14ac:dyDescent="0.2">
      <c r="A37" s="10" t="s">
        <v>166</v>
      </c>
      <c r="B37" s="15">
        <v>0</v>
      </c>
      <c r="C37" s="15">
        <v>0</v>
      </c>
      <c r="D37" s="15">
        <v>0</v>
      </c>
      <c r="E37" s="15">
        <v>825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 t="s">
        <v>3028</v>
      </c>
      <c r="O37" s="9" t="s">
        <v>3028</v>
      </c>
    </row>
    <row r="38" spans="1:15" x14ac:dyDescent="0.2">
      <c r="A38" s="10" t="s">
        <v>170</v>
      </c>
      <c r="B38" s="15">
        <v>0</v>
      </c>
      <c r="C38" s="15">
        <v>0</v>
      </c>
      <c r="D38" s="15">
        <v>0</v>
      </c>
      <c r="E38" s="15">
        <v>825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 t="s">
        <v>3028</v>
      </c>
      <c r="O38" s="9" t="s">
        <v>3028</v>
      </c>
    </row>
    <row r="39" spans="1:15" x14ac:dyDescent="0.2">
      <c r="A39" s="10" t="s">
        <v>174</v>
      </c>
      <c r="B39" s="15">
        <v>0</v>
      </c>
      <c r="C39" s="15">
        <v>0</v>
      </c>
      <c r="D39" s="15">
        <v>0</v>
      </c>
      <c r="E39" s="15">
        <v>825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 t="s">
        <v>3028</v>
      </c>
      <c r="O39" s="9" t="s">
        <v>3028</v>
      </c>
    </row>
    <row r="40" spans="1:15" x14ac:dyDescent="0.2">
      <c r="A40" s="10" t="s">
        <v>176</v>
      </c>
      <c r="B40" s="15">
        <v>0</v>
      </c>
      <c r="C40" s="15">
        <v>0</v>
      </c>
      <c r="D40" s="15">
        <v>0</v>
      </c>
      <c r="E40" s="15">
        <v>825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 t="s">
        <v>3028</v>
      </c>
      <c r="O40" s="9" t="s">
        <v>3028</v>
      </c>
    </row>
    <row r="41" spans="1:15" x14ac:dyDescent="0.2">
      <c r="A41" s="10" t="s">
        <v>178</v>
      </c>
      <c r="B41" s="15">
        <v>0</v>
      </c>
      <c r="C41" s="15">
        <v>0</v>
      </c>
      <c r="D41" s="15">
        <v>0</v>
      </c>
      <c r="E41" s="15">
        <v>825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 t="s">
        <v>3028</v>
      </c>
      <c r="O41" s="9" t="s">
        <v>3028</v>
      </c>
    </row>
    <row r="42" spans="1:15" x14ac:dyDescent="0.2">
      <c r="A42" s="10" t="s">
        <v>180</v>
      </c>
      <c r="B42" s="15">
        <v>0</v>
      </c>
      <c r="C42" s="15">
        <v>0</v>
      </c>
      <c r="D42" s="15">
        <v>0</v>
      </c>
      <c r="E42" s="15">
        <v>1100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 t="s">
        <v>3028</v>
      </c>
      <c r="O42" s="9" t="s">
        <v>3028</v>
      </c>
    </row>
    <row r="43" spans="1:15" x14ac:dyDescent="0.2">
      <c r="A43" s="10" t="s">
        <v>182</v>
      </c>
      <c r="B43" s="15">
        <v>0</v>
      </c>
      <c r="C43" s="15">
        <v>0</v>
      </c>
      <c r="D43" s="15">
        <v>0</v>
      </c>
      <c r="E43" s="15">
        <v>825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  <c r="N43" s="15" t="s">
        <v>3028</v>
      </c>
      <c r="O43" s="9" t="s">
        <v>3028</v>
      </c>
    </row>
    <row r="44" spans="1:15" x14ac:dyDescent="0.2">
      <c r="A44" s="10" t="s">
        <v>184</v>
      </c>
      <c r="B44" s="15">
        <v>0</v>
      </c>
      <c r="C44" s="15">
        <v>0</v>
      </c>
      <c r="D44" s="15">
        <v>0</v>
      </c>
      <c r="E44" s="15">
        <v>825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 t="s">
        <v>3028</v>
      </c>
      <c r="O44" s="9" t="s">
        <v>3028</v>
      </c>
    </row>
    <row r="45" spans="1:15" x14ac:dyDescent="0.2">
      <c r="A45" s="10" t="s">
        <v>186</v>
      </c>
      <c r="B45" s="15">
        <v>0</v>
      </c>
      <c r="C45" s="15">
        <v>0</v>
      </c>
      <c r="D45" s="15">
        <v>0</v>
      </c>
      <c r="E45" s="15">
        <v>825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  <c r="N45" s="15" t="s">
        <v>3028</v>
      </c>
      <c r="O45" s="9" t="s">
        <v>3028</v>
      </c>
    </row>
    <row r="46" spans="1:15" x14ac:dyDescent="0.2">
      <c r="A46" s="10" t="s">
        <v>188</v>
      </c>
      <c r="B46" s="15">
        <v>0</v>
      </c>
      <c r="C46" s="15">
        <v>0</v>
      </c>
      <c r="D46" s="15">
        <v>0</v>
      </c>
      <c r="E46" s="15">
        <v>825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 t="s">
        <v>3028</v>
      </c>
      <c r="O46" s="9" t="s">
        <v>3028</v>
      </c>
    </row>
    <row r="47" spans="1:15" x14ac:dyDescent="0.2">
      <c r="A47" s="10" t="s">
        <v>190</v>
      </c>
      <c r="B47" s="15">
        <v>0</v>
      </c>
      <c r="C47" s="15">
        <v>0</v>
      </c>
      <c r="D47" s="15">
        <v>0</v>
      </c>
      <c r="E47" s="15">
        <v>825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 t="s">
        <v>3028</v>
      </c>
      <c r="O47" s="9" t="s">
        <v>3028</v>
      </c>
    </row>
    <row r="48" spans="1:15" x14ac:dyDescent="0.2">
      <c r="A48" s="10" t="s">
        <v>192</v>
      </c>
      <c r="B48" s="15">
        <v>0</v>
      </c>
      <c r="C48" s="15">
        <v>0</v>
      </c>
      <c r="D48" s="15">
        <v>0</v>
      </c>
      <c r="E48" s="15">
        <v>495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 t="s">
        <v>3028</v>
      </c>
      <c r="O48" s="9" t="s">
        <v>3028</v>
      </c>
    </row>
    <row r="49" spans="1:15" x14ac:dyDescent="0.2">
      <c r="A49" s="10" t="s">
        <v>196</v>
      </c>
      <c r="B49" s="15">
        <v>0</v>
      </c>
      <c r="C49" s="15">
        <v>0</v>
      </c>
      <c r="D49" s="15">
        <v>0</v>
      </c>
      <c r="E49" s="15">
        <v>183.33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 t="s">
        <v>3028</v>
      </c>
      <c r="O49" s="9" t="s">
        <v>3028</v>
      </c>
    </row>
    <row r="50" spans="1:15" x14ac:dyDescent="0.2">
      <c r="A50" s="10" t="s">
        <v>200</v>
      </c>
      <c r="B50" s="15">
        <v>0</v>
      </c>
      <c r="C50" s="15">
        <v>0</v>
      </c>
      <c r="D50" s="15">
        <v>0</v>
      </c>
      <c r="E50" s="15">
        <v>825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 t="s">
        <v>3028</v>
      </c>
      <c r="O50" s="9" t="s">
        <v>3028</v>
      </c>
    </row>
    <row r="51" spans="1:15" x14ac:dyDescent="0.2">
      <c r="A51" s="10" t="s">
        <v>202</v>
      </c>
      <c r="B51" s="15">
        <v>0</v>
      </c>
      <c r="C51" s="15">
        <v>0</v>
      </c>
      <c r="D51" s="15">
        <v>0</v>
      </c>
      <c r="E51" s="15">
        <v>825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 t="s">
        <v>3028</v>
      </c>
      <c r="O51" s="9" t="s">
        <v>3028</v>
      </c>
    </row>
    <row r="52" spans="1:15" x14ac:dyDescent="0.2">
      <c r="A52" s="10" t="s">
        <v>204</v>
      </c>
      <c r="B52" s="15">
        <v>0</v>
      </c>
      <c r="C52" s="15">
        <v>0</v>
      </c>
      <c r="D52" s="15">
        <v>0</v>
      </c>
      <c r="E52" s="15">
        <v>825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 t="s">
        <v>3028</v>
      </c>
      <c r="O52" s="9" t="s">
        <v>3028</v>
      </c>
    </row>
    <row r="53" spans="1:15" x14ac:dyDescent="0.2">
      <c r="A53" s="10" t="s">
        <v>208</v>
      </c>
      <c r="B53" s="15">
        <v>0</v>
      </c>
      <c r="C53" s="15">
        <v>0</v>
      </c>
      <c r="D53" s="15">
        <v>0</v>
      </c>
      <c r="E53" s="15">
        <v>825</v>
      </c>
      <c r="F53" s="15">
        <v>0</v>
      </c>
      <c r="G53" s="15">
        <v>458.33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 t="s">
        <v>3028</v>
      </c>
      <c r="O53" s="9" t="s">
        <v>3028</v>
      </c>
    </row>
    <row r="54" spans="1:15" x14ac:dyDescent="0.2">
      <c r="A54" s="10" t="s">
        <v>210</v>
      </c>
      <c r="B54" s="15">
        <v>0</v>
      </c>
      <c r="C54" s="15">
        <v>0</v>
      </c>
      <c r="D54" s="15">
        <v>0</v>
      </c>
      <c r="E54" s="15">
        <v>825</v>
      </c>
      <c r="F54" s="15">
        <v>0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 t="s">
        <v>3028</v>
      </c>
      <c r="O54" s="9" t="s">
        <v>3028</v>
      </c>
    </row>
    <row r="55" spans="1:15" x14ac:dyDescent="0.2">
      <c r="A55" s="10" t="s">
        <v>212</v>
      </c>
      <c r="B55" s="15">
        <v>0</v>
      </c>
      <c r="C55" s="15">
        <v>0</v>
      </c>
      <c r="D55" s="15">
        <v>0</v>
      </c>
      <c r="E55" s="15">
        <v>495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 t="s">
        <v>3028</v>
      </c>
      <c r="O55" s="9" t="s">
        <v>3028</v>
      </c>
    </row>
    <row r="56" spans="1:15" x14ac:dyDescent="0.2">
      <c r="A56" s="10" t="s">
        <v>216</v>
      </c>
      <c r="B56" s="15">
        <v>0</v>
      </c>
      <c r="C56" s="15">
        <v>0</v>
      </c>
      <c r="D56" s="15">
        <v>0</v>
      </c>
      <c r="E56" s="15">
        <v>495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 t="s">
        <v>3028</v>
      </c>
      <c r="O56" s="9" t="s">
        <v>3028</v>
      </c>
    </row>
    <row r="57" spans="1:15" x14ac:dyDescent="0.2">
      <c r="A57" s="10" t="s">
        <v>218</v>
      </c>
      <c r="B57" s="15">
        <v>0</v>
      </c>
      <c r="C57" s="15">
        <v>0</v>
      </c>
      <c r="D57" s="15">
        <v>0</v>
      </c>
      <c r="E57" s="15">
        <v>825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 t="s">
        <v>3028</v>
      </c>
      <c r="O57" s="9" t="s">
        <v>3028</v>
      </c>
    </row>
    <row r="58" spans="1:15" x14ac:dyDescent="0.2">
      <c r="A58" s="10" t="s">
        <v>224</v>
      </c>
      <c r="B58" s="15">
        <v>0</v>
      </c>
      <c r="C58" s="15">
        <v>0</v>
      </c>
      <c r="D58" s="15">
        <v>0</v>
      </c>
      <c r="E58" s="15">
        <v>495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 t="s">
        <v>3028</v>
      </c>
      <c r="O58" s="9" t="s">
        <v>3028</v>
      </c>
    </row>
    <row r="59" spans="1:15" x14ac:dyDescent="0.2">
      <c r="A59" s="10" t="s">
        <v>226</v>
      </c>
      <c r="B59" s="15">
        <v>0</v>
      </c>
      <c r="C59" s="15">
        <v>0</v>
      </c>
      <c r="D59" s="15">
        <v>0</v>
      </c>
      <c r="E59" s="15">
        <v>825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 t="s">
        <v>3028</v>
      </c>
      <c r="O59" s="9" t="s">
        <v>3028</v>
      </c>
    </row>
    <row r="60" spans="1:15" x14ac:dyDescent="0.2">
      <c r="A60" s="10" t="s">
        <v>228</v>
      </c>
      <c r="B60" s="15">
        <v>0</v>
      </c>
      <c r="C60" s="15">
        <v>0</v>
      </c>
      <c r="D60" s="15">
        <v>0</v>
      </c>
      <c r="E60" s="15">
        <v>825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 t="s">
        <v>3028</v>
      </c>
      <c r="O60" s="9" t="s">
        <v>3028</v>
      </c>
    </row>
    <row r="61" spans="1:15" x14ac:dyDescent="0.2">
      <c r="A61" s="10" t="s">
        <v>230</v>
      </c>
      <c r="B61" s="15">
        <v>0</v>
      </c>
      <c r="C61" s="15">
        <v>0</v>
      </c>
      <c r="D61" s="15">
        <v>0</v>
      </c>
      <c r="E61" s="15">
        <v>550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 t="s">
        <v>3028</v>
      </c>
      <c r="O61" s="9" t="s">
        <v>3028</v>
      </c>
    </row>
    <row r="62" spans="1:15" x14ac:dyDescent="0.2">
      <c r="A62" s="10" t="s">
        <v>232</v>
      </c>
      <c r="B62" s="15">
        <v>0</v>
      </c>
      <c r="C62" s="15">
        <v>0</v>
      </c>
      <c r="D62" s="15">
        <v>0</v>
      </c>
      <c r="E62" s="15">
        <v>825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 t="s">
        <v>3028</v>
      </c>
      <c r="O62" s="9" t="s">
        <v>3028</v>
      </c>
    </row>
    <row r="63" spans="1:15" x14ac:dyDescent="0.2">
      <c r="A63" s="10" t="s">
        <v>234</v>
      </c>
      <c r="B63" s="15">
        <v>0</v>
      </c>
      <c r="C63" s="15">
        <v>0</v>
      </c>
      <c r="D63" s="15">
        <v>0</v>
      </c>
      <c r="E63" s="15">
        <v>825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</v>
      </c>
      <c r="M63" s="15">
        <v>0</v>
      </c>
      <c r="N63" s="15" t="s">
        <v>3028</v>
      </c>
      <c r="O63" s="9" t="s">
        <v>3028</v>
      </c>
    </row>
    <row r="64" spans="1:15" x14ac:dyDescent="0.2">
      <c r="A64" s="10" t="s">
        <v>236</v>
      </c>
      <c r="B64" s="15">
        <v>0</v>
      </c>
      <c r="C64" s="15">
        <v>0</v>
      </c>
      <c r="D64" s="15">
        <v>0</v>
      </c>
      <c r="E64" s="15">
        <v>825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916.66</v>
      </c>
      <c r="M64" s="15">
        <v>0</v>
      </c>
      <c r="N64" s="15" t="s">
        <v>3028</v>
      </c>
      <c r="O64" s="9" t="s">
        <v>3028</v>
      </c>
    </row>
    <row r="65" spans="1:15" x14ac:dyDescent="0.2">
      <c r="A65" s="10" t="s">
        <v>238</v>
      </c>
      <c r="B65" s="15">
        <v>0</v>
      </c>
      <c r="C65" s="15">
        <v>0</v>
      </c>
      <c r="D65" s="15">
        <v>0</v>
      </c>
      <c r="E65" s="15">
        <v>825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 t="s">
        <v>3028</v>
      </c>
      <c r="O65" s="9" t="s">
        <v>3028</v>
      </c>
    </row>
    <row r="66" spans="1:15" x14ac:dyDescent="0.2">
      <c r="A66" s="10" t="s">
        <v>240</v>
      </c>
      <c r="B66" s="15">
        <v>0</v>
      </c>
      <c r="C66" s="15">
        <v>0</v>
      </c>
      <c r="D66" s="15">
        <v>0</v>
      </c>
      <c r="E66" s="15">
        <v>825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 t="s">
        <v>3028</v>
      </c>
      <c r="O66" s="9" t="s">
        <v>3028</v>
      </c>
    </row>
    <row r="67" spans="1:15" x14ac:dyDescent="0.2">
      <c r="A67" s="10" t="s">
        <v>242</v>
      </c>
      <c r="B67" s="15">
        <v>0</v>
      </c>
      <c r="C67" s="15">
        <v>0</v>
      </c>
      <c r="D67" s="15">
        <v>1008.33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 t="s">
        <v>3028</v>
      </c>
      <c r="O67" s="9" t="s">
        <v>3028</v>
      </c>
    </row>
    <row r="68" spans="1:15" x14ac:dyDescent="0.2">
      <c r="A68" s="10" t="s">
        <v>244</v>
      </c>
      <c r="B68" s="15">
        <v>0</v>
      </c>
      <c r="C68" s="15">
        <v>0</v>
      </c>
      <c r="D68" s="15">
        <v>0</v>
      </c>
      <c r="E68" s="15">
        <v>825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 t="s">
        <v>3028</v>
      </c>
      <c r="O68" s="9" t="s">
        <v>3028</v>
      </c>
    </row>
    <row r="69" spans="1:15" x14ac:dyDescent="0.2">
      <c r="A69" s="10" t="s">
        <v>246</v>
      </c>
      <c r="B69" s="15">
        <v>0</v>
      </c>
      <c r="C69" s="15">
        <v>0</v>
      </c>
      <c r="D69" s="15">
        <v>0</v>
      </c>
      <c r="E69" s="15">
        <v>495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 t="s">
        <v>3028</v>
      </c>
      <c r="O69" s="9" t="s">
        <v>3028</v>
      </c>
    </row>
    <row r="70" spans="1:15" x14ac:dyDescent="0.2">
      <c r="A70" s="10" t="s">
        <v>248</v>
      </c>
      <c r="B70" s="15">
        <v>0</v>
      </c>
      <c r="C70" s="15">
        <v>0</v>
      </c>
      <c r="D70" s="15">
        <v>0</v>
      </c>
      <c r="E70" s="15">
        <v>825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916.66</v>
      </c>
      <c r="M70" s="15">
        <v>0</v>
      </c>
      <c r="N70" s="15" t="s">
        <v>3028</v>
      </c>
      <c r="O70" s="9" t="s">
        <v>3028</v>
      </c>
    </row>
    <row r="71" spans="1:15" x14ac:dyDescent="0.2">
      <c r="A71" s="10" t="s">
        <v>250</v>
      </c>
      <c r="B71" s="15">
        <v>0</v>
      </c>
      <c r="C71" s="15">
        <v>0</v>
      </c>
      <c r="D71" s="15">
        <v>0</v>
      </c>
      <c r="E71" s="15">
        <v>825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 t="s">
        <v>3028</v>
      </c>
      <c r="O71" s="9" t="s">
        <v>3028</v>
      </c>
    </row>
    <row r="72" spans="1:15" x14ac:dyDescent="0.2">
      <c r="A72" s="10" t="s">
        <v>254</v>
      </c>
      <c r="B72" s="15">
        <v>0</v>
      </c>
      <c r="C72" s="15">
        <v>0</v>
      </c>
      <c r="D72" s="15">
        <v>0</v>
      </c>
      <c r="E72" s="15">
        <v>825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 t="s">
        <v>3028</v>
      </c>
      <c r="O72" s="9" t="s">
        <v>3028</v>
      </c>
    </row>
    <row r="73" spans="1:15" x14ac:dyDescent="0.2">
      <c r="A73" s="10" t="s">
        <v>256</v>
      </c>
      <c r="B73" s="15">
        <v>0</v>
      </c>
      <c r="C73" s="15">
        <v>0</v>
      </c>
      <c r="D73" s="15">
        <v>0</v>
      </c>
      <c r="E73" s="15">
        <v>825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 t="s">
        <v>3028</v>
      </c>
      <c r="O73" s="9" t="s">
        <v>3028</v>
      </c>
    </row>
    <row r="74" spans="1:15" x14ac:dyDescent="0.2">
      <c r="A74" s="10" t="s">
        <v>258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550</v>
      </c>
      <c r="M74" s="15">
        <v>0</v>
      </c>
      <c r="N74" s="15" t="s">
        <v>3028</v>
      </c>
      <c r="O74" s="9" t="s">
        <v>3028</v>
      </c>
    </row>
    <row r="75" spans="1:15" x14ac:dyDescent="0.2">
      <c r="A75" s="10" t="s">
        <v>260</v>
      </c>
      <c r="B75" s="15">
        <v>0</v>
      </c>
      <c r="C75" s="15">
        <v>0</v>
      </c>
      <c r="D75" s="15">
        <v>0</v>
      </c>
      <c r="E75" s="15">
        <v>1100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  <c r="N75" s="15" t="s">
        <v>3028</v>
      </c>
      <c r="O75" s="9" t="s">
        <v>3028</v>
      </c>
    </row>
    <row r="76" spans="1:15" x14ac:dyDescent="0.2">
      <c r="A76" s="10" t="s">
        <v>262</v>
      </c>
      <c r="B76" s="15">
        <v>0</v>
      </c>
      <c r="C76" s="15">
        <v>0</v>
      </c>
      <c r="D76" s="15">
        <v>0</v>
      </c>
      <c r="E76" s="15">
        <v>825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 t="s">
        <v>3028</v>
      </c>
      <c r="O76" s="9" t="s">
        <v>3028</v>
      </c>
    </row>
    <row r="77" spans="1:15" x14ac:dyDescent="0.2">
      <c r="A77" s="10" t="s">
        <v>264</v>
      </c>
      <c r="B77" s="15">
        <v>0</v>
      </c>
      <c r="C77" s="15">
        <v>0</v>
      </c>
      <c r="D77" s="15">
        <v>0</v>
      </c>
      <c r="E77" s="15">
        <v>825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 t="s">
        <v>3028</v>
      </c>
      <c r="O77" s="9" t="s">
        <v>3028</v>
      </c>
    </row>
    <row r="78" spans="1:15" x14ac:dyDescent="0.2">
      <c r="A78" s="10" t="s">
        <v>266</v>
      </c>
      <c r="B78" s="15">
        <v>0</v>
      </c>
      <c r="C78" s="15">
        <v>0</v>
      </c>
      <c r="D78" s="15">
        <v>0</v>
      </c>
      <c r="E78" s="15">
        <v>91.67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 t="s">
        <v>3028</v>
      </c>
      <c r="O78" s="9" t="s">
        <v>3028</v>
      </c>
    </row>
    <row r="79" spans="1:15" x14ac:dyDescent="0.2">
      <c r="A79" s="10" t="s">
        <v>268</v>
      </c>
      <c r="B79" s="15">
        <v>0</v>
      </c>
      <c r="C79" s="15">
        <v>0</v>
      </c>
      <c r="D79" s="15">
        <v>0</v>
      </c>
      <c r="E79" s="15">
        <v>495</v>
      </c>
      <c r="F79" s="15">
        <v>220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 t="s">
        <v>3028</v>
      </c>
      <c r="O79" s="9" t="s">
        <v>3028</v>
      </c>
    </row>
    <row r="80" spans="1:15" x14ac:dyDescent="0.2">
      <c r="A80" s="10" t="s">
        <v>270</v>
      </c>
      <c r="B80" s="15">
        <v>0</v>
      </c>
      <c r="C80" s="15">
        <v>0</v>
      </c>
      <c r="D80" s="15">
        <v>0</v>
      </c>
      <c r="E80" s="15">
        <v>495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 t="s">
        <v>3028</v>
      </c>
      <c r="O80" s="9" t="s">
        <v>3028</v>
      </c>
    </row>
    <row r="81" spans="1:15" x14ac:dyDescent="0.2">
      <c r="A81" s="10" t="s">
        <v>272</v>
      </c>
      <c r="B81" s="15">
        <v>0</v>
      </c>
      <c r="C81" s="15">
        <v>0</v>
      </c>
      <c r="D81" s="15">
        <v>0</v>
      </c>
      <c r="E81" s="15">
        <v>825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  <c r="N81" s="15" t="s">
        <v>3028</v>
      </c>
      <c r="O81" s="9" t="s">
        <v>3028</v>
      </c>
    </row>
    <row r="82" spans="1:15" x14ac:dyDescent="0.2">
      <c r="A82" s="10" t="s">
        <v>274</v>
      </c>
      <c r="B82" s="15">
        <v>0</v>
      </c>
      <c r="C82" s="15">
        <v>0</v>
      </c>
      <c r="D82" s="15">
        <v>0</v>
      </c>
      <c r="E82" s="15">
        <v>495</v>
      </c>
      <c r="F82" s="15">
        <v>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 t="s">
        <v>3028</v>
      </c>
      <c r="O82" s="9" t="s">
        <v>3028</v>
      </c>
    </row>
    <row r="83" spans="1:15" x14ac:dyDescent="0.2">
      <c r="A83" s="10" t="s">
        <v>278</v>
      </c>
      <c r="B83" s="15">
        <v>0</v>
      </c>
      <c r="C83" s="15">
        <v>0</v>
      </c>
      <c r="D83" s="15">
        <v>0</v>
      </c>
      <c r="E83" s="15">
        <v>825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  <c r="N83" s="15" t="s">
        <v>3028</v>
      </c>
      <c r="O83" s="9" t="s">
        <v>3028</v>
      </c>
    </row>
    <row r="84" spans="1:15" x14ac:dyDescent="0.2">
      <c r="A84" s="10" t="s">
        <v>280</v>
      </c>
      <c r="B84" s="15">
        <v>0</v>
      </c>
      <c r="C84" s="15">
        <v>0</v>
      </c>
      <c r="D84" s="15">
        <v>0</v>
      </c>
      <c r="E84" s="15">
        <v>495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 t="s">
        <v>3028</v>
      </c>
      <c r="O84" s="9" t="s">
        <v>3028</v>
      </c>
    </row>
    <row r="85" spans="1:15" x14ac:dyDescent="0.2">
      <c r="A85" s="10" t="s">
        <v>282</v>
      </c>
      <c r="B85" s="15">
        <v>0</v>
      </c>
      <c r="C85" s="15">
        <v>0</v>
      </c>
      <c r="D85" s="15">
        <v>0</v>
      </c>
      <c r="E85" s="15">
        <v>825</v>
      </c>
      <c r="F85" s="15">
        <v>0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 t="s">
        <v>3028</v>
      </c>
      <c r="O85" s="9" t="s">
        <v>3028</v>
      </c>
    </row>
    <row r="86" spans="1:15" x14ac:dyDescent="0.2">
      <c r="A86" s="10" t="s">
        <v>284</v>
      </c>
      <c r="B86" s="15">
        <v>0</v>
      </c>
      <c r="C86" s="15">
        <v>0</v>
      </c>
      <c r="D86" s="15">
        <v>0</v>
      </c>
      <c r="E86" s="15">
        <v>825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 t="s">
        <v>3028</v>
      </c>
      <c r="O86" s="9" t="s">
        <v>3028</v>
      </c>
    </row>
    <row r="87" spans="1:15" x14ac:dyDescent="0.2">
      <c r="A87" s="10" t="s">
        <v>286</v>
      </c>
      <c r="B87" s="15">
        <v>0</v>
      </c>
      <c r="C87" s="15">
        <v>0</v>
      </c>
      <c r="D87" s="15">
        <v>0</v>
      </c>
      <c r="E87" s="15">
        <v>825</v>
      </c>
      <c r="F87" s="15">
        <v>0</v>
      </c>
      <c r="G87" s="15">
        <v>0</v>
      </c>
      <c r="H87" s="15">
        <v>0</v>
      </c>
      <c r="I87" s="15">
        <v>0</v>
      </c>
      <c r="J87" s="15">
        <v>0</v>
      </c>
      <c r="K87" s="15">
        <v>0</v>
      </c>
      <c r="L87" s="15">
        <v>0</v>
      </c>
      <c r="M87" s="15">
        <v>0</v>
      </c>
      <c r="N87" s="15" t="s">
        <v>3028</v>
      </c>
      <c r="O87" s="9" t="s">
        <v>3028</v>
      </c>
    </row>
    <row r="88" spans="1:15" x14ac:dyDescent="0.2">
      <c r="A88" s="10" t="s">
        <v>288</v>
      </c>
      <c r="B88" s="15">
        <v>0</v>
      </c>
      <c r="C88" s="15">
        <v>0</v>
      </c>
      <c r="D88" s="15">
        <v>0</v>
      </c>
      <c r="E88" s="15">
        <v>825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 t="s">
        <v>3028</v>
      </c>
      <c r="O88" s="9" t="s">
        <v>3028</v>
      </c>
    </row>
    <row r="89" spans="1:15" x14ac:dyDescent="0.2">
      <c r="A89" s="10" t="s">
        <v>290</v>
      </c>
      <c r="B89" s="15">
        <v>0</v>
      </c>
      <c r="C89" s="15">
        <v>0</v>
      </c>
      <c r="D89" s="15">
        <v>0</v>
      </c>
      <c r="E89" s="15">
        <v>825</v>
      </c>
      <c r="F89" s="15">
        <v>0</v>
      </c>
      <c r="G89" s="15">
        <v>0</v>
      </c>
      <c r="H89" s="15">
        <v>550</v>
      </c>
      <c r="I89" s="15">
        <v>0</v>
      </c>
      <c r="J89" s="15">
        <v>0</v>
      </c>
      <c r="K89" s="15">
        <v>0</v>
      </c>
      <c r="L89" s="15">
        <v>0</v>
      </c>
      <c r="M89" s="15">
        <v>0</v>
      </c>
      <c r="N89" s="15" t="s">
        <v>3028</v>
      </c>
      <c r="O89" s="9" t="s">
        <v>3028</v>
      </c>
    </row>
    <row r="90" spans="1:15" x14ac:dyDescent="0.2">
      <c r="A90" s="10" t="s">
        <v>292</v>
      </c>
      <c r="B90" s="15">
        <v>0</v>
      </c>
      <c r="C90" s="15">
        <v>0</v>
      </c>
      <c r="D90" s="15">
        <v>0</v>
      </c>
      <c r="E90" s="15">
        <v>495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 t="s">
        <v>3028</v>
      </c>
      <c r="O90" s="9" t="s">
        <v>3028</v>
      </c>
    </row>
    <row r="91" spans="1:15" x14ac:dyDescent="0.2">
      <c r="A91" s="10" t="s">
        <v>294</v>
      </c>
      <c r="B91" s="15">
        <v>0</v>
      </c>
      <c r="C91" s="15">
        <v>0</v>
      </c>
      <c r="D91" s="15">
        <v>0</v>
      </c>
      <c r="E91" s="15">
        <v>825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0</v>
      </c>
      <c r="N91" s="15" t="s">
        <v>3028</v>
      </c>
      <c r="O91" s="9" t="s">
        <v>3028</v>
      </c>
    </row>
    <row r="92" spans="1:15" x14ac:dyDescent="0.2">
      <c r="A92" s="10" t="s">
        <v>296</v>
      </c>
      <c r="B92" s="15">
        <v>0</v>
      </c>
      <c r="C92" s="15">
        <v>0</v>
      </c>
      <c r="D92" s="15">
        <v>1008.33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 t="s">
        <v>3028</v>
      </c>
      <c r="O92" s="9" t="s">
        <v>3028</v>
      </c>
    </row>
    <row r="93" spans="1:15" x14ac:dyDescent="0.2">
      <c r="A93" s="10" t="s">
        <v>298</v>
      </c>
      <c r="B93" s="15">
        <v>0</v>
      </c>
      <c r="C93" s="15">
        <v>0</v>
      </c>
      <c r="D93" s="15">
        <v>0</v>
      </c>
      <c r="E93" s="15">
        <v>825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 t="s">
        <v>3028</v>
      </c>
      <c r="O93" s="9" t="s">
        <v>3028</v>
      </c>
    </row>
    <row r="94" spans="1:15" x14ac:dyDescent="0.2">
      <c r="A94" s="10" t="s">
        <v>300</v>
      </c>
      <c r="B94" s="15">
        <v>0</v>
      </c>
      <c r="C94" s="15">
        <v>0</v>
      </c>
      <c r="D94" s="15">
        <v>0</v>
      </c>
      <c r="E94" s="15">
        <v>825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 t="s">
        <v>3028</v>
      </c>
      <c r="O94" s="9" t="s">
        <v>3028</v>
      </c>
    </row>
    <row r="95" spans="1:15" x14ac:dyDescent="0.2">
      <c r="A95" s="10" t="s">
        <v>302</v>
      </c>
      <c r="B95" s="15">
        <v>0</v>
      </c>
      <c r="C95" s="15">
        <v>0</v>
      </c>
      <c r="D95" s="15">
        <v>0</v>
      </c>
      <c r="E95" s="15">
        <v>825</v>
      </c>
      <c r="F95" s="15">
        <v>0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  <c r="N95" s="15" t="s">
        <v>3028</v>
      </c>
      <c r="O95" s="9" t="s">
        <v>3028</v>
      </c>
    </row>
    <row r="96" spans="1:15" x14ac:dyDescent="0.2">
      <c r="A96" s="10" t="s">
        <v>304</v>
      </c>
      <c r="B96" s="15">
        <v>0</v>
      </c>
      <c r="C96" s="15">
        <v>0</v>
      </c>
      <c r="D96" s="15">
        <v>0</v>
      </c>
      <c r="E96" s="15">
        <v>458.33</v>
      </c>
      <c r="F96" s="15">
        <v>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 t="s">
        <v>3028</v>
      </c>
      <c r="O96" s="9" t="s">
        <v>3028</v>
      </c>
    </row>
    <row r="97" spans="1:15" x14ac:dyDescent="0.2">
      <c r="A97" s="10" t="s">
        <v>306</v>
      </c>
      <c r="B97" s="15">
        <v>0</v>
      </c>
      <c r="C97" s="15">
        <v>0</v>
      </c>
      <c r="D97" s="15">
        <v>0</v>
      </c>
      <c r="E97" s="15">
        <v>495</v>
      </c>
      <c r="F97" s="15">
        <v>0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 t="s">
        <v>3028</v>
      </c>
      <c r="O97" s="9" t="s">
        <v>3028</v>
      </c>
    </row>
    <row r="98" spans="1:15" x14ac:dyDescent="0.2">
      <c r="A98" s="10" t="s">
        <v>308</v>
      </c>
      <c r="B98" s="15">
        <v>0</v>
      </c>
      <c r="C98" s="15">
        <v>0</v>
      </c>
      <c r="D98" s="15">
        <v>0</v>
      </c>
      <c r="E98" s="15">
        <v>825</v>
      </c>
      <c r="F98" s="15">
        <v>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 t="s">
        <v>3028</v>
      </c>
      <c r="O98" s="9" t="s">
        <v>3028</v>
      </c>
    </row>
    <row r="99" spans="1:15" x14ac:dyDescent="0.2">
      <c r="A99" s="10" t="s">
        <v>312</v>
      </c>
      <c r="B99" s="15">
        <v>0</v>
      </c>
      <c r="C99" s="15">
        <v>0</v>
      </c>
      <c r="D99" s="15">
        <v>0</v>
      </c>
      <c r="E99" s="15">
        <v>825</v>
      </c>
      <c r="F99" s="15">
        <v>0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  <c r="N99" s="15" t="s">
        <v>3028</v>
      </c>
      <c r="O99" s="9" t="s">
        <v>3028</v>
      </c>
    </row>
    <row r="100" spans="1:15" x14ac:dyDescent="0.2">
      <c r="A100" s="10" t="s">
        <v>314</v>
      </c>
      <c r="B100" s="15">
        <v>0</v>
      </c>
      <c r="C100" s="15">
        <v>0</v>
      </c>
      <c r="D100" s="15">
        <v>0</v>
      </c>
      <c r="E100" s="15">
        <v>825</v>
      </c>
      <c r="F100" s="15">
        <v>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 t="s">
        <v>3028</v>
      </c>
      <c r="O100" s="9" t="s">
        <v>3028</v>
      </c>
    </row>
    <row r="101" spans="1:15" x14ac:dyDescent="0.2">
      <c r="A101" s="10" t="s">
        <v>316</v>
      </c>
      <c r="B101" s="15">
        <v>0</v>
      </c>
      <c r="C101" s="15">
        <v>0</v>
      </c>
      <c r="D101" s="15">
        <v>0</v>
      </c>
      <c r="E101" s="15">
        <v>825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 t="s">
        <v>3028</v>
      </c>
      <c r="O101" s="9" t="s">
        <v>3028</v>
      </c>
    </row>
    <row r="102" spans="1:15" x14ac:dyDescent="0.2">
      <c r="A102" s="10" t="s">
        <v>318</v>
      </c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0</v>
      </c>
      <c r="J102" s="15">
        <v>458.53</v>
      </c>
      <c r="K102" s="15">
        <v>0</v>
      </c>
      <c r="L102" s="15">
        <v>0</v>
      </c>
      <c r="M102" s="15">
        <v>0</v>
      </c>
      <c r="N102" s="15" t="s">
        <v>3028</v>
      </c>
      <c r="O102" s="9" t="s">
        <v>3028</v>
      </c>
    </row>
    <row r="103" spans="1:15" x14ac:dyDescent="0.2">
      <c r="A103" s="10" t="s">
        <v>320</v>
      </c>
      <c r="B103" s="15">
        <v>0</v>
      </c>
      <c r="C103" s="15">
        <v>0</v>
      </c>
      <c r="D103" s="15">
        <v>0</v>
      </c>
      <c r="E103" s="15">
        <v>825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825</v>
      </c>
      <c r="L103" s="15">
        <v>0</v>
      </c>
      <c r="M103" s="15">
        <v>0</v>
      </c>
      <c r="N103" s="15" t="s">
        <v>3028</v>
      </c>
      <c r="O103" s="9" t="s">
        <v>3028</v>
      </c>
    </row>
    <row r="104" spans="1:15" x14ac:dyDescent="0.2">
      <c r="A104" s="10" t="s">
        <v>322</v>
      </c>
      <c r="B104" s="15">
        <v>0</v>
      </c>
      <c r="C104" s="15">
        <v>0</v>
      </c>
      <c r="D104" s="15">
        <v>0</v>
      </c>
      <c r="E104" s="15">
        <v>825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 t="s">
        <v>3028</v>
      </c>
      <c r="O104" s="9" t="s">
        <v>3028</v>
      </c>
    </row>
    <row r="105" spans="1:15" x14ac:dyDescent="0.2">
      <c r="A105" s="10" t="s">
        <v>324</v>
      </c>
      <c r="B105" s="15">
        <v>0</v>
      </c>
      <c r="C105" s="15">
        <v>0</v>
      </c>
      <c r="D105" s="15">
        <v>0</v>
      </c>
      <c r="E105" s="15">
        <v>825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 t="s">
        <v>3028</v>
      </c>
      <c r="O105" s="9" t="s">
        <v>3028</v>
      </c>
    </row>
    <row r="106" spans="1:15" x14ac:dyDescent="0.2">
      <c r="A106" s="10" t="s">
        <v>326</v>
      </c>
      <c r="B106" s="15">
        <v>0</v>
      </c>
      <c r="C106" s="15">
        <v>0</v>
      </c>
      <c r="D106" s="15">
        <v>0</v>
      </c>
      <c r="E106" s="15">
        <v>825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 t="s">
        <v>3028</v>
      </c>
      <c r="O106" s="9" t="s">
        <v>3028</v>
      </c>
    </row>
    <row r="107" spans="1:15" x14ac:dyDescent="0.2">
      <c r="A107" s="10" t="s">
        <v>1615</v>
      </c>
      <c r="B107" s="15">
        <v>0</v>
      </c>
      <c r="C107" s="15">
        <v>0</v>
      </c>
      <c r="D107" s="15">
        <v>0</v>
      </c>
      <c r="E107" s="15">
        <v>825</v>
      </c>
      <c r="F107" s="15">
        <v>0</v>
      </c>
      <c r="G107" s="15">
        <v>0</v>
      </c>
      <c r="H107" s="15">
        <v>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 t="s">
        <v>3028</v>
      </c>
      <c r="O107" s="9" t="s">
        <v>3028</v>
      </c>
    </row>
    <row r="108" spans="1:15" x14ac:dyDescent="0.2">
      <c r="A108" s="10" t="s">
        <v>330</v>
      </c>
      <c r="B108" s="15">
        <v>0</v>
      </c>
      <c r="C108" s="15">
        <v>0</v>
      </c>
      <c r="D108" s="15">
        <v>0</v>
      </c>
      <c r="E108" s="15">
        <v>825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 t="s">
        <v>3028</v>
      </c>
      <c r="O108" s="9" t="s">
        <v>3028</v>
      </c>
    </row>
    <row r="109" spans="1:15" x14ac:dyDescent="0.2">
      <c r="A109" s="10" t="s">
        <v>332</v>
      </c>
      <c r="B109" s="15">
        <v>0</v>
      </c>
      <c r="C109" s="15">
        <v>0</v>
      </c>
      <c r="D109" s="15">
        <v>0</v>
      </c>
      <c r="E109" s="15">
        <v>825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 t="s">
        <v>3028</v>
      </c>
      <c r="O109" s="9" t="s">
        <v>3028</v>
      </c>
    </row>
    <row r="110" spans="1:15" x14ac:dyDescent="0.2">
      <c r="A110" s="10" t="s">
        <v>334</v>
      </c>
      <c r="B110" s="15">
        <v>0</v>
      </c>
      <c r="C110" s="15">
        <v>0</v>
      </c>
      <c r="D110" s="15">
        <v>1008.33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 t="s">
        <v>3028</v>
      </c>
      <c r="O110" s="9" t="s">
        <v>3028</v>
      </c>
    </row>
    <row r="111" spans="1:15" x14ac:dyDescent="0.2">
      <c r="A111" s="10" t="s">
        <v>338</v>
      </c>
      <c r="B111" s="15">
        <v>0</v>
      </c>
      <c r="C111" s="15">
        <v>0</v>
      </c>
      <c r="D111" s="15">
        <v>0</v>
      </c>
      <c r="E111" s="15">
        <v>825</v>
      </c>
      <c r="F111" s="15">
        <v>0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  <c r="N111" s="15" t="s">
        <v>3028</v>
      </c>
      <c r="O111" s="9" t="s">
        <v>3028</v>
      </c>
    </row>
    <row r="112" spans="1:15" x14ac:dyDescent="0.2">
      <c r="A112" s="10" t="s">
        <v>340</v>
      </c>
      <c r="B112" s="15">
        <v>0</v>
      </c>
      <c r="C112" s="15">
        <v>0</v>
      </c>
      <c r="D112" s="15">
        <v>0</v>
      </c>
      <c r="E112" s="15">
        <v>550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 t="s">
        <v>3028</v>
      </c>
      <c r="O112" s="9" t="s">
        <v>3028</v>
      </c>
    </row>
    <row r="113" spans="1:15" x14ac:dyDescent="0.2">
      <c r="A113" s="10" t="s">
        <v>342</v>
      </c>
      <c r="B113" s="15">
        <v>0</v>
      </c>
      <c r="C113" s="15">
        <v>0</v>
      </c>
      <c r="D113" s="15">
        <v>0</v>
      </c>
      <c r="E113" s="15">
        <v>825</v>
      </c>
      <c r="F113" s="15">
        <v>0</v>
      </c>
      <c r="G113" s="15">
        <v>0</v>
      </c>
      <c r="H113" s="15">
        <v>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 t="s">
        <v>3028</v>
      </c>
      <c r="O113" s="9" t="s">
        <v>3028</v>
      </c>
    </row>
    <row r="114" spans="1:15" x14ac:dyDescent="0.2">
      <c r="A114" s="10" t="s">
        <v>344</v>
      </c>
      <c r="B114" s="15">
        <v>0</v>
      </c>
      <c r="C114" s="15">
        <v>0</v>
      </c>
      <c r="D114" s="15">
        <v>0</v>
      </c>
      <c r="E114" s="15">
        <v>825</v>
      </c>
      <c r="F114" s="15">
        <v>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 t="s">
        <v>3028</v>
      </c>
      <c r="O114" s="9" t="s">
        <v>3028</v>
      </c>
    </row>
    <row r="115" spans="1:15" x14ac:dyDescent="0.2">
      <c r="A115" s="10" t="s">
        <v>346</v>
      </c>
      <c r="B115" s="15">
        <v>0</v>
      </c>
      <c r="C115" s="15">
        <v>0</v>
      </c>
      <c r="D115" s="15">
        <v>0</v>
      </c>
      <c r="E115" s="15">
        <v>825</v>
      </c>
      <c r="F115" s="15">
        <v>0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 t="s">
        <v>3028</v>
      </c>
      <c r="O115" s="9" t="s">
        <v>3028</v>
      </c>
    </row>
    <row r="116" spans="1:15" x14ac:dyDescent="0.2">
      <c r="A116" s="10" t="s">
        <v>348</v>
      </c>
      <c r="B116" s="15">
        <v>0</v>
      </c>
      <c r="C116" s="15">
        <v>0</v>
      </c>
      <c r="D116" s="15">
        <v>0</v>
      </c>
      <c r="E116" s="15">
        <v>825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 t="s">
        <v>3028</v>
      </c>
      <c r="O116" s="9" t="s">
        <v>3028</v>
      </c>
    </row>
    <row r="117" spans="1:15" x14ac:dyDescent="0.2">
      <c r="A117" s="10" t="s">
        <v>350</v>
      </c>
      <c r="B117" s="15">
        <v>0</v>
      </c>
      <c r="C117" s="15">
        <v>0</v>
      </c>
      <c r="D117" s="15">
        <v>0</v>
      </c>
      <c r="E117" s="15">
        <v>825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 t="s">
        <v>3028</v>
      </c>
      <c r="O117" s="9" t="s">
        <v>3028</v>
      </c>
    </row>
    <row r="118" spans="1:15" x14ac:dyDescent="0.2">
      <c r="A118" s="10" t="s">
        <v>352</v>
      </c>
      <c r="B118" s="15">
        <v>0</v>
      </c>
      <c r="C118" s="15">
        <v>0</v>
      </c>
      <c r="D118" s="15">
        <v>0</v>
      </c>
      <c r="E118" s="15">
        <v>733.33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 t="s">
        <v>3028</v>
      </c>
      <c r="O118" s="9" t="s">
        <v>3028</v>
      </c>
    </row>
    <row r="119" spans="1:15" x14ac:dyDescent="0.2">
      <c r="A119" s="10" t="s">
        <v>354</v>
      </c>
      <c r="B119" s="15">
        <v>0</v>
      </c>
      <c r="C119" s="15">
        <v>0</v>
      </c>
      <c r="D119" s="15">
        <v>0</v>
      </c>
      <c r="E119" s="15">
        <v>495</v>
      </c>
      <c r="F119" s="15">
        <v>0</v>
      </c>
      <c r="G119" s="15">
        <v>0</v>
      </c>
      <c r="H119" s="15">
        <v>330</v>
      </c>
      <c r="I119" s="15">
        <v>0</v>
      </c>
      <c r="J119" s="15">
        <v>0</v>
      </c>
      <c r="K119" s="15">
        <v>0</v>
      </c>
      <c r="L119" s="15">
        <v>0</v>
      </c>
      <c r="M119" s="15">
        <v>0</v>
      </c>
      <c r="N119" s="15" t="s">
        <v>3028</v>
      </c>
      <c r="O119" s="9" t="s">
        <v>3028</v>
      </c>
    </row>
    <row r="120" spans="1:15" x14ac:dyDescent="0.2">
      <c r="A120" s="10" t="s">
        <v>356</v>
      </c>
      <c r="B120" s="15">
        <v>0</v>
      </c>
      <c r="C120" s="15">
        <v>0</v>
      </c>
      <c r="D120" s="15">
        <v>0</v>
      </c>
      <c r="E120" s="15">
        <v>825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 t="s">
        <v>3028</v>
      </c>
      <c r="O120" s="9" t="s">
        <v>3028</v>
      </c>
    </row>
    <row r="121" spans="1:15" x14ac:dyDescent="0.2">
      <c r="A121" s="10" t="s">
        <v>358</v>
      </c>
      <c r="B121" s="15">
        <v>0</v>
      </c>
      <c r="C121" s="15">
        <v>0</v>
      </c>
      <c r="D121" s="15">
        <v>0</v>
      </c>
      <c r="E121" s="15">
        <v>495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  <c r="N121" s="15" t="s">
        <v>3028</v>
      </c>
      <c r="O121" s="9" t="s">
        <v>3028</v>
      </c>
    </row>
    <row r="122" spans="1:15" x14ac:dyDescent="0.2">
      <c r="A122" s="10" t="s">
        <v>360</v>
      </c>
      <c r="B122" s="15">
        <v>0</v>
      </c>
      <c r="C122" s="15">
        <v>0</v>
      </c>
      <c r="D122" s="15">
        <v>0</v>
      </c>
      <c r="E122" s="15">
        <v>495</v>
      </c>
      <c r="F122" s="15">
        <v>0</v>
      </c>
      <c r="G122" s="15">
        <v>0</v>
      </c>
      <c r="H122" s="15">
        <v>330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 t="s">
        <v>3028</v>
      </c>
      <c r="O122" s="9" t="s">
        <v>3028</v>
      </c>
    </row>
    <row r="123" spans="1:15" x14ac:dyDescent="0.2">
      <c r="A123" s="10" t="s">
        <v>362</v>
      </c>
      <c r="B123" s="15">
        <v>0</v>
      </c>
      <c r="C123" s="15">
        <v>0</v>
      </c>
      <c r="D123" s="15">
        <v>0</v>
      </c>
      <c r="E123" s="15">
        <v>220</v>
      </c>
      <c r="F123" s="15">
        <v>0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 t="s">
        <v>3028</v>
      </c>
      <c r="O123" s="9" t="s">
        <v>3028</v>
      </c>
    </row>
    <row r="124" spans="1:15" x14ac:dyDescent="0.2">
      <c r="A124" s="10" t="s">
        <v>364</v>
      </c>
      <c r="B124" s="15">
        <v>0</v>
      </c>
      <c r="C124" s="15">
        <v>0</v>
      </c>
      <c r="D124" s="15">
        <v>0</v>
      </c>
      <c r="E124" s="15">
        <v>825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 t="s">
        <v>3028</v>
      </c>
      <c r="O124" s="9" t="s">
        <v>3028</v>
      </c>
    </row>
    <row r="125" spans="1:15" x14ac:dyDescent="0.2">
      <c r="A125" s="10" t="s">
        <v>368</v>
      </c>
      <c r="B125" s="15">
        <v>0</v>
      </c>
      <c r="C125" s="15">
        <v>0</v>
      </c>
      <c r="D125" s="15">
        <v>0</v>
      </c>
      <c r="E125" s="15">
        <v>825</v>
      </c>
      <c r="F125" s="15">
        <v>0</v>
      </c>
      <c r="G125" s="15">
        <v>0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  <c r="N125" s="15" t="s">
        <v>3028</v>
      </c>
      <c r="O125" s="9" t="s">
        <v>3028</v>
      </c>
    </row>
    <row r="126" spans="1:15" x14ac:dyDescent="0.2">
      <c r="A126" s="10" t="s">
        <v>370</v>
      </c>
      <c r="B126" s="15">
        <v>0</v>
      </c>
      <c r="C126" s="15">
        <v>0</v>
      </c>
      <c r="D126" s="15">
        <v>0</v>
      </c>
      <c r="E126" s="15">
        <v>825</v>
      </c>
      <c r="F126" s="15">
        <v>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 t="s">
        <v>3028</v>
      </c>
      <c r="O126" s="9" t="s">
        <v>3028</v>
      </c>
    </row>
    <row r="127" spans="1:15" x14ac:dyDescent="0.2">
      <c r="A127" s="10" t="s">
        <v>374</v>
      </c>
      <c r="B127" s="15">
        <v>0</v>
      </c>
      <c r="C127" s="15">
        <v>0</v>
      </c>
      <c r="D127" s="15">
        <v>0</v>
      </c>
      <c r="E127" s="15">
        <v>825</v>
      </c>
      <c r="F127" s="15">
        <v>0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 t="s">
        <v>3028</v>
      </c>
      <c r="O127" s="9" t="s">
        <v>3028</v>
      </c>
    </row>
    <row r="128" spans="1:15" x14ac:dyDescent="0.2">
      <c r="A128" s="10" t="s">
        <v>376</v>
      </c>
      <c r="B128" s="15">
        <v>0</v>
      </c>
      <c r="C128" s="15">
        <v>0</v>
      </c>
      <c r="D128" s="15">
        <v>1008.33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 t="s">
        <v>3028</v>
      </c>
      <c r="O128" s="9" t="s">
        <v>3028</v>
      </c>
    </row>
    <row r="129" spans="1:15" x14ac:dyDescent="0.2">
      <c r="A129" s="10" t="s">
        <v>378</v>
      </c>
      <c r="B129" s="15">
        <v>0</v>
      </c>
      <c r="C129" s="15">
        <v>0</v>
      </c>
      <c r="D129" s="15">
        <v>0</v>
      </c>
      <c r="E129" s="15">
        <v>495</v>
      </c>
      <c r="F129" s="15">
        <v>0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  <c r="N129" s="15" t="s">
        <v>3028</v>
      </c>
      <c r="O129" s="9" t="s">
        <v>3028</v>
      </c>
    </row>
    <row r="130" spans="1:15" x14ac:dyDescent="0.2">
      <c r="A130" s="10" t="s">
        <v>380</v>
      </c>
      <c r="B130" s="15">
        <v>0</v>
      </c>
      <c r="C130" s="15">
        <v>0</v>
      </c>
      <c r="D130" s="15">
        <v>0</v>
      </c>
      <c r="E130" s="15">
        <v>825</v>
      </c>
      <c r="F130" s="15">
        <v>0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 t="s">
        <v>3028</v>
      </c>
      <c r="O130" s="9" t="s">
        <v>3028</v>
      </c>
    </row>
    <row r="131" spans="1:15" x14ac:dyDescent="0.2">
      <c r="A131" s="10" t="s">
        <v>382</v>
      </c>
      <c r="B131" s="15">
        <v>0</v>
      </c>
      <c r="C131" s="15">
        <v>0</v>
      </c>
      <c r="D131" s="15">
        <v>0</v>
      </c>
      <c r="E131" s="15">
        <v>825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0</v>
      </c>
      <c r="M131" s="15">
        <v>0</v>
      </c>
      <c r="N131" s="15" t="s">
        <v>3028</v>
      </c>
      <c r="O131" s="9" t="s">
        <v>3028</v>
      </c>
    </row>
    <row r="132" spans="1:15" x14ac:dyDescent="0.2">
      <c r="A132" s="10" t="s">
        <v>384</v>
      </c>
      <c r="B132" s="15">
        <v>0</v>
      </c>
      <c r="C132" s="15">
        <v>0</v>
      </c>
      <c r="D132" s="15">
        <v>0</v>
      </c>
      <c r="E132" s="15">
        <v>825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 t="s">
        <v>3028</v>
      </c>
      <c r="O132" s="9" t="s">
        <v>3028</v>
      </c>
    </row>
    <row r="133" spans="1:15" x14ac:dyDescent="0.2">
      <c r="A133" s="10" t="s">
        <v>386</v>
      </c>
      <c r="B133" s="15">
        <v>495</v>
      </c>
      <c r="C133" s="15">
        <v>0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0</v>
      </c>
      <c r="K133" s="15">
        <v>0</v>
      </c>
      <c r="L133" s="15">
        <v>0</v>
      </c>
      <c r="M133" s="15">
        <v>0</v>
      </c>
      <c r="N133" s="15" t="s">
        <v>3028</v>
      </c>
      <c r="O133" s="9" t="s">
        <v>3028</v>
      </c>
    </row>
    <row r="134" spans="1:15" x14ac:dyDescent="0.2">
      <c r="A134" s="10" t="s">
        <v>388</v>
      </c>
      <c r="B134" s="15">
        <v>0</v>
      </c>
      <c r="C134" s="15">
        <v>0</v>
      </c>
      <c r="D134" s="15">
        <v>0</v>
      </c>
      <c r="E134" s="15">
        <v>825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 t="s">
        <v>3028</v>
      </c>
      <c r="O134" s="9" t="s">
        <v>3028</v>
      </c>
    </row>
    <row r="135" spans="1:15" x14ac:dyDescent="0.2">
      <c r="A135" s="10" t="s">
        <v>390</v>
      </c>
      <c r="B135" s="15">
        <v>0</v>
      </c>
      <c r="C135" s="15">
        <v>0</v>
      </c>
      <c r="D135" s="15">
        <v>0</v>
      </c>
      <c r="E135" s="15">
        <v>825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0</v>
      </c>
      <c r="N135" s="15" t="s">
        <v>3028</v>
      </c>
      <c r="O135" s="9" t="s">
        <v>3028</v>
      </c>
    </row>
    <row r="136" spans="1:15" x14ac:dyDescent="0.2">
      <c r="A136" s="10" t="s">
        <v>392</v>
      </c>
      <c r="B136" s="15">
        <v>0</v>
      </c>
      <c r="C136" s="15">
        <v>0</v>
      </c>
      <c r="D136" s="15">
        <v>0</v>
      </c>
      <c r="E136" s="15">
        <v>825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 t="s">
        <v>3028</v>
      </c>
      <c r="O136" s="9" t="s">
        <v>3028</v>
      </c>
    </row>
    <row r="137" spans="1:15" x14ac:dyDescent="0.2">
      <c r="A137" s="10" t="s">
        <v>394</v>
      </c>
      <c r="B137" s="15">
        <v>0</v>
      </c>
      <c r="C137" s="15">
        <v>0</v>
      </c>
      <c r="D137" s="15">
        <v>0</v>
      </c>
      <c r="E137" s="15">
        <v>825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  <c r="N137" s="15" t="s">
        <v>3028</v>
      </c>
      <c r="O137" s="9" t="s">
        <v>3028</v>
      </c>
    </row>
    <row r="138" spans="1:15" x14ac:dyDescent="0.2">
      <c r="A138" s="10" t="s">
        <v>396</v>
      </c>
      <c r="B138" s="15">
        <v>0</v>
      </c>
      <c r="C138" s="15">
        <v>0</v>
      </c>
      <c r="D138" s="15">
        <v>0</v>
      </c>
      <c r="E138" s="15">
        <v>825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 t="s">
        <v>3028</v>
      </c>
      <c r="O138" s="9" t="s">
        <v>3028</v>
      </c>
    </row>
    <row r="139" spans="1:15" x14ac:dyDescent="0.2">
      <c r="A139" s="10" t="s">
        <v>398</v>
      </c>
      <c r="B139" s="15">
        <v>0</v>
      </c>
      <c r="C139" s="15">
        <v>0</v>
      </c>
      <c r="D139" s="15">
        <v>0</v>
      </c>
      <c r="E139" s="15">
        <v>825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5" t="s">
        <v>3028</v>
      </c>
      <c r="O139" s="9" t="s">
        <v>3028</v>
      </c>
    </row>
    <row r="140" spans="1:15" x14ac:dyDescent="0.2">
      <c r="A140" s="10" t="s">
        <v>400</v>
      </c>
      <c r="B140" s="15">
        <v>0</v>
      </c>
      <c r="C140" s="15">
        <v>0</v>
      </c>
      <c r="D140" s="15">
        <v>0</v>
      </c>
      <c r="E140" s="15">
        <v>825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 t="s">
        <v>3028</v>
      </c>
      <c r="O140" s="9" t="s">
        <v>3028</v>
      </c>
    </row>
    <row r="141" spans="1:15" x14ac:dyDescent="0.2">
      <c r="A141" s="10" t="s">
        <v>402</v>
      </c>
      <c r="B141" s="15">
        <v>0</v>
      </c>
      <c r="C141" s="15">
        <v>550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0</v>
      </c>
      <c r="M141" s="15">
        <v>0</v>
      </c>
      <c r="N141" s="15" t="s">
        <v>3028</v>
      </c>
      <c r="O141" s="9" t="s">
        <v>3028</v>
      </c>
    </row>
    <row r="142" spans="1:15" x14ac:dyDescent="0.2">
      <c r="A142" s="10" t="s">
        <v>404</v>
      </c>
      <c r="B142" s="15">
        <v>0</v>
      </c>
      <c r="C142" s="15">
        <v>0</v>
      </c>
      <c r="D142" s="15">
        <v>0</v>
      </c>
      <c r="E142" s="15">
        <v>825</v>
      </c>
      <c r="F142" s="15">
        <v>0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 t="s">
        <v>3028</v>
      </c>
      <c r="O142" s="9" t="s">
        <v>3028</v>
      </c>
    </row>
    <row r="143" spans="1:15" x14ac:dyDescent="0.2">
      <c r="A143" s="10" t="s">
        <v>406</v>
      </c>
      <c r="B143" s="15">
        <v>0</v>
      </c>
      <c r="C143" s="15">
        <v>0</v>
      </c>
      <c r="D143" s="15">
        <v>0</v>
      </c>
      <c r="E143" s="15">
        <v>825</v>
      </c>
      <c r="F143" s="15">
        <v>0</v>
      </c>
      <c r="G143" s="15">
        <v>0</v>
      </c>
      <c r="H143" s="15">
        <v>0</v>
      </c>
      <c r="I143" s="15">
        <v>0</v>
      </c>
      <c r="J143" s="15">
        <v>0</v>
      </c>
      <c r="K143" s="15">
        <v>0</v>
      </c>
      <c r="L143" s="15">
        <v>0</v>
      </c>
      <c r="M143" s="15">
        <v>0</v>
      </c>
      <c r="N143" s="15" t="s">
        <v>3028</v>
      </c>
      <c r="O143" s="9" t="s">
        <v>3028</v>
      </c>
    </row>
    <row r="144" spans="1:15" x14ac:dyDescent="0.2">
      <c r="A144" s="10" t="s">
        <v>408</v>
      </c>
      <c r="B144" s="15">
        <v>0</v>
      </c>
      <c r="C144" s="15">
        <v>0</v>
      </c>
      <c r="D144" s="15">
        <v>0</v>
      </c>
      <c r="E144" s="15">
        <v>825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 t="s">
        <v>3028</v>
      </c>
      <c r="O144" s="9" t="s">
        <v>3028</v>
      </c>
    </row>
    <row r="145" spans="1:15" x14ac:dyDescent="0.2">
      <c r="A145" s="10" t="s">
        <v>410</v>
      </c>
      <c r="B145" s="15">
        <v>0</v>
      </c>
      <c r="C145" s="15">
        <v>0</v>
      </c>
      <c r="D145" s="15">
        <v>0</v>
      </c>
      <c r="E145" s="15">
        <v>825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5" t="s">
        <v>3028</v>
      </c>
      <c r="O145" s="9" t="s">
        <v>3028</v>
      </c>
    </row>
    <row r="146" spans="1:15" x14ac:dyDescent="0.2">
      <c r="A146" s="10" t="s">
        <v>412</v>
      </c>
      <c r="B146" s="15">
        <v>0</v>
      </c>
      <c r="C146" s="15">
        <v>0</v>
      </c>
      <c r="D146" s="15">
        <v>0</v>
      </c>
      <c r="E146" s="15">
        <v>825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 t="s">
        <v>3028</v>
      </c>
      <c r="O146" s="9" t="s">
        <v>3028</v>
      </c>
    </row>
    <row r="147" spans="1:15" x14ac:dyDescent="0.2">
      <c r="A147" s="10" t="s">
        <v>414</v>
      </c>
      <c r="B147" s="15">
        <v>0</v>
      </c>
      <c r="C147" s="15">
        <v>0</v>
      </c>
      <c r="D147" s="15">
        <v>0</v>
      </c>
      <c r="E147" s="15">
        <v>825</v>
      </c>
      <c r="F147" s="15">
        <v>0</v>
      </c>
      <c r="G147" s="15">
        <v>0</v>
      </c>
      <c r="H147" s="15">
        <v>0</v>
      </c>
      <c r="I147" s="15">
        <v>0</v>
      </c>
      <c r="J147" s="15">
        <v>0</v>
      </c>
      <c r="K147" s="15">
        <v>0</v>
      </c>
      <c r="L147" s="15">
        <v>0</v>
      </c>
      <c r="M147" s="15">
        <v>0</v>
      </c>
      <c r="N147" s="15" t="s">
        <v>3028</v>
      </c>
      <c r="O147" s="9" t="s">
        <v>3028</v>
      </c>
    </row>
    <row r="148" spans="1:15" x14ac:dyDescent="0.2">
      <c r="A148" s="10" t="s">
        <v>416</v>
      </c>
      <c r="B148" s="15">
        <v>0</v>
      </c>
      <c r="C148" s="15">
        <v>0</v>
      </c>
      <c r="D148" s="15">
        <v>0</v>
      </c>
      <c r="E148" s="15">
        <v>825</v>
      </c>
      <c r="F148" s="15">
        <v>0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 t="s">
        <v>3028</v>
      </c>
      <c r="O148" s="9" t="s">
        <v>3028</v>
      </c>
    </row>
    <row r="149" spans="1:15" x14ac:dyDescent="0.2">
      <c r="A149" s="10" t="s">
        <v>418</v>
      </c>
      <c r="B149" s="15">
        <v>0</v>
      </c>
      <c r="C149" s="15">
        <v>0</v>
      </c>
      <c r="D149" s="15">
        <v>0</v>
      </c>
      <c r="E149" s="15">
        <v>275</v>
      </c>
      <c r="F149" s="15">
        <v>0</v>
      </c>
      <c r="G149" s="15">
        <v>0</v>
      </c>
      <c r="H149" s="15">
        <v>0</v>
      </c>
      <c r="I149" s="15">
        <v>0</v>
      </c>
      <c r="J149" s="15">
        <v>0</v>
      </c>
      <c r="K149" s="15">
        <v>0</v>
      </c>
      <c r="L149" s="15">
        <v>0</v>
      </c>
      <c r="M149" s="15">
        <v>0</v>
      </c>
      <c r="N149" s="15" t="s">
        <v>3028</v>
      </c>
      <c r="O149" s="9" t="s">
        <v>3028</v>
      </c>
    </row>
    <row r="150" spans="1:15" x14ac:dyDescent="0.2">
      <c r="A150" s="10" t="s">
        <v>420</v>
      </c>
      <c r="B150" s="15">
        <v>0</v>
      </c>
      <c r="C150" s="15">
        <v>0</v>
      </c>
      <c r="D150" s="15">
        <v>0</v>
      </c>
      <c r="E150" s="15">
        <v>110</v>
      </c>
      <c r="F150" s="15">
        <v>0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 t="s">
        <v>3028</v>
      </c>
      <c r="O150" s="9" t="s">
        <v>3028</v>
      </c>
    </row>
    <row r="151" spans="1:15" x14ac:dyDescent="0.2">
      <c r="A151" s="10" t="s">
        <v>422</v>
      </c>
      <c r="B151" s="15">
        <v>0</v>
      </c>
      <c r="C151" s="15">
        <v>0</v>
      </c>
      <c r="D151" s="15">
        <v>0</v>
      </c>
      <c r="E151" s="15">
        <v>825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 t="s">
        <v>3028</v>
      </c>
      <c r="O151" s="9" t="s">
        <v>3028</v>
      </c>
    </row>
    <row r="152" spans="1:15" x14ac:dyDescent="0.2">
      <c r="A152" s="10" t="s">
        <v>424</v>
      </c>
      <c r="B152" s="15">
        <v>0</v>
      </c>
      <c r="C152" s="15">
        <v>0</v>
      </c>
      <c r="D152" s="15">
        <v>0</v>
      </c>
      <c r="E152" s="15">
        <v>495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 t="s">
        <v>3028</v>
      </c>
      <c r="O152" s="9" t="s">
        <v>3028</v>
      </c>
    </row>
    <row r="153" spans="1:15" x14ac:dyDescent="0.2">
      <c r="A153" s="10" t="s">
        <v>426</v>
      </c>
      <c r="B153" s="15">
        <v>0</v>
      </c>
      <c r="C153" s="15">
        <v>0</v>
      </c>
      <c r="D153" s="15">
        <v>0</v>
      </c>
      <c r="E153" s="15">
        <v>825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  <c r="N153" s="15" t="s">
        <v>3028</v>
      </c>
      <c r="O153" s="9" t="s">
        <v>3028</v>
      </c>
    </row>
    <row r="154" spans="1:15" x14ac:dyDescent="0.2">
      <c r="A154" s="10" t="s">
        <v>430</v>
      </c>
      <c r="B154" s="15">
        <v>0</v>
      </c>
      <c r="C154" s="15">
        <v>0</v>
      </c>
      <c r="D154" s="15">
        <v>0</v>
      </c>
      <c r="E154" s="15">
        <v>825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 t="s">
        <v>3028</v>
      </c>
      <c r="O154" s="9" t="s">
        <v>3028</v>
      </c>
    </row>
    <row r="155" spans="1:15" x14ac:dyDescent="0.2">
      <c r="A155" s="10" t="s">
        <v>432</v>
      </c>
      <c r="B155" s="15">
        <v>0</v>
      </c>
      <c r="C155" s="15">
        <v>0</v>
      </c>
      <c r="D155" s="15">
        <v>0</v>
      </c>
      <c r="E155" s="15">
        <v>825</v>
      </c>
      <c r="F155" s="15">
        <v>0</v>
      </c>
      <c r="G155" s="15">
        <v>0</v>
      </c>
      <c r="H155" s="15">
        <v>0</v>
      </c>
      <c r="I155" s="15">
        <v>0</v>
      </c>
      <c r="J155" s="15">
        <v>0</v>
      </c>
      <c r="K155" s="15">
        <v>0</v>
      </c>
      <c r="L155" s="15">
        <v>0</v>
      </c>
      <c r="M155" s="15">
        <v>0</v>
      </c>
      <c r="N155" s="15" t="s">
        <v>3028</v>
      </c>
      <c r="O155" s="9" t="s">
        <v>3028</v>
      </c>
    </row>
    <row r="156" spans="1:15" x14ac:dyDescent="0.2">
      <c r="A156" s="10" t="s">
        <v>436</v>
      </c>
      <c r="B156" s="15">
        <v>0</v>
      </c>
      <c r="C156" s="15">
        <v>0</v>
      </c>
      <c r="D156" s="15">
        <v>0</v>
      </c>
      <c r="E156" s="15">
        <v>825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 t="s">
        <v>3028</v>
      </c>
      <c r="O156" s="9" t="s">
        <v>3028</v>
      </c>
    </row>
    <row r="157" spans="1:15" x14ac:dyDescent="0.2">
      <c r="A157" s="10" t="s">
        <v>438</v>
      </c>
      <c r="B157" s="15">
        <v>0</v>
      </c>
      <c r="C157" s="15">
        <v>0</v>
      </c>
      <c r="D157" s="15">
        <v>0</v>
      </c>
      <c r="E157" s="15">
        <v>825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  <c r="N157" s="15" t="s">
        <v>3028</v>
      </c>
      <c r="O157" s="9" t="s">
        <v>3028</v>
      </c>
    </row>
    <row r="158" spans="1:15" x14ac:dyDescent="0.2">
      <c r="A158" s="10" t="s">
        <v>440</v>
      </c>
      <c r="B158" s="15">
        <v>0</v>
      </c>
      <c r="C158" s="15">
        <v>0</v>
      </c>
      <c r="D158" s="15">
        <v>0</v>
      </c>
      <c r="E158" s="15">
        <v>825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 t="s">
        <v>3028</v>
      </c>
      <c r="O158" s="9" t="s">
        <v>3028</v>
      </c>
    </row>
    <row r="159" spans="1:15" x14ac:dyDescent="0.2">
      <c r="A159" s="10" t="s">
        <v>442</v>
      </c>
      <c r="B159" s="15">
        <v>0</v>
      </c>
      <c r="C159" s="15">
        <v>0</v>
      </c>
      <c r="D159" s="15">
        <v>0</v>
      </c>
      <c r="E159" s="15">
        <v>825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 t="s">
        <v>3028</v>
      </c>
      <c r="O159" s="9" t="s">
        <v>3028</v>
      </c>
    </row>
    <row r="160" spans="1:15" x14ac:dyDescent="0.2">
      <c r="A160" s="10" t="s">
        <v>444</v>
      </c>
      <c r="B160" s="15">
        <v>0</v>
      </c>
      <c r="C160" s="15">
        <v>0</v>
      </c>
      <c r="D160" s="15">
        <v>0</v>
      </c>
      <c r="E160" s="15">
        <v>825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 t="s">
        <v>3028</v>
      </c>
      <c r="O160" s="9" t="s">
        <v>3028</v>
      </c>
    </row>
    <row r="161" spans="1:15" x14ac:dyDescent="0.2">
      <c r="A161" s="10" t="s">
        <v>450</v>
      </c>
      <c r="B161" s="15">
        <v>0</v>
      </c>
      <c r="C161" s="15">
        <v>0</v>
      </c>
      <c r="D161" s="15">
        <v>0</v>
      </c>
      <c r="E161" s="15">
        <v>825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 t="s">
        <v>3028</v>
      </c>
      <c r="O161" s="9" t="s">
        <v>3028</v>
      </c>
    </row>
    <row r="162" spans="1:15" x14ac:dyDescent="0.2">
      <c r="A162" s="10" t="s">
        <v>454</v>
      </c>
      <c r="B162" s="15">
        <v>0</v>
      </c>
      <c r="C162" s="15">
        <v>0</v>
      </c>
      <c r="D162" s="15">
        <v>0</v>
      </c>
      <c r="E162" s="15">
        <v>825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 t="s">
        <v>3028</v>
      </c>
      <c r="O162" s="9" t="s">
        <v>3028</v>
      </c>
    </row>
    <row r="163" spans="1:15" x14ac:dyDescent="0.2">
      <c r="A163" s="10" t="s">
        <v>456</v>
      </c>
      <c r="B163" s="15">
        <v>0</v>
      </c>
      <c r="C163" s="15">
        <v>0</v>
      </c>
      <c r="D163" s="15">
        <v>0</v>
      </c>
      <c r="E163" s="15">
        <v>825</v>
      </c>
      <c r="F163" s="15">
        <v>0</v>
      </c>
      <c r="G163" s="15">
        <v>0</v>
      </c>
      <c r="H163" s="15">
        <v>0</v>
      </c>
      <c r="I163" s="15">
        <v>0</v>
      </c>
      <c r="J163" s="15">
        <v>0</v>
      </c>
      <c r="K163" s="15">
        <v>0</v>
      </c>
      <c r="L163" s="15">
        <v>0</v>
      </c>
      <c r="M163" s="15">
        <v>0</v>
      </c>
      <c r="N163" s="15" t="s">
        <v>3028</v>
      </c>
      <c r="O163" s="9" t="s">
        <v>3028</v>
      </c>
    </row>
    <row r="164" spans="1:15" x14ac:dyDescent="0.2">
      <c r="A164" s="10" t="s">
        <v>458</v>
      </c>
      <c r="B164" s="15">
        <v>0</v>
      </c>
      <c r="C164" s="15">
        <v>0</v>
      </c>
      <c r="D164" s="15">
        <v>0</v>
      </c>
      <c r="E164" s="15">
        <v>825</v>
      </c>
      <c r="F164" s="15">
        <v>0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 t="s">
        <v>3028</v>
      </c>
      <c r="O164" s="9" t="s">
        <v>3028</v>
      </c>
    </row>
    <row r="165" spans="1:15" x14ac:dyDescent="0.2">
      <c r="A165" s="10" t="s">
        <v>460</v>
      </c>
      <c r="B165" s="15">
        <v>0</v>
      </c>
      <c r="C165" s="15">
        <v>0</v>
      </c>
      <c r="D165" s="15">
        <v>0</v>
      </c>
      <c r="E165" s="15">
        <v>825</v>
      </c>
      <c r="F165" s="15">
        <v>0</v>
      </c>
      <c r="G165" s="15">
        <v>0</v>
      </c>
      <c r="H165" s="15">
        <v>0</v>
      </c>
      <c r="I165" s="15">
        <v>0</v>
      </c>
      <c r="J165" s="15">
        <v>0</v>
      </c>
      <c r="K165" s="15">
        <v>0</v>
      </c>
      <c r="L165" s="15">
        <v>0</v>
      </c>
      <c r="M165" s="15">
        <v>0</v>
      </c>
      <c r="N165" s="15" t="s">
        <v>3028</v>
      </c>
      <c r="O165" s="9" t="s">
        <v>3028</v>
      </c>
    </row>
    <row r="166" spans="1:15" x14ac:dyDescent="0.2">
      <c r="A166" s="10" t="s">
        <v>462</v>
      </c>
      <c r="B166" s="15">
        <v>0</v>
      </c>
      <c r="C166" s="15">
        <v>0</v>
      </c>
      <c r="D166" s="15">
        <v>0</v>
      </c>
      <c r="E166" s="15">
        <v>495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 t="s">
        <v>3028</v>
      </c>
      <c r="O166" s="9" t="s">
        <v>3028</v>
      </c>
    </row>
    <row r="167" spans="1:15" x14ac:dyDescent="0.2">
      <c r="A167" s="10" t="s">
        <v>464</v>
      </c>
      <c r="B167" s="15">
        <v>0</v>
      </c>
      <c r="C167" s="15">
        <v>0</v>
      </c>
      <c r="D167" s="15">
        <v>0</v>
      </c>
      <c r="E167" s="15">
        <v>495</v>
      </c>
      <c r="F167" s="15">
        <v>0</v>
      </c>
      <c r="G167" s="15">
        <v>0</v>
      </c>
      <c r="H167" s="15">
        <v>0</v>
      </c>
      <c r="I167" s="15">
        <v>0</v>
      </c>
      <c r="J167" s="15">
        <v>0</v>
      </c>
      <c r="K167" s="15">
        <v>0</v>
      </c>
      <c r="L167" s="15">
        <v>0</v>
      </c>
      <c r="M167" s="15">
        <v>0</v>
      </c>
      <c r="N167" s="15" t="s">
        <v>3028</v>
      </c>
      <c r="O167" s="9" t="s">
        <v>3028</v>
      </c>
    </row>
    <row r="168" spans="1:15" x14ac:dyDescent="0.2">
      <c r="A168" s="10" t="s">
        <v>466</v>
      </c>
      <c r="B168" s="15">
        <v>0</v>
      </c>
      <c r="C168" s="15">
        <v>0</v>
      </c>
      <c r="D168" s="15">
        <v>0</v>
      </c>
      <c r="E168" s="15">
        <v>825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 t="s">
        <v>3028</v>
      </c>
      <c r="O168" s="9" t="s">
        <v>3028</v>
      </c>
    </row>
    <row r="169" spans="1:15" x14ac:dyDescent="0.2">
      <c r="A169" s="10" t="s">
        <v>1617</v>
      </c>
      <c r="B169" s="15">
        <v>0</v>
      </c>
      <c r="C169" s="15">
        <v>0</v>
      </c>
      <c r="D169" s="15">
        <v>825</v>
      </c>
      <c r="E169" s="15">
        <v>0</v>
      </c>
      <c r="F169" s="15">
        <v>0</v>
      </c>
      <c r="G169" s="15">
        <v>0</v>
      </c>
      <c r="H169" s="15">
        <v>0</v>
      </c>
      <c r="I169" s="15">
        <v>0</v>
      </c>
      <c r="J169" s="15">
        <v>0</v>
      </c>
      <c r="K169" s="15">
        <v>0</v>
      </c>
      <c r="L169" s="15">
        <v>0</v>
      </c>
      <c r="M169" s="15">
        <v>0</v>
      </c>
      <c r="N169" s="15" t="s">
        <v>3028</v>
      </c>
      <c r="O169" s="9" t="s">
        <v>3028</v>
      </c>
    </row>
    <row r="170" spans="1:15" x14ac:dyDescent="0.2">
      <c r="A170" s="10" t="s">
        <v>468</v>
      </c>
      <c r="B170" s="15">
        <v>0</v>
      </c>
      <c r="C170" s="15">
        <v>0</v>
      </c>
      <c r="D170" s="15">
        <v>0</v>
      </c>
      <c r="E170" s="15">
        <v>825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 t="s">
        <v>3028</v>
      </c>
      <c r="O170" s="9" t="s">
        <v>3028</v>
      </c>
    </row>
    <row r="171" spans="1:15" x14ac:dyDescent="0.2">
      <c r="A171" s="10" t="s">
        <v>470</v>
      </c>
      <c r="B171" s="15">
        <v>0</v>
      </c>
      <c r="C171" s="15">
        <v>0</v>
      </c>
      <c r="D171" s="15">
        <v>0</v>
      </c>
      <c r="E171" s="15">
        <v>825</v>
      </c>
      <c r="F171" s="15">
        <v>0</v>
      </c>
      <c r="G171" s="15">
        <v>0</v>
      </c>
      <c r="H171" s="15">
        <v>0</v>
      </c>
      <c r="I171" s="15">
        <v>0</v>
      </c>
      <c r="J171" s="15">
        <v>0</v>
      </c>
      <c r="K171" s="15">
        <v>0</v>
      </c>
      <c r="L171" s="15">
        <v>0</v>
      </c>
      <c r="M171" s="15">
        <v>0</v>
      </c>
      <c r="N171" s="15" t="s">
        <v>3028</v>
      </c>
      <c r="O171" s="9" t="s">
        <v>3028</v>
      </c>
    </row>
    <row r="172" spans="1:15" x14ac:dyDescent="0.2">
      <c r="A172" s="10" t="s">
        <v>472</v>
      </c>
      <c r="B172" s="15">
        <v>0</v>
      </c>
      <c r="C172" s="15">
        <v>0</v>
      </c>
      <c r="D172" s="15">
        <v>0</v>
      </c>
      <c r="E172" s="15">
        <v>825</v>
      </c>
      <c r="F172" s="15">
        <v>0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 t="s">
        <v>3028</v>
      </c>
      <c r="O172" s="9" t="s">
        <v>3028</v>
      </c>
    </row>
    <row r="173" spans="1:15" x14ac:dyDescent="0.2">
      <c r="A173" s="10" t="s">
        <v>474</v>
      </c>
      <c r="B173" s="15">
        <v>0</v>
      </c>
      <c r="C173" s="15">
        <v>0</v>
      </c>
      <c r="D173" s="15">
        <v>0</v>
      </c>
      <c r="E173" s="15">
        <v>825</v>
      </c>
      <c r="F173" s="15">
        <v>0</v>
      </c>
      <c r="G173" s="15">
        <v>0</v>
      </c>
      <c r="H173" s="15">
        <v>0</v>
      </c>
      <c r="I173" s="15">
        <v>0</v>
      </c>
      <c r="J173" s="15">
        <v>0</v>
      </c>
      <c r="K173" s="15">
        <v>0</v>
      </c>
      <c r="L173" s="15">
        <v>0</v>
      </c>
      <c r="M173" s="15">
        <v>0</v>
      </c>
      <c r="N173" s="15" t="s">
        <v>3028</v>
      </c>
      <c r="O173" s="9" t="s">
        <v>3028</v>
      </c>
    </row>
    <row r="174" spans="1:15" x14ac:dyDescent="0.2">
      <c r="A174" s="10" t="s">
        <v>476</v>
      </c>
      <c r="B174" s="15">
        <v>0</v>
      </c>
      <c r="C174" s="15">
        <v>0</v>
      </c>
      <c r="D174" s="15">
        <v>0</v>
      </c>
      <c r="E174" s="15">
        <v>825</v>
      </c>
      <c r="F174" s="15">
        <v>0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  <c r="N174" s="15" t="s">
        <v>3028</v>
      </c>
      <c r="O174" s="9" t="s">
        <v>3028</v>
      </c>
    </row>
    <row r="175" spans="1:15" x14ac:dyDescent="0.2">
      <c r="A175" s="10" t="s">
        <v>480</v>
      </c>
      <c r="B175" s="15">
        <v>0</v>
      </c>
      <c r="C175" s="15">
        <v>550</v>
      </c>
      <c r="D175" s="15">
        <v>0</v>
      </c>
      <c r="E175" s="15">
        <v>0</v>
      </c>
      <c r="F175" s="15">
        <v>0</v>
      </c>
      <c r="G175" s="15">
        <v>0</v>
      </c>
      <c r="H175" s="15">
        <v>0</v>
      </c>
      <c r="I175" s="15">
        <v>0</v>
      </c>
      <c r="J175" s="15">
        <v>0</v>
      </c>
      <c r="K175" s="15">
        <v>0</v>
      </c>
      <c r="L175" s="15">
        <v>0</v>
      </c>
      <c r="M175" s="15">
        <v>0</v>
      </c>
      <c r="N175" s="15" t="s">
        <v>3028</v>
      </c>
      <c r="O175" s="9" t="s">
        <v>3028</v>
      </c>
    </row>
    <row r="176" spans="1:15" x14ac:dyDescent="0.2">
      <c r="A176" s="10" t="s">
        <v>482</v>
      </c>
      <c r="B176" s="15">
        <v>0</v>
      </c>
      <c r="C176" s="15">
        <v>0</v>
      </c>
      <c r="D176" s="15">
        <v>0</v>
      </c>
      <c r="E176" s="15">
        <v>165</v>
      </c>
      <c r="F176" s="15">
        <v>0</v>
      </c>
      <c r="G176" s="15">
        <v>0</v>
      </c>
      <c r="H176" s="15">
        <v>0</v>
      </c>
      <c r="I176" s="15">
        <v>0</v>
      </c>
      <c r="J176" s="15">
        <v>660</v>
      </c>
      <c r="K176" s="15">
        <v>0</v>
      </c>
      <c r="L176" s="15">
        <v>0</v>
      </c>
      <c r="M176" s="15">
        <v>0</v>
      </c>
      <c r="N176" s="15" t="s">
        <v>3028</v>
      </c>
      <c r="O176" s="9" t="s">
        <v>3028</v>
      </c>
    </row>
    <row r="177" spans="1:15" x14ac:dyDescent="0.2">
      <c r="A177" s="10" t="s">
        <v>484</v>
      </c>
      <c r="B177" s="15">
        <v>0</v>
      </c>
      <c r="C177" s="15">
        <v>916.66</v>
      </c>
      <c r="D177" s="15">
        <v>0</v>
      </c>
      <c r="E177" s="15">
        <v>0</v>
      </c>
      <c r="F177" s="15">
        <v>0</v>
      </c>
      <c r="G177" s="15">
        <v>0</v>
      </c>
      <c r="H177" s="15">
        <v>0</v>
      </c>
      <c r="I177" s="15">
        <v>0</v>
      </c>
      <c r="J177" s="15">
        <v>0</v>
      </c>
      <c r="K177" s="15">
        <v>0</v>
      </c>
      <c r="L177" s="15">
        <v>0</v>
      </c>
      <c r="M177" s="15">
        <v>0</v>
      </c>
      <c r="N177" s="15" t="s">
        <v>3028</v>
      </c>
      <c r="O177" s="9" t="s">
        <v>3028</v>
      </c>
    </row>
    <row r="178" spans="1:15" x14ac:dyDescent="0.2">
      <c r="A178" s="10" t="s">
        <v>488</v>
      </c>
      <c r="B178" s="15">
        <v>0</v>
      </c>
      <c r="C178" s="15">
        <v>0</v>
      </c>
      <c r="D178" s="15">
        <v>0</v>
      </c>
      <c r="E178" s="15">
        <v>495</v>
      </c>
      <c r="F178" s="15">
        <v>0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 t="s">
        <v>3028</v>
      </c>
      <c r="O178" s="9" t="s">
        <v>3028</v>
      </c>
    </row>
    <row r="179" spans="1:15" x14ac:dyDescent="0.2">
      <c r="A179" s="10" t="s">
        <v>492</v>
      </c>
      <c r="B179" s="15">
        <v>0</v>
      </c>
      <c r="C179" s="15">
        <v>0</v>
      </c>
      <c r="D179" s="15">
        <v>0</v>
      </c>
      <c r="E179" s="15">
        <v>825</v>
      </c>
      <c r="F179" s="15">
        <v>0</v>
      </c>
      <c r="G179" s="15">
        <v>0</v>
      </c>
      <c r="H179" s="15">
        <v>0</v>
      </c>
      <c r="I179" s="15">
        <v>0</v>
      </c>
      <c r="J179" s="15">
        <v>0</v>
      </c>
      <c r="K179" s="15">
        <v>0</v>
      </c>
      <c r="L179" s="15">
        <v>0</v>
      </c>
      <c r="M179" s="15">
        <v>0</v>
      </c>
      <c r="N179" s="15" t="s">
        <v>3028</v>
      </c>
      <c r="O179" s="9" t="s">
        <v>3028</v>
      </c>
    </row>
    <row r="180" spans="1:15" x14ac:dyDescent="0.2">
      <c r="A180" s="10" t="s">
        <v>494</v>
      </c>
      <c r="B180" s="15">
        <v>0</v>
      </c>
      <c r="C180" s="15">
        <v>0</v>
      </c>
      <c r="D180" s="15">
        <v>0</v>
      </c>
      <c r="E180" s="15">
        <v>825</v>
      </c>
      <c r="F180" s="15">
        <v>0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 t="s">
        <v>3028</v>
      </c>
      <c r="O180" s="9" t="s">
        <v>3028</v>
      </c>
    </row>
    <row r="181" spans="1:15" x14ac:dyDescent="0.2">
      <c r="A181" s="10" t="s">
        <v>496</v>
      </c>
      <c r="B181" s="15">
        <v>0</v>
      </c>
      <c r="C181" s="15">
        <v>0</v>
      </c>
      <c r="D181" s="15">
        <v>0</v>
      </c>
      <c r="E181" s="15">
        <v>825</v>
      </c>
      <c r="F181" s="15">
        <v>0</v>
      </c>
      <c r="G181" s="15">
        <v>0</v>
      </c>
      <c r="H181" s="15">
        <v>550</v>
      </c>
      <c r="I181" s="15">
        <v>0</v>
      </c>
      <c r="J181" s="15">
        <v>0</v>
      </c>
      <c r="K181" s="15">
        <v>0</v>
      </c>
      <c r="L181" s="15">
        <v>0</v>
      </c>
      <c r="M181" s="15">
        <v>0</v>
      </c>
      <c r="N181" s="15" t="s">
        <v>3028</v>
      </c>
      <c r="O181" s="9" t="s">
        <v>3028</v>
      </c>
    </row>
    <row r="182" spans="1:15" x14ac:dyDescent="0.2">
      <c r="A182" s="10" t="s">
        <v>502</v>
      </c>
      <c r="B182" s="15">
        <v>0</v>
      </c>
      <c r="C182" s="15">
        <v>0</v>
      </c>
      <c r="D182" s="15">
        <v>0</v>
      </c>
      <c r="E182" s="15">
        <v>825</v>
      </c>
      <c r="F182" s="15">
        <v>0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 t="s">
        <v>3028</v>
      </c>
      <c r="O182" s="9" t="s">
        <v>3028</v>
      </c>
    </row>
    <row r="183" spans="1:15" x14ac:dyDescent="0.2">
      <c r="A183" s="10" t="s">
        <v>506</v>
      </c>
      <c r="B183" s="15">
        <v>0</v>
      </c>
      <c r="C183" s="15">
        <v>0</v>
      </c>
      <c r="D183" s="15">
        <v>0</v>
      </c>
      <c r="E183" s="15">
        <v>825</v>
      </c>
      <c r="F183" s="15">
        <v>0</v>
      </c>
      <c r="G183" s="15">
        <v>0</v>
      </c>
      <c r="H183" s="15">
        <v>0</v>
      </c>
      <c r="I183" s="15">
        <v>0</v>
      </c>
      <c r="J183" s="15">
        <v>0</v>
      </c>
      <c r="K183" s="15">
        <v>0</v>
      </c>
      <c r="L183" s="15">
        <v>0</v>
      </c>
      <c r="M183" s="15">
        <v>0</v>
      </c>
      <c r="N183" s="15" t="s">
        <v>3028</v>
      </c>
      <c r="O183" s="9" t="s">
        <v>3028</v>
      </c>
    </row>
    <row r="184" spans="1:15" x14ac:dyDescent="0.2">
      <c r="A184" s="10" t="s">
        <v>510</v>
      </c>
      <c r="B184" s="15">
        <v>0</v>
      </c>
      <c r="C184" s="15">
        <v>0</v>
      </c>
      <c r="D184" s="15">
        <v>0</v>
      </c>
      <c r="E184" s="15">
        <v>275</v>
      </c>
      <c r="F184" s="15">
        <v>0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  <c r="N184" s="15" t="s">
        <v>3028</v>
      </c>
      <c r="O184" s="9" t="s">
        <v>3028</v>
      </c>
    </row>
    <row r="185" spans="1:15" x14ac:dyDescent="0.2">
      <c r="A185" s="10" t="s">
        <v>85</v>
      </c>
      <c r="B185" s="15">
        <v>0</v>
      </c>
      <c r="C185" s="15">
        <v>0</v>
      </c>
      <c r="D185" s="15">
        <v>0</v>
      </c>
      <c r="E185" s="15">
        <v>825</v>
      </c>
      <c r="F185" s="15">
        <v>0</v>
      </c>
      <c r="G185" s="15">
        <v>0</v>
      </c>
      <c r="H185" s="15">
        <v>0</v>
      </c>
      <c r="I185" s="15">
        <v>0</v>
      </c>
      <c r="J185" s="15">
        <v>0</v>
      </c>
      <c r="K185" s="15">
        <v>0</v>
      </c>
      <c r="L185" s="15">
        <v>0</v>
      </c>
      <c r="M185" s="15">
        <v>0</v>
      </c>
      <c r="N185" s="15" t="s">
        <v>3028</v>
      </c>
      <c r="O185" s="9" t="s">
        <v>3028</v>
      </c>
    </row>
    <row r="186" spans="1:15" x14ac:dyDescent="0.2">
      <c r="A186" s="10" t="s">
        <v>512</v>
      </c>
      <c r="B186" s="15">
        <v>0</v>
      </c>
      <c r="C186" s="15">
        <v>0</v>
      </c>
      <c r="D186" s="15">
        <v>0</v>
      </c>
      <c r="E186" s="15">
        <v>825</v>
      </c>
      <c r="F186" s="15">
        <v>0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  <c r="N186" s="15" t="s">
        <v>3028</v>
      </c>
      <c r="O186" s="9" t="s">
        <v>3028</v>
      </c>
    </row>
    <row r="187" spans="1:15" x14ac:dyDescent="0.2">
      <c r="A187" s="10" t="s">
        <v>514</v>
      </c>
      <c r="B187" s="15">
        <v>0</v>
      </c>
      <c r="C187" s="15">
        <v>0</v>
      </c>
      <c r="D187" s="15">
        <v>0</v>
      </c>
      <c r="E187" s="15">
        <v>366.67</v>
      </c>
      <c r="F187" s="15">
        <v>0</v>
      </c>
      <c r="G187" s="15">
        <v>0</v>
      </c>
      <c r="H187" s="15">
        <v>0</v>
      </c>
      <c r="I187" s="15">
        <v>0</v>
      </c>
      <c r="J187" s="15">
        <v>0</v>
      </c>
      <c r="K187" s="15">
        <v>0</v>
      </c>
      <c r="L187" s="15">
        <v>0</v>
      </c>
      <c r="M187" s="15">
        <v>0</v>
      </c>
      <c r="N187" s="15" t="s">
        <v>3028</v>
      </c>
      <c r="O187" s="9" t="s">
        <v>3028</v>
      </c>
    </row>
    <row r="188" spans="1:15" x14ac:dyDescent="0.2">
      <c r="A188" s="10" t="s">
        <v>516</v>
      </c>
      <c r="B188" s="15">
        <v>0</v>
      </c>
      <c r="C188" s="15">
        <v>0</v>
      </c>
      <c r="D188" s="15">
        <v>1008.33</v>
      </c>
      <c r="E188" s="15">
        <v>0</v>
      </c>
      <c r="F188" s="15">
        <v>0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 t="s">
        <v>3028</v>
      </c>
      <c r="O188" s="9" t="s">
        <v>3028</v>
      </c>
    </row>
    <row r="189" spans="1:15" x14ac:dyDescent="0.2">
      <c r="A189" s="10" t="s">
        <v>518</v>
      </c>
      <c r="B189" s="15">
        <v>0</v>
      </c>
      <c r="C189" s="15">
        <v>0</v>
      </c>
      <c r="D189" s="15">
        <v>0</v>
      </c>
      <c r="E189" s="15">
        <v>183.33</v>
      </c>
      <c r="F189" s="15">
        <v>0</v>
      </c>
      <c r="G189" s="15">
        <v>0</v>
      </c>
      <c r="H189" s="15">
        <v>0</v>
      </c>
      <c r="I189" s="15">
        <v>0</v>
      </c>
      <c r="J189" s="15">
        <v>0</v>
      </c>
      <c r="K189" s="15">
        <v>0</v>
      </c>
      <c r="L189" s="15">
        <v>0</v>
      </c>
      <c r="M189" s="15">
        <v>0</v>
      </c>
      <c r="N189" s="15" t="s">
        <v>3028</v>
      </c>
      <c r="O189" s="9" t="s">
        <v>3028</v>
      </c>
    </row>
    <row r="190" spans="1:15" x14ac:dyDescent="0.2">
      <c r="A190" s="10" t="s">
        <v>520</v>
      </c>
      <c r="B190" s="15">
        <v>0</v>
      </c>
      <c r="C190" s="15">
        <v>0</v>
      </c>
      <c r="D190" s="15">
        <v>0</v>
      </c>
      <c r="E190" s="15">
        <v>825</v>
      </c>
      <c r="F190" s="15">
        <v>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 t="s">
        <v>3028</v>
      </c>
      <c r="O190" s="9" t="s">
        <v>3028</v>
      </c>
    </row>
    <row r="191" spans="1:15" x14ac:dyDescent="0.2">
      <c r="A191" s="10" t="s">
        <v>524</v>
      </c>
      <c r="B191" s="15">
        <v>0</v>
      </c>
      <c r="C191" s="15">
        <v>0</v>
      </c>
      <c r="D191" s="15">
        <v>0</v>
      </c>
      <c r="E191" s="15">
        <v>825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15">
        <v>0</v>
      </c>
      <c r="N191" s="15" t="s">
        <v>3028</v>
      </c>
      <c r="O191" s="9" t="s">
        <v>3028</v>
      </c>
    </row>
    <row r="192" spans="1:15" x14ac:dyDescent="0.2">
      <c r="A192" s="10" t="s">
        <v>528</v>
      </c>
      <c r="B192" s="15">
        <v>0</v>
      </c>
      <c r="C192" s="15">
        <v>0</v>
      </c>
      <c r="D192" s="15">
        <v>0</v>
      </c>
      <c r="E192" s="15">
        <v>825</v>
      </c>
      <c r="F192" s="15">
        <v>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 t="s">
        <v>3028</v>
      </c>
      <c r="O192" s="9" t="s">
        <v>3028</v>
      </c>
    </row>
    <row r="193" spans="1:15" x14ac:dyDescent="0.2">
      <c r="A193" s="10" t="s">
        <v>530</v>
      </c>
      <c r="B193" s="15">
        <v>0</v>
      </c>
      <c r="C193" s="15">
        <v>0</v>
      </c>
      <c r="D193" s="15">
        <v>0</v>
      </c>
      <c r="E193" s="15">
        <v>825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0</v>
      </c>
      <c r="M193" s="15">
        <v>0</v>
      </c>
      <c r="N193" s="15" t="s">
        <v>3028</v>
      </c>
      <c r="O193" s="9" t="s">
        <v>3028</v>
      </c>
    </row>
    <row r="194" spans="1:15" x14ac:dyDescent="0.2">
      <c r="A194" s="10" t="s">
        <v>532</v>
      </c>
      <c r="B194" s="15">
        <v>0</v>
      </c>
      <c r="C194" s="15">
        <v>0</v>
      </c>
      <c r="D194" s="15">
        <v>0</v>
      </c>
      <c r="E194" s="15">
        <v>825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 t="s">
        <v>3028</v>
      </c>
      <c r="O194" s="9" t="s">
        <v>3028</v>
      </c>
    </row>
    <row r="195" spans="1:15" x14ac:dyDescent="0.2">
      <c r="A195" s="10" t="s">
        <v>534</v>
      </c>
      <c r="B195" s="15">
        <v>0</v>
      </c>
      <c r="C195" s="15">
        <v>0</v>
      </c>
      <c r="D195" s="15">
        <v>0</v>
      </c>
      <c r="E195" s="15">
        <v>733.33</v>
      </c>
      <c r="F195" s="15">
        <v>0</v>
      </c>
      <c r="G195" s="15">
        <v>0</v>
      </c>
      <c r="H195" s="15">
        <v>0</v>
      </c>
      <c r="I195" s="15">
        <v>0</v>
      </c>
      <c r="J195" s="15">
        <v>0</v>
      </c>
      <c r="K195" s="15">
        <v>0</v>
      </c>
      <c r="L195" s="15">
        <v>0</v>
      </c>
      <c r="M195" s="15">
        <v>0</v>
      </c>
      <c r="N195" s="15" t="s">
        <v>3028</v>
      </c>
      <c r="O195" s="9" t="s">
        <v>3028</v>
      </c>
    </row>
    <row r="196" spans="1:15" x14ac:dyDescent="0.2">
      <c r="A196" s="10" t="s">
        <v>536</v>
      </c>
      <c r="B196" s="15">
        <v>0</v>
      </c>
      <c r="C196" s="15">
        <v>0</v>
      </c>
      <c r="D196" s="15">
        <v>1008.33</v>
      </c>
      <c r="E196" s="15">
        <v>0</v>
      </c>
      <c r="F196" s="15">
        <v>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 t="s">
        <v>3028</v>
      </c>
      <c r="O196" s="9" t="s">
        <v>3028</v>
      </c>
    </row>
    <row r="197" spans="1:15" x14ac:dyDescent="0.2">
      <c r="A197" s="10" t="s">
        <v>540</v>
      </c>
      <c r="B197" s="15">
        <v>0</v>
      </c>
      <c r="C197" s="15">
        <v>0</v>
      </c>
      <c r="D197" s="15">
        <v>605</v>
      </c>
      <c r="E197" s="15">
        <v>0</v>
      </c>
      <c r="F197" s="15">
        <v>0</v>
      </c>
      <c r="G197" s="15">
        <v>0</v>
      </c>
      <c r="H197" s="15">
        <v>0</v>
      </c>
      <c r="I197" s="15">
        <v>0</v>
      </c>
      <c r="J197" s="15">
        <v>0</v>
      </c>
      <c r="K197" s="15">
        <v>0</v>
      </c>
      <c r="L197" s="15">
        <v>0</v>
      </c>
      <c r="M197" s="15">
        <v>0</v>
      </c>
      <c r="N197" s="15" t="s">
        <v>3028</v>
      </c>
      <c r="O197" s="9" t="s">
        <v>3028</v>
      </c>
    </row>
    <row r="198" spans="1:15" x14ac:dyDescent="0.2">
      <c r="A198" s="10" t="s">
        <v>542</v>
      </c>
      <c r="B198" s="15">
        <v>0</v>
      </c>
      <c r="C198" s="15">
        <v>0</v>
      </c>
      <c r="D198" s="15">
        <v>0</v>
      </c>
      <c r="E198" s="15">
        <v>825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 t="s">
        <v>3028</v>
      </c>
      <c r="O198" s="9" t="s">
        <v>3028</v>
      </c>
    </row>
    <row r="199" spans="1:15" x14ac:dyDescent="0.2">
      <c r="A199" s="10" t="s">
        <v>544</v>
      </c>
      <c r="B199" s="15">
        <v>0</v>
      </c>
      <c r="C199" s="15">
        <v>0</v>
      </c>
      <c r="D199" s="15">
        <v>0</v>
      </c>
      <c r="E199" s="15">
        <v>495</v>
      </c>
      <c r="F199" s="15">
        <v>0</v>
      </c>
      <c r="G199" s="15">
        <v>0</v>
      </c>
      <c r="H199" s="15">
        <v>0</v>
      </c>
      <c r="I199" s="15">
        <v>0</v>
      </c>
      <c r="J199" s="15">
        <v>0</v>
      </c>
      <c r="K199" s="15">
        <v>0</v>
      </c>
      <c r="L199" s="15">
        <v>0</v>
      </c>
      <c r="M199" s="15">
        <v>0</v>
      </c>
      <c r="N199" s="15" t="s">
        <v>3028</v>
      </c>
      <c r="O199" s="9" t="s">
        <v>3028</v>
      </c>
    </row>
    <row r="200" spans="1:15" x14ac:dyDescent="0.2">
      <c r="A200" s="10" t="s">
        <v>546</v>
      </c>
      <c r="B200" s="15">
        <v>0</v>
      </c>
      <c r="C200" s="15">
        <v>0</v>
      </c>
      <c r="D200" s="15">
        <v>0</v>
      </c>
      <c r="E200" s="15">
        <v>495</v>
      </c>
      <c r="F200" s="15">
        <v>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 t="s">
        <v>3028</v>
      </c>
      <c r="O200" s="9" t="s">
        <v>3028</v>
      </c>
    </row>
    <row r="201" spans="1:15" x14ac:dyDescent="0.2">
      <c r="A201" s="10" t="s">
        <v>548</v>
      </c>
      <c r="B201" s="15">
        <v>0</v>
      </c>
      <c r="C201" s="15">
        <v>0</v>
      </c>
      <c r="D201" s="15">
        <v>0</v>
      </c>
      <c r="E201" s="15">
        <v>825</v>
      </c>
      <c r="F201" s="15">
        <v>0</v>
      </c>
      <c r="G201" s="15">
        <v>458.33</v>
      </c>
      <c r="H201" s="15">
        <v>0</v>
      </c>
      <c r="I201" s="15">
        <v>0</v>
      </c>
      <c r="J201" s="15">
        <v>0</v>
      </c>
      <c r="K201" s="15">
        <v>0</v>
      </c>
      <c r="L201" s="15">
        <v>0</v>
      </c>
      <c r="M201" s="15">
        <v>0</v>
      </c>
      <c r="N201" s="15" t="s">
        <v>3028</v>
      </c>
      <c r="O201" s="9" t="s">
        <v>3028</v>
      </c>
    </row>
    <row r="202" spans="1:15" x14ac:dyDescent="0.2">
      <c r="A202" s="10" t="s">
        <v>550</v>
      </c>
      <c r="B202" s="15">
        <v>0</v>
      </c>
      <c r="C202" s="15">
        <v>0</v>
      </c>
      <c r="D202" s="15">
        <v>0</v>
      </c>
      <c r="E202" s="15">
        <v>825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 t="s">
        <v>3028</v>
      </c>
      <c r="O202" s="9" t="s">
        <v>3028</v>
      </c>
    </row>
    <row r="203" spans="1:15" x14ac:dyDescent="0.2">
      <c r="A203" s="10" t="s">
        <v>552</v>
      </c>
      <c r="B203" s="15">
        <v>0</v>
      </c>
      <c r="C203" s="15">
        <v>0</v>
      </c>
      <c r="D203" s="15">
        <v>0</v>
      </c>
      <c r="E203" s="15">
        <v>825</v>
      </c>
      <c r="F203" s="15">
        <v>0</v>
      </c>
      <c r="G203" s="15">
        <v>0</v>
      </c>
      <c r="H203" s="15">
        <v>0</v>
      </c>
      <c r="I203" s="15">
        <v>1100</v>
      </c>
      <c r="J203" s="15">
        <v>0</v>
      </c>
      <c r="K203" s="15">
        <v>0</v>
      </c>
      <c r="L203" s="15">
        <v>0</v>
      </c>
      <c r="M203" s="15">
        <v>0</v>
      </c>
      <c r="N203" s="15" t="s">
        <v>3028</v>
      </c>
      <c r="O203" s="9" t="s">
        <v>3028</v>
      </c>
    </row>
    <row r="204" spans="1:15" x14ac:dyDescent="0.2">
      <c r="A204" s="10" t="s">
        <v>554</v>
      </c>
      <c r="B204" s="15">
        <v>0</v>
      </c>
      <c r="C204" s="15">
        <v>0</v>
      </c>
      <c r="D204" s="15">
        <v>0</v>
      </c>
      <c r="E204" s="15">
        <v>825</v>
      </c>
      <c r="F204" s="15">
        <v>0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  <c r="N204" s="15" t="s">
        <v>3028</v>
      </c>
      <c r="O204" s="9" t="s">
        <v>3028</v>
      </c>
    </row>
    <row r="205" spans="1:15" x14ac:dyDescent="0.2">
      <c r="A205" s="10" t="s">
        <v>556</v>
      </c>
      <c r="B205" s="15">
        <v>0</v>
      </c>
      <c r="C205" s="15">
        <v>0</v>
      </c>
      <c r="D205" s="15">
        <v>0</v>
      </c>
      <c r="E205" s="15">
        <v>825</v>
      </c>
      <c r="F205" s="15">
        <v>0</v>
      </c>
      <c r="G205" s="15">
        <v>0</v>
      </c>
      <c r="H205" s="15">
        <v>0</v>
      </c>
      <c r="I205" s="15">
        <v>0</v>
      </c>
      <c r="J205" s="15">
        <v>0</v>
      </c>
      <c r="K205" s="15">
        <v>0</v>
      </c>
      <c r="L205" s="15">
        <v>0</v>
      </c>
      <c r="M205" s="15">
        <v>0</v>
      </c>
      <c r="N205" s="15" t="s">
        <v>3028</v>
      </c>
      <c r="O205" s="9" t="s">
        <v>3028</v>
      </c>
    </row>
    <row r="206" spans="1:15" x14ac:dyDescent="0.2">
      <c r="A206" s="10" t="s">
        <v>558</v>
      </c>
      <c r="B206" s="15">
        <v>0</v>
      </c>
      <c r="C206" s="15">
        <v>0</v>
      </c>
      <c r="D206" s="15">
        <v>0</v>
      </c>
      <c r="E206" s="15">
        <v>495</v>
      </c>
      <c r="F206" s="15">
        <v>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 t="s">
        <v>3028</v>
      </c>
      <c r="O206" s="9" t="s">
        <v>3028</v>
      </c>
    </row>
    <row r="207" spans="1:15" x14ac:dyDescent="0.2">
      <c r="A207" s="10" t="s">
        <v>560</v>
      </c>
      <c r="B207" s="15">
        <v>0</v>
      </c>
      <c r="C207" s="15">
        <v>0</v>
      </c>
      <c r="D207" s="15">
        <v>0</v>
      </c>
      <c r="E207" s="15">
        <v>825</v>
      </c>
      <c r="F207" s="15">
        <v>0</v>
      </c>
      <c r="G207" s="15">
        <v>0</v>
      </c>
      <c r="H207" s="15">
        <v>0</v>
      </c>
      <c r="I207" s="15">
        <v>0</v>
      </c>
      <c r="J207" s="15">
        <v>0</v>
      </c>
      <c r="K207" s="15">
        <v>0</v>
      </c>
      <c r="L207" s="15">
        <v>0</v>
      </c>
      <c r="M207" s="15">
        <v>0</v>
      </c>
      <c r="N207" s="15" t="s">
        <v>3028</v>
      </c>
      <c r="O207" s="9" t="s">
        <v>3028</v>
      </c>
    </row>
    <row r="208" spans="1:15" x14ac:dyDescent="0.2">
      <c r="A208" s="10" t="s">
        <v>562</v>
      </c>
      <c r="B208" s="15">
        <v>0</v>
      </c>
      <c r="C208" s="15">
        <v>0</v>
      </c>
      <c r="D208" s="15">
        <v>0</v>
      </c>
      <c r="E208" s="15">
        <v>825</v>
      </c>
      <c r="F208" s="15">
        <v>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 t="s">
        <v>3028</v>
      </c>
      <c r="O208" s="9" t="s">
        <v>3028</v>
      </c>
    </row>
    <row r="209" spans="1:15" x14ac:dyDescent="0.2">
      <c r="A209" s="10" t="s">
        <v>564</v>
      </c>
      <c r="B209" s="15">
        <v>0</v>
      </c>
      <c r="C209" s="15">
        <v>0</v>
      </c>
      <c r="D209" s="15">
        <v>0</v>
      </c>
      <c r="E209" s="15">
        <v>825</v>
      </c>
      <c r="F209" s="15">
        <v>0</v>
      </c>
      <c r="G209" s="15">
        <v>0</v>
      </c>
      <c r="H209" s="15">
        <v>0</v>
      </c>
      <c r="I209" s="15">
        <v>0</v>
      </c>
      <c r="J209" s="15">
        <v>0</v>
      </c>
      <c r="K209" s="15">
        <v>0</v>
      </c>
      <c r="L209" s="15">
        <v>0</v>
      </c>
      <c r="M209" s="15">
        <v>0</v>
      </c>
      <c r="N209" s="15" t="s">
        <v>3028</v>
      </c>
      <c r="O209" s="9" t="s">
        <v>3028</v>
      </c>
    </row>
    <row r="210" spans="1:15" x14ac:dyDescent="0.2">
      <c r="A210" s="10" t="s">
        <v>566</v>
      </c>
      <c r="B210" s="15">
        <v>825</v>
      </c>
      <c r="C210" s="15">
        <v>0</v>
      </c>
      <c r="D210" s="15">
        <v>0</v>
      </c>
      <c r="E210" s="15">
        <v>0</v>
      </c>
      <c r="F210" s="15">
        <v>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 t="s">
        <v>3028</v>
      </c>
      <c r="O210" s="9" t="s">
        <v>3028</v>
      </c>
    </row>
    <row r="211" spans="1:15" x14ac:dyDescent="0.2">
      <c r="A211" s="10" t="s">
        <v>570</v>
      </c>
      <c r="B211" s="15">
        <v>0</v>
      </c>
      <c r="C211" s="15">
        <v>0</v>
      </c>
      <c r="D211" s="15">
        <v>0</v>
      </c>
      <c r="E211" s="15">
        <v>825</v>
      </c>
      <c r="F211" s="15">
        <v>0</v>
      </c>
      <c r="G211" s="15">
        <v>0</v>
      </c>
      <c r="H211" s="15">
        <v>0</v>
      </c>
      <c r="I211" s="15">
        <v>0</v>
      </c>
      <c r="J211" s="15">
        <v>0</v>
      </c>
      <c r="K211" s="15">
        <v>0</v>
      </c>
      <c r="L211" s="15">
        <v>0</v>
      </c>
      <c r="M211" s="15">
        <v>0</v>
      </c>
      <c r="N211" s="15" t="s">
        <v>3028</v>
      </c>
      <c r="O211" s="9" t="s">
        <v>3028</v>
      </c>
    </row>
    <row r="212" spans="1:15" x14ac:dyDescent="0.2">
      <c r="A212" s="10" t="s">
        <v>576</v>
      </c>
      <c r="B212" s="15">
        <v>0</v>
      </c>
      <c r="C212" s="15">
        <v>0</v>
      </c>
      <c r="D212" s="15">
        <v>0</v>
      </c>
      <c r="E212" s="15">
        <v>550</v>
      </c>
      <c r="F212" s="15">
        <v>0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 t="s">
        <v>3028</v>
      </c>
      <c r="O212" s="9" t="s">
        <v>3028</v>
      </c>
    </row>
    <row r="213" spans="1:15" x14ac:dyDescent="0.2">
      <c r="A213" s="10" t="s">
        <v>588</v>
      </c>
      <c r="B213" s="15">
        <v>0</v>
      </c>
      <c r="C213" s="15">
        <v>0</v>
      </c>
      <c r="D213" s="15">
        <v>0</v>
      </c>
      <c r="E213" s="15">
        <v>825</v>
      </c>
      <c r="F213" s="15">
        <v>0</v>
      </c>
      <c r="G213" s="15">
        <v>0</v>
      </c>
      <c r="H213" s="15">
        <v>0</v>
      </c>
      <c r="I213" s="15">
        <v>0</v>
      </c>
      <c r="J213" s="15">
        <v>0</v>
      </c>
      <c r="K213" s="15">
        <v>0</v>
      </c>
      <c r="L213" s="15">
        <v>0</v>
      </c>
      <c r="M213" s="15">
        <v>0</v>
      </c>
      <c r="N213" s="15" t="s">
        <v>3028</v>
      </c>
      <c r="O213" s="9" t="s">
        <v>3028</v>
      </c>
    </row>
    <row r="214" spans="1:15" x14ac:dyDescent="0.2">
      <c r="A214" s="10" t="s">
        <v>590</v>
      </c>
      <c r="B214" s="15">
        <v>0</v>
      </c>
      <c r="C214" s="15">
        <v>0</v>
      </c>
      <c r="D214" s="15">
        <v>0</v>
      </c>
      <c r="E214" s="15">
        <v>825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 t="s">
        <v>3028</v>
      </c>
      <c r="O214" s="9" t="s">
        <v>3028</v>
      </c>
    </row>
    <row r="215" spans="1:15" x14ac:dyDescent="0.2">
      <c r="A215" s="10" t="s">
        <v>592</v>
      </c>
      <c r="B215" s="15">
        <v>0</v>
      </c>
      <c r="C215" s="15">
        <v>0</v>
      </c>
      <c r="D215" s="15">
        <v>0</v>
      </c>
      <c r="E215" s="15">
        <v>825</v>
      </c>
      <c r="F215" s="15">
        <v>0</v>
      </c>
      <c r="G215" s="15">
        <v>0</v>
      </c>
      <c r="H215" s="15">
        <v>0</v>
      </c>
      <c r="I215" s="15">
        <v>0</v>
      </c>
      <c r="J215" s="15">
        <v>0</v>
      </c>
      <c r="K215" s="15">
        <v>0</v>
      </c>
      <c r="L215" s="15">
        <v>0</v>
      </c>
      <c r="M215" s="15">
        <v>0</v>
      </c>
      <c r="N215" s="15" t="s">
        <v>3028</v>
      </c>
      <c r="O215" s="9" t="s">
        <v>3028</v>
      </c>
    </row>
    <row r="216" spans="1:15" x14ac:dyDescent="0.2">
      <c r="A216" s="10" t="s">
        <v>594</v>
      </c>
      <c r="B216" s="15">
        <v>0</v>
      </c>
      <c r="C216" s="15">
        <v>0</v>
      </c>
      <c r="D216" s="15">
        <v>0</v>
      </c>
      <c r="E216" s="15">
        <v>825</v>
      </c>
      <c r="F216" s="15">
        <v>0</v>
      </c>
      <c r="G216" s="15">
        <v>0</v>
      </c>
      <c r="H216" s="15">
        <v>0</v>
      </c>
      <c r="I216" s="15">
        <v>0</v>
      </c>
      <c r="J216" s="15">
        <v>0</v>
      </c>
      <c r="K216" s="15">
        <v>0</v>
      </c>
      <c r="L216" s="15">
        <v>0</v>
      </c>
      <c r="M216" s="15">
        <v>0</v>
      </c>
      <c r="N216" s="15" t="s">
        <v>3028</v>
      </c>
      <c r="O216" s="9" t="s">
        <v>3028</v>
      </c>
    </row>
    <row r="217" spans="1:15" x14ac:dyDescent="0.2">
      <c r="A217" s="10" t="s">
        <v>596</v>
      </c>
      <c r="B217" s="15">
        <v>0</v>
      </c>
      <c r="C217" s="15">
        <v>0</v>
      </c>
      <c r="D217" s="15">
        <v>0</v>
      </c>
      <c r="E217" s="15">
        <v>825</v>
      </c>
      <c r="F217" s="15">
        <v>0</v>
      </c>
      <c r="G217" s="15">
        <v>0</v>
      </c>
      <c r="H217" s="15">
        <v>0</v>
      </c>
      <c r="I217" s="15">
        <v>0</v>
      </c>
      <c r="J217" s="15">
        <v>0</v>
      </c>
      <c r="K217" s="15">
        <v>0</v>
      </c>
      <c r="L217" s="15">
        <v>0</v>
      </c>
      <c r="M217" s="15">
        <v>0</v>
      </c>
      <c r="N217" s="15" t="s">
        <v>3028</v>
      </c>
      <c r="O217" s="9" t="s">
        <v>3028</v>
      </c>
    </row>
    <row r="218" spans="1:15" x14ac:dyDescent="0.2">
      <c r="A218" s="10" t="s">
        <v>598</v>
      </c>
      <c r="B218" s="15">
        <v>0</v>
      </c>
      <c r="C218" s="15">
        <v>0</v>
      </c>
      <c r="D218" s="15">
        <v>0</v>
      </c>
      <c r="E218" s="15">
        <v>825</v>
      </c>
      <c r="F218" s="15">
        <v>0</v>
      </c>
      <c r="G218" s="15">
        <v>0</v>
      </c>
      <c r="H218" s="15">
        <v>0</v>
      </c>
      <c r="I218" s="15">
        <v>0</v>
      </c>
      <c r="J218" s="15">
        <v>0</v>
      </c>
      <c r="K218" s="15">
        <v>0</v>
      </c>
      <c r="L218" s="15">
        <v>0</v>
      </c>
      <c r="M218" s="15">
        <v>0</v>
      </c>
      <c r="N218" s="15" t="s">
        <v>3028</v>
      </c>
      <c r="O218" s="9" t="s">
        <v>3028</v>
      </c>
    </row>
    <row r="219" spans="1:15" x14ac:dyDescent="0.2">
      <c r="A219" s="10" t="s">
        <v>600</v>
      </c>
      <c r="B219" s="15">
        <v>0</v>
      </c>
      <c r="C219" s="15">
        <v>0</v>
      </c>
      <c r="D219" s="15">
        <v>0</v>
      </c>
      <c r="E219" s="15">
        <v>825</v>
      </c>
      <c r="F219" s="15">
        <v>0</v>
      </c>
      <c r="G219" s="15">
        <v>0</v>
      </c>
      <c r="H219" s="15">
        <v>0</v>
      </c>
      <c r="I219" s="15">
        <v>0</v>
      </c>
      <c r="J219" s="15">
        <v>0</v>
      </c>
      <c r="K219" s="15">
        <v>0</v>
      </c>
      <c r="L219" s="15">
        <v>0</v>
      </c>
      <c r="M219" s="15">
        <v>0</v>
      </c>
      <c r="N219" s="15" t="s">
        <v>3028</v>
      </c>
      <c r="O219" s="9" t="s">
        <v>3028</v>
      </c>
    </row>
    <row r="220" spans="1:15" x14ac:dyDescent="0.2">
      <c r="A220" s="10" t="s">
        <v>602</v>
      </c>
      <c r="B220" s="15">
        <v>0</v>
      </c>
      <c r="C220" s="15">
        <v>0</v>
      </c>
      <c r="D220" s="15">
        <v>0</v>
      </c>
      <c r="E220" s="15">
        <v>91.67</v>
      </c>
      <c r="F220" s="15">
        <v>0</v>
      </c>
      <c r="G220" s="15">
        <v>0</v>
      </c>
      <c r="H220" s="15">
        <v>0</v>
      </c>
      <c r="I220" s="15">
        <v>0</v>
      </c>
      <c r="J220" s="15">
        <v>0</v>
      </c>
      <c r="K220" s="15">
        <v>0</v>
      </c>
      <c r="L220" s="15">
        <v>0</v>
      </c>
      <c r="M220" s="15">
        <v>0</v>
      </c>
      <c r="N220" s="15" t="s">
        <v>3028</v>
      </c>
      <c r="O220" s="9" t="s">
        <v>3028</v>
      </c>
    </row>
    <row r="221" spans="1:15" x14ac:dyDescent="0.2">
      <c r="A221" s="10" t="s">
        <v>604</v>
      </c>
      <c r="B221" s="15">
        <v>0</v>
      </c>
      <c r="C221" s="15">
        <v>0</v>
      </c>
      <c r="D221" s="15">
        <v>0</v>
      </c>
      <c r="E221" s="15">
        <v>495</v>
      </c>
      <c r="F221" s="15">
        <v>0</v>
      </c>
      <c r="G221" s="15">
        <v>0</v>
      </c>
      <c r="H221" s="15">
        <v>0</v>
      </c>
      <c r="I221" s="15">
        <v>0</v>
      </c>
      <c r="J221" s="15">
        <v>0</v>
      </c>
      <c r="K221" s="15">
        <v>0</v>
      </c>
      <c r="L221" s="15">
        <v>0</v>
      </c>
      <c r="M221" s="15">
        <v>0</v>
      </c>
      <c r="N221" s="15" t="s">
        <v>3028</v>
      </c>
      <c r="O221" s="9" t="s">
        <v>3028</v>
      </c>
    </row>
    <row r="222" spans="1:15" x14ac:dyDescent="0.2">
      <c r="A222" s="10" t="s">
        <v>612</v>
      </c>
      <c r="B222" s="15">
        <v>0</v>
      </c>
      <c r="C222" s="15">
        <v>825</v>
      </c>
      <c r="D222" s="15">
        <v>0</v>
      </c>
      <c r="E222" s="15">
        <v>0</v>
      </c>
      <c r="F222" s="15">
        <v>0</v>
      </c>
      <c r="G222" s="15">
        <v>0</v>
      </c>
      <c r="H222" s="15">
        <v>0</v>
      </c>
      <c r="I222" s="15">
        <v>0</v>
      </c>
      <c r="J222" s="15">
        <v>1100</v>
      </c>
      <c r="K222" s="15">
        <v>0</v>
      </c>
      <c r="L222" s="15">
        <v>0</v>
      </c>
      <c r="M222" s="15">
        <v>0</v>
      </c>
      <c r="N222" s="15" t="s">
        <v>3028</v>
      </c>
      <c r="O222" s="9" t="s">
        <v>3028</v>
      </c>
    </row>
    <row r="223" spans="1:15" x14ac:dyDescent="0.2">
      <c r="A223" s="10" t="s">
        <v>614</v>
      </c>
      <c r="B223" s="15">
        <v>0</v>
      </c>
      <c r="C223" s="15">
        <v>0</v>
      </c>
      <c r="D223" s="15">
        <v>0</v>
      </c>
      <c r="E223" s="15">
        <v>825</v>
      </c>
      <c r="F223" s="15">
        <v>0</v>
      </c>
      <c r="G223" s="15">
        <v>0</v>
      </c>
      <c r="H223" s="15">
        <v>0</v>
      </c>
      <c r="I223" s="15">
        <v>0</v>
      </c>
      <c r="J223" s="15">
        <v>0</v>
      </c>
      <c r="K223" s="15">
        <v>0</v>
      </c>
      <c r="L223" s="15">
        <v>0</v>
      </c>
      <c r="M223" s="15">
        <v>0</v>
      </c>
      <c r="N223" s="15" t="s">
        <v>3028</v>
      </c>
      <c r="O223" s="9" t="s">
        <v>3028</v>
      </c>
    </row>
    <row r="224" spans="1:15" x14ac:dyDescent="0.2">
      <c r="A224" s="10" t="s">
        <v>616</v>
      </c>
      <c r="B224" s="15">
        <v>0</v>
      </c>
      <c r="C224" s="15">
        <v>0</v>
      </c>
      <c r="D224" s="15">
        <v>0</v>
      </c>
      <c r="E224" s="15">
        <v>825</v>
      </c>
      <c r="F224" s="15">
        <v>0</v>
      </c>
      <c r="G224" s="15">
        <v>0</v>
      </c>
      <c r="H224" s="15">
        <v>0</v>
      </c>
      <c r="I224" s="15">
        <v>641.66</v>
      </c>
      <c r="J224" s="15">
        <v>0</v>
      </c>
      <c r="K224" s="15">
        <v>0</v>
      </c>
      <c r="L224" s="15">
        <v>0</v>
      </c>
      <c r="M224" s="15">
        <v>0</v>
      </c>
      <c r="N224" s="15" t="s">
        <v>3028</v>
      </c>
      <c r="O224" s="9" t="s">
        <v>3028</v>
      </c>
    </row>
    <row r="225" spans="1:15" x14ac:dyDescent="0.2">
      <c r="A225" s="10" t="s">
        <v>618</v>
      </c>
      <c r="B225" s="15">
        <v>0</v>
      </c>
      <c r="C225" s="15">
        <v>0</v>
      </c>
      <c r="D225" s="15">
        <v>0</v>
      </c>
      <c r="E225" s="15">
        <v>825</v>
      </c>
      <c r="F225" s="15">
        <v>0</v>
      </c>
      <c r="G225" s="15">
        <v>0</v>
      </c>
      <c r="H225" s="15">
        <v>0</v>
      </c>
      <c r="I225" s="15">
        <v>0</v>
      </c>
      <c r="J225" s="15">
        <v>0</v>
      </c>
      <c r="K225" s="15">
        <v>0</v>
      </c>
      <c r="L225" s="15">
        <v>0</v>
      </c>
      <c r="M225" s="15">
        <v>0</v>
      </c>
      <c r="N225" s="15" t="s">
        <v>3028</v>
      </c>
      <c r="O225" s="9" t="s">
        <v>3028</v>
      </c>
    </row>
    <row r="226" spans="1:15" x14ac:dyDescent="0.2">
      <c r="A226" s="10" t="s">
        <v>620</v>
      </c>
      <c r="B226" s="15">
        <v>0</v>
      </c>
      <c r="C226" s="15">
        <v>0</v>
      </c>
      <c r="D226" s="15">
        <v>0</v>
      </c>
      <c r="E226" s="15">
        <v>825</v>
      </c>
      <c r="F226" s="15">
        <v>0</v>
      </c>
      <c r="G226" s="15">
        <v>0</v>
      </c>
      <c r="H226" s="15">
        <v>0</v>
      </c>
      <c r="I226" s="15">
        <v>0</v>
      </c>
      <c r="J226" s="15">
        <v>0</v>
      </c>
      <c r="K226" s="15">
        <v>0</v>
      </c>
      <c r="L226" s="15">
        <v>0</v>
      </c>
      <c r="M226" s="15">
        <v>0</v>
      </c>
      <c r="N226" s="15" t="s">
        <v>3028</v>
      </c>
      <c r="O226" s="9" t="s">
        <v>3028</v>
      </c>
    </row>
    <row r="227" spans="1:15" x14ac:dyDescent="0.2">
      <c r="A227" s="10" t="s">
        <v>622</v>
      </c>
      <c r="B227" s="15">
        <v>0</v>
      </c>
      <c r="C227" s="15">
        <v>0</v>
      </c>
      <c r="D227" s="15">
        <v>0</v>
      </c>
      <c r="E227" s="15">
        <v>825</v>
      </c>
      <c r="F227" s="15">
        <v>0</v>
      </c>
      <c r="G227" s="15">
        <v>0</v>
      </c>
      <c r="H227" s="15">
        <v>0</v>
      </c>
      <c r="I227" s="15">
        <v>0</v>
      </c>
      <c r="J227" s="15">
        <v>0</v>
      </c>
      <c r="K227" s="15">
        <v>0</v>
      </c>
      <c r="L227" s="15">
        <v>0</v>
      </c>
      <c r="M227" s="15">
        <v>0</v>
      </c>
      <c r="N227" s="15" t="s">
        <v>3028</v>
      </c>
      <c r="O227" s="9" t="s">
        <v>3028</v>
      </c>
    </row>
    <row r="228" spans="1:15" x14ac:dyDescent="0.2">
      <c r="A228" s="10" t="s">
        <v>624</v>
      </c>
      <c r="B228" s="15">
        <v>0</v>
      </c>
      <c r="C228" s="15">
        <v>0</v>
      </c>
      <c r="D228" s="15">
        <v>0</v>
      </c>
      <c r="E228" s="15">
        <v>825</v>
      </c>
      <c r="F228" s="15">
        <v>0</v>
      </c>
      <c r="G228" s="15">
        <v>0</v>
      </c>
      <c r="H228" s="15">
        <v>0</v>
      </c>
      <c r="I228" s="15">
        <v>0</v>
      </c>
      <c r="J228" s="15">
        <v>0</v>
      </c>
      <c r="K228" s="15">
        <v>0</v>
      </c>
      <c r="L228" s="15">
        <v>0</v>
      </c>
      <c r="M228" s="15">
        <v>0</v>
      </c>
      <c r="N228" s="15" t="s">
        <v>3028</v>
      </c>
      <c r="O228" s="9" t="s">
        <v>3028</v>
      </c>
    </row>
    <row r="229" spans="1:15" x14ac:dyDescent="0.2">
      <c r="A229" s="10" t="s">
        <v>626</v>
      </c>
      <c r="B229" s="15">
        <v>0</v>
      </c>
      <c r="C229" s="15">
        <v>916.66</v>
      </c>
      <c r="D229" s="15">
        <v>0</v>
      </c>
      <c r="E229" s="15">
        <v>0</v>
      </c>
      <c r="F229" s="15">
        <v>0</v>
      </c>
      <c r="G229" s="15">
        <v>0</v>
      </c>
      <c r="H229" s="15">
        <v>0</v>
      </c>
      <c r="I229" s="15">
        <v>0</v>
      </c>
      <c r="J229" s="15">
        <v>0</v>
      </c>
      <c r="K229" s="15">
        <v>0</v>
      </c>
      <c r="L229" s="15">
        <v>0</v>
      </c>
      <c r="M229" s="15">
        <v>0</v>
      </c>
      <c r="N229" s="15" t="s">
        <v>3028</v>
      </c>
      <c r="O229" s="9" t="s">
        <v>3028</v>
      </c>
    </row>
    <row r="230" spans="1:15" x14ac:dyDescent="0.2">
      <c r="A230" s="10" t="s">
        <v>628</v>
      </c>
      <c r="B230" s="15">
        <v>0</v>
      </c>
      <c r="C230" s="15">
        <v>0</v>
      </c>
      <c r="D230" s="15">
        <v>0</v>
      </c>
      <c r="E230" s="15">
        <v>1100</v>
      </c>
      <c r="F230" s="15">
        <v>0</v>
      </c>
      <c r="G230" s="15">
        <v>0</v>
      </c>
      <c r="H230" s="15">
        <v>0</v>
      </c>
      <c r="I230" s="15">
        <v>0</v>
      </c>
      <c r="J230" s="15">
        <v>0</v>
      </c>
      <c r="K230" s="15">
        <v>0</v>
      </c>
      <c r="L230" s="15">
        <v>0</v>
      </c>
      <c r="M230" s="15">
        <v>0</v>
      </c>
      <c r="N230" s="15" t="s">
        <v>3028</v>
      </c>
      <c r="O230" s="9" t="s">
        <v>3028</v>
      </c>
    </row>
    <row r="231" spans="1:15" x14ac:dyDescent="0.2">
      <c r="A231" s="10" t="s">
        <v>630</v>
      </c>
      <c r="B231" s="15">
        <v>0</v>
      </c>
      <c r="C231" s="15">
        <v>0</v>
      </c>
      <c r="D231" s="15">
        <v>0</v>
      </c>
      <c r="E231" s="15">
        <v>550</v>
      </c>
      <c r="F231" s="15">
        <v>0</v>
      </c>
      <c r="G231" s="15">
        <v>0</v>
      </c>
      <c r="H231" s="15">
        <v>0</v>
      </c>
      <c r="I231" s="15">
        <v>0</v>
      </c>
      <c r="J231" s="15">
        <v>0</v>
      </c>
      <c r="K231" s="15">
        <v>0</v>
      </c>
      <c r="L231" s="15">
        <v>0</v>
      </c>
      <c r="M231" s="15">
        <v>0</v>
      </c>
      <c r="N231" s="15" t="s">
        <v>3028</v>
      </c>
      <c r="O231" s="9" t="s">
        <v>3028</v>
      </c>
    </row>
    <row r="232" spans="1:15" x14ac:dyDescent="0.2">
      <c r="A232" s="10" t="s">
        <v>634</v>
      </c>
      <c r="B232" s="15">
        <v>0</v>
      </c>
      <c r="C232" s="15">
        <v>0</v>
      </c>
      <c r="D232" s="15">
        <v>0</v>
      </c>
      <c r="E232" s="15">
        <v>825</v>
      </c>
      <c r="F232" s="15">
        <v>0</v>
      </c>
      <c r="G232" s="15">
        <v>0</v>
      </c>
      <c r="H232" s="15">
        <v>0</v>
      </c>
      <c r="I232" s="15">
        <v>0</v>
      </c>
      <c r="J232" s="15">
        <v>0</v>
      </c>
      <c r="K232" s="15">
        <v>0</v>
      </c>
      <c r="L232" s="15">
        <v>0</v>
      </c>
      <c r="M232" s="15">
        <v>0</v>
      </c>
      <c r="N232" s="15" t="s">
        <v>3028</v>
      </c>
      <c r="O232" s="9" t="s">
        <v>3028</v>
      </c>
    </row>
    <row r="233" spans="1:15" x14ac:dyDescent="0.2">
      <c r="A233" s="10" t="s">
        <v>636</v>
      </c>
      <c r="B233" s="15">
        <v>0</v>
      </c>
      <c r="C233" s="15">
        <v>0</v>
      </c>
      <c r="D233" s="15">
        <v>0</v>
      </c>
      <c r="E233" s="15">
        <v>825</v>
      </c>
      <c r="F233" s="15">
        <v>0</v>
      </c>
      <c r="G233" s="15">
        <v>0</v>
      </c>
      <c r="H233" s="15">
        <v>0</v>
      </c>
      <c r="I233" s="15">
        <v>0</v>
      </c>
      <c r="J233" s="15">
        <v>0</v>
      </c>
      <c r="K233" s="15">
        <v>0</v>
      </c>
      <c r="L233" s="15">
        <v>0</v>
      </c>
      <c r="M233" s="15">
        <v>0</v>
      </c>
      <c r="N233" s="15" t="s">
        <v>3028</v>
      </c>
      <c r="O233" s="9" t="s">
        <v>3028</v>
      </c>
    </row>
    <row r="234" spans="1:15" x14ac:dyDescent="0.2">
      <c r="A234" s="10" t="s">
        <v>638</v>
      </c>
      <c r="B234" s="15">
        <v>0</v>
      </c>
      <c r="C234" s="15">
        <v>0</v>
      </c>
      <c r="D234" s="15">
        <v>0</v>
      </c>
      <c r="E234" s="15">
        <v>825</v>
      </c>
      <c r="F234" s="15">
        <v>0</v>
      </c>
      <c r="G234" s="15">
        <v>0</v>
      </c>
      <c r="H234" s="15">
        <v>0</v>
      </c>
      <c r="I234" s="15">
        <v>0</v>
      </c>
      <c r="J234" s="15">
        <v>0</v>
      </c>
      <c r="K234" s="15">
        <v>0</v>
      </c>
      <c r="L234" s="15">
        <v>0</v>
      </c>
      <c r="M234" s="15">
        <v>0</v>
      </c>
      <c r="N234" s="15" t="s">
        <v>3028</v>
      </c>
      <c r="O234" s="9" t="s">
        <v>3028</v>
      </c>
    </row>
    <row r="235" spans="1:15" x14ac:dyDescent="0.2">
      <c r="A235" s="10" t="s">
        <v>640</v>
      </c>
      <c r="B235" s="15">
        <v>0</v>
      </c>
      <c r="C235" s="15">
        <v>0</v>
      </c>
      <c r="D235" s="15">
        <v>0</v>
      </c>
      <c r="E235" s="15">
        <v>495</v>
      </c>
      <c r="F235" s="15">
        <v>0</v>
      </c>
      <c r="G235" s="15">
        <v>0</v>
      </c>
      <c r="H235" s="15">
        <v>0</v>
      </c>
      <c r="I235" s="15">
        <v>0</v>
      </c>
      <c r="J235" s="15">
        <v>0</v>
      </c>
      <c r="K235" s="15">
        <v>0</v>
      </c>
      <c r="L235" s="15">
        <v>0</v>
      </c>
      <c r="M235" s="15">
        <v>0</v>
      </c>
      <c r="N235" s="15" t="s">
        <v>3028</v>
      </c>
      <c r="O235" s="9" t="s">
        <v>3028</v>
      </c>
    </row>
    <row r="236" spans="1:15" x14ac:dyDescent="0.2">
      <c r="A236" s="10" t="s">
        <v>642</v>
      </c>
      <c r="B236" s="15">
        <v>0</v>
      </c>
      <c r="C236" s="15">
        <v>0</v>
      </c>
      <c r="D236" s="15">
        <v>0</v>
      </c>
      <c r="E236" s="15">
        <v>825</v>
      </c>
      <c r="F236" s="15">
        <v>0</v>
      </c>
      <c r="G236" s="15">
        <v>0</v>
      </c>
      <c r="H236" s="15">
        <v>0</v>
      </c>
      <c r="I236" s="15">
        <v>0</v>
      </c>
      <c r="J236" s="15">
        <v>0</v>
      </c>
      <c r="K236" s="15">
        <v>0</v>
      </c>
      <c r="L236" s="15">
        <v>0</v>
      </c>
      <c r="M236" s="15">
        <v>0</v>
      </c>
      <c r="N236" s="15" t="s">
        <v>3028</v>
      </c>
      <c r="O236" s="9" t="s">
        <v>3028</v>
      </c>
    </row>
    <row r="237" spans="1:15" x14ac:dyDescent="0.2">
      <c r="A237" s="10" t="s">
        <v>644</v>
      </c>
      <c r="B237" s="15">
        <v>0</v>
      </c>
      <c r="C237" s="15">
        <v>0</v>
      </c>
      <c r="D237" s="15">
        <v>0</v>
      </c>
      <c r="E237" s="15">
        <v>825</v>
      </c>
      <c r="F237" s="15">
        <v>0</v>
      </c>
      <c r="G237" s="15">
        <v>0</v>
      </c>
      <c r="H237" s="15">
        <v>0</v>
      </c>
      <c r="I237" s="15">
        <v>0</v>
      </c>
      <c r="J237" s="15">
        <v>0</v>
      </c>
      <c r="K237" s="15">
        <v>0</v>
      </c>
      <c r="L237" s="15">
        <v>0</v>
      </c>
      <c r="M237" s="15">
        <v>0</v>
      </c>
      <c r="N237" s="15" t="s">
        <v>3028</v>
      </c>
      <c r="O237" s="9" t="s">
        <v>3028</v>
      </c>
    </row>
    <row r="238" spans="1:15" x14ac:dyDescent="0.2">
      <c r="A238" s="10" t="s">
        <v>646</v>
      </c>
      <c r="B238" s="15">
        <v>0</v>
      </c>
      <c r="C238" s="15">
        <v>0</v>
      </c>
      <c r="D238" s="15">
        <v>0</v>
      </c>
      <c r="E238" s="15">
        <v>825</v>
      </c>
      <c r="F238" s="15">
        <v>0</v>
      </c>
      <c r="G238" s="15">
        <v>0</v>
      </c>
      <c r="H238" s="15">
        <v>0</v>
      </c>
      <c r="I238" s="15">
        <v>0</v>
      </c>
      <c r="J238" s="15">
        <v>0</v>
      </c>
      <c r="K238" s="15">
        <v>0</v>
      </c>
      <c r="L238" s="15">
        <v>0</v>
      </c>
      <c r="M238" s="15">
        <v>0</v>
      </c>
      <c r="N238" s="15" t="s">
        <v>3028</v>
      </c>
      <c r="O238" s="9" t="s">
        <v>3028</v>
      </c>
    </row>
    <row r="239" spans="1:15" x14ac:dyDescent="0.2">
      <c r="A239" s="10" t="s">
        <v>648</v>
      </c>
      <c r="B239" s="15">
        <v>495</v>
      </c>
      <c r="C239" s="15">
        <v>0</v>
      </c>
      <c r="D239" s="15">
        <v>0</v>
      </c>
      <c r="E239" s="15">
        <v>0</v>
      </c>
      <c r="F239" s="15">
        <v>0</v>
      </c>
      <c r="G239" s="15">
        <v>0</v>
      </c>
      <c r="H239" s="15">
        <v>0</v>
      </c>
      <c r="I239" s="15">
        <v>0</v>
      </c>
      <c r="J239" s="15">
        <v>0</v>
      </c>
      <c r="K239" s="15">
        <v>0</v>
      </c>
      <c r="L239" s="15">
        <v>0</v>
      </c>
      <c r="M239" s="15">
        <v>0</v>
      </c>
      <c r="N239" s="15" t="s">
        <v>3028</v>
      </c>
      <c r="O239" s="9" t="s">
        <v>3028</v>
      </c>
    </row>
    <row r="240" spans="1:15" x14ac:dyDescent="0.2">
      <c r="A240" s="10" t="s">
        <v>650</v>
      </c>
      <c r="B240" s="15">
        <v>0</v>
      </c>
      <c r="C240" s="15">
        <v>0</v>
      </c>
      <c r="D240" s="15">
        <v>0</v>
      </c>
      <c r="E240" s="15">
        <v>825</v>
      </c>
      <c r="F240" s="15">
        <v>0</v>
      </c>
      <c r="G240" s="15">
        <v>0</v>
      </c>
      <c r="H240" s="15">
        <v>0</v>
      </c>
      <c r="I240" s="15">
        <v>0</v>
      </c>
      <c r="J240" s="15">
        <v>0</v>
      </c>
      <c r="K240" s="15">
        <v>0</v>
      </c>
      <c r="L240" s="15">
        <v>0</v>
      </c>
      <c r="M240" s="15">
        <v>0</v>
      </c>
      <c r="N240" s="15" t="s">
        <v>3028</v>
      </c>
      <c r="O240" s="9" t="s">
        <v>3028</v>
      </c>
    </row>
    <row r="241" spans="1:15" x14ac:dyDescent="0.2">
      <c r="A241" s="10" t="s">
        <v>652</v>
      </c>
      <c r="B241" s="15">
        <v>0</v>
      </c>
      <c r="C241" s="15">
        <v>0</v>
      </c>
      <c r="D241" s="15">
        <v>0</v>
      </c>
      <c r="E241" s="15">
        <v>825</v>
      </c>
      <c r="F241" s="15">
        <v>0</v>
      </c>
      <c r="G241" s="15">
        <v>0</v>
      </c>
      <c r="H241" s="15">
        <v>0</v>
      </c>
      <c r="I241" s="15">
        <v>0</v>
      </c>
      <c r="J241" s="15">
        <v>0</v>
      </c>
      <c r="K241" s="15">
        <v>0</v>
      </c>
      <c r="L241" s="15">
        <v>0</v>
      </c>
      <c r="M241" s="15">
        <v>0</v>
      </c>
      <c r="N241" s="15" t="s">
        <v>3028</v>
      </c>
      <c r="O241" s="9" t="s">
        <v>3028</v>
      </c>
    </row>
    <row r="242" spans="1:15" x14ac:dyDescent="0.2">
      <c r="A242" s="10" t="s">
        <v>654</v>
      </c>
      <c r="B242" s="15">
        <v>0</v>
      </c>
      <c r="C242" s="15">
        <v>0</v>
      </c>
      <c r="D242" s="15">
        <v>0</v>
      </c>
      <c r="E242" s="15">
        <v>825</v>
      </c>
      <c r="F242" s="15">
        <v>0</v>
      </c>
      <c r="G242" s="15">
        <v>0</v>
      </c>
      <c r="H242" s="15">
        <v>0</v>
      </c>
      <c r="I242" s="15">
        <v>0</v>
      </c>
      <c r="J242" s="15">
        <v>0</v>
      </c>
      <c r="K242" s="15">
        <v>0</v>
      </c>
      <c r="L242" s="15">
        <v>0</v>
      </c>
      <c r="M242" s="15">
        <v>0</v>
      </c>
      <c r="N242" s="15" t="s">
        <v>3028</v>
      </c>
      <c r="O242" s="9" t="s">
        <v>3028</v>
      </c>
    </row>
    <row r="243" spans="1:15" x14ac:dyDescent="0.2">
      <c r="A243" s="10" t="s">
        <v>656</v>
      </c>
      <c r="B243" s="15">
        <v>0</v>
      </c>
      <c r="C243" s="15">
        <v>0</v>
      </c>
      <c r="D243" s="15">
        <v>0</v>
      </c>
      <c r="E243" s="15">
        <v>825</v>
      </c>
      <c r="F243" s="15">
        <v>0</v>
      </c>
      <c r="G243" s="15">
        <v>0</v>
      </c>
      <c r="H243" s="15">
        <v>0</v>
      </c>
      <c r="I243" s="15">
        <v>0</v>
      </c>
      <c r="J243" s="15">
        <v>0</v>
      </c>
      <c r="K243" s="15">
        <v>0</v>
      </c>
      <c r="L243" s="15">
        <v>0</v>
      </c>
      <c r="M243" s="15">
        <v>0</v>
      </c>
      <c r="N243" s="15" t="s">
        <v>3028</v>
      </c>
      <c r="O243" s="9" t="s">
        <v>3028</v>
      </c>
    </row>
    <row r="244" spans="1:15" x14ac:dyDescent="0.2">
      <c r="A244" s="10" t="s">
        <v>658</v>
      </c>
      <c r="B244" s="15">
        <v>0</v>
      </c>
      <c r="C244" s="15">
        <v>0</v>
      </c>
      <c r="D244" s="15">
        <v>0</v>
      </c>
      <c r="E244" s="15">
        <v>825</v>
      </c>
      <c r="F244" s="15">
        <v>0</v>
      </c>
      <c r="G244" s="15">
        <v>0</v>
      </c>
      <c r="H244" s="15">
        <v>0</v>
      </c>
      <c r="I244" s="15">
        <v>0</v>
      </c>
      <c r="J244" s="15">
        <v>0</v>
      </c>
      <c r="K244" s="15">
        <v>0</v>
      </c>
      <c r="L244" s="15">
        <v>0</v>
      </c>
      <c r="M244" s="15">
        <v>0</v>
      </c>
      <c r="N244" s="15" t="s">
        <v>3028</v>
      </c>
      <c r="O244" s="9" t="s">
        <v>3028</v>
      </c>
    </row>
    <row r="245" spans="1:15" x14ac:dyDescent="0.2">
      <c r="A245" s="10" t="s">
        <v>660</v>
      </c>
      <c r="B245" s="15">
        <v>0</v>
      </c>
      <c r="C245" s="15">
        <v>0</v>
      </c>
      <c r="D245" s="15">
        <v>0</v>
      </c>
      <c r="E245" s="15">
        <v>825</v>
      </c>
      <c r="F245" s="15">
        <v>0</v>
      </c>
      <c r="G245" s="15">
        <v>0</v>
      </c>
      <c r="H245" s="15">
        <v>0</v>
      </c>
      <c r="I245" s="15">
        <v>0</v>
      </c>
      <c r="J245" s="15">
        <v>0</v>
      </c>
      <c r="K245" s="15">
        <v>0</v>
      </c>
      <c r="L245" s="15">
        <v>0</v>
      </c>
      <c r="M245" s="15">
        <v>0</v>
      </c>
      <c r="N245" s="15" t="s">
        <v>3028</v>
      </c>
      <c r="O245" s="9" t="s">
        <v>3028</v>
      </c>
    </row>
    <row r="246" spans="1:15" x14ac:dyDescent="0.2">
      <c r="A246" s="10" t="s">
        <v>662</v>
      </c>
      <c r="B246" s="15">
        <v>0</v>
      </c>
      <c r="C246" s="15">
        <v>0</v>
      </c>
      <c r="D246" s="15">
        <v>0</v>
      </c>
      <c r="E246" s="15">
        <v>825</v>
      </c>
      <c r="F246" s="15">
        <v>0</v>
      </c>
      <c r="G246" s="15">
        <v>0</v>
      </c>
      <c r="H246" s="15">
        <v>0</v>
      </c>
      <c r="I246" s="15">
        <v>0</v>
      </c>
      <c r="J246" s="15">
        <v>0</v>
      </c>
      <c r="K246" s="15">
        <v>0</v>
      </c>
      <c r="L246" s="15">
        <v>916.67</v>
      </c>
      <c r="M246" s="15">
        <v>0</v>
      </c>
      <c r="N246" s="15" t="s">
        <v>3028</v>
      </c>
      <c r="O246" s="9" t="s">
        <v>3028</v>
      </c>
    </row>
    <row r="247" spans="1:15" x14ac:dyDescent="0.2">
      <c r="A247" s="10" t="s">
        <v>666</v>
      </c>
      <c r="B247" s="15">
        <v>0</v>
      </c>
      <c r="C247" s="15">
        <v>0</v>
      </c>
      <c r="D247" s="15">
        <v>0</v>
      </c>
      <c r="E247" s="15">
        <v>55</v>
      </c>
      <c r="F247" s="15">
        <v>0</v>
      </c>
      <c r="G247" s="15">
        <v>0</v>
      </c>
      <c r="H247" s="15">
        <v>0</v>
      </c>
      <c r="I247" s="15">
        <v>0</v>
      </c>
      <c r="J247" s="15">
        <v>0</v>
      </c>
      <c r="K247" s="15">
        <v>0</v>
      </c>
      <c r="L247" s="15">
        <v>0</v>
      </c>
      <c r="M247" s="15">
        <v>0</v>
      </c>
      <c r="N247" s="15" t="s">
        <v>3028</v>
      </c>
      <c r="O247" s="9" t="s">
        <v>3028</v>
      </c>
    </row>
    <row r="248" spans="1:15" x14ac:dyDescent="0.2">
      <c r="A248" s="10" t="s">
        <v>668</v>
      </c>
      <c r="B248" s="15">
        <v>0</v>
      </c>
      <c r="C248" s="15">
        <v>0</v>
      </c>
      <c r="D248" s="15">
        <v>0</v>
      </c>
      <c r="E248" s="15">
        <v>825</v>
      </c>
      <c r="F248" s="15">
        <v>0</v>
      </c>
      <c r="G248" s="15">
        <v>0</v>
      </c>
      <c r="H248" s="15">
        <v>0</v>
      </c>
      <c r="I248" s="15">
        <v>0</v>
      </c>
      <c r="J248" s="15">
        <v>0</v>
      </c>
      <c r="K248" s="15">
        <v>825</v>
      </c>
      <c r="L248" s="15">
        <v>0</v>
      </c>
      <c r="M248" s="15">
        <v>0</v>
      </c>
      <c r="N248" s="15" t="s">
        <v>3028</v>
      </c>
      <c r="O248" s="9" t="s">
        <v>3028</v>
      </c>
    </row>
    <row r="249" spans="1:15" x14ac:dyDescent="0.2">
      <c r="A249" s="10" t="s">
        <v>670</v>
      </c>
      <c r="B249" s="15">
        <v>0</v>
      </c>
      <c r="C249" s="15">
        <v>0</v>
      </c>
      <c r="D249" s="15">
        <v>0</v>
      </c>
      <c r="E249" s="15">
        <v>495</v>
      </c>
      <c r="F249" s="15">
        <v>0</v>
      </c>
      <c r="G249" s="15">
        <v>0</v>
      </c>
      <c r="H249" s="15">
        <v>0</v>
      </c>
      <c r="I249" s="15">
        <v>0</v>
      </c>
      <c r="J249" s="15">
        <v>0</v>
      </c>
      <c r="K249" s="15">
        <v>0</v>
      </c>
      <c r="L249" s="15">
        <v>0</v>
      </c>
      <c r="M249" s="15">
        <v>0</v>
      </c>
      <c r="N249" s="15" t="s">
        <v>3028</v>
      </c>
      <c r="O249" s="9" t="s">
        <v>3028</v>
      </c>
    </row>
    <row r="250" spans="1:15" x14ac:dyDescent="0.2">
      <c r="A250" s="10" t="s">
        <v>672</v>
      </c>
      <c r="B250" s="15">
        <v>0</v>
      </c>
      <c r="C250" s="15">
        <v>0</v>
      </c>
      <c r="D250" s="15">
        <v>0</v>
      </c>
      <c r="E250" s="15">
        <v>825</v>
      </c>
      <c r="F250" s="15">
        <v>0</v>
      </c>
      <c r="G250" s="15">
        <v>0</v>
      </c>
      <c r="H250" s="15">
        <v>0</v>
      </c>
      <c r="I250" s="15">
        <v>0</v>
      </c>
      <c r="J250" s="15">
        <v>0</v>
      </c>
      <c r="K250" s="15">
        <v>0</v>
      </c>
      <c r="L250" s="15">
        <v>0</v>
      </c>
      <c r="M250" s="15">
        <v>0</v>
      </c>
      <c r="N250" s="15" t="s">
        <v>3028</v>
      </c>
      <c r="O250" s="9" t="s">
        <v>3028</v>
      </c>
    </row>
    <row r="251" spans="1:15" x14ac:dyDescent="0.2">
      <c r="A251" s="10" t="s">
        <v>676</v>
      </c>
      <c r="B251" s="15">
        <v>0</v>
      </c>
      <c r="C251" s="15">
        <v>0</v>
      </c>
      <c r="D251" s="15">
        <v>0</v>
      </c>
      <c r="E251" s="15">
        <v>825</v>
      </c>
      <c r="F251" s="15">
        <v>0</v>
      </c>
      <c r="G251" s="15">
        <v>0</v>
      </c>
      <c r="H251" s="15">
        <v>0</v>
      </c>
      <c r="I251" s="15">
        <v>0</v>
      </c>
      <c r="J251" s="15">
        <v>0</v>
      </c>
      <c r="K251" s="15">
        <v>0</v>
      </c>
      <c r="L251" s="15">
        <v>0</v>
      </c>
      <c r="M251" s="15">
        <v>0</v>
      </c>
      <c r="N251" s="15" t="s">
        <v>3028</v>
      </c>
      <c r="O251" s="9" t="s">
        <v>3028</v>
      </c>
    </row>
    <row r="252" spans="1:15" x14ac:dyDescent="0.2">
      <c r="A252" s="10" t="s">
        <v>678</v>
      </c>
      <c r="B252" s="15">
        <v>0</v>
      </c>
      <c r="C252" s="15">
        <v>0</v>
      </c>
      <c r="D252" s="15">
        <v>0</v>
      </c>
      <c r="E252" s="15">
        <v>825</v>
      </c>
      <c r="F252" s="15">
        <v>0</v>
      </c>
      <c r="G252" s="15">
        <v>0</v>
      </c>
      <c r="H252" s="15">
        <v>0</v>
      </c>
      <c r="I252" s="15">
        <v>0</v>
      </c>
      <c r="J252" s="15">
        <v>0</v>
      </c>
      <c r="K252" s="15">
        <v>0</v>
      </c>
      <c r="L252" s="15">
        <v>0</v>
      </c>
      <c r="M252" s="15">
        <v>0</v>
      </c>
      <c r="N252" s="15" t="s">
        <v>3028</v>
      </c>
      <c r="O252" s="9" t="s">
        <v>3028</v>
      </c>
    </row>
    <row r="253" spans="1:15" x14ac:dyDescent="0.2">
      <c r="A253" s="10" t="s">
        <v>680</v>
      </c>
      <c r="B253" s="15">
        <v>0</v>
      </c>
      <c r="C253" s="15">
        <v>0</v>
      </c>
      <c r="D253" s="15">
        <v>0</v>
      </c>
      <c r="E253" s="15">
        <v>825</v>
      </c>
      <c r="F253" s="15">
        <v>0</v>
      </c>
      <c r="G253" s="15">
        <v>0</v>
      </c>
      <c r="H253" s="15">
        <v>0</v>
      </c>
      <c r="I253" s="15">
        <v>0</v>
      </c>
      <c r="J253" s="15">
        <v>0</v>
      </c>
      <c r="K253" s="15">
        <v>0</v>
      </c>
      <c r="L253" s="15">
        <v>0</v>
      </c>
      <c r="M253" s="15">
        <v>0</v>
      </c>
      <c r="N253" s="15" t="s">
        <v>3028</v>
      </c>
      <c r="O253" s="9" t="s">
        <v>3028</v>
      </c>
    </row>
    <row r="254" spans="1:15" x14ac:dyDescent="0.2">
      <c r="A254" s="10" t="s">
        <v>682</v>
      </c>
      <c r="B254" s="15">
        <v>0</v>
      </c>
      <c r="C254" s="15">
        <v>0</v>
      </c>
      <c r="D254" s="15">
        <v>0</v>
      </c>
      <c r="E254" s="15">
        <v>825</v>
      </c>
      <c r="F254" s="15">
        <v>0</v>
      </c>
      <c r="G254" s="15">
        <v>0</v>
      </c>
      <c r="H254" s="15">
        <v>0</v>
      </c>
      <c r="I254" s="15">
        <v>0</v>
      </c>
      <c r="J254" s="15">
        <v>0</v>
      </c>
      <c r="K254" s="15">
        <v>0</v>
      </c>
      <c r="L254" s="15">
        <v>0</v>
      </c>
      <c r="M254" s="15">
        <v>0</v>
      </c>
      <c r="N254" s="15" t="s">
        <v>3028</v>
      </c>
      <c r="O254" s="9" t="s">
        <v>3028</v>
      </c>
    </row>
    <row r="255" spans="1:15" x14ac:dyDescent="0.2">
      <c r="A255" s="10" t="s">
        <v>684</v>
      </c>
      <c r="B255" s="15">
        <v>0</v>
      </c>
      <c r="C255" s="15">
        <v>0</v>
      </c>
      <c r="D255" s="15">
        <v>0</v>
      </c>
      <c r="E255" s="15">
        <v>495</v>
      </c>
      <c r="F255" s="15">
        <v>0</v>
      </c>
      <c r="G255" s="15">
        <v>0</v>
      </c>
      <c r="H255" s="15">
        <v>0</v>
      </c>
      <c r="I255" s="15">
        <v>0</v>
      </c>
      <c r="J255" s="15">
        <v>0</v>
      </c>
      <c r="K255" s="15">
        <v>0</v>
      </c>
      <c r="L255" s="15">
        <v>0</v>
      </c>
      <c r="M255" s="15">
        <v>0</v>
      </c>
      <c r="N255" s="15" t="s">
        <v>3028</v>
      </c>
      <c r="O255" s="9" t="s">
        <v>3028</v>
      </c>
    </row>
    <row r="256" spans="1:15" x14ac:dyDescent="0.2">
      <c r="A256" s="10" t="s">
        <v>686</v>
      </c>
      <c r="B256" s="15">
        <v>0</v>
      </c>
      <c r="C256" s="15">
        <v>0</v>
      </c>
      <c r="D256" s="15">
        <v>0</v>
      </c>
      <c r="E256" s="15">
        <v>825</v>
      </c>
      <c r="F256" s="15">
        <v>0</v>
      </c>
      <c r="G256" s="15">
        <v>0</v>
      </c>
      <c r="H256" s="15">
        <v>0</v>
      </c>
      <c r="I256" s="15">
        <v>0</v>
      </c>
      <c r="J256" s="15">
        <v>0</v>
      </c>
      <c r="K256" s="15">
        <v>0</v>
      </c>
      <c r="L256" s="15">
        <v>0</v>
      </c>
      <c r="M256" s="15">
        <v>0</v>
      </c>
      <c r="N256" s="15" t="s">
        <v>3028</v>
      </c>
      <c r="O256" s="9" t="s">
        <v>3028</v>
      </c>
    </row>
    <row r="257" spans="1:15" x14ac:dyDescent="0.2">
      <c r="A257" s="10" t="s">
        <v>688</v>
      </c>
      <c r="B257" s="15">
        <v>0</v>
      </c>
      <c r="C257" s="15">
        <v>0</v>
      </c>
      <c r="D257" s="15">
        <v>0</v>
      </c>
      <c r="E257" s="15">
        <v>825</v>
      </c>
      <c r="F257" s="15">
        <v>0</v>
      </c>
      <c r="G257" s="15">
        <v>0</v>
      </c>
      <c r="H257" s="15">
        <v>0</v>
      </c>
      <c r="I257" s="15">
        <v>0</v>
      </c>
      <c r="J257" s="15">
        <v>0</v>
      </c>
      <c r="K257" s="15">
        <v>0</v>
      </c>
      <c r="L257" s="15">
        <v>0</v>
      </c>
      <c r="M257" s="15">
        <v>0</v>
      </c>
      <c r="N257" s="15" t="s">
        <v>3028</v>
      </c>
      <c r="O257" s="9" t="s">
        <v>3028</v>
      </c>
    </row>
    <row r="258" spans="1:15" x14ac:dyDescent="0.2">
      <c r="A258" s="10" t="s">
        <v>693</v>
      </c>
      <c r="B258" s="15">
        <v>0</v>
      </c>
      <c r="C258" s="15">
        <v>0</v>
      </c>
      <c r="D258" s="15">
        <v>0</v>
      </c>
      <c r="E258" s="15">
        <v>495</v>
      </c>
      <c r="F258" s="15">
        <v>0</v>
      </c>
      <c r="G258" s="15">
        <v>0</v>
      </c>
      <c r="H258" s="15">
        <v>0</v>
      </c>
      <c r="I258" s="15">
        <v>0</v>
      </c>
      <c r="J258" s="15">
        <v>0</v>
      </c>
      <c r="K258" s="15">
        <v>0</v>
      </c>
      <c r="L258" s="15">
        <v>0</v>
      </c>
      <c r="M258" s="15">
        <v>0</v>
      </c>
      <c r="N258" s="15" t="s">
        <v>3028</v>
      </c>
      <c r="O258" s="9" t="s">
        <v>3028</v>
      </c>
    </row>
    <row r="259" spans="1:15" x14ac:dyDescent="0.2">
      <c r="A259" s="10" t="s">
        <v>695</v>
      </c>
      <c r="B259" s="15">
        <v>0</v>
      </c>
      <c r="C259" s="15">
        <v>916.66</v>
      </c>
      <c r="D259" s="15">
        <v>0</v>
      </c>
      <c r="E259" s="15">
        <v>0</v>
      </c>
      <c r="F259" s="15">
        <v>0</v>
      </c>
      <c r="G259" s="15">
        <v>0</v>
      </c>
      <c r="H259" s="15">
        <v>0</v>
      </c>
      <c r="I259" s="15">
        <v>0</v>
      </c>
      <c r="J259" s="15">
        <v>0</v>
      </c>
      <c r="K259" s="15">
        <v>0</v>
      </c>
      <c r="L259" s="15">
        <v>0</v>
      </c>
      <c r="M259" s="15">
        <v>0</v>
      </c>
      <c r="N259" s="15" t="s">
        <v>3028</v>
      </c>
      <c r="O259" s="9" t="s">
        <v>3028</v>
      </c>
    </row>
    <row r="260" spans="1:15" x14ac:dyDescent="0.2">
      <c r="A260" s="10" t="s">
        <v>697</v>
      </c>
      <c r="B260" s="15">
        <v>0</v>
      </c>
      <c r="C260" s="15">
        <v>0</v>
      </c>
      <c r="D260" s="15">
        <v>0</v>
      </c>
      <c r="E260" s="15">
        <v>825</v>
      </c>
      <c r="F260" s="15">
        <v>0</v>
      </c>
      <c r="G260" s="15">
        <v>0</v>
      </c>
      <c r="H260" s="15">
        <v>0</v>
      </c>
      <c r="I260" s="15">
        <v>0</v>
      </c>
      <c r="J260" s="15">
        <v>0</v>
      </c>
      <c r="K260" s="15">
        <v>0</v>
      </c>
      <c r="L260" s="15">
        <v>0</v>
      </c>
      <c r="M260" s="15">
        <v>0</v>
      </c>
      <c r="N260" s="15" t="s">
        <v>3028</v>
      </c>
      <c r="O260" s="9" t="s">
        <v>3028</v>
      </c>
    </row>
    <row r="261" spans="1:15" x14ac:dyDescent="0.2">
      <c r="A261" s="10" t="s">
        <v>699</v>
      </c>
      <c r="B261" s="15">
        <v>0</v>
      </c>
      <c r="C261" s="15">
        <v>0</v>
      </c>
      <c r="D261" s="15">
        <v>0</v>
      </c>
      <c r="E261" s="15">
        <v>825</v>
      </c>
      <c r="F261" s="15">
        <v>0</v>
      </c>
      <c r="G261" s="15">
        <v>0</v>
      </c>
      <c r="H261" s="15">
        <v>0</v>
      </c>
      <c r="I261" s="15">
        <v>0</v>
      </c>
      <c r="J261" s="15">
        <v>0</v>
      </c>
      <c r="K261" s="15">
        <v>0</v>
      </c>
      <c r="L261" s="15">
        <v>0</v>
      </c>
      <c r="M261" s="15">
        <v>0</v>
      </c>
      <c r="N261" s="15" t="s">
        <v>3028</v>
      </c>
      <c r="O261" s="9" t="s">
        <v>3028</v>
      </c>
    </row>
    <row r="262" spans="1:15" x14ac:dyDescent="0.2">
      <c r="A262" s="10" t="s">
        <v>701</v>
      </c>
      <c r="B262" s="15">
        <v>0</v>
      </c>
      <c r="C262" s="15">
        <v>0</v>
      </c>
      <c r="D262" s="15">
        <v>1008.33</v>
      </c>
      <c r="E262" s="15">
        <v>0</v>
      </c>
      <c r="F262" s="15">
        <v>0</v>
      </c>
      <c r="G262" s="15">
        <v>0</v>
      </c>
      <c r="H262" s="15">
        <v>0</v>
      </c>
      <c r="I262" s="15">
        <v>0</v>
      </c>
      <c r="J262" s="15">
        <v>0</v>
      </c>
      <c r="K262" s="15">
        <v>0</v>
      </c>
      <c r="L262" s="15">
        <v>0</v>
      </c>
      <c r="M262" s="15">
        <v>0</v>
      </c>
      <c r="N262" s="15" t="s">
        <v>3028</v>
      </c>
      <c r="O262" s="9" t="s">
        <v>3028</v>
      </c>
    </row>
    <row r="263" spans="1:15" x14ac:dyDescent="0.2">
      <c r="A263" s="10" t="s">
        <v>703</v>
      </c>
      <c r="B263" s="15">
        <v>0</v>
      </c>
      <c r="C263" s="15">
        <v>0</v>
      </c>
      <c r="D263" s="15">
        <v>0</v>
      </c>
      <c r="E263" s="15">
        <v>825</v>
      </c>
      <c r="F263" s="15">
        <v>0</v>
      </c>
      <c r="G263" s="15">
        <v>0</v>
      </c>
      <c r="H263" s="15">
        <v>0</v>
      </c>
      <c r="I263" s="15">
        <v>0</v>
      </c>
      <c r="J263" s="15">
        <v>0</v>
      </c>
      <c r="K263" s="15">
        <v>0</v>
      </c>
      <c r="L263" s="15">
        <v>0</v>
      </c>
      <c r="M263" s="15">
        <v>0</v>
      </c>
      <c r="N263" s="15" t="s">
        <v>3028</v>
      </c>
      <c r="O263" s="9" t="s">
        <v>3028</v>
      </c>
    </row>
    <row r="264" spans="1:15" x14ac:dyDescent="0.2">
      <c r="A264" s="10" t="s">
        <v>705</v>
      </c>
      <c r="B264" s="15">
        <v>825</v>
      </c>
      <c r="C264" s="15">
        <v>0</v>
      </c>
      <c r="D264" s="15">
        <v>0</v>
      </c>
      <c r="E264" s="15">
        <v>0</v>
      </c>
      <c r="F264" s="15">
        <v>0</v>
      </c>
      <c r="G264" s="15">
        <v>0</v>
      </c>
      <c r="H264" s="15">
        <v>0</v>
      </c>
      <c r="I264" s="15">
        <v>0</v>
      </c>
      <c r="J264" s="15">
        <v>0</v>
      </c>
      <c r="K264" s="15">
        <v>0</v>
      </c>
      <c r="L264" s="15">
        <v>0</v>
      </c>
      <c r="M264" s="15">
        <v>0</v>
      </c>
      <c r="N264" s="15" t="s">
        <v>3028</v>
      </c>
      <c r="O264" s="9" t="s">
        <v>3028</v>
      </c>
    </row>
    <row r="265" spans="1:15" x14ac:dyDescent="0.2">
      <c r="A265" s="10" t="s">
        <v>707</v>
      </c>
      <c r="B265" s="15">
        <v>0</v>
      </c>
      <c r="C265" s="15">
        <v>0</v>
      </c>
      <c r="D265" s="15">
        <v>0</v>
      </c>
      <c r="E265" s="15">
        <v>825</v>
      </c>
      <c r="F265" s="15">
        <v>0</v>
      </c>
      <c r="G265" s="15">
        <v>0</v>
      </c>
      <c r="H265" s="15">
        <v>0</v>
      </c>
      <c r="I265" s="15">
        <v>0</v>
      </c>
      <c r="J265" s="15">
        <v>0</v>
      </c>
      <c r="K265" s="15">
        <v>0</v>
      </c>
      <c r="L265" s="15">
        <v>916.67</v>
      </c>
      <c r="M265" s="15">
        <v>0</v>
      </c>
      <c r="N265" s="15" t="s">
        <v>3028</v>
      </c>
      <c r="O265" s="9" t="s">
        <v>3028</v>
      </c>
    </row>
    <row r="266" spans="1:15" x14ac:dyDescent="0.2">
      <c r="A266" s="10" t="s">
        <v>711</v>
      </c>
      <c r="B266" s="15">
        <v>0</v>
      </c>
      <c r="C266" s="15">
        <v>0</v>
      </c>
      <c r="D266" s="15">
        <v>0</v>
      </c>
      <c r="E266" s="15">
        <v>825</v>
      </c>
      <c r="F266" s="15">
        <v>0</v>
      </c>
      <c r="G266" s="15">
        <v>0</v>
      </c>
      <c r="H266" s="15">
        <v>0</v>
      </c>
      <c r="I266" s="15">
        <v>0</v>
      </c>
      <c r="J266" s="15">
        <v>0</v>
      </c>
      <c r="K266" s="15">
        <v>0</v>
      </c>
      <c r="L266" s="15">
        <v>0</v>
      </c>
      <c r="M266" s="15">
        <v>0</v>
      </c>
      <c r="N266" s="15" t="s">
        <v>3028</v>
      </c>
      <c r="O266" s="9" t="s">
        <v>3028</v>
      </c>
    </row>
    <row r="267" spans="1:15" x14ac:dyDescent="0.2">
      <c r="A267" s="10" t="s">
        <v>713</v>
      </c>
      <c r="B267" s="15">
        <v>0</v>
      </c>
      <c r="C267" s="15">
        <v>0</v>
      </c>
      <c r="D267" s="15">
        <v>0</v>
      </c>
      <c r="E267" s="15">
        <v>825</v>
      </c>
      <c r="F267" s="15">
        <v>0</v>
      </c>
      <c r="G267" s="15">
        <v>0</v>
      </c>
      <c r="H267" s="15">
        <v>0</v>
      </c>
      <c r="I267" s="15">
        <v>0</v>
      </c>
      <c r="J267" s="15">
        <v>0</v>
      </c>
      <c r="K267" s="15">
        <v>0</v>
      </c>
      <c r="L267" s="15">
        <v>0</v>
      </c>
      <c r="M267" s="15">
        <v>0</v>
      </c>
      <c r="N267" s="15" t="s">
        <v>3028</v>
      </c>
      <c r="O267" s="9" t="s">
        <v>3028</v>
      </c>
    </row>
    <row r="268" spans="1:15" x14ac:dyDescent="0.2">
      <c r="A268" s="10" t="s">
        <v>715</v>
      </c>
      <c r="B268" s="15">
        <v>0</v>
      </c>
      <c r="C268" s="15">
        <v>0</v>
      </c>
      <c r="D268" s="15">
        <v>0</v>
      </c>
      <c r="E268" s="15">
        <v>825</v>
      </c>
      <c r="F268" s="15">
        <v>0</v>
      </c>
      <c r="G268" s="15">
        <v>0</v>
      </c>
      <c r="H268" s="15">
        <v>0</v>
      </c>
      <c r="I268" s="15">
        <v>0</v>
      </c>
      <c r="J268" s="15">
        <v>0</v>
      </c>
      <c r="K268" s="15">
        <v>0</v>
      </c>
      <c r="L268" s="15">
        <v>0</v>
      </c>
      <c r="M268" s="15">
        <v>0</v>
      </c>
      <c r="N268" s="15" t="s">
        <v>3028</v>
      </c>
      <c r="O268" s="9" t="s">
        <v>3028</v>
      </c>
    </row>
    <row r="269" spans="1:15" x14ac:dyDescent="0.2">
      <c r="A269" s="10" t="s">
        <v>720</v>
      </c>
      <c r="B269" s="15">
        <v>0</v>
      </c>
      <c r="C269" s="15">
        <v>0</v>
      </c>
      <c r="D269" s="15">
        <v>0</v>
      </c>
      <c r="E269" s="15">
        <v>385</v>
      </c>
      <c r="F269" s="15">
        <v>0</v>
      </c>
      <c r="G269" s="15">
        <v>0</v>
      </c>
      <c r="H269" s="15">
        <v>0</v>
      </c>
      <c r="I269" s="15">
        <v>0</v>
      </c>
      <c r="J269" s="15">
        <v>0</v>
      </c>
      <c r="K269" s="15">
        <v>0</v>
      </c>
      <c r="L269" s="15">
        <v>0</v>
      </c>
      <c r="M269" s="15">
        <v>0</v>
      </c>
      <c r="N269" s="15" t="s">
        <v>3028</v>
      </c>
      <c r="O269" s="9" t="s">
        <v>3028</v>
      </c>
    </row>
    <row r="270" spans="1:15" x14ac:dyDescent="0.2">
      <c r="A270" s="10" t="s">
        <v>722</v>
      </c>
      <c r="B270" s="15">
        <v>0</v>
      </c>
      <c r="C270" s="15">
        <v>0</v>
      </c>
      <c r="D270" s="15">
        <v>0</v>
      </c>
      <c r="E270" s="15">
        <v>825</v>
      </c>
      <c r="F270" s="15">
        <v>0</v>
      </c>
      <c r="G270" s="15">
        <v>0</v>
      </c>
      <c r="H270" s="15">
        <v>0</v>
      </c>
      <c r="I270" s="15">
        <v>0</v>
      </c>
      <c r="J270" s="15">
        <v>0</v>
      </c>
      <c r="K270" s="15">
        <v>0</v>
      </c>
      <c r="L270" s="15">
        <v>0</v>
      </c>
      <c r="M270" s="15">
        <v>0</v>
      </c>
      <c r="N270" s="15" t="s">
        <v>3028</v>
      </c>
      <c r="O270" s="9" t="s">
        <v>3028</v>
      </c>
    </row>
    <row r="271" spans="1:15" x14ac:dyDescent="0.2">
      <c r="A271" s="10" t="s">
        <v>724</v>
      </c>
      <c r="B271" s="15">
        <v>0</v>
      </c>
      <c r="C271" s="15">
        <v>0</v>
      </c>
      <c r="D271" s="15">
        <v>0</v>
      </c>
      <c r="E271" s="15">
        <v>825</v>
      </c>
      <c r="F271" s="15">
        <v>0</v>
      </c>
      <c r="G271" s="15">
        <v>0</v>
      </c>
      <c r="H271" s="15">
        <v>0</v>
      </c>
      <c r="I271" s="15">
        <v>0</v>
      </c>
      <c r="J271" s="15">
        <v>0</v>
      </c>
      <c r="K271" s="15">
        <v>0</v>
      </c>
      <c r="L271" s="15">
        <v>0</v>
      </c>
      <c r="M271" s="15">
        <v>0</v>
      </c>
      <c r="N271" s="15" t="s">
        <v>3028</v>
      </c>
      <c r="O271" s="9" t="s">
        <v>3028</v>
      </c>
    </row>
    <row r="272" spans="1:15" x14ac:dyDescent="0.2">
      <c r="A272" s="10" t="s">
        <v>726</v>
      </c>
      <c r="B272" s="15">
        <v>0</v>
      </c>
      <c r="C272" s="15">
        <v>0</v>
      </c>
      <c r="D272" s="15">
        <v>0</v>
      </c>
      <c r="E272" s="15">
        <v>825</v>
      </c>
      <c r="F272" s="15">
        <v>0</v>
      </c>
      <c r="G272" s="15">
        <v>0</v>
      </c>
      <c r="H272" s="15">
        <v>0</v>
      </c>
      <c r="I272" s="15">
        <v>0</v>
      </c>
      <c r="J272" s="15">
        <v>0</v>
      </c>
      <c r="K272" s="15">
        <v>0</v>
      </c>
      <c r="L272" s="15">
        <v>0</v>
      </c>
      <c r="M272" s="15">
        <v>0</v>
      </c>
      <c r="N272" s="15" t="s">
        <v>3028</v>
      </c>
      <c r="O272" s="9" t="s">
        <v>3028</v>
      </c>
    </row>
    <row r="273" spans="1:15" x14ac:dyDescent="0.2">
      <c r="A273" s="10" t="s">
        <v>728</v>
      </c>
      <c r="B273" s="15">
        <v>0</v>
      </c>
      <c r="C273" s="15">
        <v>0</v>
      </c>
      <c r="D273" s="15">
        <v>0</v>
      </c>
      <c r="E273" s="15">
        <v>825</v>
      </c>
      <c r="F273" s="15">
        <v>0</v>
      </c>
      <c r="G273" s="15">
        <v>0</v>
      </c>
      <c r="H273" s="15">
        <v>0</v>
      </c>
      <c r="I273" s="15">
        <v>0</v>
      </c>
      <c r="J273" s="15">
        <v>0</v>
      </c>
      <c r="K273" s="15">
        <v>0</v>
      </c>
      <c r="L273" s="15">
        <v>0</v>
      </c>
      <c r="M273" s="15">
        <v>0</v>
      </c>
      <c r="N273" s="15" t="s">
        <v>3028</v>
      </c>
      <c r="O273" s="9" t="s">
        <v>3028</v>
      </c>
    </row>
    <row r="274" spans="1:15" x14ac:dyDescent="0.2">
      <c r="A274" s="10" t="s">
        <v>730</v>
      </c>
      <c r="B274" s="15">
        <v>0</v>
      </c>
      <c r="C274" s="15">
        <v>0</v>
      </c>
      <c r="D274" s="15">
        <v>0</v>
      </c>
      <c r="E274" s="15">
        <v>825</v>
      </c>
      <c r="F274" s="15">
        <v>0</v>
      </c>
      <c r="G274" s="15">
        <v>0</v>
      </c>
      <c r="H274" s="15">
        <v>0</v>
      </c>
      <c r="I274" s="15">
        <v>0</v>
      </c>
      <c r="J274" s="15">
        <v>0</v>
      </c>
      <c r="K274" s="15">
        <v>0</v>
      </c>
      <c r="L274" s="15">
        <v>0</v>
      </c>
      <c r="M274" s="15">
        <v>0</v>
      </c>
      <c r="N274" s="15" t="s">
        <v>3028</v>
      </c>
      <c r="O274" s="9" t="s">
        <v>3028</v>
      </c>
    </row>
    <row r="275" spans="1:15" x14ac:dyDescent="0.2">
      <c r="A275" s="10" t="s">
        <v>732</v>
      </c>
      <c r="B275" s="15">
        <v>0</v>
      </c>
      <c r="C275" s="15">
        <v>0</v>
      </c>
      <c r="D275" s="15">
        <v>0</v>
      </c>
      <c r="E275" s="15">
        <v>825</v>
      </c>
      <c r="F275" s="15">
        <v>0</v>
      </c>
      <c r="G275" s="15">
        <v>0</v>
      </c>
      <c r="H275" s="15">
        <v>0</v>
      </c>
      <c r="I275" s="15">
        <v>0</v>
      </c>
      <c r="J275" s="15">
        <v>0</v>
      </c>
      <c r="K275" s="15">
        <v>0</v>
      </c>
      <c r="L275" s="15">
        <v>0</v>
      </c>
      <c r="M275" s="15">
        <v>0</v>
      </c>
      <c r="N275" s="15" t="s">
        <v>3028</v>
      </c>
      <c r="O275" s="9" t="s">
        <v>3028</v>
      </c>
    </row>
    <row r="276" spans="1:15" x14ac:dyDescent="0.2">
      <c r="A276" s="10" t="s">
        <v>734</v>
      </c>
      <c r="B276" s="15">
        <v>0</v>
      </c>
      <c r="C276" s="15">
        <v>0</v>
      </c>
      <c r="D276" s="15">
        <v>0</v>
      </c>
      <c r="E276" s="15">
        <v>825</v>
      </c>
      <c r="F276" s="15">
        <v>0</v>
      </c>
      <c r="G276" s="15">
        <v>0</v>
      </c>
      <c r="H276" s="15">
        <v>0</v>
      </c>
      <c r="I276" s="15">
        <v>0</v>
      </c>
      <c r="J276" s="15">
        <v>0</v>
      </c>
      <c r="K276" s="15">
        <v>0</v>
      </c>
      <c r="L276" s="15">
        <v>0</v>
      </c>
      <c r="M276" s="15">
        <v>0</v>
      </c>
      <c r="N276" s="15" t="s">
        <v>3028</v>
      </c>
      <c r="O276" s="9" t="s">
        <v>3028</v>
      </c>
    </row>
    <row r="277" spans="1:15" x14ac:dyDescent="0.2">
      <c r="A277" s="10" t="s">
        <v>736</v>
      </c>
      <c r="B277" s="15">
        <v>0</v>
      </c>
      <c r="C277" s="15">
        <v>0</v>
      </c>
      <c r="D277" s="15">
        <v>0</v>
      </c>
      <c r="E277" s="15">
        <v>825</v>
      </c>
      <c r="F277" s="15">
        <v>0</v>
      </c>
      <c r="G277" s="15">
        <v>0</v>
      </c>
      <c r="H277" s="15">
        <v>0</v>
      </c>
      <c r="I277" s="15">
        <v>0</v>
      </c>
      <c r="J277" s="15">
        <v>0</v>
      </c>
      <c r="K277" s="15">
        <v>0</v>
      </c>
      <c r="L277" s="15">
        <v>0</v>
      </c>
      <c r="M277" s="15">
        <v>0</v>
      </c>
      <c r="N277" s="15" t="s">
        <v>3028</v>
      </c>
      <c r="O277" s="9" t="s">
        <v>3028</v>
      </c>
    </row>
    <row r="278" spans="1:15" x14ac:dyDescent="0.2">
      <c r="A278" s="10" t="s">
        <v>740</v>
      </c>
      <c r="B278" s="15">
        <v>0</v>
      </c>
      <c r="C278" s="15">
        <v>0</v>
      </c>
      <c r="D278" s="15">
        <v>0</v>
      </c>
      <c r="E278" s="15">
        <v>825</v>
      </c>
      <c r="F278" s="15">
        <v>0</v>
      </c>
      <c r="G278" s="15">
        <v>0</v>
      </c>
      <c r="H278" s="15">
        <v>0</v>
      </c>
      <c r="I278" s="15">
        <v>0</v>
      </c>
      <c r="J278" s="15">
        <v>0</v>
      </c>
      <c r="K278" s="15">
        <v>0</v>
      </c>
      <c r="L278" s="15">
        <v>0</v>
      </c>
      <c r="M278" s="15">
        <v>0</v>
      </c>
      <c r="N278" s="15" t="s">
        <v>3028</v>
      </c>
      <c r="O278" s="9" t="s">
        <v>3028</v>
      </c>
    </row>
    <row r="279" spans="1:15" x14ac:dyDescent="0.2">
      <c r="A279" s="10" t="s">
        <v>1619</v>
      </c>
      <c r="B279" s="15">
        <v>0</v>
      </c>
      <c r="C279" s="15">
        <v>0</v>
      </c>
      <c r="D279" s="15">
        <v>0</v>
      </c>
      <c r="E279" s="15">
        <v>825</v>
      </c>
      <c r="F279" s="15">
        <v>825</v>
      </c>
      <c r="G279" s="15">
        <v>0</v>
      </c>
      <c r="H279" s="15">
        <v>0</v>
      </c>
      <c r="I279" s="15">
        <v>0</v>
      </c>
      <c r="J279" s="15">
        <v>0</v>
      </c>
      <c r="K279" s="15">
        <v>0</v>
      </c>
      <c r="L279" s="15">
        <v>0</v>
      </c>
      <c r="M279" s="15">
        <v>0</v>
      </c>
      <c r="N279" s="15" t="s">
        <v>3028</v>
      </c>
      <c r="O279" s="9" t="s">
        <v>3028</v>
      </c>
    </row>
    <row r="280" spans="1:15" x14ac:dyDescent="0.2">
      <c r="A280" s="10" t="s">
        <v>742</v>
      </c>
      <c r="B280" s="15">
        <v>0</v>
      </c>
      <c r="C280" s="15">
        <v>0</v>
      </c>
      <c r="D280" s="15">
        <v>0</v>
      </c>
      <c r="E280" s="15">
        <v>825</v>
      </c>
      <c r="F280" s="15">
        <v>0</v>
      </c>
      <c r="G280" s="15">
        <v>0</v>
      </c>
      <c r="H280" s="15">
        <v>0</v>
      </c>
      <c r="I280" s="15">
        <v>0</v>
      </c>
      <c r="J280" s="15">
        <v>0</v>
      </c>
      <c r="K280" s="15">
        <v>0</v>
      </c>
      <c r="L280" s="15">
        <v>0</v>
      </c>
      <c r="M280" s="15">
        <v>0</v>
      </c>
      <c r="N280" s="15" t="s">
        <v>3028</v>
      </c>
      <c r="O280" s="9" t="s">
        <v>3028</v>
      </c>
    </row>
    <row r="281" spans="1:15" x14ac:dyDescent="0.2">
      <c r="A281" s="10" t="s">
        <v>744</v>
      </c>
      <c r="B281" s="15">
        <v>0</v>
      </c>
      <c r="C281" s="15">
        <v>0</v>
      </c>
      <c r="D281" s="15">
        <v>0</v>
      </c>
      <c r="E281" s="15">
        <v>825</v>
      </c>
      <c r="F281" s="15">
        <v>0</v>
      </c>
      <c r="G281" s="15">
        <v>0</v>
      </c>
      <c r="H281" s="15">
        <v>0</v>
      </c>
      <c r="I281" s="15">
        <v>0</v>
      </c>
      <c r="J281" s="15">
        <v>0</v>
      </c>
      <c r="K281" s="15">
        <v>0</v>
      </c>
      <c r="L281" s="15">
        <v>0</v>
      </c>
      <c r="M281" s="15">
        <v>0</v>
      </c>
      <c r="N281" s="15" t="s">
        <v>3028</v>
      </c>
      <c r="O281" s="9" t="s">
        <v>3028</v>
      </c>
    </row>
    <row r="282" spans="1:15" x14ac:dyDescent="0.2">
      <c r="A282" s="10" t="s">
        <v>746</v>
      </c>
      <c r="B282" s="15">
        <v>0</v>
      </c>
      <c r="C282" s="15">
        <v>0</v>
      </c>
      <c r="D282" s="15">
        <v>0</v>
      </c>
      <c r="E282" s="15">
        <v>825</v>
      </c>
      <c r="F282" s="15">
        <v>0</v>
      </c>
      <c r="G282" s="15">
        <v>0</v>
      </c>
      <c r="H282" s="15">
        <v>0</v>
      </c>
      <c r="I282" s="15">
        <v>0</v>
      </c>
      <c r="J282" s="15">
        <v>0</v>
      </c>
      <c r="K282" s="15">
        <v>0</v>
      </c>
      <c r="L282" s="15">
        <v>0</v>
      </c>
      <c r="M282" s="15">
        <v>0</v>
      </c>
      <c r="N282" s="15" t="s">
        <v>3028</v>
      </c>
      <c r="O282" s="9" t="s">
        <v>3028</v>
      </c>
    </row>
    <row r="283" spans="1:15" x14ac:dyDescent="0.2">
      <c r="A283" s="10" t="s">
        <v>748</v>
      </c>
      <c r="B283" s="15">
        <v>0</v>
      </c>
      <c r="C283" s="15">
        <v>0</v>
      </c>
      <c r="D283" s="15">
        <v>0</v>
      </c>
      <c r="E283" s="15">
        <v>825</v>
      </c>
      <c r="F283" s="15">
        <v>0</v>
      </c>
      <c r="G283" s="15">
        <v>0</v>
      </c>
      <c r="H283" s="15">
        <v>0</v>
      </c>
      <c r="I283" s="15">
        <v>0</v>
      </c>
      <c r="J283" s="15">
        <v>0</v>
      </c>
      <c r="K283" s="15">
        <v>0</v>
      </c>
      <c r="L283" s="15">
        <v>0</v>
      </c>
      <c r="M283" s="15">
        <v>0</v>
      </c>
      <c r="N283" s="15" t="s">
        <v>3028</v>
      </c>
      <c r="O283" s="9" t="s">
        <v>3028</v>
      </c>
    </row>
    <row r="284" spans="1:15" x14ac:dyDescent="0.2">
      <c r="A284" s="10" t="s">
        <v>750</v>
      </c>
      <c r="B284" s="15">
        <v>0</v>
      </c>
      <c r="C284" s="15">
        <v>0</v>
      </c>
      <c r="D284" s="15">
        <v>0</v>
      </c>
      <c r="E284" s="15">
        <v>495</v>
      </c>
      <c r="F284" s="15">
        <v>220</v>
      </c>
      <c r="G284" s="15">
        <v>0</v>
      </c>
      <c r="H284" s="15">
        <v>0</v>
      </c>
      <c r="I284" s="15">
        <v>0</v>
      </c>
      <c r="J284" s="15">
        <v>0</v>
      </c>
      <c r="K284" s="15">
        <v>0</v>
      </c>
      <c r="L284" s="15">
        <v>0</v>
      </c>
      <c r="M284" s="15">
        <v>0</v>
      </c>
      <c r="N284" s="15" t="s">
        <v>3028</v>
      </c>
      <c r="O284" s="9" t="s">
        <v>3028</v>
      </c>
    </row>
    <row r="285" spans="1:15" x14ac:dyDescent="0.2">
      <c r="A285" s="10" t="s">
        <v>752</v>
      </c>
      <c r="B285" s="15">
        <v>0</v>
      </c>
      <c r="C285" s="15">
        <v>0</v>
      </c>
      <c r="D285" s="15">
        <v>0</v>
      </c>
      <c r="E285" s="15">
        <v>825</v>
      </c>
      <c r="F285" s="15">
        <v>0</v>
      </c>
      <c r="G285" s="15">
        <v>0</v>
      </c>
      <c r="H285" s="15">
        <v>0</v>
      </c>
      <c r="I285" s="15">
        <v>0</v>
      </c>
      <c r="J285" s="15">
        <v>0</v>
      </c>
      <c r="K285" s="15">
        <v>0</v>
      </c>
      <c r="L285" s="15">
        <v>0</v>
      </c>
      <c r="M285" s="15">
        <v>0</v>
      </c>
      <c r="N285" s="15" t="s">
        <v>3028</v>
      </c>
      <c r="O285" s="9" t="s">
        <v>3028</v>
      </c>
    </row>
    <row r="286" spans="1:15" x14ac:dyDescent="0.2">
      <c r="A286" s="10" t="s">
        <v>754</v>
      </c>
      <c r="B286" s="15">
        <v>0</v>
      </c>
      <c r="C286" s="15">
        <v>0</v>
      </c>
      <c r="D286" s="15">
        <v>0</v>
      </c>
      <c r="E286" s="15">
        <v>825</v>
      </c>
      <c r="F286" s="15">
        <v>0</v>
      </c>
      <c r="G286" s="15">
        <v>0</v>
      </c>
      <c r="H286" s="15">
        <v>0</v>
      </c>
      <c r="I286" s="15">
        <v>0</v>
      </c>
      <c r="J286" s="15">
        <v>0</v>
      </c>
      <c r="K286" s="15">
        <v>0</v>
      </c>
      <c r="L286" s="15">
        <v>0</v>
      </c>
      <c r="M286" s="15">
        <v>0</v>
      </c>
      <c r="N286" s="15" t="s">
        <v>3028</v>
      </c>
      <c r="O286" s="9" t="s">
        <v>3028</v>
      </c>
    </row>
    <row r="287" spans="1:15" x14ac:dyDescent="0.2">
      <c r="A287" s="10" t="s">
        <v>756</v>
      </c>
      <c r="B287" s="15">
        <v>0</v>
      </c>
      <c r="C287" s="15">
        <v>0</v>
      </c>
      <c r="D287" s="15">
        <v>0</v>
      </c>
      <c r="E287" s="15">
        <v>825</v>
      </c>
      <c r="F287" s="15">
        <v>0</v>
      </c>
      <c r="G287" s="15">
        <v>0</v>
      </c>
      <c r="H287" s="15">
        <v>0</v>
      </c>
      <c r="I287" s="15">
        <v>0</v>
      </c>
      <c r="J287" s="15">
        <v>0</v>
      </c>
      <c r="K287" s="15">
        <v>0</v>
      </c>
      <c r="L287" s="15">
        <v>0</v>
      </c>
      <c r="M287" s="15">
        <v>0</v>
      </c>
      <c r="N287" s="15" t="s">
        <v>3028</v>
      </c>
      <c r="O287" s="9" t="s">
        <v>3028</v>
      </c>
    </row>
    <row r="288" spans="1:15" x14ac:dyDescent="0.2">
      <c r="A288" s="10" t="s">
        <v>758</v>
      </c>
      <c r="B288" s="15">
        <v>0</v>
      </c>
      <c r="C288" s="15">
        <v>0</v>
      </c>
      <c r="D288" s="15">
        <v>0</v>
      </c>
      <c r="E288" s="15">
        <v>495</v>
      </c>
      <c r="F288" s="15">
        <v>0</v>
      </c>
      <c r="G288" s="15">
        <v>0</v>
      </c>
      <c r="H288" s="15">
        <v>0</v>
      </c>
      <c r="I288" s="15">
        <v>0</v>
      </c>
      <c r="J288" s="15">
        <v>0</v>
      </c>
      <c r="K288" s="15">
        <v>0</v>
      </c>
      <c r="L288" s="15">
        <v>0</v>
      </c>
      <c r="M288" s="15">
        <v>0</v>
      </c>
      <c r="N288" s="15" t="s">
        <v>3028</v>
      </c>
      <c r="O288" s="9" t="s">
        <v>3028</v>
      </c>
    </row>
    <row r="289" spans="1:15" x14ac:dyDescent="0.2">
      <c r="A289" s="10" t="s">
        <v>760</v>
      </c>
      <c r="B289" s="15">
        <v>0</v>
      </c>
      <c r="C289" s="15">
        <v>0</v>
      </c>
      <c r="D289" s="15">
        <v>0</v>
      </c>
      <c r="E289" s="15">
        <v>825</v>
      </c>
      <c r="F289" s="15">
        <v>0</v>
      </c>
      <c r="G289" s="15">
        <v>0</v>
      </c>
      <c r="H289" s="15">
        <v>0</v>
      </c>
      <c r="I289" s="15">
        <v>0</v>
      </c>
      <c r="J289" s="15">
        <v>0</v>
      </c>
      <c r="K289" s="15">
        <v>0</v>
      </c>
      <c r="L289" s="15">
        <v>0</v>
      </c>
      <c r="M289" s="15">
        <v>0</v>
      </c>
      <c r="N289" s="15" t="s">
        <v>3028</v>
      </c>
      <c r="O289" s="9" t="s">
        <v>3028</v>
      </c>
    </row>
    <row r="290" spans="1:15" x14ac:dyDescent="0.2">
      <c r="A290" s="10" t="s">
        <v>762</v>
      </c>
      <c r="B290" s="15">
        <v>0</v>
      </c>
      <c r="C290" s="15">
        <v>0</v>
      </c>
      <c r="D290" s="15">
        <v>0</v>
      </c>
      <c r="E290" s="15">
        <v>495</v>
      </c>
      <c r="F290" s="15">
        <v>0</v>
      </c>
      <c r="G290" s="15">
        <v>0</v>
      </c>
      <c r="H290" s="15">
        <v>0</v>
      </c>
      <c r="I290" s="15">
        <v>0</v>
      </c>
      <c r="J290" s="15">
        <v>0</v>
      </c>
      <c r="K290" s="15">
        <v>0</v>
      </c>
      <c r="L290" s="15">
        <v>550</v>
      </c>
      <c r="M290" s="15">
        <v>0</v>
      </c>
      <c r="N290" s="15" t="s">
        <v>3028</v>
      </c>
      <c r="O290" s="9" t="s">
        <v>3028</v>
      </c>
    </row>
    <row r="291" spans="1:15" x14ac:dyDescent="0.2">
      <c r="A291" s="10" t="s">
        <v>766</v>
      </c>
      <c r="B291" s="15">
        <v>0</v>
      </c>
      <c r="C291" s="15">
        <v>0</v>
      </c>
      <c r="D291" s="15">
        <v>0</v>
      </c>
      <c r="E291" s="15">
        <v>825</v>
      </c>
      <c r="F291" s="15">
        <v>0</v>
      </c>
      <c r="G291" s="15">
        <v>0</v>
      </c>
      <c r="H291" s="15">
        <v>0</v>
      </c>
      <c r="I291" s="15">
        <v>0</v>
      </c>
      <c r="J291" s="15">
        <v>0</v>
      </c>
      <c r="K291" s="15">
        <v>0</v>
      </c>
      <c r="L291" s="15">
        <v>0</v>
      </c>
      <c r="M291" s="15">
        <v>0</v>
      </c>
      <c r="N291" s="15" t="s">
        <v>3028</v>
      </c>
      <c r="O291" s="9" t="s">
        <v>3028</v>
      </c>
    </row>
    <row r="292" spans="1:15" x14ac:dyDescent="0.2">
      <c r="A292" s="10" t="s">
        <v>770</v>
      </c>
      <c r="B292" s="15">
        <v>0</v>
      </c>
      <c r="C292" s="15">
        <v>0</v>
      </c>
      <c r="D292" s="15">
        <v>0</v>
      </c>
      <c r="E292" s="15">
        <v>495</v>
      </c>
      <c r="F292" s="15">
        <v>0</v>
      </c>
      <c r="G292" s="15">
        <v>0</v>
      </c>
      <c r="H292" s="15">
        <v>0</v>
      </c>
      <c r="I292" s="15">
        <v>0</v>
      </c>
      <c r="J292" s="15">
        <v>0</v>
      </c>
      <c r="K292" s="15">
        <v>0</v>
      </c>
      <c r="L292" s="15">
        <v>0</v>
      </c>
      <c r="M292" s="15">
        <v>0</v>
      </c>
      <c r="N292" s="15" t="s">
        <v>3028</v>
      </c>
      <c r="O292" s="9" t="s">
        <v>3028</v>
      </c>
    </row>
    <row r="293" spans="1:15" x14ac:dyDescent="0.2">
      <c r="A293" s="10" t="s">
        <v>772</v>
      </c>
      <c r="B293" s="15">
        <v>0</v>
      </c>
      <c r="C293" s="15">
        <v>0</v>
      </c>
      <c r="D293" s="15">
        <v>0</v>
      </c>
      <c r="E293" s="15">
        <v>641.66999999999996</v>
      </c>
      <c r="F293" s="15">
        <v>0</v>
      </c>
      <c r="G293" s="15">
        <v>0</v>
      </c>
      <c r="H293" s="15">
        <v>0</v>
      </c>
      <c r="I293" s="15">
        <v>0</v>
      </c>
      <c r="J293" s="15">
        <v>0</v>
      </c>
      <c r="K293" s="15">
        <v>0</v>
      </c>
      <c r="L293" s="15">
        <v>0</v>
      </c>
      <c r="M293" s="15">
        <v>0</v>
      </c>
      <c r="N293" s="15" t="s">
        <v>3028</v>
      </c>
      <c r="O293" s="9" t="s">
        <v>3028</v>
      </c>
    </row>
    <row r="294" spans="1:15" x14ac:dyDescent="0.2">
      <c r="A294" s="10" t="s">
        <v>774</v>
      </c>
      <c r="B294" s="15">
        <v>0</v>
      </c>
      <c r="C294" s="15">
        <v>0</v>
      </c>
      <c r="D294" s="15">
        <v>0</v>
      </c>
      <c r="E294" s="15">
        <v>825</v>
      </c>
      <c r="F294" s="15">
        <v>0</v>
      </c>
      <c r="G294" s="15">
        <v>0</v>
      </c>
      <c r="H294" s="15">
        <v>0</v>
      </c>
      <c r="I294" s="15">
        <v>0</v>
      </c>
      <c r="J294" s="15">
        <v>0</v>
      </c>
      <c r="K294" s="15">
        <v>0</v>
      </c>
      <c r="L294" s="15">
        <v>0</v>
      </c>
      <c r="M294" s="15">
        <v>0</v>
      </c>
      <c r="N294" s="15" t="s">
        <v>3028</v>
      </c>
      <c r="O294" s="9" t="s">
        <v>3028</v>
      </c>
    </row>
    <row r="295" spans="1:15" x14ac:dyDescent="0.2">
      <c r="A295" s="10" t="s">
        <v>776</v>
      </c>
      <c r="B295" s="15">
        <v>0</v>
      </c>
      <c r="C295" s="15">
        <v>0</v>
      </c>
      <c r="D295" s="15">
        <v>0</v>
      </c>
      <c r="E295" s="15">
        <v>825</v>
      </c>
      <c r="F295" s="15">
        <v>0</v>
      </c>
      <c r="G295" s="15">
        <v>0</v>
      </c>
      <c r="H295" s="15">
        <v>0</v>
      </c>
      <c r="I295" s="15">
        <v>0</v>
      </c>
      <c r="J295" s="15">
        <v>0</v>
      </c>
      <c r="K295" s="15">
        <v>0</v>
      </c>
      <c r="L295" s="15">
        <v>0</v>
      </c>
      <c r="M295" s="15">
        <v>0</v>
      </c>
      <c r="N295" s="15" t="s">
        <v>3028</v>
      </c>
      <c r="O295" s="9" t="s">
        <v>3028</v>
      </c>
    </row>
    <row r="296" spans="1:15" x14ac:dyDescent="0.2">
      <c r="A296" s="10" t="s">
        <v>778</v>
      </c>
      <c r="B296" s="15">
        <v>0</v>
      </c>
      <c r="C296" s="15">
        <v>0</v>
      </c>
      <c r="D296" s="15">
        <v>0</v>
      </c>
      <c r="E296" s="15">
        <v>825</v>
      </c>
      <c r="F296" s="15">
        <v>0</v>
      </c>
      <c r="G296" s="15">
        <v>0</v>
      </c>
      <c r="H296" s="15">
        <v>0</v>
      </c>
      <c r="I296" s="15">
        <v>0</v>
      </c>
      <c r="J296" s="15">
        <v>0</v>
      </c>
      <c r="K296" s="15">
        <v>0</v>
      </c>
      <c r="L296" s="15">
        <v>0</v>
      </c>
      <c r="M296" s="15">
        <v>0</v>
      </c>
      <c r="N296" s="15" t="s">
        <v>3028</v>
      </c>
      <c r="O296" s="9" t="s">
        <v>3028</v>
      </c>
    </row>
    <row r="297" spans="1:15" x14ac:dyDescent="0.2">
      <c r="A297" s="10" t="s">
        <v>780</v>
      </c>
      <c r="B297" s="15">
        <v>0</v>
      </c>
      <c r="C297" s="15">
        <v>0</v>
      </c>
      <c r="D297" s="15">
        <v>0</v>
      </c>
      <c r="E297" s="15">
        <v>165</v>
      </c>
      <c r="F297" s="15">
        <v>0</v>
      </c>
      <c r="G297" s="15">
        <v>0</v>
      </c>
      <c r="H297" s="15">
        <v>0</v>
      </c>
      <c r="I297" s="15">
        <v>0</v>
      </c>
      <c r="J297" s="15">
        <v>0</v>
      </c>
      <c r="K297" s="15">
        <v>0</v>
      </c>
      <c r="L297" s="15">
        <v>0</v>
      </c>
      <c r="M297" s="15">
        <v>0</v>
      </c>
      <c r="N297" s="15" t="s">
        <v>3028</v>
      </c>
      <c r="O297" s="9" t="s">
        <v>3028</v>
      </c>
    </row>
    <row r="298" spans="1:15" x14ac:dyDescent="0.2">
      <c r="A298" s="10" t="s">
        <v>782</v>
      </c>
      <c r="B298" s="15">
        <v>0</v>
      </c>
      <c r="C298" s="15">
        <v>0</v>
      </c>
      <c r="D298" s="15">
        <v>0</v>
      </c>
      <c r="E298" s="15">
        <v>495</v>
      </c>
      <c r="F298" s="15">
        <v>0</v>
      </c>
      <c r="G298" s="15">
        <v>0</v>
      </c>
      <c r="H298" s="15">
        <v>0</v>
      </c>
      <c r="I298" s="15">
        <v>0</v>
      </c>
      <c r="J298" s="15">
        <v>0</v>
      </c>
      <c r="K298" s="15">
        <v>0</v>
      </c>
      <c r="L298" s="15">
        <v>0</v>
      </c>
      <c r="M298" s="15">
        <v>0</v>
      </c>
      <c r="N298" s="15" t="s">
        <v>3028</v>
      </c>
      <c r="O298" s="9" t="s">
        <v>3028</v>
      </c>
    </row>
    <row r="299" spans="1:15" x14ac:dyDescent="0.2">
      <c r="A299" s="10" t="s">
        <v>784</v>
      </c>
      <c r="B299" s="15">
        <v>0</v>
      </c>
      <c r="C299" s="15">
        <v>0</v>
      </c>
      <c r="D299" s="15">
        <v>0</v>
      </c>
      <c r="E299" s="15">
        <v>825</v>
      </c>
      <c r="F299" s="15">
        <v>0</v>
      </c>
      <c r="G299" s="15">
        <v>0</v>
      </c>
      <c r="H299" s="15">
        <v>0</v>
      </c>
      <c r="I299" s="15">
        <v>0</v>
      </c>
      <c r="J299" s="15">
        <v>0</v>
      </c>
      <c r="K299" s="15">
        <v>0</v>
      </c>
      <c r="L299" s="15">
        <v>0</v>
      </c>
      <c r="M299" s="15">
        <v>0</v>
      </c>
      <c r="N299" s="15" t="s">
        <v>3028</v>
      </c>
      <c r="O299" s="9" t="s">
        <v>3028</v>
      </c>
    </row>
    <row r="300" spans="1:15" x14ac:dyDescent="0.2">
      <c r="A300" s="10" t="s">
        <v>788</v>
      </c>
      <c r="B300" s="15">
        <v>0</v>
      </c>
      <c r="C300" s="15">
        <v>0</v>
      </c>
      <c r="D300" s="15">
        <v>0</v>
      </c>
      <c r="E300" s="15">
        <v>495</v>
      </c>
      <c r="F300" s="15">
        <v>0</v>
      </c>
      <c r="G300" s="15">
        <v>0</v>
      </c>
      <c r="H300" s="15">
        <v>0</v>
      </c>
      <c r="I300" s="15">
        <v>0</v>
      </c>
      <c r="J300" s="15">
        <v>0</v>
      </c>
      <c r="K300" s="15">
        <v>0</v>
      </c>
      <c r="L300" s="15">
        <v>550</v>
      </c>
      <c r="M300" s="15">
        <v>0</v>
      </c>
      <c r="N300" s="15" t="s">
        <v>3028</v>
      </c>
      <c r="O300" s="9" t="s">
        <v>3028</v>
      </c>
    </row>
    <row r="301" spans="1:15" x14ac:dyDescent="0.2">
      <c r="A301" s="10" t="s">
        <v>790</v>
      </c>
      <c r="B301" s="15">
        <v>0</v>
      </c>
      <c r="C301" s="15">
        <v>0</v>
      </c>
      <c r="D301" s="15">
        <v>0</v>
      </c>
      <c r="E301" s="15">
        <v>825</v>
      </c>
      <c r="F301" s="15">
        <v>0</v>
      </c>
      <c r="G301" s="15">
        <v>0</v>
      </c>
      <c r="H301" s="15">
        <v>0</v>
      </c>
      <c r="I301" s="15">
        <v>0</v>
      </c>
      <c r="J301" s="15">
        <v>0</v>
      </c>
      <c r="K301" s="15">
        <v>0</v>
      </c>
      <c r="L301" s="15">
        <v>0</v>
      </c>
      <c r="M301" s="15">
        <v>0</v>
      </c>
      <c r="N301" s="15" t="s">
        <v>3028</v>
      </c>
      <c r="O301" s="9" t="s">
        <v>3028</v>
      </c>
    </row>
    <row r="302" spans="1:15" x14ac:dyDescent="0.2">
      <c r="A302" s="10" t="s">
        <v>792</v>
      </c>
      <c r="B302" s="15">
        <v>0</v>
      </c>
      <c r="C302" s="15">
        <v>0</v>
      </c>
      <c r="D302" s="15">
        <v>0</v>
      </c>
      <c r="E302" s="15">
        <v>825</v>
      </c>
      <c r="F302" s="15">
        <v>0</v>
      </c>
      <c r="G302" s="15">
        <v>0</v>
      </c>
      <c r="H302" s="15">
        <v>0</v>
      </c>
      <c r="I302" s="15">
        <v>0</v>
      </c>
      <c r="J302" s="15">
        <v>0</v>
      </c>
      <c r="K302" s="15">
        <v>0</v>
      </c>
      <c r="L302" s="15">
        <v>0</v>
      </c>
      <c r="M302" s="15">
        <v>0</v>
      </c>
      <c r="N302" s="15" t="s">
        <v>3028</v>
      </c>
      <c r="O302" s="9" t="s">
        <v>3028</v>
      </c>
    </row>
    <row r="303" spans="1:15" x14ac:dyDescent="0.2">
      <c r="A303" s="10" t="s">
        <v>794</v>
      </c>
      <c r="B303" s="15">
        <v>0</v>
      </c>
      <c r="C303" s="15">
        <v>0</v>
      </c>
      <c r="D303" s="15">
        <v>0</v>
      </c>
      <c r="E303" s="15">
        <v>825</v>
      </c>
      <c r="F303" s="15">
        <v>0</v>
      </c>
      <c r="G303" s="15">
        <v>0</v>
      </c>
      <c r="H303" s="15">
        <v>0</v>
      </c>
      <c r="I303" s="15">
        <v>0</v>
      </c>
      <c r="J303" s="15">
        <v>0</v>
      </c>
      <c r="K303" s="15">
        <v>0</v>
      </c>
      <c r="L303" s="15">
        <v>0</v>
      </c>
      <c r="M303" s="15">
        <v>0</v>
      </c>
      <c r="N303" s="15" t="s">
        <v>3028</v>
      </c>
      <c r="O303" s="9" t="s">
        <v>3028</v>
      </c>
    </row>
    <row r="304" spans="1:15" x14ac:dyDescent="0.2">
      <c r="A304" s="10" t="s">
        <v>796</v>
      </c>
      <c r="B304" s="15">
        <v>0</v>
      </c>
      <c r="C304" s="15">
        <v>0</v>
      </c>
      <c r="D304" s="15">
        <v>0</v>
      </c>
      <c r="E304" s="15">
        <v>550</v>
      </c>
      <c r="F304" s="15">
        <v>0</v>
      </c>
      <c r="G304" s="15">
        <v>0</v>
      </c>
      <c r="H304" s="15">
        <v>0</v>
      </c>
      <c r="I304" s="15">
        <v>641.66</v>
      </c>
      <c r="J304" s="15">
        <v>0</v>
      </c>
      <c r="K304" s="15">
        <v>0</v>
      </c>
      <c r="L304" s="15">
        <v>0</v>
      </c>
      <c r="M304" s="15">
        <v>0</v>
      </c>
      <c r="N304" s="15" t="s">
        <v>3028</v>
      </c>
      <c r="O304" s="9" t="s">
        <v>3028</v>
      </c>
    </row>
    <row r="305" spans="1:15" x14ac:dyDescent="0.2">
      <c r="A305" s="10" t="s">
        <v>798</v>
      </c>
      <c r="B305" s="15">
        <v>0</v>
      </c>
      <c r="C305" s="15">
        <v>0</v>
      </c>
      <c r="D305" s="15">
        <v>0</v>
      </c>
      <c r="E305" s="15">
        <v>825</v>
      </c>
      <c r="F305" s="15">
        <v>0</v>
      </c>
      <c r="G305" s="15">
        <v>0</v>
      </c>
      <c r="H305" s="15">
        <v>0</v>
      </c>
      <c r="I305" s="15">
        <v>0</v>
      </c>
      <c r="J305" s="15">
        <v>0</v>
      </c>
      <c r="K305" s="15">
        <v>0</v>
      </c>
      <c r="L305" s="15">
        <v>0</v>
      </c>
      <c r="M305" s="15">
        <v>0</v>
      </c>
      <c r="N305" s="15" t="s">
        <v>3028</v>
      </c>
      <c r="O305" s="9" t="s">
        <v>3028</v>
      </c>
    </row>
    <row r="306" spans="1:15" x14ac:dyDescent="0.2">
      <c r="A306" s="10" t="s">
        <v>805</v>
      </c>
      <c r="B306" s="15">
        <v>0</v>
      </c>
      <c r="C306" s="15">
        <v>0</v>
      </c>
      <c r="D306" s="15">
        <v>0</v>
      </c>
      <c r="E306" s="15">
        <v>825</v>
      </c>
      <c r="F306" s="15">
        <v>0</v>
      </c>
      <c r="G306" s="15">
        <v>0</v>
      </c>
      <c r="H306" s="15">
        <v>0</v>
      </c>
      <c r="I306" s="15">
        <v>0</v>
      </c>
      <c r="J306" s="15">
        <v>0</v>
      </c>
      <c r="K306" s="15">
        <v>0</v>
      </c>
      <c r="L306" s="15">
        <v>0</v>
      </c>
      <c r="M306" s="15">
        <v>0</v>
      </c>
      <c r="N306" s="15" t="s">
        <v>3028</v>
      </c>
      <c r="O306" s="9" t="s">
        <v>3028</v>
      </c>
    </row>
    <row r="307" spans="1:15" x14ac:dyDescent="0.2">
      <c r="A307" s="10" t="s">
        <v>807</v>
      </c>
      <c r="B307" s="15">
        <v>0</v>
      </c>
      <c r="C307" s="15">
        <v>0</v>
      </c>
      <c r="D307" s="15">
        <v>605</v>
      </c>
      <c r="E307" s="15">
        <v>330</v>
      </c>
      <c r="F307" s="15">
        <v>0</v>
      </c>
      <c r="G307" s="15">
        <v>0</v>
      </c>
      <c r="H307" s="15">
        <v>0</v>
      </c>
      <c r="I307" s="15">
        <v>0</v>
      </c>
      <c r="J307" s="15">
        <v>0</v>
      </c>
      <c r="K307" s="15">
        <v>0</v>
      </c>
      <c r="L307" s="15">
        <v>0</v>
      </c>
      <c r="M307" s="15">
        <v>0</v>
      </c>
      <c r="N307" s="15" t="s">
        <v>3028</v>
      </c>
      <c r="O307" s="9" t="s">
        <v>3028</v>
      </c>
    </row>
    <row r="308" spans="1:15" x14ac:dyDescent="0.2">
      <c r="A308" s="10" t="s">
        <v>809</v>
      </c>
      <c r="B308" s="15">
        <v>0</v>
      </c>
      <c r="C308" s="15">
        <v>0</v>
      </c>
      <c r="D308" s="15">
        <v>0</v>
      </c>
      <c r="E308" s="15">
        <v>825</v>
      </c>
      <c r="F308" s="15">
        <v>0</v>
      </c>
      <c r="G308" s="15">
        <v>0</v>
      </c>
      <c r="H308" s="15">
        <v>0</v>
      </c>
      <c r="I308" s="15">
        <v>0</v>
      </c>
      <c r="J308" s="15">
        <v>0</v>
      </c>
      <c r="K308" s="15">
        <v>0</v>
      </c>
      <c r="L308" s="15">
        <v>0</v>
      </c>
      <c r="M308" s="15">
        <v>0</v>
      </c>
      <c r="N308" s="15" t="s">
        <v>3028</v>
      </c>
      <c r="O308" s="9" t="s">
        <v>3028</v>
      </c>
    </row>
    <row r="309" spans="1:15" x14ac:dyDescent="0.2">
      <c r="A309" s="10" t="s">
        <v>811</v>
      </c>
      <c r="B309" s="15">
        <v>0</v>
      </c>
      <c r="C309" s="15">
        <v>0</v>
      </c>
      <c r="D309" s="15">
        <v>0</v>
      </c>
      <c r="E309" s="15">
        <v>825</v>
      </c>
      <c r="F309" s="15">
        <v>0</v>
      </c>
      <c r="G309" s="15">
        <v>0</v>
      </c>
      <c r="H309" s="15">
        <v>0</v>
      </c>
      <c r="I309" s="15">
        <v>0</v>
      </c>
      <c r="J309" s="15">
        <v>0</v>
      </c>
      <c r="K309" s="15">
        <v>0</v>
      </c>
      <c r="L309" s="15">
        <v>0</v>
      </c>
      <c r="M309" s="15">
        <v>0</v>
      </c>
      <c r="N309" s="15" t="s">
        <v>3028</v>
      </c>
      <c r="O309" s="9" t="s">
        <v>3028</v>
      </c>
    </row>
    <row r="310" spans="1:15" x14ac:dyDescent="0.2">
      <c r="A310" s="10" t="s">
        <v>813</v>
      </c>
      <c r="B310" s="15">
        <v>0</v>
      </c>
      <c r="C310" s="15">
        <v>0</v>
      </c>
      <c r="D310" s="15">
        <v>0</v>
      </c>
      <c r="E310" s="15">
        <v>825</v>
      </c>
      <c r="F310" s="15">
        <v>0</v>
      </c>
      <c r="G310" s="15">
        <v>0</v>
      </c>
      <c r="H310" s="15">
        <v>0</v>
      </c>
      <c r="I310" s="15">
        <v>0</v>
      </c>
      <c r="J310" s="15">
        <v>0</v>
      </c>
      <c r="K310" s="15">
        <v>0</v>
      </c>
      <c r="L310" s="15">
        <v>0</v>
      </c>
      <c r="M310" s="15">
        <v>0</v>
      </c>
      <c r="N310" s="15" t="s">
        <v>3028</v>
      </c>
      <c r="O310" s="9" t="s">
        <v>3028</v>
      </c>
    </row>
    <row r="311" spans="1:15" x14ac:dyDescent="0.2">
      <c r="A311" s="10" t="s">
        <v>815</v>
      </c>
      <c r="B311" s="15">
        <v>0</v>
      </c>
      <c r="C311" s="15">
        <v>0</v>
      </c>
      <c r="D311" s="15">
        <v>0</v>
      </c>
      <c r="E311" s="15">
        <v>495</v>
      </c>
      <c r="F311" s="15">
        <v>0</v>
      </c>
      <c r="G311" s="15">
        <v>0</v>
      </c>
      <c r="H311" s="15">
        <v>0</v>
      </c>
      <c r="I311" s="15">
        <v>0</v>
      </c>
      <c r="J311" s="15">
        <v>0</v>
      </c>
      <c r="K311" s="15">
        <v>0</v>
      </c>
      <c r="L311" s="15">
        <v>0</v>
      </c>
      <c r="M311" s="15">
        <v>0</v>
      </c>
      <c r="N311" s="15" t="s">
        <v>3028</v>
      </c>
      <c r="O311" s="9" t="s">
        <v>3028</v>
      </c>
    </row>
    <row r="312" spans="1:15" x14ac:dyDescent="0.2">
      <c r="A312" s="10" t="s">
        <v>819</v>
      </c>
      <c r="B312" s="15">
        <v>0</v>
      </c>
      <c r="C312" s="15">
        <v>0</v>
      </c>
      <c r="D312" s="15">
        <v>0</v>
      </c>
      <c r="E312" s="15">
        <v>440</v>
      </c>
      <c r="F312" s="15">
        <v>0</v>
      </c>
      <c r="G312" s="15">
        <v>0</v>
      </c>
      <c r="H312" s="15">
        <v>0</v>
      </c>
      <c r="I312" s="15">
        <v>0</v>
      </c>
      <c r="J312" s="15">
        <v>0</v>
      </c>
      <c r="K312" s="15">
        <v>0</v>
      </c>
      <c r="L312" s="15">
        <v>0</v>
      </c>
      <c r="M312" s="15">
        <v>0</v>
      </c>
      <c r="N312" s="15" t="s">
        <v>3028</v>
      </c>
      <c r="O312" s="9" t="s">
        <v>3028</v>
      </c>
    </row>
    <row r="313" spans="1:15" x14ac:dyDescent="0.2">
      <c r="A313" s="10" t="s">
        <v>821</v>
      </c>
      <c r="B313" s="15">
        <v>0</v>
      </c>
      <c r="C313" s="15">
        <v>0</v>
      </c>
      <c r="D313" s="15">
        <v>0</v>
      </c>
      <c r="E313" s="15">
        <v>825</v>
      </c>
      <c r="F313" s="15">
        <v>0</v>
      </c>
      <c r="G313" s="15">
        <v>0</v>
      </c>
      <c r="H313" s="15">
        <v>0</v>
      </c>
      <c r="I313" s="15">
        <v>0</v>
      </c>
      <c r="J313" s="15">
        <v>0</v>
      </c>
      <c r="K313" s="15">
        <v>0</v>
      </c>
      <c r="L313" s="15">
        <v>0</v>
      </c>
      <c r="M313" s="15">
        <v>0</v>
      </c>
      <c r="N313" s="15" t="s">
        <v>3028</v>
      </c>
      <c r="O313" s="9" t="s">
        <v>3028</v>
      </c>
    </row>
    <row r="314" spans="1:15" x14ac:dyDescent="0.2">
      <c r="A314" s="10" t="s">
        <v>823</v>
      </c>
      <c r="B314" s="15">
        <v>0</v>
      </c>
      <c r="C314" s="15">
        <v>0</v>
      </c>
      <c r="D314" s="15">
        <v>0</v>
      </c>
      <c r="E314" s="15">
        <v>825</v>
      </c>
      <c r="F314" s="15">
        <v>0</v>
      </c>
      <c r="G314" s="15">
        <v>0</v>
      </c>
      <c r="H314" s="15">
        <v>0</v>
      </c>
      <c r="I314" s="15">
        <v>0</v>
      </c>
      <c r="J314" s="15">
        <v>0</v>
      </c>
      <c r="K314" s="15">
        <v>0</v>
      </c>
      <c r="L314" s="15">
        <v>0</v>
      </c>
      <c r="M314" s="15">
        <v>0</v>
      </c>
      <c r="N314" s="15" t="s">
        <v>3028</v>
      </c>
      <c r="O314" s="9" t="s">
        <v>3028</v>
      </c>
    </row>
    <row r="315" spans="1:15" x14ac:dyDescent="0.2">
      <c r="A315" s="10" t="s">
        <v>825</v>
      </c>
      <c r="B315" s="15">
        <v>0</v>
      </c>
      <c r="C315" s="15">
        <v>0</v>
      </c>
      <c r="D315" s="15">
        <v>0</v>
      </c>
      <c r="E315" s="15">
        <v>495</v>
      </c>
      <c r="F315" s="15">
        <v>0</v>
      </c>
      <c r="G315" s="15">
        <v>0</v>
      </c>
      <c r="H315" s="15">
        <v>0</v>
      </c>
      <c r="I315" s="15">
        <v>0</v>
      </c>
      <c r="J315" s="15">
        <v>0</v>
      </c>
      <c r="K315" s="15">
        <v>0</v>
      </c>
      <c r="L315" s="15">
        <v>0</v>
      </c>
      <c r="M315" s="15">
        <v>0</v>
      </c>
      <c r="N315" s="15" t="s">
        <v>3028</v>
      </c>
      <c r="O315" s="9" t="s">
        <v>3028</v>
      </c>
    </row>
    <row r="316" spans="1:15" x14ac:dyDescent="0.2">
      <c r="A316" s="10" t="s">
        <v>830</v>
      </c>
      <c r="B316" s="15">
        <v>0</v>
      </c>
      <c r="C316" s="15">
        <v>0</v>
      </c>
      <c r="D316" s="15">
        <v>0</v>
      </c>
      <c r="E316" s="15">
        <v>825</v>
      </c>
      <c r="F316" s="15">
        <v>0</v>
      </c>
      <c r="G316" s="15">
        <v>0</v>
      </c>
      <c r="H316" s="15">
        <v>0</v>
      </c>
      <c r="I316" s="15">
        <v>0</v>
      </c>
      <c r="J316" s="15">
        <v>0</v>
      </c>
      <c r="K316" s="15">
        <v>0</v>
      </c>
      <c r="L316" s="15">
        <v>0</v>
      </c>
      <c r="M316" s="15">
        <v>0</v>
      </c>
      <c r="N316" s="15" t="s">
        <v>3028</v>
      </c>
      <c r="O316" s="9" t="s">
        <v>3028</v>
      </c>
    </row>
    <row r="317" spans="1:15" x14ac:dyDescent="0.2">
      <c r="A317" s="10" t="s">
        <v>832</v>
      </c>
      <c r="B317" s="15">
        <v>0</v>
      </c>
      <c r="C317" s="15">
        <v>0</v>
      </c>
      <c r="D317" s="15">
        <v>0</v>
      </c>
      <c r="E317" s="15">
        <v>825</v>
      </c>
      <c r="F317" s="15">
        <v>0</v>
      </c>
      <c r="G317" s="15">
        <v>0</v>
      </c>
      <c r="H317" s="15">
        <v>0</v>
      </c>
      <c r="I317" s="15">
        <v>0</v>
      </c>
      <c r="J317" s="15">
        <v>0</v>
      </c>
      <c r="K317" s="15">
        <v>0</v>
      </c>
      <c r="L317" s="15">
        <v>0</v>
      </c>
      <c r="M317" s="15">
        <v>0</v>
      </c>
      <c r="N317" s="15" t="s">
        <v>3028</v>
      </c>
      <c r="O317" s="9" t="s">
        <v>3028</v>
      </c>
    </row>
    <row r="318" spans="1:15" x14ac:dyDescent="0.2">
      <c r="A318" s="10" t="s">
        <v>834</v>
      </c>
      <c r="B318" s="15">
        <v>0</v>
      </c>
      <c r="C318" s="15">
        <v>0</v>
      </c>
      <c r="D318" s="15">
        <v>0</v>
      </c>
      <c r="E318" s="15">
        <v>495</v>
      </c>
      <c r="F318" s="15">
        <v>0</v>
      </c>
      <c r="G318" s="15">
        <v>0</v>
      </c>
      <c r="H318" s="15">
        <v>0</v>
      </c>
      <c r="I318" s="15">
        <v>0</v>
      </c>
      <c r="J318" s="15">
        <v>0</v>
      </c>
      <c r="K318" s="15">
        <v>0</v>
      </c>
      <c r="L318" s="15">
        <v>0</v>
      </c>
      <c r="M318" s="15">
        <v>0</v>
      </c>
      <c r="N318" s="15" t="s">
        <v>3028</v>
      </c>
      <c r="O318" s="9" t="s">
        <v>3028</v>
      </c>
    </row>
    <row r="319" spans="1:15" x14ac:dyDescent="0.2">
      <c r="A319" s="10" t="s">
        <v>838</v>
      </c>
      <c r="B319" s="15">
        <v>0</v>
      </c>
      <c r="C319" s="15">
        <v>0</v>
      </c>
      <c r="D319" s="15">
        <v>0</v>
      </c>
      <c r="E319" s="15">
        <v>825</v>
      </c>
      <c r="F319" s="15">
        <v>0</v>
      </c>
      <c r="G319" s="15">
        <v>0</v>
      </c>
      <c r="H319" s="15">
        <v>0</v>
      </c>
      <c r="I319" s="15">
        <v>0</v>
      </c>
      <c r="J319" s="15">
        <v>0</v>
      </c>
      <c r="K319" s="15">
        <v>0</v>
      </c>
      <c r="L319" s="15">
        <v>0</v>
      </c>
      <c r="M319" s="15">
        <v>0</v>
      </c>
      <c r="N319" s="15" t="s">
        <v>3028</v>
      </c>
      <c r="O319" s="9" t="s">
        <v>3028</v>
      </c>
    </row>
    <row r="320" spans="1:15" x14ac:dyDescent="0.2">
      <c r="A320" s="10" t="s">
        <v>840</v>
      </c>
      <c r="B320" s="15">
        <v>0</v>
      </c>
      <c r="C320" s="15">
        <v>0</v>
      </c>
      <c r="D320" s="15">
        <v>0</v>
      </c>
      <c r="E320" s="15">
        <v>825</v>
      </c>
      <c r="F320" s="15">
        <v>0</v>
      </c>
      <c r="G320" s="15">
        <v>0</v>
      </c>
      <c r="H320" s="15">
        <v>0</v>
      </c>
      <c r="I320" s="15">
        <v>0</v>
      </c>
      <c r="J320" s="15">
        <v>0</v>
      </c>
      <c r="K320" s="15">
        <v>0</v>
      </c>
      <c r="L320" s="15">
        <v>0</v>
      </c>
      <c r="M320" s="15">
        <v>0</v>
      </c>
      <c r="N320" s="15" t="s">
        <v>3028</v>
      </c>
      <c r="O320" s="9" t="s">
        <v>3028</v>
      </c>
    </row>
    <row r="321" spans="1:15" x14ac:dyDescent="0.2">
      <c r="A321" s="10" t="s">
        <v>842</v>
      </c>
      <c r="B321" s="15">
        <v>0</v>
      </c>
      <c r="C321" s="15">
        <v>0</v>
      </c>
      <c r="D321" s="15">
        <v>0</v>
      </c>
      <c r="E321" s="15">
        <v>1100</v>
      </c>
      <c r="F321" s="15">
        <v>0</v>
      </c>
      <c r="G321" s="15">
        <v>0</v>
      </c>
      <c r="H321" s="15">
        <v>0</v>
      </c>
      <c r="I321" s="15">
        <v>0</v>
      </c>
      <c r="J321" s="15">
        <v>0</v>
      </c>
      <c r="K321" s="15">
        <v>0</v>
      </c>
      <c r="L321" s="15">
        <v>0</v>
      </c>
      <c r="M321" s="15">
        <v>0</v>
      </c>
      <c r="N321" s="15" t="s">
        <v>3028</v>
      </c>
      <c r="O321" s="9" t="s">
        <v>3028</v>
      </c>
    </row>
    <row r="322" spans="1:15" x14ac:dyDescent="0.2">
      <c r="A322" s="10" t="s">
        <v>844</v>
      </c>
      <c r="B322" s="15">
        <v>0</v>
      </c>
      <c r="C322" s="15">
        <v>0</v>
      </c>
      <c r="D322" s="15">
        <v>0</v>
      </c>
      <c r="E322" s="15">
        <v>825</v>
      </c>
      <c r="F322" s="15">
        <v>0</v>
      </c>
      <c r="G322" s="15">
        <v>0</v>
      </c>
      <c r="H322" s="15">
        <v>0</v>
      </c>
      <c r="I322" s="15">
        <v>0</v>
      </c>
      <c r="J322" s="15">
        <v>0</v>
      </c>
      <c r="K322" s="15">
        <v>0</v>
      </c>
      <c r="L322" s="15">
        <v>0</v>
      </c>
      <c r="M322" s="15">
        <v>0</v>
      </c>
      <c r="N322" s="15" t="s">
        <v>3028</v>
      </c>
      <c r="O322" s="9" t="s">
        <v>3028</v>
      </c>
    </row>
    <row r="323" spans="1:15" x14ac:dyDescent="0.2">
      <c r="A323" s="10" t="s">
        <v>846</v>
      </c>
      <c r="B323" s="15">
        <v>0</v>
      </c>
      <c r="C323" s="15">
        <v>0</v>
      </c>
      <c r="D323" s="15">
        <v>0</v>
      </c>
      <c r="E323" s="15">
        <v>825</v>
      </c>
      <c r="F323" s="15">
        <v>0</v>
      </c>
      <c r="G323" s="15">
        <v>0</v>
      </c>
      <c r="H323" s="15">
        <v>0</v>
      </c>
      <c r="I323" s="15">
        <v>0</v>
      </c>
      <c r="J323" s="15">
        <v>0</v>
      </c>
      <c r="K323" s="15">
        <v>0</v>
      </c>
      <c r="L323" s="15">
        <v>0</v>
      </c>
      <c r="M323" s="15">
        <v>0</v>
      </c>
      <c r="N323" s="15" t="s">
        <v>3028</v>
      </c>
      <c r="O323" s="9" t="s">
        <v>3028</v>
      </c>
    </row>
    <row r="324" spans="1:15" x14ac:dyDescent="0.2">
      <c r="A324" s="10" t="s">
        <v>848</v>
      </c>
      <c r="B324" s="15">
        <v>0</v>
      </c>
      <c r="C324" s="15">
        <v>0</v>
      </c>
      <c r="D324" s="15">
        <v>0</v>
      </c>
      <c r="E324" s="15">
        <v>1925</v>
      </c>
      <c r="F324" s="15">
        <v>0</v>
      </c>
      <c r="G324" s="15">
        <v>0</v>
      </c>
      <c r="H324" s="15">
        <v>0</v>
      </c>
      <c r="I324" s="15">
        <v>0</v>
      </c>
      <c r="J324" s="15">
        <v>0</v>
      </c>
      <c r="K324" s="15">
        <v>0</v>
      </c>
      <c r="L324" s="15">
        <v>0</v>
      </c>
      <c r="M324" s="15">
        <v>0</v>
      </c>
      <c r="N324" s="15" t="s">
        <v>3028</v>
      </c>
      <c r="O324" s="9" t="s">
        <v>3028</v>
      </c>
    </row>
    <row r="325" spans="1:15" x14ac:dyDescent="0.2">
      <c r="A325" s="10" t="s">
        <v>850</v>
      </c>
      <c r="B325" s="15">
        <v>0</v>
      </c>
      <c r="C325" s="15">
        <v>0</v>
      </c>
      <c r="D325" s="15">
        <v>0</v>
      </c>
      <c r="E325" s="15">
        <v>825</v>
      </c>
      <c r="F325" s="15">
        <v>0</v>
      </c>
      <c r="G325" s="15">
        <v>0</v>
      </c>
      <c r="H325" s="15">
        <v>0</v>
      </c>
      <c r="I325" s="15">
        <v>0</v>
      </c>
      <c r="J325" s="15">
        <v>0</v>
      </c>
      <c r="K325" s="15">
        <v>0</v>
      </c>
      <c r="L325" s="15">
        <v>0</v>
      </c>
      <c r="M325" s="15">
        <v>0</v>
      </c>
      <c r="N325" s="15" t="s">
        <v>3028</v>
      </c>
      <c r="O325" s="9" t="s">
        <v>3028</v>
      </c>
    </row>
    <row r="326" spans="1:15" x14ac:dyDescent="0.2">
      <c r="A326" s="10" t="s">
        <v>852</v>
      </c>
      <c r="B326" s="15">
        <v>0</v>
      </c>
      <c r="C326" s="15">
        <v>0</v>
      </c>
      <c r="D326" s="15">
        <v>0</v>
      </c>
      <c r="E326" s="15">
        <v>458.33</v>
      </c>
      <c r="F326" s="15">
        <v>0</v>
      </c>
      <c r="G326" s="15">
        <v>0</v>
      </c>
      <c r="H326" s="15">
        <v>0</v>
      </c>
      <c r="I326" s="15">
        <v>0</v>
      </c>
      <c r="J326" s="15">
        <v>0</v>
      </c>
      <c r="K326" s="15">
        <v>0</v>
      </c>
      <c r="L326" s="15">
        <v>0</v>
      </c>
      <c r="M326" s="15">
        <v>0</v>
      </c>
      <c r="N326" s="15" t="s">
        <v>3028</v>
      </c>
      <c r="O326" s="9" t="s">
        <v>3028</v>
      </c>
    </row>
    <row r="327" spans="1:15" x14ac:dyDescent="0.2">
      <c r="A327" s="10" t="s">
        <v>854</v>
      </c>
      <c r="B327" s="15">
        <v>0</v>
      </c>
      <c r="C327" s="15">
        <v>0</v>
      </c>
      <c r="D327" s="15">
        <v>1008.33</v>
      </c>
      <c r="E327" s="15">
        <v>0</v>
      </c>
      <c r="F327" s="15">
        <v>0</v>
      </c>
      <c r="G327" s="15">
        <v>0</v>
      </c>
      <c r="H327" s="15">
        <v>0</v>
      </c>
      <c r="I327" s="15">
        <v>0</v>
      </c>
      <c r="J327" s="15">
        <v>0</v>
      </c>
      <c r="K327" s="15">
        <v>0</v>
      </c>
      <c r="L327" s="15">
        <v>0</v>
      </c>
      <c r="M327" s="15">
        <v>0</v>
      </c>
      <c r="N327" s="15" t="s">
        <v>3028</v>
      </c>
      <c r="O327" s="9" t="s">
        <v>3028</v>
      </c>
    </row>
    <row r="328" spans="1:15" x14ac:dyDescent="0.2">
      <c r="A328" s="10" t="s">
        <v>856</v>
      </c>
      <c r="B328" s="15">
        <v>0</v>
      </c>
      <c r="C328" s="15">
        <v>0</v>
      </c>
      <c r="D328" s="15">
        <v>0</v>
      </c>
      <c r="E328" s="15">
        <v>275</v>
      </c>
      <c r="F328" s="15">
        <v>0</v>
      </c>
      <c r="G328" s="15">
        <v>0</v>
      </c>
      <c r="H328" s="15">
        <v>0</v>
      </c>
      <c r="I328" s="15">
        <v>0</v>
      </c>
      <c r="J328" s="15">
        <v>0</v>
      </c>
      <c r="K328" s="15">
        <v>0</v>
      </c>
      <c r="L328" s="15">
        <v>0</v>
      </c>
      <c r="M328" s="15">
        <v>0</v>
      </c>
      <c r="N328" s="15" t="s">
        <v>3028</v>
      </c>
      <c r="O328" s="9" t="s">
        <v>3028</v>
      </c>
    </row>
    <row r="329" spans="1:15" x14ac:dyDescent="0.2">
      <c r="A329" s="10" t="s">
        <v>858</v>
      </c>
      <c r="B329" s="15">
        <v>0</v>
      </c>
      <c r="C329" s="15">
        <v>0</v>
      </c>
      <c r="D329" s="15">
        <v>1008.33</v>
      </c>
      <c r="E329" s="15">
        <v>0</v>
      </c>
      <c r="F329" s="15">
        <v>0</v>
      </c>
      <c r="G329" s="15">
        <v>0</v>
      </c>
      <c r="H329" s="15">
        <v>0</v>
      </c>
      <c r="I329" s="15">
        <v>0</v>
      </c>
      <c r="J329" s="15">
        <v>0</v>
      </c>
      <c r="K329" s="15">
        <v>0</v>
      </c>
      <c r="L329" s="15">
        <v>0</v>
      </c>
      <c r="M329" s="15">
        <v>0</v>
      </c>
      <c r="N329" s="15" t="s">
        <v>3028</v>
      </c>
      <c r="O329" s="9" t="s">
        <v>3028</v>
      </c>
    </row>
    <row r="330" spans="1:15" x14ac:dyDescent="0.2">
      <c r="A330" s="10" t="s">
        <v>860</v>
      </c>
      <c r="B330" s="15">
        <v>0</v>
      </c>
      <c r="C330" s="15">
        <v>0</v>
      </c>
      <c r="D330" s="15">
        <v>0</v>
      </c>
      <c r="E330" s="15">
        <v>825</v>
      </c>
      <c r="F330" s="15">
        <v>0</v>
      </c>
      <c r="G330" s="15">
        <v>0</v>
      </c>
      <c r="H330" s="15">
        <v>0</v>
      </c>
      <c r="I330" s="15">
        <v>0</v>
      </c>
      <c r="J330" s="15">
        <v>0</v>
      </c>
      <c r="K330" s="15">
        <v>0</v>
      </c>
      <c r="L330" s="15">
        <v>0</v>
      </c>
      <c r="M330" s="15">
        <v>0</v>
      </c>
      <c r="N330" s="15" t="s">
        <v>3028</v>
      </c>
      <c r="O330" s="9" t="s">
        <v>3028</v>
      </c>
    </row>
    <row r="331" spans="1:15" x14ac:dyDescent="0.2">
      <c r="A331" s="10" t="s">
        <v>866</v>
      </c>
      <c r="B331" s="15">
        <v>0</v>
      </c>
      <c r="C331" s="15">
        <v>0</v>
      </c>
      <c r="D331" s="15">
        <v>0</v>
      </c>
      <c r="E331" s="15">
        <v>825</v>
      </c>
      <c r="F331" s="15">
        <v>0</v>
      </c>
      <c r="G331" s="15">
        <v>0</v>
      </c>
      <c r="H331" s="15">
        <v>0</v>
      </c>
      <c r="I331" s="15">
        <v>0</v>
      </c>
      <c r="J331" s="15">
        <v>0</v>
      </c>
      <c r="K331" s="15">
        <v>0</v>
      </c>
      <c r="L331" s="15">
        <v>0</v>
      </c>
      <c r="M331" s="15">
        <v>0</v>
      </c>
      <c r="N331" s="15" t="s">
        <v>3028</v>
      </c>
      <c r="O331" s="9" t="s">
        <v>3028</v>
      </c>
    </row>
    <row r="332" spans="1:15" x14ac:dyDescent="0.2">
      <c r="A332" s="10" t="s">
        <v>868</v>
      </c>
      <c r="B332" s="15">
        <v>0</v>
      </c>
      <c r="C332" s="15">
        <v>0</v>
      </c>
      <c r="D332" s="15">
        <v>0</v>
      </c>
      <c r="E332" s="15">
        <v>825</v>
      </c>
      <c r="F332" s="15">
        <v>0</v>
      </c>
      <c r="G332" s="15">
        <v>0</v>
      </c>
      <c r="H332" s="15">
        <v>0</v>
      </c>
      <c r="I332" s="15">
        <v>0</v>
      </c>
      <c r="J332" s="15">
        <v>0</v>
      </c>
      <c r="K332" s="15">
        <v>0</v>
      </c>
      <c r="L332" s="15">
        <v>0</v>
      </c>
      <c r="M332" s="15">
        <v>0</v>
      </c>
      <c r="N332" s="15" t="s">
        <v>3028</v>
      </c>
      <c r="O332" s="9" t="s">
        <v>3028</v>
      </c>
    </row>
    <row r="333" spans="1:15" x14ac:dyDescent="0.2">
      <c r="A333" s="10" t="s">
        <v>870</v>
      </c>
      <c r="B333" s="15">
        <v>0</v>
      </c>
      <c r="C333" s="15">
        <v>0</v>
      </c>
      <c r="D333" s="15">
        <v>0</v>
      </c>
      <c r="E333" s="15">
        <v>91.67</v>
      </c>
      <c r="F333" s="15">
        <v>0</v>
      </c>
      <c r="G333" s="15">
        <v>0</v>
      </c>
      <c r="H333" s="15">
        <v>0</v>
      </c>
      <c r="I333" s="15">
        <v>0</v>
      </c>
      <c r="J333" s="15">
        <v>0</v>
      </c>
      <c r="K333" s="15">
        <v>0</v>
      </c>
      <c r="L333" s="15">
        <v>0</v>
      </c>
      <c r="M333" s="15">
        <v>0</v>
      </c>
      <c r="N333" s="15" t="s">
        <v>3028</v>
      </c>
      <c r="O333" s="9" t="s">
        <v>3028</v>
      </c>
    </row>
    <row r="334" spans="1:15" x14ac:dyDescent="0.2">
      <c r="A334" s="10" t="s">
        <v>872</v>
      </c>
      <c r="B334" s="15">
        <v>0</v>
      </c>
      <c r="C334" s="15">
        <v>0</v>
      </c>
      <c r="D334" s="15">
        <v>0</v>
      </c>
      <c r="E334" s="15">
        <v>825</v>
      </c>
      <c r="F334" s="15">
        <v>0</v>
      </c>
      <c r="G334" s="15">
        <v>0</v>
      </c>
      <c r="H334" s="15">
        <v>0</v>
      </c>
      <c r="I334" s="15">
        <v>0</v>
      </c>
      <c r="J334" s="15">
        <v>0</v>
      </c>
      <c r="K334" s="15">
        <v>0</v>
      </c>
      <c r="L334" s="15">
        <v>0</v>
      </c>
      <c r="M334" s="15">
        <v>0</v>
      </c>
      <c r="N334" s="15" t="s">
        <v>3028</v>
      </c>
      <c r="O334" s="9" t="s">
        <v>3028</v>
      </c>
    </row>
    <row r="335" spans="1:15" x14ac:dyDescent="0.2">
      <c r="A335" s="10" t="s">
        <v>874</v>
      </c>
      <c r="B335" s="15">
        <v>0</v>
      </c>
      <c r="C335" s="15">
        <v>0</v>
      </c>
      <c r="D335" s="15">
        <v>0</v>
      </c>
      <c r="E335" s="15">
        <v>825</v>
      </c>
      <c r="F335" s="15">
        <v>0</v>
      </c>
      <c r="G335" s="15">
        <v>0</v>
      </c>
      <c r="H335" s="15">
        <v>0</v>
      </c>
      <c r="I335" s="15">
        <v>0</v>
      </c>
      <c r="J335" s="15">
        <v>0</v>
      </c>
      <c r="K335" s="15">
        <v>0</v>
      </c>
      <c r="L335" s="15">
        <v>0</v>
      </c>
      <c r="M335" s="15">
        <v>0</v>
      </c>
      <c r="N335" s="15" t="s">
        <v>3028</v>
      </c>
      <c r="O335" s="9" t="s">
        <v>3028</v>
      </c>
    </row>
    <row r="336" spans="1:15" x14ac:dyDescent="0.2">
      <c r="A336" s="10" t="s">
        <v>876</v>
      </c>
      <c r="B336" s="15">
        <v>0</v>
      </c>
      <c r="C336" s="15">
        <v>550</v>
      </c>
      <c r="D336" s="15">
        <v>0</v>
      </c>
      <c r="E336" s="15">
        <v>0</v>
      </c>
      <c r="F336" s="15">
        <v>0</v>
      </c>
      <c r="G336" s="15">
        <v>0</v>
      </c>
      <c r="H336" s="15">
        <v>0</v>
      </c>
      <c r="I336" s="15">
        <v>0</v>
      </c>
      <c r="J336" s="15">
        <v>0</v>
      </c>
      <c r="K336" s="15">
        <v>0</v>
      </c>
      <c r="L336" s="15">
        <v>0</v>
      </c>
      <c r="M336" s="15">
        <v>0</v>
      </c>
      <c r="N336" s="15" t="s">
        <v>3028</v>
      </c>
      <c r="O336" s="9" t="s">
        <v>3028</v>
      </c>
    </row>
    <row r="337" spans="1:15" x14ac:dyDescent="0.2">
      <c r="A337" s="10" t="s">
        <v>878</v>
      </c>
      <c r="B337" s="15">
        <v>0</v>
      </c>
      <c r="C337" s="15">
        <v>0</v>
      </c>
      <c r="D337" s="15">
        <v>0</v>
      </c>
      <c r="E337" s="15">
        <v>825</v>
      </c>
      <c r="F337" s="15">
        <v>0</v>
      </c>
      <c r="G337" s="15">
        <v>0</v>
      </c>
      <c r="H337" s="15">
        <v>0</v>
      </c>
      <c r="I337" s="15">
        <v>0</v>
      </c>
      <c r="J337" s="15">
        <v>0</v>
      </c>
      <c r="K337" s="15">
        <v>0</v>
      </c>
      <c r="L337" s="15">
        <v>0</v>
      </c>
      <c r="M337" s="15">
        <v>0</v>
      </c>
      <c r="N337" s="15" t="s">
        <v>3028</v>
      </c>
      <c r="O337" s="9" t="s">
        <v>3028</v>
      </c>
    </row>
    <row r="338" spans="1:15" x14ac:dyDescent="0.2">
      <c r="A338" s="10" t="s">
        <v>880</v>
      </c>
      <c r="B338" s="15">
        <v>0</v>
      </c>
      <c r="C338" s="15">
        <v>0</v>
      </c>
      <c r="D338" s="15">
        <v>0</v>
      </c>
      <c r="E338" s="15">
        <v>825</v>
      </c>
      <c r="F338" s="15">
        <v>0</v>
      </c>
      <c r="G338" s="15">
        <v>0</v>
      </c>
      <c r="H338" s="15">
        <v>0</v>
      </c>
      <c r="I338" s="15">
        <v>0</v>
      </c>
      <c r="J338" s="15">
        <v>0</v>
      </c>
      <c r="K338" s="15">
        <v>0</v>
      </c>
      <c r="L338" s="15">
        <v>0</v>
      </c>
      <c r="M338" s="15">
        <v>0</v>
      </c>
      <c r="N338" s="15" t="s">
        <v>3028</v>
      </c>
      <c r="O338" s="9" t="s">
        <v>3028</v>
      </c>
    </row>
    <row r="339" spans="1:15" x14ac:dyDescent="0.2">
      <c r="A339" s="10" t="s">
        <v>882</v>
      </c>
      <c r="B339" s="15">
        <v>0</v>
      </c>
      <c r="C339" s="15">
        <v>0</v>
      </c>
      <c r="D339" s="15">
        <v>0</v>
      </c>
      <c r="E339" s="15">
        <v>825</v>
      </c>
      <c r="F339" s="15">
        <v>0</v>
      </c>
      <c r="G339" s="15">
        <v>0</v>
      </c>
      <c r="H339" s="15">
        <v>0</v>
      </c>
      <c r="I339" s="15">
        <v>0</v>
      </c>
      <c r="J339" s="15">
        <v>0</v>
      </c>
      <c r="K339" s="15">
        <v>0</v>
      </c>
      <c r="L339" s="15">
        <v>0</v>
      </c>
      <c r="M339" s="15">
        <v>0</v>
      </c>
      <c r="N339" s="15" t="s">
        <v>3028</v>
      </c>
      <c r="O339" s="9" t="s">
        <v>3028</v>
      </c>
    </row>
    <row r="340" spans="1:15" x14ac:dyDescent="0.2">
      <c r="A340" s="10" t="s">
        <v>884</v>
      </c>
      <c r="B340" s="15">
        <v>0</v>
      </c>
      <c r="C340" s="15">
        <v>0</v>
      </c>
      <c r="D340" s="15">
        <v>0</v>
      </c>
      <c r="E340" s="15">
        <v>825</v>
      </c>
      <c r="F340" s="15">
        <v>0</v>
      </c>
      <c r="G340" s="15">
        <v>0</v>
      </c>
      <c r="H340" s="15">
        <v>0</v>
      </c>
      <c r="I340" s="15">
        <v>0</v>
      </c>
      <c r="J340" s="15">
        <v>0</v>
      </c>
      <c r="K340" s="15">
        <v>0</v>
      </c>
      <c r="L340" s="15">
        <v>0</v>
      </c>
      <c r="M340" s="15">
        <v>0</v>
      </c>
      <c r="N340" s="15" t="s">
        <v>3028</v>
      </c>
      <c r="O340" s="9" t="s">
        <v>3028</v>
      </c>
    </row>
    <row r="341" spans="1:15" x14ac:dyDescent="0.2">
      <c r="A341" s="10" t="s">
        <v>886</v>
      </c>
      <c r="B341" s="15">
        <v>0</v>
      </c>
      <c r="C341" s="15">
        <v>0</v>
      </c>
      <c r="D341" s="15">
        <v>0</v>
      </c>
      <c r="E341" s="15">
        <v>825</v>
      </c>
      <c r="F341" s="15">
        <v>0</v>
      </c>
      <c r="G341" s="15">
        <v>0</v>
      </c>
      <c r="H341" s="15">
        <v>0</v>
      </c>
      <c r="I341" s="15">
        <v>0</v>
      </c>
      <c r="J341" s="15">
        <v>0</v>
      </c>
      <c r="K341" s="15">
        <v>0</v>
      </c>
      <c r="L341" s="15">
        <v>0</v>
      </c>
      <c r="M341" s="15">
        <v>0</v>
      </c>
      <c r="N341" s="15" t="s">
        <v>3028</v>
      </c>
      <c r="O341" s="9" t="s">
        <v>3028</v>
      </c>
    </row>
    <row r="342" spans="1:15" x14ac:dyDescent="0.2">
      <c r="A342" s="10" t="s">
        <v>888</v>
      </c>
      <c r="B342" s="15">
        <v>0</v>
      </c>
      <c r="C342" s="15">
        <v>0</v>
      </c>
      <c r="D342" s="15">
        <v>0</v>
      </c>
      <c r="E342" s="15">
        <v>825</v>
      </c>
      <c r="F342" s="15">
        <v>0</v>
      </c>
      <c r="G342" s="15">
        <v>0</v>
      </c>
      <c r="H342" s="15">
        <v>0</v>
      </c>
      <c r="I342" s="15">
        <v>0</v>
      </c>
      <c r="J342" s="15">
        <v>0</v>
      </c>
      <c r="K342" s="15">
        <v>0</v>
      </c>
      <c r="L342" s="15">
        <v>0</v>
      </c>
      <c r="M342" s="15">
        <v>0</v>
      </c>
      <c r="N342" s="15" t="s">
        <v>3028</v>
      </c>
      <c r="O342" s="9" t="s">
        <v>3028</v>
      </c>
    </row>
    <row r="343" spans="1:15" x14ac:dyDescent="0.2">
      <c r="A343" s="10" t="s">
        <v>892</v>
      </c>
      <c r="B343" s="15">
        <v>0</v>
      </c>
      <c r="C343" s="15">
        <v>0</v>
      </c>
      <c r="D343" s="15">
        <v>0</v>
      </c>
      <c r="E343" s="15">
        <v>825</v>
      </c>
      <c r="F343" s="15">
        <v>0</v>
      </c>
      <c r="G343" s="15">
        <v>0</v>
      </c>
      <c r="H343" s="15">
        <v>0</v>
      </c>
      <c r="I343" s="15">
        <v>0</v>
      </c>
      <c r="J343" s="15">
        <v>0</v>
      </c>
      <c r="K343" s="15">
        <v>0</v>
      </c>
      <c r="L343" s="15">
        <v>0</v>
      </c>
      <c r="M343" s="15">
        <v>0</v>
      </c>
      <c r="N343" s="15" t="s">
        <v>3028</v>
      </c>
      <c r="O343" s="9" t="s">
        <v>3028</v>
      </c>
    </row>
    <row r="344" spans="1:15" x14ac:dyDescent="0.2">
      <c r="A344" s="10" t="s">
        <v>894</v>
      </c>
      <c r="B344" s="15">
        <v>0</v>
      </c>
      <c r="C344" s="15">
        <v>0</v>
      </c>
      <c r="D344" s="15">
        <v>0</v>
      </c>
      <c r="E344" s="15">
        <v>825</v>
      </c>
      <c r="F344" s="15">
        <v>0</v>
      </c>
      <c r="G344" s="15">
        <v>0</v>
      </c>
      <c r="H344" s="15">
        <v>0</v>
      </c>
      <c r="I344" s="15">
        <v>0</v>
      </c>
      <c r="J344" s="15">
        <v>0</v>
      </c>
      <c r="K344" s="15">
        <v>0</v>
      </c>
      <c r="L344" s="15">
        <v>0</v>
      </c>
      <c r="M344" s="15">
        <v>0</v>
      </c>
      <c r="N344" s="15" t="s">
        <v>3028</v>
      </c>
      <c r="O344" s="9" t="s">
        <v>3028</v>
      </c>
    </row>
    <row r="345" spans="1:15" x14ac:dyDescent="0.2">
      <c r="A345" s="10" t="s">
        <v>896</v>
      </c>
      <c r="B345" s="15">
        <v>0</v>
      </c>
      <c r="C345" s="15">
        <v>0</v>
      </c>
      <c r="D345" s="15">
        <v>0</v>
      </c>
      <c r="E345" s="15">
        <v>825</v>
      </c>
      <c r="F345" s="15">
        <v>0</v>
      </c>
      <c r="G345" s="15">
        <v>0</v>
      </c>
      <c r="H345" s="15">
        <v>0</v>
      </c>
      <c r="I345" s="15">
        <v>0</v>
      </c>
      <c r="J345" s="15">
        <v>0</v>
      </c>
      <c r="K345" s="15">
        <v>0</v>
      </c>
      <c r="L345" s="15">
        <v>0</v>
      </c>
      <c r="M345" s="15">
        <v>0</v>
      </c>
      <c r="N345" s="15" t="s">
        <v>3028</v>
      </c>
      <c r="O345" s="9" t="s">
        <v>3028</v>
      </c>
    </row>
    <row r="346" spans="1:15" x14ac:dyDescent="0.2">
      <c r="A346" s="10" t="s">
        <v>898</v>
      </c>
      <c r="B346" s="15">
        <v>0</v>
      </c>
      <c r="C346" s="15">
        <v>0</v>
      </c>
      <c r="D346" s="15">
        <v>0</v>
      </c>
      <c r="E346" s="15">
        <v>825</v>
      </c>
      <c r="F346" s="15">
        <v>0</v>
      </c>
      <c r="G346" s="15">
        <v>0</v>
      </c>
      <c r="H346" s="15">
        <v>0</v>
      </c>
      <c r="I346" s="15">
        <v>0</v>
      </c>
      <c r="J346" s="15">
        <v>0</v>
      </c>
      <c r="K346" s="15">
        <v>0</v>
      </c>
      <c r="L346" s="15">
        <v>0</v>
      </c>
      <c r="M346" s="15">
        <v>0</v>
      </c>
      <c r="N346" s="15" t="s">
        <v>3028</v>
      </c>
      <c r="O346" s="9" t="s">
        <v>3028</v>
      </c>
    </row>
    <row r="347" spans="1:15" x14ac:dyDescent="0.2">
      <c r="A347" s="10" t="s">
        <v>900</v>
      </c>
      <c r="B347" s="15">
        <v>0</v>
      </c>
      <c r="C347" s="15">
        <v>0</v>
      </c>
      <c r="D347" s="15">
        <v>0</v>
      </c>
      <c r="E347" s="15">
        <v>825</v>
      </c>
      <c r="F347" s="15">
        <v>0</v>
      </c>
      <c r="G347" s="15">
        <v>0</v>
      </c>
      <c r="H347" s="15">
        <v>0</v>
      </c>
      <c r="I347" s="15">
        <v>0</v>
      </c>
      <c r="J347" s="15">
        <v>0</v>
      </c>
      <c r="K347" s="15">
        <v>0</v>
      </c>
      <c r="L347" s="15">
        <v>0</v>
      </c>
      <c r="M347" s="15">
        <v>0</v>
      </c>
      <c r="N347" s="15" t="s">
        <v>3028</v>
      </c>
      <c r="O347" s="9" t="s">
        <v>3028</v>
      </c>
    </row>
    <row r="348" spans="1:15" x14ac:dyDescent="0.2">
      <c r="A348" s="10" t="s">
        <v>904</v>
      </c>
      <c r="B348" s="15">
        <v>0</v>
      </c>
      <c r="C348" s="15">
        <v>0</v>
      </c>
      <c r="D348" s="15">
        <v>0</v>
      </c>
      <c r="E348" s="15">
        <v>825</v>
      </c>
      <c r="F348" s="15">
        <v>0</v>
      </c>
      <c r="G348" s="15">
        <v>0</v>
      </c>
      <c r="H348" s="15">
        <v>0</v>
      </c>
      <c r="I348" s="15">
        <v>0</v>
      </c>
      <c r="J348" s="15">
        <v>0</v>
      </c>
      <c r="K348" s="15">
        <v>0</v>
      </c>
      <c r="L348" s="15">
        <v>0</v>
      </c>
      <c r="M348" s="15">
        <v>0</v>
      </c>
      <c r="N348" s="15" t="s">
        <v>3028</v>
      </c>
      <c r="O348" s="9" t="s">
        <v>3028</v>
      </c>
    </row>
    <row r="349" spans="1:15" x14ac:dyDescent="0.2">
      <c r="A349" s="10" t="s">
        <v>906</v>
      </c>
      <c r="B349" s="15">
        <v>0</v>
      </c>
      <c r="C349" s="15">
        <v>0</v>
      </c>
      <c r="D349" s="15">
        <v>0</v>
      </c>
      <c r="E349" s="15">
        <v>825</v>
      </c>
      <c r="F349" s="15">
        <v>0</v>
      </c>
      <c r="G349" s="15">
        <v>0</v>
      </c>
      <c r="H349" s="15">
        <v>0</v>
      </c>
      <c r="I349" s="15">
        <v>0</v>
      </c>
      <c r="J349" s="15">
        <v>0</v>
      </c>
      <c r="K349" s="15">
        <v>0</v>
      </c>
      <c r="L349" s="15">
        <v>0</v>
      </c>
      <c r="M349" s="15">
        <v>0</v>
      </c>
      <c r="N349" s="15" t="s">
        <v>3028</v>
      </c>
      <c r="O349" s="9" t="s">
        <v>3028</v>
      </c>
    </row>
    <row r="350" spans="1:15" x14ac:dyDescent="0.2">
      <c r="A350" s="10" t="s">
        <v>908</v>
      </c>
      <c r="B350" s="15">
        <v>0</v>
      </c>
      <c r="C350" s="15">
        <v>0</v>
      </c>
      <c r="D350" s="15">
        <v>0</v>
      </c>
      <c r="E350" s="15">
        <v>825</v>
      </c>
      <c r="F350" s="15">
        <v>0</v>
      </c>
      <c r="G350" s="15">
        <v>0</v>
      </c>
      <c r="H350" s="15">
        <v>0</v>
      </c>
      <c r="I350" s="15">
        <v>0</v>
      </c>
      <c r="J350" s="15">
        <v>0</v>
      </c>
      <c r="K350" s="15">
        <v>0</v>
      </c>
      <c r="L350" s="15">
        <v>0</v>
      </c>
      <c r="M350" s="15">
        <v>0</v>
      </c>
      <c r="N350" s="15" t="s">
        <v>3028</v>
      </c>
      <c r="O350" s="9" t="s">
        <v>3028</v>
      </c>
    </row>
    <row r="351" spans="1:15" x14ac:dyDescent="0.2">
      <c r="A351" s="10" t="s">
        <v>912</v>
      </c>
      <c r="B351" s="15">
        <v>0</v>
      </c>
      <c r="C351" s="15">
        <v>0</v>
      </c>
      <c r="D351" s="15">
        <v>0</v>
      </c>
      <c r="E351" s="15">
        <v>825</v>
      </c>
      <c r="F351" s="15">
        <v>0</v>
      </c>
      <c r="G351" s="15">
        <v>0</v>
      </c>
      <c r="H351" s="15">
        <v>0</v>
      </c>
      <c r="I351" s="15">
        <v>0</v>
      </c>
      <c r="J351" s="15">
        <v>0</v>
      </c>
      <c r="K351" s="15">
        <v>0</v>
      </c>
      <c r="L351" s="15">
        <v>0</v>
      </c>
      <c r="M351" s="15">
        <v>0</v>
      </c>
      <c r="N351" s="15" t="s">
        <v>3028</v>
      </c>
      <c r="O351" s="9" t="s">
        <v>3028</v>
      </c>
    </row>
    <row r="352" spans="1:15" x14ac:dyDescent="0.2">
      <c r="A352" s="10" t="s">
        <v>914</v>
      </c>
      <c r="B352" s="15">
        <v>0</v>
      </c>
      <c r="C352" s="15">
        <v>0</v>
      </c>
      <c r="D352" s="15">
        <v>0</v>
      </c>
      <c r="E352" s="15">
        <v>825</v>
      </c>
      <c r="F352" s="15">
        <v>0</v>
      </c>
      <c r="G352" s="15">
        <v>0</v>
      </c>
      <c r="H352" s="15">
        <v>0</v>
      </c>
      <c r="I352" s="15">
        <v>0</v>
      </c>
      <c r="J352" s="15">
        <v>0</v>
      </c>
      <c r="K352" s="15">
        <v>0</v>
      </c>
      <c r="L352" s="15">
        <v>0</v>
      </c>
      <c r="M352" s="15">
        <v>0</v>
      </c>
      <c r="N352" s="15" t="s">
        <v>3028</v>
      </c>
      <c r="O352" s="9" t="s">
        <v>3028</v>
      </c>
    </row>
    <row r="353" spans="1:15" x14ac:dyDescent="0.2">
      <c r="A353" s="10" t="s">
        <v>916</v>
      </c>
      <c r="B353" s="15">
        <v>0</v>
      </c>
      <c r="C353" s="15">
        <v>0</v>
      </c>
      <c r="D353" s="15">
        <v>0</v>
      </c>
      <c r="E353" s="15">
        <v>825</v>
      </c>
      <c r="F353" s="15">
        <v>0</v>
      </c>
      <c r="G353" s="15">
        <v>0</v>
      </c>
      <c r="H353" s="15">
        <v>0</v>
      </c>
      <c r="I353" s="15">
        <v>0</v>
      </c>
      <c r="J353" s="15">
        <v>0</v>
      </c>
      <c r="K353" s="15">
        <v>0</v>
      </c>
      <c r="L353" s="15">
        <v>0</v>
      </c>
      <c r="M353" s="15">
        <v>0</v>
      </c>
      <c r="N353" s="15" t="s">
        <v>3028</v>
      </c>
      <c r="O353" s="9" t="s">
        <v>3028</v>
      </c>
    </row>
    <row r="354" spans="1:15" x14ac:dyDescent="0.2">
      <c r="A354" s="10" t="s">
        <v>918</v>
      </c>
      <c r="B354" s="15">
        <v>0</v>
      </c>
      <c r="C354" s="15">
        <v>0</v>
      </c>
      <c r="D354" s="15">
        <v>110</v>
      </c>
      <c r="E354" s="15">
        <v>0</v>
      </c>
      <c r="F354" s="15">
        <v>0</v>
      </c>
      <c r="G354" s="15">
        <v>0</v>
      </c>
      <c r="H354" s="15">
        <v>0</v>
      </c>
      <c r="I354" s="15">
        <v>0</v>
      </c>
      <c r="J354" s="15">
        <v>0</v>
      </c>
      <c r="K354" s="15">
        <v>0</v>
      </c>
      <c r="L354" s="15">
        <v>0</v>
      </c>
      <c r="M354" s="15">
        <v>0</v>
      </c>
      <c r="N354" s="15" t="s">
        <v>3028</v>
      </c>
      <c r="O354" s="9" t="s">
        <v>3028</v>
      </c>
    </row>
    <row r="355" spans="1:15" x14ac:dyDescent="0.2">
      <c r="A355" s="10" t="s">
        <v>920</v>
      </c>
      <c r="B355" s="15">
        <v>495</v>
      </c>
      <c r="C355" s="15">
        <v>0</v>
      </c>
      <c r="D355" s="15">
        <v>0</v>
      </c>
      <c r="E355" s="15">
        <v>0</v>
      </c>
      <c r="F355" s="15">
        <v>0</v>
      </c>
      <c r="G355" s="15">
        <v>0</v>
      </c>
      <c r="H355" s="15">
        <v>0</v>
      </c>
      <c r="I355" s="15">
        <v>0</v>
      </c>
      <c r="J355" s="15">
        <v>0</v>
      </c>
      <c r="K355" s="15">
        <v>0</v>
      </c>
      <c r="L355" s="15">
        <v>0</v>
      </c>
      <c r="M355" s="15">
        <v>0</v>
      </c>
      <c r="N355" s="15" t="s">
        <v>3028</v>
      </c>
      <c r="O355" s="9" t="s">
        <v>3028</v>
      </c>
    </row>
    <row r="356" spans="1:15" x14ac:dyDescent="0.2">
      <c r="A356" s="10" t="s">
        <v>922</v>
      </c>
      <c r="B356" s="15">
        <v>0</v>
      </c>
      <c r="C356" s="15">
        <v>0</v>
      </c>
      <c r="D356" s="15">
        <v>0</v>
      </c>
      <c r="E356" s="15">
        <v>825</v>
      </c>
      <c r="F356" s="15">
        <v>0</v>
      </c>
      <c r="G356" s="15">
        <v>0</v>
      </c>
      <c r="H356" s="15">
        <v>0</v>
      </c>
      <c r="I356" s="15">
        <v>0</v>
      </c>
      <c r="J356" s="15">
        <v>0</v>
      </c>
      <c r="K356" s="15">
        <v>0</v>
      </c>
      <c r="L356" s="15">
        <v>0</v>
      </c>
      <c r="M356" s="15">
        <v>0</v>
      </c>
      <c r="N356" s="15" t="s">
        <v>3028</v>
      </c>
      <c r="O356" s="9" t="s">
        <v>3028</v>
      </c>
    </row>
    <row r="357" spans="1:15" x14ac:dyDescent="0.2">
      <c r="A357" s="10" t="s">
        <v>926</v>
      </c>
      <c r="B357" s="15">
        <v>0</v>
      </c>
      <c r="C357" s="15">
        <v>0</v>
      </c>
      <c r="D357" s="15">
        <v>1008.33</v>
      </c>
      <c r="E357" s="15">
        <v>0</v>
      </c>
      <c r="F357" s="15">
        <v>0</v>
      </c>
      <c r="G357" s="15">
        <v>0</v>
      </c>
      <c r="H357" s="15">
        <v>0</v>
      </c>
      <c r="I357" s="15">
        <v>0</v>
      </c>
      <c r="J357" s="15">
        <v>0</v>
      </c>
      <c r="K357" s="15">
        <v>0</v>
      </c>
      <c r="L357" s="15">
        <v>0</v>
      </c>
      <c r="M357" s="15">
        <v>0</v>
      </c>
      <c r="N357" s="15" t="s">
        <v>3028</v>
      </c>
      <c r="O357" s="9" t="s">
        <v>3028</v>
      </c>
    </row>
    <row r="358" spans="1:15" x14ac:dyDescent="0.2">
      <c r="A358" s="10" t="s">
        <v>928</v>
      </c>
      <c r="B358" s="15">
        <v>0</v>
      </c>
      <c r="C358" s="15">
        <v>0</v>
      </c>
      <c r="D358" s="15">
        <v>0</v>
      </c>
      <c r="E358" s="15">
        <v>825</v>
      </c>
      <c r="F358" s="15">
        <v>0</v>
      </c>
      <c r="G358" s="15">
        <v>0</v>
      </c>
      <c r="H358" s="15">
        <v>0</v>
      </c>
      <c r="I358" s="15">
        <v>0</v>
      </c>
      <c r="J358" s="15">
        <v>0</v>
      </c>
      <c r="K358" s="15">
        <v>0</v>
      </c>
      <c r="L358" s="15">
        <v>0</v>
      </c>
      <c r="M358" s="15">
        <v>0</v>
      </c>
      <c r="N358" s="15" t="s">
        <v>3028</v>
      </c>
      <c r="O358" s="9" t="s">
        <v>3028</v>
      </c>
    </row>
    <row r="359" spans="1:15" x14ac:dyDescent="0.2">
      <c r="A359" s="10" t="s">
        <v>930</v>
      </c>
      <c r="B359" s="15">
        <v>0</v>
      </c>
      <c r="C359" s="15">
        <v>0</v>
      </c>
      <c r="D359" s="15">
        <v>0</v>
      </c>
      <c r="E359" s="15">
        <v>458.33</v>
      </c>
      <c r="F359" s="15">
        <v>0</v>
      </c>
      <c r="G359" s="15">
        <v>0</v>
      </c>
      <c r="H359" s="15">
        <v>0</v>
      </c>
      <c r="I359" s="15">
        <v>0</v>
      </c>
      <c r="J359" s="15">
        <v>0</v>
      </c>
      <c r="K359" s="15">
        <v>0</v>
      </c>
      <c r="L359" s="15">
        <v>0</v>
      </c>
      <c r="M359" s="15">
        <v>0</v>
      </c>
      <c r="N359" s="15" t="s">
        <v>3028</v>
      </c>
      <c r="O359" s="9" t="s">
        <v>3028</v>
      </c>
    </row>
    <row r="360" spans="1:15" x14ac:dyDescent="0.2">
      <c r="A360" s="10" t="s">
        <v>932</v>
      </c>
      <c r="B360" s="15">
        <v>0</v>
      </c>
      <c r="C360" s="15">
        <v>0</v>
      </c>
      <c r="D360" s="15">
        <v>0</v>
      </c>
      <c r="E360" s="15">
        <v>495</v>
      </c>
      <c r="F360" s="15">
        <v>220</v>
      </c>
      <c r="G360" s="15">
        <v>0</v>
      </c>
      <c r="H360" s="15">
        <v>0</v>
      </c>
      <c r="I360" s="15">
        <v>0</v>
      </c>
      <c r="J360" s="15">
        <v>0</v>
      </c>
      <c r="K360" s="15">
        <v>0</v>
      </c>
      <c r="L360" s="15">
        <v>0</v>
      </c>
      <c r="M360" s="15">
        <v>0</v>
      </c>
      <c r="N360" s="15" t="s">
        <v>3028</v>
      </c>
      <c r="O360" s="9" t="s">
        <v>3028</v>
      </c>
    </row>
    <row r="361" spans="1:15" x14ac:dyDescent="0.2">
      <c r="A361" s="10" t="s">
        <v>934</v>
      </c>
      <c r="B361" s="15">
        <v>0</v>
      </c>
      <c r="C361" s="15">
        <v>0</v>
      </c>
      <c r="D361" s="15">
        <v>0</v>
      </c>
      <c r="E361" s="15">
        <v>825</v>
      </c>
      <c r="F361" s="15">
        <v>0</v>
      </c>
      <c r="G361" s="15">
        <v>0</v>
      </c>
      <c r="H361" s="15">
        <v>0</v>
      </c>
      <c r="I361" s="15">
        <v>0</v>
      </c>
      <c r="J361" s="15">
        <v>0</v>
      </c>
      <c r="K361" s="15">
        <v>0</v>
      </c>
      <c r="L361" s="15">
        <v>0</v>
      </c>
      <c r="M361" s="15">
        <v>0</v>
      </c>
      <c r="N361" s="15" t="s">
        <v>3028</v>
      </c>
      <c r="O361" s="9" t="s">
        <v>3028</v>
      </c>
    </row>
    <row r="362" spans="1:15" x14ac:dyDescent="0.2">
      <c r="A362" s="10" t="s">
        <v>936</v>
      </c>
      <c r="B362" s="15">
        <v>0</v>
      </c>
      <c r="C362" s="15">
        <v>0</v>
      </c>
      <c r="D362" s="15">
        <v>0</v>
      </c>
      <c r="E362" s="15">
        <v>825</v>
      </c>
      <c r="F362" s="15">
        <v>0</v>
      </c>
      <c r="G362" s="15">
        <v>0</v>
      </c>
      <c r="H362" s="15">
        <v>0</v>
      </c>
      <c r="I362" s="15">
        <v>0</v>
      </c>
      <c r="J362" s="15">
        <v>0</v>
      </c>
      <c r="K362" s="15">
        <v>0</v>
      </c>
      <c r="L362" s="15">
        <v>0</v>
      </c>
      <c r="M362" s="15">
        <v>0</v>
      </c>
      <c r="N362" s="15" t="s">
        <v>3028</v>
      </c>
      <c r="O362" s="9" t="s">
        <v>3028</v>
      </c>
    </row>
    <row r="363" spans="1:15" x14ac:dyDescent="0.2">
      <c r="A363" s="10" t="s">
        <v>938</v>
      </c>
      <c r="B363" s="15">
        <v>0</v>
      </c>
      <c r="C363" s="15">
        <v>0</v>
      </c>
      <c r="D363" s="15">
        <v>0</v>
      </c>
      <c r="E363" s="15">
        <v>825</v>
      </c>
      <c r="F363" s="15">
        <v>0</v>
      </c>
      <c r="G363" s="15">
        <v>0</v>
      </c>
      <c r="H363" s="15">
        <v>0</v>
      </c>
      <c r="I363" s="15">
        <v>0</v>
      </c>
      <c r="J363" s="15">
        <v>0</v>
      </c>
      <c r="K363" s="15">
        <v>0</v>
      </c>
      <c r="L363" s="15">
        <v>0</v>
      </c>
      <c r="M363" s="15">
        <v>0</v>
      </c>
      <c r="N363" s="15" t="s">
        <v>3028</v>
      </c>
      <c r="O363" s="9" t="s">
        <v>3028</v>
      </c>
    </row>
    <row r="364" spans="1:15" x14ac:dyDescent="0.2">
      <c r="A364" s="10" t="s">
        <v>940</v>
      </c>
      <c r="B364" s="15">
        <v>0</v>
      </c>
      <c r="C364" s="15">
        <v>0</v>
      </c>
      <c r="D364" s="15">
        <v>0</v>
      </c>
      <c r="E364" s="15">
        <v>825</v>
      </c>
      <c r="F364" s="15">
        <v>0</v>
      </c>
      <c r="G364" s="15">
        <v>0</v>
      </c>
      <c r="H364" s="15">
        <v>0</v>
      </c>
      <c r="I364" s="15">
        <v>0</v>
      </c>
      <c r="J364" s="15">
        <v>0</v>
      </c>
      <c r="K364" s="15">
        <v>0</v>
      </c>
      <c r="L364" s="15">
        <v>0</v>
      </c>
      <c r="M364" s="15">
        <v>0</v>
      </c>
      <c r="N364" s="15" t="s">
        <v>3028</v>
      </c>
      <c r="O364" s="9" t="s">
        <v>3028</v>
      </c>
    </row>
    <row r="365" spans="1:15" x14ac:dyDescent="0.2">
      <c r="A365" s="10" t="s">
        <v>942</v>
      </c>
      <c r="B365" s="15">
        <v>0</v>
      </c>
      <c r="C365" s="15">
        <v>0</v>
      </c>
      <c r="D365" s="15">
        <v>0</v>
      </c>
      <c r="E365" s="15">
        <v>825</v>
      </c>
      <c r="F365" s="15">
        <v>0</v>
      </c>
      <c r="G365" s="15">
        <v>0</v>
      </c>
      <c r="H365" s="15">
        <v>0</v>
      </c>
      <c r="I365" s="15">
        <v>0</v>
      </c>
      <c r="J365" s="15">
        <v>1100</v>
      </c>
      <c r="K365" s="15">
        <v>0</v>
      </c>
      <c r="L365" s="15">
        <v>0</v>
      </c>
      <c r="M365" s="15">
        <v>0</v>
      </c>
      <c r="N365" s="15" t="s">
        <v>3028</v>
      </c>
      <c r="O365" s="9" t="s">
        <v>3028</v>
      </c>
    </row>
    <row r="366" spans="1:15" x14ac:dyDescent="0.2">
      <c r="A366" s="10" t="s">
        <v>946</v>
      </c>
      <c r="B366" s="15">
        <v>0</v>
      </c>
      <c r="C366" s="15">
        <v>0</v>
      </c>
      <c r="D366" s="15">
        <v>0</v>
      </c>
      <c r="E366" s="15">
        <v>825</v>
      </c>
      <c r="F366" s="15">
        <v>0</v>
      </c>
      <c r="G366" s="15">
        <v>0</v>
      </c>
      <c r="H366" s="15">
        <v>0</v>
      </c>
      <c r="I366" s="15">
        <v>0</v>
      </c>
      <c r="J366" s="15">
        <v>0</v>
      </c>
      <c r="K366" s="15">
        <v>0</v>
      </c>
      <c r="L366" s="15">
        <v>0</v>
      </c>
      <c r="M366" s="15">
        <v>0</v>
      </c>
      <c r="N366" s="15" t="s">
        <v>3028</v>
      </c>
      <c r="O366" s="9" t="s">
        <v>3028</v>
      </c>
    </row>
    <row r="367" spans="1:15" x14ac:dyDescent="0.2">
      <c r="A367" s="10" t="s">
        <v>948</v>
      </c>
      <c r="B367" s="15">
        <v>0</v>
      </c>
      <c r="C367" s="15">
        <v>0</v>
      </c>
      <c r="D367" s="15">
        <v>0</v>
      </c>
      <c r="E367" s="15">
        <v>275</v>
      </c>
      <c r="F367" s="15">
        <v>0</v>
      </c>
      <c r="G367" s="15">
        <v>0</v>
      </c>
      <c r="H367" s="15">
        <v>0</v>
      </c>
      <c r="I367" s="15">
        <v>0</v>
      </c>
      <c r="J367" s="15">
        <v>0</v>
      </c>
      <c r="K367" s="15">
        <v>0</v>
      </c>
      <c r="L367" s="15">
        <v>0</v>
      </c>
      <c r="M367" s="15">
        <v>0</v>
      </c>
      <c r="N367" s="15" t="s">
        <v>3028</v>
      </c>
      <c r="O367" s="9" t="s">
        <v>3028</v>
      </c>
    </row>
    <row r="368" spans="1:15" x14ac:dyDescent="0.2">
      <c r="A368" s="10" t="s">
        <v>958</v>
      </c>
      <c r="B368" s="15">
        <v>0</v>
      </c>
      <c r="C368" s="15">
        <v>0</v>
      </c>
      <c r="D368" s="15">
        <v>0</v>
      </c>
      <c r="E368" s="15">
        <v>275</v>
      </c>
      <c r="F368" s="15">
        <v>0</v>
      </c>
      <c r="G368" s="15">
        <v>0</v>
      </c>
      <c r="H368" s="15">
        <v>0</v>
      </c>
      <c r="I368" s="15">
        <v>0</v>
      </c>
      <c r="J368" s="15">
        <v>0</v>
      </c>
      <c r="K368" s="15">
        <v>0</v>
      </c>
      <c r="L368" s="15">
        <v>0</v>
      </c>
      <c r="M368" s="15">
        <v>0</v>
      </c>
      <c r="N368" s="15" t="s">
        <v>3028</v>
      </c>
      <c r="O368" s="9" t="s">
        <v>3028</v>
      </c>
    </row>
    <row r="369" spans="1:15" x14ac:dyDescent="0.2">
      <c r="A369" s="10" t="s">
        <v>962</v>
      </c>
      <c r="B369" s="15">
        <v>0</v>
      </c>
      <c r="C369" s="15">
        <v>0</v>
      </c>
      <c r="D369" s="15">
        <v>1008.33</v>
      </c>
      <c r="E369" s="15">
        <v>0</v>
      </c>
      <c r="F369" s="15">
        <v>0</v>
      </c>
      <c r="G369" s="15">
        <v>0</v>
      </c>
      <c r="H369" s="15">
        <v>0</v>
      </c>
      <c r="I369" s="15">
        <v>0</v>
      </c>
      <c r="J369" s="15">
        <v>0</v>
      </c>
      <c r="K369" s="15">
        <v>0</v>
      </c>
      <c r="L369" s="15">
        <v>0</v>
      </c>
      <c r="M369" s="15">
        <v>0</v>
      </c>
      <c r="N369" s="15" t="s">
        <v>3028</v>
      </c>
      <c r="O369" s="9" t="s">
        <v>3028</v>
      </c>
    </row>
    <row r="370" spans="1:15" x14ac:dyDescent="0.2">
      <c r="A370" s="10" t="s">
        <v>968</v>
      </c>
      <c r="B370" s="15">
        <v>0</v>
      </c>
      <c r="C370" s="15">
        <v>0</v>
      </c>
      <c r="D370" s="15">
        <v>0</v>
      </c>
      <c r="E370" s="15">
        <v>825</v>
      </c>
      <c r="F370" s="15">
        <v>0</v>
      </c>
      <c r="G370" s="15">
        <v>0</v>
      </c>
      <c r="H370" s="15">
        <v>0</v>
      </c>
      <c r="I370" s="15">
        <v>0</v>
      </c>
      <c r="J370" s="15">
        <v>0</v>
      </c>
      <c r="K370" s="15">
        <v>0</v>
      </c>
      <c r="L370" s="15">
        <v>0</v>
      </c>
      <c r="M370" s="15">
        <v>0</v>
      </c>
      <c r="N370" s="15" t="s">
        <v>3028</v>
      </c>
      <c r="O370" s="9" t="s">
        <v>3028</v>
      </c>
    </row>
    <row r="371" spans="1:15" x14ac:dyDescent="0.2">
      <c r="A371" s="10" t="s">
        <v>970</v>
      </c>
      <c r="B371" s="15">
        <v>0</v>
      </c>
      <c r="C371" s="15">
        <v>0</v>
      </c>
      <c r="D371" s="15">
        <v>0</v>
      </c>
      <c r="E371" s="15">
        <v>825</v>
      </c>
      <c r="F371" s="15">
        <v>0</v>
      </c>
      <c r="G371" s="15">
        <v>0</v>
      </c>
      <c r="H371" s="15">
        <v>0</v>
      </c>
      <c r="I371" s="15">
        <v>0</v>
      </c>
      <c r="J371" s="15">
        <v>0</v>
      </c>
      <c r="K371" s="15">
        <v>0</v>
      </c>
      <c r="L371" s="15">
        <v>0</v>
      </c>
      <c r="M371" s="15">
        <v>0</v>
      </c>
      <c r="N371" s="15" t="s">
        <v>3028</v>
      </c>
      <c r="O371" s="9" t="s">
        <v>3028</v>
      </c>
    </row>
    <row r="372" spans="1:15" x14ac:dyDescent="0.2">
      <c r="A372" s="10" t="s">
        <v>974</v>
      </c>
      <c r="B372" s="15">
        <v>0</v>
      </c>
      <c r="C372" s="15">
        <v>0</v>
      </c>
      <c r="D372" s="15">
        <v>0</v>
      </c>
      <c r="E372" s="15">
        <v>825</v>
      </c>
      <c r="F372" s="15">
        <v>0</v>
      </c>
      <c r="G372" s="15">
        <v>0</v>
      </c>
      <c r="H372" s="15">
        <v>0</v>
      </c>
      <c r="I372" s="15">
        <v>0</v>
      </c>
      <c r="J372" s="15">
        <v>0</v>
      </c>
      <c r="K372" s="15">
        <v>0</v>
      </c>
      <c r="L372" s="15">
        <v>0</v>
      </c>
      <c r="M372" s="15">
        <v>0</v>
      </c>
      <c r="N372" s="15" t="s">
        <v>3028</v>
      </c>
      <c r="O372" s="9" t="s">
        <v>3028</v>
      </c>
    </row>
    <row r="373" spans="1:15" x14ac:dyDescent="0.2">
      <c r="A373" s="10" t="s">
        <v>976</v>
      </c>
      <c r="B373" s="15">
        <v>0</v>
      </c>
      <c r="C373" s="15">
        <v>0</v>
      </c>
      <c r="D373" s="15">
        <v>0</v>
      </c>
      <c r="E373" s="15">
        <v>825</v>
      </c>
      <c r="F373" s="15">
        <v>0</v>
      </c>
      <c r="G373" s="15">
        <v>0</v>
      </c>
      <c r="H373" s="15">
        <v>0</v>
      </c>
      <c r="I373" s="15">
        <v>0</v>
      </c>
      <c r="J373" s="15">
        <v>0</v>
      </c>
      <c r="K373" s="15">
        <v>0</v>
      </c>
      <c r="L373" s="15">
        <v>0</v>
      </c>
      <c r="M373" s="15">
        <v>0</v>
      </c>
      <c r="N373" s="15" t="s">
        <v>3028</v>
      </c>
      <c r="O373" s="9" t="s">
        <v>3028</v>
      </c>
    </row>
    <row r="374" spans="1:15" x14ac:dyDescent="0.2">
      <c r="A374" s="10" t="s">
        <v>978</v>
      </c>
      <c r="B374" s="15">
        <v>0</v>
      </c>
      <c r="C374" s="15">
        <v>0</v>
      </c>
      <c r="D374" s="15">
        <v>0</v>
      </c>
      <c r="E374" s="15">
        <v>825</v>
      </c>
      <c r="F374" s="15">
        <v>0</v>
      </c>
      <c r="G374" s="15">
        <v>0</v>
      </c>
      <c r="H374" s="15">
        <v>0</v>
      </c>
      <c r="I374" s="15">
        <v>0</v>
      </c>
      <c r="J374" s="15">
        <v>0</v>
      </c>
      <c r="K374" s="15">
        <v>0</v>
      </c>
      <c r="L374" s="15">
        <v>0</v>
      </c>
      <c r="M374" s="15">
        <v>0</v>
      </c>
      <c r="N374" s="15" t="s">
        <v>3028</v>
      </c>
      <c r="O374" s="9" t="s">
        <v>3028</v>
      </c>
    </row>
    <row r="375" spans="1:15" x14ac:dyDescent="0.2">
      <c r="A375" s="10" t="s">
        <v>980</v>
      </c>
      <c r="B375" s="15">
        <v>0</v>
      </c>
      <c r="C375" s="15">
        <v>0</v>
      </c>
      <c r="D375" s="15">
        <v>0</v>
      </c>
      <c r="E375" s="15">
        <v>733.33</v>
      </c>
      <c r="F375" s="15">
        <v>0</v>
      </c>
      <c r="G375" s="15">
        <v>0</v>
      </c>
      <c r="H375" s="15">
        <v>0</v>
      </c>
      <c r="I375" s="15">
        <v>0</v>
      </c>
      <c r="J375" s="15">
        <v>0</v>
      </c>
      <c r="K375" s="15">
        <v>0</v>
      </c>
      <c r="L375" s="15">
        <v>0</v>
      </c>
      <c r="M375" s="15">
        <v>0</v>
      </c>
      <c r="N375" s="15" t="s">
        <v>3028</v>
      </c>
      <c r="O375" s="9" t="s">
        <v>3028</v>
      </c>
    </row>
    <row r="376" spans="1:15" x14ac:dyDescent="0.2">
      <c r="A376" s="10" t="s">
        <v>982</v>
      </c>
      <c r="B376" s="15">
        <v>0</v>
      </c>
      <c r="C376" s="15">
        <v>0</v>
      </c>
      <c r="D376" s="15">
        <v>0</v>
      </c>
      <c r="E376" s="15">
        <v>0</v>
      </c>
      <c r="F376" s="15">
        <v>0</v>
      </c>
      <c r="G376" s="15">
        <v>275.02</v>
      </c>
      <c r="H376" s="15">
        <v>0</v>
      </c>
      <c r="I376" s="15">
        <v>0</v>
      </c>
      <c r="J376" s="15">
        <v>0</v>
      </c>
      <c r="K376" s="15">
        <v>0</v>
      </c>
      <c r="L376" s="15">
        <v>0</v>
      </c>
      <c r="M376" s="15">
        <v>0</v>
      </c>
      <c r="N376" s="15" t="s">
        <v>3028</v>
      </c>
      <c r="O376" s="9" t="s">
        <v>3028</v>
      </c>
    </row>
    <row r="377" spans="1:15" x14ac:dyDescent="0.2">
      <c r="A377" s="10" t="s">
        <v>984</v>
      </c>
      <c r="B377" s="15">
        <v>0</v>
      </c>
      <c r="C377" s="15">
        <v>0</v>
      </c>
      <c r="D377" s="15">
        <v>605</v>
      </c>
      <c r="E377" s="15">
        <v>330</v>
      </c>
      <c r="F377" s="15">
        <v>0</v>
      </c>
      <c r="G377" s="15">
        <v>0</v>
      </c>
      <c r="H377" s="15">
        <v>0</v>
      </c>
      <c r="I377" s="15">
        <v>0</v>
      </c>
      <c r="J377" s="15">
        <v>0</v>
      </c>
      <c r="K377" s="15">
        <v>0</v>
      </c>
      <c r="L377" s="15">
        <v>0</v>
      </c>
      <c r="M377" s="15">
        <v>0</v>
      </c>
      <c r="N377" s="15" t="s">
        <v>3028</v>
      </c>
      <c r="O377" s="9" t="s">
        <v>3028</v>
      </c>
    </row>
    <row r="378" spans="1:15" x14ac:dyDescent="0.2">
      <c r="A378" s="10" t="s">
        <v>986</v>
      </c>
      <c r="B378" s="15">
        <v>0</v>
      </c>
      <c r="C378" s="15">
        <v>0</v>
      </c>
      <c r="D378" s="15">
        <v>0</v>
      </c>
      <c r="E378" s="15">
        <v>825</v>
      </c>
      <c r="F378" s="15">
        <v>0</v>
      </c>
      <c r="G378" s="15">
        <v>0</v>
      </c>
      <c r="H378" s="15">
        <v>0</v>
      </c>
      <c r="I378" s="15">
        <v>0</v>
      </c>
      <c r="J378" s="15">
        <v>0</v>
      </c>
      <c r="K378" s="15">
        <v>0</v>
      </c>
      <c r="L378" s="15">
        <v>0</v>
      </c>
      <c r="M378" s="15">
        <v>0</v>
      </c>
      <c r="N378" s="15" t="s">
        <v>3028</v>
      </c>
      <c r="O378" s="9" t="s">
        <v>3028</v>
      </c>
    </row>
    <row r="379" spans="1:15" x14ac:dyDescent="0.2">
      <c r="A379" s="10" t="s">
        <v>992</v>
      </c>
      <c r="B379" s="15">
        <v>0</v>
      </c>
      <c r="C379" s="15">
        <v>0</v>
      </c>
      <c r="D379" s="15">
        <v>1008.33</v>
      </c>
      <c r="E379" s="15">
        <v>0</v>
      </c>
      <c r="F379" s="15">
        <v>0</v>
      </c>
      <c r="G379" s="15">
        <v>0</v>
      </c>
      <c r="H379" s="15">
        <v>0</v>
      </c>
      <c r="I379" s="15">
        <v>0</v>
      </c>
      <c r="J379" s="15">
        <v>0</v>
      </c>
      <c r="K379" s="15">
        <v>0</v>
      </c>
      <c r="L379" s="15">
        <v>0</v>
      </c>
      <c r="M379" s="15">
        <v>0</v>
      </c>
      <c r="N379" s="15" t="s">
        <v>3028</v>
      </c>
      <c r="O379" s="9" t="s">
        <v>3028</v>
      </c>
    </row>
    <row r="380" spans="1:15" x14ac:dyDescent="0.2">
      <c r="A380" s="10" t="s">
        <v>994</v>
      </c>
      <c r="B380" s="15">
        <v>0</v>
      </c>
      <c r="C380" s="15">
        <v>0</v>
      </c>
      <c r="D380" s="15">
        <v>0</v>
      </c>
      <c r="E380" s="15">
        <v>825</v>
      </c>
      <c r="F380" s="15">
        <v>0</v>
      </c>
      <c r="G380" s="15">
        <v>0</v>
      </c>
      <c r="H380" s="15">
        <v>0</v>
      </c>
      <c r="I380" s="15">
        <v>0</v>
      </c>
      <c r="J380" s="15">
        <v>0</v>
      </c>
      <c r="K380" s="15">
        <v>0</v>
      </c>
      <c r="L380" s="15">
        <v>0</v>
      </c>
      <c r="M380" s="15">
        <v>0</v>
      </c>
      <c r="N380" s="15" t="s">
        <v>3028</v>
      </c>
      <c r="O380" s="9" t="s">
        <v>3028</v>
      </c>
    </row>
    <row r="381" spans="1:15" x14ac:dyDescent="0.2">
      <c r="A381" s="10" t="s">
        <v>996</v>
      </c>
      <c r="B381" s="15">
        <v>0</v>
      </c>
      <c r="C381" s="15">
        <v>0</v>
      </c>
      <c r="D381" s="15">
        <v>0</v>
      </c>
      <c r="E381" s="15">
        <v>825</v>
      </c>
      <c r="F381" s="15">
        <v>0</v>
      </c>
      <c r="G381" s="15">
        <v>0</v>
      </c>
      <c r="H381" s="15">
        <v>0</v>
      </c>
      <c r="I381" s="15">
        <v>0</v>
      </c>
      <c r="J381" s="15">
        <v>0</v>
      </c>
      <c r="K381" s="15">
        <v>0</v>
      </c>
      <c r="L381" s="15">
        <v>0</v>
      </c>
      <c r="M381" s="15">
        <v>0</v>
      </c>
      <c r="N381" s="15" t="s">
        <v>3028</v>
      </c>
      <c r="O381" s="9" t="s">
        <v>3028</v>
      </c>
    </row>
    <row r="382" spans="1:15" x14ac:dyDescent="0.2">
      <c r="A382" s="10" t="s">
        <v>998</v>
      </c>
      <c r="B382" s="15">
        <v>0</v>
      </c>
      <c r="C382" s="15">
        <v>0</v>
      </c>
      <c r="D382" s="15">
        <v>0</v>
      </c>
      <c r="E382" s="15">
        <v>825</v>
      </c>
      <c r="F382" s="15">
        <v>0</v>
      </c>
      <c r="G382" s="15">
        <v>0</v>
      </c>
      <c r="H382" s="15">
        <v>0</v>
      </c>
      <c r="I382" s="15">
        <v>0</v>
      </c>
      <c r="J382" s="15">
        <v>0</v>
      </c>
      <c r="K382" s="15">
        <v>0</v>
      </c>
      <c r="L382" s="15">
        <v>1100</v>
      </c>
      <c r="M382" s="15">
        <v>0</v>
      </c>
      <c r="N382" s="15" t="s">
        <v>3028</v>
      </c>
      <c r="O382" s="9" t="s">
        <v>3028</v>
      </c>
    </row>
    <row r="383" spans="1:15" x14ac:dyDescent="0.2">
      <c r="A383" s="10" t="s">
        <v>1002</v>
      </c>
      <c r="B383" s="15">
        <v>0</v>
      </c>
      <c r="C383" s="15">
        <v>0</v>
      </c>
      <c r="D383" s="15">
        <v>0</v>
      </c>
      <c r="E383" s="15">
        <v>825</v>
      </c>
      <c r="F383" s="15">
        <v>0</v>
      </c>
      <c r="G383" s="15">
        <v>0</v>
      </c>
      <c r="H383" s="15">
        <v>0</v>
      </c>
      <c r="I383" s="15">
        <v>0</v>
      </c>
      <c r="J383" s="15">
        <v>0</v>
      </c>
      <c r="K383" s="15">
        <v>0</v>
      </c>
      <c r="L383" s="15">
        <v>0</v>
      </c>
      <c r="M383" s="15">
        <v>0</v>
      </c>
      <c r="N383" s="15" t="s">
        <v>3028</v>
      </c>
      <c r="O383" s="9" t="s">
        <v>3028</v>
      </c>
    </row>
    <row r="384" spans="1:15" x14ac:dyDescent="0.2">
      <c r="A384" s="10" t="s">
        <v>1004</v>
      </c>
      <c r="B384" s="15">
        <v>0</v>
      </c>
      <c r="C384" s="15">
        <v>0</v>
      </c>
      <c r="D384" s="15">
        <v>0</v>
      </c>
      <c r="E384" s="15">
        <v>825</v>
      </c>
      <c r="F384" s="15">
        <v>0</v>
      </c>
      <c r="G384" s="15">
        <v>0</v>
      </c>
      <c r="H384" s="15">
        <v>0</v>
      </c>
      <c r="I384" s="15">
        <v>0</v>
      </c>
      <c r="J384" s="15">
        <v>0</v>
      </c>
      <c r="K384" s="15">
        <v>0</v>
      </c>
      <c r="L384" s="15">
        <v>0</v>
      </c>
      <c r="M384" s="15">
        <v>0</v>
      </c>
      <c r="N384" s="15" t="s">
        <v>3028</v>
      </c>
      <c r="O384" s="9" t="s">
        <v>3028</v>
      </c>
    </row>
    <row r="385" spans="1:15" x14ac:dyDescent="0.2">
      <c r="A385" s="10" t="s">
        <v>1006</v>
      </c>
      <c r="B385" s="15">
        <v>0</v>
      </c>
      <c r="C385" s="15">
        <v>0</v>
      </c>
      <c r="D385" s="15">
        <v>0</v>
      </c>
      <c r="E385" s="15">
        <v>825</v>
      </c>
      <c r="F385" s="15">
        <v>0</v>
      </c>
      <c r="G385" s="15">
        <v>0</v>
      </c>
      <c r="H385" s="15">
        <v>0</v>
      </c>
      <c r="I385" s="15">
        <v>0</v>
      </c>
      <c r="J385" s="15">
        <v>0</v>
      </c>
      <c r="K385" s="15">
        <v>0</v>
      </c>
      <c r="L385" s="15">
        <v>0</v>
      </c>
      <c r="M385" s="15">
        <v>0</v>
      </c>
      <c r="N385" s="15" t="s">
        <v>3028</v>
      </c>
      <c r="O385" s="9" t="s">
        <v>3028</v>
      </c>
    </row>
    <row r="386" spans="1:15" x14ac:dyDescent="0.2">
      <c r="A386" s="10" t="s">
        <v>1008</v>
      </c>
      <c r="B386" s="15">
        <v>0</v>
      </c>
      <c r="C386" s="15">
        <v>0</v>
      </c>
      <c r="D386" s="15">
        <v>0</v>
      </c>
      <c r="E386" s="15">
        <v>825</v>
      </c>
      <c r="F386" s="15">
        <v>0</v>
      </c>
      <c r="G386" s="15">
        <v>0</v>
      </c>
      <c r="H386" s="15">
        <v>0</v>
      </c>
      <c r="I386" s="15">
        <v>0</v>
      </c>
      <c r="J386" s="15">
        <v>0</v>
      </c>
      <c r="K386" s="15">
        <v>0</v>
      </c>
      <c r="L386" s="15">
        <v>0</v>
      </c>
      <c r="M386" s="15">
        <v>0</v>
      </c>
      <c r="N386" s="15" t="s">
        <v>3028</v>
      </c>
      <c r="O386" s="9" t="s">
        <v>3028</v>
      </c>
    </row>
    <row r="387" spans="1:15" x14ac:dyDescent="0.2">
      <c r="A387" s="10" t="s">
        <v>1010</v>
      </c>
      <c r="B387" s="15">
        <v>0</v>
      </c>
      <c r="C387" s="15">
        <v>0</v>
      </c>
      <c r="D387" s="15">
        <v>0</v>
      </c>
      <c r="E387" s="15">
        <v>825</v>
      </c>
      <c r="F387" s="15">
        <v>0</v>
      </c>
      <c r="G387" s="15">
        <v>0</v>
      </c>
      <c r="H387" s="15">
        <v>0</v>
      </c>
      <c r="I387" s="15">
        <v>0</v>
      </c>
      <c r="J387" s="15">
        <v>0</v>
      </c>
      <c r="K387" s="15">
        <v>0</v>
      </c>
      <c r="L387" s="15">
        <v>0</v>
      </c>
      <c r="M387" s="15">
        <v>0</v>
      </c>
      <c r="N387" s="15" t="s">
        <v>3028</v>
      </c>
      <c r="O387" s="9" t="s">
        <v>3028</v>
      </c>
    </row>
    <row r="388" spans="1:15" x14ac:dyDescent="0.2">
      <c r="A388" s="10" t="s">
        <v>1012</v>
      </c>
      <c r="B388" s="15">
        <v>0</v>
      </c>
      <c r="C388" s="15">
        <v>0</v>
      </c>
      <c r="D388" s="15">
        <v>0</v>
      </c>
      <c r="E388" s="15">
        <v>275</v>
      </c>
      <c r="F388" s="15">
        <v>0</v>
      </c>
      <c r="G388" s="15">
        <v>0</v>
      </c>
      <c r="H388" s="15">
        <v>0</v>
      </c>
      <c r="I388" s="15">
        <v>0</v>
      </c>
      <c r="J388" s="15">
        <v>0</v>
      </c>
      <c r="K388" s="15">
        <v>0</v>
      </c>
      <c r="L388" s="15">
        <v>916.66</v>
      </c>
      <c r="M388" s="15">
        <v>0</v>
      </c>
      <c r="N388" s="15" t="s">
        <v>3028</v>
      </c>
      <c r="O388" s="9" t="s">
        <v>3028</v>
      </c>
    </row>
    <row r="389" spans="1:15" x14ac:dyDescent="0.2">
      <c r="A389" s="10" t="s">
        <v>1014</v>
      </c>
      <c r="B389" s="15">
        <v>0</v>
      </c>
      <c r="C389" s="15">
        <v>0</v>
      </c>
      <c r="D389" s="15">
        <v>0</v>
      </c>
      <c r="E389" s="15">
        <v>825</v>
      </c>
      <c r="F389" s="15">
        <v>0</v>
      </c>
      <c r="G389" s="15">
        <v>0</v>
      </c>
      <c r="H389" s="15">
        <v>0</v>
      </c>
      <c r="I389" s="15">
        <v>0</v>
      </c>
      <c r="J389" s="15">
        <v>0</v>
      </c>
      <c r="K389" s="15">
        <v>0</v>
      </c>
      <c r="L389" s="15">
        <v>0</v>
      </c>
      <c r="M389" s="15">
        <v>0</v>
      </c>
      <c r="N389" s="15" t="s">
        <v>3028</v>
      </c>
      <c r="O389" s="9" t="s">
        <v>3028</v>
      </c>
    </row>
    <row r="390" spans="1:15" x14ac:dyDescent="0.2">
      <c r="A390" s="10" t="s">
        <v>1018</v>
      </c>
      <c r="B390" s="15">
        <v>0</v>
      </c>
      <c r="C390" s="15">
        <v>0</v>
      </c>
      <c r="D390" s="15">
        <v>0</v>
      </c>
      <c r="E390" s="15">
        <v>825</v>
      </c>
      <c r="F390" s="15">
        <v>0</v>
      </c>
      <c r="G390" s="15">
        <v>0</v>
      </c>
      <c r="H390" s="15">
        <v>0</v>
      </c>
      <c r="I390" s="15">
        <v>0</v>
      </c>
      <c r="J390" s="15">
        <v>0</v>
      </c>
      <c r="K390" s="15">
        <v>0</v>
      </c>
      <c r="L390" s="15">
        <v>0</v>
      </c>
      <c r="M390" s="15">
        <v>0</v>
      </c>
      <c r="N390" s="15" t="s">
        <v>3028</v>
      </c>
      <c r="O390" s="9" t="s">
        <v>3028</v>
      </c>
    </row>
    <row r="391" spans="1:15" x14ac:dyDescent="0.2">
      <c r="A391" s="10" t="s">
        <v>1020</v>
      </c>
      <c r="B391" s="15">
        <v>0</v>
      </c>
      <c r="C391" s="15">
        <v>0</v>
      </c>
      <c r="D391" s="15">
        <v>0</v>
      </c>
      <c r="E391" s="15">
        <v>825</v>
      </c>
      <c r="F391" s="15">
        <v>0</v>
      </c>
      <c r="G391" s="15">
        <v>0</v>
      </c>
      <c r="H391" s="15">
        <v>0</v>
      </c>
      <c r="I391" s="15">
        <v>0</v>
      </c>
      <c r="J391" s="15">
        <v>0</v>
      </c>
      <c r="K391" s="15">
        <v>0</v>
      </c>
      <c r="L391" s="15">
        <v>0</v>
      </c>
      <c r="M391" s="15">
        <v>0</v>
      </c>
      <c r="N391" s="15" t="s">
        <v>3028</v>
      </c>
      <c r="O391" s="9" t="s">
        <v>3028</v>
      </c>
    </row>
    <row r="392" spans="1:15" x14ac:dyDescent="0.2">
      <c r="A392" s="10" t="s">
        <v>1024</v>
      </c>
      <c r="B392" s="15">
        <v>0</v>
      </c>
      <c r="C392" s="15">
        <v>0</v>
      </c>
      <c r="D392" s="15">
        <v>0</v>
      </c>
      <c r="E392" s="15">
        <v>825</v>
      </c>
      <c r="F392" s="15">
        <v>0</v>
      </c>
      <c r="G392" s="15">
        <v>0</v>
      </c>
      <c r="H392" s="15">
        <v>0</v>
      </c>
      <c r="I392" s="15">
        <v>0</v>
      </c>
      <c r="J392" s="15">
        <v>0</v>
      </c>
      <c r="K392" s="15">
        <v>0</v>
      </c>
      <c r="L392" s="15">
        <v>0</v>
      </c>
      <c r="M392" s="15">
        <v>0</v>
      </c>
      <c r="N392" s="15" t="s">
        <v>3028</v>
      </c>
      <c r="O392" s="9" t="s">
        <v>3028</v>
      </c>
    </row>
    <row r="393" spans="1:15" x14ac:dyDescent="0.2">
      <c r="A393" s="10" t="s">
        <v>1026</v>
      </c>
      <c r="B393" s="15">
        <v>0</v>
      </c>
      <c r="C393" s="15">
        <v>0</v>
      </c>
      <c r="D393" s="15">
        <v>0</v>
      </c>
      <c r="E393" s="15">
        <v>495</v>
      </c>
      <c r="F393" s="15">
        <v>0</v>
      </c>
      <c r="G393" s="15">
        <v>0</v>
      </c>
      <c r="H393" s="15">
        <v>0</v>
      </c>
      <c r="I393" s="15">
        <v>0</v>
      </c>
      <c r="J393" s="15">
        <v>0</v>
      </c>
      <c r="K393" s="15">
        <v>0</v>
      </c>
      <c r="L393" s="15">
        <v>0</v>
      </c>
      <c r="M393" s="15">
        <v>0</v>
      </c>
      <c r="N393" s="15" t="s">
        <v>3028</v>
      </c>
      <c r="O393" s="9" t="s">
        <v>3028</v>
      </c>
    </row>
    <row r="394" spans="1:15" x14ac:dyDescent="0.2">
      <c r="A394" s="10" t="s">
        <v>1028</v>
      </c>
      <c r="B394" s="15">
        <v>0</v>
      </c>
      <c r="C394" s="15">
        <v>0</v>
      </c>
      <c r="D394" s="15">
        <v>0</v>
      </c>
      <c r="E394" s="15">
        <v>825</v>
      </c>
      <c r="F394" s="15">
        <v>0</v>
      </c>
      <c r="G394" s="15">
        <v>0</v>
      </c>
      <c r="H394" s="15">
        <v>0</v>
      </c>
      <c r="I394" s="15">
        <v>0</v>
      </c>
      <c r="J394" s="15">
        <v>0</v>
      </c>
      <c r="K394" s="15">
        <v>0</v>
      </c>
      <c r="L394" s="15">
        <v>0</v>
      </c>
      <c r="M394" s="15">
        <v>0</v>
      </c>
      <c r="N394" s="15" t="s">
        <v>3028</v>
      </c>
      <c r="O394" s="9" t="s">
        <v>3028</v>
      </c>
    </row>
    <row r="395" spans="1:15" x14ac:dyDescent="0.2">
      <c r="A395" s="10" t="s">
        <v>1030</v>
      </c>
      <c r="B395" s="15">
        <v>0</v>
      </c>
      <c r="C395" s="15">
        <v>0</v>
      </c>
      <c r="D395" s="15">
        <v>0</v>
      </c>
      <c r="E395" s="15">
        <v>458.33</v>
      </c>
      <c r="F395" s="15">
        <v>0</v>
      </c>
      <c r="G395" s="15">
        <v>0</v>
      </c>
      <c r="H395" s="15">
        <v>0</v>
      </c>
      <c r="I395" s="15">
        <v>0</v>
      </c>
      <c r="J395" s="15">
        <v>0</v>
      </c>
      <c r="K395" s="15">
        <v>0</v>
      </c>
      <c r="L395" s="15">
        <v>0</v>
      </c>
      <c r="M395" s="15">
        <v>0</v>
      </c>
      <c r="N395" s="15" t="s">
        <v>3028</v>
      </c>
      <c r="O395" s="9" t="s">
        <v>3028</v>
      </c>
    </row>
    <row r="396" spans="1:15" x14ac:dyDescent="0.2">
      <c r="A396" s="10" t="s">
        <v>1032</v>
      </c>
      <c r="B396" s="15">
        <v>0</v>
      </c>
      <c r="C396" s="15">
        <v>0</v>
      </c>
      <c r="D396" s="15">
        <v>0</v>
      </c>
      <c r="E396" s="15">
        <v>825</v>
      </c>
      <c r="F396" s="15">
        <v>0</v>
      </c>
      <c r="G396" s="15">
        <v>0</v>
      </c>
      <c r="H396" s="15">
        <v>0</v>
      </c>
      <c r="I396" s="15">
        <v>0</v>
      </c>
      <c r="J396" s="15">
        <v>0</v>
      </c>
      <c r="K396" s="15">
        <v>0</v>
      </c>
      <c r="L396" s="15">
        <v>0</v>
      </c>
      <c r="M396" s="15">
        <v>0</v>
      </c>
      <c r="N396" s="15" t="s">
        <v>3028</v>
      </c>
      <c r="O396" s="9" t="s">
        <v>3028</v>
      </c>
    </row>
    <row r="397" spans="1:15" x14ac:dyDescent="0.2">
      <c r="A397" s="10" t="s">
        <v>1034</v>
      </c>
      <c r="B397" s="15">
        <v>0</v>
      </c>
      <c r="C397" s="15">
        <v>0</v>
      </c>
      <c r="D397" s="15">
        <v>0</v>
      </c>
      <c r="E397" s="15">
        <v>825</v>
      </c>
      <c r="F397" s="15">
        <v>0</v>
      </c>
      <c r="G397" s="15">
        <v>0</v>
      </c>
      <c r="H397" s="15">
        <v>0</v>
      </c>
      <c r="I397" s="15">
        <v>0</v>
      </c>
      <c r="J397" s="15">
        <v>0</v>
      </c>
      <c r="K397" s="15">
        <v>0</v>
      </c>
      <c r="L397" s="15">
        <v>0</v>
      </c>
      <c r="M397" s="15">
        <v>0</v>
      </c>
      <c r="N397" s="15" t="s">
        <v>3028</v>
      </c>
      <c r="O397" s="9" t="s">
        <v>3028</v>
      </c>
    </row>
    <row r="398" spans="1:15" x14ac:dyDescent="0.2">
      <c r="A398" s="10" t="s">
        <v>1038</v>
      </c>
      <c r="B398" s="15">
        <v>0</v>
      </c>
      <c r="C398" s="15">
        <v>0</v>
      </c>
      <c r="D398" s="15">
        <v>0</v>
      </c>
      <c r="E398" s="15">
        <v>825</v>
      </c>
      <c r="F398" s="15">
        <v>0</v>
      </c>
      <c r="G398" s="15">
        <v>0</v>
      </c>
      <c r="H398" s="15">
        <v>0</v>
      </c>
      <c r="I398" s="15">
        <v>0</v>
      </c>
      <c r="J398" s="15">
        <v>0</v>
      </c>
      <c r="K398" s="15">
        <v>0</v>
      </c>
      <c r="L398" s="15">
        <v>0</v>
      </c>
      <c r="M398" s="15">
        <v>0</v>
      </c>
      <c r="N398" s="15" t="s">
        <v>3028</v>
      </c>
      <c r="O398" s="9" t="s">
        <v>3028</v>
      </c>
    </row>
    <row r="399" spans="1:15" x14ac:dyDescent="0.2">
      <c r="A399" s="10" t="s">
        <v>1040</v>
      </c>
      <c r="B399" s="15">
        <v>0</v>
      </c>
      <c r="C399" s="15">
        <v>0</v>
      </c>
      <c r="D399" s="15">
        <v>0</v>
      </c>
      <c r="E399" s="15">
        <v>825</v>
      </c>
      <c r="F399" s="15">
        <v>0</v>
      </c>
      <c r="G399" s="15">
        <v>0</v>
      </c>
      <c r="H399" s="15">
        <v>0</v>
      </c>
      <c r="I399" s="15">
        <v>0</v>
      </c>
      <c r="J399" s="15">
        <v>0</v>
      </c>
      <c r="K399" s="15">
        <v>0</v>
      </c>
      <c r="L399" s="15">
        <v>0</v>
      </c>
      <c r="M399" s="15">
        <v>0</v>
      </c>
      <c r="N399" s="15" t="s">
        <v>3028</v>
      </c>
      <c r="O399" s="9" t="s">
        <v>3028</v>
      </c>
    </row>
    <row r="400" spans="1:15" x14ac:dyDescent="0.2">
      <c r="A400" s="10" t="s">
        <v>1042</v>
      </c>
      <c r="B400" s="15">
        <v>0</v>
      </c>
      <c r="C400" s="15">
        <v>0</v>
      </c>
      <c r="D400" s="15">
        <v>0</v>
      </c>
      <c r="E400" s="15">
        <v>825</v>
      </c>
      <c r="F400" s="15">
        <v>0</v>
      </c>
      <c r="G400" s="15">
        <v>0</v>
      </c>
      <c r="H400" s="15">
        <v>0</v>
      </c>
      <c r="I400" s="15">
        <v>0</v>
      </c>
      <c r="J400" s="15">
        <v>0</v>
      </c>
      <c r="K400" s="15">
        <v>0</v>
      </c>
      <c r="L400" s="15">
        <v>0</v>
      </c>
      <c r="M400" s="15">
        <v>0</v>
      </c>
      <c r="N400" s="15" t="s">
        <v>3028</v>
      </c>
      <c r="O400" s="9" t="s">
        <v>3028</v>
      </c>
    </row>
    <row r="401" spans="1:15" x14ac:dyDescent="0.2">
      <c r="A401" s="10" t="s">
        <v>1047</v>
      </c>
      <c r="B401" s="15">
        <v>0</v>
      </c>
      <c r="C401" s="15">
        <v>0</v>
      </c>
      <c r="D401" s="15">
        <v>0</v>
      </c>
      <c r="E401" s="15">
        <v>495</v>
      </c>
      <c r="F401" s="15">
        <v>0</v>
      </c>
      <c r="G401" s="15">
        <v>0</v>
      </c>
      <c r="H401" s="15">
        <v>0</v>
      </c>
      <c r="I401" s="15">
        <v>0</v>
      </c>
      <c r="J401" s="15">
        <v>0</v>
      </c>
      <c r="K401" s="15">
        <v>0</v>
      </c>
      <c r="L401" s="15">
        <v>0</v>
      </c>
      <c r="M401" s="15">
        <v>0</v>
      </c>
      <c r="N401" s="15" t="s">
        <v>3028</v>
      </c>
      <c r="O401" s="9" t="s">
        <v>3028</v>
      </c>
    </row>
    <row r="402" spans="1:15" x14ac:dyDescent="0.2">
      <c r="A402" s="10" t="s">
        <v>1049</v>
      </c>
      <c r="B402" s="15">
        <v>0</v>
      </c>
      <c r="C402" s="15">
        <v>0</v>
      </c>
      <c r="D402" s="15">
        <v>0</v>
      </c>
      <c r="E402" s="15">
        <v>825</v>
      </c>
      <c r="F402" s="15">
        <v>0</v>
      </c>
      <c r="G402" s="15">
        <v>0</v>
      </c>
      <c r="H402" s="15">
        <v>0</v>
      </c>
      <c r="I402" s="15">
        <v>0</v>
      </c>
      <c r="J402" s="15">
        <v>0</v>
      </c>
      <c r="K402" s="15">
        <v>0</v>
      </c>
      <c r="L402" s="15">
        <v>0</v>
      </c>
      <c r="M402" s="15">
        <v>0</v>
      </c>
      <c r="N402" s="15" t="s">
        <v>3028</v>
      </c>
      <c r="O402" s="9" t="s">
        <v>3028</v>
      </c>
    </row>
    <row r="403" spans="1:15" x14ac:dyDescent="0.2">
      <c r="A403" s="10" t="s">
        <v>1053</v>
      </c>
      <c r="B403" s="15">
        <v>0</v>
      </c>
      <c r="C403" s="15">
        <v>0</v>
      </c>
      <c r="D403" s="15">
        <v>0</v>
      </c>
      <c r="E403" s="15">
        <v>825</v>
      </c>
      <c r="F403" s="15">
        <v>0</v>
      </c>
      <c r="G403" s="15">
        <v>0</v>
      </c>
      <c r="H403" s="15">
        <v>0</v>
      </c>
      <c r="I403" s="15">
        <v>0</v>
      </c>
      <c r="J403" s="15">
        <v>0</v>
      </c>
      <c r="K403" s="15">
        <v>0</v>
      </c>
      <c r="L403" s="15">
        <v>0</v>
      </c>
      <c r="M403" s="15">
        <v>0</v>
      </c>
      <c r="N403" s="15" t="s">
        <v>3028</v>
      </c>
      <c r="O403" s="9" t="s">
        <v>3028</v>
      </c>
    </row>
    <row r="404" spans="1:15" x14ac:dyDescent="0.2">
      <c r="A404" s="10" t="s">
        <v>1057</v>
      </c>
      <c r="B404" s="15">
        <v>0</v>
      </c>
      <c r="C404" s="15">
        <v>0</v>
      </c>
      <c r="D404" s="15">
        <v>0</v>
      </c>
      <c r="E404" s="15">
        <v>825</v>
      </c>
      <c r="F404" s="15">
        <v>0</v>
      </c>
      <c r="G404" s="15">
        <v>0</v>
      </c>
      <c r="H404" s="15">
        <v>0</v>
      </c>
      <c r="I404" s="15">
        <v>0</v>
      </c>
      <c r="J404" s="15">
        <v>0</v>
      </c>
      <c r="K404" s="15">
        <v>0</v>
      </c>
      <c r="L404" s="15">
        <v>0</v>
      </c>
      <c r="M404" s="15">
        <v>0</v>
      </c>
      <c r="N404" s="15" t="s">
        <v>3028</v>
      </c>
      <c r="O404" s="9" t="s">
        <v>3028</v>
      </c>
    </row>
    <row r="405" spans="1:15" x14ac:dyDescent="0.2">
      <c r="A405" s="10" t="s">
        <v>1059</v>
      </c>
      <c r="B405" s="15">
        <v>0</v>
      </c>
      <c r="C405" s="15">
        <v>0</v>
      </c>
      <c r="D405" s="15">
        <v>0</v>
      </c>
      <c r="E405" s="15">
        <v>385</v>
      </c>
      <c r="F405" s="15">
        <v>0</v>
      </c>
      <c r="G405" s="15">
        <v>0</v>
      </c>
      <c r="H405" s="15">
        <v>0</v>
      </c>
      <c r="I405" s="15">
        <v>0</v>
      </c>
      <c r="J405" s="15">
        <v>440</v>
      </c>
      <c r="K405" s="15">
        <v>0</v>
      </c>
      <c r="L405" s="15">
        <v>0</v>
      </c>
      <c r="M405" s="15">
        <v>0</v>
      </c>
      <c r="N405" s="15" t="s">
        <v>3028</v>
      </c>
      <c r="O405" s="9" t="s">
        <v>3028</v>
      </c>
    </row>
    <row r="406" spans="1:15" x14ac:dyDescent="0.2">
      <c r="A406" s="10" t="s">
        <v>1061</v>
      </c>
      <c r="B406" s="15">
        <v>0</v>
      </c>
      <c r="C406" s="15">
        <v>0</v>
      </c>
      <c r="D406" s="15">
        <v>0</v>
      </c>
      <c r="E406" s="15">
        <v>825</v>
      </c>
      <c r="F406" s="15">
        <v>0</v>
      </c>
      <c r="G406" s="15">
        <v>0</v>
      </c>
      <c r="H406" s="15">
        <v>0</v>
      </c>
      <c r="I406" s="15">
        <v>0</v>
      </c>
      <c r="J406" s="15">
        <v>0</v>
      </c>
      <c r="K406" s="15">
        <v>0</v>
      </c>
      <c r="L406" s="15">
        <v>0</v>
      </c>
      <c r="M406" s="15">
        <v>0</v>
      </c>
      <c r="N406" s="15" t="s">
        <v>3028</v>
      </c>
      <c r="O406" s="9" t="s">
        <v>3028</v>
      </c>
    </row>
    <row r="407" spans="1:15" x14ac:dyDescent="0.2">
      <c r="A407" s="10" t="s">
        <v>1065</v>
      </c>
      <c r="B407" s="15">
        <v>0</v>
      </c>
      <c r="C407" s="15">
        <v>0</v>
      </c>
      <c r="D407" s="15">
        <v>1008.33</v>
      </c>
      <c r="E407" s="15">
        <v>0</v>
      </c>
      <c r="F407" s="15">
        <v>0</v>
      </c>
      <c r="G407" s="15">
        <v>0</v>
      </c>
      <c r="H407" s="15">
        <v>0</v>
      </c>
      <c r="I407" s="15">
        <v>0</v>
      </c>
      <c r="J407" s="15">
        <v>0</v>
      </c>
      <c r="K407" s="15">
        <v>0</v>
      </c>
      <c r="L407" s="15">
        <v>0</v>
      </c>
      <c r="M407" s="15">
        <v>0</v>
      </c>
      <c r="N407" s="15" t="s">
        <v>3028</v>
      </c>
      <c r="O407" s="9" t="s">
        <v>3028</v>
      </c>
    </row>
    <row r="408" spans="1:15" x14ac:dyDescent="0.2">
      <c r="A408" s="10" t="s">
        <v>1067</v>
      </c>
      <c r="B408" s="15">
        <v>0</v>
      </c>
      <c r="C408" s="15">
        <v>0</v>
      </c>
      <c r="D408" s="15">
        <v>1008.33</v>
      </c>
      <c r="E408" s="15">
        <v>0</v>
      </c>
      <c r="F408" s="15">
        <v>0</v>
      </c>
      <c r="G408" s="15">
        <v>0</v>
      </c>
      <c r="H408" s="15">
        <v>0</v>
      </c>
      <c r="I408" s="15">
        <v>0</v>
      </c>
      <c r="J408" s="15">
        <v>0</v>
      </c>
      <c r="K408" s="15">
        <v>0</v>
      </c>
      <c r="L408" s="15">
        <v>0</v>
      </c>
      <c r="M408" s="15">
        <v>0</v>
      </c>
      <c r="N408" s="15" t="s">
        <v>3028</v>
      </c>
      <c r="O408" s="9" t="s">
        <v>3028</v>
      </c>
    </row>
    <row r="409" spans="1:15" x14ac:dyDescent="0.2">
      <c r="A409" s="10" t="s">
        <v>1069</v>
      </c>
      <c r="B409" s="15">
        <v>0</v>
      </c>
      <c r="C409" s="15">
        <v>0</v>
      </c>
      <c r="D409" s="15">
        <v>0</v>
      </c>
      <c r="E409" s="15">
        <v>825</v>
      </c>
      <c r="F409" s="15">
        <v>0</v>
      </c>
      <c r="G409" s="15">
        <v>0</v>
      </c>
      <c r="H409" s="15">
        <v>0</v>
      </c>
      <c r="I409" s="15">
        <v>0</v>
      </c>
      <c r="J409" s="15">
        <v>0</v>
      </c>
      <c r="K409" s="15">
        <v>0</v>
      </c>
      <c r="L409" s="15">
        <v>0</v>
      </c>
      <c r="M409" s="15">
        <v>0</v>
      </c>
      <c r="N409" s="15" t="s">
        <v>3028</v>
      </c>
      <c r="O409" s="9" t="s">
        <v>3028</v>
      </c>
    </row>
    <row r="410" spans="1:15" x14ac:dyDescent="0.2">
      <c r="A410" s="10" t="s">
        <v>1071</v>
      </c>
      <c r="B410" s="15">
        <v>0</v>
      </c>
      <c r="C410" s="15">
        <v>0</v>
      </c>
      <c r="D410" s="15">
        <v>0</v>
      </c>
      <c r="E410" s="15">
        <v>183.33</v>
      </c>
      <c r="F410" s="15">
        <v>0</v>
      </c>
      <c r="G410" s="15">
        <v>0</v>
      </c>
      <c r="H410" s="15">
        <v>0</v>
      </c>
      <c r="I410" s="15">
        <v>0</v>
      </c>
      <c r="J410" s="15">
        <v>0</v>
      </c>
      <c r="K410" s="15">
        <v>0</v>
      </c>
      <c r="L410" s="15">
        <v>0</v>
      </c>
      <c r="M410" s="15">
        <v>0</v>
      </c>
      <c r="N410" s="15" t="s">
        <v>3028</v>
      </c>
      <c r="O410" s="9" t="s">
        <v>3028</v>
      </c>
    </row>
    <row r="411" spans="1:15" x14ac:dyDescent="0.2">
      <c r="A411" s="10" t="s">
        <v>1073</v>
      </c>
      <c r="B411" s="15">
        <v>0</v>
      </c>
      <c r="C411" s="15">
        <v>0</v>
      </c>
      <c r="D411" s="15">
        <v>0</v>
      </c>
      <c r="E411" s="15">
        <v>825</v>
      </c>
      <c r="F411" s="15">
        <v>0</v>
      </c>
      <c r="G411" s="15">
        <v>0</v>
      </c>
      <c r="H411" s="15">
        <v>0</v>
      </c>
      <c r="I411" s="15">
        <v>0</v>
      </c>
      <c r="J411" s="15">
        <v>0</v>
      </c>
      <c r="K411" s="15">
        <v>0</v>
      </c>
      <c r="L411" s="15">
        <v>0</v>
      </c>
      <c r="M411" s="15">
        <v>0</v>
      </c>
      <c r="N411" s="15" t="s">
        <v>3028</v>
      </c>
      <c r="O411" s="9" t="s">
        <v>3028</v>
      </c>
    </row>
    <row r="412" spans="1:15" x14ac:dyDescent="0.2">
      <c r="A412" s="10" t="s">
        <v>1075</v>
      </c>
      <c r="B412" s="15">
        <v>0</v>
      </c>
      <c r="C412" s="15">
        <v>0</v>
      </c>
      <c r="D412" s="15">
        <v>0</v>
      </c>
      <c r="E412" s="15">
        <v>825</v>
      </c>
      <c r="F412" s="15">
        <v>0</v>
      </c>
      <c r="G412" s="15">
        <v>0</v>
      </c>
      <c r="H412" s="15">
        <v>0</v>
      </c>
      <c r="I412" s="15">
        <v>0</v>
      </c>
      <c r="J412" s="15">
        <v>0</v>
      </c>
      <c r="K412" s="15">
        <v>0</v>
      </c>
      <c r="L412" s="15">
        <v>0</v>
      </c>
      <c r="M412" s="15">
        <v>0</v>
      </c>
      <c r="N412" s="15" t="s">
        <v>3028</v>
      </c>
      <c r="O412" s="9" t="s">
        <v>3028</v>
      </c>
    </row>
    <row r="413" spans="1:15" x14ac:dyDescent="0.2">
      <c r="A413" s="10" t="s">
        <v>1077</v>
      </c>
      <c r="B413" s="15">
        <v>0</v>
      </c>
      <c r="C413" s="15">
        <v>0</v>
      </c>
      <c r="D413" s="15">
        <v>0</v>
      </c>
      <c r="E413" s="15">
        <v>385</v>
      </c>
      <c r="F413" s="15">
        <v>0</v>
      </c>
      <c r="G413" s="15">
        <v>0</v>
      </c>
      <c r="H413" s="15">
        <v>330</v>
      </c>
      <c r="I413" s="15">
        <v>0</v>
      </c>
      <c r="J413" s="15">
        <v>0</v>
      </c>
      <c r="K413" s="15">
        <v>0</v>
      </c>
      <c r="L413" s="15">
        <v>0</v>
      </c>
      <c r="M413" s="15">
        <v>0</v>
      </c>
      <c r="N413" s="15" t="s">
        <v>3028</v>
      </c>
      <c r="O413" s="9" t="s">
        <v>3028</v>
      </c>
    </row>
    <row r="414" spans="1:15" x14ac:dyDescent="0.2">
      <c r="A414" s="10" t="s">
        <v>1079</v>
      </c>
      <c r="B414" s="15">
        <v>0</v>
      </c>
      <c r="C414" s="15">
        <v>0</v>
      </c>
      <c r="D414" s="15">
        <v>0</v>
      </c>
      <c r="E414" s="15">
        <v>825</v>
      </c>
      <c r="F414" s="15">
        <v>0</v>
      </c>
      <c r="G414" s="15">
        <v>0</v>
      </c>
      <c r="H414" s="15">
        <v>0</v>
      </c>
      <c r="I414" s="15">
        <v>0</v>
      </c>
      <c r="J414" s="15">
        <v>0</v>
      </c>
      <c r="K414" s="15">
        <v>0</v>
      </c>
      <c r="L414" s="15">
        <v>0</v>
      </c>
      <c r="M414" s="15">
        <v>0</v>
      </c>
      <c r="N414" s="15" t="s">
        <v>3028</v>
      </c>
      <c r="O414" s="9" t="s">
        <v>3028</v>
      </c>
    </row>
    <row r="415" spans="1:15" x14ac:dyDescent="0.2">
      <c r="A415" s="10" t="s">
        <v>1081</v>
      </c>
      <c r="B415" s="15">
        <v>0</v>
      </c>
      <c r="C415" s="15">
        <v>0</v>
      </c>
      <c r="D415" s="15">
        <v>0</v>
      </c>
      <c r="E415" s="15">
        <v>825</v>
      </c>
      <c r="F415" s="15">
        <v>0</v>
      </c>
      <c r="G415" s="15">
        <v>0</v>
      </c>
      <c r="H415" s="15">
        <v>0</v>
      </c>
      <c r="I415" s="15">
        <v>0</v>
      </c>
      <c r="J415" s="15">
        <v>0</v>
      </c>
      <c r="K415" s="15">
        <v>0</v>
      </c>
      <c r="L415" s="15">
        <v>0</v>
      </c>
      <c r="M415" s="15">
        <v>0</v>
      </c>
      <c r="N415" s="15" t="s">
        <v>3028</v>
      </c>
      <c r="O415" s="9" t="s">
        <v>3028</v>
      </c>
    </row>
    <row r="416" spans="1:15" x14ac:dyDescent="0.2">
      <c r="A416" s="10" t="s">
        <v>1083</v>
      </c>
      <c r="B416" s="15">
        <v>0</v>
      </c>
      <c r="C416" s="15">
        <v>0</v>
      </c>
      <c r="D416" s="15">
        <v>0</v>
      </c>
      <c r="E416" s="15">
        <v>495</v>
      </c>
      <c r="F416" s="15">
        <v>0</v>
      </c>
      <c r="G416" s="15">
        <v>0</v>
      </c>
      <c r="H416" s="15">
        <v>0</v>
      </c>
      <c r="I416" s="15">
        <v>0</v>
      </c>
      <c r="J416" s="15">
        <v>0</v>
      </c>
      <c r="K416" s="15">
        <v>0</v>
      </c>
      <c r="L416" s="15">
        <v>0</v>
      </c>
      <c r="M416" s="15">
        <v>0</v>
      </c>
      <c r="N416" s="15" t="s">
        <v>3028</v>
      </c>
      <c r="O416" s="9" t="s">
        <v>3028</v>
      </c>
    </row>
    <row r="417" spans="1:15" x14ac:dyDescent="0.2">
      <c r="A417" s="10" t="s">
        <v>1085</v>
      </c>
      <c r="B417" s="15">
        <v>0</v>
      </c>
      <c r="C417" s="15">
        <v>0</v>
      </c>
      <c r="D417" s="15">
        <v>0</v>
      </c>
      <c r="E417" s="15">
        <v>495</v>
      </c>
      <c r="F417" s="15">
        <v>0</v>
      </c>
      <c r="G417" s="15">
        <v>0</v>
      </c>
      <c r="H417" s="15">
        <v>0</v>
      </c>
      <c r="I417" s="15">
        <v>0</v>
      </c>
      <c r="J417" s="15">
        <v>0</v>
      </c>
      <c r="K417" s="15">
        <v>0</v>
      </c>
      <c r="L417" s="15">
        <v>0</v>
      </c>
      <c r="M417" s="15">
        <v>0</v>
      </c>
      <c r="N417" s="15" t="s">
        <v>3028</v>
      </c>
      <c r="O417" s="9" t="s">
        <v>3028</v>
      </c>
    </row>
    <row r="418" spans="1:15" x14ac:dyDescent="0.2">
      <c r="A418" s="10" t="s">
        <v>1087</v>
      </c>
      <c r="B418" s="15">
        <v>0</v>
      </c>
      <c r="C418" s="15">
        <v>0</v>
      </c>
      <c r="D418" s="15">
        <v>0</v>
      </c>
      <c r="E418" s="15">
        <v>495</v>
      </c>
      <c r="F418" s="15">
        <v>220</v>
      </c>
      <c r="G418" s="15">
        <v>0</v>
      </c>
      <c r="H418" s="15">
        <v>0</v>
      </c>
      <c r="I418" s="15">
        <v>0</v>
      </c>
      <c r="J418" s="15">
        <v>0</v>
      </c>
      <c r="K418" s="15">
        <v>0</v>
      </c>
      <c r="L418" s="15">
        <v>0</v>
      </c>
      <c r="M418" s="15">
        <v>0</v>
      </c>
      <c r="N418" s="15" t="s">
        <v>3028</v>
      </c>
      <c r="O418" s="9" t="s">
        <v>3028</v>
      </c>
    </row>
    <row r="419" spans="1:15" x14ac:dyDescent="0.2">
      <c r="A419" s="10" t="s">
        <v>1089</v>
      </c>
      <c r="B419" s="15">
        <v>0</v>
      </c>
      <c r="C419" s="15">
        <v>0</v>
      </c>
      <c r="D419" s="15">
        <v>0</v>
      </c>
      <c r="E419" s="15">
        <v>825</v>
      </c>
      <c r="F419" s="15">
        <v>0</v>
      </c>
      <c r="G419" s="15">
        <v>0</v>
      </c>
      <c r="H419" s="15">
        <v>0</v>
      </c>
      <c r="I419" s="15">
        <v>0</v>
      </c>
      <c r="J419" s="15">
        <v>0</v>
      </c>
      <c r="K419" s="15">
        <v>0</v>
      </c>
      <c r="L419" s="15">
        <v>0</v>
      </c>
      <c r="M419" s="15">
        <v>0</v>
      </c>
      <c r="N419" s="15" t="s">
        <v>3028</v>
      </c>
      <c r="O419" s="9" t="s">
        <v>3028</v>
      </c>
    </row>
    <row r="420" spans="1:15" x14ac:dyDescent="0.2">
      <c r="A420" s="10" t="s">
        <v>1091</v>
      </c>
      <c r="B420" s="15">
        <v>0</v>
      </c>
      <c r="C420" s="15">
        <v>0</v>
      </c>
      <c r="D420" s="15">
        <v>0</v>
      </c>
      <c r="E420" s="15">
        <v>825</v>
      </c>
      <c r="F420" s="15">
        <v>0</v>
      </c>
      <c r="G420" s="15">
        <v>0</v>
      </c>
      <c r="H420" s="15">
        <v>0</v>
      </c>
      <c r="I420" s="15">
        <v>0</v>
      </c>
      <c r="J420" s="15">
        <v>0</v>
      </c>
      <c r="K420" s="15">
        <v>0</v>
      </c>
      <c r="L420" s="15">
        <v>0</v>
      </c>
      <c r="M420" s="15">
        <v>0</v>
      </c>
      <c r="N420" s="15" t="s">
        <v>3028</v>
      </c>
      <c r="O420" s="9" t="s">
        <v>3028</v>
      </c>
    </row>
    <row r="421" spans="1:15" x14ac:dyDescent="0.2">
      <c r="A421" s="10" t="s">
        <v>1093</v>
      </c>
      <c r="B421" s="15">
        <v>0</v>
      </c>
      <c r="C421" s="15">
        <v>0</v>
      </c>
      <c r="D421" s="15">
        <v>0</v>
      </c>
      <c r="E421" s="15">
        <v>495</v>
      </c>
      <c r="F421" s="15">
        <v>0</v>
      </c>
      <c r="G421" s="15">
        <v>0</v>
      </c>
      <c r="H421" s="15">
        <v>0</v>
      </c>
      <c r="I421" s="15">
        <v>0</v>
      </c>
      <c r="J421" s="15">
        <v>0</v>
      </c>
      <c r="K421" s="15">
        <v>0</v>
      </c>
      <c r="L421" s="15">
        <v>0</v>
      </c>
      <c r="M421" s="15">
        <v>0</v>
      </c>
      <c r="N421" s="15" t="s">
        <v>3028</v>
      </c>
      <c r="O421" s="9" t="s">
        <v>3028</v>
      </c>
    </row>
    <row r="422" spans="1:15" x14ac:dyDescent="0.2">
      <c r="A422" s="10" t="s">
        <v>1095</v>
      </c>
      <c r="B422" s="15">
        <v>0</v>
      </c>
      <c r="C422" s="15">
        <v>0</v>
      </c>
      <c r="D422" s="15">
        <v>1008.33</v>
      </c>
      <c r="E422" s="15">
        <v>0</v>
      </c>
      <c r="F422" s="15">
        <v>0</v>
      </c>
      <c r="G422" s="15">
        <v>0</v>
      </c>
      <c r="H422" s="15">
        <v>0</v>
      </c>
      <c r="I422" s="15">
        <v>0</v>
      </c>
      <c r="J422" s="15">
        <v>0</v>
      </c>
      <c r="K422" s="15">
        <v>0</v>
      </c>
      <c r="L422" s="15">
        <v>0</v>
      </c>
      <c r="M422" s="15">
        <v>0</v>
      </c>
      <c r="N422" s="15" t="s">
        <v>3028</v>
      </c>
      <c r="O422" s="9" t="s">
        <v>3028</v>
      </c>
    </row>
    <row r="423" spans="1:15" x14ac:dyDescent="0.2">
      <c r="A423" s="10" t="s">
        <v>1097</v>
      </c>
      <c r="B423" s="15">
        <v>0</v>
      </c>
      <c r="C423" s="15">
        <v>0</v>
      </c>
      <c r="D423" s="15">
        <v>0</v>
      </c>
      <c r="E423" s="15">
        <v>825</v>
      </c>
      <c r="F423" s="15">
        <v>0</v>
      </c>
      <c r="G423" s="15">
        <v>0</v>
      </c>
      <c r="H423" s="15">
        <v>0</v>
      </c>
      <c r="I423" s="15">
        <v>0</v>
      </c>
      <c r="J423" s="15">
        <v>0</v>
      </c>
      <c r="K423" s="15">
        <v>0</v>
      </c>
      <c r="L423" s="15">
        <v>0</v>
      </c>
      <c r="M423" s="15">
        <v>0</v>
      </c>
      <c r="N423" s="15" t="s">
        <v>3028</v>
      </c>
      <c r="O423" s="9" t="s">
        <v>3028</v>
      </c>
    </row>
    <row r="424" spans="1:15" x14ac:dyDescent="0.2">
      <c r="A424" s="10" t="s">
        <v>1099</v>
      </c>
      <c r="B424" s="15">
        <v>0</v>
      </c>
      <c r="C424" s="15">
        <v>0</v>
      </c>
      <c r="D424" s="15">
        <v>0</v>
      </c>
      <c r="E424" s="15">
        <v>825</v>
      </c>
      <c r="F424" s="15">
        <v>0</v>
      </c>
      <c r="G424" s="15">
        <v>0</v>
      </c>
      <c r="H424" s="15">
        <v>0</v>
      </c>
      <c r="I424" s="15">
        <v>0</v>
      </c>
      <c r="J424" s="15">
        <v>0</v>
      </c>
      <c r="K424" s="15">
        <v>0</v>
      </c>
      <c r="L424" s="15">
        <v>0</v>
      </c>
      <c r="M424" s="15">
        <v>0</v>
      </c>
      <c r="N424" s="15" t="s">
        <v>3028</v>
      </c>
      <c r="O424" s="9" t="s">
        <v>3028</v>
      </c>
    </row>
    <row r="425" spans="1:15" x14ac:dyDescent="0.2">
      <c r="A425" s="10" t="s">
        <v>1101</v>
      </c>
      <c r="B425" s="15">
        <v>0</v>
      </c>
      <c r="C425" s="15">
        <v>0</v>
      </c>
      <c r="D425" s="15">
        <v>0</v>
      </c>
      <c r="E425" s="15">
        <v>825</v>
      </c>
      <c r="F425" s="15">
        <v>0</v>
      </c>
      <c r="G425" s="15">
        <v>0</v>
      </c>
      <c r="H425" s="15">
        <v>0</v>
      </c>
      <c r="I425" s="15">
        <v>0</v>
      </c>
      <c r="J425" s="15">
        <v>0</v>
      </c>
      <c r="K425" s="15">
        <v>0</v>
      </c>
      <c r="L425" s="15">
        <v>0</v>
      </c>
      <c r="M425" s="15">
        <v>0</v>
      </c>
      <c r="N425" s="15" t="s">
        <v>3028</v>
      </c>
      <c r="O425" s="9" t="s">
        <v>3028</v>
      </c>
    </row>
    <row r="426" spans="1:15" x14ac:dyDescent="0.2">
      <c r="A426" s="10" t="s">
        <v>1103</v>
      </c>
      <c r="B426" s="15">
        <v>0</v>
      </c>
      <c r="C426" s="15">
        <v>0</v>
      </c>
      <c r="D426" s="15">
        <v>0</v>
      </c>
      <c r="E426" s="15">
        <v>495</v>
      </c>
      <c r="F426" s="15">
        <v>0</v>
      </c>
      <c r="G426" s="15">
        <v>0</v>
      </c>
      <c r="H426" s="15">
        <v>0</v>
      </c>
      <c r="I426" s="15">
        <v>0</v>
      </c>
      <c r="J426" s="15">
        <v>0</v>
      </c>
      <c r="K426" s="15">
        <v>0</v>
      </c>
      <c r="L426" s="15">
        <v>0</v>
      </c>
      <c r="M426" s="15">
        <v>0</v>
      </c>
      <c r="N426" s="15" t="s">
        <v>3028</v>
      </c>
      <c r="O426" s="9" t="s">
        <v>3028</v>
      </c>
    </row>
    <row r="427" spans="1:15" x14ac:dyDescent="0.2">
      <c r="A427" s="10" t="s">
        <v>1105</v>
      </c>
      <c r="B427" s="15">
        <v>0</v>
      </c>
      <c r="C427" s="15">
        <v>0</v>
      </c>
      <c r="D427" s="15">
        <v>0</v>
      </c>
      <c r="E427" s="15">
        <v>495</v>
      </c>
      <c r="F427" s="15">
        <v>0</v>
      </c>
      <c r="G427" s="15">
        <v>0</v>
      </c>
      <c r="H427" s="15">
        <v>0</v>
      </c>
      <c r="I427" s="15">
        <v>0</v>
      </c>
      <c r="J427" s="15">
        <v>0</v>
      </c>
      <c r="K427" s="15">
        <v>0</v>
      </c>
      <c r="L427" s="15">
        <v>0</v>
      </c>
      <c r="M427" s="15">
        <v>0</v>
      </c>
      <c r="N427" s="15" t="s">
        <v>3028</v>
      </c>
      <c r="O427" s="9" t="s">
        <v>3028</v>
      </c>
    </row>
    <row r="428" spans="1:15" x14ac:dyDescent="0.2">
      <c r="A428" s="10" t="s">
        <v>1109</v>
      </c>
      <c r="B428" s="15">
        <v>0</v>
      </c>
      <c r="C428" s="15">
        <v>0</v>
      </c>
      <c r="D428" s="15">
        <v>605</v>
      </c>
      <c r="E428" s="15">
        <v>0</v>
      </c>
      <c r="F428" s="15">
        <v>0</v>
      </c>
      <c r="G428" s="15">
        <v>0</v>
      </c>
      <c r="H428" s="15">
        <v>0</v>
      </c>
      <c r="I428" s="15">
        <v>0</v>
      </c>
      <c r="J428" s="15">
        <v>0</v>
      </c>
      <c r="K428" s="15">
        <v>0</v>
      </c>
      <c r="L428" s="15">
        <v>0</v>
      </c>
      <c r="M428" s="15">
        <v>0</v>
      </c>
      <c r="N428" s="15" t="s">
        <v>3028</v>
      </c>
      <c r="O428" s="9" t="s">
        <v>3028</v>
      </c>
    </row>
    <row r="429" spans="1:15" x14ac:dyDescent="0.2">
      <c r="A429" s="10" t="s">
        <v>1111</v>
      </c>
      <c r="B429" s="15">
        <v>0</v>
      </c>
      <c r="C429" s="15">
        <v>916.66</v>
      </c>
      <c r="D429" s="15">
        <v>0</v>
      </c>
      <c r="E429" s="15">
        <v>0</v>
      </c>
      <c r="F429" s="15">
        <v>0</v>
      </c>
      <c r="G429" s="15">
        <v>0</v>
      </c>
      <c r="H429" s="15">
        <v>0</v>
      </c>
      <c r="I429" s="15">
        <v>0</v>
      </c>
      <c r="J429" s="15">
        <v>0</v>
      </c>
      <c r="K429" s="15">
        <v>0</v>
      </c>
      <c r="L429" s="15">
        <v>0</v>
      </c>
      <c r="M429" s="15">
        <v>0</v>
      </c>
      <c r="N429" s="15" t="s">
        <v>3028</v>
      </c>
      <c r="O429" s="9" t="s">
        <v>3028</v>
      </c>
    </row>
    <row r="430" spans="1:15" x14ac:dyDescent="0.2">
      <c r="A430" s="10" t="s">
        <v>1113</v>
      </c>
      <c r="B430" s="15">
        <v>0</v>
      </c>
      <c r="C430" s="15">
        <v>0</v>
      </c>
      <c r="D430" s="15">
        <v>0</v>
      </c>
      <c r="E430" s="15">
        <v>495</v>
      </c>
      <c r="F430" s="15">
        <v>0</v>
      </c>
      <c r="G430" s="15">
        <v>0</v>
      </c>
      <c r="H430" s="15">
        <v>0</v>
      </c>
      <c r="I430" s="15">
        <v>0</v>
      </c>
      <c r="J430" s="15">
        <v>0</v>
      </c>
      <c r="K430" s="15">
        <v>0</v>
      </c>
      <c r="L430" s="15">
        <v>0</v>
      </c>
      <c r="M430" s="15">
        <v>0</v>
      </c>
      <c r="N430" s="15" t="s">
        <v>3028</v>
      </c>
      <c r="O430" s="9" t="s">
        <v>3028</v>
      </c>
    </row>
    <row r="431" spans="1:15" x14ac:dyDescent="0.2">
      <c r="A431" s="10" t="s">
        <v>1115</v>
      </c>
      <c r="B431" s="15">
        <v>0</v>
      </c>
      <c r="C431" s="15">
        <v>0</v>
      </c>
      <c r="D431" s="15">
        <v>0</v>
      </c>
      <c r="E431" s="15">
        <v>825</v>
      </c>
      <c r="F431" s="15">
        <v>0</v>
      </c>
      <c r="G431" s="15">
        <v>0</v>
      </c>
      <c r="H431" s="15">
        <v>0</v>
      </c>
      <c r="I431" s="15">
        <v>0</v>
      </c>
      <c r="J431" s="15">
        <v>0</v>
      </c>
      <c r="K431" s="15">
        <v>0</v>
      </c>
      <c r="L431" s="15">
        <v>0</v>
      </c>
      <c r="M431" s="15">
        <v>0</v>
      </c>
      <c r="N431" s="15" t="s">
        <v>3028</v>
      </c>
      <c r="O431" s="9" t="s">
        <v>3028</v>
      </c>
    </row>
    <row r="432" spans="1:15" x14ac:dyDescent="0.2">
      <c r="A432" s="10" t="s">
        <v>1117</v>
      </c>
      <c r="B432" s="15">
        <v>0</v>
      </c>
      <c r="C432" s="15">
        <v>0</v>
      </c>
      <c r="D432" s="15">
        <v>0</v>
      </c>
      <c r="E432" s="15">
        <v>366.67</v>
      </c>
      <c r="F432" s="15">
        <v>0</v>
      </c>
      <c r="G432" s="15">
        <v>0</v>
      </c>
      <c r="H432" s="15">
        <v>0</v>
      </c>
      <c r="I432" s="15">
        <v>0</v>
      </c>
      <c r="J432" s="15">
        <v>0</v>
      </c>
      <c r="K432" s="15">
        <v>0</v>
      </c>
      <c r="L432" s="15">
        <v>0</v>
      </c>
      <c r="M432" s="15">
        <v>0</v>
      </c>
      <c r="N432" s="15" t="s">
        <v>3028</v>
      </c>
      <c r="O432" s="9" t="s">
        <v>3028</v>
      </c>
    </row>
    <row r="433" spans="1:15" x14ac:dyDescent="0.2">
      <c r="A433" s="10" t="s">
        <v>1119</v>
      </c>
      <c r="B433" s="15">
        <v>0</v>
      </c>
      <c r="C433" s="15">
        <v>0</v>
      </c>
      <c r="D433" s="15">
        <v>0</v>
      </c>
      <c r="E433" s="15">
        <v>495</v>
      </c>
      <c r="F433" s="15">
        <v>0</v>
      </c>
      <c r="G433" s="15">
        <v>0</v>
      </c>
      <c r="H433" s="15">
        <v>0</v>
      </c>
      <c r="I433" s="15">
        <v>0</v>
      </c>
      <c r="J433" s="15">
        <v>0</v>
      </c>
      <c r="K433" s="15">
        <v>0</v>
      </c>
      <c r="L433" s="15">
        <v>0</v>
      </c>
      <c r="M433" s="15">
        <v>0</v>
      </c>
      <c r="N433" s="15" t="s">
        <v>3028</v>
      </c>
      <c r="O433" s="9" t="s">
        <v>3028</v>
      </c>
    </row>
    <row r="434" spans="1:15" x14ac:dyDescent="0.2">
      <c r="A434" s="10" t="s">
        <v>1121</v>
      </c>
      <c r="B434" s="15">
        <v>0</v>
      </c>
      <c r="C434" s="15">
        <v>0</v>
      </c>
      <c r="D434" s="15">
        <v>0</v>
      </c>
      <c r="E434" s="15">
        <v>825</v>
      </c>
      <c r="F434" s="15">
        <v>0</v>
      </c>
      <c r="G434" s="15">
        <v>0</v>
      </c>
      <c r="H434" s="15">
        <v>0</v>
      </c>
      <c r="I434" s="15">
        <v>0</v>
      </c>
      <c r="J434" s="15">
        <v>0</v>
      </c>
      <c r="K434" s="15">
        <v>0</v>
      </c>
      <c r="L434" s="15">
        <v>0</v>
      </c>
      <c r="M434" s="15">
        <v>0</v>
      </c>
      <c r="N434" s="15" t="s">
        <v>3028</v>
      </c>
      <c r="O434" s="9" t="s">
        <v>3028</v>
      </c>
    </row>
    <row r="435" spans="1:15" x14ac:dyDescent="0.2">
      <c r="A435" s="10" t="s">
        <v>1123</v>
      </c>
      <c r="B435" s="15">
        <v>0</v>
      </c>
      <c r="C435" s="15">
        <v>0</v>
      </c>
      <c r="D435" s="15">
        <v>0</v>
      </c>
      <c r="E435" s="15">
        <v>825</v>
      </c>
      <c r="F435" s="15">
        <v>0</v>
      </c>
      <c r="G435" s="15">
        <v>0</v>
      </c>
      <c r="H435" s="15">
        <v>0</v>
      </c>
      <c r="I435" s="15">
        <v>0</v>
      </c>
      <c r="J435" s="15">
        <v>0</v>
      </c>
      <c r="K435" s="15">
        <v>0</v>
      </c>
      <c r="L435" s="15">
        <v>0</v>
      </c>
      <c r="M435" s="15">
        <v>0</v>
      </c>
      <c r="N435" s="15" t="s">
        <v>3028</v>
      </c>
      <c r="O435" s="9" t="s">
        <v>3028</v>
      </c>
    </row>
    <row r="436" spans="1:15" x14ac:dyDescent="0.2">
      <c r="A436" s="10" t="s">
        <v>1125</v>
      </c>
      <c r="B436" s="15">
        <v>0</v>
      </c>
      <c r="C436" s="15">
        <v>0</v>
      </c>
      <c r="D436" s="15">
        <v>0</v>
      </c>
      <c r="E436" s="15">
        <v>825</v>
      </c>
      <c r="F436" s="15">
        <v>0</v>
      </c>
      <c r="G436" s="15">
        <v>0</v>
      </c>
      <c r="H436" s="15">
        <v>0</v>
      </c>
      <c r="I436" s="15">
        <v>0</v>
      </c>
      <c r="J436" s="15">
        <v>0</v>
      </c>
      <c r="K436" s="15">
        <v>0</v>
      </c>
      <c r="L436" s="15">
        <v>0</v>
      </c>
      <c r="M436" s="15">
        <v>0</v>
      </c>
      <c r="N436" s="15" t="s">
        <v>3028</v>
      </c>
      <c r="O436" s="9" t="s">
        <v>3028</v>
      </c>
    </row>
    <row r="437" spans="1:15" x14ac:dyDescent="0.2">
      <c r="A437" s="10" t="s">
        <v>1127</v>
      </c>
      <c r="B437" s="15">
        <v>0</v>
      </c>
      <c r="C437" s="15">
        <v>0</v>
      </c>
      <c r="D437" s="15">
        <v>0</v>
      </c>
      <c r="E437" s="15">
        <v>825</v>
      </c>
      <c r="F437" s="15">
        <v>0</v>
      </c>
      <c r="G437" s="15">
        <v>0</v>
      </c>
      <c r="H437" s="15">
        <v>0</v>
      </c>
      <c r="I437" s="15">
        <v>0</v>
      </c>
      <c r="J437" s="15">
        <v>0</v>
      </c>
      <c r="K437" s="15">
        <v>0</v>
      </c>
      <c r="L437" s="15">
        <v>0</v>
      </c>
      <c r="M437" s="15">
        <v>0</v>
      </c>
      <c r="N437" s="15" t="s">
        <v>3028</v>
      </c>
      <c r="O437" s="9" t="s">
        <v>3028</v>
      </c>
    </row>
    <row r="438" spans="1:15" x14ac:dyDescent="0.2">
      <c r="A438" s="10" t="s">
        <v>1129</v>
      </c>
      <c r="B438" s="15">
        <v>0</v>
      </c>
      <c r="C438" s="15">
        <v>0</v>
      </c>
      <c r="D438" s="15">
        <v>0</v>
      </c>
      <c r="E438" s="15">
        <v>733.33</v>
      </c>
      <c r="F438" s="15">
        <v>0</v>
      </c>
      <c r="G438" s="15">
        <v>458.33</v>
      </c>
      <c r="H438" s="15">
        <v>0</v>
      </c>
      <c r="I438" s="15">
        <v>0</v>
      </c>
      <c r="J438" s="15">
        <v>0</v>
      </c>
      <c r="K438" s="15">
        <v>0</v>
      </c>
      <c r="L438" s="15">
        <v>0</v>
      </c>
      <c r="M438" s="15">
        <v>0</v>
      </c>
      <c r="N438" s="15" t="s">
        <v>3028</v>
      </c>
      <c r="O438" s="9" t="s">
        <v>3028</v>
      </c>
    </row>
    <row r="439" spans="1:15" x14ac:dyDescent="0.2">
      <c r="A439" s="10" t="s">
        <v>1131</v>
      </c>
      <c r="B439" s="15">
        <v>0</v>
      </c>
      <c r="C439" s="15">
        <v>0</v>
      </c>
      <c r="D439" s="15">
        <v>0</v>
      </c>
      <c r="E439" s="15">
        <v>495</v>
      </c>
      <c r="F439" s="15">
        <v>0</v>
      </c>
      <c r="G439" s="15">
        <v>0</v>
      </c>
      <c r="H439" s="15">
        <v>0</v>
      </c>
      <c r="I439" s="15">
        <v>0</v>
      </c>
      <c r="J439" s="15">
        <v>0</v>
      </c>
      <c r="K439" s="15">
        <v>0</v>
      </c>
      <c r="L439" s="15">
        <v>0</v>
      </c>
      <c r="M439" s="15">
        <v>0</v>
      </c>
      <c r="N439" s="15" t="s">
        <v>3028</v>
      </c>
      <c r="O439" s="9" t="s">
        <v>3028</v>
      </c>
    </row>
    <row r="440" spans="1:15" x14ac:dyDescent="0.2">
      <c r="A440" s="10" t="s">
        <v>1133</v>
      </c>
      <c r="B440" s="15">
        <v>0</v>
      </c>
      <c r="C440" s="15">
        <v>0</v>
      </c>
      <c r="D440" s="15">
        <v>0</v>
      </c>
      <c r="E440" s="15">
        <v>91.67</v>
      </c>
      <c r="F440" s="15">
        <v>0</v>
      </c>
      <c r="G440" s="15">
        <v>0</v>
      </c>
      <c r="H440" s="15">
        <v>0</v>
      </c>
      <c r="I440" s="15">
        <v>0</v>
      </c>
      <c r="J440" s="15">
        <v>0</v>
      </c>
      <c r="K440" s="15">
        <v>0</v>
      </c>
      <c r="L440" s="15">
        <v>0</v>
      </c>
      <c r="M440" s="15">
        <v>0</v>
      </c>
      <c r="N440" s="15" t="s">
        <v>3028</v>
      </c>
      <c r="O440" s="9" t="s">
        <v>3028</v>
      </c>
    </row>
    <row r="441" spans="1:15" x14ac:dyDescent="0.2">
      <c r="A441" s="10" t="s">
        <v>1135</v>
      </c>
      <c r="B441" s="15">
        <v>825</v>
      </c>
      <c r="C441" s="15">
        <v>0</v>
      </c>
      <c r="D441" s="15">
        <v>0</v>
      </c>
      <c r="E441" s="15">
        <v>0</v>
      </c>
      <c r="F441" s="15">
        <v>0</v>
      </c>
      <c r="G441" s="15">
        <v>0</v>
      </c>
      <c r="H441" s="15">
        <v>0</v>
      </c>
      <c r="I441" s="15">
        <v>0</v>
      </c>
      <c r="J441" s="15">
        <v>0</v>
      </c>
      <c r="K441" s="15">
        <v>0</v>
      </c>
      <c r="L441" s="15">
        <v>0</v>
      </c>
      <c r="M441" s="15">
        <v>0</v>
      </c>
      <c r="N441" s="15" t="s">
        <v>3028</v>
      </c>
      <c r="O441" s="9" t="s">
        <v>3028</v>
      </c>
    </row>
    <row r="442" spans="1:15" x14ac:dyDescent="0.2">
      <c r="A442" s="10" t="s">
        <v>1139</v>
      </c>
      <c r="B442" s="15">
        <v>0</v>
      </c>
      <c r="C442" s="15">
        <v>0</v>
      </c>
      <c r="D442" s="15">
        <v>0</v>
      </c>
      <c r="E442" s="15">
        <v>825</v>
      </c>
      <c r="F442" s="15">
        <v>0</v>
      </c>
      <c r="G442" s="15">
        <v>0</v>
      </c>
      <c r="H442" s="15">
        <v>0</v>
      </c>
      <c r="I442" s="15">
        <v>0</v>
      </c>
      <c r="J442" s="15">
        <v>0</v>
      </c>
      <c r="K442" s="15">
        <v>0</v>
      </c>
      <c r="L442" s="15">
        <v>0</v>
      </c>
      <c r="M442" s="15">
        <v>0</v>
      </c>
      <c r="N442" s="15" t="s">
        <v>3028</v>
      </c>
      <c r="O442" s="9" t="s">
        <v>3028</v>
      </c>
    </row>
    <row r="443" spans="1:15" x14ac:dyDescent="0.2">
      <c r="A443" s="10" t="s">
        <v>1141</v>
      </c>
      <c r="B443" s="15">
        <v>0</v>
      </c>
      <c r="C443" s="15">
        <v>0</v>
      </c>
      <c r="D443" s="15">
        <v>0</v>
      </c>
      <c r="E443" s="15">
        <v>495</v>
      </c>
      <c r="F443" s="15">
        <v>0</v>
      </c>
      <c r="G443" s="15">
        <v>0</v>
      </c>
      <c r="H443" s="15">
        <v>0</v>
      </c>
      <c r="I443" s="15">
        <v>0</v>
      </c>
      <c r="J443" s="15">
        <v>0</v>
      </c>
      <c r="K443" s="15">
        <v>0</v>
      </c>
      <c r="L443" s="15">
        <v>0</v>
      </c>
      <c r="M443" s="15">
        <v>0</v>
      </c>
      <c r="N443" s="15" t="s">
        <v>3028</v>
      </c>
      <c r="O443" s="9" t="s">
        <v>3028</v>
      </c>
    </row>
    <row r="444" spans="1:15" x14ac:dyDescent="0.2">
      <c r="A444" s="10" t="s">
        <v>1143</v>
      </c>
      <c r="B444" s="15">
        <v>0</v>
      </c>
      <c r="C444" s="15">
        <v>0</v>
      </c>
      <c r="D444" s="15">
        <v>0</v>
      </c>
      <c r="E444" s="15">
        <v>825</v>
      </c>
      <c r="F444" s="15">
        <v>0</v>
      </c>
      <c r="G444" s="15">
        <v>0</v>
      </c>
      <c r="H444" s="15">
        <v>0</v>
      </c>
      <c r="I444" s="15">
        <v>0</v>
      </c>
      <c r="J444" s="15">
        <v>0</v>
      </c>
      <c r="K444" s="15">
        <v>0</v>
      </c>
      <c r="L444" s="15">
        <v>0</v>
      </c>
      <c r="M444" s="15">
        <v>0</v>
      </c>
      <c r="N444" s="15" t="s">
        <v>3028</v>
      </c>
      <c r="O444" s="9" t="s">
        <v>3028</v>
      </c>
    </row>
    <row r="445" spans="1:15" x14ac:dyDescent="0.2">
      <c r="A445" s="10" t="s">
        <v>1145</v>
      </c>
      <c r="B445" s="15">
        <v>0</v>
      </c>
      <c r="C445" s="15">
        <v>0</v>
      </c>
      <c r="D445" s="15">
        <v>0</v>
      </c>
      <c r="E445" s="15">
        <v>825</v>
      </c>
      <c r="F445" s="15">
        <v>0</v>
      </c>
      <c r="G445" s="15">
        <v>0</v>
      </c>
      <c r="H445" s="15">
        <v>0</v>
      </c>
      <c r="I445" s="15">
        <v>0</v>
      </c>
      <c r="J445" s="15">
        <v>0</v>
      </c>
      <c r="K445" s="15">
        <v>0</v>
      </c>
      <c r="L445" s="15">
        <v>0</v>
      </c>
      <c r="M445" s="15">
        <v>0</v>
      </c>
      <c r="N445" s="15" t="s">
        <v>3028</v>
      </c>
      <c r="O445" s="9" t="s">
        <v>3028</v>
      </c>
    </row>
    <row r="446" spans="1:15" x14ac:dyDescent="0.2">
      <c r="A446" s="10" t="s">
        <v>1147</v>
      </c>
      <c r="B446" s="15">
        <v>0</v>
      </c>
      <c r="C446" s="15">
        <v>0</v>
      </c>
      <c r="D446" s="15">
        <v>0</v>
      </c>
      <c r="E446" s="15">
        <v>825</v>
      </c>
      <c r="F446" s="15">
        <v>0</v>
      </c>
      <c r="G446" s="15">
        <v>0</v>
      </c>
      <c r="H446" s="15">
        <v>0</v>
      </c>
      <c r="I446" s="15">
        <v>0</v>
      </c>
      <c r="J446" s="15">
        <v>0</v>
      </c>
      <c r="K446" s="15">
        <v>0</v>
      </c>
      <c r="L446" s="15">
        <v>0</v>
      </c>
      <c r="M446" s="15">
        <v>0</v>
      </c>
      <c r="N446" s="15" t="s">
        <v>3028</v>
      </c>
      <c r="O446" s="9" t="s">
        <v>3028</v>
      </c>
    </row>
    <row r="447" spans="1:15" x14ac:dyDescent="0.2">
      <c r="A447" s="10" t="s">
        <v>1149</v>
      </c>
      <c r="B447" s="15">
        <v>0</v>
      </c>
      <c r="C447" s="15">
        <v>0</v>
      </c>
      <c r="D447" s="15">
        <v>0</v>
      </c>
      <c r="E447" s="15">
        <v>825</v>
      </c>
      <c r="F447" s="15">
        <v>0</v>
      </c>
      <c r="G447" s="15">
        <v>0</v>
      </c>
      <c r="H447" s="15">
        <v>0</v>
      </c>
      <c r="I447" s="15">
        <v>0</v>
      </c>
      <c r="J447" s="15">
        <v>0</v>
      </c>
      <c r="K447" s="15">
        <v>0</v>
      </c>
      <c r="L447" s="15">
        <v>0</v>
      </c>
      <c r="M447" s="15">
        <v>0</v>
      </c>
      <c r="N447" s="15" t="s">
        <v>3028</v>
      </c>
      <c r="O447" s="9" t="s">
        <v>3028</v>
      </c>
    </row>
    <row r="448" spans="1:15" x14ac:dyDescent="0.2">
      <c r="A448" s="10" t="s">
        <v>1151</v>
      </c>
      <c r="B448" s="15">
        <v>825</v>
      </c>
      <c r="C448" s="15">
        <v>0</v>
      </c>
      <c r="D448" s="15">
        <v>0</v>
      </c>
      <c r="E448" s="15">
        <v>0</v>
      </c>
      <c r="F448" s="15">
        <v>0</v>
      </c>
      <c r="G448" s="15">
        <v>0</v>
      </c>
      <c r="H448" s="15">
        <v>0</v>
      </c>
      <c r="I448" s="15">
        <v>0</v>
      </c>
      <c r="J448" s="15">
        <v>0</v>
      </c>
      <c r="K448" s="15">
        <v>0</v>
      </c>
      <c r="L448" s="15">
        <v>0</v>
      </c>
      <c r="M448" s="15">
        <v>0</v>
      </c>
      <c r="N448" s="15" t="s">
        <v>3028</v>
      </c>
      <c r="O448" s="9" t="s">
        <v>3028</v>
      </c>
    </row>
    <row r="449" spans="1:15" x14ac:dyDescent="0.2">
      <c r="A449" s="10" t="s">
        <v>1153</v>
      </c>
      <c r="B449" s="15">
        <v>0</v>
      </c>
      <c r="C449" s="15">
        <v>0</v>
      </c>
      <c r="D449" s="15">
        <v>0</v>
      </c>
      <c r="E449" s="15">
        <v>825</v>
      </c>
      <c r="F449" s="15">
        <v>0</v>
      </c>
      <c r="G449" s="15">
        <v>0</v>
      </c>
      <c r="H449" s="15">
        <v>0</v>
      </c>
      <c r="I449" s="15">
        <v>0</v>
      </c>
      <c r="J449" s="15">
        <v>0</v>
      </c>
      <c r="K449" s="15">
        <v>0</v>
      </c>
      <c r="L449" s="15">
        <v>0</v>
      </c>
      <c r="M449" s="15">
        <v>0</v>
      </c>
      <c r="N449" s="15" t="s">
        <v>3028</v>
      </c>
      <c r="O449" s="9" t="s">
        <v>3028</v>
      </c>
    </row>
    <row r="450" spans="1:15" x14ac:dyDescent="0.2">
      <c r="A450" s="10" t="s">
        <v>1155</v>
      </c>
      <c r="B450" s="15">
        <v>0</v>
      </c>
      <c r="C450" s="15">
        <v>0</v>
      </c>
      <c r="D450" s="15">
        <v>0</v>
      </c>
      <c r="E450" s="15">
        <v>825</v>
      </c>
      <c r="F450" s="15">
        <v>0</v>
      </c>
      <c r="G450" s="15">
        <v>0</v>
      </c>
      <c r="H450" s="15">
        <v>0</v>
      </c>
      <c r="I450" s="15">
        <v>0</v>
      </c>
      <c r="J450" s="15">
        <v>0</v>
      </c>
      <c r="K450" s="15">
        <v>0</v>
      </c>
      <c r="L450" s="15">
        <v>0</v>
      </c>
      <c r="M450" s="15">
        <v>0</v>
      </c>
      <c r="N450" s="15" t="s">
        <v>3028</v>
      </c>
      <c r="O450" s="9" t="s">
        <v>3028</v>
      </c>
    </row>
    <row r="451" spans="1:15" x14ac:dyDescent="0.2">
      <c r="A451" s="10" t="s">
        <v>1163</v>
      </c>
      <c r="B451" s="15">
        <v>0</v>
      </c>
      <c r="C451" s="15">
        <v>0</v>
      </c>
      <c r="D451" s="15">
        <v>0</v>
      </c>
      <c r="E451" s="15">
        <v>825</v>
      </c>
      <c r="F451" s="15">
        <v>0</v>
      </c>
      <c r="G451" s="15">
        <v>0</v>
      </c>
      <c r="H451" s="15">
        <v>0</v>
      </c>
      <c r="I451" s="15">
        <v>641.66</v>
      </c>
      <c r="J451" s="15">
        <v>0</v>
      </c>
      <c r="K451" s="15">
        <v>0</v>
      </c>
      <c r="L451" s="15">
        <v>0</v>
      </c>
      <c r="M451" s="15">
        <v>0</v>
      </c>
      <c r="N451" s="15" t="s">
        <v>3028</v>
      </c>
      <c r="O451" s="9" t="s">
        <v>3028</v>
      </c>
    </row>
    <row r="452" spans="1:15" x14ac:dyDescent="0.2">
      <c r="A452" s="10" t="s">
        <v>1165</v>
      </c>
      <c r="B452" s="15">
        <v>0</v>
      </c>
      <c r="C452" s="15">
        <v>0</v>
      </c>
      <c r="D452" s="15">
        <v>0</v>
      </c>
      <c r="E452" s="15">
        <v>825</v>
      </c>
      <c r="F452" s="15">
        <v>0</v>
      </c>
      <c r="G452" s="15">
        <v>0</v>
      </c>
      <c r="H452" s="15">
        <v>0</v>
      </c>
      <c r="I452" s="15">
        <v>0</v>
      </c>
      <c r="J452" s="15">
        <v>0</v>
      </c>
      <c r="K452" s="15">
        <v>0</v>
      </c>
      <c r="L452" s="15">
        <v>0</v>
      </c>
      <c r="M452" s="15">
        <v>0</v>
      </c>
      <c r="N452" s="15" t="s">
        <v>3028</v>
      </c>
      <c r="O452" s="9" t="s">
        <v>3028</v>
      </c>
    </row>
    <row r="453" spans="1:15" x14ac:dyDescent="0.2">
      <c r="A453" s="10" t="s">
        <v>1167</v>
      </c>
      <c r="B453" s="15">
        <v>0</v>
      </c>
      <c r="C453" s="15">
        <v>0</v>
      </c>
      <c r="D453" s="15">
        <v>0</v>
      </c>
      <c r="E453" s="15">
        <v>825</v>
      </c>
      <c r="F453" s="15">
        <v>0</v>
      </c>
      <c r="G453" s="15">
        <v>0</v>
      </c>
      <c r="H453" s="15">
        <v>0</v>
      </c>
      <c r="I453" s="15">
        <v>0</v>
      </c>
      <c r="J453" s="15">
        <v>0</v>
      </c>
      <c r="K453" s="15">
        <v>0</v>
      </c>
      <c r="L453" s="15">
        <v>0</v>
      </c>
      <c r="M453" s="15">
        <v>0</v>
      </c>
      <c r="N453" s="15" t="s">
        <v>3028</v>
      </c>
      <c r="O453" s="9" t="s">
        <v>3028</v>
      </c>
    </row>
    <row r="454" spans="1:15" x14ac:dyDescent="0.2">
      <c r="A454" s="10" t="s">
        <v>1169</v>
      </c>
      <c r="B454" s="15">
        <v>0</v>
      </c>
      <c r="C454" s="15">
        <v>0</v>
      </c>
      <c r="D454" s="15">
        <v>0</v>
      </c>
      <c r="E454" s="15">
        <v>825</v>
      </c>
      <c r="F454" s="15">
        <v>0</v>
      </c>
      <c r="G454" s="15">
        <v>0</v>
      </c>
      <c r="H454" s="15">
        <v>0</v>
      </c>
      <c r="I454" s="15">
        <v>0</v>
      </c>
      <c r="J454" s="15">
        <v>0</v>
      </c>
      <c r="K454" s="15">
        <v>0</v>
      </c>
      <c r="L454" s="15">
        <v>0</v>
      </c>
      <c r="M454" s="15">
        <v>0</v>
      </c>
      <c r="N454" s="15" t="s">
        <v>3028</v>
      </c>
      <c r="O454" s="9" t="s">
        <v>3028</v>
      </c>
    </row>
    <row r="455" spans="1:15" x14ac:dyDescent="0.2">
      <c r="A455" s="10" t="s">
        <v>1171</v>
      </c>
      <c r="B455" s="15">
        <v>0</v>
      </c>
      <c r="C455" s="15">
        <v>0</v>
      </c>
      <c r="D455" s="15">
        <v>0</v>
      </c>
      <c r="E455" s="15">
        <v>825</v>
      </c>
      <c r="F455" s="15">
        <v>0</v>
      </c>
      <c r="G455" s="15">
        <v>0</v>
      </c>
      <c r="H455" s="15">
        <v>0</v>
      </c>
      <c r="I455" s="15">
        <v>0</v>
      </c>
      <c r="J455" s="15">
        <v>0</v>
      </c>
      <c r="K455" s="15">
        <v>0</v>
      </c>
      <c r="L455" s="15">
        <v>0</v>
      </c>
      <c r="M455" s="15">
        <v>0</v>
      </c>
      <c r="N455" s="15" t="s">
        <v>3028</v>
      </c>
      <c r="O455" s="9" t="s">
        <v>3028</v>
      </c>
    </row>
    <row r="456" spans="1:15" x14ac:dyDescent="0.2">
      <c r="A456" s="10" t="s">
        <v>1173</v>
      </c>
      <c r="B456" s="15">
        <v>0</v>
      </c>
      <c r="C456" s="15">
        <v>0</v>
      </c>
      <c r="D456" s="15">
        <v>0</v>
      </c>
      <c r="E456" s="15">
        <v>440</v>
      </c>
      <c r="F456" s="15">
        <v>220</v>
      </c>
      <c r="G456" s="15">
        <v>0</v>
      </c>
      <c r="H456" s="15">
        <v>0</v>
      </c>
      <c r="I456" s="15">
        <v>0</v>
      </c>
      <c r="J456" s="15">
        <v>0</v>
      </c>
      <c r="K456" s="15">
        <v>0</v>
      </c>
      <c r="L456" s="15">
        <v>0</v>
      </c>
      <c r="M456" s="15">
        <v>0</v>
      </c>
      <c r="N456" s="15" t="s">
        <v>3028</v>
      </c>
      <c r="O456" s="9" t="s">
        <v>3028</v>
      </c>
    </row>
    <row r="457" spans="1:15" x14ac:dyDescent="0.2">
      <c r="A457" s="10" t="s">
        <v>1175</v>
      </c>
      <c r="B457" s="15">
        <v>0</v>
      </c>
      <c r="C457" s="15">
        <v>0</v>
      </c>
      <c r="D457" s="15">
        <v>0</v>
      </c>
      <c r="E457" s="15">
        <v>825</v>
      </c>
      <c r="F457" s="15">
        <v>0</v>
      </c>
      <c r="G457" s="15">
        <v>0</v>
      </c>
      <c r="H457" s="15">
        <v>0</v>
      </c>
      <c r="I457" s="15">
        <v>0</v>
      </c>
      <c r="J457" s="15">
        <v>0</v>
      </c>
      <c r="K457" s="15">
        <v>0</v>
      </c>
      <c r="L457" s="15">
        <v>0</v>
      </c>
      <c r="M457" s="15">
        <v>0</v>
      </c>
      <c r="N457" s="15" t="s">
        <v>3028</v>
      </c>
      <c r="O457" s="9" t="s">
        <v>3028</v>
      </c>
    </row>
    <row r="458" spans="1:15" x14ac:dyDescent="0.2">
      <c r="A458" s="10" t="s">
        <v>1177</v>
      </c>
      <c r="B458" s="15">
        <v>0</v>
      </c>
      <c r="C458" s="15">
        <v>0</v>
      </c>
      <c r="D458" s="15">
        <v>0</v>
      </c>
      <c r="E458" s="15">
        <v>91.67</v>
      </c>
      <c r="F458" s="15">
        <v>0</v>
      </c>
      <c r="G458" s="15">
        <v>0</v>
      </c>
      <c r="H458" s="15">
        <v>0</v>
      </c>
      <c r="I458" s="15">
        <v>0</v>
      </c>
      <c r="J458" s="15">
        <v>0</v>
      </c>
      <c r="K458" s="15">
        <v>0</v>
      </c>
      <c r="L458" s="15">
        <v>0</v>
      </c>
      <c r="M458" s="15">
        <v>0</v>
      </c>
      <c r="N458" s="15" t="s">
        <v>3028</v>
      </c>
      <c r="O458" s="9" t="s">
        <v>3028</v>
      </c>
    </row>
    <row r="459" spans="1:15" x14ac:dyDescent="0.2">
      <c r="A459" s="10" t="s">
        <v>1179</v>
      </c>
      <c r="B459" s="15">
        <v>0</v>
      </c>
      <c r="C459" s="15">
        <v>0</v>
      </c>
      <c r="D459" s="15">
        <v>0</v>
      </c>
      <c r="E459" s="15">
        <v>495</v>
      </c>
      <c r="F459" s="15">
        <v>0</v>
      </c>
      <c r="G459" s="15">
        <v>0</v>
      </c>
      <c r="H459" s="15">
        <v>0</v>
      </c>
      <c r="I459" s="15">
        <v>0</v>
      </c>
      <c r="J459" s="15">
        <v>0</v>
      </c>
      <c r="K459" s="15">
        <v>0</v>
      </c>
      <c r="L459" s="15">
        <v>0</v>
      </c>
      <c r="M459" s="15">
        <v>0</v>
      </c>
      <c r="N459" s="15" t="s">
        <v>3028</v>
      </c>
      <c r="O459" s="9" t="s">
        <v>3028</v>
      </c>
    </row>
    <row r="460" spans="1:15" x14ac:dyDescent="0.2">
      <c r="A460" s="10" t="s">
        <v>1181</v>
      </c>
      <c r="B460" s="15">
        <v>0</v>
      </c>
      <c r="C460" s="15">
        <v>0</v>
      </c>
      <c r="D460" s="15">
        <v>0</v>
      </c>
      <c r="E460" s="15">
        <v>183.33</v>
      </c>
      <c r="F460" s="15">
        <v>0</v>
      </c>
      <c r="G460" s="15">
        <v>0</v>
      </c>
      <c r="H460" s="15">
        <v>0</v>
      </c>
      <c r="I460" s="15">
        <v>0</v>
      </c>
      <c r="J460" s="15">
        <v>0</v>
      </c>
      <c r="K460" s="15">
        <v>0</v>
      </c>
      <c r="L460" s="15">
        <v>0</v>
      </c>
      <c r="M460" s="15">
        <v>0</v>
      </c>
      <c r="N460" s="15" t="s">
        <v>3028</v>
      </c>
      <c r="O460" s="9" t="s">
        <v>3028</v>
      </c>
    </row>
    <row r="461" spans="1:15" x14ac:dyDescent="0.2">
      <c r="A461" s="10" t="s">
        <v>1183</v>
      </c>
      <c r="B461" s="15">
        <v>825</v>
      </c>
      <c r="C461" s="15">
        <v>0</v>
      </c>
      <c r="D461" s="15">
        <v>0</v>
      </c>
      <c r="E461" s="15">
        <v>0</v>
      </c>
      <c r="F461" s="15">
        <v>0</v>
      </c>
      <c r="G461" s="15">
        <v>0</v>
      </c>
      <c r="H461" s="15">
        <v>0</v>
      </c>
      <c r="I461" s="15">
        <v>0</v>
      </c>
      <c r="J461" s="15">
        <v>0</v>
      </c>
      <c r="K461" s="15">
        <v>0</v>
      </c>
      <c r="L461" s="15">
        <v>0</v>
      </c>
      <c r="M461" s="15">
        <v>0</v>
      </c>
      <c r="N461" s="15" t="s">
        <v>3028</v>
      </c>
      <c r="O461" s="9" t="s">
        <v>3028</v>
      </c>
    </row>
    <row r="462" spans="1:15" x14ac:dyDescent="0.2">
      <c r="A462" s="10" t="s">
        <v>1185</v>
      </c>
      <c r="B462" s="15">
        <v>0</v>
      </c>
      <c r="C462" s="15">
        <v>0</v>
      </c>
      <c r="D462" s="15">
        <v>0</v>
      </c>
      <c r="E462" s="15">
        <v>825</v>
      </c>
      <c r="F462" s="15">
        <v>0</v>
      </c>
      <c r="G462" s="15">
        <v>0</v>
      </c>
      <c r="H462" s="15">
        <v>0</v>
      </c>
      <c r="I462" s="15">
        <v>0</v>
      </c>
      <c r="J462" s="15">
        <v>0</v>
      </c>
      <c r="K462" s="15">
        <v>0</v>
      </c>
      <c r="L462" s="15">
        <v>0</v>
      </c>
      <c r="M462" s="15">
        <v>0</v>
      </c>
      <c r="N462" s="15" t="s">
        <v>3028</v>
      </c>
      <c r="O462" s="9" t="s">
        <v>3028</v>
      </c>
    </row>
    <row r="463" spans="1:15" x14ac:dyDescent="0.2">
      <c r="A463" s="10" t="s">
        <v>1187</v>
      </c>
      <c r="B463" s="15">
        <v>0</v>
      </c>
      <c r="C463" s="15">
        <v>0</v>
      </c>
      <c r="D463" s="15">
        <v>0</v>
      </c>
      <c r="E463" s="15">
        <v>825</v>
      </c>
      <c r="F463" s="15">
        <v>0</v>
      </c>
      <c r="G463" s="15">
        <v>0</v>
      </c>
      <c r="H463" s="15">
        <v>0</v>
      </c>
      <c r="I463" s="15">
        <v>0</v>
      </c>
      <c r="J463" s="15">
        <v>0</v>
      </c>
      <c r="K463" s="15">
        <v>0</v>
      </c>
      <c r="L463" s="15">
        <v>0</v>
      </c>
      <c r="M463" s="15">
        <v>0</v>
      </c>
      <c r="N463" s="15" t="s">
        <v>3028</v>
      </c>
      <c r="O463" s="9" t="s">
        <v>3028</v>
      </c>
    </row>
    <row r="464" spans="1:15" x14ac:dyDescent="0.2">
      <c r="A464" s="10" t="s">
        <v>1191</v>
      </c>
      <c r="B464" s="15">
        <v>0</v>
      </c>
      <c r="C464" s="15">
        <v>0</v>
      </c>
      <c r="D464" s="15">
        <v>0</v>
      </c>
      <c r="E464" s="15">
        <v>825</v>
      </c>
      <c r="F464" s="15">
        <v>0</v>
      </c>
      <c r="G464" s="15">
        <v>0</v>
      </c>
      <c r="H464" s="15">
        <v>0</v>
      </c>
      <c r="I464" s="15">
        <v>0</v>
      </c>
      <c r="J464" s="15">
        <v>0</v>
      </c>
      <c r="K464" s="15">
        <v>0</v>
      </c>
      <c r="L464" s="15">
        <v>0</v>
      </c>
      <c r="M464" s="15">
        <v>0</v>
      </c>
      <c r="N464" s="15" t="s">
        <v>3028</v>
      </c>
      <c r="O464" s="9" t="s">
        <v>3028</v>
      </c>
    </row>
    <row r="465" spans="1:15" x14ac:dyDescent="0.2">
      <c r="A465" s="10" t="s">
        <v>1195</v>
      </c>
      <c r="B465" s="15">
        <v>0</v>
      </c>
      <c r="C465" s="15">
        <v>0</v>
      </c>
      <c r="D465" s="15">
        <v>0</v>
      </c>
      <c r="E465" s="15">
        <v>825</v>
      </c>
      <c r="F465" s="15">
        <v>0</v>
      </c>
      <c r="G465" s="15">
        <v>0</v>
      </c>
      <c r="H465" s="15">
        <v>0</v>
      </c>
      <c r="I465" s="15">
        <v>0</v>
      </c>
      <c r="J465" s="15">
        <v>458.53</v>
      </c>
      <c r="K465" s="15">
        <v>0</v>
      </c>
      <c r="L465" s="15">
        <v>0</v>
      </c>
      <c r="M465" s="15">
        <v>0</v>
      </c>
      <c r="N465" s="15" t="s">
        <v>3028</v>
      </c>
      <c r="O465" s="9" t="s">
        <v>3028</v>
      </c>
    </row>
    <row r="466" spans="1:15" x14ac:dyDescent="0.2">
      <c r="A466" s="10" t="s">
        <v>1197</v>
      </c>
      <c r="B466" s="15">
        <v>0</v>
      </c>
      <c r="C466" s="15">
        <v>0</v>
      </c>
      <c r="D466" s="15">
        <v>0</v>
      </c>
      <c r="E466" s="15">
        <v>825</v>
      </c>
      <c r="F466" s="15">
        <v>0</v>
      </c>
      <c r="G466" s="15">
        <v>0</v>
      </c>
      <c r="H466" s="15">
        <v>0</v>
      </c>
      <c r="I466" s="15">
        <v>0</v>
      </c>
      <c r="J466" s="15">
        <v>0</v>
      </c>
      <c r="K466" s="15">
        <v>0</v>
      </c>
      <c r="L466" s="15">
        <v>0</v>
      </c>
      <c r="M466" s="15">
        <v>0</v>
      </c>
      <c r="N466" s="15" t="s">
        <v>3028</v>
      </c>
      <c r="O466" s="9" t="s">
        <v>3028</v>
      </c>
    </row>
    <row r="467" spans="1:15" x14ac:dyDescent="0.2">
      <c r="A467" s="10" t="s">
        <v>1199</v>
      </c>
      <c r="B467" s="15">
        <v>0</v>
      </c>
      <c r="C467" s="15">
        <v>0</v>
      </c>
      <c r="D467" s="15">
        <v>0</v>
      </c>
      <c r="E467" s="15">
        <v>825</v>
      </c>
      <c r="F467" s="15">
        <v>0</v>
      </c>
      <c r="G467" s="15">
        <v>0</v>
      </c>
      <c r="H467" s="15">
        <v>0</v>
      </c>
      <c r="I467" s="15">
        <v>0</v>
      </c>
      <c r="J467" s="15">
        <v>0</v>
      </c>
      <c r="K467" s="15">
        <v>0</v>
      </c>
      <c r="L467" s="15">
        <v>0</v>
      </c>
      <c r="M467" s="15">
        <v>0</v>
      </c>
      <c r="N467" s="15" t="s">
        <v>3028</v>
      </c>
      <c r="O467" s="9" t="s">
        <v>3028</v>
      </c>
    </row>
    <row r="468" spans="1:15" x14ac:dyDescent="0.2">
      <c r="A468" s="10" t="s">
        <v>1203</v>
      </c>
      <c r="B468" s="15">
        <v>0</v>
      </c>
      <c r="C468" s="15">
        <v>0</v>
      </c>
      <c r="D468" s="15">
        <v>605</v>
      </c>
      <c r="E468" s="15">
        <v>0</v>
      </c>
      <c r="F468" s="15">
        <v>0</v>
      </c>
      <c r="G468" s="15">
        <v>0</v>
      </c>
      <c r="H468" s="15">
        <v>0</v>
      </c>
      <c r="I468" s="15">
        <v>0</v>
      </c>
      <c r="J468" s="15">
        <v>0</v>
      </c>
      <c r="K468" s="15">
        <v>0</v>
      </c>
      <c r="L468" s="15">
        <v>0</v>
      </c>
      <c r="M468" s="15">
        <v>0</v>
      </c>
      <c r="N468" s="15" t="s">
        <v>3028</v>
      </c>
      <c r="O468" s="9" t="s">
        <v>3028</v>
      </c>
    </row>
    <row r="469" spans="1:15" x14ac:dyDescent="0.2">
      <c r="A469" s="10" t="s">
        <v>1207</v>
      </c>
      <c r="B469" s="15">
        <v>0</v>
      </c>
      <c r="C469" s="15">
        <v>0</v>
      </c>
      <c r="D469" s="15">
        <v>0</v>
      </c>
      <c r="E469" s="15">
        <v>825</v>
      </c>
      <c r="F469" s="15">
        <v>0</v>
      </c>
      <c r="G469" s="15">
        <v>0</v>
      </c>
      <c r="H469" s="15">
        <v>0</v>
      </c>
      <c r="I469" s="15">
        <v>0</v>
      </c>
      <c r="J469" s="15">
        <v>0</v>
      </c>
      <c r="K469" s="15">
        <v>0</v>
      </c>
      <c r="L469" s="15">
        <v>0</v>
      </c>
      <c r="M469" s="15">
        <v>0</v>
      </c>
      <c r="N469" s="15" t="s">
        <v>3028</v>
      </c>
      <c r="O469" s="9" t="s">
        <v>3028</v>
      </c>
    </row>
    <row r="470" spans="1:15" x14ac:dyDescent="0.2">
      <c r="A470" s="10" t="s">
        <v>1209</v>
      </c>
      <c r="B470" s="15">
        <v>0</v>
      </c>
      <c r="C470" s="15">
        <v>0</v>
      </c>
      <c r="D470" s="15">
        <v>0</v>
      </c>
      <c r="E470" s="15">
        <v>825</v>
      </c>
      <c r="F470" s="15">
        <v>0</v>
      </c>
      <c r="G470" s="15">
        <v>0</v>
      </c>
      <c r="H470" s="15">
        <v>0</v>
      </c>
      <c r="I470" s="15">
        <v>0</v>
      </c>
      <c r="J470" s="15">
        <v>0</v>
      </c>
      <c r="K470" s="15">
        <v>0</v>
      </c>
      <c r="L470" s="15">
        <v>0</v>
      </c>
      <c r="M470" s="15">
        <v>0</v>
      </c>
      <c r="N470" s="15" t="s">
        <v>3028</v>
      </c>
      <c r="O470" s="9" t="s">
        <v>3028</v>
      </c>
    </row>
    <row r="471" spans="1:15" x14ac:dyDescent="0.2">
      <c r="A471" s="10" t="s">
        <v>1211</v>
      </c>
      <c r="B471" s="15">
        <v>0</v>
      </c>
      <c r="C471" s="15">
        <v>0</v>
      </c>
      <c r="D471" s="15">
        <v>0</v>
      </c>
      <c r="E471" s="15">
        <v>825</v>
      </c>
      <c r="F471" s="15">
        <v>0</v>
      </c>
      <c r="G471" s="15">
        <v>0</v>
      </c>
      <c r="H471" s="15">
        <v>0</v>
      </c>
      <c r="I471" s="15">
        <v>0</v>
      </c>
      <c r="J471" s="15">
        <v>0</v>
      </c>
      <c r="K471" s="15">
        <v>0</v>
      </c>
      <c r="L471" s="15">
        <v>0</v>
      </c>
      <c r="M471" s="15">
        <v>0</v>
      </c>
      <c r="N471" s="15" t="s">
        <v>3028</v>
      </c>
      <c r="O471" s="9" t="s">
        <v>3028</v>
      </c>
    </row>
    <row r="472" spans="1:15" x14ac:dyDescent="0.2">
      <c r="A472" s="10" t="s">
        <v>1213</v>
      </c>
      <c r="B472" s="15">
        <v>0</v>
      </c>
      <c r="C472" s="15">
        <v>0</v>
      </c>
      <c r="D472" s="15">
        <v>0</v>
      </c>
      <c r="E472" s="15">
        <v>825</v>
      </c>
      <c r="F472" s="15">
        <v>0</v>
      </c>
      <c r="G472" s="15">
        <v>0</v>
      </c>
      <c r="H472" s="15">
        <v>0</v>
      </c>
      <c r="I472" s="15">
        <v>0</v>
      </c>
      <c r="J472" s="15">
        <v>0</v>
      </c>
      <c r="K472" s="15">
        <v>0</v>
      </c>
      <c r="L472" s="15">
        <v>0</v>
      </c>
      <c r="M472" s="15">
        <v>0</v>
      </c>
      <c r="N472" s="15" t="s">
        <v>3028</v>
      </c>
      <c r="O472" s="9" t="s">
        <v>3028</v>
      </c>
    </row>
    <row r="473" spans="1:15" x14ac:dyDescent="0.2">
      <c r="A473" s="10" t="s">
        <v>1215</v>
      </c>
      <c r="B473" s="15">
        <v>0</v>
      </c>
      <c r="C473" s="15">
        <v>0</v>
      </c>
      <c r="D473" s="15">
        <v>0</v>
      </c>
      <c r="E473" s="15">
        <v>825</v>
      </c>
      <c r="F473" s="15">
        <v>0</v>
      </c>
      <c r="G473" s="15">
        <v>0</v>
      </c>
      <c r="H473" s="15">
        <v>0</v>
      </c>
      <c r="I473" s="15">
        <v>0</v>
      </c>
      <c r="J473" s="15">
        <v>0</v>
      </c>
      <c r="K473" s="15">
        <v>0</v>
      </c>
      <c r="L473" s="15">
        <v>0</v>
      </c>
      <c r="M473" s="15">
        <v>0</v>
      </c>
      <c r="N473" s="15" t="s">
        <v>3028</v>
      </c>
      <c r="O473" s="9" t="s">
        <v>3028</v>
      </c>
    </row>
    <row r="474" spans="1:15" x14ac:dyDescent="0.2">
      <c r="A474" s="10" t="s">
        <v>1217</v>
      </c>
      <c r="B474" s="15">
        <v>0</v>
      </c>
      <c r="C474" s="15">
        <v>0</v>
      </c>
      <c r="D474" s="15">
        <v>0</v>
      </c>
      <c r="E474" s="15">
        <v>495</v>
      </c>
      <c r="F474" s="15">
        <v>220</v>
      </c>
      <c r="G474" s="15">
        <v>0</v>
      </c>
      <c r="H474" s="15">
        <v>0</v>
      </c>
      <c r="I474" s="15">
        <v>0</v>
      </c>
      <c r="J474" s="15">
        <v>0</v>
      </c>
      <c r="K474" s="15">
        <v>0</v>
      </c>
      <c r="L474" s="15">
        <v>0</v>
      </c>
      <c r="M474" s="15">
        <v>0</v>
      </c>
      <c r="N474" s="15" t="s">
        <v>3028</v>
      </c>
      <c r="O474" s="9" t="s">
        <v>3028</v>
      </c>
    </row>
    <row r="475" spans="1:15" x14ac:dyDescent="0.2">
      <c r="A475" s="10" t="s">
        <v>1219</v>
      </c>
      <c r="B475" s="15">
        <v>0</v>
      </c>
      <c r="C475" s="15">
        <v>0</v>
      </c>
      <c r="D475" s="15">
        <v>0</v>
      </c>
      <c r="E475" s="15">
        <v>495</v>
      </c>
      <c r="F475" s="15">
        <v>0</v>
      </c>
      <c r="G475" s="15">
        <v>0</v>
      </c>
      <c r="H475" s="15">
        <v>0</v>
      </c>
      <c r="I475" s="15">
        <v>0</v>
      </c>
      <c r="J475" s="15">
        <v>0</v>
      </c>
      <c r="K475" s="15">
        <v>0</v>
      </c>
      <c r="L475" s="15">
        <v>0</v>
      </c>
      <c r="M475" s="15">
        <v>0</v>
      </c>
      <c r="N475" s="15" t="s">
        <v>3028</v>
      </c>
      <c r="O475" s="9" t="s">
        <v>3028</v>
      </c>
    </row>
    <row r="476" spans="1:15" x14ac:dyDescent="0.2">
      <c r="A476" s="10" t="s">
        <v>1221</v>
      </c>
      <c r="B476" s="15">
        <v>0</v>
      </c>
      <c r="C476" s="15">
        <v>0</v>
      </c>
      <c r="D476" s="15">
        <v>0</v>
      </c>
      <c r="E476" s="15">
        <v>825</v>
      </c>
      <c r="F476" s="15">
        <v>0</v>
      </c>
      <c r="G476" s="15">
        <v>0</v>
      </c>
      <c r="H476" s="15">
        <v>0</v>
      </c>
      <c r="I476" s="15">
        <v>0</v>
      </c>
      <c r="J476" s="15">
        <v>0</v>
      </c>
      <c r="K476" s="15">
        <v>0</v>
      </c>
      <c r="L476" s="15">
        <v>0</v>
      </c>
      <c r="M476" s="15">
        <v>0</v>
      </c>
      <c r="N476" s="15" t="s">
        <v>3028</v>
      </c>
      <c r="O476" s="9" t="s">
        <v>3028</v>
      </c>
    </row>
    <row r="477" spans="1:15" x14ac:dyDescent="0.2">
      <c r="A477" s="10" t="s">
        <v>1223</v>
      </c>
      <c r="B477" s="15">
        <v>0</v>
      </c>
      <c r="C477" s="15">
        <v>0</v>
      </c>
      <c r="D477" s="15">
        <v>0</v>
      </c>
      <c r="E477" s="15">
        <v>825</v>
      </c>
      <c r="F477" s="15">
        <v>0</v>
      </c>
      <c r="G477" s="15">
        <v>0</v>
      </c>
      <c r="H477" s="15">
        <v>0</v>
      </c>
      <c r="I477" s="15">
        <v>0</v>
      </c>
      <c r="J477" s="15">
        <v>0</v>
      </c>
      <c r="K477" s="15">
        <v>0</v>
      </c>
      <c r="L477" s="15">
        <v>0</v>
      </c>
      <c r="M477" s="15">
        <v>0</v>
      </c>
      <c r="N477" s="15" t="s">
        <v>3028</v>
      </c>
      <c r="O477" s="9" t="s">
        <v>3028</v>
      </c>
    </row>
    <row r="478" spans="1:15" x14ac:dyDescent="0.2">
      <c r="A478" s="10" t="s">
        <v>1225</v>
      </c>
      <c r="B478" s="15">
        <v>0</v>
      </c>
      <c r="C478" s="15">
        <v>0</v>
      </c>
      <c r="D478" s="15">
        <v>0</v>
      </c>
      <c r="E478" s="15">
        <v>495</v>
      </c>
      <c r="F478" s="15">
        <v>0</v>
      </c>
      <c r="G478" s="15">
        <v>0</v>
      </c>
      <c r="H478" s="15">
        <v>0</v>
      </c>
      <c r="I478" s="15">
        <v>0</v>
      </c>
      <c r="J478" s="15">
        <v>0</v>
      </c>
      <c r="K478" s="15">
        <v>0</v>
      </c>
      <c r="L478" s="15">
        <v>0</v>
      </c>
      <c r="M478" s="15">
        <v>0</v>
      </c>
      <c r="N478" s="15" t="s">
        <v>3028</v>
      </c>
      <c r="O478" s="9" t="s">
        <v>3028</v>
      </c>
    </row>
    <row r="479" spans="1:15" x14ac:dyDescent="0.2">
      <c r="A479" s="10" t="s">
        <v>1227</v>
      </c>
      <c r="B479" s="15">
        <v>0</v>
      </c>
      <c r="C479" s="15">
        <v>0</v>
      </c>
      <c r="D479" s="15">
        <v>0</v>
      </c>
      <c r="E479" s="15">
        <v>825</v>
      </c>
      <c r="F479" s="15">
        <v>0</v>
      </c>
      <c r="G479" s="15">
        <v>0</v>
      </c>
      <c r="H479" s="15">
        <v>0</v>
      </c>
      <c r="I479" s="15">
        <v>0</v>
      </c>
      <c r="J479" s="15">
        <v>0</v>
      </c>
      <c r="K479" s="15">
        <v>0</v>
      </c>
      <c r="L479" s="15">
        <v>0</v>
      </c>
      <c r="M479" s="15">
        <v>0</v>
      </c>
      <c r="N479" s="15" t="s">
        <v>3028</v>
      </c>
      <c r="O479" s="9" t="s">
        <v>3028</v>
      </c>
    </row>
    <row r="480" spans="1:15" x14ac:dyDescent="0.2">
      <c r="A480" s="10" t="s">
        <v>1229</v>
      </c>
      <c r="B480" s="15">
        <v>0</v>
      </c>
      <c r="C480" s="15">
        <v>0</v>
      </c>
      <c r="D480" s="15">
        <v>0</v>
      </c>
      <c r="E480" s="15">
        <v>825</v>
      </c>
      <c r="F480" s="15">
        <v>0</v>
      </c>
      <c r="G480" s="15">
        <v>0</v>
      </c>
      <c r="H480" s="15">
        <v>0</v>
      </c>
      <c r="I480" s="15">
        <v>0</v>
      </c>
      <c r="J480" s="15">
        <v>0</v>
      </c>
      <c r="K480" s="15">
        <v>0</v>
      </c>
      <c r="L480" s="15">
        <v>0</v>
      </c>
      <c r="M480" s="15">
        <v>0</v>
      </c>
      <c r="N480" s="15" t="s">
        <v>3028</v>
      </c>
      <c r="O480" s="9" t="s">
        <v>3028</v>
      </c>
    </row>
    <row r="481" spans="1:15" x14ac:dyDescent="0.2">
      <c r="A481" s="10" t="s">
        <v>1231</v>
      </c>
      <c r="B481" s="15">
        <v>0</v>
      </c>
      <c r="C481" s="15">
        <v>0</v>
      </c>
      <c r="D481" s="15">
        <v>0</v>
      </c>
      <c r="E481" s="15">
        <v>495</v>
      </c>
      <c r="F481" s="15">
        <v>0</v>
      </c>
      <c r="G481" s="15">
        <v>0</v>
      </c>
      <c r="H481" s="15">
        <v>0</v>
      </c>
      <c r="I481" s="15">
        <v>0</v>
      </c>
      <c r="J481" s="15">
        <v>0</v>
      </c>
      <c r="K481" s="15">
        <v>0</v>
      </c>
      <c r="L481" s="15">
        <v>0</v>
      </c>
      <c r="M481" s="15">
        <v>0</v>
      </c>
      <c r="N481" s="15" t="s">
        <v>3028</v>
      </c>
      <c r="O481" s="9" t="s">
        <v>3028</v>
      </c>
    </row>
    <row r="482" spans="1:15" x14ac:dyDescent="0.2">
      <c r="A482" s="10" t="s">
        <v>1233</v>
      </c>
      <c r="B482" s="15">
        <v>0</v>
      </c>
      <c r="C482" s="15">
        <v>0</v>
      </c>
      <c r="D482" s="15">
        <v>0</v>
      </c>
      <c r="E482" s="15">
        <v>0</v>
      </c>
      <c r="F482" s="15">
        <v>0</v>
      </c>
      <c r="G482" s="15">
        <v>0</v>
      </c>
      <c r="H482" s="15">
        <v>0</v>
      </c>
      <c r="I482" s="15">
        <v>0</v>
      </c>
      <c r="J482" s="15">
        <v>0</v>
      </c>
      <c r="K482" s="15">
        <v>641.66999999999996</v>
      </c>
      <c r="L482" s="15">
        <v>0</v>
      </c>
      <c r="M482" s="15">
        <v>0</v>
      </c>
      <c r="N482" s="15" t="s">
        <v>3028</v>
      </c>
      <c r="O482" s="9" t="s">
        <v>3028</v>
      </c>
    </row>
    <row r="483" spans="1:15" x14ac:dyDescent="0.2">
      <c r="A483" s="10" t="s">
        <v>1235</v>
      </c>
      <c r="B483" s="15">
        <v>0</v>
      </c>
      <c r="C483" s="15">
        <v>0</v>
      </c>
      <c r="D483" s="15">
        <v>0</v>
      </c>
      <c r="E483" s="15">
        <v>825</v>
      </c>
      <c r="F483" s="15">
        <v>0</v>
      </c>
      <c r="G483" s="15">
        <v>0</v>
      </c>
      <c r="H483" s="15">
        <v>0</v>
      </c>
      <c r="I483" s="15">
        <v>0</v>
      </c>
      <c r="J483" s="15">
        <v>0</v>
      </c>
      <c r="K483" s="15">
        <v>0</v>
      </c>
      <c r="L483" s="15">
        <v>0</v>
      </c>
      <c r="M483" s="15">
        <v>0</v>
      </c>
      <c r="N483" s="15" t="s">
        <v>3028</v>
      </c>
      <c r="O483" s="9" t="s">
        <v>3028</v>
      </c>
    </row>
    <row r="484" spans="1:15" x14ac:dyDescent="0.2">
      <c r="A484" s="10" t="s">
        <v>1237</v>
      </c>
      <c r="B484" s="15">
        <v>0</v>
      </c>
      <c r="C484" s="15">
        <v>0</v>
      </c>
      <c r="D484" s="15">
        <v>0</v>
      </c>
      <c r="E484" s="15">
        <v>495</v>
      </c>
      <c r="F484" s="15">
        <v>0</v>
      </c>
      <c r="G484" s="15">
        <v>0</v>
      </c>
      <c r="H484" s="15">
        <v>0</v>
      </c>
      <c r="I484" s="15">
        <v>0</v>
      </c>
      <c r="J484" s="15">
        <v>0</v>
      </c>
      <c r="K484" s="15">
        <v>0</v>
      </c>
      <c r="L484" s="15">
        <v>0</v>
      </c>
      <c r="M484" s="15">
        <v>0</v>
      </c>
      <c r="N484" s="15" t="s">
        <v>3028</v>
      </c>
      <c r="O484" s="9" t="s">
        <v>3028</v>
      </c>
    </row>
    <row r="485" spans="1:15" x14ac:dyDescent="0.2">
      <c r="A485" s="10" t="s">
        <v>1239</v>
      </c>
      <c r="B485" s="15">
        <v>0</v>
      </c>
      <c r="C485" s="15">
        <v>0</v>
      </c>
      <c r="D485" s="15">
        <v>0</v>
      </c>
      <c r="E485" s="15">
        <v>825</v>
      </c>
      <c r="F485" s="15">
        <v>0</v>
      </c>
      <c r="G485" s="15">
        <v>0</v>
      </c>
      <c r="H485" s="15">
        <v>0</v>
      </c>
      <c r="I485" s="15">
        <v>0</v>
      </c>
      <c r="J485" s="15">
        <v>0</v>
      </c>
      <c r="K485" s="15">
        <v>0</v>
      </c>
      <c r="L485" s="15">
        <v>0</v>
      </c>
      <c r="M485" s="15">
        <v>0</v>
      </c>
      <c r="N485" s="15" t="s">
        <v>3028</v>
      </c>
      <c r="O485" s="9" t="s">
        <v>3028</v>
      </c>
    </row>
    <row r="486" spans="1:15" x14ac:dyDescent="0.2">
      <c r="A486" s="10" t="s">
        <v>1241</v>
      </c>
      <c r="B486" s="15">
        <v>0</v>
      </c>
      <c r="C486" s="15">
        <v>0</v>
      </c>
      <c r="D486" s="15">
        <v>0</v>
      </c>
      <c r="E486" s="15">
        <v>825</v>
      </c>
      <c r="F486" s="15">
        <v>0</v>
      </c>
      <c r="G486" s="15">
        <v>0</v>
      </c>
      <c r="H486" s="15">
        <v>0</v>
      </c>
      <c r="I486" s="15">
        <v>0</v>
      </c>
      <c r="J486" s="15">
        <v>0</v>
      </c>
      <c r="K486" s="15">
        <v>0</v>
      </c>
      <c r="L486" s="15">
        <v>0</v>
      </c>
      <c r="M486" s="15">
        <v>0</v>
      </c>
      <c r="N486" s="15" t="s">
        <v>3028</v>
      </c>
      <c r="O486" s="9" t="s">
        <v>3028</v>
      </c>
    </row>
    <row r="487" spans="1:15" x14ac:dyDescent="0.2">
      <c r="A487" s="10" t="s">
        <v>1243</v>
      </c>
      <c r="B487" s="15">
        <v>0</v>
      </c>
      <c r="C487" s="15">
        <v>0</v>
      </c>
      <c r="D487" s="15">
        <v>0</v>
      </c>
      <c r="E487" s="15">
        <v>825</v>
      </c>
      <c r="F487" s="15">
        <v>0</v>
      </c>
      <c r="G487" s="15">
        <v>0</v>
      </c>
      <c r="H487" s="15">
        <v>0</v>
      </c>
      <c r="I487" s="15">
        <v>0</v>
      </c>
      <c r="J487" s="15">
        <v>0</v>
      </c>
      <c r="K487" s="15">
        <v>0</v>
      </c>
      <c r="L487" s="15">
        <v>0</v>
      </c>
      <c r="M487" s="15">
        <v>0</v>
      </c>
      <c r="N487" s="15" t="s">
        <v>3028</v>
      </c>
      <c r="O487" s="9" t="s">
        <v>3028</v>
      </c>
    </row>
    <row r="488" spans="1:15" x14ac:dyDescent="0.2">
      <c r="A488" s="10" t="s">
        <v>1245</v>
      </c>
      <c r="B488" s="15">
        <v>495</v>
      </c>
      <c r="C488" s="15">
        <v>0</v>
      </c>
      <c r="D488" s="15">
        <v>0</v>
      </c>
      <c r="E488" s="15">
        <v>0</v>
      </c>
      <c r="F488" s="15">
        <v>0</v>
      </c>
      <c r="G488" s="15">
        <v>0</v>
      </c>
      <c r="H488" s="15">
        <v>0</v>
      </c>
      <c r="I488" s="15">
        <v>0</v>
      </c>
      <c r="J488" s="15">
        <v>0</v>
      </c>
      <c r="K488" s="15">
        <v>0</v>
      </c>
      <c r="L488" s="15">
        <v>0</v>
      </c>
      <c r="M488" s="15">
        <v>0</v>
      </c>
      <c r="N488" s="15" t="s">
        <v>3028</v>
      </c>
      <c r="O488" s="9" t="s">
        <v>3028</v>
      </c>
    </row>
    <row r="489" spans="1:15" x14ac:dyDescent="0.2">
      <c r="A489" s="10" t="s">
        <v>1247</v>
      </c>
      <c r="B489" s="15">
        <v>0</v>
      </c>
      <c r="C489" s="15">
        <v>0</v>
      </c>
      <c r="D489" s="15">
        <v>0</v>
      </c>
      <c r="E489" s="15">
        <v>825</v>
      </c>
      <c r="F489" s="15">
        <v>0</v>
      </c>
      <c r="G489" s="15">
        <v>0</v>
      </c>
      <c r="H489" s="15">
        <v>0</v>
      </c>
      <c r="I489" s="15">
        <v>0</v>
      </c>
      <c r="J489" s="15">
        <v>0</v>
      </c>
      <c r="K489" s="15">
        <v>0</v>
      </c>
      <c r="L489" s="15">
        <v>0</v>
      </c>
      <c r="M489" s="15">
        <v>0</v>
      </c>
      <c r="N489" s="15" t="s">
        <v>3028</v>
      </c>
      <c r="O489" s="9" t="s">
        <v>3028</v>
      </c>
    </row>
    <row r="490" spans="1:15" x14ac:dyDescent="0.2">
      <c r="A490" s="10" t="s">
        <v>1251</v>
      </c>
      <c r="B490" s="15">
        <v>0</v>
      </c>
      <c r="C490" s="15">
        <v>0</v>
      </c>
      <c r="D490" s="15">
        <v>0</v>
      </c>
      <c r="E490" s="15">
        <v>825</v>
      </c>
      <c r="F490" s="15">
        <v>0</v>
      </c>
      <c r="G490" s="15">
        <v>0</v>
      </c>
      <c r="H490" s="15">
        <v>0</v>
      </c>
      <c r="I490" s="15">
        <v>0</v>
      </c>
      <c r="J490" s="15">
        <v>0</v>
      </c>
      <c r="K490" s="15">
        <v>0</v>
      </c>
      <c r="L490" s="15">
        <v>0</v>
      </c>
      <c r="M490" s="15">
        <v>0</v>
      </c>
      <c r="N490" s="15" t="s">
        <v>3028</v>
      </c>
      <c r="O490" s="9" t="s">
        <v>3028</v>
      </c>
    </row>
    <row r="491" spans="1:15" x14ac:dyDescent="0.2">
      <c r="A491" s="10" t="s">
        <v>1255</v>
      </c>
      <c r="B491" s="15">
        <v>0</v>
      </c>
      <c r="C491" s="15">
        <v>0</v>
      </c>
      <c r="D491" s="15">
        <v>0</v>
      </c>
      <c r="E491" s="15">
        <v>825</v>
      </c>
      <c r="F491" s="15">
        <v>0</v>
      </c>
      <c r="G491" s="15">
        <v>0</v>
      </c>
      <c r="H491" s="15">
        <v>0</v>
      </c>
      <c r="I491" s="15">
        <v>0</v>
      </c>
      <c r="J491" s="15">
        <v>0</v>
      </c>
      <c r="K491" s="15">
        <v>0</v>
      </c>
      <c r="L491" s="15">
        <v>0</v>
      </c>
      <c r="M491" s="15">
        <v>0</v>
      </c>
      <c r="N491" s="15" t="s">
        <v>3028</v>
      </c>
      <c r="O491" s="9" t="s">
        <v>3028</v>
      </c>
    </row>
    <row r="492" spans="1:15" x14ac:dyDescent="0.2">
      <c r="A492" s="10" t="s">
        <v>1257</v>
      </c>
      <c r="B492" s="15">
        <v>0</v>
      </c>
      <c r="C492" s="15">
        <v>0</v>
      </c>
      <c r="D492" s="15">
        <v>0</v>
      </c>
      <c r="E492" s="15">
        <v>825</v>
      </c>
      <c r="F492" s="15">
        <v>0</v>
      </c>
      <c r="G492" s="15">
        <v>0</v>
      </c>
      <c r="H492" s="15">
        <v>0</v>
      </c>
      <c r="I492" s="15">
        <v>0</v>
      </c>
      <c r="J492" s="15">
        <v>0</v>
      </c>
      <c r="K492" s="15">
        <v>0</v>
      </c>
      <c r="L492" s="15">
        <v>0</v>
      </c>
      <c r="M492" s="15">
        <v>0</v>
      </c>
      <c r="N492" s="15" t="s">
        <v>3028</v>
      </c>
      <c r="O492" s="9" t="s">
        <v>3028</v>
      </c>
    </row>
    <row r="493" spans="1:15" x14ac:dyDescent="0.2">
      <c r="A493" s="10" t="s">
        <v>1261</v>
      </c>
      <c r="B493" s="15">
        <v>0</v>
      </c>
      <c r="C493" s="15">
        <v>0</v>
      </c>
      <c r="D493" s="15">
        <v>0</v>
      </c>
      <c r="E493" s="15">
        <v>825</v>
      </c>
      <c r="F493" s="15">
        <v>0</v>
      </c>
      <c r="G493" s="15">
        <v>0</v>
      </c>
      <c r="H493" s="15">
        <v>0</v>
      </c>
      <c r="I493" s="15">
        <v>0</v>
      </c>
      <c r="J493" s="15">
        <v>0</v>
      </c>
      <c r="K493" s="15">
        <v>0</v>
      </c>
      <c r="L493" s="15">
        <v>0</v>
      </c>
      <c r="M493" s="15">
        <v>0</v>
      </c>
      <c r="N493" s="15" t="s">
        <v>3028</v>
      </c>
      <c r="O493" s="9" t="s">
        <v>3028</v>
      </c>
    </row>
    <row r="494" spans="1:15" x14ac:dyDescent="0.2">
      <c r="A494" s="10" t="s">
        <v>1263</v>
      </c>
      <c r="B494" s="15">
        <v>0</v>
      </c>
      <c r="C494" s="15">
        <v>0</v>
      </c>
      <c r="D494" s="15">
        <v>0</v>
      </c>
      <c r="E494" s="15">
        <v>825</v>
      </c>
      <c r="F494" s="15">
        <v>0</v>
      </c>
      <c r="G494" s="15">
        <v>0</v>
      </c>
      <c r="H494" s="15">
        <v>0</v>
      </c>
      <c r="I494" s="15">
        <v>0</v>
      </c>
      <c r="J494" s="15">
        <v>0</v>
      </c>
      <c r="K494" s="15">
        <v>0</v>
      </c>
      <c r="L494" s="15">
        <v>0</v>
      </c>
      <c r="M494" s="15">
        <v>0</v>
      </c>
      <c r="N494" s="15" t="s">
        <v>3028</v>
      </c>
      <c r="O494" s="9" t="s">
        <v>3028</v>
      </c>
    </row>
    <row r="495" spans="1:15" x14ac:dyDescent="0.2">
      <c r="A495" s="10" t="s">
        <v>1265</v>
      </c>
      <c r="B495" s="15">
        <v>0</v>
      </c>
      <c r="C495" s="15">
        <v>0</v>
      </c>
      <c r="D495" s="15">
        <v>0</v>
      </c>
      <c r="E495" s="15">
        <v>825</v>
      </c>
      <c r="F495" s="15">
        <v>0</v>
      </c>
      <c r="G495" s="15">
        <v>0</v>
      </c>
      <c r="H495" s="15">
        <v>0</v>
      </c>
      <c r="I495" s="15">
        <v>0</v>
      </c>
      <c r="J495" s="15">
        <v>0</v>
      </c>
      <c r="K495" s="15">
        <v>0</v>
      </c>
      <c r="L495" s="15">
        <v>0</v>
      </c>
      <c r="M495" s="15">
        <v>0</v>
      </c>
      <c r="N495" s="15" t="s">
        <v>3028</v>
      </c>
      <c r="O495" s="9" t="s">
        <v>3028</v>
      </c>
    </row>
    <row r="496" spans="1:15" x14ac:dyDescent="0.2">
      <c r="A496" s="10" t="s">
        <v>1267</v>
      </c>
      <c r="B496" s="15">
        <v>0</v>
      </c>
      <c r="C496" s="15">
        <v>0</v>
      </c>
      <c r="D496" s="15">
        <v>0</v>
      </c>
      <c r="E496" s="15">
        <v>55</v>
      </c>
      <c r="F496" s="15">
        <v>0</v>
      </c>
      <c r="G496" s="15">
        <v>0</v>
      </c>
      <c r="H496" s="15">
        <v>0</v>
      </c>
      <c r="I496" s="15">
        <v>0</v>
      </c>
      <c r="J496" s="15">
        <v>0</v>
      </c>
      <c r="K496" s="15">
        <v>0</v>
      </c>
      <c r="L496" s="15">
        <v>0</v>
      </c>
      <c r="M496" s="15">
        <v>0</v>
      </c>
      <c r="N496" s="15" t="s">
        <v>3028</v>
      </c>
      <c r="O496" s="9" t="s">
        <v>3028</v>
      </c>
    </row>
    <row r="497" spans="1:15" x14ac:dyDescent="0.2">
      <c r="A497" s="10" t="s">
        <v>1271</v>
      </c>
      <c r="B497" s="15">
        <v>0</v>
      </c>
      <c r="C497" s="15">
        <v>0</v>
      </c>
      <c r="D497" s="15">
        <v>0</v>
      </c>
      <c r="E497" s="15">
        <v>825</v>
      </c>
      <c r="F497" s="15">
        <v>0</v>
      </c>
      <c r="G497" s="15">
        <v>0</v>
      </c>
      <c r="H497" s="15">
        <v>0</v>
      </c>
      <c r="I497" s="15">
        <v>0</v>
      </c>
      <c r="J497" s="15">
        <v>0</v>
      </c>
      <c r="K497" s="15">
        <v>0</v>
      </c>
      <c r="L497" s="15">
        <v>0</v>
      </c>
      <c r="M497" s="15">
        <v>0</v>
      </c>
      <c r="N497" s="15" t="s">
        <v>3028</v>
      </c>
      <c r="O497" s="9" t="s">
        <v>3028</v>
      </c>
    </row>
    <row r="498" spans="1:15" x14ac:dyDescent="0.2">
      <c r="A498" s="10" t="s">
        <v>1273</v>
      </c>
      <c r="B498" s="15">
        <v>0</v>
      </c>
      <c r="C498" s="15">
        <v>0</v>
      </c>
      <c r="D498" s="15">
        <v>0</v>
      </c>
      <c r="E498" s="15">
        <v>495</v>
      </c>
      <c r="F498" s="15">
        <v>0</v>
      </c>
      <c r="G498" s="15">
        <v>0</v>
      </c>
      <c r="H498" s="15">
        <v>0</v>
      </c>
      <c r="I498" s="15">
        <v>0</v>
      </c>
      <c r="J498" s="15">
        <v>0</v>
      </c>
      <c r="K498" s="15">
        <v>0</v>
      </c>
      <c r="L498" s="15">
        <v>0</v>
      </c>
      <c r="M498" s="15">
        <v>0</v>
      </c>
      <c r="N498" s="15" t="s">
        <v>3028</v>
      </c>
      <c r="O498" s="9" t="s">
        <v>3028</v>
      </c>
    </row>
    <row r="499" spans="1:15" x14ac:dyDescent="0.2">
      <c r="A499" s="10" t="s">
        <v>1275</v>
      </c>
      <c r="B499" s="15">
        <v>0</v>
      </c>
      <c r="C499" s="15">
        <v>0</v>
      </c>
      <c r="D499" s="15">
        <v>0</v>
      </c>
      <c r="E499" s="15">
        <v>825</v>
      </c>
      <c r="F499" s="15">
        <v>0</v>
      </c>
      <c r="G499" s="15">
        <v>0</v>
      </c>
      <c r="H499" s="15">
        <v>0</v>
      </c>
      <c r="I499" s="15">
        <v>0</v>
      </c>
      <c r="J499" s="15">
        <v>0</v>
      </c>
      <c r="K499" s="15">
        <v>0</v>
      </c>
      <c r="L499" s="15">
        <v>0</v>
      </c>
      <c r="M499" s="15">
        <v>0</v>
      </c>
      <c r="N499" s="15" t="s">
        <v>3028</v>
      </c>
      <c r="O499" s="9" t="s">
        <v>3028</v>
      </c>
    </row>
    <row r="500" spans="1:15" x14ac:dyDescent="0.2">
      <c r="A500" s="10" t="s">
        <v>1277</v>
      </c>
      <c r="B500" s="15">
        <v>0</v>
      </c>
      <c r="C500" s="15">
        <v>0</v>
      </c>
      <c r="D500" s="15">
        <v>0</v>
      </c>
      <c r="E500" s="15">
        <v>275</v>
      </c>
      <c r="F500" s="15">
        <v>0</v>
      </c>
      <c r="G500" s="15">
        <v>0</v>
      </c>
      <c r="H500" s="15">
        <v>550</v>
      </c>
      <c r="I500" s="15">
        <v>0</v>
      </c>
      <c r="J500" s="15">
        <v>0</v>
      </c>
      <c r="K500" s="15">
        <v>0</v>
      </c>
      <c r="L500" s="15">
        <v>0</v>
      </c>
      <c r="M500" s="15">
        <v>0</v>
      </c>
      <c r="N500" s="15" t="s">
        <v>3028</v>
      </c>
      <c r="O500" s="9" t="s">
        <v>3028</v>
      </c>
    </row>
    <row r="501" spans="1:15" x14ac:dyDescent="0.2">
      <c r="A501" s="10" t="s">
        <v>1279</v>
      </c>
      <c r="B501" s="15">
        <v>0</v>
      </c>
      <c r="C501" s="15">
        <v>0</v>
      </c>
      <c r="D501" s="15">
        <v>0</v>
      </c>
      <c r="E501" s="15">
        <v>495</v>
      </c>
      <c r="F501" s="15">
        <v>0</v>
      </c>
      <c r="G501" s="15">
        <v>0</v>
      </c>
      <c r="H501" s="15">
        <v>0</v>
      </c>
      <c r="I501" s="15">
        <v>0</v>
      </c>
      <c r="J501" s="15">
        <v>0</v>
      </c>
      <c r="K501" s="15">
        <v>0</v>
      </c>
      <c r="L501" s="15">
        <v>0</v>
      </c>
      <c r="M501" s="15">
        <v>0</v>
      </c>
      <c r="N501" s="15" t="s">
        <v>3028</v>
      </c>
      <c r="O501" s="9" t="s">
        <v>3028</v>
      </c>
    </row>
    <row r="502" spans="1:15" x14ac:dyDescent="0.2">
      <c r="A502" s="10" t="s">
        <v>1281</v>
      </c>
      <c r="B502" s="15">
        <v>0</v>
      </c>
      <c r="C502" s="15">
        <v>0</v>
      </c>
      <c r="D502" s="15">
        <v>0</v>
      </c>
      <c r="E502" s="15">
        <v>825</v>
      </c>
      <c r="F502" s="15">
        <v>0</v>
      </c>
      <c r="G502" s="15">
        <v>0</v>
      </c>
      <c r="H502" s="15">
        <v>0</v>
      </c>
      <c r="I502" s="15">
        <v>0</v>
      </c>
      <c r="J502" s="15">
        <v>0</v>
      </c>
      <c r="K502" s="15">
        <v>0</v>
      </c>
      <c r="L502" s="15">
        <v>0</v>
      </c>
      <c r="M502" s="15">
        <v>0</v>
      </c>
      <c r="N502" s="15" t="s">
        <v>3028</v>
      </c>
      <c r="O502" s="9" t="s">
        <v>3028</v>
      </c>
    </row>
    <row r="503" spans="1:15" x14ac:dyDescent="0.2">
      <c r="A503" s="10" t="s">
        <v>1283</v>
      </c>
      <c r="B503" s="15">
        <v>0</v>
      </c>
      <c r="C503" s="15">
        <v>0</v>
      </c>
      <c r="D503" s="15">
        <v>0</v>
      </c>
      <c r="E503" s="15">
        <v>825</v>
      </c>
      <c r="F503" s="15">
        <v>0</v>
      </c>
      <c r="G503" s="15">
        <v>0</v>
      </c>
      <c r="H503" s="15">
        <v>0</v>
      </c>
      <c r="I503" s="15">
        <v>0</v>
      </c>
      <c r="J503" s="15">
        <v>0</v>
      </c>
      <c r="K503" s="15">
        <v>0</v>
      </c>
      <c r="L503" s="15">
        <v>0</v>
      </c>
      <c r="M503" s="15">
        <v>0</v>
      </c>
      <c r="N503" s="15" t="s">
        <v>3028</v>
      </c>
      <c r="O503" s="9" t="s">
        <v>3028</v>
      </c>
    </row>
    <row r="504" spans="1:15" x14ac:dyDescent="0.2">
      <c r="A504" s="10" t="s">
        <v>1285</v>
      </c>
      <c r="B504" s="15">
        <v>0</v>
      </c>
      <c r="C504" s="15">
        <v>0</v>
      </c>
      <c r="D504" s="15">
        <v>0</v>
      </c>
      <c r="E504" s="15">
        <v>825</v>
      </c>
      <c r="F504" s="15">
        <v>0</v>
      </c>
      <c r="G504" s="15">
        <v>0</v>
      </c>
      <c r="H504" s="15">
        <v>0</v>
      </c>
      <c r="I504" s="15">
        <v>0</v>
      </c>
      <c r="J504" s="15">
        <v>0</v>
      </c>
      <c r="K504" s="15">
        <v>0</v>
      </c>
      <c r="L504" s="15">
        <v>0</v>
      </c>
      <c r="M504" s="15">
        <v>0</v>
      </c>
      <c r="N504" s="15" t="s">
        <v>3028</v>
      </c>
      <c r="O504" s="9" t="s">
        <v>3028</v>
      </c>
    </row>
    <row r="505" spans="1:15" x14ac:dyDescent="0.2">
      <c r="A505" s="10" t="s">
        <v>1289</v>
      </c>
      <c r="B505" s="15">
        <v>0</v>
      </c>
      <c r="C505" s="15">
        <v>0</v>
      </c>
      <c r="D505" s="15">
        <v>0</v>
      </c>
      <c r="E505" s="15">
        <v>825</v>
      </c>
      <c r="F505" s="15">
        <v>0</v>
      </c>
      <c r="G505" s="15">
        <v>0</v>
      </c>
      <c r="H505" s="15">
        <v>0</v>
      </c>
      <c r="I505" s="15">
        <v>0</v>
      </c>
      <c r="J505" s="15">
        <v>0</v>
      </c>
      <c r="K505" s="15">
        <v>0</v>
      </c>
      <c r="L505" s="15">
        <v>0</v>
      </c>
      <c r="M505" s="15">
        <v>0</v>
      </c>
      <c r="N505" s="15" t="s">
        <v>3028</v>
      </c>
      <c r="O505" s="9" t="s">
        <v>3028</v>
      </c>
    </row>
    <row r="506" spans="1:15" x14ac:dyDescent="0.2">
      <c r="A506" s="10" t="s">
        <v>1291</v>
      </c>
      <c r="B506" s="15">
        <v>0</v>
      </c>
      <c r="C506" s="15">
        <v>0</v>
      </c>
      <c r="D506" s="15">
        <v>0</v>
      </c>
      <c r="E506" s="15">
        <v>825</v>
      </c>
      <c r="F506" s="15">
        <v>0</v>
      </c>
      <c r="G506" s="15">
        <v>0</v>
      </c>
      <c r="H506" s="15">
        <v>0</v>
      </c>
      <c r="I506" s="15">
        <v>0</v>
      </c>
      <c r="J506" s="15">
        <v>0</v>
      </c>
      <c r="K506" s="15">
        <v>0</v>
      </c>
      <c r="L506" s="15">
        <v>0</v>
      </c>
      <c r="M506" s="15">
        <v>0</v>
      </c>
      <c r="N506" s="15" t="s">
        <v>3028</v>
      </c>
      <c r="O506" s="9" t="s">
        <v>3028</v>
      </c>
    </row>
    <row r="507" spans="1:15" x14ac:dyDescent="0.2">
      <c r="A507" s="10" t="s">
        <v>1293</v>
      </c>
      <c r="B507" s="15">
        <v>0</v>
      </c>
      <c r="C507" s="15">
        <v>0</v>
      </c>
      <c r="D507" s="15">
        <v>0</v>
      </c>
      <c r="E507" s="15">
        <v>495</v>
      </c>
      <c r="F507" s="15">
        <v>0</v>
      </c>
      <c r="G507" s="15">
        <v>0</v>
      </c>
      <c r="H507" s="15">
        <v>0</v>
      </c>
      <c r="I507" s="15">
        <v>0</v>
      </c>
      <c r="J507" s="15">
        <v>0</v>
      </c>
      <c r="K507" s="15">
        <v>0</v>
      </c>
      <c r="L507" s="15">
        <v>0</v>
      </c>
      <c r="M507" s="15">
        <v>0</v>
      </c>
      <c r="N507" s="15" t="s">
        <v>3028</v>
      </c>
      <c r="O507" s="9" t="s">
        <v>3028</v>
      </c>
    </row>
    <row r="508" spans="1:15" x14ac:dyDescent="0.2">
      <c r="A508" s="10" t="s">
        <v>1295</v>
      </c>
      <c r="B508" s="15">
        <v>0</v>
      </c>
      <c r="C508" s="15">
        <v>0</v>
      </c>
      <c r="D508" s="15">
        <v>0</v>
      </c>
      <c r="E508" s="15">
        <v>825</v>
      </c>
      <c r="F508" s="15">
        <v>0</v>
      </c>
      <c r="G508" s="15">
        <v>0</v>
      </c>
      <c r="H508" s="15">
        <v>0</v>
      </c>
      <c r="I508" s="15">
        <v>0</v>
      </c>
      <c r="J508" s="15">
        <v>0</v>
      </c>
      <c r="K508" s="15">
        <v>0</v>
      </c>
      <c r="L508" s="15">
        <v>0</v>
      </c>
      <c r="M508" s="15">
        <v>0</v>
      </c>
      <c r="N508" s="15" t="s">
        <v>3028</v>
      </c>
      <c r="O508" s="9" t="s">
        <v>3028</v>
      </c>
    </row>
    <row r="509" spans="1:15" x14ac:dyDescent="0.2">
      <c r="A509" s="10" t="s">
        <v>1299</v>
      </c>
      <c r="B509" s="15">
        <v>0</v>
      </c>
      <c r="C509" s="15">
        <v>0</v>
      </c>
      <c r="D509" s="15">
        <v>0</v>
      </c>
      <c r="E509" s="15">
        <v>825</v>
      </c>
      <c r="F509" s="15">
        <v>0</v>
      </c>
      <c r="G509" s="15">
        <v>0</v>
      </c>
      <c r="H509" s="15">
        <v>0</v>
      </c>
      <c r="I509" s="15">
        <v>0</v>
      </c>
      <c r="J509" s="15">
        <v>0</v>
      </c>
      <c r="K509" s="15">
        <v>0</v>
      </c>
      <c r="L509" s="15">
        <v>0</v>
      </c>
      <c r="M509" s="15">
        <v>0</v>
      </c>
      <c r="N509" s="15" t="s">
        <v>3028</v>
      </c>
      <c r="O509" s="9" t="s">
        <v>3028</v>
      </c>
    </row>
    <row r="510" spans="1:15" x14ac:dyDescent="0.2">
      <c r="A510" s="10" t="s">
        <v>1304</v>
      </c>
      <c r="B510" s="15">
        <v>0</v>
      </c>
      <c r="C510" s="15">
        <v>0</v>
      </c>
      <c r="D510" s="15">
        <v>0</v>
      </c>
      <c r="E510" s="15">
        <v>495</v>
      </c>
      <c r="F510" s="15">
        <v>0</v>
      </c>
      <c r="G510" s="15">
        <v>0</v>
      </c>
      <c r="H510" s="15">
        <v>0</v>
      </c>
      <c r="I510" s="15">
        <v>0</v>
      </c>
      <c r="J510" s="15">
        <v>0</v>
      </c>
      <c r="K510" s="15">
        <v>0</v>
      </c>
      <c r="L510" s="15">
        <v>0</v>
      </c>
      <c r="M510" s="15">
        <v>0</v>
      </c>
      <c r="N510" s="15" t="s">
        <v>3028</v>
      </c>
      <c r="O510" s="9" t="s">
        <v>3028</v>
      </c>
    </row>
    <row r="511" spans="1:15" x14ac:dyDescent="0.2">
      <c r="A511" s="10" t="s">
        <v>1306</v>
      </c>
      <c r="B511" s="15">
        <v>0</v>
      </c>
      <c r="C511" s="15">
        <v>0</v>
      </c>
      <c r="D511" s="15">
        <v>0</v>
      </c>
      <c r="E511" s="15">
        <v>825</v>
      </c>
      <c r="F511" s="15">
        <v>0</v>
      </c>
      <c r="G511" s="15">
        <v>0</v>
      </c>
      <c r="H511" s="15">
        <v>0</v>
      </c>
      <c r="I511" s="15">
        <v>0</v>
      </c>
      <c r="J511" s="15">
        <v>0</v>
      </c>
      <c r="K511" s="15">
        <v>0</v>
      </c>
      <c r="L511" s="15">
        <v>0</v>
      </c>
      <c r="M511" s="15">
        <v>0</v>
      </c>
      <c r="N511" s="15" t="s">
        <v>3028</v>
      </c>
      <c r="O511" s="9" t="s">
        <v>3028</v>
      </c>
    </row>
    <row r="512" spans="1:15" x14ac:dyDescent="0.2">
      <c r="A512" s="10" t="s">
        <v>1308</v>
      </c>
      <c r="B512" s="15">
        <v>0</v>
      </c>
      <c r="C512" s="15">
        <v>0</v>
      </c>
      <c r="D512" s="15">
        <v>0</v>
      </c>
      <c r="E512" s="15">
        <v>825</v>
      </c>
      <c r="F512" s="15">
        <v>0</v>
      </c>
      <c r="G512" s="15">
        <v>0</v>
      </c>
      <c r="H512" s="15">
        <v>0</v>
      </c>
      <c r="I512" s="15">
        <v>0</v>
      </c>
      <c r="J512" s="15">
        <v>0</v>
      </c>
      <c r="K512" s="15">
        <v>0</v>
      </c>
      <c r="L512" s="15">
        <v>0</v>
      </c>
      <c r="M512" s="15">
        <v>0</v>
      </c>
      <c r="N512" s="15" t="s">
        <v>3028</v>
      </c>
      <c r="O512" s="9" t="s">
        <v>3028</v>
      </c>
    </row>
    <row r="513" spans="1:15" x14ac:dyDescent="0.2">
      <c r="A513" s="10" t="s">
        <v>1312</v>
      </c>
      <c r="B513" s="15">
        <v>0</v>
      </c>
      <c r="C513" s="15">
        <v>0</v>
      </c>
      <c r="D513" s="15">
        <v>0</v>
      </c>
      <c r="E513" s="15">
        <v>495</v>
      </c>
      <c r="F513" s="15">
        <v>0</v>
      </c>
      <c r="G513" s="15">
        <v>0</v>
      </c>
      <c r="H513" s="15">
        <v>0</v>
      </c>
      <c r="I513" s="15">
        <v>0</v>
      </c>
      <c r="J513" s="15">
        <v>0</v>
      </c>
      <c r="K513" s="15">
        <v>0</v>
      </c>
      <c r="L513" s="15">
        <v>0</v>
      </c>
      <c r="M513" s="15">
        <v>0</v>
      </c>
      <c r="N513" s="15" t="s">
        <v>3028</v>
      </c>
      <c r="O513" s="9" t="s">
        <v>3028</v>
      </c>
    </row>
    <row r="514" spans="1:15" x14ac:dyDescent="0.2">
      <c r="A514" s="10" t="s">
        <v>1318</v>
      </c>
      <c r="B514" s="15">
        <v>0</v>
      </c>
      <c r="C514" s="15">
        <v>0</v>
      </c>
      <c r="D514" s="15">
        <v>0</v>
      </c>
      <c r="E514" s="15">
        <v>825</v>
      </c>
      <c r="F514" s="15">
        <v>0</v>
      </c>
      <c r="G514" s="15">
        <v>0</v>
      </c>
      <c r="H514" s="15">
        <v>0</v>
      </c>
      <c r="I514" s="15">
        <v>0</v>
      </c>
      <c r="J514" s="15">
        <v>0</v>
      </c>
      <c r="K514" s="15">
        <v>0</v>
      </c>
      <c r="L514" s="15">
        <v>0</v>
      </c>
      <c r="M514" s="15">
        <v>0</v>
      </c>
      <c r="N514" s="15" t="s">
        <v>3028</v>
      </c>
      <c r="O514" s="9" t="s">
        <v>3028</v>
      </c>
    </row>
    <row r="515" spans="1:15" x14ac:dyDescent="0.2">
      <c r="A515" s="10" t="s">
        <v>1320</v>
      </c>
      <c r="B515" s="15">
        <v>0</v>
      </c>
      <c r="C515" s="15">
        <v>0</v>
      </c>
      <c r="D515" s="15">
        <v>0</v>
      </c>
      <c r="E515" s="15">
        <v>825</v>
      </c>
      <c r="F515" s="15">
        <v>0</v>
      </c>
      <c r="G515" s="15">
        <v>0</v>
      </c>
      <c r="H515" s="15">
        <v>0</v>
      </c>
      <c r="I515" s="15">
        <v>0</v>
      </c>
      <c r="J515" s="15">
        <v>0</v>
      </c>
      <c r="K515" s="15">
        <v>0</v>
      </c>
      <c r="L515" s="15">
        <v>0</v>
      </c>
      <c r="M515" s="15">
        <v>0</v>
      </c>
      <c r="N515" s="15" t="s">
        <v>3028</v>
      </c>
      <c r="O515" s="9" t="s">
        <v>3028</v>
      </c>
    </row>
    <row r="516" spans="1:15" x14ac:dyDescent="0.2">
      <c r="A516" s="10" t="s">
        <v>1324</v>
      </c>
      <c r="B516" s="15">
        <v>0</v>
      </c>
      <c r="C516" s="15">
        <v>0</v>
      </c>
      <c r="D516" s="15">
        <v>0</v>
      </c>
      <c r="E516" s="15">
        <v>825</v>
      </c>
      <c r="F516" s="15">
        <v>0</v>
      </c>
      <c r="G516" s="15">
        <v>0</v>
      </c>
      <c r="H516" s="15">
        <v>0</v>
      </c>
      <c r="I516" s="15">
        <v>0</v>
      </c>
      <c r="J516" s="15">
        <v>0</v>
      </c>
      <c r="K516" s="15">
        <v>0</v>
      </c>
      <c r="L516" s="15">
        <v>0</v>
      </c>
      <c r="M516" s="15">
        <v>0</v>
      </c>
      <c r="N516" s="15" t="s">
        <v>3028</v>
      </c>
      <c r="O516" s="9" t="s">
        <v>3028</v>
      </c>
    </row>
    <row r="517" spans="1:15" x14ac:dyDescent="0.2">
      <c r="A517" s="10" t="s">
        <v>1326</v>
      </c>
      <c r="B517" s="15">
        <v>0</v>
      </c>
      <c r="C517" s="15">
        <v>0</v>
      </c>
      <c r="D517" s="15">
        <v>825</v>
      </c>
      <c r="E517" s="15">
        <v>0</v>
      </c>
      <c r="F517" s="15">
        <v>0</v>
      </c>
      <c r="G517" s="15">
        <v>0</v>
      </c>
      <c r="H517" s="15">
        <v>0</v>
      </c>
      <c r="I517" s="15">
        <v>0</v>
      </c>
      <c r="J517" s="15">
        <v>0</v>
      </c>
      <c r="K517" s="15">
        <v>0</v>
      </c>
      <c r="L517" s="15">
        <v>0</v>
      </c>
      <c r="M517" s="15">
        <v>0</v>
      </c>
      <c r="N517" s="15" t="s">
        <v>3028</v>
      </c>
      <c r="O517" s="9" t="s">
        <v>3028</v>
      </c>
    </row>
    <row r="518" spans="1:15" x14ac:dyDescent="0.2">
      <c r="A518" s="10" t="s">
        <v>1328</v>
      </c>
      <c r="B518" s="15">
        <v>0</v>
      </c>
      <c r="C518" s="15">
        <v>0</v>
      </c>
      <c r="D518" s="15">
        <v>0</v>
      </c>
      <c r="E518" s="15">
        <v>495</v>
      </c>
      <c r="F518" s="15">
        <v>0</v>
      </c>
      <c r="G518" s="15">
        <v>0</v>
      </c>
      <c r="H518" s="15">
        <v>0</v>
      </c>
      <c r="I518" s="15">
        <v>0</v>
      </c>
      <c r="J518" s="15">
        <v>0</v>
      </c>
      <c r="K518" s="15">
        <v>0</v>
      </c>
      <c r="L518" s="15">
        <v>0</v>
      </c>
      <c r="M518" s="15">
        <v>0</v>
      </c>
      <c r="N518" s="15" t="s">
        <v>3028</v>
      </c>
      <c r="O518" s="9" t="s">
        <v>3028</v>
      </c>
    </row>
    <row r="519" spans="1:15" x14ac:dyDescent="0.2">
      <c r="A519" s="10" t="s">
        <v>1332</v>
      </c>
      <c r="B519" s="15">
        <v>0</v>
      </c>
      <c r="C519" s="15">
        <v>0</v>
      </c>
      <c r="D519" s="15">
        <v>0</v>
      </c>
      <c r="E519" s="15">
        <v>110</v>
      </c>
      <c r="F519" s="15">
        <v>0</v>
      </c>
      <c r="G519" s="15">
        <v>0</v>
      </c>
      <c r="H519" s="15">
        <v>0</v>
      </c>
      <c r="I519" s="15">
        <v>0</v>
      </c>
      <c r="J519" s="15">
        <v>0</v>
      </c>
      <c r="K519" s="15">
        <v>0</v>
      </c>
      <c r="L519" s="15">
        <v>0</v>
      </c>
      <c r="M519" s="15">
        <v>0</v>
      </c>
      <c r="N519" s="15" t="s">
        <v>3028</v>
      </c>
      <c r="O519" s="9" t="s">
        <v>3028</v>
      </c>
    </row>
    <row r="520" spans="1:15" x14ac:dyDescent="0.2">
      <c r="A520" s="10" t="s">
        <v>1336</v>
      </c>
      <c r="B520" s="15">
        <v>0</v>
      </c>
      <c r="C520" s="15">
        <v>0</v>
      </c>
      <c r="D520" s="15">
        <v>0</v>
      </c>
      <c r="E520" s="15">
        <v>825</v>
      </c>
      <c r="F520" s="15">
        <v>0</v>
      </c>
      <c r="G520" s="15">
        <v>0</v>
      </c>
      <c r="H520" s="15">
        <v>0</v>
      </c>
      <c r="I520" s="15">
        <v>0</v>
      </c>
      <c r="J520" s="15">
        <v>0</v>
      </c>
      <c r="K520" s="15">
        <v>0</v>
      </c>
      <c r="L520" s="15">
        <v>0</v>
      </c>
      <c r="M520" s="15">
        <v>0</v>
      </c>
      <c r="N520" s="15" t="s">
        <v>3028</v>
      </c>
      <c r="O520" s="9" t="s">
        <v>3028</v>
      </c>
    </row>
    <row r="521" spans="1:15" x14ac:dyDescent="0.2">
      <c r="A521" s="10" t="s">
        <v>1338</v>
      </c>
      <c r="B521" s="15">
        <v>0</v>
      </c>
      <c r="C521" s="15">
        <v>0</v>
      </c>
      <c r="D521" s="15">
        <v>0</v>
      </c>
      <c r="E521" s="15">
        <v>825</v>
      </c>
      <c r="F521" s="15">
        <v>0</v>
      </c>
      <c r="G521" s="15">
        <v>0</v>
      </c>
      <c r="H521" s="15">
        <v>0</v>
      </c>
      <c r="I521" s="15">
        <v>0</v>
      </c>
      <c r="J521" s="15">
        <v>0</v>
      </c>
      <c r="K521" s="15">
        <v>0</v>
      </c>
      <c r="L521" s="15">
        <v>0</v>
      </c>
      <c r="M521" s="15">
        <v>0</v>
      </c>
      <c r="N521" s="15" t="s">
        <v>3028</v>
      </c>
      <c r="O521" s="9" t="s">
        <v>3028</v>
      </c>
    </row>
    <row r="522" spans="1:15" x14ac:dyDescent="0.2">
      <c r="A522" s="10" t="s">
        <v>1340</v>
      </c>
      <c r="B522" s="15">
        <v>0</v>
      </c>
      <c r="C522" s="15">
        <v>0</v>
      </c>
      <c r="D522" s="15">
        <v>0</v>
      </c>
      <c r="E522" s="15">
        <v>183.33</v>
      </c>
      <c r="F522" s="15">
        <v>0</v>
      </c>
      <c r="G522" s="15">
        <v>0</v>
      </c>
      <c r="H522" s="15">
        <v>0</v>
      </c>
      <c r="I522" s="15">
        <v>0</v>
      </c>
      <c r="J522" s="15">
        <v>0</v>
      </c>
      <c r="K522" s="15">
        <v>0</v>
      </c>
      <c r="L522" s="15">
        <v>0</v>
      </c>
      <c r="M522" s="15">
        <v>0</v>
      </c>
      <c r="N522" s="15" t="s">
        <v>3028</v>
      </c>
      <c r="O522" s="9" t="s">
        <v>3028</v>
      </c>
    </row>
    <row r="523" spans="1:15" x14ac:dyDescent="0.2">
      <c r="A523" s="10" t="s">
        <v>1342</v>
      </c>
      <c r="B523" s="15">
        <v>0</v>
      </c>
      <c r="C523" s="15">
        <v>0</v>
      </c>
      <c r="D523" s="15">
        <v>0</v>
      </c>
      <c r="E523" s="15">
        <v>440</v>
      </c>
      <c r="F523" s="15">
        <v>0</v>
      </c>
      <c r="G523" s="15">
        <v>0</v>
      </c>
      <c r="H523" s="15">
        <v>0</v>
      </c>
      <c r="I523" s="15">
        <v>0</v>
      </c>
      <c r="J523" s="15">
        <v>0</v>
      </c>
      <c r="K523" s="15">
        <v>0</v>
      </c>
      <c r="L523" s="15">
        <v>0</v>
      </c>
      <c r="M523" s="15">
        <v>0</v>
      </c>
      <c r="N523" s="15" t="s">
        <v>3028</v>
      </c>
      <c r="O523" s="9" t="s">
        <v>3028</v>
      </c>
    </row>
    <row r="524" spans="1:15" x14ac:dyDescent="0.2">
      <c r="A524" s="10" t="s">
        <v>1344</v>
      </c>
      <c r="B524" s="15">
        <v>0</v>
      </c>
      <c r="C524" s="15">
        <v>0</v>
      </c>
      <c r="D524" s="15">
        <v>0</v>
      </c>
      <c r="E524" s="15">
        <v>825</v>
      </c>
      <c r="F524" s="15">
        <v>0</v>
      </c>
      <c r="G524" s="15">
        <v>0</v>
      </c>
      <c r="H524" s="15">
        <v>0</v>
      </c>
      <c r="I524" s="15">
        <v>0</v>
      </c>
      <c r="J524" s="15">
        <v>0</v>
      </c>
      <c r="K524" s="15">
        <v>0</v>
      </c>
      <c r="L524" s="15">
        <v>0</v>
      </c>
      <c r="M524" s="15">
        <v>0</v>
      </c>
      <c r="N524" s="15" t="s">
        <v>3028</v>
      </c>
      <c r="O524" s="9" t="s">
        <v>3028</v>
      </c>
    </row>
    <row r="525" spans="1:15" x14ac:dyDescent="0.2">
      <c r="A525" s="10" t="s">
        <v>1346</v>
      </c>
      <c r="B525" s="15">
        <v>0</v>
      </c>
      <c r="C525" s="15">
        <v>0</v>
      </c>
      <c r="D525" s="15">
        <v>0</v>
      </c>
      <c r="E525" s="15">
        <v>825</v>
      </c>
      <c r="F525" s="15">
        <v>0</v>
      </c>
      <c r="G525" s="15">
        <v>0</v>
      </c>
      <c r="H525" s="15">
        <v>0</v>
      </c>
      <c r="I525" s="15">
        <v>0</v>
      </c>
      <c r="J525" s="15">
        <v>0</v>
      </c>
      <c r="K525" s="15">
        <v>0</v>
      </c>
      <c r="L525" s="15">
        <v>0</v>
      </c>
      <c r="M525" s="15">
        <v>0</v>
      </c>
      <c r="N525" s="15" t="s">
        <v>3028</v>
      </c>
      <c r="O525" s="9" t="s">
        <v>3028</v>
      </c>
    </row>
    <row r="526" spans="1:15" x14ac:dyDescent="0.2">
      <c r="A526" s="10" t="s">
        <v>1355</v>
      </c>
      <c r="B526" s="15">
        <v>0</v>
      </c>
      <c r="C526" s="15">
        <v>0</v>
      </c>
      <c r="D526" s="15">
        <v>0</v>
      </c>
      <c r="E526" s="15">
        <v>183.33</v>
      </c>
      <c r="F526" s="15">
        <v>0</v>
      </c>
      <c r="G526" s="15">
        <v>0</v>
      </c>
      <c r="H526" s="15">
        <v>0</v>
      </c>
      <c r="I526" s="15">
        <v>0</v>
      </c>
      <c r="J526" s="15">
        <v>0</v>
      </c>
      <c r="K526" s="15">
        <v>0</v>
      </c>
      <c r="L526" s="15">
        <v>0</v>
      </c>
      <c r="M526" s="15">
        <v>0</v>
      </c>
      <c r="N526" s="15" t="s">
        <v>3028</v>
      </c>
      <c r="O526" s="9" t="s">
        <v>3028</v>
      </c>
    </row>
    <row r="527" spans="1:15" x14ac:dyDescent="0.2">
      <c r="A527" s="10" t="s">
        <v>1357</v>
      </c>
      <c r="B527" s="15">
        <v>0</v>
      </c>
      <c r="C527" s="15">
        <v>0</v>
      </c>
      <c r="D527" s="15">
        <v>0</v>
      </c>
      <c r="E527" s="15">
        <v>825</v>
      </c>
      <c r="F527" s="15">
        <v>0</v>
      </c>
      <c r="G527" s="15">
        <v>0</v>
      </c>
      <c r="H527" s="15">
        <v>0</v>
      </c>
      <c r="I527" s="15">
        <v>0</v>
      </c>
      <c r="J527" s="15">
        <v>0</v>
      </c>
      <c r="K527" s="15">
        <v>0</v>
      </c>
      <c r="L527" s="15">
        <v>0</v>
      </c>
      <c r="M527" s="15">
        <v>0</v>
      </c>
      <c r="N527" s="15" t="s">
        <v>3028</v>
      </c>
      <c r="O527" s="9" t="s">
        <v>3028</v>
      </c>
    </row>
    <row r="528" spans="1:15" x14ac:dyDescent="0.2">
      <c r="A528" s="10" t="s">
        <v>1359</v>
      </c>
      <c r="B528" s="15">
        <v>0</v>
      </c>
      <c r="C528" s="15">
        <v>0</v>
      </c>
      <c r="D528" s="15">
        <v>0</v>
      </c>
      <c r="E528" s="15">
        <v>825</v>
      </c>
      <c r="F528" s="15">
        <v>0</v>
      </c>
      <c r="G528" s="15">
        <v>0</v>
      </c>
      <c r="H528" s="15">
        <v>0</v>
      </c>
      <c r="I528" s="15">
        <v>0</v>
      </c>
      <c r="J528" s="15">
        <v>0</v>
      </c>
      <c r="K528" s="15">
        <v>0</v>
      </c>
      <c r="L528" s="15">
        <v>0</v>
      </c>
      <c r="M528" s="15">
        <v>0</v>
      </c>
      <c r="N528" s="15" t="s">
        <v>3028</v>
      </c>
      <c r="O528" s="9" t="s">
        <v>3028</v>
      </c>
    </row>
    <row r="529" spans="1:15" x14ac:dyDescent="0.2">
      <c r="A529" s="10" t="s">
        <v>1361</v>
      </c>
      <c r="B529" s="15">
        <v>0</v>
      </c>
      <c r="C529" s="15">
        <v>0</v>
      </c>
      <c r="D529" s="15">
        <v>0</v>
      </c>
      <c r="E529" s="15">
        <v>825</v>
      </c>
      <c r="F529" s="15">
        <v>0</v>
      </c>
      <c r="G529" s="15">
        <v>0</v>
      </c>
      <c r="H529" s="15">
        <v>0</v>
      </c>
      <c r="I529" s="15">
        <v>0</v>
      </c>
      <c r="J529" s="15">
        <v>0</v>
      </c>
      <c r="K529" s="15">
        <v>0</v>
      </c>
      <c r="L529" s="15">
        <v>0</v>
      </c>
      <c r="M529" s="15">
        <v>0</v>
      </c>
      <c r="N529" s="15" t="s">
        <v>3028</v>
      </c>
      <c r="O529" s="9" t="s">
        <v>3028</v>
      </c>
    </row>
    <row r="530" spans="1:15" x14ac:dyDescent="0.2">
      <c r="A530" s="10" t="s">
        <v>1363</v>
      </c>
      <c r="B530" s="15">
        <v>0</v>
      </c>
      <c r="C530" s="15">
        <v>0</v>
      </c>
      <c r="D530" s="15">
        <v>0</v>
      </c>
      <c r="E530" s="15">
        <v>660</v>
      </c>
      <c r="F530" s="15">
        <v>0</v>
      </c>
      <c r="G530" s="15">
        <v>0</v>
      </c>
      <c r="H530" s="15">
        <v>0</v>
      </c>
      <c r="I530" s="15">
        <v>0</v>
      </c>
      <c r="J530" s="15">
        <v>0</v>
      </c>
      <c r="K530" s="15">
        <v>0</v>
      </c>
      <c r="L530" s="15">
        <v>0</v>
      </c>
      <c r="M530" s="15">
        <v>0</v>
      </c>
      <c r="N530" s="15" t="s">
        <v>3028</v>
      </c>
      <c r="O530" s="9" t="s">
        <v>3028</v>
      </c>
    </row>
    <row r="531" spans="1:15" x14ac:dyDescent="0.2">
      <c r="A531" s="10" t="s">
        <v>1365</v>
      </c>
      <c r="B531" s="15">
        <v>0</v>
      </c>
      <c r="C531" s="15">
        <v>0</v>
      </c>
      <c r="D531" s="15">
        <v>0</v>
      </c>
      <c r="E531" s="15">
        <v>825</v>
      </c>
      <c r="F531" s="15">
        <v>0</v>
      </c>
      <c r="G531" s="15">
        <v>0</v>
      </c>
      <c r="H531" s="15">
        <v>0</v>
      </c>
      <c r="I531" s="15">
        <v>0</v>
      </c>
      <c r="J531" s="15">
        <v>0</v>
      </c>
      <c r="K531" s="15">
        <v>0</v>
      </c>
      <c r="L531" s="15">
        <v>0</v>
      </c>
      <c r="M531" s="15">
        <v>0</v>
      </c>
      <c r="N531" s="15" t="s">
        <v>3028</v>
      </c>
      <c r="O531" s="9" t="s">
        <v>3028</v>
      </c>
    </row>
    <row r="532" spans="1:15" x14ac:dyDescent="0.2">
      <c r="A532" s="10" t="s">
        <v>1367</v>
      </c>
      <c r="B532" s="15">
        <v>0</v>
      </c>
      <c r="C532" s="15">
        <v>0</v>
      </c>
      <c r="D532" s="15">
        <v>0</v>
      </c>
      <c r="E532" s="15">
        <v>495</v>
      </c>
      <c r="F532" s="15">
        <v>0</v>
      </c>
      <c r="G532" s="15">
        <v>0</v>
      </c>
      <c r="H532" s="15">
        <v>0</v>
      </c>
      <c r="I532" s="15">
        <v>0</v>
      </c>
      <c r="J532" s="15">
        <v>0</v>
      </c>
      <c r="K532" s="15">
        <v>0</v>
      </c>
      <c r="L532" s="15">
        <v>0</v>
      </c>
      <c r="M532" s="15">
        <v>0</v>
      </c>
      <c r="N532" s="15" t="s">
        <v>3028</v>
      </c>
      <c r="O532" s="9" t="s">
        <v>3028</v>
      </c>
    </row>
    <row r="533" spans="1:15" x14ac:dyDescent="0.2">
      <c r="A533" s="10" t="s">
        <v>1371</v>
      </c>
      <c r="B533" s="15">
        <v>0</v>
      </c>
      <c r="C533" s="15">
        <v>0</v>
      </c>
      <c r="D533" s="15">
        <v>0</v>
      </c>
      <c r="E533" s="15">
        <v>825</v>
      </c>
      <c r="F533" s="15">
        <v>0</v>
      </c>
      <c r="G533" s="15">
        <v>0</v>
      </c>
      <c r="H533" s="15">
        <v>0</v>
      </c>
      <c r="I533" s="15">
        <v>0</v>
      </c>
      <c r="J533" s="15">
        <v>0</v>
      </c>
      <c r="K533" s="15">
        <v>0</v>
      </c>
      <c r="L533" s="15">
        <v>0</v>
      </c>
      <c r="M533" s="15">
        <v>0</v>
      </c>
      <c r="N533" s="15" t="s">
        <v>3028</v>
      </c>
      <c r="O533" s="9" t="s">
        <v>3028</v>
      </c>
    </row>
    <row r="534" spans="1:15" x14ac:dyDescent="0.2">
      <c r="A534" s="10" t="s">
        <v>1373</v>
      </c>
      <c r="B534" s="15">
        <v>0</v>
      </c>
      <c r="C534" s="15">
        <v>0</v>
      </c>
      <c r="D534" s="15">
        <v>0</v>
      </c>
      <c r="E534" s="15">
        <v>825</v>
      </c>
      <c r="F534" s="15">
        <v>0</v>
      </c>
      <c r="G534" s="15">
        <v>0</v>
      </c>
      <c r="H534" s="15">
        <v>0</v>
      </c>
      <c r="I534" s="15">
        <v>0</v>
      </c>
      <c r="J534" s="15">
        <v>0</v>
      </c>
      <c r="K534" s="15">
        <v>0</v>
      </c>
      <c r="L534" s="15">
        <v>0</v>
      </c>
      <c r="M534" s="15">
        <v>0</v>
      </c>
      <c r="N534" s="15" t="s">
        <v>3028</v>
      </c>
      <c r="O534" s="9" t="s">
        <v>3028</v>
      </c>
    </row>
    <row r="535" spans="1:15" x14ac:dyDescent="0.2">
      <c r="A535" s="10" t="s">
        <v>1375</v>
      </c>
      <c r="B535" s="15">
        <v>0</v>
      </c>
      <c r="C535" s="15">
        <v>0</v>
      </c>
      <c r="D535" s="15">
        <v>0</v>
      </c>
      <c r="E535" s="15">
        <v>495</v>
      </c>
      <c r="F535" s="15">
        <v>0</v>
      </c>
      <c r="G535" s="15">
        <v>0</v>
      </c>
      <c r="H535" s="15">
        <v>0</v>
      </c>
      <c r="I535" s="15">
        <v>0</v>
      </c>
      <c r="J535" s="15">
        <v>0</v>
      </c>
      <c r="K535" s="15">
        <v>0</v>
      </c>
      <c r="L535" s="15">
        <v>0</v>
      </c>
      <c r="M535" s="15">
        <v>0</v>
      </c>
      <c r="N535" s="15" t="s">
        <v>3028</v>
      </c>
      <c r="O535" s="9" t="s">
        <v>3028</v>
      </c>
    </row>
    <row r="536" spans="1:15" x14ac:dyDescent="0.2">
      <c r="A536" s="10" t="s">
        <v>1379</v>
      </c>
      <c r="B536" s="15">
        <v>0</v>
      </c>
      <c r="C536" s="15">
        <v>0</v>
      </c>
      <c r="D536" s="15">
        <v>0</v>
      </c>
      <c r="E536" s="15">
        <v>183.33</v>
      </c>
      <c r="F536" s="15">
        <v>0</v>
      </c>
      <c r="G536" s="15">
        <v>0</v>
      </c>
      <c r="H536" s="15">
        <v>275</v>
      </c>
      <c r="I536" s="15">
        <v>0</v>
      </c>
      <c r="J536" s="15">
        <v>0</v>
      </c>
      <c r="K536" s="15">
        <v>0</v>
      </c>
      <c r="L536" s="15">
        <v>0</v>
      </c>
      <c r="M536" s="15">
        <v>0</v>
      </c>
      <c r="N536" s="15" t="s">
        <v>3028</v>
      </c>
      <c r="O536" s="9" t="s">
        <v>3028</v>
      </c>
    </row>
    <row r="537" spans="1:15" x14ac:dyDescent="0.2">
      <c r="A537" s="10" t="s">
        <v>1381</v>
      </c>
      <c r="B537" s="15">
        <v>0</v>
      </c>
      <c r="C537" s="15">
        <v>0</v>
      </c>
      <c r="D537" s="15">
        <v>0</v>
      </c>
      <c r="E537" s="15">
        <v>825</v>
      </c>
      <c r="F537" s="15">
        <v>0</v>
      </c>
      <c r="G537" s="15">
        <v>0</v>
      </c>
      <c r="H537" s="15">
        <v>0</v>
      </c>
      <c r="I537" s="15">
        <v>0</v>
      </c>
      <c r="J537" s="15">
        <v>0</v>
      </c>
      <c r="K537" s="15">
        <v>0</v>
      </c>
      <c r="L537" s="15">
        <v>0</v>
      </c>
      <c r="M537" s="15">
        <v>0</v>
      </c>
      <c r="N537" s="15" t="s">
        <v>3028</v>
      </c>
      <c r="O537" s="9" t="s">
        <v>3028</v>
      </c>
    </row>
    <row r="538" spans="1:15" x14ac:dyDescent="0.2">
      <c r="A538" s="10" t="s">
        <v>1383</v>
      </c>
      <c r="B538" s="15">
        <v>495</v>
      </c>
      <c r="C538" s="15">
        <v>0</v>
      </c>
      <c r="D538" s="15">
        <v>0</v>
      </c>
      <c r="E538" s="15">
        <v>0</v>
      </c>
      <c r="F538" s="15">
        <v>0</v>
      </c>
      <c r="G538" s="15">
        <v>0</v>
      </c>
      <c r="H538" s="15">
        <v>0</v>
      </c>
      <c r="I538" s="15">
        <v>0</v>
      </c>
      <c r="J538" s="15">
        <v>0</v>
      </c>
      <c r="K538" s="15">
        <v>0</v>
      </c>
      <c r="L538" s="15">
        <v>0</v>
      </c>
      <c r="M538" s="15">
        <v>0</v>
      </c>
      <c r="N538" s="15" t="s">
        <v>3028</v>
      </c>
      <c r="O538" s="9" t="s">
        <v>3028</v>
      </c>
    </row>
    <row r="539" spans="1:15" x14ac:dyDescent="0.2">
      <c r="A539" s="10" t="s">
        <v>1385</v>
      </c>
      <c r="B539" s="15">
        <v>0</v>
      </c>
      <c r="C539" s="15">
        <v>0</v>
      </c>
      <c r="D539" s="15">
        <v>0</v>
      </c>
      <c r="E539" s="15">
        <v>330</v>
      </c>
      <c r="F539" s="15">
        <v>220</v>
      </c>
      <c r="G539" s="15">
        <v>0</v>
      </c>
      <c r="H539" s="15">
        <v>0</v>
      </c>
      <c r="I539" s="15">
        <v>0</v>
      </c>
      <c r="J539" s="15">
        <v>0</v>
      </c>
      <c r="K539" s="15">
        <v>0</v>
      </c>
      <c r="L539" s="15">
        <v>0</v>
      </c>
      <c r="M539" s="15">
        <v>0</v>
      </c>
      <c r="N539" s="15" t="s">
        <v>3028</v>
      </c>
      <c r="O539" s="9" t="s">
        <v>3028</v>
      </c>
    </row>
    <row r="540" spans="1:15" x14ac:dyDescent="0.2">
      <c r="A540" s="10" t="s">
        <v>1387</v>
      </c>
      <c r="B540" s="15">
        <v>0</v>
      </c>
      <c r="C540" s="15">
        <v>0</v>
      </c>
      <c r="D540" s="15">
        <v>0</v>
      </c>
      <c r="E540" s="15">
        <v>825</v>
      </c>
      <c r="F540" s="15">
        <v>0</v>
      </c>
      <c r="G540" s="15">
        <v>0</v>
      </c>
      <c r="H540" s="15">
        <v>0</v>
      </c>
      <c r="I540" s="15">
        <v>0</v>
      </c>
      <c r="J540" s="15">
        <v>0</v>
      </c>
      <c r="K540" s="15">
        <v>0</v>
      </c>
      <c r="L540" s="15">
        <v>0</v>
      </c>
      <c r="M540" s="15">
        <v>0</v>
      </c>
      <c r="N540" s="15" t="s">
        <v>3028</v>
      </c>
      <c r="O540" s="9" t="s">
        <v>3028</v>
      </c>
    </row>
    <row r="541" spans="1:15" x14ac:dyDescent="0.2">
      <c r="A541" s="10" t="s">
        <v>1389</v>
      </c>
      <c r="B541" s="15">
        <v>0</v>
      </c>
      <c r="C541" s="15">
        <v>0</v>
      </c>
      <c r="D541" s="15">
        <v>0</v>
      </c>
      <c r="E541" s="15">
        <v>825</v>
      </c>
      <c r="F541" s="15">
        <v>0</v>
      </c>
      <c r="G541" s="15">
        <v>0</v>
      </c>
      <c r="H541" s="15">
        <v>0</v>
      </c>
      <c r="I541" s="15">
        <v>0</v>
      </c>
      <c r="J541" s="15">
        <v>0</v>
      </c>
      <c r="K541" s="15">
        <v>0</v>
      </c>
      <c r="L541" s="15">
        <v>0</v>
      </c>
      <c r="M541" s="15">
        <v>0</v>
      </c>
      <c r="N541" s="15" t="s">
        <v>3028</v>
      </c>
      <c r="O541" s="9" t="s">
        <v>3028</v>
      </c>
    </row>
    <row r="542" spans="1:15" x14ac:dyDescent="0.2">
      <c r="A542" s="10" t="s">
        <v>1391</v>
      </c>
      <c r="B542" s="15">
        <v>0</v>
      </c>
      <c r="C542" s="15">
        <v>0</v>
      </c>
      <c r="D542" s="15">
        <v>0</v>
      </c>
      <c r="E542" s="15">
        <v>825</v>
      </c>
      <c r="F542" s="15">
        <v>0</v>
      </c>
      <c r="G542" s="15">
        <v>0</v>
      </c>
      <c r="H542" s="15">
        <v>0</v>
      </c>
      <c r="I542" s="15">
        <v>0</v>
      </c>
      <c r="J542" s="15">
        <v>0</v>
      </c>
      <c r="K542" s="15">
        <v>0</v>
      </c>
      <c r="L542" s="15">
        <v>0</v>
      </c>
      <c r="M542" s="15">
        <v>0</v>
      </c>
      <c r="N542" s="15" t="s">
        <v>3028</v>
      </c>
      <c r="O542" s="9" t="s">
        <v>3028</v>
      </c>
    </row>
    <row r="543" spans="1:15" x14ac:dyDescent="0.2">
      <c r="A543" s="10" t="s">
        <v>1393</v>
      </c>
      <c r="B543" s="15">
        <v>0</v>
      </c>
      <c r="C543" s="15">
        <v>0</v>
      </c>
      <c r="D543" s="15">
        <v>0</v>
      </c>
      <c r="E543" s="15">
        <v>825</v>
      </c>
      <c r="F543" s="15">
        <v>0</v>
      </c>
      <c r="G543" s="15">
        <v>0</v>
      </c>
      <c r="H543" s="15">
        <v>0</v>
      </c>
      <c r="I543" s="15">
        <v>0</v>
      </c>
      <c r="J543" s="15">
        <v>0</v>
      </c>
      <c r="K543" s="15">
        <v>825</v>
      </c>
      <c r="L543" s="15">
        <v>0</v>
      </c>
      <c r="M543" s="15">
        <v>0</v>
      </c>
      <c r="N543" s="15" t="s">
        <v>3028</v>
      </c>
      <c r="O543" s="9" t="s">
        <v>3028</v>
      </c>
    </row>
    <row r="544" spans="1:15" x14ac:dyDescent="0.2">
      <c r="A544" s="10" t="s">
        <v>1395</v>
      </c>
      <c r="B544" s="15">
        <v>0</v>
      </c>
      <c r="C544" s="15">
        <v>0</v>
      </c>
      <c r="D544" s="15">
        <v>0</v>
      </c>
      <c r="E544" s="15">
        <v>825</v>
      </c>
      <c r="F544" s="15">
        <v>0</v>
      </c>
      <c r="G544" s="15">
        <v>0</v>
      </c>
      <c r="H544" s="15">
        <v>0</v>
      </c>
      <c r="I544" s="15">
        <v>0</v>
      </c>
      <c r="J544" s="15">
        <v>0</v>
      </c>
      <c r="K544" s="15">
        <v>0</v>
      </c>
      <c r="L544" s="15">
        <v>0</v>
      </c>
      <c r="M544" s="15">
        <v>0</v>
      </c>
      <c r="N544" s="15" t="s">
        <v>3028</v>
      </c>
      <c r="O544" s="9" t="s">
        <v>3028</v>
      </c>
    </row>
    <row r="545" spans="1:15" x14ac:dyDescent="0.2">
      <c r="A545" s="10" t="s">
        <v>1397</v>
      </c>
      <c r="B545" s="15">
        <v>0</v>
      </c>
      <c r="C545" s="15">
        <v>0</v>
      </c>
      <c r="D545" s="15">
        <v>0</v>
      </c>
      <c r="E545" s="15">
        <v>825</v>
      </c>
      <c r="F545" s="15">
        <v>0</v>
      </c>
      <c r="G545" s="15">
        <v>0</v>
      </c>
      <c r="H545" s="15">
        <v>0</v>
      </c>
      <c r="I545" s="15">
        <v>0</v>
      </c>
      <c r="J545" s="15">
        <v>0</v>
      </c>
      <c r="K545" s="15">
        <v>0</v>
      </c>
      <c r="L545" s="15">
        <v>0</v>
      </c>
      <c r="M545" s="15">
        <v>0</v>
      </c>
      <c r="N545" s="15" t="s">
        <v>3028</v>
      </c>
      <c r="O545" s="9" t="s">
        <v>3028</v>
      </c>
    </row>
    <row r="546" spans="1:15" x14ac:dyDescent="0.2">
      <c r="A546" s="10" t="s">
        <v>1399</v>
      </c>
      <c r="B546" s="15">
        <v>0</v>
      </c>
      <c r="C546" s="15">
        <v>0</v>
      </c>
      <c r="D546" s="15">
        <v>0</v>
      </c>
      <c r="E546" s="15">
        <v>495</v>
      </c>
      <c r="F546" s="15">
        <v>0</v>
      </c>
      <c r="G546" s="15">
        <v>0</v>
      </c>
      <c r="H546" s="15">
        <v>0</v>
      </c>
      <c r="I546" s="15">
        <v>0</v>
      </c>
      <c r="J546" s="15">
        <v>0</v>
      </c>
      <c r="K546" s="15">
        <v>0</v>
      </c>
      <c r="L546" s="15">
        <v>0</v>
      </c>
      <c r="M546" s="15">
        <v>0</v>
      </c>
      <c r="N546" s="15" t="s">
        <v>3028</v>
      </c>
      <c r="O546" s="9" t="s">
        <v>3028</v>
      </c>
    </row>
    <row r="547" spans="1:15" x14ac:dyDescent="0.2">
      <c r="A547" s="10" t="s">
        <v>1401</v>
      </c>
      <c r="B547" s="15">
        <v>0</v>
      </c>
      <c r="C547" s="15">
        <v>0</v>
      </c>
      <c r="D547" s="15">
        <v>1008.33</v>
      </c>
      <c r="E547" s="15">
        <v>0</v>
      </c>
      <c r="F547" s="15">
        <v>0</v>
      </c>
      <c r="G547" s="15">
        <v>0</v>
      </c>
      <c r="H547" s="15">
        <v>0</v>
      </c>
      <c r="I547" s="15">
        <v>0</v>
      </c>
      <c r="J547" s="15">
        <v>0</v>
      </c>
      <c r="K547" s="15">
        <v>0</v>
      </c>
      <c r="L547" s="15">
        <v>0</v>
      </c>
      <c r="M547" s="15">
        <v>0</v>
      </c>
      <c r="N547" s="15" t="s">
        <v>3028</v>
      </c>
      <c r="O547" s="9" t="s">
        <v>3028</v>
      </c>
    </row>
    <row r="548" spans="1:15" x14ac:dyDescent="0.2">
      <c r="A548" s="10" t="s">
        <v>1403</v>
      </c>
      <c r="B548" s="15">
        <v>0</v>
      </c>
      <c r="C548" s="15">
        <v>0</v>
      </c>
      <c r="D548" s="15">
        <v>0</v>
      </c>
      <c r="E548" s="15">
        <v>495</v>
      </c>
      <c r="F548" s="15">
        <v>0</v>
      </c>
      <c r="G548" s="15">
        <v>0</v>
      </c>
      <c r="H548" s="15">
        <v>0</v>
      </c>
      <c r="I548" s="15">
        <v>0</v>
      </c>
      <c r="J548" s="15">
        <v>0</v>
      </c>
      <c r="K548" s="15">
        <v>0</v>
      </c>
      <c r="L548" s="15">
        <v>0</v>
      </c>
      <c r="M548" s="15">
        <v>0</v>
      </c>
      <c r="N548" s="15" t="s">
        <v>3028</v>
      </c>
      <c r="O548" s="9" t="s">
        <v>3028</v>
      </c>
    </row>
    <row r="549" spans="1:15" x14ac:dyDescent="0.2">
      <c r="A549" s="10" t="s">
        <v>1409</v>
      </c>
      <c r="B549" s="15">
        <v>0</v>
      </c>
      <c r="C549" s="15">
        <v>0</v>
      </c>
      <c r="D549" s="15">
        <v>0</v>
      </c>
      <c r="E549" s="15">
        <v>825</v>
      </c>
      <c r="F549" s="15">
        <v>0</v>
      </c>
      <c r="G549" s="15">
        <v>0</v>
      </c>
      <c r="H549" s="15">
        <v>0</v>
      </c>
      <c r="I549" s="15">
        <v>0</v>
      </c>
      <c r="J549" s="15">
        <v>0</v>
      </c>
      <c r="K549" s="15">
        <v>0</v>
      </c>
      <c r="L549" s="15">
        <v>0</v>
      </c>
      <c r="M549" s="15">
        <v>0</v>
      </c>
      <c r="N549" s="15" t="s">
        <v>3028</v>
      </c>
      <c r="O549" s="9" t="s">
        <v>3028</v>
      </c>
    </row>
    <row r="550" spans="1:15" x14ac:dyDescent="0.2">
      <c r="A550" s="10" t="s">
        <v>1411</v>
      </c>
      <c r="B550" s="15">
        <v>0</v>
      </c>
      <c r="C550" s="15">
        <v>0</v>
      </c>
      <c r="D550" s="15">
        <v>0</v>
      </c>
      <c r="E550" s="15">
        <v>55</v>
      </c>
      <c r="F550" s="15">
        <v>0</v>
      </c>
      <c r="G550" s="15">
        <v>0</v>
      </c>
      <c r="H550" s="15">
        <v>0</v>
      </c>
      <c r="I550" s="15">
        <v>0</v>
      </c>
      <c r="J550" s="15">
        <v>0</v>
      </c>
      <c r="K550" s="15">
        <v>0</v>
      </c>
      <c r="L550" s="15">
        <v>0</v>
      </c>
      <c r="M550" s="15">
        <v>0</v>
      </c>
      <c r="N550" s="15" t="s">
        <v>3028</v>
      </c>
      <c r="O550" s="9" t="s">
        <v>3028</v>
      </c>
    </row>
    <row r="551" spans="1:15" x14ac:dyDescent="0.2">
      <c r="A551" s="10" t="s">
        <v>1415</v>
      </c>
      <c r="B551" s="15">
        <v>0</v>
      </c>
      <c r="C551" s="15">
        <v>0</v>
      </c>
      <c r="D551" s="15">
        <v>0</v>
      </c>
      <c r="E551" s="15">
        <v>825</v>
      </c>
      <c r="F551" s="15">
        <v>0</v>
      </c>
      <c r="G551" s="15">
        <v>0</v>
      </c>
      <c r="H551" s="15">
        <v>0</v>
      </c>
      <c r="I551" s="15">
        <v>0</v>
      </c>
      <c r="J551" s="15">
        <v>0</v>
      </c>
      <c r="K551" s="15">
        <v>0</v>
      </c>
      <c r="L551" s="15">
        <v>0</v>
      </c>
      <c r="M551" s="15">
        <v>0</v>
      </c>
      <c r="N551" s="15" t="s">
        <v>3028</v>
      </c>
      <c r="O551" s="9" t="s">
        <v>3028</v>
      </c>
    </row>
    <row r="552" spans="1:15" x14ac:dyDescent="0.2">
      <c r="A552" s="10" t="s">
        <v>1417</v>
      </c>
      <c r="B552" s="15">
        <v>0</v>
      </c>
      <c r="C552" s="15">
        <v>0</v>
      </c>
      <c r="D552" s="15">
        <v>0</v>
      </c>
      <c r="E552" s="15">
        <v>495</v>
      </c>
      <c r="F552" s="15">
        <v>0</v>
      </c>
      <c r="G552" s="15">
        <v>0</v>
      </c>
      <c r="H552" s="15">
        <v>0</v>
      </c>
      <c r="I552" s="15">
        <v>0</v>
      </c>
      <c r="J552" s="15">
        <v>0</v>
      </c>
      <c r="K552" s="15">
        <v>0</v>
      </c>
      <c r="L552" s="15">
        <v>0</v>
      </c>
      <c r="M552" s="15">
        <v>0</v>
      </c>
      <c r="N552" s="15" t="s">
        <v>3028</v>
      </c>
      <c r="O552" s="9" t="s">
        <v>3028</v>
      </c>
    </row>
    <row r="553" spans="1:15" x14ac:dyDescent="0.2">
      <c r="A553" s="10" t="s">
        <v>1419</v>
      </c>
      <c r="B553" s="15">
        <v>0</v>
      </c>
      <c r="C553" s="15">
        <v>0</v>
      </c>
      <c r="D553" s="15">
        <v>0</v>
      </c>
      <c r="E553" s="15">
        <v>825</v>
      </c>
      <c r="F553" s="15">
        <v>0</v>
      </c>
      <c r="G553" s="15">
        <v>0</v>
      </c>
      <c r="H553" s="15">
        <v>0</v>
      </c>
      <c r="I553" s="15">
        <v>0</v>
      </c>
      <c r="J553" s="15">
        <v>0</v>
      </c>
      <c r="K553" s="15">
        <v>0</v>
      </c>
      <c r="L553" s="15">
        <v>0</v>
      </c>
      <c r="M553" s="15">
        <v>0</v>
      </c>
      <c r="N553" s="15" t="s">
        <v>3028</v>
      </c>
      <c r="O553" s="9" t="s">
        <v>3028</v>
      </c>
    </row>
    <row r="554" spans="1:15" x14ac:dyDescent="0.2">
      <c r="A554" s="10" t="s">
        <v>1421</v>
      </c>
      <c r="B554" s="15">
        <v>0</v>
      </c>
      <c r="C554" s="15">
        <v>0</v>
      </c>
      <c r="D554" s="15">
        <v>0</v>
      </c>
      <c r="E554" s="15">
        <v>825</v>
      </c>
      <c r="F554" s="15">
        <v>0</v>
      </c>
      <c r="G554" s="15">
        <v>0</v>
      </c>
      <c r="H554" s="15">
        <v>0</v>
      </c>
      <c r="I554" s="15">
        <v>0</v>
      </c>
      <c r="J554" s="15">
        <v>0</v>
      </c>
      <c r="K554" s="15">
        <v>0</v>
      </c>
      <c r="L554" s="15">
        <v>0</v>
      </c>
      <c r="M554" s="15">
        <v>0</v>
      </c>
      <c r="N554" s="15" t="s">
        <v>3028</v>
      </c>
      <c r="O554" s="9" t="s">
        <v>3028</v>
      </c>
    </row>
    <row r="555" spans="1:15" x14ac:dyDescent="0.2">
      <c r="A555" s="10" t="s">
        <v>1423</v>
      </c>
      <c r="B555" s="15">
        <v>0</v>
      </c>
      <c r="C555" s="15">
        <v>0</v>
      </c>
      <c r="D555" s="15">
        <v>0</v>
      </c>
      <c r="E555" s="15">
        <v>825</v>
      </c>
      <c r="F555" s="15">
        <v>0</v>
      </c>
      <c r="G555" s="15">
        <v>0</v>
      </c>
      <c r="H555" s="15">
        <v>0</v>
      </c>
      <c r="I555" s="15">
        <v>0</v>
      </c>
      <c r="J555" s="15">
        <v>0</v>
      </c>
      <c r="K555" s="15">
        <v>0</v>
      </c>
      <c r="L555" s="15">
        <v>0</v>
      </c>
      <c r="M555" s="15">
        <v>0</v>
      </c>
      <c r="N555" s="15" t="s">
        <v>3028</v>
      </c>
      <c r="O555" s="9" t="s">
        <v>3028</v>
      </c>
    </row>
    <row r="556" spans="1:15" x14ac:dyDescent="0.2">
      <c r="A556" s="10" t="s">
        <v>1425</v>
      </c>
      <c r="B556" s="15">
        <v>0</v>
      </c>
      <c r="C556" s="15">
        <v>0</v>
      </c>
      <c r="D556" s="15">
        <v>0</v>
      </c>
      <c r="E556" s="15">
        <v>550</v>
      </c>
      <c r="F556" s="15">
        <v>0</v>
      </c>
      <c r="G556" s="15">
        <v>0</v>
      </c>
      <c r="H556" s="15">
        <v>0</v>
      </c>
      <c r="I556" s="15">
        <v>0</v>
      </c>
      <c r="J556" s="15">
        <v>0</v>
      </c>
      <c r="K556" s="15">
        <v>0</v>
      </c>
      <c r="L556" s="15">
        <v>0</v>
      </c>
      <c r="M556" s="15">
        <v>0</v>
      </c>
      <c r="N556" s="15" t="s">
        <v>3028</v>
      </c>
      <c r="O556" s="9" t="s">
        <v>3028</v>
      </c>
    </row>
    <row r="557" spans="1:15" x14ac:dyDescent="0.2">
      <c r="A557" s="10" t="s">
        <v>1429</v>
      </c>
      <c r="B557" s="15">
        <v>0</v>
      </c>
      <c r="C557" s="15">
        <v>0</v>
      </c>
      <c r="D557" s="15">
        <v>0</v>
      </c>
      <c r="E557" s="15">
        <v>825</v>
      </c>
      <c r="F557" s="15">
        <v>0</v>
      </c>
      <c r="G557" s="15">
        <v>0</v>
      </c>
      <c r="H557" s="15">
        <v>0</v>
      </c>
      <c r="I557" s="15">
        <v>0</v>
      </c>
      <c r="J557" s="15">
        <v>0</v>
      </c>
      <c r="K557" s="15">
        <v>0</v>
      </c>
      <c r="L557" s="15">
        <v>0</v>
      </c>
      <c r="M557" s="15">
        <v>0</v>
      </c>
      <c r="N557" s="15" t="s">
        <v>3028</v>
      </c>
      <c r="O557" s="9" t="s">
        <v>3028</v>
      </c>
    </row>
    <row r="558" spans="1:15" x14ac:dyDescent="0.2">
      <c r="A558" s="10" t="s">
        <v>1435</v>
      </c>
      <c r="B558" s="15">
        <v>0</v>
      </c>
      <c r="C558" s="15">
        <v>0</v>
      </c>
      <c r="D558" s="15">
        <v>0</v>
      </c>
      <c r="E558" s="15">
        <v>825</v>
      </c>
      <c r="F558" s="15">
        <v>0</v>
      </c>
      <c r="G558" s="15">
        <v>0</v>
      </c>
      <c r="H558" s="15">
        <v>0</v>
      </c>
      <c r="I558" s="15">
        <v>641.66</v>
      </c>
      <c r="J558" s="15">
        <v>0</v>
      </c>
      <c r="K558" s="15">
        <v>0</v>
      </c>
      <c r="L558" s="15">
        <v>0</v>
      </c>
      <c r="M558" s="15">
        <v>0</v>
      </c>
      <c r="N558" s="15" t="s">
        <v>3028</v>
      </c>
      <c r="O558" s="9" t="s">
        <v>3028</v>
      </c>
    </row>
    <row r="559" spans="1:15" x14ac:dyDescent="0.2">
      <c r="A559" s="10" t="s">
        <v>1437</v>
      </c>
      <c r="B559" s="15">
        <v>0</v>
      </c>
      <c r="C559" s="15">
        <v>0</v>
      </c>
      <c r="D559" s="15">
        <v>0</v>
      </c>
      <c r="E559" s="15">
        <v>825</v>
      </c>
      <c r="F559" s="15">
        <v>0</v>
      </c>
      <c r="G559" s="15">
        <v>0</v>
      </c>
      <c r="H559" s="15">
        <v>0</v>
      </c>
      <c r="I559" s="15">
        <v>0</v>
      </c>
      <c r="J559" s="15">
        <v>0</v>
      </c>
      <c r="K559" s="15">
        <v>0</v>
      </c>
      <c r="L559" s="15">
        <v>0</v>
      </c>
      <c r="M559" s="15">
        <v>0</v>
      </c>
      <c r="N559" s="15" t="s">
        <v>3028</v>
      </c>
      <c r="O559" s="9" t="s">
        <v>3028</v>
      </c>
    </row>
    <row r="560" spans="1:15" x14ac:dyDescent="0.2">
      <c r="A560" s="10" t="s">
        <v>1442</v>
      </c>
      <c r="B560" s="15">
        <v>0</v>
      </c>
      <c r="C560" s="15">
        <v>0</v>
      </c>
      <c r="D560" s="15">
        <v>0</v>
      </c>
      <c r="E560" s="15">
        <v>825</v>
      </c>
      <c r="F560" s="15">
        <v>0</v>
      </c>
      <c r="G560" s="15">
        <v>0</v>
      </c>
      <c r="H560" s="15">
        <v>0</v>
      </c>
      <c r="I560" s="15">
        <v>0</v>
      </c>
      <c r="J560" s="15">
        <v>0</v>
      </c>
      <c r="K560" s="15">
        <v>0</v>
      </c>
      <c r="L560" s="15">
        <v>0</v>
      </c>
      <c r="M560" s="15">
        <v>0</v>
      </c>
      <c r="N560" s="15" t="s">
        <v>3028</v>
      </c>
      <c r="O560" s="9" t="s">
        <v>3028</v>
      </c>
    </row>
    <row r="561" spans="1:15" x14ac:dyDescent="0.2">
      <c r="A561" s="10" t="s">
        <v>1446</v>
      </c>
      <c r="B561" s="15">
        <v>0</v>
      </c>
      <c r="C561" s="15">
        <v>0</v>
      </c>
      <c r="D561" s="15">
        <v>1008.33</v>
      </c>
      <c r="E561" s="15">
        <v>0</v>
      </c>
      <c r="F561" s="15">
        <v>0</v>
      </c>
      <c r="G561" s="15">
        <v>0</v>
      </c>
      <c r="H561" s="15">
        <v>0</v>
      </c>
      <c r="I561" s="15">
        <v>0</v>
      </c>
      <c r="J561" s="15">
        <v>0</v>
      </c>
      <c r="K561" s="15">
        <v>0</v>
      </c>
      <c r="L561" s="15">
        <v>0</v>
      </c>
      <c r="M561" s="15">
        <v>0</v>
      </c>
      <c r="N561" s="15" t="s">
        <v>3028</v>
      </c>
      <c r="O561" s="9" t="s">
        <v>3028</v>
      </c>
    </row>
    <row r="562" spans="1:15" x14ac:dyDescent="0.2">
      <c r="A562" s="10" t="s">
        <v>1448</v>
      </c>
      <c r="B562" s="15">
        <v>0</v>
      </c>
      <c r="C562" s="15">
        <v>0</v>
      </c>
      <c r="D562" s="15">
        <v>0</v>
      </c>
      <c r="E562" s="15">
        <v>825</v>
      </c>
      <c r="F562" s="15">
        <v>0</v>
      </c>
      <c r="G562" s="15">
        <v>0</v>
      </c>
      <c r="H562" s="15">
        <v>0</v>
      </c>
      <c r="I562" s="15">
        <v>0</v>
      </c>
      <c r="J562" s="15">
        <v>0</v>
      </c>
      <c r="K562" s="15">
        <v>0</v>
      </c>
      <c r="L562" s="15">
        <v>0</v>
      </c>
      <c r="M562" s="15">
        <v>0</v>
      </c>
      <c r="N562" s="15" t="s">
        <v>3028</v>
      </c>
      <c r="O562" s="9" t="s">
        <v>3028</v>
      </c>
    </row>
    <row r="563" spans="1:15" x14ac:dyDescent="0.2">
      <c r="A563" s="10" t="s">
        <v>1450</v>
      </c>
      <c r="B563" s="15">
        <v>0</v>
      </c>
      <c r="C563" s="15">
        <v>0</v>
      </c>
      <c r="D563" s="15">
        <v>0</v>
      </c>
      <c r="E563" s="15">
        <v>825</v>
      </c>
      <c r="F563" s="15">
        <v>0</v>
      </c>
      <c r="G563" s="15">
        <v>0</v>
      </c>
      <c r="H563" s="15">
        <v>0</v>
      </c>
      <c r="I563" s="15">
        <v>0</v>
      </c>
      <c r="J563" s="15">
        <v>0</v>
      </c>
      <c r="K563" s="15">
        <v>0</v>
      </c>
      <c r="L563" s="15">
        <v>0</v>
      </c>
      <c r="M563" s="15">
        <v>0</v>
      </c>
      <c r="N563" s="15" t="s">
        <v>3028</v>
      </c>
      <c r="O563" s="9" t="s">
        <v>3028</v>
      </c>
    </row>
    <row r="564" spans="1:15" x14ac:dyDescent="0.2">
      <c r="A564" s="10" t="s">
        <v>1452</v>
      </c>
      <c r="B564" s="15">
        <v>0</v>
      </c>
      <c r="C564" s="15">
        <v>0</v>
      </c>
      <c r="D564" s="15">
        <v>0</v>
      </c>
      <c r="E564" s="15">
        <v>825</v>
      </c>
      <c r="F564" s="15">
        <v>0</v>
      </c>
      <c r="G564" s="15">
        <v>0</v>
      </c>
      <c r="H564" s="15">
        <v>550</v>
      </c>
      <c r="I564" s="15">
        <v>0</v>
      </c>
      <c r="J564" s="15">
        <v>0</v>
      </c>
      <c r="K564" s="15">
        <v>0</v>
      </c>
      <c r="L564" s="15">
        <v>0</v>
      </c>
      <c r="M564" s="15">
        <v>0</v>
      </c>
      <c r="N564" s="15" t="s">
        <v>3028</v>
      </c>
      <c r="O564" s="9" t="s">
        <v>3028</v>
      </c>
    </row>
    <row r="565" spans="1:15" x14ac:dyDescent="0.2">
      <c r="A565" s="10" t="s">
        <v>1454</v>
      </c>
      <c r="B565" s="15">
        <v>0</v>
      </c>
      <c r="C565" s="15">
        <v>0</v>
      </c>
      <c r="D565" s="15">
        <v>0</v>
      </c>
      <c r="E565" s="15">
        <v>825</v>
      </c>
      <c r="F565" s="15">
        <v>0</v>
      </c>
      <c r="G565" s="15">
        <v>0</v>
      </c>
      <c r="H565" s="15">
        <v>0</v>
      </c>
      <c r="I565" s="15">
        <v>0</v>
      </c>
      <c r="J565" s="15">
        <v>0</v>
      </c>
      <c r="K565" s="15">
        <v>0</v>
      </c>
      <c r="L565" s="15">
        <v>0</v>
      </c>
      <c r="M565" s="15">
        <v>0</v>
      </c>
      <c r="N565" s="15" t="s">
        <v>3028</v>
      </c>
      <c r="O565" s="9" t="s">
        <v>3028</v>
      </c>
    </row>
    <row r="566" spans="1:15" x14ac:dyDescent="0.2">
      <c r="A566" s="10" t="s">
        <v>1456</v>
      </c>
      <c r="B566" s="15">
        <v>0</v>
      </c>
      <c r="C566" s="15">
        <v>0</v>
      </c>
      <c r="D566" s="15">
        <v>0</v>
      </c>
      <c r="E566" s="15">
        <v>1100</v>
      </c>
      <c r="F566" s="15">
        <v>0</v>
      </c>
      <c r="G566" s="15">
        <v>0</v>
      </c>
      <c r="H566" s="15">
        <v>0</v>
      </c>
      <c r="I566" s="15">
        <v>0</v>
      </c>
      <c r="J566" s="15">
        <v>0</v>
      </c>
      <c r="K566" s="15">
        <v>0</v>
      </c>
      <c r="L566" s="15">
        <v>0</v>
      </c>
      <c r="M566" s="15">
        <v>0</v>
      </c>
      <c r="N566" s="15" t="s">
        <v>3028</v>
      </c>
      <c r="O566" s="9" t="s">
        <v>3028</v>
      </c>
    </row>
    <row r="567" spans="1:15" x14ac:dyDescent="0.2">
      <c r="A567" s="10" t="s">
        <v>1460</v>
      </c>
      <c r="B567" s="15">
        <v>0</v>
      </c>
      <c r="C567" s="15">
        <v>0</v>
      </c>
      <c r="D567" s="15">
        <v>0</v>
      </c>
      <c r="E567" s="15">
        <v>825</v>
      </c>
      <c r="F567" s="15">
        <v>0</v>
      </c>
      <c r="G567" s="15">
        <v>0</v>
      </c>
      <c r="H567" s="15">
        <v>0</v>
      </c>
      <c r="I567" s="15">
        <v>0</v>
      </c>
      <c r="J567" s="15">
        <v>0</v>
      </c>
      <c r="K567" s="15">
        <v>0</v>
      </c>
      <c r="L567" s="15">
        <v>0</v>
      </c>
      <c r="M567" s="15">
        <v>0</v>
      </c>
      <c r="N567" s="15" t="s">
        <v>3028</v>
      </c>
      <c r="O567" s="9" t="s">
        <v>3028</v>
      </c>
    </row>
    <row r="568" spans="1:15" x14ac:dyDescent="0.2">
      <c r="A568" s="10" t="s">
        <v>1462</v>
      </c>
      <c r="B568" s="15">
        <v>0</v>
      </c>
      <c r="C568" s="15">
        <v>0</v>
      </c>
      <c r="D568" s="15">
        <v>0</v>
      </c>
      <c r="E568" s="15">
        <v>825</v>
      </c>
      <c r="F568" s="15">
        <v>0</v>
      </c>
      <c r="G568" s="15">
        <v>0</v>
      </c>
      <c r="H568" s="15">
        <v>0</v>
      </c>
      <c r="I568" s="15">
        <v>0</v>
      </c>
      <c r="J568" s="15">
        <v>0</v>
      </c>
      <c r="K568" s="15">
        <v>0</v>
      </c>
      <c r="L568" s="15">
        <v>0</v>
      </c>
      <c r="M568" s="15">
        <v>0</v>
      </c>
      <c r="N568" s="15" t="s">
        <v>3028</v>
      </c>
      <c r="O568" s="9" t="s">
        <v>3028</v>
      </c>
    </row>
    <row r="569" spans="1:15" x14ac:dyDescent="0.2">
      <c r="A569" s="10" t="s">
        <v>1464</v>
      </c>
      <c r="B569" s="15">
        <v>0</v>
      </c>
      <c r="C569" s="15">
        <v>0</v>
      </c>
      <c r="D569" s="15">
        <v>0</v>
      </c>
      <c r="E569" s="15">
        <v>825</v>
      </c>
      <c r="F569" s="15">
        <v>0</v>
      </c>
      <c r="G569" s="15">
        <v>0</v>
      </c>
      <c r="H569" s="15">
        <v>0</v>
      </c>
      <c r="I569" s="15">
        <v>0</v>
      </c>
      <c r="J569" s="15">
        <v>0</v>
      </c>
      <c r="K569" s="15">
        <v>0</v>
      </c>
      <c r="L569" s="15">
        <v>0</v>
      </c>
      <c r="M569" s="15">
        <v>0</v>
      </c>
      <c r="N569" s="15" t="s">
        <v>3028</v>
      </c>
      <c r="O569" s="9" t="s">
        <v>3028</v>
      </c>
    </row>
    <row r="570" spans="1:15" x14ac:dyDescent="0.2">
      <c r="A570" s="10" t="s">
        <v>1466</v>
      </c>
      <c r="B570" s="15">
        <v>0</v>
      </c>
      <c r="C570" s="15">
        <v>0</v>
      </c>
      <c r="D570" s="15">
        <v>0</v>
      </c>
      <c r="E570" s="15">
        <v>825</v>
      </c>
      <c r="F570" s="15">
        <v>0</v>
      </c>
      <c r="G570" s="15">
        <v>458.33</v>
      </c>
      <c r="H570" s="15">
        <v>0</v>
      </c>
      <c r="I570" s="15">
        <v>0</v>
      </c>
      <c r="J570" s="15">
        <v>0</v>
      </c>
      <c r="K570" s="15">
        <v>0</v>
      </c>
      <c r="L570" s="15">
        <v>0</v>
      </c>
      <c r="M570" s="15">
        <v>0</v>
      </c>
      <c r="N570" s="15" t="s">
        <v>3028</v>
      </c>
      <c r="O570" s="9" t="s">
        <v>3028</v>
      </c>
    </row>
    <row r="571" spans="1:15" x14ac:dyDescent="0.2">
      <c r="A571" s="10" t="s">
        <v>1468</v>
      </c>
      <c r="B571" s="15">
        <v>0</v>
      </c>
      <c r="C571" s="15">
        <v>0</v>
      </c>
      <c r="D571" s="15">
        <v>0</v>
      </c>
      <c r="E571" s="15">
        <v>825</v>
      </c>
      <c r="F571" s="15">
        <v>0</v>
      </c>
      <c r="G571" s="15">
        <v>0</v>
      </c>
      <c r="H571" s="15">
        <v>0</v>
      </c>
      <c r="I571" s="15">
        <v>0</v>
      </c>
      <c r="J571" s="15">
        <v>0</v>
      </c>
      <c r="K571" s="15">
        <v>0</v>
      </c>
      <c r="L571" s="15">
        <v>0</v>
      </c>
      <c r="M571" s="15">
        <v>0</v>
      </c>
      <c r="N571" s="15" t="s">
        <v>3028</v>
      </c>
      <c r="O571" s="9" t="s">
        <v>3028</v>
      </c>
    </row>
    <row r="572" spans="1:15" x14ac:dyDescent="0.2">
      <c r="A572" s="10" t="s">
        <v>1474</v>
      </c>
      <c r="B572" s="15">
        <v>0</v>
      </c>
      <c r="C572" s="15">
        <v>0</v>
      </c>
      <c r="D572" s="15">
        <v>0</v>
      </c>
      <c r="E572" s="15">
        <v>825</v>
      </c>
      <c r="F572" s="15">
        <v>0</v>
      </c>
      <c r="G572" s="15">
        <v>0</v>
      </c>
      <c r="H572" s="15">
        <v>0</v>
      </c>
      <c r="I572" s="15">
        <v>0</v>
      </c>
      <c r="J572" s="15">
        <v>0</v>
      </c>
      <c r="K572" s="15">
        <v>0</v>
      </c>
      <c r="L572" s="15">
        <v>0</v>
      </c>
      <c r="M572" s="15">
        <v>0</v>
      </c>
      <c r="N572" s="15" t="s">
        <v>3028</v>
      </c>
      <c r="O572" s="9" t="s">
        <v>3028</v>
      </c>
    </row>
    <row r="573" spans="1:15" x14ac:dyDescent="0.2">
      <c r="A573" s="10" t="s">
        <v>1478</v>
      </c>
      <c r="B573" s="15">
        <v>0</v>
      </c>
      <c r="C573" s="15">
        <v>0</v>
      </c>
      <c r="D573" s="15">
        <v>0</v>
      </c>
      <c r="E573" s="15">
        <v>495</v>
      </c>
      <c r="F573" s="15">
        <v>0</v>
      </c>
      <c r="G573" s="15">
        <v>0</v>
      </c>
      <c r="H573" s="15">
        <v>0</v>
      </c>
      <c r="I573" s="15">
        <v>0</v>
      </c>
      <c r="J573" s="15">
        <v>0</v>
      </c>
      <c r="K573" s="15">
        <v>0</v>
      </c>
      <c r="L573" s="15">
        <v>0</v>
      </c>
      <c r="M573" s="15">
        <v>0</v>
      </c>
      <c r="N573" s="15" t="s">
        <v>3028</v>
      </c>
      <c r="O573" s="9" t="s">
        <v>3028</v>
      </c>
    </row>
    <row r="574" spans="1:15" x14ac:dyDescent="0.2">
      <c r="A574" s="10" t="s">
        <v>1480</v>
      </c>
      <c r="B574" s="15">
        <v>0</v>
      </c>
      <c r="C574" s="15">
        <v>0</v>
      </c>
      <c r="D574" s="15">
        <v>0</v>
      </c>
      <c r="E574" s="15">
        <v>825</v>
      </c>
      <c r="F574" s="15">
        <v>0</v>
      </c>
      <c r="G574" s="15">
        <v>0</v>
      </c>
      <c r="H574" s="15">
        <v>0</v>
      </c>
      <c r="I574" s="15">
        <v>0</v>
      </c>
      <c r="J574" s="15">
        <v>0</v>
      </c>
      <c r="K574" s="15">
        <v>0</v>
      </c>
      <c r="L574" s="15">
        <v>0</v>
      </c>
      <c r="M574" s="15">
        <v>0</v>
      </c>
      <c r="N574" s="15" t="s">
        <v>3028</v>
      </c>
      <c r="O574" s="9" t="s">
        <v>3028</v>
      </c>
    </row>
    <row r="575" spans="1:15" x14ac:dyDescent="0.2">
      <c r="A575" s="10" t="s">
        <v>1482</v>
      </c>
      <c r="B575" s="15">
        <v>0</v>
      </c>
      <c r="C575" s="15">
        <v>0</v>
      </c>
      <c r="D575" s="15">
        <v>0</v>
      </c>
      <c r="E575" s="15">
        <v>825</v>
      </c>
      <c r="F575" s="15">
        <v>0</v>
      </c>
      <c r="G575" s="15">
        <v>0</v>
      </c>
      <c r="H575" s="15">
        <v>0</v>
      </c>
      <c r="I575" s="15">
        <v>0</v>
      </c>
      <c r="J575" s="15">
        <v>0</v>
      </c>
      <c r="K575" s="15">
        <v>0</v>
      </c>
      <c r="L575" s="15">
        <v>0</v>
      </c>
      <c r="M575" s="15">
        <v>0</v>
      </c>
      <c r="N575" s="15" t="s">
        <v>3028</v>
      </c>
      <c r="O575" s="9" t="s">
        <v>3028</v>
      </c>
    </row>
    <row r="576" spans="1:15" x14ac:dyDescent="0.2">
      <c r="A576" s="10" t="s">
        <v>1484</v>
      </c>
      <c r="B576" s="15">
        <v>0</v>
      </c>
      <c r="C576" s="15">
        <v>0</v>
      </c>
      <c r="D576" s="15">
        <v>0</v>
      </c>
      <c r="E576" s="15">
        <v>825</v>
      </c>
      <c r="F576" s="15">
        <v>0</v>
      </c>
      <c r="G576" s="15">
        <v>0</v>
      </c>
      <c r="H576" s="15">
        <v>0</v>
      </c>
      <c r="I576" s="15">
        <v>0</v>
      </c>
      <c r="J576" s="15">
        <v>0</v>
      </c>
      <c r="K576" s="15">
        <v>0</v>
      </c>
      <c r="L576" s="15">
        <v>0</v>
      </c>
      <c r="M576" s="15">
        <v>0</v>
      </c>
      <c r="N576" s="15" t="s">
        <v>3028</v>
      </c>
      <c r="O576" s="9" t="s">
        <v>3028</v>
      </c>
    </row>
    <row r="577" spans="1:15" x14ac:dyDescent="0.2">
      <c r="A577" s="10" t="s">
        <v>1486</v>
      </c>
      <c r="B577" s="15">
        <v>0</v>
      </c>
      <c r="C577" s="15">
        <v>0</v>
      </c>
      <c r="D577" s="15">
        <v>0</v>
      </c>
      <c r="E577" s="15">
        <v>825</v>
      </c>
      <c r="F577" s="15">
        <v>0</v>
      </c>
      <c r="G577" s="15">
        <v>0</v>
      </c>
      <c r="H577" s="15">
        <v>1100</v>
      </c>
      <c r="I577" s="15">
        <v>0</v>
      </c>
      <c r="J577" s="15">
        <v>0</v>
      </c>
      <c r="K577" s="15">
        <v>0</v>
      </c>
      <c r="L577" s="15">
        <v>0</v>
      </c>
      <c r="M577" s="15">
        <v>0</v>
      </c>
      <c r="N577" s="15" t="s">
        <v>3028</v>
      </c>
      <c r="O577" s="9" t="s">
        <v>3028</v>
      </c>
    </row>
    <row r="578" spans="1:15" x14ac:dyDescent="0.2">
      <c r="A578" s="10" t="s">
        <v>1488</v>
      </c>
      <c r="B578" s="15">
        <v>0</v>
      </c>
      <c r="C578" s="15">
        <v>0</v>
      </c>
      <c r="D578" s="15">
        <v>0</v>
      </c>
      <c r="E578" s="15">
        <v>641.66999999999996</v>
      </c>
      <c r="F578" s="15">
        <v>0</v>
      </c>
      <c r="G578" s="15">
        <v>0</v>
      </c>
      <c r="H578" s="15">
        <v>0</v>
      </c>
      <c r="I578" s="15">
        <v>0</v>
      </c>
      <c r="J578" s="15">
        <v>0</v>
      </c>
      <c r="K578" s="15">
        <v>0</v>
      </c>
      <c r="L578" s="15">
        <v>0</v>
      </c>
      <c r="M578" s="15">
        <v>0</v>
      </c>
      <c r="N578" s="15" t="s">
        <v>3028</v>
      </c>
      <c r="O578" s="9" t="s">
        <v>3028</v>
      </c>
    </row>
    <row r="579" spans="1:15" x14ac:dyDescent="0.2">
      <c r="A579" s="10" t="s">
        <v>1490</v>
      </c>
      <c r="B579" s="15">
        <v>825</v>
      </c>
      <c r="C579" s="15">
        <v>0</v>
      </c>
      <c r="D579" s="15">
        <v>0</v>
      </c>
      <c r="E579" s="15">
        <v>0</v>
      </c>
      <c r="F579" s="15">
        <v>0</v>
      </c>
      <c r="G579" s="15">
        <v>0</v>
      </c>
      <c r="H579" s="15">
        <v>0</v>
      </c>
      <c r="I579" s="15">
        <v>0</v>
      </c>
      <c r="J579" s="15">
        <v>0</v>
      </c>
      <c r="K579" s="15">
        <v>0</v>
      </c>
      <c r="L579" s="15">
        <v>0</v>
      </c>
      <c r="M579" s="15">
        <v>0</v>
      </c>
      <c r="N579" s="15" t="s">
        <v>3028</v>
      </c>
      <c r="O579" s="9" t="s">
        <v>3028</v>
      </c>
    </row>
    <row r="580" spans="1:15" x14ac:dyDescent="0.2">
      <c r="A580" s="10" t="s">
        <v>1492</v>
      </c>
      <c r="B580" s="15">
        <v>0</v>
      </c>
      <c r="C580" s="15">
        <v>0</v>
      </c>
      <c r="D580" s="15">
        <v>0</v>
      </c>
      <c r="E580" s="15">
        <v>825</v>
      </c>
      <c r="F580" s="15">
        <v>0</v>
      </c>
      <c r="G580" s="15">
        <v>0</v>
      </c>
      <c r="H580" s="15">
        <v>0</v>
      </c>
      <c r="I580" s="15">
        <v>0</v>
      </c>
      <c r="J580" s="15">
        <v>0</v>
      </c>
      <c r="K580" s="15">
        <v>0</v>
      </c>
      <c r="L580" s="15">
        <v>0</v>
      </c>
      <c r="M580" s="15">
        <v>0</v>
      </c>
      <c r="N580" s="15" t="s">
        <v>3028</v>
      </c>
      <c r="O580" s="9" t="s">
        <v>3028</v>
      </c>
    </row>
    <row r="581" spans="1:15" x14ac:dyDescent="0.2">
      <c r="A581" s="10" t="s">
        <v>1494</v>
      </c>
      <c r="B581" s="15">
        <v>0</v>
      </c>
      <c r="C581" s="15">
        <v>0</v>
      </c>
      <c r="D581" s="15">
        <v>0</v>
      </c>
      <c r="E581" s="15">
        <v>825</v>
      </c>
      <c r="F581" s="15">
        <v>0</v>
      </c>
      <c r="G581" s="15">
        <v>0</v>
      </c>
      <c r="H581" s="15">
        <v>0</v>
      </c>
      <c r="I581" s="15">
        <v>0</v>
      </c>
      <c r="J581" s="15">
        <v>0</v>
      </c>
      <c r="K581" s="15">
        <v>0</v>
      </c>
      <c r="L581" s="15">
        <v>0</v>
      </c>
      <c r="M581" s="15">
        <v>0</v>
      </c>
      <c r="N581" s="15" t="s">
        <v>3028</v>
      </c>
      <c r="O581" s="9" t="s">
        <v>3028</v>
      </c>
    </row>
    <row r="582" spans="1:15" x14ac:dyDescent="0.2">
      <c r="A582" s="10" t="s">
        <v>1496</v>
      </c>
      <c r="B582" s="15">
        <v>0</v>
      </c>
      <c r="C582" s="15">
        <v>0</v>
      </c>
      <c r="D582" s="15">
        <v>0</v>
      </c>
      <c r="E582" s="15">
        <v>825</v>
      </c>
      <c r="F582" s="15">
        <v>0</v>
      </c>
      <c r="G582" s="15">
        <v>0</v>
      </c>
      <c r="H582" s="15">
        <v>0</v>
      </c>
      <c r="I582" s="15">
        <v>0</v>
      </c>
      <c r="J582" s="15">
        <v>0</v>
      </c>
      <c r="K582" s="15">
        <v>0</v>
      </c>
      <c r="L582" s="15">
        <v>0</v>
      </c>
      <c r="M582" s="15">
        <v>0</v>
      </c>
      <c r="N582" s="15" t="s">
        <v>3028</v>
      </c>
      <c r="O582" s="9" t="s">
        <v>3028</v>
      </c>
    </row>
    <row r="583" spans="1:15" x14ac:dyDescent="0.2">
      <c r="A583" s="10" t="s">
        <v>1500</v>
      </c>
      <c r="B583" s="15">
        <v>0</v>
      </c>
      <c r="C583" s="15">
        <v>0</v>
      </c>
      <c r="D583" s="15">
        <v>0</v>
      </c>
      <c r="E583" s="15">
        <v>825</v>
      </c>
      <c r="F583" s="15">
        <v>0</v>
      </c>
      <c r="G583" s="15">
        <v>0</v>
      </c>
      <c r="H583" s="15">
        <v>0</v>
      </c>
      <c r="I583" s="15">
        <v>0</v>
      </c>
      <c r="J583" s="15">
        <v>0</v>
      </c>
      <c r="K583" s="15">
        <v>0</v>
      </c>
      <c r="L583" s="15">
        <v>0</v>
      </c>
      <c r="M583" s="15">
        <v>0</v>
      </c>
      <c r="N583" s="15" t="s">
        <v>3028</v>
      </c>
      <c r="O583" s="9" t="s">
        <v>3028</v>
      </c>
    </row>
    <row r="584" spans="1:15" x14ac:dyDescent="0.2">
      <c r="A584" s="10" t="s">
        <v>1508</v>
      </c>
      <c r="B584" s="15">
        <v>0</v>
      </c>
      <c r="C584" s="15">
        <v>0</v>
      </c>
      <c r="D584" s="15">
        <v>0</v>
      </c>
      <c r="E584" s="15">
        <v>825</v>
      </c>
      <c r="F584" s="15">
        <v>0</v>
      </c>
      <c r="G584" s="15">
        <v>0</v>
      </c>
      <c r="H584" s="15">
        <v>0</v>
      </c>
      <c r="I584" s="15">
        <v>0</v>
      </c>
      <c r="J584" s="15">
        <v>0</v>
      </c>
      <c r="K584" s="15">
        <v>0</v>
      </c>
      <c r="L584" s="15">
        <v>0</v>
      </c>
      <c r="M584" s="15">
        <v>0</v>
      </c>
      <c r="N584" s="15" t="s">
        <v>3028</v>
      </c>
      <c r="O584" s="9" t="s">
        <v>3028</v>
      </c>
    </row>
    <row r="585" spans="1:15" x14ac:dyDescent="0.2">
      <c r="A585" s="10" t="s">
        <v>1510</v>
      </c>
      <c r="B585" s="15">
        <v>0</v>
      </c>
      <c r="C585" s="15">
        <v>0</v>
      </c>
      <c r="D585" s="15">
        <v>0</v>
      </c>
      <c r="E585" s="15">
        <v>495</v>
      </c>
      <c r="F585" s="15">
        <v>0</v>
      </c>
      <c r="G585" s="15">
        <v>0</v>
      </c>
      <c r="H585" s="15">
        <v>0</v>
      </c>
      <c r="I585" s="15">
        <v>0</v>
      </c>
      <c r="J585" s="15">
        <v>0</v>
      </c>
      <c r="K585" s="15">
        <v>0</v>
      </c>
      <c r="L585" s="15">
        <v>0</v>
      </c>
      <c r="M585" s="15">
        <v>0</v>
      </c>
      <c r="N585" s="15" t="s">
        <v>3028</v>
      </c>
      <c r="O585" s="9" t="s">
        <v>3028</v>
      </c>
    </row>
    <row r="586" spans="1:15" x14ac:dyDescent="0.2">
      <c r="A586" s="10" t="s">
        <v>1512</v>
      </c>
      <c r="B586" s="15">
        <v>0</v>
      </c>
      <c r="C586" s="15">
        <v>0</v>
      </c>
      <c r="D586" s="15">
        <v>0</v>
      </c>
      <c r="E586" s="15">
        <v>825</v>
      </c>
      <c r="F586" s="15">
        <v>0</v>
      </c>
      <c r="G586" s="15">
        <v>0</v>
      </c>
      <c r="H586" s="15">
        <v>0</v>
      </c>
      <c r="I586" s="15">
        <v>0</v>
      </c>
      <c r="J586" s="15">
        <v>0</v>
      </c>
      <c r="K586" s="15">
        <v>0</v>
      </c>
      <c r="L586" s="15">
        <v>0</v>
      </c>
      <c r="M586" s="15">
        <v>0</v>
      </c>
      <c r="N586" s="15" t="s">
        <v>3028</v>
      </c>
      <c r="O586" s="9" t="s">
        <v>3028</v>
      </c>
    </row>
    <row r="587" spans="1:15" x14ac:dyDescent="0.2">
      <c r="A587" s="10" t="s">
        <v>1514</v>
      </c>
      <c r="B587" s="15">
        <v>0</v>
      </c>
      <c r="C587" s="15">
        <v>0</v>
      </c>
      <c r="D587" s="15">
        <v>0</v>
      </c>
      <c r="E587" s="15">
        <v>825</v>
      </c>
      <c r="F587" s="15">
        <v>0</v>
      </c>
      <c r="G587" s="15">
        <v>0</v>
      </c>
      <c r="H587" s="15">
        <v>0</v>
      </c>
      <c r="I587" s="15">
        <v>0</v>
      </c>
      <c r="J587" s="15">
        <v>0</v>
      </c>
      <c r="K587" s="15">
        <v>0</v>
      </c>
      <c r="L587" s="15">
        <v>0</v>
      </c>
      <c r="M587" s="15">
        <v>0</v>
      </c>
      <c r="N587" s="15" t="s">
        <v>3028</v>
      </c>
      <c r="O587" s="9" t="s">
        <v>3028</v>
      </c>
    </row>
    <row r="588" spans="1:15" x14ac:dyDescent="0.2">
      <c r="A588" s="10" t="s">
        <v>1516</v>
      </c>
      <c r="B588" s="15">
        <v>0</v>
      </c>
      <c r="C588" s="15">
        <v>0</v>
      </c>
      <c r="D588" s="15">
        <v>0</v>
      </c>
      <c r="E588" s="15">
        <v>825</v>
      </c>
      <c r="F588" s="15">
        <v>0</v>
      </c>
      <c r="G588" s="15">
        <v>0</v>
      </c>
      <c r="H588" s="15">
        <v>0</v>
      </c>
      <c r="I588" s="15">
        <v>0</v>
      </c>
      <c r="J588" s="15">
        <v>0</v>
      </c>
      <c r="K588" s="15">
        <v>0</v>
      </c>
      <c r="L588" s="15">
        <v>0</v>
      </c>
      <c r="M588" s="15">
        <v>0</v>
      </c>
      <c r="N588" s="15" t="s">
        <v>3028</v>
      </c>
      <c r="O588" s="9" t="s">
        <v>3028</v>
      </c>
    </row>
    <row r="589" spans="1:15" x14ac:dyDescent="0.2">
      <c r="A589" s="10" t="s">
        <v>1520</v>
      </c>
      <c r="B589" s="15">
        <v>0</v>
      </c>
      <c r="C589" s="15">
        <v>0</v>
      </c>
      <c r="D589" s="15">
        <v>0</v>
      </c>
      <c r="E589" s="15">
        <v>825</v>
      </c>
      <c r="F589" s="15">
        <v>0</v>
      </c>
      <c r="G589" s="15">
        <v>0</v>
      </c>
      <c r="H589" s="15">
        <v>0</v>
      </c>
      <c r="I589" s="15">
        <v>0</v>
      </c>
      <c r="J589" s="15">
        <v>0</v>
      </c>
      <c r="K589" s="15">
        <v>0</v>
      </c>
      <c r="L589" s="15">
        <v>0</v>
      </c>
      <c r="M589" s="15">
        <v>0</v>
      </c>
      <c r="N589" s="15" t="s">
        <v>3028</v>
      </c>
      <c r="O589" s="9" t="s">
        <v>3028</v>
      </c>
    </row>
    <row r="590" spans="1:15" x14ac:dyDescent="0.2">
      <c r="A590" s="10" t="s">
        <v>1546</v>
      </c>
      <c r="B590" s="15">
        <v>0</v>
      </c>
      <c r="C590" s="15">
        <v>0</v>
      </c>
      <c r="D590" s="15">
        <v>0</v>
      </c>
      <c r="E590" s="15">
        <v>825</v>
      </c>
      <c r="F590" s="15">
        <v>0</v>
      </c>
      <c r="G590" s="15">
        <v>0</v>
      </c>
      <c r="H590" s="15">
        <v>0</v>
      </c>
      <c r="I590" s="15">
        <v>0</v>
      </c>
      <c r="J590" s="15">
        <v>0</v>
      </c>
      <c r="K590" s="15">
        <v>0</v>
      </c>
      <c r="L590" s="15">
        <v>0</v>
      </c>
      <c r="M590" s="15">
        <v>0</v>
      </c>
      <c r="N590" s="15" t="s">
        <v>3028</v>
      </c>
      <c r="O590" s="9" t="s">
        <v>3028</v>
      </c>
    </row>
    <row r="591" spans="1:15" x14ac:dyDescent="0.2">
      <c r="A591" s="10" t="s">
        <v>1548</v>
      </c>
      <c r="B591" s="15">
        <v>0</v>
      </c>
      <c r="C591" s="15">
        <v>0</v>
      </c>
      <c r="D591" s="15">
        <v>0</v>
      </c>
      <c r="E591" s="15">
        <v>825</v>
      </c>
      <c r="F591" s="15">
        <v>0</v>
      </c>
      <c r="G591" s="15">
        <v>0</v>
      </c>
      <c r="H591" s="15">
        <v>0</v>
      </c>
      <c r="I591" s="15">
        <v>0</v>
      </c>
      <c r="J591" s="15">
        <v>0</v>
      </c>
      <c r="K591" s="15">
        <v>0</v>
      </c>
      <c r="L591" s="15">
        <v>0</v>
      </c>
      <c r="M591" s="15">
        <v>0</v>
      </c>
      <c r="N591" s="15" t="s">
        <v>3028</v>
      </c>
      <c r="O591" s="9" t="s">
        <v>3028</v>
      </c>
    </row>
    <row r="592" spans="1:15" x14ac:dyDescent="0.2">
      <c r="A592" s="10" t="s">
        <v>1550</v>
      </c>
      <c r="B592" s="15">
        <v>0</v>
      </c>
      <c r="C592" s="15">
        <v>0</v>
      </c>
      <c r="D592" s="15">
        <v>0</v>
      </c>
      <c r="E592" s="15">
        <v>495</v>
      </c>
      <c r="F592" s="15">
        <v>0</v>
      </c>
      <c r="G592" s="15">
        <v>0</v>
      </c>
      <c r="H592" s="15">
        <v>0</v>
      </c>
      <c r="I592" s="15">
        <v>0</v>
      </c>
      <c r="J592" s="15">
        <v>0</v>
      </c>
      <c r="K592" s="15">
        <v>0</v>
      </c>
      <c r="L592" s="15">
        <v>0</v>
      </c>
      <c r="M592" s="15">
        <v>0</v>
      </c>
      <c r="N592" s="15" t="s">
        <v>3028</v>
      </c>
      <c r="O592" s="9" t="s">
        <v>3028</v>
      </c>
    </row>
    <row r="593" spans="1:15" x14ac:dyDescent="0.2">
      <c r="A593" s="10" t="s">
        <v>1552</v>
      </c>
      <c r="B593" s="15">
        <v>0</v>
      </c>
      <c r="C593" s="15">
        <v>0</v>
      </c>
      <c r="D593" s="15">
        <v>0</v>
      </c>
      <c r="E593" s="15">
        <v>825</v>
      </c>
      <c r="F593" s="15">
        <v>0</v>
      </c>
      <c r="G593" s="15">
        <v>0</v>
      </c>
      <c r="H593" s="15">
        <v>0</v>
      </c>
      <c r="I593" s="15">
        <v>0</v>
      </c>
      <c r="J593" s="15">
        <v>733.33</v>
      </c>
      <c r="K593" s="15">
        <v>0</v>
      </c>
      <c r="L593" s="15">
        <v>0</v>
      </c>
      <c r="M593" s="15">
        <v>0</v>
      </c>
      <c r="N593" s="15" t="s">
        <v>3028</v>
      </c>
      <c r="O593" s="9" t="s">
        <v>3028</v>
      </c>
    </row>
    <row r="594" spans="1:15" x14ac:dyDescent="0.2">
      <c r="A594" s="10" t="s">
        <v>1554</v>
      </c>
      <c r="B594" s="15">
        <v>0</v>
      </c>
      <c r="C594" s="15">
        <v>0</v>
      </c>
      <c r="D594" s="15">
        <v>0</v>
      </c>
      <c r="E594" s="15">
        <v>825</v>
      </c>
      <c r="F594" s="15">
        <v>0</v>
      </c>
      <c r="G594" s="15">
        <v>0</v>
      </c>
      <c r="H594" s="15">
        <v>0</v>
      </c>
      <c r="I594" s="15">
        <v>0</v>
      </c>
      <c r="J594" s="15">
        <v>0</v>
      </c>
      <c r="K594" s="15">
        <v>0</v>
      </c>
      <c r="L594" s="15">
        <v>0</v>
      </c>
      <c r="M594" s="15">
        <v>0</v>
      </c>
      <c r="N594" s="15" t="s">
        <v>3028</v>
      </c>
      <c r="O594" s="9" t="s">
        <v>3028</v>
      </c>
    </row>
    <row r="595" spans="1:15" x14ac:dyDescent="0.2">
      <c r="A595" s="10" t="s">
        <v>1556</v>
      </c>
      <c r="B595" s="15">
        <v>0</v>
      </c>
      <c r="C595" s="15">
        <v>0</v>
      </c>
      <c r="D595" s="15">
        <v>0</v>
      </c>
      <c r="E595" s="15">
        <v>825</v>
      </c>
      <c r="F595" s="15">
        <v>0</v>
      </c>
      <c r="G595" s="15">
        <v>0</v>
      </c>
      <c r="H595" s="15">
        <v>0</v>
      </c>
      <c r="I595" s="15">
        <v>0</v>
      </c>
      <c r="J595" s="15">
        <v>0</v>
      </c>
      <c r="K595" s="15">
        <v>0</v>
      </c>
      <c r="L595" s="15">
        <v>0</v>
      </c>
      <c r="M595" s="15">
        <v>0</v>
      </c>
      <c r="N595" s="15" t="s">
        <v>3028</v>
      </c>
      <c r="O595" s="9" t="s">
        <v>3028</v>
      </c>
    </row>
    <row r="596" spans="1:15" x14ac:dyDescent="0.2">
      <c r="A596" s="10" t="s">
        <v>1558</v>
      </c>
      <c r="B596" s="15">
        <v>0</v>
      </c>
      <c r="C596" s="15">
        <v>0</v>
      </c>
      <c r="D596" s="15">
        <v>0</v>
      </c>
      <c r="E596" s="15">
        <v>825</v>
      </c>
      <c r="F596" s="15">
        <v>0</v>
      </c>
      <c r="G596" s="15">
        <v>0</v>
      </c>
      <c r="H596" s="15">
        <v>0</v>
      </c>
      <c r="I596" s="15">
        <v>0</v>
      </c>
      <c r="J596" s="15">
        <v>0</v>
      </c>
      <c r="K596" s="15">
        <v>0</v>
      </c>
      <c r="L596" s="15">
        <v>0</v>
      </c>
      <c r="M596" s="15">
        <v>0</v>
      </c>
      <c r="N596" s="15" t="s">
        <v>3028</v>
      </c>
      <c r="O596" s="9" t="s">
        <v>3028</v>
      </c>
    </row>
    <row r="597" spans="1:15" x14ac:dyDescent="0.2">
      <c r="A597" s="10" t="s">
        <v>1560</v>
      </c>
      <c r="B597" s="15">
        <v>0</v>
      </c>
      <c r="C597" s="15">
        <v>0</v>
      </c>
      <c r="D597" s="15">
        <v>0</v>
      </c>
      <c r="E597" s="15">
        <v>825</v>
      </c>
      <c r="F597" s="15">
        <v>0</v>
      </c>
      <c r="G597" s="15">
        <v>0</v>
      </c>
      <c r="H597" s="15">
        <v>0</v>
      </c>
      <c r="I597" s="15">
        <v>0</v>
      </c>
      <c r="J597" s="15">
        <v>0</v>
      </c>
      <c r="K597" s="15">
        <v>0</v>
      </c>
      <c r="L597" s="15">
        <v>0</v>
      </c>
      <c r="M597" s="15">
        <v>0</v>
      </c>
      <c r="N597" s="15" t="s">
        <v>3028</v>
      </c>
      <c r="O597" s="9" t="s">
        <v>3028</v>
      </c>
    </row>
    <row r="598" spans="1:15" x14ac:dyDescent="0.2">
      <c r="A598" s="10" t="s">
        <v>1562</v>
      </c>
      <c r="B598" s="15">
        <v>0</v>
      </c>
      <c r="C598" s="15">
        <v>0</v>
      </c>
      <c r="D598" s="15">
        <v>0</v>
      </c>
      <c r="E598" s="15">
        <v>825</v>
      </c>
      <c r="F598" s="15">
        <v>0</v>
      </c>
      <c r="G598" s="15">
        <v>0</v>
      </c>
      <c r="H598" s="15">
        <v>0</v>
      </c>
      <c r="I598" s="15">
        <v>0</v>
      </c>
      <c r="J598" s="15">
        <v>0</v>
      </c>
      <c r="K598" s="15">
        <v>0</v>
      </c>
      <c r="L598" s="15">
        <v>0</v>
      </c>
      <c r="M598" s="15">
        <v>0</v>
      </c>
      <c r="N598" s="15" t="s">
        <v>3028</v>
      </c>
      <c r="O598" s="9" t="s">
        <v>3028</v>
      </c>
    </row>
    <row r="599" spans="1:15" x14ac:dyDescent="0.2">
      <c r="A599" s="10" t="s">
        <v>1564</v>
      </c>
      <c r="B599" s="15">
        <v>0</v>
      </c>
      <c r="C599" s="15">
        <v>0</v>
      </c>
      <c r="D599" s="15">
        <v>0</v>
      </c>
      <c r="E599" s="15">
        <v>825</v>
      </c>
      <c r="F599" s="15">
        <v>0</v>
      </c>
      <c r="G599" s="15">
        <v>0</v>
      </c>
      <c r="H599" s="15">
        <v>0</v>
      </c>
      <c r="I599" s="15">
        <v>0</v>
      </c>
      <c r="J599" s="15">
        <v>0</v>
      </c>
      <c r="K599" s="15">
        <v>0</v>
      </c>
      <c r="L599" s="15">
        <v>0</v>
      </c>
      <c r="M599" s="15">
        <v>0</v>
      </c>
      <c r="N599" s="15" t="s">
        <v>3028</v>
      </c>
      <c r="O599" s="9" t="s">
        <v>3028</v>
      </c>
    </row>
    <row r="600" spans="1:15" x14ac:dyDescent="0.2">
      <c r="A600" s="10" t="s">
        <v>1568</v>
      </c>
      <c r="B600" s="15">
        <v>0</v>
      </c>
      <c r="C600" s="15">
        <v>0</v>
      </c>
      <c r="D600" s="15">
        <v>0</v>
      </c>
      <c r="E600" s="15">
        <v>825</v>
      </c>
      <c r="F600" s="15">
        <v>0</v>
      </c>
      <c r="G600" s="15">
        <v>0</v>
      </c>
      <c r="H600" s="15">
        <v>0</v>
      </c>
      <c r="I600" s="15">
        <v>0</v>
      </c>
      <c r="J600" s="15">
        <v>0</v>
      </c>
      <c r="K600" s="15">
        <v>0</v>
      </c>
      <c r="L600" s="15">
        <v>0</v>
      </c>
      <c r="M600" s="15">
        <v>0</v>
      </c>
      <c r="N600" s="15" t="s">
        <v>3028</v>
      </c>
      <c r="O600" s="9" t="s">
        <v>3028</v>
      </c>
    </row>
    <row r="601" spans="1:15" x14ac:dyDescent="0.2">
      <c r="A601" s="10" t="s">
        <v>1570</v>
      </c>
      <c r="B601" s="15">
        <v>0</v>
      </c>
      <c r="C601" s="15">
        <v>0</v>
      </c>
      <c r="D601" s="15">
        <v>0</v>
      </c>
      <c r="E601" s="15">
        <v>825</v>
      </c>
      <c r="F601" s="15">
        <v>0</v>
      </c>
      <c r="G601" s="15">
        <v>0</v>
      </c>
      <c r="H601" s="15">
        <v>0</v>
      </c>
      <c r="I601" s="15">
        <v>0</v>
      </c>
      <c r="J601" s="15">
        <v>0</v>
      </c>
      <c r="K601" s="15">
        <v>0</v>
      </c>
      <c r="L601" s="15">
        <v>0</v>
      </c>
      <c r="M601" s="15">
        <v>0</v>
      </c>
      <c r="N601" s="15" t="s">
        <v>3028</v>
      </c>
      <c r="O601" s="9" t="s">
        <v>3028</v>
      </c>
    </row>
    <row r="602" spans="1:15" x14ac:dyDescent="0.2">
      <c r="A602" s="10" t="s">
        <v>1572</v>
      </c>
      <c r="B602" s="15">
        <v>0</v>
      </c>
      <c r="C602" s="15">
        <v>0</v>
      </c>
      <c r="D602" s="15">
        <v>0</v>
      </c>
      <c r="E602" s="15">
        <v>825</v>
      </c>
      <c r="F602" s="15">
        <v>0</v>
      </c>
      <c r="G602" s="15">
        <v>0</v>
      </c>
      <c r="H602" s="15">
        <v>0</v>
      </c>
      <c r="I602" s="15">
        <v>0</v>
      </c>
      <c r="J602" s="15">
        <v>0</v>
      </c>
      <c r="K602" s="15">
        <v>0</v>
      </c>
      <c r="L602" s="15">
        <v>0</v>
      </c>
      <c r="M602" s="15">
        <v>0</v>
      </c>
      <c r="N602" s="15" t="s">
        <v>3028</v>
      </c>
      <c r="O602" s="9" t="s">
        <v>3028</v>
      </c>
    </row>
    <row r="603" spans="1:15" x14ac:dyDescent="0.2">
      <c r="A603" s="10" t="s">
        <v>1574</v>
      </c>
      <c r="B603" s="15">
        <v>0</v>
      </c>
      <c r="C603" s="15">
        <v>0</v>
      </c>
      <c r="D603" s="15">
        <v>0</v>
      </c>
      <c r="E603" s="15">
        <v>825</v>
      </c>
      <c r="F603" s="15">
        <v>0</v>
      </c>
      <c r="G603" s="15">
        <v>0</v>
      </c>
      <c r="H603" s="15">
        <v>0</v>
      </c>
      <c r="I603" s="15">
        <v>0</v>
      </c>
      <c r="J603" s="15">
        <v>0</v>
      </c>
      <c r="K603" s="15">
        <v>0</v>
      </c>
      <c r="L603" s="15">
        <v>0</v>
      </c>
      <c r="M603" s="15">
        <v>0</v>
      </c>
      <c r="N603" s="15" t="s">
        <v>3028</v>
      </c>
      <c r="O603" s="9" t="s">
        <v>3028</v>
      </c>
    </row>
    <row r="604" spans="1:15" x14ac:dyDescent="0.2">
      <c r="A604" s="10" t="s">
        <v>1576</v>
      </c>
      <c r="B604" s="15">
        <v>0</v>
      </c>
      <c r="C604" s="15">
        <v>0</v>
      </c>
      <c r="D604" s="15">
        <v>0</v>
      </c>
      <c r="E604" s="15">
        <v>825</v>
      </c>
      <c r="F604" s="15">
        <v>0</v>
      </c>
      <c r="G604" s="15">
        <v>0</v>
      </c>
      <c r="H604" s="15">
        <v>0</v>
      </c>
      <c r="I604" s="15">
        <v>0</v>
      </c>
      <c r="J604" s="15">
        <v>0</v>
      </c>
      <c r="K604" s="15">
        <v>0</v>
      </c>
      <c r="L604" s="15">
        <v>0</v>
      </c>
      <c r="M604" s="15">
        <v>0</v>
      </c>
      <c r="N604" s="15" t="s">
        <v>3028</v>
      </c>
      <c r="O604" s="9" t="s">
        <v>3028</v>
      </c>
    </row>
    <row r="605" spans="1:15" x14ac:dyDescent="0.2">
      <c r="A605" s="10" t="s">
        <v>1578</v>
      </c>
      <c r="B605" s="15">
        <v>0</v>
      </c>
      <c r="C605" s="15">
        <v>0</v>
      </c>
      <c r="D605" s="15">
        <v>0</v>
      </c>
      <c r="E605" s="15">
        <v>825</v>
      </c>
      <c r="F605" s="15">
        <v>0</v>
      </c>
      <c r="G605" s="15">
        <v>0</v>
      </c>
      <c r="H605" s="15">
        <v>0</v>
      </c>
      <c r="I605" s="15">
        <v>0</v>
      </c>
      <c r="J605" s="15">
        <v>0</v>
      </c>
      <c r="K605" s="15">
        <v>0</v>
      </c>
      <c r="L605" s="15">
        <v>0</v>
      </c>
      <c r="M605" s="15">
        <v>0</v>
      </c>
      <c r="N605" s="15" t="s">
        <v>3028</v>
      </c>
      <c r="O605" s="9" t="s">
        <v>3028</v>
      </c>
    </row>
    <row r="606" spans="1:15" x14ac:dyDescent="0.2">
      <c r="A606" s="10" t="s">
        <v>1582</v>
      </c>
      <c r="B606" s="15">
        <v>0</v>
      </c>
      <c r="C606" s="15">
        <v>0</v>
      </c>
      <c r="D606" s="15">
        <v>0</v>
      </c>
      <c r="E606" s="15">
        <v>825</v>
      </c>
      <c r="F606" s="15">
        <v>0</v>
      </c>
      <c r="G606" s="15">
        <v>0</v>
      </c>
      <c r="H606" s="15">
        <v>0</v>
      </c>
      <c r="I606" s="15">
        <v>0</v>
      </c>
      <c r="J606" s="15">
        <v>0</v>
      </c>
      <c r="K606" s="15">
        <v>0</v>
      </c>
      <c r="L606" s="15">
        <v>0</v>
      </c>
      <c r="M606" s="15">
        <v>0</v>
      </c>
      <c r="N606" s="15" t="s">
        <v>3028</v>
      </c>
      <c r="O606" s="9" t="s">
        <v>3028</v>
      </c>
    </row>
    <row r="607" spans="1:15" x14ac:dyDescent="0.2">
      <c r="A607" s="10" t="s">
        <v>1584</v>
      </c>
      <c r="B607" s="15">
        <v>0</v>
      </c>
      <c r="C607" s="15">
        <v>0</v>
      </c>
      <c r="D607" s="15">
        <v>0</v>
      </c>
      <c r="E607" s="15">
        <v>825</v>
      </c>
      <c r="F607" s="15">
        <v>0</v>
      </c>
      <c r="G607" s="15">
        <v>0</v>
      </c>
      <c r="H607" s="15">
        <v>0</v>
      </c>
      <c r="I607" s="15">
        <v>0</v>
      </c>
      <c r="J607" s="15">
        <v>0</v>
      </c>
      <c r="K607" s="15">
        <v>825</v>
      </c>
      <c r="L607" s="15">
        <v>0</v>
      </c>
      <c r="M607" s="15">
        <v>0</v>
      </c>
      <c r="N607" s="15" t="s">
        <v>3028</v>
      </c>
      <c r="O607" s="9" t="s">
        <v>3028</v>
      </c>
    </row>
    <row r="608" spans="1:15" x14ac:dyDescent="0.2">
      <c r="A608" s="10" t="s">
        <v>1586</v>
      </c>
      <c r="B608" s="15">
        <v>0</v>
      </c>
      <c r="C608" s="15">
        <v>916.66</v>
      </c>
      <c r="D608" s="15">
        <v>0</v>
      </c>
      <c r="E608" s="15">
        <v>0</v>
      </c>
      <c r="F608" s="15">
        <v>0</v>
      </c>
      <c r="G608" s="15">
        <v>0</v>
      </c>
      <c r="H608" s="15">
        <v>0</v>
      </c>
      <c r="I608" s="15">
        <v>0</v>
      </c>
      <c r="J608" s="15">
        <v>0</v>
      </c>
      <c r="K608" s="15">
        <v>0</v>
      </c>
      <c r="L608" s="15">
        <v>0</v>
      </c>
      <c r="M608" s="15">
        <v>0</v>
      </c>
      <c r="N608" s="15" t="s">
        <v>3028</v>
      </c>
      <c r="O608" s="9" t="s">
        <v>3028</v>
      </c>
    </row>
    <row r="609" spans="1:15" x14ac:dyDescent="0.2">
      <c r="A609" s="10" t="s">
        <v>1588</v>
      </c>
      <c r="B609" s="15">
        <v>0</v>
      </c>
      <c r="C609" s="15">
        <v>0</v>
      </c>
      <c r="D609" s="15">
        <v>0</v>
      </c>
      <c r="E609" s="15">
        <v>825</v>
      </c>
      <c r="F609" s="15">
        <v>0</v>
      </c>
      <c r="G609" s="15">
        <v>0</v>
      </c>
      <c r="H609" s="15">
        <v>0</v>
      </c>
      <c r="I609" s="15">
        <v>0</v>
      </c>
      <c r="J609" s="15">
        <v>0</v>
      </c>
      <c r="K609" s="15">
        <v>0</v>
      </c>
      <c r="L609" s="15">
        <v>0</v>
      </c>
      <c r="M609" s="15">
        <v>0</v>
      </c>
      <c r="N609" s="15" t="s">
        <v>3028</v>
      </c>
      <c r="O609" s="9" t="s">
        <v>3028</v>
      </c>
    </row>
    <row r="610" spans="1:15" x14ac:dyDescent="0.2">
      <c r="A610" s="10" t="s">
        <v>1590</v>
      </c>
      <c r="B610" s="15">
        <v>0</v>
      </c>
      <c r="C610" s="15">
        <v>0</v>
      </c>
      <c r="D610" s="15">
        <v>0</v>
      </c>
      <c r="E610" s="15">
        <v>825</v>
      </c>
      <c r="F610" s="15">
        <v>0</v>
      </c>
      <c r="G610" s="15">
        <v>0</v>
      </c>
      <c r="H610" s="15">
        <v>0</v>
      </c>
      <c r="I610" s="15">
        <v>0</v>
      </c>
      <c r="J610" s="15">
        <v>0</v>
      </c>
      <c r="K610" s="15">
        <v>0</v>
      </c>
      <c r="L610" s="15">
        <v>0</v>
      </c>
      <c r="M610" s="15">
        <v>0</v>
      </c>
      <c r="N610" s="15" t="s">
        <v>3028</v>
      </c>
      <c r="O610" s="9" t="s">
        <v>3028</v>
      </c>
    </row>
    <row r="611" spans="1:15" x14ac:dyDescent="0.2">
      <c r="A611" s="10" t="s">
        <v>1592</v>
      </c>
      <c r="B611" s="15">
        <v>0</v>
      </c>
      <c r="C611" s="15">
        <v>0</v>
      </c>
      <c r="D611" s="15">
        <v>0</v>
      </c>
      <c r="E611" s="15">
        <v>825</v>
      </c>
      <c r="F611" s="15">
        <v>0</v>
      </c>
      <c r="G611" s="15">
        <v>0</v>
      </c>
      <c r="H611" s="15">
        <v>0</v>
      </c>
      <c r="I611" s="15">
        <v>0</v>
      </c>
      <c r="J611" s="15">
        <v>0</v>
      </c>
      <c r="K611" s="15">
        <v>0</v>
      </c>
      <c r="L611" s="15">
        <v>0</v>
      </c>
      <c r="M611" s="15">
        <v>0</v>
      </c>
      <c r="N611" s="15" t="s">
        <v>3028</v>
      </c>
      <c r="O611" s="9" t="s">
        <v>3028</v>
      </c>
    </row>
    <row r="612" spans="1:15" x14ac:dyDescent="0.2">
      <c r="A612" s="10" t="s">
        <v>1594</v>
      </c>
      <c r="B612" s="15">
        <v>0</v>
      </c>
      <c r="C612" s="15">
        <v>0</v>
      </c>
      <c r="D612" s="15">
        <v>0</v>
      </c>
      <c r="E612" s="15">
        <v>825</v>
      </c>
      <c r="F612" s="15">
        <v>0</v>
      </c>
      <c r="G612" s="15">
        <v>0</v>
      </c>
      <c r="H612" s="15">
        <v>0</v>
      </c>
      <c r="I612" s="15">
        <v>0</v>
      </c>
      <c r="J612" s="15">
        <v>0</v>
      </c>
      <c r="K612" s="15">
        <v>0</v>
      </c>
      <c r="L612" s="15">
        <v>0</v>
      </c>
      <c r="M612" s="15">
        <v>0</v>
      </c>
      <c r="N612" s="15" t="s">
        <v>3028</v>
      </c>
      <c r="O612" s="9" t="s">
        <v>3028</v>
      </c>
    </row>
    <row r="613" spans="1:15" x14ac:dyDescent="0.2">
      <c r="A613" s="10" t="s">
        <v>1596</v>
      </c>
      <c r="B613" s="15">
        <v>0</v>
      </c>
      <c r="C613" s="15">
        <v>0</v>
      </c>
      <c r="D613" s="15">
        <v>0</v>
      </c>
      <c r="E613" s="15">
        <v>825</v>
      </c>
      <c r="F613" s="15">
        <v>0</v>
      </c>
      <c r="G613" s="15">
        <v>0</v>
      </c>
      <c r="H613" s="15">
        <v>0</v>
      </c>
      <c r="I613" s="15">
        <v>0</v>
      </c>
      <c r="J613" s="15">
        <v>0</v>
      </c>
      <c r="K613" s="15">
        <v>0</v>
      </c>
      <c r="L613" s="15">
        <v>0</v>
      </c>
      <c r="M613" s="15">
        <v>0</v>
      </c>
      <c r="N613" s="15" t="s">
        <v>3028</v>
      </c>
      <c r="O613" s="9" t="s">
        <v>3028</v>
      </c>
    </row>
    <row r="614" spans="1:15" x14ac:dyDescent="0.2">
      <c r="A614" s="10" t="s">
        <v>1598</v>
      </c>
      <c r="B614" s="15">
        <v>0</v>
      </c>
      <c r="C614" s="15">
        <v>0</v>
      </c>
      <c r="D614" s="15">
        <v>0</v>
      </c>
      <c r="E614" s="15">
        <v>825</v>
      </c>
      <c r="F614" s="15">
        <v>0</v>
      </c>
      <c r="G614" s="15">
        <v>0</v>
      </c>
      <c r="H614" s="15">
        <v>0</v>
      </c>
      <c r="I614" s="15">
        <v>0</v>
      </c>
      <c r="J614" s="15">
        <v>0</v>
      </c>
      <c r="K614" s="15">
        <v>0</v>
      </c>
      <c r="L614" s="15">
        <v>0</v>
      </c>
      <c r="M614" s="15">
        <v>0</v>
      </c>
      <c r="N614" s="15" t="s">
        <v>3028</v>
      </c>
      <c r="O614" s="9" t="s">
        <v>3028</v>
      </c>
    </row>
    <row r="615" spans="1:15" x14ac:dyDescent="0.2">
      <c r="A615" s="10" t="s">
        <v>1600</v>
      </c>
      <c r="B615" s="15">
        <v>0</v>
      </c>
      <c r="C615" s="15">
        <v>0</v>
      </c>
      <c r="D615" s="15">
        <v>0</v>
      </c>
      <c r="E615" s="15">
        <v>825</v>
      </c>
      <c r="F615" s="15">
        <v>0</v>
      </c>
      <c r="G615" s="15">
        <v>0</v>
      </c>
      <c r="H615" s="15">
        <v>0</v>
      </c>
      <c r="I615" s="15">
        <v>0</v>
      </c>
      <c r="J615" s="15">
        <v>0</v>
      </c>
      <c r="K615" s="15">
        <v>0</v>
      </c>
      <c r="L615" s="15">
        <v>0</v>
      </c>
      <c r="M615" s="15">
        <v>0</v>
      </c>
      <c r="N615" s="15" t="s">
        <v>3028</v>
      </c>
      <c r="O615" s="9" t="s">
        <v>3028</v>
      </c>
    </row>
    <row r="616" spans="1:15" x14ac:dyDescent="0.2">
      <c r="A616" s="10" t="s">
        <v>1605</v>
      </c>
      <c r="B616" s="15">
        <v>0</v>
      </c>
      <c r="C616" s="15">
        <v>0</v>
      </c>
      <c r="D616" s="15">
        <v>0</v>
      </c>
      <c r="E616" s="15">
        <v>825</v>
      </c>
      <c r="F616" s="15">
        <v>0</v>
      </c>
      <c r="G616" s="15">
        <v>0</v>
      </c>
      <c r="H616" s="15">
        <v>0</v>
      </c>
      <c r="I616" s="15">
        <v>0</v>
      </c>
      <c r="J616" s="15">
        <v>0</v>
      </c>
      <c r="K616" s="15">
        <v>0</v>
      </c>
      <c r="L616" s="15">
        <v>0</v>
      </c>
      <c r="M616" s="15">
        <v>0</v>
      </c>
      <c r="N616" s="15" t="s">
        <v>3028</v>
      </c>
      <c r="O616" s="9" t="s">
        <v>3028</v>
      </c>
    </row>
    <row r="617" spans="1:15" x14ac:dyDescent="0.2">
      <c r="A617" s="10" t="s">
        <v>1607</v>
      </c>
      <c r="B617" s="15">
        <v>0</v>
      </c>
      <c r="C617" s="15">
        <v>0</v>
      </c>
      <c r="D617" s="15">
        <v>0</v>
      </c>
      <c r="E617" s="15">
        <v>825</v>
      </c>
      <c r="F617" s="15">
        <v>0</v>
      </c>
      <c r="G617" s="15">
        <v>0</v>
      </c>
      <c r="H617" s="15">
        <v>0</v>
      </c>
      <c r="I617" s="15">
        <v>0</v>
      </c>
      <c r="J617" s="15">
        <v>0</v>
      </c>
      <c r="K617" s="15">
        <v>0</v>
      </c>
      <c r="L617" s="15">
        <v>0</v>
      </c>
      <c r="M617" s="15">
        <v>0</v>
      </c>
      <c r="N617" s="15" t="s">
        <v>3028</v>
      </c>
      <c r="O617" s="9" t="s">
        <v>3028</v>
      </c>
    </row>
    <row r="618" spans="1:15" x14ac:dyDescent="0.2">
      <c r="A618" s="10" t="s">
        <v>1609</v>
      </c>
      <c r="B618" s="15">
        <v>0</v>
      </c>
      <c r="C618" s="15">
        <v>0</v>
      </c>
      <c r="D618" s="15">
        <v>0</v>
      </c>
      <c r="E618" s="15">
        <v>825</v>
      </c>
      <c r="F618" s="15">
        <v>0</v>
      </c>
      <c r="G618" s="15">
        <v>0</v>
      </c>
      <c r="H618" s="15">
        <v>0</v>
      </c>
      <c r="I618" s="15">
        <v>0</v>
      </c>
      <c r="J618" s="15">
        <v>0</v>
      </c>
      <c r="K618" s="15">
        <v>0</v>
      </c>
      <c r="L618" s="15">
        <v>0</v>
      </c>
      <c r="M618" s="15">
        <v>0</v>
      </c>
      <c r="N618" s="15" t="s">
        <v>3028</v>
      </c>
      <c r="O618" s="9" t="s">
        <v>3028</v>
      </c>
    </row>
    <row r="619" spans="1:15" x14ac:dyDescent="0.2">
      <c r="B619" s="15" t="s">
        <v>3028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6"/>
  <dimension ref="A1:E618"/>
  <sheetViews>
    <sheetView topLeftCell="C1" workbookViewId="0">
      <selection activeCell="B7" sqref="B7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  <col min="4" max="4" width="9.375" style="9" customWidth="1"/>
  </cols>
  <sheetData>
    <row r="1" spans="1:5" ht="47.85" customHeight="1" x14ac:dyDescent="0.25">
      <c r="A1" s="26" t="s">
        <v>69</v>
      </c>
      <c r="B1" s="27"/>
      <c r="C1" s="27"/>
      <c r="D1" s="27"/>
    </row>
    <row r="2" spans="1:5" ht="60" x14ac:dyDescent="0.25">
      <c r="A2" s="4"/>
      <c r="B2" s="4" t="s">
        <v>0</v>
      </c>
      <c r="C2" s="4" t="s">
        <v>23</v>
      </c>
      <c r="D2" s="4" t="s">
        <v>29</v>
      </c>
    </row>
    <row r="3" spans="1:5" x14ac:dyDescent="0.25">
      <c r="A3" s="10" t="s">
        <v>93</v>
      </c>
      <c r="B3" s="10" t="s">
        <v>93</v>
      </c>
      <c r="C3" s="9" t="s">
        <v>94</v>
      </c>
      <c r="D3" s="9" t="s">
        <v>3028</v>
      </c>
      <c r="E3" t="s">
        <v>3028</v>
      </c>
    </row>
    <row r="4" spans="1:5" x14ac:dyDescent="0.25">
      <c r="A4" s="10" t="s">
        <v>95</v>
      </c>
      <c r="B4" s="10" t="s">
        <v>95</v>
      </c>
      <c r="C4" s="9" t="s">
        <v>96</v>
      </c>
      <c r="D4" s="9" t="s">
        <v>3028</v>
      </c>
      <c r="E4" t="s">
        <v>3028</v>
      </c>
    </row>
    <row r="5" spans="1:5" x14ac:dyDescent="0.25">
      <c r="A5" s="10" t="s">
        <v>97</v>
      </c>
      <c r="B5" s="10" t="s">
        <v>97</v>
      </c>
      <c r="C5" s="9" t="s">
        <v>98</v>
      </c>
      <c r="D5" s="9" t="s">
        <v>3028</v>
      </c>
      <c r="E5" t="s">
        <v>3028</v>
      </c>
    </row>
    <row r="6" spans="1:5" x14ac:dyDescent="0.25">
      <c r="A6" s="10" t="s">
        <v>99</v>
      </c>
      <c r="B6" s="10" t="s">
        <v>99</v>
      </c>
      <c r="C6" s="9" t="s">
        <v>100</v>
      </c>
      <c r="D6" s="9" t="s">
        <v>3028</v>
      </c>
      <c r="E6" t="s">
        <v>3028</v>
      </c>
    </row>
    <row r="7" spans="1:5" x14ac:dyDescent="0.25">
      <c r="A7" s="10" t="s">
        <v>101</v>
      </c>
      <c r="B7" s="10" t="s">
        <v>101</v>
      </c>
      <c r="C7" s="9" t="s">
        <v>102</v>
      </c>
      <c r="D7" s="9" t="s">
        <v>3028</v>
      </c>
      <c r="E7" t="s">
        <v>3028</v>
      </c>
    </row>
    <row r="8" spans="1:5" x14ac:dyDescent="0.25">
      <c r="A8" s="10" t="s">
        <v>103</v>
      </c>
      <c r="B8" s="10" t="s">
        <v>103</v>
      </c>
      <c r="C8" s="9" t="s">
        <v>104</v>
      </c>
      <c r="D8" s="9" t="s">
        <v>3028</v>
      </c>
      <c r="E8" t="s">
        <v>3028</v>
      </c>
    </row>
    <row r="9" spans="1:5" x14ac:dyDescent="0.25">
      <c r="A9" s="10" t="s">
        <v>105</v>
      </c>
      <c r="B9" s="10" t="s">
        <v>105</v>
      </c>
      <c r="C9" s="9" t="s">
        <v>106</v>
      </c>
      <c r="D9" s="9" t="s">
        <v>3028</v>
      </c>
      <c r="E9" t="s">
        <v>3028</v>
      </c>
    </row>
    <row r="10" spans="1:5" x14ac:dyDescent="0.25">
      <c r="A10" s="10" t="s">
        <v>107</v>
      </c>
      <c r="B10" s="10" t="s">
        <v>107</v>
      </c>
      <c r="C10" s="9" t="s">
        <v>108</v>
      </c>
      <c r="D10" s="9" t="s">
        <v>3028</v>
      </c>
      <c r="E10" t="s">
        <v>3028</v>
      </c>
    </row>
    <row r="11" spans="1:5" x14ac:dyDescent="0.25">
      <c r="A11" s="10" t="s">
        <v>109</v>
      </c>
      <c r="B11" s="10" t="s">
        <v>109</v>
      </c>
      <c r="C11" s="9" t="s">
        <v>110</v>
      </c>
      <c r="D11" s="9" t="s">
        <v>3028</v>
      </c>
      <c r="E11" t="s">
        <v>3028</v>
      </c>
    </row>
    <row r="12" spans="1:5" x14ac:dyDescent="0.25">
      <c r="A12" s="10" t="s">
        <v>111</v>
      </c>
      <c r="B12" s="10" t="s">
        <v>111</v>
      </c>
      <c r="C12" s="9" t="s">
        <v>112</v>
      </c>
      <c r="D12" s="9" t="s">
        <v>3028</v>
      </c>
      <c r="E12" t="s">
        <v>3028</v>
      </c>
    </row>
    <row r="13" spans="1:5" x14ac:dyDescent="0.25">
      <c r="A13" s="10" t="s">
        <v>113</v>
      </c>
      <c r="B13" s="10" t="s">
        <v>113</v>
      </c>
      <c r="C13" s="9" t="s">
        <v>114</v>
      </c>
      <c r="D13" s="9" t="s">
        <v>3028</v>
      </c>
      <c r="E13" t="s">
        <v>3028</v>
      </c>
    </row>
    <row r="14" spans="1:5" x14ac:dyDescent="0.25">
      <c r="A14" s="10" t="s">
        <v>115</v>
      </c>
      <c r="B14" s="10" t="s">
        <v>115</v>
      </c>
      <c r="C14" s="9" t="s">
        <v>116</v>
      </c>
      <c r="D14" s="9" t="s">
        <v>3028</v>
      </c>
      <c r="E14" t="s">
        <v>3028</v>
      </c>
    </row>
    <row r="15" spans="1:5" x14ac:dyDescent="0.25">
      <c r="A15" s="10" t="s">
        <v>117</v>
      </c>
      <c r="B15" s="10" t="s">
        <v>117</v>
      </c>
      <c r="C15" s="9" t="s">
        <v>118</v>
      </c>
      <c r="D15" s="9" t="s">
        <v>3028</v>
      </c>
      <c r="E15" t="s">
        <v>3028</v>
      </c>
    </row>
    <row r="16" spans="1:5" x14ac:dyDescent="0.25">
      <c r="A16" s="10" t="s">
        <v>119</v>
      </c>
      <c r="B16" s="10" t="s">
        <v>119</v>
      </c>
      <c r="C16" s="9" t="s">
        <v>120</v>
      </c>
      <c r="D16" s="9" t="s">
        <v>3028</v>
      </c>
      <c r="E16" t="s">
        <v>3028</v>
      </c>
    </row>
    <row r="17" spans="1:5" x14ac:dyDescent="0.25">
      <c r="A17" s="10" t="s">
        <v>121</v>
      </c>
      <c r="B17" s="10" t="s">
        <v>121</v>
      </c>
      <c r="C17" s="9" t="s">
        <v>122</v>
      </c>
      <c r="D17" s="9" t="s">
        <v>3028</v>
      </c>
      <c r="E17" t="s">
        <v>3028</v>
      </c>
    </row>
    <row r="18" spans="1:5" x14ac:dyDescent="0.25">
      <c r="A18" s="10" t="s">
        <v>123</v>
      </c>
      <c r="B18" s="10" t="s">
        <v>123</v>
      </c>
      <c r="C18" s="9" t="s">
        <v>124</v>
      </c>
      <c r="D18" s="9" t="s">
        <v>3028</v>
      </c>
      <c r="E18" t="s">
        <v>3028</v>
      </c>
    </row>
    <row r="19" spans="1:5" x14ac:dyDescent="0.25">
      <c r="A19" s="10" t="s">
        <v>127</v>
      </c>
      <c r="B19" s="10" t="s">
        <v>127</v>
      </c>
      <c r="C19" s="9" t="s">
        <v>128</v>
      </c>
      <c r="D19" s="9" t="s">
        <v>3028</v>
      </c>
      <c r="E19" t="s">
        <v>3028</v>
      </c>
    </row>
    <row r="20" spans="1:5" x14ac:dyDescent="0.25">
      <c r="A20" s="10" t="s">
        <v>129</v>
      </c>
      <c r="B20" s="10" t="s">
        <v>129</v>
      </c>
      <c r="C20" s="9" t="s">
        <v>130</v>
      </c>
      <c r="D20" s="9" t="s">
        <v>3028</v>
      </c>
      <c r="E20" t="s">
        <v>3028</v>
      </c>
    </row>
    <row r="21" spans="1:5" x14ac:dyDescent="0.25">
      <c r="A21" s="10" t="s">
        <v>131</v>
      </c>
      <c r="B21" s="10" t="s">
        <v>131</v>
      </c>
      <c r="C21" s="9" t="s">
        <v>132</v>
      </c>
      <c r="D21" s="9" t="s">
        <v>3028</v>
      </c>
      <c r="E21" t="s">
        <v>3028</v>
      </c>
    </row>
    <row r="22" spans="1:5" x14ac:dyDescent="0.25">
      <c r="A22" s="10" t="s">
        <v>133</v>
      </c>
      <c r="B22" s="10" t="s">
        <v>133</v>
      </c>
      <c r="C22" s="9" t="s">
        <v>134</v>
      </c>
      <c r="D22" s="9" t="s">
        <v>3028</v>
      </c>
      <c r="E22" t="s">
        <v>3028</v>
      </c>
    </row>
    <row r="23" spans="1:5" x14ac:dyDescent="0.25">
      <c r="A23" s="10" t="s">
        <v>135</v>
      </c>
      <c r="B23" s="10" t="s">
        <v>135</v>
      </c>
      <c r="C23" s="9" t="s">
        <v>136</v>
      </c>
      <c r="D23" s="9" t="s">
        <v>3028</v>
      </c>
      <c r="E23" t="s">
        <v>3028</v>
      </c>
    </row>
    <row r="24" spans="1:5" x14ac:dyDescent="0.25">
      <c r="A24" s="10" t="s">
        <v>137</v>
      </c>
      <c r="B24" s="10" t="s">
        <v>137</v>
      </c>
      <c r="C24" s="9" t="s">
        <v>138</v>
      </c>
      <c r="D24" s="9" t="s">
        <v>3028</v>
      </c>
      <c r="E24" t="s">
        <v>3028</v>
      </c>
    </row>
    <row r="25" spans="1:5" x14ac:dyDescent="0.25">
      <c r="A25" s="10" t="s">
        <v>139</v>
      </c>
      <c r="B25" s="10" t="s">
        <v>139</v>
      </c>
      <c r="C25" s="9" t="s">
        <v>140</v>
      </c>
      <c r="D25" s="9" t="s">
        <v>3028</v>
      </c>
      <c r="E25" t="s">
        <v>3028</v>
      </c>
    </row>
    <row r="26" spans="1:5" x14ac:dyDescent="0.25">
      <c r="A26" s="10" t="s">
        <v>141</v>
      </c>
      <c r="B26" s="10" t="s">
        <v>141</v>
      </c>
      <c r="C26" s="9" t="s">
        <v>142</v>
      </c>
      <c r="D26" s="9" t="s">
        <v>3028</v>
      </c>
      <c r="E26" t="s">
        <v>3028</v>
      </c>
    </row>
    <row r="27" spans="1:5" x14ac:dyDescent="0.25">
      <c r="A27" s="10" t="s">
        <v>143</v>
      </c>
      <c r="B27" s="10" t="s">
        <v>143</v>
      </c>
      <c r="C27" s="9" t="s">
        <v>144</v>
      </c>
      <c r="D27" s="9" t="s">
        <v>3028</v>
      </c>
      <c r="E27" t="s">
        <v>3028</v>
      </c>
    </row>
    <row r="28" spans="1:5" x14ac:dyDescent="0.25">
      <c r="A28" s="10" t="s">
        <v>145</v>
      </c>
      <c r="B28" s="10" t="s">
        <v>145</v>
      </c>
      <c r="C28" s="9" t="s">
        <v>146</v>
      </c>
      <c r="D28" s="9" t="s">
        <v>3028</v>
      </c>
      <c r="E28" t="s">
        <v>3028</v>
      </c>
    </row>
    <row r="29" spans="1:5" x14ac:dyDescent="0.25">
      <c r="A29" s="10" t="s">
        <v>147</v>
      </c>
      <c r="B29" s="10" t="s">
        <v>147</v>
      </c>
      <c r="C29" s="9" t="s">
        <v>148</v>
      </c>
      <c r="D29" s="9" t="s">
        <v>3028</v>
      </c>
      <c r="E29" t="s">
        <v>3028</v>
      </c>
    </row>
    <row r="30" spans="1:5" x14ac:dyDescent="0.25">
      <c r="A30" s="10" t="s">
        <v>149</v>
      </c>
      <c r="B30" s="10" t="s">
        <v>149</v>
      </c>
      <c r="C30" s="9" t="s">
        <v>150</v>
      </c>
      <c r="D30" s="9" t="s">
        <v>3028</v>
      </c>
      <c r="E30" t="s">
        <v>3028</v>
      </c>
    </row>
    <row r="31" spans="1:5" x14ac:dyDescent="0.25">
      <c r="A31" s="10" t="s">
        <v>151</v>
      </c>
      <c r="B31" s="10" t="s">
        <v>151</v>
      </c>
      <c r="C31" s="9" t="s">
        <v>152</v>
      </c>
      <c r="D31" s="9" t="s">
        <v>3028</v>
      </c>
      <c r="E31" t="s">
        <v>3028</v>
      </c>
    </row>
    <row r="32" spans="1:5" x14ac:dyDescent="0.25">
      <c r="A32" s="10" t="s">
        <v>153</v>
      </c>
      <c r="B32" s="10" t="s">
        <v>153</v>
      </c>
      <c r="C32" s="9" t="s">
        <v>154</v>
      </c>
      <c r="D32" s="9" t="s">
        <v>3028</v>
      </c>
      <c r="E32" t="s">
        <v>3028</v>
      </c>
    </row>
    <row r="33" spans="1:5" x14ac:dyDescent="0.25">
      <c r="A33" s="10" t="s">
        <v>155</v>
      </c>
      <c r="B33" s="10" t="s">
        <v>155</v>
      </c>
      <c r="C33" s="9" t="s">
        <v>156</v>
      </c>
      <c r="D33" s="9" t="s">
        <v>3028</v>
      </c>
      <c r="E33" t="s">
        <v>3028</v>
      </c>
    </row>
    <row r="34" spans="1:5" x14ac:dyDescent="0.25">
      <c r="A34" s="10" t="s">
        <v>157</v>
      </c>
      <c r="B34" s="10" t="s">
        <v>157</v>
      </c>
      <c r="C34" s="9" t="s">
        <v>158</v>
      </c>
      <c r="D34" s="9" t="s">
        <v>3028</v>
      </c>
      <c r="E34" t="s">
        <v>3028</v>
      </c>
    </row>
    <row r="35" spans="1:5" x14ac:dyDescent="0.25">
      <c r="A35" s="10" t="s">
        <v>159</v>
      </c>
      <c r="B35" s="10" t="s">
        <v>159</v>
      </c>
      <c r="C35" s="9" t="s">
        <v>160</v>
      </c>
      <c r="D35" s="9" t="s">
        <v>3028</v>
      </c>
      <c r="E35" t="s">
        <v>3028</v>
      </c>
    </row>
    <row r="36" spans="1:5" x14ac:dyDescent="0.25">
      <c r="A36" s="10" t="s">
        <v>161</v>
      </c>
      <c r="B36" s="10" t="s">
        <v>161</v>
      </c>
      <c r="C36" s="9" t="s">
        <v>162</v>
      </c>
      <c r="D36" s="9" t="s">
        <v>3028</v>
      </c>
      <c r="E36" t="s">
        <v>3028</v>
      </c>
    </row>
    <row r="37" spans="1:5" x14ac:dyDescent="0.25">
      <c r="A37" s="10" t="s">
        <v>166</v>
      </c>
      <c r="B37" s="10" t="s">
        <v>166</v>
      </c>
      <c r="C37" s="9" t="s">
        <v>167</v>
      </c>
      <c r="D37" s="9" t="s">
        <v>3028</v>
      </c>
      <c r="E37" t="s">
        <v>3028</v>
      </c>
    </row>
    <row r="38" spans="1:5" x14ac:dyDescent="0.25">
      <c r="A38" s="10" t="s">
        <v>170</v>
      </c>
      <c r="B38" s="10" t="s">
        <v>170</v>
      </c>
      <c r="C38" s="9" t="s">
        <v>171</v>
      </c>
      <c r="D38" s="9" t="s">
        <v>3028</v>
      </c>
      <c r="E38" t="s">
        <v>3028</v>
      </c>
    </row>
    <row r="39" spans="1:5" x14ac:dyDescent="0.25">
      <c r="A39" s="10" t="s">
        <v>174</v>
      </c>
      <c r="B39" s="10" t="s">
        <v>174</v>
      </c>
      <c r="C39" s="9" t="s">
        <v>175</v>
      </c>
      <c r="D39" s="9" t="s">
        <v>3028</v>
      </c>
      <c r="E39" t="s">
        <v>3028</v>
      </c>
    </row>
    <row r="40" spans="1:5" x14ac:dyDescent="0.25">
      <c r="A40" s="10" t="s">
        <v>176</v>
      </c>
      <c r="B40" s="10" t="s">
        <v>176</v>
      </c>
      <c r="C40" s="9" t="s">
        <v>177</v>
      </c>
      <c r="D40" s="9" t="s">
        <v>3028</v>
      </c>
      <c r="E40" t="s">
        <v>3028</v>
      </c>
    </row>
    <row r="41" spans="1:5" x14ac:dyDescent="0.25">
      <c r="A41" s="10" t="s">
        <v>178</v>
      </c>
      <c r="B41" s="10" t="s">
        <v>178</v>
      </c>
      <c r="C41" s="9" t="s">
        <v>179</v>
      </c>
      <c r="D41" s="9" t="s">
        <v>3028</v>
      </c>
      <c r="E41" t="s">
        <v>3028</v>
      </c>
    </row>
    <row r="42" spans="1:5" x14ac:dyDescent="0.25">
      <c r="A42" s="10" t="s">
        <v>180</v>
      </c>
      <c r="B42" s="10" t="s">
        <v>180</v>
      </c>
      <c r="C42" s="9" t="s">
        <v>181</v>
      </c>
      <c r="D42" s="9" t="s">
        <v>3028</v>
      </c>
      <c r="E42" t="s">
        <v>3028</v>
      </c>
    </row>
    <row r="43" spans="1:5" x14ac:dyDescent="0.25">
      <c r="A43" s="10" t="s">
        <v>182</v>
      </c>
      <c r="B43" s="10" t="s">
        <v>182</v>
      </c>
      <c r="C43" s="9" t="s">
        <v>183</v>
      </c>
      <c r="D43" s="9" t="s">
        <v>3028</v>
      </c>
      <c r="E43" t="s">
        <v>3028</v>
      </c>
    </row>
    <row r="44" spans="1:5" x14ac:dyDescent="0.25">
      <c r="A44" s="10" t="s">
        <v>184</v>
      </c>
      <c r="B44" s="10" t="s">
        <v>184</v>
      </c>
      <c r="C44" s="9" t="s">
        <v>185</v>
      </c>
      <c r="D44" s="9" t="s">
        <v>3028</v>
      </c>
      <c r="E44" t="s">
        <v>3028</v>
      </c>
    </row>
    <row r="45" spans="1:5" x14ac:dyDescent="0.25">
      <c r="A45" s="10" t="s">
        <v>186</v>
      </c>
      <c r="B45" s="10" t="s">
        <v>186</v>
      </c>
      <c r="C45" s="9" t="s">
        <v>187</v>
      </c>
      <c r="D45" s="9" t="s">
        <v>3028</v>
      </c>
      <c r="E45" t="s">
        <v>3028</v>
      </c>
    </row>
    <row r="46" spans="1:5" x14ac:dyDescent="0.25">
      <c r="A46" s="10" t="s">
        <v>188</v>
      </c>
      <c r="B46" s="10" t="s">
        <v>188</v>
      </c>
      <c r="C46" s="9" t="s">
        <v>189</v>
      </c>
      <c r="D46" s="9" t="s">
        <v>3028</v>
      </c>
      <c r="E46" t="s">
        <v>3028</v>
      </c>
    </row>
    <row r="47" spans="1:5" x14ac:dyDescent="0.25">
      <c r="A47" s="10" t="s">
        <v>190</v>
      </c>
      <c r="B47" s="10" t="s">
        <v>190</v>
      </c>
      <c r="C47" s="9" t="s">
        <v>191</v>
      </c>
      <c r="D47" s="9" t="s">
        <v>3028</v>
      </c>
      <c r="E47" t="s">
        <v>3028</v>
      </c>
    </row>
    <row r="48" spans="1:5" x14ac:dyDescent="0.25">
      <c r="A48" s="10" t="s">
        <v>192</v>
      </c>
      <c r="B48" s="10" t="s">
        <v>192</v>
      </c>
      <c r="C48" s="9" t="s">
        <v>193</v>
      </c>
      <c r="D48" s="9" t="s">
        <v>3028</v>
      </c>
      <c r="E48" t="s">
        <v>3028</v>
      </c>
    </row>
    <row r="49" spans="1:5" x14ac:dyDescent="0.25">
      <c r="A49" s="10" t="s">
        <v>196</v>
      </c>
      <c r="B49" s="10" t="s">
        <v>196</v>
      </c>
      <c r="C49" s="9" t="s">
        <v>197</v>
      </c>
      <c r="D49" s="9" t="s">
        <v>3028</v>
      </c>
      <c r="E49" t="s">
        <v>3028</v>
      </c>
    </row>
    <row r="50" spans="1:5" x14ac:dyDescent="0.25">
      <c r="A50" s="10" t="s">
        <v>200</v>
      </c>
      <c r="B50" s="10" t="s">
        <v>200</v>
      </c>
      <c r="C50" s="9" t="s">
        <v>201</v>
      </c>
      <c r="D50" s="9" t="s">
        <v>3028</v>
      </c>
      <c r="E50" t="s">
        <v>3028</v>
      </c>
    </row>
    <row r="51" spans="1:5" x14ac:dyDescent="0.25">
      <c r="A51" s="10" t="s">
        <v>202</v>
      </c>
      <c r="B51" s="10" t="s">
        <v>202</v>
      </c>
      <c r="C51" s="9" t="s">
        <v>203</v>
      </c>
      <c r="D51" s="9" t="s">
        <v>3028</v>
      </c>
      <c r="E51" t="s">
        <v>3028</v>
      </c>
    </row>
    <row r="52" spans="1:5" x14ac:dyDescent="0.25">
      <c r="A52" s="10" t="s">
        <v>204</v>
      </c>
      <c r="B52" s="10" t="s">
        <v>204</v>
      </c>
      <c r="C52" s="9" t="s">
        <v>205</v>
      </c>
      <c r="D52" s="9" t="s">
        <v>3028</v>
      </c>
      <c r="E52" t="s">
        <v>3028</v>
      </c>
    </row>
    <row r="53" spans="1:5" x14ac:dyDescent="0.25">
      <c r="A53" s="10" t="s">
        <v>208</v>
      </c>
      <c r="B53" s="10" t="s">
        <v>208</v>
      </c>
      <c r="C53" s="9" t="s">
        <v>209</v>
      </c>
      <c r="D53" s="9" t="s">
        <v>3028</v>
      </c>
      <c r="E53" t="s">
        <v>3028</v>
      </c>
    </row>
    <row r="54" spans="1:5" x14ac:dyDescent="0.25">
      <c r="A54" s="10" t="s">
        <v>210</v>
      </c>
      <c r="B54" s="10" t="s">
        <v>210</v>
      </c>
      <c r="C54" s="9" t="s">
        <v>211</v>
      </c>
      <c r="D54" s="9" t="s">
        <v>3028</v>
      </c>
      <c r="E54" t="s">
        <v>3028</v>
      </c>
    </row>
    <row r="55" spans="1:5" x14ac:dyDescent="0.25">
      <c r="A55" s="10" t="s">
        <v>212</v>
      </c>
      <c r="B55" s="10" t="s">
        <v>212</v>
      </c>
      <c r="C55" s="9" t="s">
        <v>213</v>
      </c>
      <c r="D55" s="9" t="s">
        <v>3028</v>
      </c>
      <c r="E55" t="s">
        <v>3028</v>
      </c>
    </row>
    <row r="56" spans="1:5" x14ac:dyDescent="0.25">
      <c r="A56" s="10" t="s">
        <v>216</v>
      </c>
      <c r="B56" s="10" t="s">
        <v>216</v>
      </c>
      <c r="C56" s="9" t="s">
        <v>217</v>
      </c>
      <c r="D56" s="9" t="s">
        <v>3028</v>
      </c>
      <c r="E56" t="s">
        <v>3028</v>
      </c>
    </row>
    <row r="57" spans="1:5" x14ac:dyDescent="0.25">
      <c r="A57" s="10" t="s">
        <v>218</v>
      </c>
      <c r="B57" s="10" t="s">
        <v>218</v>
      </c>
      <c r="C57" s="9" t="s">
        <v>219</v>
      </c>
      <c r="D57" s="9" t="s">
        <v>3028</v>
      </c>
      <c r="E57" t="s">
        <v>3028</v>
      </c>
    </row>
    <row r="58" spans="1:5" x14ac:dyDescent="0.25">
      <c r="A58" s="10" t="s">
        <v>224</v>
      </c>
      <c r="B58" s="10" t="s">
        <v>224</v>
      </c>
      <c r="C58" s="9" t="s">
        <v>225</v>
      </c>
      <c r="D58" s="9" t="s">
        <v>3028</v>
      </c>
      <c r="E58" t="s">
        <v>3028</v>
      </c>
    </row>
    <row r="59" spans="1:5" x14ac:dyDescent="0.25">
      <c r="A59" s="10" t="s">
        <v>226</v>
      </c>
      <c r="B59" s="10" t="s">
        <v>226</v>
      </c>
      <c r="C59" s="9" t="s">
        <v>227</v>
      </c>
      <c r="D59" s="9" t="s">
        <v>3028</v>
      </c>
      <c r="E59" t="s">
        <v>3028</v>
      </c>
    </row>
    <row r="60" spans="1:5" x14ac:dyDescent="0.25">
      <c r="A60" s="10" t="s">
        <v>228</v>
      </c>
      <c r="B60" s="10" t="s">
        <v>228</v>
      </c>
      <c r="C60" s="9" t="s">
        <v>229</v>
      </c>
      <c r="D60" s="9" t="s">
        <v>3028</v>
      </c>
      <c r="E60" t="s">
        <v>3028</v>
      </c>
    </row>
    <row r="61" spans="1:5" x14ac:dyDescent="0.25">
      <c r="A61" s="10" t="s">
        <v>230</v>
      </c>
      <c r="B61" s="10" t="s">
        <v>230</v>
      </c>
      <c r="C61" s="9" t="s">
        <v>231</v>
      </c>
      <c r="D61" s="9" t="s">
        <v>3028</v>
      </c>
      <c r="E61" t="s">
        <v>3028</v>
      </c>
    </row>
    <row r="62" spans="1:5" x14ac:dyDescent="0.25">
      <c r="A62" s="10" t="s">
        <v>232</v>
      </c>
      <c r="B62" s="10" t="s">
        <v>232</v>
      </c>
      <c r="C62" s="9" t="s">
        <v>233</v>
      </c>
      <c r="D62" s="9" t="s">
        <v>3028</v>
      </c>
      <c r="E62" t="s">
        <v>3028</v>
      </c>
    </row>
    <row r="63" spans="1:5" x14ac:dyDescent="0.25">
      <c r="A63" s="10" t="s">
        <v>234</v>
      </c>
      <c r="B63" s="10" t="s">
        <v>234</v>
      </c>
      <c r="C63" s="9" t="s">
        <v>235</v>
      </c>
      <c r="D63" s="9" t="s">
        <v>3028</v>
      </c>
      <c r="E63" t="s">
        <v>3028</v>
      </c>
    </row>
    <row r="64" spans="1:5" x14ac:dyDescent="0.25">
      <c r="A64" s="10" t="s">
        <v>236</v>
      </c>
      <c r="B64" s="10" t="s">
        <v>236</v>
      </c>
      <c r="C64" s="9" t="s">
        <v>237</v>
      </c>
      <c r="D64" s="9" t="s">
        <v>3028</v>
      </c>
      <c r="E64" t="s">
        <v>3028</v>
      </c>
    </row>
    <row r="65" spans="1:5" x14ac:dyDescent="0.25">
      <c r="A65" s="10" t="s">
        <v>238</v>
      </c>
      <c r="B65" s="10" t="s">
        <v>238</v>
      </c>
      <c r="C65" s="9" t="s">
        <v>239</v>
      </c>
      <c r="D65" s="9" t="s">
        <v>3028</v>
      </c>
      <c r="E65" t="s">
        <v>3028</v>
      </c>
    </row>
    <row r="66" spans="1:5" x14ac:dyDescent="0.25">
      <c r="A66" s="10" t="s">
        <v>240</v>
      </c>
      <c r="B66" s="10" t="s">
        <v>240</v>
      </c>
      <c r="C66" s="9" t="s">
        <v>241</v>
      </c>
      <c r="D66" s="9" t="s">
        <v>3028</v>
      </c>
      <c r="E66" t="s">
        <v>3028</v>
      </c>
    </row>
    <row r="67" spans="1:5" x14ac:dyDescent="0.25">
      <c r="A67" s="10" t="s">
        <v>242</v>
      </c>
      <c r="B67" s="10" t="s">
        <v>242</v>
      </c>
      <c r="C67" s="9" t="s">
        <v>243</v>
      </c>
      <c r="D67" s="9" t="s">
        <v>3028</v>
      </c>
      <c r="E67" t="s">
        <v>3028</v>
      </c>
    </row>
    <row r="68" spans="1:5" x14ac:dyDescent="0.25">
      <c r="A68" s="10" t="s">
        <v>244</v>
      </c>
      <c r="B68" s="10" t="s">
        <v>244</v>
      </c>
      <c r="C68" s="9" t="s">
        <v>245</v>
      </c>
      <c r="D68" s="9" t="s">
        <v>3028</v>
      </c>
      <c r="E68" t="s">
        <v>3028</v>
      </c>
    </row>
    <row r="69" spans="1:5" x14ac:dyDescent="0.25">
      <c r="A69" s="10" t="s">
        <v>246</v>
      </c>
      <c r="B69" s="10" t="s">
        <v>246</v>
      </c>
      <c r="C69" s="9" t="s">
        <v>247</v>
      </c>
      <c r="D69" s="9" t="s">
        <v>3028</v>
      </c>
      <c r="E69" t="s">
        <v>3028</v>
      </c>
    </row>
    <row r="70" spans="1:5" x14ac:dyDescent="0.25">
      <c r="A70" s="10" t="s">
        <v>248</v>
      </c>
      <c r="B70" s="10" t="s">
        <v>248</v>
      </c>
      <c r="C70" s="9" t="s">
        <v>249</v>
      </c>
      <c r="D70" s="9" t="s">
        <v>3028</v>
      </c>
      <c r="E70" t="s">
        <v>3028</v>
      </c>
    </row>
    <row r="71" spans="1:5" x14ac:dyDescent="0.25">
      <c r="A71" s="10" t="s">
        <v>250</v>
      </c>
      <c r="B71" s="10" t="s">
        <v>250</v>
      </c>
      <c r="C71" s="9" t="s">
        <v>251</v>
      </c>
      <c r="D71" s="9" t="s">
        <v>3028</v>
      </c>
      <c r="E71" t="s">
        <v>3028</v>
      </c>
    </row>
    <row r="72" spans="1:5" x14ac:dyDescent="0.25">
      <c r="A72" s="10" t="s">
        <v>254</v>
      </c>
      <c r="B72" s="10" t="s">
        <v>254</v>
      </c>
      <c r="C72" s="9" t="s">
        <v>255</v>
      </c>
      <c r="D72" s="9" t="s">
        <v>3028</v>
      </c>
      <c r="E72" t="s">
        <v>3028</v>
      </c>
    </row>
    <row r="73" spans="1:5" x14ac:dyDescent="0.25">
      <c r="A73" s="10" t="s">
        <v>256</v>
      </c>
      <c r="B73" s="10" t="s">
        <v>256</v>
      </c>
      <c r="C73" s="9" t="s">
        <v>257</v>
      </c>
      <c r="D73" s="9" t="s">
        <v>3028</v>
      </c>
      <c r="E73" t="s">
        <v>3028</v>
      </c>
    </row>
    <row r="74" spans="1:5" x14ac:dyDescent="0.25">
      <c r="A74" s="10" t="s">
        <v>258</v>
      </c>
      <c r="B74" s="10" t="s">
        <v>258</v>
      </c>
      <c r="C74" s="9" t="s">
        <v>259</v>
      </c>
      <c r="D74" s="9" t="s">
        <v>3028</v>
      </c>
      <c r="E74" t="s">
        <v>3028</v>
      </c>
    </row>
    <row r="75" spans="1:5" x14ac:dyDescent="0.25">
      <c r="A75" s="10" t="s">
        <v>260</v>
      </c>
      <c r="B75" s="10" t="s">
        <v>260</v>
      </c>
      <c r="C75" s="9" t="s">
        <v>261</v>
      </c>
      <c r="D75" s="9" t="s">
        <v>3028</v>
      </c>
      <c r="E75" t="s">
        <v>3028</v>
      </c>
    </row>
    <row r="76" spans="1:5" x14ac:dyDescent="0.25">
      <c r="A76" s="10" t="s">
        <v>262</v>
      </c>
      <c r="B76" s="10" t="s">
        <v>262</v>
      </c>
      <c r="C76" s="9" t="s">
        <v>263</v>
      </c>
      <c r="D76" s="9" t="s">
        <v>3028</v>
      </c>
      <c r="E76" t="s">
        <v>3028</v>
      </c>
    </row>
    <row r="77" spans="1:5" x14ac:dyDescent="0.25">
      <c r="A77" s="10" t="s">
        <v>264</v>
      </c>
      <c r="B77" s="10" t="s">
        <v>264</v>
      </c>
      <c r="C77" s="9" t="s">
        <v>265</v>
      </c>
      <c r="D77" s="9" t="s">
        <v>3028</v>
      </c>
      <c r="E77" t="s">
        <v>3028</v>
      </c>
    </row>
    <row r="78" spans="1:5" x14ac:dyDescent="0.25">
      <c r="A78" s="10" t="s">
        <v>266</v>
      </c>
      <c r="B78" s="10" t="s">
        <v>266</v>
      </c>
      <c r="C78" s="9" t="s">
        <v>267</v>
      </c>
      <c r="D78" s="9" t="s">
        <v>3028</v>
      </c>
      <c r="E78" t="s">
        <v>3028</v>
      </c>
    </row>
    <row r="79" spans="1:5" x14ac:dyDescent="0.25">
      <c r="A79" s="10" t="s">
        <v>268</v>
      </c>
      <c r="B79" s="10" t="s">
        <v>268</v>
      </c>
      <c r="C79" s="9" t="s">
        <v>269</v>
      </c>
      <c r="D79" s="9" t="s">
        <v>3028</v>
      </c>
      <c r="E79" t="s">
        <v>3028</v>
      </c>
    </row>
    <row r="80" spans="1:5" x14ac:dyDescent="0.25">
      <c r="A80" s="10" t="s">
        <v>270</v>
      </c>
      <c r="B80" s="10" t="s">
        <v>270</v>
      </c>
      <c r="C80" s="9" t="s">
        <v>271</v>
      </c>
      <c r="D80" s="9" t="s">
        <v>3028</v>
      </c>
      <c r="E80" t="s">
        <v>3028</v>
      </c>
    </row>
    <row r="81" spans="1:5" x14ac:dyDescent="0.25">
      <c r="A81" s="10" t="s">
        <v>272</v>
      </c>
      <c r="B81" s="10" t="s">
        <v>272</v>
      </c>
      <c r="C81" s="9" t="s">
        <v>273</v>
      </c>
      <c r="D81" s="9" t="s">
        <v>3028</v>
      </c>
      <c r="E81" t="s">
        <v>3028</v>
      </c>
    </row>
    <row r="82" spans="1:5" x14ac:dyDescent="0.25">
      <c r="A82" s="10" t="s">
        <v>274</v>
      </c>
      <c r="B82" s="10" t="s">
        <v>274</v>
      </c>
      <c r="C82" s="9" t="s">
        <v>275</v>
      </c>
      <c r="D82" s="9" t="s">
        <v>3028</v>
      </c>
      <c r="E82" t="s">
        <v>3028</v>
      </c>
    </row>
    <row r="83" spans="1:5" x14ac:dyDescent="0.25">
      <c r="A83" s="10" t="s">
        <v>278</v>
      </c>
      <c r="B83" s="10" t="s">
        <v>278</v>
      </c>
      <c r="C83" s="9" t="s">
        <v>279</v>
      </c>
      <c r="D83" s="9" t="s">
        <v>3028</v>
      </c>
      <c r="E83" t="s">
        <v>3028</v>
      </c>
    </row>
    <row r="84" spans="1:5" x14ac:dyDescent="0.25">
      <c r="A84" s="10" t="s">
        <v>280</v>
      </c>
      <c r="B84" s="10" t="s">
        <v>280</v>
      </c>
      <c r="C84" s="9" t="s">
        <v>281</v>
      </c>
      <c r="D84" s="9" t="s">
        <v>3028</v>
      </c>
      <c r="E84" t="s">
        <v>3028</v>
      </c>
    </row>
    <row r="85" spans="1:5" x14ac:dyDescent="0.25">
      <c r="A85" s="10" t="s">
        <v>282</v>
      </c>
      <c r="B85" s="10" t="s">
        <v>282</v>
      </c>
      <c r="C85" s="9" t="s">
        <v>283</v>
      </c>
      <c r="D85" s="9" t="s">
        <v>3028</v>
      </c>
      <c r="E85" t="s">
        <v>3028</v>
      </c>
    </row>
    <row r="86" spans="1:5" x14ac:dyDescent="0.25">
      <c r="A86" s="10" t="s">
        <v>284</v>
      </c>
      <c r="B86" s="10" t="s">
        <v>284</v>
      </c>
      <c r="C86" s="9" t="s">
        <v>285</v>
      </c>
      <c r="D86" s="9" t="s">
        <v>3028</v>
      </c>
      <c r="E86" t="s">
        <v>3028</v>
      </c>
    </row>
    <row r="87" spans="1:5" x14ac:dyDescent="0.25">
      <c r="A87" s="10" t="s">
        <v>286</v>
      </c>
      <c r="B87" s="10" t="s">
        <v>286</v>
      </c>
      <c r="C87" s="9" t="s">
        <v>287</v>
      </c>
      <c r="D87" s="9" t="s">
        <v>3028</v>
      </c>
      <c r="E87" t="s">
        <v>3028</v>
      </c>
    </row>
    <row r="88" spans="1:5" x14ac:dyDescent="0.25">
      <c r="A88" s="10" t="s">
        <v>288</v>
      </c>
      <c r="B88" s="10" t="s">
        <v>288</v>
      </c>
      <c r="C88" s="9" t="s">
        <v>289</v>
      </c>
      <c r="D88" s="9" t="s">
        <v>3028</v>
      </c>
      <c r="E88" t="s">
        <v>3028</v>
      </c>
    </row>
    <row r="89" spans="1:5" x14ac:dyDescent="0.25">
      <c r="A89" s="10" t="s">
        <v>290</v>
      </c>
      <c r="B89" s="10" t="s">
        <v>290</v>
      </c>
      <c r="C89" s="9" t="s">
        <v>291</v>
      </c>
      <c r="D89" s="9" t="s">
        <v>3028</v>
      </c>
      <c r="E89" t="s">
        <v>3028</v>
      </c>
    </row>
    <row r="90" spans="1:5" x14ac:dyDescent="0.25">
      <c r="A90" s="10" t="s">
        <v>292</v>
      </c>
      <c r="B90" s="10" t="s">
        <v>292</v>
      </c>
      <c r="C90" s="9" t="s">
        <v>293</v>
      </c>
      <c r="D90" s="9" t="s">
        <v>3028</v>
      </c>
      <c r="E90" t="s">
        <v>3028</v>
      </c>
    </row>
    <row r="91" spans="1:5" x14ac:dyDescent="0.25">
      <c r="A91" s="10" t="s">
        <v>294</v>
      </c>
      <c r="B91" s="10" t="s">
        <v>294</v>
      </c>
      <c r="C91" s="9" t="s">
        <v>295</v>
      </c>
      <c r="D91" s="9" t="s">
        <v>3028</v>
      </c>
      <c r="E91" t="s">
        <v>3028</v>
      </c>
    </row>
    <row r="92" spans="1:5" x14ac:dyDescent="0.25">
      <c r="A92" s="10" t="s">
        <v>296</v>
      </c>
      <c r="B92" s="10" t="s">
        <v>296</v>
      </c>
      <c r="C92" s="9" t="s">
        <v>297</v>
      </c>
      <c r="D92" s="9" t="s">
        <v>3028</v>
      </c>
      <c r="E92" t="s">
        <v>3028</v>
      </c>
    </row>
    <row r="93" spans="1:5" x14ac:dyDescent="0.25">
      <c r="A93" s="10" t="s">
        <v>298</v>
      </c>
      <c r="B93" s="10" t="s">
        <v>298</v>
      </c>
      <c r="C93" s="9" t="s">
        <v>299</v>
      </c>
      <c r="D93" s="9" t="s">
        <v>3028</v>
      </c>
      <c r="E93" t="s">
        <v>3028</v>
      </c>
    </row>
    <row r="94" spans="1:5" x14ac:dyDescent="0.25">
      <c r="A94" s="10" t="s">
        <v>300</v>
      </c>
      <c r="B94" s="10" t="s">
        <v>300</v>
      </c>
      <c r="C94" s="9" t="s">
        <v>301</v>
      </c>
      <c r="D94" s="9" t="s">
        <v>3028</v>
      </c>
      <c r="E94" t="s">
        <v>3028</v>
      </c>
    </row>
    <row r="95" spans="1:5" x14ac:dyDescent="0.25">
      <c r="A95" s="10" t="s">
        <v>302</v>
      </c>
      <c r="B95" s="10" t="s">
        <v>302</v>
      </c>
      <c r="C95" s="9" t="s">
        <v>303</v>
      </c>
      <c r="D95" s="9" t="s">
        <v>3028</v>
      </c>
      <c r="E95" t="s">
        <v>3028</v>
      </c>
    </row>
    <row r="96" spans="1:5" x14ac:dyDescent="0.25">
      <c r="A96" s="10" t="s">
        <v>304</v>
      </c>
      <c r="B96" s="10" t="s">
        <v>304</v>
      </c>
      <c r="C96" s="9" t="s">
        <v>305</v>
      </c>
      <c r="D96" s="9" t="s">
        <v>3028</v>
      </c>
      <c r="E96" t="s">
        <v>3028</v>
      </c>
    </row>
    <row r="97" spans="1:5" x14ac:dyDescent="0.25">
      <c r="A97" s="10" t="s">
        <v>306</v>
      </c>
      <c r="B97" s="10" t="s">
        <v>306</v>
      </c>
      <c r="C97" s="9" t="s">
        <v>307</v>
      </c>
      <c r="D97" s="9" t="s">
        <v>3028</v>
      </c>
      <c r="E97" t="s">
        <v>3028</v>
      </c>
    </row>
    <row r="98" spans="1:5" x14ac:dyDescent="0.25">
      <c r="A98" s="10" t="s">
        <v>308</v>
      </c>
      <c r="B98" s="10" t="s">
        <v>308</v>
      </c>
      <c r="C98" s="9" t="s">
        <v>309</v>
      </c>
      <c r="D98" s="9" t="s">
        <v>3028</v>
      </c>
      <c r="E98" t="s">
        <v>3028</v>
      </c>
    </row>
    <row r="99" spans="1:5" x14ac:dyDescent="0.25">
      <c r="A99" s="10" t="s">
        <v>312</v>
      </c>
      <c r="B99" s="10" t="s">
        <v>312</v>
      </c>
      <c r="C99" s="9" t="s">
        <v>313</v>
      </c>
      <c r="D99" s="9" t="s">
        <v>3028</v>
      </c>
      <c r="E99" t="s">
        <v>3028</v>
      </c>
    </row>
    <row r="100" spans="1:5" x14ac:dyDescent="0.25">
      <c r="A100" s="10" t="s">
        <v>314</v>
      </c>
      <c r="B100" s="10" t="s">
        <v>314</v>
      </c>
      <c r="C100" s="9" t="s">
        <v>315</v>
      </c>
      <c r="D100" s="9" t="s">
        <v>3028</v>
      </c>
      <c r="E100" t="s">
        <v>3028</v>
      </c>
    </row>
    <row r="101" spans="1:5" x14ac:dyDescent="0.25">
      <c r="A101" s="10" t="s">
        <v>316</v>
      </c>
      <c r="B101" s="10" t="s">
        <v>316</v>
      </c>
      <c r="C101" s="9" t="s">
        <v>317</v>
      </c>
      <c r="D101" s="9" t="s">
        <v>3028</v>
      </c>
      <c r="E101" t="s">
        <v>3028</v>
      </c>
    </row>
    <row r="102" spans="1:5" x14ac:dyDescent="0.25">
      <c r="A102" s="10" t="s">
        <v>318</v>
      </c>
      <c r="B102" s="10" t="s">
        <v>318</v>
      </c>
      <c r="C102" s="9" t="s">
        <v>319</v>
      </c>
      <c r="D102" s="9" t="s">
        <v>3028</v>
      </c>
      <c r="E102" t="s">
        <v>3028</v>
      </c>
    </row>
    <row r="103" spans="1:5" x14ac:dyDescent="0.25">
      <c r="A103" s="10" t="s">
        <v>320</v>
      </c>
      <c r="B103" s="10" t="s">
        <v>320</v>
      </c>
      <c r="C103" s="9" t="s">
        <v>321</v>
      </c>
      <c r="D103" s="9" t="s">
        <v>3028</v>
      </c>
      <c r="E103" t="s">
        <v>3028</v>
      </c>
    </row>
    <row r="104" spans="1:5" x14ac:dyDescent="0.25">
      <c r="A104" s="10" t="s">
        <v>322</v>
      </c>
      <c r="B104" s="10" t="s">
        <v>322</v>
      </c>
      <c r="C104" s="9" t="s">
        <v>323</v>
      </c>
      <c r="D104" s="9" t="s">
        <v>3028</v>
      </c>
      <c r="E104" t="s">
        <v>3028</v>
      </c>
    </row>
    <row r="105" spans="1:5" x14ac:dyDescent="0.25">
      <c r="A105" s="10" t="s">
        <v>324</v>
      </c>
      <c r="B105" s="10" t="s">
        <v>324</v>
      </c>
      <c r="C105" s="9" t="s">
        <v>325</v>
      </c>
      <c r="D105" s="9" t="s">
        <v>3028</v>
      </c>
      <c r="E105" t="s">
        <v>3028</v>
      </c>
    </row>
    <row r="106" spans="1:5" x14ac:dyDescent="0.25">
      <c r="A106" s="10" t="s">
        <v>326</v>
      </c>
      <c r="B106" s="10" t="s">
        <v>326</v>
      </c>
      <c r="C106" s="9" t="s">
        <v>327</v>
      </c>
      <c r="D106" s="9" t="s">
        <v>3028</v>
      </c>
      <c r="E106" t="s">
        <v>3028</v>
      </c>
    </row>
    <row r="107" spans="1:5" x14ac:dyDescent="0.25">
      <c r="A107" s="10" t="s">
        <v>1615</v>
      </c>
      <c r="B107" s="10" t="s">
        <v>1615</v>
      </c>
      <c r="C107" s="9" t="s">
        <v>1616</v>
      </c>
      <c r="D107" s="9" t="s">
        <v>3028</v>
      </c>
      <c r="E107" t="s">
        <v>3028</v>
      </c>
    </row>
    <row r="108" spans="1:5" x14ac:dyDescent="0.25">
      <c r="A108" s="10" t="s">
        <v>330</v>
      </c>
      <c r="B108" s="10" t="s">
        <v>330</v>
      </c>
      <c r="C108" s="9" t="s">
        <v>331</v>
      </c>
      <c r="D108" s="9" t="s">
        <v>3028</v>
      </c>
      <c r="E108" t="s">
        <v>3028</v>
      </c>
    </row>
    <row r="109" spans="1:5" x14ac:dyDescent="0.25">
      <c r="A109" s="10" t="s">
        <v>332</v>
      </c>
      <c r="B109" s="10" t="s">
        <v>332</v>
      </c>
      <c r="C109" s="9" t="s">
        <v>333</v>
      </c>
      <c r="D109" s="9" t="s">
        <v>3028</v>
      </c>
      <c r="E109" t="s">
        <v>3028</v>
      </c>
    </row>
    <row r="110" spans="1:5" x14ac:dyDescent="0.25">
      <c r="A110" s="10" t="s">
        <v>334</v>
      </c>
      <c r="B110" s="10" t="s">
        <v>334</v>
      </c>
      <c r="C110" s="9" t="s">
        <v>335</v>
      </c>
      <c r="D110" s="9" t="s">
        <v>3028</v>
      </c>
      <c r="E110" t="s">
        <v>3028</v>
      </c>
    </row>
    <row r="111" spans="1:5" x14ac:dyDescent="0.25">
      <c r="A111" s="10" t="s">
        <v>338</v>
      </c>
      <c r="B111" s="10" t="s">
        <v>338</v>
      </c>
      <c r="C111" s="9" t="s">
        <v>339</v>
      </c>
      <c r="D111" s="9" t="s">
        <v>3028</v>
      </c>
      <c r="E111" t="s">
        <v>3028</v>
      </c>
    </row>
    <row r="112" spans="1:5" x14ac:dyDescent="0.25">
      <c r="A112" s="10" t="s">
        <v>340</v>
      </c>
      <c r="B112" s="10" t="s">
        <v>340</v>
      </c>
      <c r="C112" s="9" t="s">
        <v>341</v>
      </c>
      <c r="D112" s="9" t="s">
        <v>3028</v>
      </c>
      <c r="E112" t="s">
        <v>3028</v>
      </c>
    </row>
    <row r="113" spans="1:5" x14ac:dyDescent="0.25">
      <c r="A113" s="10" t="s">
        <v>342</v>
      </c>
      <c r="B113" s="10" t="s">
        <v>342</v>
      </c>
      <c r="C113" s="9" t="s">
        <v>343</v>
      </c>
      <c r="D113" s="9" t="s">
        <v>3028</v>
      </c>
      <c r="E113" t="s">
        <v>3028</v>
      </c>
    </row>
    <row r="114" spans="1:5" x14ac:dyDescent="0.25">
      <c r="A114" s="10" t="s">
        <v>344</v>
      </c>
      <c r="B114" s="10" t="s">
        <v>344</v>
      </c>
      <c r="C114" s="9" t="s">
        <v>345</v>
      </c>
      <c r="D114" s="9" t="s">
        <v>3028</v>
      </c>
      <c r="E114" t="s">
        <v>3028</v>
      </c>
    </row>
    <row r="115" spans="1:5" x14ac:dyDescent="0.25">
      <c r="A115" s="10" t="s">
        <v>346</v>
      </c>
      <c r="B115" s="10" t="s">
        <v>346</v>
      </c>
      <c r="C115" s="9" t="s">
        <v>347</v>
      </c>
      <c r="D115" s="9" t="s">
        <v>3028</v>
      </c>
      <c r="E115" t="s">
        <v>3028</v>
      </c>
    </row>
    <row r="116" spans="1:5" x14ac:dyDescent="0.25">
      <c r="A116" s="10" t="s">
        <v>348</v>
      </c>
      <c r="B116" s="10" t="s">
        <v>348</v>
      </c>
      <c r="C116" s="9" t="s">
        <v>349</v>
      </c>
      <c r="D116" s="9" t="s">
        <v>3028</v>
      </c>
      <c r="E116" t="s">
        <v>3028</v>
      </c>
    </row>
    <row r="117" spans="1:5" x14ac:dyDescent="0.25">
      <c r="A117" s="10" t="s">
        <v>350</v>
      </c>
      <c r="B117" s="10" t="s">
        <v>350</v>
      </c>
      <c r="C117" s="9" t="s">
        <v>351</v>
      </c>
      <c r="D117" s="9" t="s">
        <v>3028</v>
      </c>
      <c r="E117" t="s">
        <v>3028</v>
      </c>
    </row>
    <row r="118" spans="1:5" x14ac:dyDescent="0.25">
      <c r="A118" s="10" t="s">
        <v>352</v>
      </c>
      <c r="B118" s="10" t="s">
        <v>352</v>
      </c>
      <c r="C118" s="9" t="s">
        <v>353</v>
      </c>
      <c r="D118" s="9" t="s">
        <v>3028</v>
      </c>
      <c r="E118" t="s">
        <v>3028</v>
      </c>
    </row>
    <row r="119" spans="1:5" x14ac:dyDescent="0.25">
      <c r="A119" s="10" t="s">
        <v>354</v>
      </c>
      <c r="B119" s="10" t="s">
        <v>354</v>
      </c>
      <c r="C119" s="9" t="s">
        <v>355</v>
      </c>
      <c r="D119" s="9" t="s">
        <v>3028</v>
      </c>
      <c r="E119" t="s">
        <v>3028</v>
      </c>
    </row>
    <row r="120" spans="1:5" x14ac:dyDescent="0.25">
      <c r="A120" s="10" t="s">
        <v>356</v>
      </c>
      <c r="B120" s="10" t="s">
        <v>356</v>
      </c>
      <c r="C120" s="9" t="s">
        <v>357</v>
      </c>
      <c r="D120" s="9" t="s">
        <v>3028</v>
      </c>
      <c r="E120" t="s">
        <v>3028</v>
      </c>
    </row>
    <row r="121" spans="1:5" x14ac:dyDescent="0.25">
      <c r="A121" s="10" t="s">
        <v>358</v>
      </c>
      <c r="B121" s="10" t="s">
        <v>358</v>
      </c>
      <c r="C121" s="9" t="s">
        <v>359</v>
      </c>
      <c r="D121" s="9" t="s">
        <v>3028</v>
      </c>
      <c r="E121" t="s">
        <v>3028</v>
      </c>
    </row>
    <row r="122" spans="1:5" x14ac:dyDescent="0.25">
      <c r="A122" s="10" t="s">
        <v>360</v>
      </c>
      <c r="B122" s="10" t="s">
        <v>360</v>
      </c>
      <c r="C122" s="9" t="s">
        <v>361</v>
      </c>
      <c r="D122" s="9" t="s">
        <v>3028</v>
      </c>
      <c r="E122" t="s">
        <v>3028</v>
      </c>
    </row>
    <row r="123" spans="1:5" x14ac:dyDescent="0.25">
      <c r="A123" s="10" t="s">
        <v>362</v>
      </c>
      <c r="B123" s="10" t="s">
        <v>362</v>
      </c>
      <c r="C123" s="9" t="s">
        <v>363</v>
      </c>
      <c r="D123" s="9" t="s">
        <v>3028</v>
      </c>
      <c r="E123" t="s">
        <v>3028</v>
      </c>
    </row>
    <row r="124" spans="1:5" x14ac:dyDescent="0.25">
      <c r="A124" s="10" t="s">
        <v>364</v>
      </c>
      <c r="B124" s="10" t="s">
        <v>364</v>
      </c>
      <c r="C124" s="9" t="s">
        <v>365</v>
      </c>
      <c r="D124" s="9" t="s">
        <v>3028</v>
      </c>
      <c r="E124" t="s">
        <v>3028</v>
      </c>
    </row>
    <row r="125" spans="1:5" x14ac:dyDescent="0.25">
      <c r="A125" s="10" t="s">
        <v>368</v>
      </c>
      <c r="B125" s="10" t="s">
        <v>368</v>
      </c>
      <c r="C125" s="9" t="s">
        <v>369</v>
      </c>
      <c r="D125" s="9" t="s">
        <v>3028</v>
      </c>
      <c r="E125" t="s">
        <v>3028</v>
      </c>
    </row>
    <row r="126" spans="1:5" x14ac:dyDescent="0.25">
      <c r="A126" s="10" t="s">
        <v>370</v>
      </c>
      <c r="B126" s="10" t="s">
        <v>370</v>
      </c>
      <c r="C126" s="9" t="s">
        <v>371</v>
      </c>
      <c r="D126" s="9" t="s">
        <v>3028</v>
      </c>
      <c r="E126" t="s">
        <v>3028</v>
      </c>
    </row>
    <row r="127" spans="1:5" x14ac:dyDescent="0.25">
      <c r="A127" s="10" t="s">
        <v>374</v>
      </c>
      <c r="B127" s="10" t="s">
        <v>374</v>
      </c>
      <c r="C127" s="9" t="s">
        <v>375</v>
      </c>
      <c r="D127" s="9" t="s">
        <v>3028</v>
      </c>
      <c r="E127" t="s">
        <v>3028</v>
      </c>
    </row>
    <row r="128" spans="1:5" x14ac:dyDescent="0.25">
      <c r="A128" s="10" t="s">
        <v>376</v>
      </c>
      <c r="B128" s="10" t="s">
        <v>376</v>
      </c>
      <c r="C128" s="9" t="s">
        <v>377</v>
      </c>
      <c r="D128" s="9" t="s">
        <v>3028</v>
      </c>
      <c r="E128" t="s">
        <v>3028</v>
      </c>
    </row>
    <row r="129" spans="1:5" x14ac:dyDescent="0.25">
      <c r="A129" s="10" t="s">
        <v>378</v>
      </c>
      <c r="B129" s="10" t="s">
        <v>378</v>
      </c>
      <c r="C129" s="9" t="s">
        <v>379</v>
      </c>
      <c r="D129" s="9" t="s">
        <v>3028</v>
      </c>
      <c r="E129" t="s">
        <v>3028</v>
      </c>
    </row>
    <row r="130" spans="1:5" x14ac:dyDescent="0.25">
      <c r="A130" s="10" t="s">
        <v>380</v>
      </c>
      <c r="B130" s="10" t="s">
        <v>380</v>
      </c>
      <c r="C130" s="9" t="s">
        <v>381</v>
      </c>
      <c r="D130" s="9" t="s">
        <v>3028</v>
      </c>
      <c r="E130" t="s">
        <v>3028</v>
      </c>
    </row>
    <row r="131" spans="1:5" x14ac:dyDescent="0.25">
      <c r="A131" s="10" t="s">
        <v>382</v>
      </c>
      <c r="B131" s="10" t="s">
        <v>382</v>
      </c>
      <c r="C131" s="9" t="s">
        <v>383</v>
      </c>
      <c r="D131" s="9" t="s">
        <v>3028</v>
      </c>
      <c r="E131" t="s">
        <v>3028</v>
      </c>
    </row>
    <row r="132" spans="1:5" x14ac:dyDescent="0.25">
      <c r="A132" s="10" t="s">
        <v>384</v>
      </c>
      <c r="B132" s="10" t="s">
        <v>384</v>
      </c>
      <c r="C132" s="9" t="s">
        <v>385</v>
      </c>
      <c r="D132" s="9" t="s">
        <v>3028</v>
      </c>
      <c r="E132" t="s">
        <v>3028</v>
      </c>
    </row>
    <row r="133" spans="1:5" x14ac:dyDescent="0.25">
      <c r="A133" s="10" t="s">
        <v>386</v>
      </c>
      <c r="B133" s="10" t="s">
        <v>386</v>
      </c>
      <c r="C133" s="9" t="s">
        <v>387</v>
      </c>
      <c r="D133" s="9" t="s">
        <v>3028</v>
      </c>
      <c r="E133" t="s">
        <v>3028</v>
      </c>
    </row>
    <row r="134" spans="1:5" x14ac:dyDescent="0.25">
      <c r="A134" s="10" t="s">
        <v>388</v>
      </c>
      <c r="B134" s="10" t="s">
        <v>388</v>
      </c>
      <c r="C134" s="9" t="s">
        <v>389</v>
      </c>
      <c r="D134" s="9" t="s">
        <v>3028</v>
      </c>
      <c r="E134" t="s">
        <v>3028</v>
      </c>
    </row>
    <row r="135" spans="1:5" x14ac:dyDescent="0.25">
      <c r="A135" s="10" t="s">
        <v>390</v>
      </c>
      <c r="B135" s="10" t="s">
        <v>390</v>
      </c>
      <c r="C135" s="9" t="s">
        <v>391</v>
      </c>
      <c r="D135" s="9" t="s">
        <v>3028</v>
      </c>
      <c r="E135" t="s">
        <v>3028</v>
      </c>
    </row>
    <row r="136" spans="1:5" x14ac:dyDescent="0.25">
      <c r="A136" s="10" t="s">
        <v>392</v>
      </c>
      <c r="B136" s="10" t="s">
        <v>392</v>
      </c>
      <c r="C136" s="9" t="s">
        <v>393</v>
      </c>
      <c r="D136" s="9" t="s">
        <v>3028</v>
      </c>
      <c r="E136" t="s">
        <v>3028</v>
      </c>
    </row>
    <row r="137" spans="1:5" x14ac:dyDescent="0.25">
      <c r="A137" s="10" t="s">
        <v>394</v>
      </c>
      <c r="B137" s="10" t="s">
        <v>394</v>
      </c>
      <c r="C137" s="9" t="s">
        <v>395</v>
      </c>
      <c r="D137" s="9" t="s">
        <v>3028</v>
      </c>
      <c r="E137" t="s">
        <v>3028</v>
      </c>
    </row>
    <row r="138" spans="1:5" x14ac:dyDescent="0.25">
      <c r="A138" s="10" t="s">
        <v>396</v>
      </c>
      <c r="B138" s="10" t="s">
        <v>396</v>
      </c>
      <c r="C138" s="9" t="s">
        <v>397</v>
      </c>
      <c r="D138" s="9" t="s">
        <v>3028</v>
      </c>
      <c r="E138" t="s">
        <v>3028</v>
      </c>
    </row>
    <row r="139" spans="1:5" x14ac:dyDescent="0.25">
      <c r="A139" s="10" t="s">
        <v>398</v>
      </c>
      <c r="B139" s="10" t="s">
        <v>398</v>
      </c>
      <c r="C139" s="9" t="s">
        <v>399</v>
      </c>
      <c r="D139" s="9" t="s">
        <v>3028</v>
      </c>
      <c r="E139" t="s">
        <v>3028</v>
      </c>
    </row>
    <row r="140" spans="1:5" x14ac:dyDescent="0.25">
      <c r="A140" s="10" t="s">
        <v>400</v>
      </c>
      <c r="B140" s="10" t="s">
        <v>400</v>
      </c>
      <c r="C140" s="9" t="s">
        <v>401</v>
      </c>
      <c r="D140" s="9" t="s">
        <v>3028</v>
      </c>
      <c r="E140" t="s">
        <v>3028</v>
      </c>
    </row>
    <row r="141" spans="1:5" x14ac:dyDescent="0.25">
      <c r="A141" s="10" t="s">
        <v>402</v>
      </c>
      <c r="B141" s="10" t="s">
        <v>402</v>
      </c>
      <c r="C141" s="9" t="s">
        <v>403</v>
      </c>
      <c r="D141" s="9" t="s">
        <v>3028</v>
      </c>
      <c r="E141" t="s">
        <v>3028</v>
      </c>
    </row>
    <row r="142" spans="1:5" x14ac:dyDescent="0.25">
      <c r="A142" s="10" t="s">
        <v>404</v>
      </c>
      <c r="B142" s="10" t="s">
        <v>404</v>
      </c>
      <c r="C142" s="9" t="s">
        <v>405</v>
      </c>
      <c r="D142" s="9" t="s">
        <v>3028</v>
      </c>
      <c r="E142" t="s">
        <v>3028</v>
      </c>
    </row>
    <row r="143" spans="1:5" x14ac:dyDescent="0.25">
      <c r="A143" s="10" t="s">
        <v>406</v>
      </c>
      <c r="B143" s="10" t="s">
        <v>406</v>
      </c>
      <c r="C143" s="9" t="s">
        <v>407</v>
      </c>
      <c r="D143" s="9" t="s">
        <v>3028</v>
      </c>
      <c r="E143" t="s">
        <v>3028</v>
      </c>
    </row>
    <row r="144" spans="1:5" x14ac:dyDescent="0.25">
      <c r="A144" s="10" t="s">
        <v>408</v>
      </c>
      <c r="B144" s="10" t="s">
        <v>408</v>
      </c>
      <c r="C144" s="9" t="s">
        <v>409</v>
      </c>
      <c r="D144" s="9" t="s">
        <v>3028</v>
      </c>
      <c r="E144" t="s">
        <v>3028</v>
      </c>
    </row>
    <row r="145" spans="1:5" x14ac:dyDescent="0.25">
      <c r="A145" s="10" t="s">
        <v>410</v>
      </c>
      <c r="B145" s="10" t="s">
        <v>410</v>
      </c>
      <c r="C145" s="9" t="s">
        <v>411</v>
      </c>
      <c r="D145" s="9" t="s">
        <v>3028</v>
      </c>
      <c r="E145" t="s">
        <v>3028</v>
      </c>
    </row>
    <row r="146" spans="1:5" x14ac:dyDescent="0.25">
      <c r="A146" s="10" t="s">
        <v>412</v>
      </c>
      <c r="B146" s="10" t="s">
        <v>412</v>
      </c>
      <c r="C146" s="9" t="s">
        <v>413</v>
      </c>
      <c r="D146" s="9" t="s">
        <v>3028</v>
      </c>
      <c r="E146" t="s">
        <v>3028</v>
      </c>
    </row>
    <row r="147" spans="1:5" x14ac:dyDescent="0.25">
      <c r="A147" s="10" t="s">
        <v>414</v>
      </c>
      <c r="B147" s="10" t="s">
        <v>414</v>
      </c>
      <c r="C147" s="9" t="s">
        <v>415</v>
      </c>
      <c r="D147" s="9" t="s">
        <v>3028</v>
      </c>
      <c r="E147" t="s">
        <v>3028</v>
      </c>
    </row>
    <row r="148" spans="1:5" x14ac:dyDescent="0.25">
      <c r="A148" s="10" t="s">
        <v>416</v>
      </c>
      <c r="B148" s="10" t="s">
        <v>416</v>
      </c>
      <c r="C148" s="9" t="s">
        <v>417</v>
      </c>
      <c r="D148" s="9" t="s">
        <v>3028</v>
      </c>
      <c r="E148" t="s">
        <v>3028</v>
      </c>
    </row>
    <row r="149" spans="1:5" x14ac:dyDescent="0.25">
      <c r="A149" s="10" t="s">
        <v>418</v>
      </c>
      <c r="B149" s="10" t="s">
        <v>418</v>
      </c>
      <c r="C149" s="9" t="s">
        <v>419</v>
      </c>
      <c r="D149" s="9" t="s">
        <v>3028</v>
      </c>
      <c r="E149" t="s">
        <v>3028</v>
      </c>
    </row>
    <row r="150" spans="1:5" x14ac:dyDescent="0.25">
      <c r="A150" s="10" t="s">
        <v>420</v>
      </c>
      <c r="B150" s="10" t="s">
        <v>420</v>
      </c>
      <c r="C150" s="9" t="s">
        <v>421</v>
      </c>
      <c r="D150" s="9" t="s">
        <v>3028</v>
      </c>
      <c r="E150" t="s">
        <v>3028</v>
      </c>
    </row>
    <row r="151" spans="1:5" x14ac:dyDescent="0.25">
      <c r="A151" s="10" t="s">
        <v>422</v>
      </c>
      <c r="B151" s="10" t="s">
        <v>422</v>
      </c>
      <c r="C151" s="9" t="s">
        <v>423</v>
      </c>
      <c r="D151" s="9" t="s">
        <v>3028</v>
      </c>
      <c r="E151" t="s">
        <v>3028</v>
      </c>
    </row>
    <row r="152" spans="1:5" x14ac:dyDescent="0.25">
      <c r="A152" s="10" t="s">
        <v>424</v>
      </c>
      <c r="B152" s="10" t="s">
        <v>424</v>
      </c>
      <c r="C152" s="9" t="s">
        <v>425</v>
      </c>
      <c r="D152" s="9" t="s">
        <v>3028</v>
      </c>
      <c r="E152" t="s">
        <v>3028</v>
      </c>
    </row>
    <row r="153" spans="1:5" x14ac:dyDescent="0.25">
      <c r="A153" s="10" t="s">
        <v>426</v>
      </c>
      <c r="B153" s="10" t="s">
        <v>426</v>
      </c>
      <c r="C153" s="9" t="s">
        <v>427</v>
      </c>
      <c r="D153" s="9" t="s">
        <v>3028</v>
      </c>
      <c r="E153" t="s">
        <v>3028</v>
      </c>
    </row>
    <row r="154" spans="1:5" x14ac:dyDescent="0.25">
      <c r="A154" s="10" t="s">
        <v>430</v>
      </c>
      <c r="B154" s="10" t="s">
        <v>430</v>
      </c>
      <c r="C154" s="9" t="s">
        <v>431</v>
      </c>
      <c r="D154" s="9" t="s">
        <v>3028</v>
      </c>
      <c r="E154" t="s">
        <v>3028</v>
      </c>
    </row>
    <row r="155" spans="1:5" x14ac:dyDescent="0.25">
      <c r="A155" s="10" t="s">
        <v>432</v>
      </c>
      <c r="B155" s="10" t="s">
        <v>432</v>
      </c>
      <c r="C155" s="9" t="s">
        <v>433</v>
      </c>
      <c r="D155" s="9" t="s">
        <v>3028</v>
      </c>
      <c r="E155" t="s">
        <v>3028</v>
      </c>
    </row>
    <row r="156" spans="1:5" x14ac:dyDescent="0.25">
      <c r="A156" s="10" t="s">
        <v>436</v>
      </c>
      <c r="B156" s="10" t="s">
        <v>436</v>
      </c>
      <c r="C156" s="9" t="s">
        <v>437</v>
      </c>
      <c r="D156" s="9" t="s">
        <v>3028</v>
      </c>
      <c r="E156" t="s">
        <v>3028</v>
      </c>
    </row>
    <row r="157" spans="1:5" x14ac:dyDescent="0.25">
      <c r="A157" s="10" t="s">
        <v>438</v>
      </c>
      <c r="B157" s="10" t="s">
        <v>438</v>
      </c>
      <c r="C157" s="9" t="s">
        <v>439</v>
      </c>
      <c r="D157" s="9" t="s">
        <v>3028</v>
      </c>
      <c r="E157" t="s">
        <v>3028</v>
      </c>
    </row>
    <row r="158" spans="1:5" x14ac:dyDescent="0.25">
      <c r="A158" s="10" t="s">
        <v>440</v>
      </c>
      <c r="B158" s="10" t="s">
        <v>440</v>
      </c>
      <c r="C158" s="9" t="s">
        <v>441</v>
      </c>
      <c r="D158" s="9" t="s">
        <v>3028</v>
      </c>
      <c r="E158" t="s">
        <v>3028</v>
      </c>
    </row>
    <row r="159" spans="1:5" x14ac:dyDescent="0.25">
      <c r="A159" s="10" t="s">
        <v>442</v>
      </c>
      <c r="B159" s="10" t="s">
        <v>442</v>
      </c>
      <c r="C159" s="9" t="s">
        <v>443</v>
      </c>
      <c r="D159" s="9" t="s">
        <v>3028</v>
      </c>
      <c r="E159" t="s">
        <v>3028</v>
      </c>
    </row>
    <row r="160" spans="1:5" x14ac:dyDescent="0.25">
      <c r="A160" s="10" t="s">
        <v>444</v>
      </c>
      <c r="B160" s="10" t="s">
        <v>444</v>
      </c>
      <c r="C160" s="9" t="s">
        <v>445</v>
      </c>
      <c r="D160" s="9" t="s">
        <v>3028</v>
      </c>
      <c r="E160" t="s">
        <v>3028</v>
      </c>
    </row>
    <row r="161" spans="1:5" x14ac:dyDescent="0.25">
      <c r="A161" s="10" t="s">
        <v>450</v>
      </c>
      <c r="B161" s="10" t="s">
        <v>450</v>
      </c>
      <c r="C161" s="9" t="s">
        <v>451</v>
      </c>
      <c r="D161" s="9" t="s">
        <v>3028</v>
      </c>
      <c r="E161" t="s">
        <v>3028</v>
      </c>
    </row>
    <row r="162" spans="1:5" x14ac:dyDescent="0.25">
      <c r="A162" s="10" t="s">
        <v>454</v>
      </c>
      <c r="B162" s="10" t="s">
        <v>454</v>
      </c>
      <c r="C162" s="9" t="s">
        <v>455</v>
      </c>
      <c r="D162" s="9" t="s">
        <v>3028</v>
      </c>
      <c r="E162" t="s">
        <v>3028</v>
      </c>
    </row>
    <row r="163" spans="1:5" x14ac:dyDescent="0.25">
      <c r="A163" s="10" t="s">
        <v>456</v>
      </c>
      <c r="B163" s="10" t="s">
        <v>456</v>
      </c>
      <c r="C163" s="9" t="s">
        <v>457</v>
      </c>
      <c r="D163" s="9" t="s">
        <v>3028</v>
      </c>
      <c r="E163" t="s">
        <v>3028</v>
      </c>
    </row>
    <row r="164" spans="1:5" x14ac:dyDescent="0.25">
      <c r="A164" s="10" t="s">
        <v>458</v>
      </c>
      <c r="B164" s="10" t="s">
        <v>458</v>
      </c>
      <c r="C164" s="9" t="s">
        <v>459</v>
      </c>
      <c r="D164" s="9" t="s">
        <v>3028</v>
      </c>
      <c r="E164" t="s">
        <v>3028</v>
      </c>
    </row>
    <row r="165" spans="1:5" x14ac:dyDescent="0.25">
      <c r="A165" s="10" t="s">
        <v>460</v>
      </c>
      <c r="B165" s="10" t="s">
        <v>460</v>
      </c>
      <c r="C165" s="9" t="s">
        <v>461</v>
      </c>
      <c r="D165" s="9" t="s">
        <v>3028</v>
      </c>
      <c r="E165" t="s">
        <v>3028</v>
      </c>
    </row>
    <row r="166" spans="1:5" x14ac:dyDescent="0.25">
      <c r="A166" s="10" t="s">
        <v>462</v>
      </c>
      <c r="B166" s="10" t="s">
        <v>462</v>
      </c>
      <c r="C166" s="9" t="s">
        <v>463</v>
      </c>
      <c r="D166" s="9" t="s">
        <v>3028</v>
      </c>
      <c r="E166" t="s">
        <v>3028</v>
      </c>
    </row>
    <row r="167" spans="1:5" x14ac:dyDescent="0.25">
      <c r="A167" s="10" t="s">
        <v>464</v>
      </c>
      <c r="B167" s="10" t="s">
        <v>464</v>
      </c>
      <c r="C167" s="9" t="s">
        <v>465</v>
      </c>
      <c r="D167" s="9" t="s">
        <v>3028</v>
      </c>
      <c r="E167" t="s">
        <v>3028</v>
      </c>
    </row>
    <row r="168" spans="1:5" x14ac:dyDescent="0.25">
      <c r="A168" s="10" t="s">
        <v>466</v>
      </c>
      <c r="B168" s="10" t="s">
        <v>466</v>
      </c>
      <c r="C168" s="9" t="s">
        <v>467</v>
      </c>
      <c r="D168" s="9" t="s">
        <v>3028</v>
      </c>
      <c r="E168" t="s">
        <v>3028</v>
      </c>
    </row>
    <row r="169" spans="1:5" x14ac:dyDescent="0.25">
      <c r="A169" s="10" t="s">
        <v>1617</v>
      </c>
      <c r="B169" s="10" t="s">
        <v>1617</v>
      </c>
      <c r="C169" s="9" t="s">
        <v>1618</v>
      </c>
      <c r="D169" s="9" t="s">
        <v>3028</v>
      </c>
      <c r="E169" t="s">
        <v>3028</v>
      </c>
    </row>
    <row r="170" spans="1:5" x14ac:dyDescent="0.25">
      <c r="A170" s="10" t="s">
        <v>468</v>
      </c>
      <c r="B170" s="10" t="s">
        <v>468</v>
      </c>
      <c r="C170" s="9" t="s">
        <v>469</v>
      </c>
      <c r="D170" s="9" t="s">
        <v>3028</v>
      </c>
      <c r="E170" t="s">
        <v>3028</v>
      </c>
    </row>
    <row r="171" spans="1:5" x14ac:dyDescent="0.25">
      <c r="A171" s="10" t="s">
        <v>470</v>
      </c>
      <c r="B171" s="10" t="s">
        <v>470</v>
      </c>
      <c r="C171" s="9" t="s">
        <v>471</v>
      </c>
      <c r="D171" s="9" t="s">
        <v>3028</v>
      </c>
      <c r="E171" t="s">
        <v>3028</v>
      </c>
    </row>
    <row r="172" spans="1:5" x14ac:dyDescent="0.25">
      <c r="A172" s="10" t="s">
        <v>472</v>
      </c>
      <c r="B172" s="10" t="s">
        <v>472</v>
      </c>
      <c r="C172" s="9" t="s">
        <v>473</v>
      </c>
      <c r="D172" s="9" t="s">
        <v>3028</v>
      </c>
      <c r="E172" t="s">
        <v>3028</v>
      </c>
    </row>
    <row r="173" spans="1:5" x14ac:dyDescent="0.25">
      <c r="A173" s="10" t="s">
        <v>474</v>
      </c>
      <c r="B173" s="10" t="s">
        <v>474</v>
      </c>
      <c r="C173" s="9" t="s">
        <v>475</v>
      </c>
      <c r="D173" s="9" t="s">
        <v>3028</v>
      </c>
      <c r="E173" t="s">
        <v>3028</v>
      </c>
    </row>
    <row r="174" spans="1:5" x14ac:dyDescent="0.25">
      <c r="A174" s="10" t="s">
        <v>476</v>
      </c>
      <c r="B174" s="10" t="s">
        <v>476</v>
      </c>
      <c r="C174" s="9" t="s">
        <v>477</v>
      </c>
      <c r="D174" s="9" t="s">
        <v>3028</v>
      </c>
      <c r="E174" t="s">
        <v>3028</v>
      </c>
    </row>
    <row r="175" spans="1:5" x14ac:dyDescent="0.25">
      <c r="A175" s="10" t="s">
        <v>480</v>
      </c>
      <c r="B175" s="10" t="s">
        <v>480</v>
      </c>
      <c r="C175" s="9" t="s">
        <v>481</v>
      </c>
      <c r="D175" s="9" t="s">
        <v>3028</v>
      </c>
      <c r="E175" t="s">
        <v>3028</v>
      </c>
    </row>
    <row r="176" spans="1:5" x14ac:dyDescent="0.25">
      <c r="A176" s="10" t="s">
        <v>482</v>
      </c>
      <c r="B176" s="10" t="s">
        <v>482</v>
      </c>
      <c r="C176" s="9" t="s">
        <v>483</v>
      </c>
      <c r="D176" s="9" t="s">
        <v>3028</v>
      </c>
      <c r="E176" t="s">
        <v>3028</v>
      </c>
    </row>
    <row r="177" spans="1:5" x14ac:dyDescent="0.25">
      <c r="A177" s="10" t="s">
        <v>484</v>
      </c>
      <c r="B177" s="10" t="s">
        <v>484</v>
      </c>
      <c r="C177" s="9" t="s">
        <v>485</v>
      </c>
      <c r="D177" s="9" t="s">
        <v>3028</v>
      </c>
      <c r="E177" t="s">
        <v>3028</v>
      </c>
    </row>
    <row r="178" spans="1:5" x14ac:dyDescent="0.25">
      <c r="A178" s="10" t="s">
        <v>488</v>
      </c>
      <c r="B178" s="10" t="s">
        <v>488</v>
      </c>
      <c r="C178" s="9" t="s">
        <v>489</v>
      </c>
      <c r="D178" s="9" t="s">
        <v>3028</v>
      </c>
      <c r="E178" t="s">
        <v>3028</v>
      </c>
    </row>
    <row r="179" spans="1:5" x14ac:dyDescent="0.25">
      <c r="A179" s="10" t="s">
        <v>492</v>
      </c>
      <c r="B179" s="10" t="s">
        <v>492</v>
      </c>
      <c r="C179" s="9" t="s">
        <v>493</v>
      </c>
      <c r="D179" s="9" t="s">
        <v>3028</v>
      </c>
      <c r="E179" t="s">
        <v>3028</v>
      </c>
    </row>
    <row r="180" spans="1:5" x14ac:dyDescent="0.25">
      <c r="A180" s="10" t="s">
        <v>494</v>
      </c>
      <c r="B180" s="10" t="s">
        <v>494</v>
      </c>
      <c r="C180" s="9" t="s">
        <v>495</v>
      </c>
      <c r="D180" s="9" t="s">
        <v>3028</v>
      </c>
      <c r="E180" t="s">
        <v>3028</v>
      </c>
    </row>
    <row r="181" spans="1:5" x14ac:dyDescent="0.25">
      <c r="A181" s="10" t="s">
        <v>496</v>
      </c>
      <c r="B181" s="10" t="s">
        <v>496</v>
      </c>
      <c r="C181" s="9" t="s">
        <v>497</v>
      </c>
      <c r="D181" s="9" t="s">
        <v>3028</v>
      </c>
      <c r="E181" t="s">
        <v>3028</v>
      </c>
    </row>
    <row r="182" spans="1:5" x14ac:dyDescent="0.25">
      <c r="A182" s="10" t="s">
        <v>502</v>
      </c>
      <c r="B182" s="10" t="s">
        <v>502</v>
      </c>
      <c r="C182" s="9" t="s">
        <v>503</v>
      </c>
      <c r="D182" s="9" t="s">
        <v>3028</v>
      </c>
      <c r="E182" t="s">
        <v>3028</v>
      </c>
    </row>
    <row r="183" spans="1:5" x14ac:dyDescent="0.25">
      <c r="A183" s="10" t="s">
        <v>506</v>
      </c>
      <c r="B183" s="10" t="s">
        <v>506</v>
      </c>
      <c r="C183" s="9" t="s">
        <v>507</v>
      </c>
      <c r="D183" s="9" t="s">
        <v>3028</v>
      </c>
      <c r="E183" t="s">
        <v>3028</v>
      </c>
    </row>
    <row r="184" spans="1:5" x14ac:dyDescent="0.25">
      <c r="A184" s="10" t="s">
        <v>510</v>
      </c>
      <c r="B184" s="10" t="s">
        <v>510</v>
      </c>
      <c r="C184" s="9" t="s">
        <v>511</v>
      </c>
      <c r="D184" s="9" t="s">
        <v>3028</v>
      </c>
      <c r="E184" t="s">
        <v>3028</v>
      </c>
    </row>
    <row r="185" spans="1:5" x14ac:dyDescent="0.25">
      <c r="A185" s="10" t="s">
        <v>85</v>
      </c>
      <c r="B185" s="10" t="s">
        <v>85</v>
      </c>
      <c r="C185" s="9" t="s">
        <v>86</v>
      </c>
      <c r="D185" s="9" t="s">
        <v>3028</v>
      </c>
      <c r="E185" t="s">
        <v>3028</v>
      </c>
    </row>
    <row r="186" spans="1:5" x14ac:dyDescent="0.25">
      <c r="A186" s="10" t="s">
        <v>512</v>
      </c>
      <c r="B186" s="10" t="s">
        <v>512</v>
      </c>
      <c r="C186" s="9" t="s">
        <v>513</v>
      </c>
      <c r="D186" s="9" t="s">
        <v>3028</v>
      </c>
      <c r="E186" t="s">
        <v>3028</v>
      </c>
    </row>
    <row r="187" spans="1:5" x14ac:dyDescent="0.25">
      <c r="A187" s="10" t="s">
        <v>514</v>
      </c>
      <c r="B187" s="10" t="s">
        <v>514</v>
      </c>
      <c r="C187" s="9" t="s">
        <v>515</v>
      </c>
      <c r="D187" s="9" t="s">
        <v>3028</v>
      </c>
      <c r="E187" t="s">
        <v>3028</v>
      </c>
    </row>
    <row r="188" spans="1:5" x14ac:dyDescent="0.25">
      <c r="A188" s="10" t="s">
        <v>516</v>
      </c>
      <c r="B188" s="10" t="s">
        <v>516</v>
      </c>
      <c r="C188" s="9" t="s">
        <v>517</v>
      </c>
      <c r="D188" s="9" t="s">
        <v>3028</v>
      </c>
      <c r="E188" t="s">
        <v>3028</v>
      </c>
    </row>
    <row r="189" spans="1:5" x14ac:dyDescent="0.25">
      <c r="A189" s="10" t="s">
        <v>518</v>
      </c>
      <c r="B189" s="10" t="s">
        <v>518</v>
      </c>
      <c r="C189" s="9" t="s">
        <v>519</v>
      </c>
      <c r="D189" s="9" t="s">
        <v>3028</v>
      </c>
      <c r="E189" t="s">
        <v>3028</v>
      </c>
    </row>
    <row r="190" spans="1:5" x14ac:dyDescent="0.25">
      <c r="A190" s="10" t="s">
        <v>520</v>
      </c>
      <c r="B190" s="10" t="s">
        <v>520</v>
      </c>
      <c r="C190" s="9" t="s">
        <v>521</v>
      </c>
      <c r="D190" s="9" t="s">
        <v>3028</v>
      </c>
      <c r="E190" t="s">
        <v>3028</v>
      </c>
    </row>
    <row r="191" spans="1:5" x14ac:dyDescent="0.25">
      <c r="A191" s="10" t="s">
        <v>524</v>
      </c>
      <c r="B191" s="10" t="s">
        <v>524</v>
      </c>
      <c r="C191" s="9" t="s">
        <v>525</v>
      </c>
      <c r="D191" s="9" t="s">
        <v>3028</v>
      </c>
      <c r="E191" t="s">
        <v>3028</v>
      </c>
    </row>
    <row r="192" spans="1:5" x14ac:dyDescent="0.25">
      <c r="A192" s="10" t="s">
        <v>528</v>
      </c>
      <c r="B192" s="10" t="s">
        <v>528</v>
      </c>
      <c r="C192" s="9" t="s">
        <v>529</v>
      </c>
      <c r="D192" s="9" t="s">
        <v>3028</v>
      </c>
      <c r="E192" t="s">
        <v>3028</v>
      </c>
    </row>
    <row r="193" spans="1:5" x14ac:dyDescent="0.25">
      <c r="A193" s="10" t="s">
        <v>530</v>
      </c>
      <c r="B193" s="10" t="s">
        <v>530</v>
      </c>
      <c r="C193" s="9" t="s">
        <v>531</v>
      </c>
      <c r="D193" s="9" t="s">
        <v>3028</v>
      </c>
      <c r="E193" t="s">
        <v>3028</v>
      </c>
    </row>
    <row r="194" spans="1:5" x14ac:dyDescent="0.25">
      <c r="A194" s="10" t="s">
        <v>532</v>
      </c>
      <c r="B194" s="10" t="s">
        <v>532</v>
      </c>
      <c r="C194" s="9" t="s">
        <v>533</v>
      </c>
      <c r="D194" s="9" t="s">
        <v>3028</v>
      </c>
      <c r="E194" t="s">
        <v>3028</v>
      </c>
    </row>
    <row r="195" spans="1:5" x14ac:dyDescent="0.25">
      <c r="A195" s="10" t="s">
        <v>534</v>
      </c>
      <c r="B195" s="10" t="s">
        <v>534</v>
      </c>
      <c r="C195" s="9" t="s">
        <v>535</v>
      </c>
      <c r="D195" s="9" t="s">
        <v>3028</v>
      </c>
      <c r="E195" t="s">
        <v>3028</v>
      </c>
    </row>
    <row r="196" spans="1:5" x14ac:dyDescent="0.25">
      <c r="A196" s="10" t="s">
        <v>536</v>
      </c>
      <c r="B196" s="10" t="s">
        <v>536</v>
      </c>
      <c r="C196" s="9" t="s">
        <v>537</v>
      </c>
      <c r="D196" s="9" t="s">
        <v>3028</v>
      </c>
      <c r="E196" t="s">
        <v>3028</v>
      </c>
    </row>
    <row r="197" spans="1:5" x14ac:dyDescent="0.25">
      <c r="A197" s="10" t="s">
        <v>540</v>
      </c>
      <c r="B197" s="10" t="s">
        <v>540</v>
      </c>
      <c r="C197" s="9" t="s">
        <v>541</v>
      </c>
      <c r="D197" s="9" t="s">
        <v>3028</v>
      </c>
      <c r="E197" t="s">
        <v>3028</v>
      </c>
    </row>
    <row r="198" spans="1:5" x14ac:dyDescent="0.25">
      <c r="A198" s="10" t="s">
        <v>542</v>
      </c>
      <c r="B198" s="10" t="s">
        <v>542</v>
      </c>
      <c r="C198" s="9" t="s">
        <v>543</v>
      </c>
      <c r="D198" s="9" t="s">
        <v>3028</v>
      </c>
      <c r="E198" t="s">
        <v>3028</v>
      </c>
    </row>
    <row r="199" spans="1:5" x14ac:dyDescent="0.25">
      <c r="A199" s="10" t="s">
        <v>544</v>
      </c>
      <c r="B199" s="10" t="s">
        <v>544</v>
      </c>
      <c r="C199" s="9" t="s">
        <v>545</v>
      </c>
      <c r="D199" s="9" t="s">
        <v>3028</v>
      </c>
      <c r="E199" t="s">
        <v>3028</v>
      </c>
    </row>
    <row r="200" spans="1:5" x14ac:dyDescent="0.25">
      <c r="A200" s="10" t="s">
        <v>546</v>
      </c>
      <c r="B200" s="10" t="s">
        <v>546</v>
      </c>
      <c r="C200" s="9" t="s">
        <v>547</v>
      </c>
      <c r="D200" s="9" t="s">
        <v>3028</v>
      </c>
      <c r="E200" t="s">
        <v>3028</v>
      </c>
    </row>
    <row r="201" spans="1:5" x14ac:dyDescent="0.25">
      <c r="A201" s="10" t="s">
        <v>548</v>
      </c>
      <c r="B201" s="10" t="s">
        <v>548</v>
      </c>
      <c r="C201" s="9" t="s">
        <v>549</v>
      </c>
      <c r="D201" s="9" t="s">
        <v>3028</v>
      </c>
      <c r="E201" t="s">
        <v>3028</v>
      </c>
    </row>
    <row r="202" spans="1:5" x14ac:dyDescent="0.25">
      <c r="A202" s="10" t="s">
        <v>550</v>
      </c>
      <c r="B202" s="10" t="s">
        <v>550</v>
      </c>
      <c r="C202" s="9" t="s">
        <v>551</v>
      </c>
      <c r="D202" s="9" t="s">
        <v>3028</v>
      </c>
      <c r="E202" t="s">
        <v>3028</v>
      </c>
    </row>
    <row r="203" spans="1:5" x14ac:dyDescent="0.25">
      <c r="A203" s="10" t="s">
        <v>552</v>
      </c>
      <c r="B203" s="10" t="s">
        <v>552</v>
      </c>
      <c r="C203" s="9" t="s">
        <v>553</v>
      </c>
      <c r="D203" s="9" t="s">
        <v>3028</v>
      </c>
      <c r="E203" t="s">
        <v>3028</v>
      </c>
    </row>
    <row r="204" spans="1:5" x14ac:dyDescent="0.25">
      <c r="A204" s="10" t="s">
        <v>554</v>
      </c>
      <c r="B204" s="10" t="s">
        <v>554</v>
      </c>
      <c r="C204" s="9" t="s">
        <v>555</v>
      </c>
      <c r="D204" s="9" t="s">
        <v>3028</v>
      </c>
      <c r="E204" t="s">
        <v>3028</v>
      </c>
    </row>
    <row r="205" spans="1:5" x14ac:dyDescent="0.25">
      <c r="A205" s="10" t="s">
        <v>556</v>
      </c>
      <c r="B205" s="10" t="s">
        <v>556</v>
      </c>
      <c r="C205" s="9" t="s">
        <v>557</v>
      </c>
      <c r="D205" s="9" t="s">
        <v>3028</v>
      </c>
      <c r="E205" t="s">
        <v>3028</v>
      </c>
    </row>
    <row r="206" spans="1:5" x14ac:dyDescent="0.25">
      <c r="A206" s="10" t="s">
        <v>558</v>
      </c>
      <c r="B206" s="10" t="s">
        <v>558</v>
      </c>
      <c r="C206" s="9" t="s">
        <v>559</v>
      </c>
      <c r="D206" s="9" t="s">
        <v>3028</v>
      </c>
      <c r="E206" t="s">
        <v>3028</v>
      </c>
    </row>
    <row r="207" spans="1:5" x14ac:dyDescent="0.25">
      <c r="A207" s="10" t="s">
        <v>560</v>
      </c>
      <c r="B207" s="10" t="s">
        <v>560</v>
      </c>
      <c r="C207" s="9" t="s">
        <v>561</v>
      </c>
      <c r="D207" s="9" t="s">
        <v>3028</v>
      </c>
      <c r="E207" t="s">
        <v>3028</v>
      </c>
    </row>
    <row r="208" spans="1:5" x14ac:dyDescent="0.25">
      <c r="A208" s="10" t="s">
        <v>562</v>
      </c>
      <c r="B208" s="10" t="s">
        <v>562</v>
      </c>
      <c r="C208" s="9" t="s">
        <v>563</v>
      </c>
      <c r="D208" s="9" t="s">
        <v>3028</v>
      </c>
      <c r="E208" t="s">
        <v>3028</v>
      </c>
    </row>
    <row r="209" spans="1:5" x14ac:dyDescent="0.25">
      <c r="A209" s="10" t="s">
        <v>564</v>
      </c>
      <c r="B209" s="10" t="s">
        <v>564</v>
      </c>
      <c r="C209" s="9" t="s">
        <v>565</v>
      </c>
      <c r="D209" s="9" t="s">
        <v>3028</v>
      </c>
      <c r="E209" t="s">
        <v>3028</v>
      </c>
    </row>
    <row r="210" spans="1:5" x14ac:dyDescent="0.25">
      <c r="A210" s="10" t="s">
        <v>566</v>
      </c>
      <c r="B210" s="10" t="s">
        <v>566</v>
      </c>
      <c r="C210" s="9" t="s">
        <v>567</v>
      </c>
      <c r="D210" s="9" t="s">
        <v>3028</v>
      </c>
      <c r="E210" t="s">
        <v>3028</v>
      </c>
    </row>
    <row r="211" spans="1:5" x14ac:dyDescent="0.25">
      <c r="A211" s="10" t="s">
        <v>570</v>
      </c>
      <c r="B211" s="10" t="s">
        <v>570</v>
      </c>
      <c r="C211" s="9" t="s">
        <v>571</v>
      </c>
      <c r="D211" s="9" t="s">
        <v>3028</v>
      </c>
      <c r="E211" t="s">
        <v>3028</v>
      </c>
    </row>
    <row r="212" spans="1:5" x14ac:dyDescent="0.25">
      <c r="A212" s="10" t="s">
        <v>576</v>
      </c>
      <c r="B212" s="10" t="s">
        <v>576</v>
      </c>
      <c r="C212" s="9" t="s">
        <v>577</v>
      </c>
      <c r="D212" s="9" t="s">
        <v>3028</v>
      </c>
      <c r="E212" t="s">
        <v>3028</v>
      </c>
    </row>
    <row r="213" spans="1:5" x14ac:dyDescent="0.25">
      <c r="A213" s="10" t="s">
        <v>588</v>
      </c>
      <c r="B213" s="10" t="s">
        <v>588</v>
      </c>
      <c r="C213" s="9" t="s">
        <v>589</v>
      </c>
      <c r="D213" s="9" t="s">
        <v>3028</v>
      </c>
      <c r="E213" t="s">
        <v>3028</v>
      </c>
    </row>
    <row r="214" spans="1:5" x14ac:dyDescent="0.25">
      <c r="A214" s="10" t="s">
        <v>590</v>
      </c>
      <c r="B214" s="10" t="s">
        <v>590</v>
      </c>
      <c r="C214" s="9" t="s">
        <v>591</v>
      </c>
      <c r="D214" s="9" t="s">
        <v>3028</v>
      </c>
      <c r="E214" t="s">
        <v>3028</v>
      </c>
    </row>
    <row r="215" spans="1:5" x14ac:dyDescent="0.25">
      <c r="A215" s="10" t="s">
        <v>592</v>
      </c>
      <c r="B215" s="10" t="s">
        <v>592</v>
      </c>
      <c r="C215" s="9" t="s">
        <v>593</v>
      </c>
      <c r="D215" s="9" t="s">
        <v>3028</v>
      </c>
      <c r="E215" t="s">
        <v>3028</v>
      </c>
    </row>
    <row r="216" spans="1:5" x14ac:dyDescent="0.25">
      <c r="A216" s="10" t="s">
        <v>594</v>
      </c>
      <c r="B216" s="10" t="s">
        <v>594</v>
      </c>
      <c r="C216" s="9" t="s">
        <v>595</v>
      </c>
      <c r="D216" s="9" t="s">
        <v>3028</v>
      </c>
      <c r="E216" t="s">
        <v>3028</v>
      </c>
    </row>
    <row r="217" spans="1:5" x14ac:dyDescent="0.25">
      <c r="A217" s="10" t="s">
        <v>596</v>
      </c>
      <c r="B217" s="10" t="s">
        <v>596</v>
      </c>
      <c r="C217" s="9" t="s">
        <v>597</v>
      </c>
      <c r="D217" s="9" t="s">
        <v>3028</v>
      </c>
      <c r="E217" t="s">
        <v>3028</v>
      </c>
    </row>
    <row r="218" spans="1:5" x14ac:dyDescent="0.25">
      <c r="A218" s="10" t="s">
        <v>598</v>
      </c>
      <c r="B218" s="10" t="s">
        <v>598</v>
      </c>
      <c r="C218" s="9" t="s">
        <v>599</v>
      </c>
      <c r="D218" s="9" t="s">
        <v>3028</v>
      </c>
      <c r="E218" t="s">
        <v>3028</v>
      </c>
    </row>
    <row r="219" spans="1:5" x14ac:dyDescent="0.25">
      <c r="A219" s="10" t="s">
        <v>600</v>
      </c>
      <c r="B219" s="10" t="s">
        <v>600</v>
      </c>
      <c r="C219" s="9" t="s">
        <v>601</v>
      </c>
      <c r="D219" s="9" t="s">
        <v>3028</v>
      </c>
      <c r="E219" t="s">
        <v>3028</v>
      </c>
    </row>
    <row r="220" spans="1:5" x14ac:dyDescent="0.25">
      <c r="A220" s="10" t="s">
        <v>602</v>
      </c>
      <c r="B220" s="10" t="s">
        <v>602</v>
      </c>
      <c r="C220" s="9" t="s">
        <v>603</v>
      </c>
      <c r="D220" s="9" t="s">
        <v>3028</v>
      </c>
      <c r="E220" t="s">
        <v>3028</v>
      </c>
    </row>
    <row r="221" spans="1:5" x14ac:dyDescent="0.25">
      <c r="A221" s="10" t="s">
        <v>604</v>
      </c>
      <c r="B221" s="10" t="s">
        <v>604</v>
      </c>
      <c r="C221" s="9" t="s">
        <v>605</v>
      </c>
      <c r="D221" s="9" t="s">
        <v>3028</v>
      </c>
      <c r="E221" t="s">
        <v>3028</v>
      </c>
    </row>
    <row r="222" spans="1:5" x14ac:dyDescent="0.25">
      <c r="A222" s="10" t="s">
        <v>612</v>
      </c>
      <c r="B222" s="10" t="s">
        <v>612</v>
      </c>
      <c r="C222" s="9" t="s">
        <v>613</v>
      </c>
      <c r="D222" s="9" t="s">
        <v>3028</v>
      </c>
      <c r="E222" t="s">
        <v>3028</v>
      </c>
    </row>
    <row r="223" spans="1:5" x14ac:dyDescent="0.25">
      <c r="A223" s="10" t="s">
        <v>614</v>
      </c>
      <c r="B223" s="10" t="s">
        <v>614</v>
      </c>
      <c r="C223" s="9" t="s">
        <v>615</v>
      </c>
      <c r="D223" s="9" t="s">
        <v>3028</v>
      </c>
      <c r="E223" t="s">
        <v>3028</v>
      </c>
    </row>
    <row r="224" spans="1:5" x14ac:dyDescent="0.25">
      <c r="A224" s="10" t="s">
        <v>616</v>
      </c>
      <c r="B224" s="10" t="s">
        <v>616</v>
      </c>
      <c r="C224" s="9" t="s">
        <v>617</v>
      </c>
      <c r="D224" s="9" t="s">
        <v>3028</v>
      </c>
      <c r="E224" t="s">
        <v>3028</v>
      </c>
    </row>
    <row r="225" spans="1:5" x14ac:dyDescent="0.25">
      <c r="A225" s="10" t="s">
        <v>618</v>
      </c>
      <c r="B225" s="10" t="s">
        <v>618</v>
      </c>
      <c r="C225" s="9" t="s">
        <v>619</v>
      </c>
      <c r="D225" s="9" t="s">
        <v>3028</v>
      </c>
      <c r="E225" t="s">
        <v>3028</v>
      </c>
    </row>
    <row r="226" spans="1:5" x14ac:dyDescent="0.25">
      <c r="A226" s="10" t="s">
        <v>620</v>
      </c>
      <c r="B226" s="10" t="s">
        <v>620</v>
      </c>
      <c r="C226" s="9" t="s">
        <v>621</v>
      </c>
      <c r="D226" s="9" t="s">
        <v>3028</v>
      </c>
      <c r="E226" t="s">
        <v>3028</v>
      </c>
    </row>
    <row r="227" spans="1:5" x14ac:dyDescent="0.25">
      <c r="A227" s="10" t="s">
        <v>622</v>
      </c>
      <c r="B227" s="10" t="s">
        <v>622</v>
      </c>
      <c r="C227" s="9" t="s">
        <v>623</v>
      </c>
      <c r="D227" s="9" t="s">
        <v>3028</v>
      </c>
      <c r="E227" t="s">
        <v>3028</v>
      </c>
    </row>
    <row r="228" spans="1:5" x14ac:dyDescent="0.25">
      <c r="A228" s="10" t="s">
        <v>624</v>
      </c>
      <c r="B228" s="10" t="s">
        <v>624</v>
      </c>
      <c r="C228" s="9" t="s">
        <v>625</v>
      </c>
      <c r="D228" s="9" t="s">
        <v>3028</v>
      </c>
      <c r="E228" t="s">
        <v>3028</v>
      </c>
    </row>
    <row r="229" spans="1:5" x14ac:dyDescent="0.25">
      <c r="A229" s="10" t="s">
        <v>626</v>
      </c>
      <c r="B229" s="10" t="s">
        <v>626</v>
      </c>
      <c r="C229" s="9" t="s">
        <v>627</v>
      </c>
      <c r="D229" s="9" t="s">
        <v>3028</v>
      </c>
      <c r="E229" t="s">
        <v>3028</v>
      </c>
    </row>
    <row r="230" spans="1:5" x14ac:dyDescent="0.25">
      <c r="A230" s="10" t="s">
        <v>628</v>
      </c>
      <c r="B230" s="10" t="s">
        <v>628</v>
      </c>
      <c r="C230" s="9" t="s">
        <v>629</v>
      </c>
      <c r="D230" s="9" t="s">
        <v>3028</v>
      </c>
      <c r="E230" t="s">
        <v>3028</v>
      </c>
    </row>
    <row r="231" spans="1:5" x14ac:dyDescent="0.25">
      <c r="A231" s="10" t="s">
        <v>630</v>
      </c>
      <c r="B231" s="10" t="s">
        <v>630</v>
      </c>
      <c r="C231" s="9" t="s">
        <v>631</v>
      </c>
      <c r="D231" s="9" t="s">
        <v>3028</v>
      </c>
      <c r="E231" t="s">
        <v>3028</v>
      </c>
    </row>
    <row r="232" spans="1:5" x14ac:dyDescent="0.25">
      <c r="A232" s="10" t="s">
        <v>634</v>
      </c>
      <c r="B232" s="10" t="s">
        <v>634</v>
      </c>
      <c r="C232" s="9" t="s">
        <v>635</v>
      </c>
      <c r="D232" s="9" t="s">
        <v>3028</v>
      </c>
      <c r="E232" t="s">
        <v>3028</v>
      </c>
    </row>
    <row r="233" spans="1:5" x14ac:dyDescent="0.25">
      <c r="A233" s="10" t="s">
        <v>636</v>
      </c>
      <c r="B233" s="10" t="s">
        <v>636</v>
      </c>
      <c r="C233" s="9" t="s">
        <v>637</v>
      </c>
      <c r="D233" s="9" t="s">
        <v>3028</v>
      </c>
      <c r="E233" t="s">
        <v>3028</v>
      </c>
    </row>
    <row r="234" spans="1:5" x14ac:dyDescent="0.25">
      <c r="A234" s="10" t="s">
        <v>638</v>
      </c>
      <c r="B234" s="10" t="s">
        <v>638</v>
      </c>
      <c r="C234" s="9" t="s">
        <v>639</v>
      </c>
      <c r="D234" s="9" t="s">
        <v>3028</v>
      </c>
      <c r="E234" t="s">
        <v>3028</v>
      </c>
    </row>
    <row r="235" spans="1:5" x14ac:dyDescent="0.25">
      <c r="A235" s="10" t="s">
        <v>640</v>
      </c>
      <c r="B235" s="10" t="s">
        <v>640</v>
      </c>
      <c r="C235" s="9" t="s">
        <v>641</v>
      </c>
      <c r="D235" s="9" t="s">
        <v>3028</v>
      </c>
      <c r="E235" t="s">
        <v>3028</v>
      </c>
    </row>
    <row r="236" spans="1:5" x14ac:dyDescent="0.25">
      <c r="A236" s="10" t="s">
        <v>642</v>
      </c>
      <c r="B236" s="10" t="s">
        <v>642</v>
      </c>
      <c r="C236" s="9" t="s">
        <v>643</v>
      </c>
      <c r="D236" s="9" t="s">
        <v>3028</v>
      </c>
      <c r="E236" t="s">
        <v>3028</v>
      </c>
    </row>
    <row r="237" spans="1:5" x14ac:dyDescent="0.25">
      <c r="A237" s="10" t="s">
        <v>644</v>
      </c>
      <c r="B237" s="10" t="s">
        <v>644</v>
      </c>
      <c r="C237" s="9" t="s">
        <v>645</v>
      </c>
      <c r="D237" s="9" t="s">
        <v>3028</v>
      </c>
      <c r="E237" t="s">
        <v>3028</v>
      </c>
    </row>
    <row r="238" spans="1:5" x14ac:dyDescent="0.25">
      <c r="A238" s="10" t="s">
        <v>646</v>
      </c>
      <c r="B238" s="10" t="s">
        <v>646</v>
      </c>
      <c r="C238" s="9" t="s">
        <v>647</v>
      </c>
      <c r="D238" s="9" t="s">
        <v>3028</v>
      </c>
      <c r="E238" t="s">
        <v>3028</v>
      </c>
    </row>
    <row r="239" spans="1:5" x14ac:dyDescent="0.25">
      <c r="A239" s="10" t="s">
        <v>648</v>
      </c>
      <c r="B239" s="10" t="s">
        <v>648</v>
      </c>
      <c r="C239" s="9" t="s">
        <v>649</v>
      </c>
      <c r="D239" s="9" t="s">
        <v>3028</v>
      </c>
      <c r="E239" t="s">
        <v>3028</v>
      </c>
    </row>
    <row r="240" spans="1:5" x14ac:dyDescent="0.25">
      <c r="A240" s="10" t="s">
        <v>650</v>
      </c>
      <c r="B240" s="10" t="s">
        <v>650</v>
      </c>
      <c r="C240" s="9" t="s">
        <v>651</v>
      </c>
      <c r="D240" s="9" t="s">
        <v>3028</v>
      </c>
      <c r="E240" t="s">
        <v>3028</v>
      </c>
    </row>
    <row r="241" spans="1:5" x14ac:dyDescent="0.25">
      <c r="A241" s="10" t="s">
        <v>652</v>
      </c>
      <c r="B241" s="10" t="s">
        <v>652</v>
      </c>
      <c r="C241" s="9" t="s">
        <v>653</v>
      </c>
      <c r="D241" s="9" t="s">
        <v>3028</v>
      </c>
      <c r="E241" t="s">
        <v>3028</v>
      </c>
    </row>
    <row r="242" spans="1:5" x14ac:dyDescent="0.25">
      <c r="A242" s="10" t="s">
        <v>654</v>
      </c>
      <c r="B242" s="10" t="s">
        <v>654</v>
      </c>
      <c r="C242" s="9" t="s">
        <v>655</v>
      </c>
      <c r="D242" s="9" t="s">
        <v>3028</v>
      </c>
      <c r="E242" t="s">
        <v>3028</v>
      </c>
    </row>
    <row r="243" spans="1:5" x14ac:dyDescent="0.25">
      <c r="A243" s="10" t="s">
        <v>656</v>
      </c>
      <c r="B243" s="10" t="s">
        <v>656</v>
      </c>
      <c r="C243" s="9" t="s">
        <v>657</v>
      </c>
      <c r="D243" s="9" t="s">
        <v>3028</v>
      </c>
      <c r="E243" t="s">
        <v>3028</v>
      </c>
    </row>
    <row r="244" spans="1:5" x14ac:dyDescent="0.25">
      <c r="A244" s="10" t="s">
        <v>658</v>
      </c>
      <c r="B244" s="10" t="s">
        <v>658</v>
      </c>
      <c r="C244" s="9" t="s">
        <v>659</v>
      </c>
      <c r="D244" s="9" t="s">
        <v>3028</v>
      </c>
      <c r="E244" t="s">
        <v>3028</v>
      </c>
    </row>
    <row r="245" spans="1:5" x14ac:dyDescent="0.25">
      <c r="A245" s="10" t="s">
        <v>660</v>
      </c>
      <c r="B245" s="10" t="s">
        <v>660</v>
      </c>
      <c r="C245" s="9" t="s">
        <v>661</v>
      </c>
      <c r="D245" s="9" t="s">
        <v>3028</v>
      </c>
      <c r="E245" t="s">
        <v>3028</v>
      </c>
    </row>
    <row r="246" spans="1:5" x14ac:dyDescent="0.25">
      <c r="A246" s="10" t="s">
        <v>662</v>
      </c>
      <c r="B246" s="10" t="s">
        <v>662</v>
      </c>
      <c r="C246" s="9" t="s">
        <v>663</v>
      </c>
      <c r="D246" s="9" t="s">
        <v>3028</v>
      </c>
      <c r="E246" t="s">
        <v>3028</v>
      </c>
    </row>
    <row r="247" spans="1:5" x14ac:dyDescent="0.25">
      <c r="A247" s="10" t="s">
        <v>666</v>
      </c>
      <c r="B247" s="10" t="s">
        <v>666</v>
      </c>
      <c r="C247" s="9" t="s">
        <v>667</v>
      </c>
      <c r="D247" s="9" t="s">
        <v>3028</v>
      </c>
      <c r="E247" t="s">
        <v>3028</v>
      </c>
    </row>
    <row r="248" spans="1:5" x14ac:dyDescent="0.25">
      <c r="A248" s="10" t="s">
        <v>668</v>
      </c>
      <c r="B248" s="10" t="s">
        <v>668</v>
      </c>
      <c r="C248" s="9" t="s">
        <v>669</v>
      </c>
      <c r="D248" s="9" t="s">
        <v>3028</v>
      </c>
      <c r="E248" t="s">
        <v>3028</v>
      </c>
    </row>
    <row r="249" spans="1:5" x14ac:dyDescent="0.25">
      <c r="A249" s="10" t="s">
        <v>670</v>
      </c>
      <c r="B249" s="10" t="s">
        <v>670</v>
      </c>
      <c r="C249" s="9" t="s">
        <v>671</v>
      </c>
      <c r="D249" s="9" t="s">
        <v>3028</v>
      </c>
      <c r="E249" t="s">
        <v>3028</v>
      </c>
    </row>
    <row r="250" spans="1:5" x14ac:dyDescent="0.25">
      <c r="A250" s="10" t="s">
        <v>672</v>
      </c>
      <c r="B250" s="10" t="s">
        <v>672</v>
      </c>
      <c r="C250" s="9" t="s">
        <v>673</v>
      </c>
      <c r="D250" s="9" t="s">
        <v>3028</v>
      </c>
      <c r="E250" t="s">
        <v>3028</v>
      </c>
    </row>
    <row r="251" spans="1:5" x14ac:dyDescent="0.25">
      <c r="A251" s="10" t="s">
        <v>676</v>
      </c>
      <c r="B251" s="10" t="s">
        <v>676</v>
      </c>
      <c r="C251" s="9" t="s">
        <v>677</v>
      </c>
      <c r="D251" s="9" t="s">
        <v>3028</v>
      </c>
      <c r="E251" t="s">
        <v>3028</v>
      </c>
    </row>
    <row r="252" spans="1:5" x14ac:dyDescent="0.25">
      <c r="A252" s="10" t="s">
        <v>678</v>
      </c>
      <c r="B252" s="10" t="s">
        <v>678</v>
      </c>
      <c r="C252" s="9" t="s">
        <v>679</v>
      </c>
      <c r="D252" s="9" t="s">
        <v>3028</v>
      </c>
      <c r="E252" t="s">
        <v>3028</v>
      </c>
    </row>
    <row r="253" spans="1:5" x14ac:dyDescent="0.25">
      <c r="A253" s="10" t="s">
        <v>680</v>
      </c>
      <c r="B253" s="10" t="s">
        <v>680</v>
      </c>
      <c r="C253" s="9" t="s">
        <v>681</v>
      </c>
      <c r="D253" s="9" t="s">
        <v>3028</v>
      </c>
      <c r="E253" t="s">
        <v>3028</v>
      </c>
    </row>
    <row r="254" spans="1:5" x14ac:dyDescent="0.25">
      <c r="A254" s="10" t="s">
        <v>682</v>
      </c>
      <c r="B254" s="10" t="s">
        <v>682</v>
      </c>
      <c r="C254" s="9" t="s">
        <v>683</v>
      </c>
      <c r="D254" s="9" t="s">
        <v>3028</v>
      </c>
      <c r="E254" t="s">
        <v>3028</v>
      </c>
    </row>
    <row r="255" spans="1:5" x14ac:dyDescent="0.25">
      <c r="A255" s="10" t="s">
        <v>684</v>
      </c>
      <c r="B255" s="10" t="s">
        <v>684</v>
      </c>
      <c r="C255" s="9" t="s">
        <v>685</v>
      </c>
      <c r="D255" s="9" t="s">
        <v>3028</v>
      </c>
      <c r="E255" t="s">
        <v>3028</v>
      </c>
    </row>
    <row r="256" spans="1:5" x14ac:dyDescent="0.25">
      <c r="A256" s="10" t="s">
        <v>686</v>
      </c>
      <c r="B256" s="10" t="s">
        <v>686</v>
      </c>
      <c r="C256" s="9" t="s">
        <v>687</v>
      </c>
      <c r="D256" s="9" t="s">
        <v>3028</v>
      </c>
      <c r="E256" t="s">
        <v>3028</v>
      </c>
    </row>
    <row r="257" spans="1:5" x14ac:dyDescent="0.25">
      <c r="A257" s="10" t="s">
        <v>688</v>
      </c>
      <c r="B257" s="10" t="s">
        <v>688</v>
      </c>
      <c r="C257" s="9" t="s">
        <v>689</v>
      </c>
      <c r="D257" s="9" t="s">
        <v>3028</v>
      </c>
      <c r="E257" t="s">
        <v>3028</v>
      </c>
    </row>
    <row r="258" spans="1:5" x14ac:dyDescent="0.25">
      <c r="A258" s="10" t="s">
        <v>693</v>
      </c>
      <c r="B258" s="10" t="s">
        <v>693</v>
      </c>
      <c r="C258" s="9" t="s">
        <v>694</v>
      </c>
      <c r="D258" s="9" t="s">
        <v>3028</v>
      </c>
      <c r="E258" t="s">
        <v>3028</v>
      </c>
    </row>
    <row r="259" spans="1:5" x14ac:dyDescent="0.25">
      <c r="A259" s="10" t="s">
        <v>695</v>
      </c>
      <c r="B259" s="10" t="s">
        <v>695</v>
      </c>
      <c r="C259" s="9" t="s">
        <v>696</v>
      </c>
      <c r="D259" s="9" t="s">
        <v>3028</v>
      </c>
      <c r="E259" t="s">
        <v>3028</v>
      </c>
    </row>
    <row r="260" spans="1:5" x14ac:dyDescent="0.25">
      <c r="A260" s="10" t="s">
        <v>697</v>
      </c>
      <c r="B260" s="10" t="s">
        <v>697</v>
      </c>
      <c r="C260" s="9" t="s">
        <v>698</v>
      </c>
      <c r="D260" s="9" t="s">
        <v>3028</v>
      </c>
      <c r="E260" t="s">
        <v>3028</v>
      </c>
    </row>
    <row r="261" spans="1:5" x14ac:dyDescent="0.25">
      <c r="A261" s="10" t="s">
        <v>699</v>
      </c>
      <c r="B261" s="10" t="s">
        <v>699</v>
      </c>
      <c r="C261" s="9" t="s">
        <v>700</v>
      </c>
      <c r="D261" s="9" t="s">
        <v>3028</v>
      </c>
      <c r="E261" t="s">
        <v>3028</v>
      </c>
    </row>
    <row r="262" spans="1:5" x14ac:dyDescent="0.25">
      <c r="A262" s="10" t="s">
        <v>701</v>
      </c>
      <c r="B262" s="10" t="s">
        <v>701</v>
      </c>
      <c r="C262" s="9" t="s">
        <v>702</v>
      </c>
      <c r="D262" s="9" t="s">
        <v>3028</v>
      </c>
      <c r="E262" t="s">
        <v>3028</v>
      </c>
    </row>
    <row r="263" spans="1:5" x14ac:dyDescent="0.25">
      <c r="A263" s="10" t="s">
        <v>703</v>
      </c>
      <c r="B263" s="10" t="s">
        <v>703</v>
      </c>
      <c r="C263" s="9" t="s">
        <v>704</v>
      </c>
      <c r="D263" s="9" t="s">
        <v>3028</v>
      </c>
      <c r="E263" t="s">
        <v>3028</v>
      </c>
    </row>
    <row r="264" spans="1:5" x14ac:dyDescent="0.25">
      <c r="A264" s="10" t="s">
        <v>705</v>
      </c>
      <c r="B264" s="10" t="s">
        <v>705</v>
      </c>
      <c r="C264" s="9" t="s">
        <v>706</v>
      </c>
      <c r="D264" s="9" t="s">
        <v>3028</v>
      </c>
      <c r="E264" t="s">
        <v>3028</v>
      </c>
    </row>
    <row r="265" spans="1:5" x14ac:dyDescent="0.25">
      <c r="A265" s="10" t="s">
        <v>707</v>
      </c>
      <c r="B265" s="10" t="s">
        <v>707</v>
      </c>
      <c r="C265" s="9" t="s">
        <v>708</v>
      </c>
      <c r="D265" s="9" t="s">
        <v>3028</v>
      </c>
      <c r="E265" t="s">
        <v>3028</v>
      </c>
    </row>
    <row r="266" spans="1:5" x14ac:dyDescent="0.25">
      <c r="A266" s="10" t="s">
        <v>711</v>
      </c>
      <c r="B266" s="10" t="s">
        <v>711</v>
      </c>
      <c r="C266" s="9" t="s">
        <v>712</v>
      </c>
      <c r="D266" s="9" t="s">
        <v>3028</v>
      </c>
      <c r="E266" t="s">
        <v>3028</v>
      </c>
    </row>
    <row r="267" spans="1:5" x14ac:dyDescent="0.25">
      <c r="A267" s="10" t="s">
        <v>713</v>
      </c>
      <c r="B267" s="10" t="s">
        <v>713</v>
      </c>
      <c r="C267" s="9" t="s">
        <v>714</v>
      </c>
      <c r="D267" s="9" t="s">
        <v>3028</v>
      </c>
      <c r="E267" t="s">
        <v>3028</v>
      </c>
    </row>
    <row r="268" spans="1:5" x14ac:dyDescent="0.25">
      <c r="A268" s="10" t="s">
        <v>715</v>
      </c>
      <c r="B268" s="10" t="s">
        <v>715</v>
      </c>
      <c r="C268" s="9" t="s">
        <v>716</v>
      </c>
      <c r="D268" s="9" t="s">
        <v>3028</v>
      </c>
      <c r="E268" t="s">
        <v>3028</v>
      </c>
    </row>
    <row r="269" spans="1:5" x14ac:dyDescent="0.25">
      <c r="A269" s="10" t="s">
        <v>720</v>
      </c>
      <c r="B269" s="10" t="s">
        <v>720</v>
      </c>
      <c r="C269" s="9" t="s">
        <v>721</v>
      </c>
      <c r="D269" s="9" t="s">
        <v>3028</v>
      </c>
      <c r="E269" t="s">
        <v>3028</v>
      </c>
    </row>
    <row r="270" spans="1:5" x14ac:dyDescent="0.25">
      <c r="A270" s="10" t="s">
        <v>722</v>
      </c>
      <c r="B270" s="10" t="s">
        <v>722</v>
      </c>
      <c r="C270" s="9" t="s">
        <v>723</v>
      </c>
      <c r="D270" s="9" t="s">
        <v>3028</v>
      </c>
      <c r="E270" t="s">
        <v>3028</v>
      </c>
    </row>
    <row r="271" spans="1:5" x14ac:dyDescent="0.25">
      <c r="A271" s="10" t="s">
        <v>724</v>
      </c>
      <c r="B271" s="10" t="s">
        <v>724</v>
      </c>
      <c r="C271" s="9" t="s">
        <v>725</v>
      </c>
      <c r="D271" s="9" t="s">
        <v>3028</v>
      </c>
      <c r="E271" t="s">
        <v>3028</v>
      </c>
    </row>
    <row r="272" spans="1:5" x14ac:dyDescent="0.25">
      <c r="A272" s="10" t="s">
        <v>726</v>
      </c>
      <c r="B272" s="10" t="s">
        <v>726</v>
      </c>
      <c r="C272" s="9" t="s">
        <v>727</v>
      </c>
      <c r="D272" s="9" t="s">
        <v>3028</v>
      </c>
      <c r="E272" t="s">
        <v>3028</v>
      </c>
    </row>
    <row r="273" spans="1:5" x14ac:dyDescent="0.25">
      <c r="A273" s="10" t="s">
        <v>728</v>
      </c>
      <c r="B273" s="10" t="s">
        <v>728</v>
      </c>
      <c r="C273" s="9" t="s">
        <v>729</v>
      </c>
      <c r="D273" s="9" t="s">
        <v>3028</v>
      </c>
      <c r="E273" t="s">
        <v>3028</v>
      </c>
    </row>
    <row r="274" spans="1:5" x14ac:dyDescent="0.25">
      <c r="A274" s="10" t="s">
        <v>730</v>
      </c>
      <c r="B274" s="10" t="s">
        <v>730</v>
      </c>
      <c r="C274" s="9" t="s">
        <v>731</v>
      </c>
      <c r="D274" s="9" t="s">
        <v>3028</v>
      </c>
      <c r="E274" t="s">
        <v>3028</v>
      </c>
    </row>
    <row r="275" spans="1:5" x14ac:dyDescent="0.25">
      <c r="A275" s="10" t="s">
        <v>732</v>
      </c>
      <c r="B275" s="10" t="s">
        <v>732</v>
      </c>
      <c r="C275" s="9" t="s">
        <v>733</v>
      </c>
      <c r="D275" s="9" t="s">
        <v>3028</v>
      </c>
      <c r="E275" t="s">
        <v>3028</v>
      </c>
    </row>
    <row r="276" spans="1:5" x14ac:dyDescent="0.25">
      <c r="A276" s="10" t="s">
        <v>734</v>
      </c>
      <c r="B276" s="10" t="s">
        <v>734</v>
      </c>
      <c r="C276" s="9" t="s">
        <v>735</v>
      </c>
      <c r="D276" s="9" t="s">
        <v>3028</v>
      </c>
      <c r="E276" t="s">
        <v>3028</v>
      </c>
    </row>
    <row r="277" spans="1:5" x14ac:dyDescent="0.25">
      <c r="A277" s="10" t="s">
        <v>736</v>
      </c>
      <c r="B277" s="10" t="s">
        <v>736</v>
      </c>
      <c r="C277" s="9" t="s">
        <v>737</v>
      </c>
      <c r="D277" s="9" t="s">
        <v>3028</v>
      </c>
      <c r="E277" t="s">
        <v>3028</v>
      </c>
    </row>
    <row r="278" spans="1:5" x14ac:dyDescent="0.25">
      <c r="A278" s="10" t="s">
        <v>740</v>
      </c>
      <c r="B278" s="10" t="s">
        <v>740</v>
      </c>
      <c r="C278" s="9" t="s">
        <v>741</v>
      </c>
      <c r="D278" s="9" t="s">
        <v>3028</v>
      </c>
      <c r="E278" t="s">
        <v>3028</v>
      </c>
    </row>
    <row r="279" spans="1:5" x14ac:dyDescent="0.25">
      <c r="A279" s="10" t="s">
        <v>1619</v>
      </c>
      <c r="B279" s="10" t="s">
        <v>1619</v>
      </c>
      <c r="C279" s="9" t="s">
        <v>1620</v>
      </c>
      <c r="D279" s="9" t="s">
        <v>3028</v>
      </c>
      <c r="E279" t="s">
        <v>3028</v>
      </c>
    </row>
    <row r="280" spans="1:5" x14ac:dyDescent="0.25">
      <c r="A280" s="10" t="s">
        <v>742</v>
      </c>
      <c r="B280" s="10" t="s">
        <v>742</v>
      </c>
      <c r="C280" s="9" t="s">
        <v>743</v>
      </c>
      <c r="D280" s="9" t="s">
        <v>3028</v>
      </c>
      <c r="E280" t="s">
        <v>3028</v>
      </c>
    </row>
    <row r="281" spans="1:5" x14ac:dyDescent="0.25">
      <c r="A281" s="10" t="s">
        <v>744</v>
      </c>
      <c r="B281" s="10" t="s">
        <v>744</v>
      </c>
      <c r="C281" s="9" t="s">
        <v>745</v>
      </c>
      <c r="D281" s="9" t="s">
        <v>3028</v>
      </c>
      <c r="E281" t="s">
        <v>3028</v>
      </c>
    </row>
    <row r="282" spans="1:5" x14ac:dyDescent="0.25">
      <c r="A282" s="10" t="s">
        <v>746</v>
      </c>
      <c r="B282" s="10" t="s">
        <v>746</v>
      </c>
      <c r="C282" s="9" t="s">
        <v>747</v>
      </c>
      <c r="D282" s="9" t="s">
        <v>3028</v>
      </c>
      <c r="E282" t="s">
        <v>3028</v>
      </c>
    </row>
    <row r="283" spans="1:5" x14ac:dyDescent="0.25">
      <c r="A283" s="10" t="s">
        <v>748</v>
      </c>
      <c r="B283" s="10" t="s">
        <v>748</v>
      </c>
      <c r="C283" s="9" t="s">
        <v>749</v>
      </c>
      <c r="D283" s="9" t="s">
        <v>3028</v>
      </c>
      <c r="E283" t="s">
        <v>3028</v>
      </c>
    </row>
    <row r="284" spans="1:5" x14ac:dyDescent="0.25">
      <c r="A284" s="10" t="s">
        <v>750</v>
      </c>
      <c r="B284" s="10" t="s">
        <v>750</v>
      </c>
      <c r="C284" s="9" t="s">
        <v>751</v>
      </c>
      <c r="D284" s="9" t="s">
        <v>3028</v>
      </c>
      <c r="E284" t="s">
        <v>3028</v>
      </c>
    </row>
    <row r="285" spans="1:5" x14ac:dyDescent="0.25">
      <c r="A285" s="10" t="s">
        <v>752</v>
      </c>
      <c r="B285" s="10" t="s">
        <v>752</v>
      </c>
      <c r="C285" s="9" t="s">
        <v>753</v>
      </c>
      <c r="D285" s="9" t="s">
        <v>3028</v>
      </c>
      <c r="E285" t="s">
        <v>3028</v>
      </c>
    </row>
    <row r="286" spans="1:5" x14ac:dyDescent="0.25">
      <c r="A286" s="10" t="s">
        <v>754</v>
      </c>
      <c r="B286" s="10" t="s">
        <v>754</v>
      </c>
      <c r="C286" s="9" t="s">
        <v>755</v>
      </c>
      <c r="D286" s="9" t="s">
        <v>3028</v>
      </c>
      <c r="E286" t="s">
        <v>3028</v>
      </c>
    </row>
    <row r="287" spans="1:5" x14ac:dyDescent="0.25">
      <c r="A287" s="10" t="s">
        <v>756</v>
      </c>
      <c r="B287" s="10" t="s">
        <v>756</v>
      </c>
      <c r="C287" s="9" t="s">
        <v>757</v>
      </c>
      <c r="D287" s="9" t="s">
        <v>3028</v>
      </c>
      <c r="E287" t="s">
        <v>3028</v>
      </c>
    </row>
    <row r="288" spans="1:5" x14ac:dyDescent="0.25">
      <c r="A288" s="10" t="s">
        <v>758</v>
      </c>
      <c r="B288" s="10" t="s">
        <v>758</v>
      </c>
      <c r="C288" s="9" t="s">
        <v>759</v>
      </c>
      <c r="D288" s="9" t="s">
        <v>3028</v>
      </c>
      <c r="E288" t="s">
        <v>3028</v>
      </c>
    </row>
    <row r="289" spans="1:5" x14ac:dyDescent="0.25">
      <c r="A289" s="10" t="s">
        <v>760</v>
      </c>
      <c r="B289" s="10" t="s">
        <v>760</v>
      </c>
      <c r="C289" s="9" t="s">
        <v>761</v>
      </c>
      <c r="D289" s="9" t="s">
        <v>3028</v>
      </c>
      <c r="E289" t="s">
        <v>3028</v>
      </c>
    </row>
    <row r="290" spans="1:5" x14ac:dyDescent="0.25">
      <c r="A290" s="10" t="s">
        <v>762</v>
      </c>
      <c r="B290" s="10" t="s">
        <v>762</v>
      </c>
      <c r="C290" s="9" t="s">
        <v>763</v>
      </c>
      <c r="D290" s="9" t="s">
        <v>3028</v>
      </c>
      <c r="E290" t="s">
        <v>3028</v>
      </c>
    </row>
    <row r="291" spans="1:5" x14ac:dyDescent="0.25">
      <c r="A291" s="10" t="s">
        <v>766</v>
      </c>
      <c r="B291" s="10" t="s">
        <v>766</v>
      </c>
      <c r="C291" s="9" t="s">
        <v>767</v>
      </c>
      <c r="D291" s="9" t="s">
        <v>3028</v>
      </c>
      <c r="E291" t="s">
        <v>3028</v>
      </c>
    </row>
    <row r="292" spans="1:5" x14ac:dyDescent="0.25">
      <c r="A292" s="10" t="s">
        <v>770</v>
      </c>
      <c r="B292" s="10" t="s">
        <v>770</v>
      </c>
      <c r="C292" s="9" t="s">
        <v>771</v>
      </c>
      <c r="D292" s="9" t="s">
        <v>3028</v>
      </c>
      <c r="E292" t="s">
        <v>3028</v>
      </c>
    </row>
    <row r="293" spans="1:5" x14ac:dyDescent="0.25">
      <c r="A293" s="10" t="s">
        <v>772</v>
      </c>
      <c r="B293" s="10" t="s">
        <v>772</v>
      </c>
      <c r="C293" s="9" t="s">
        <v>773</v>
      </c>
      <c r="D293" s="9" t="s">
        <v>3028</v>
      </c>
      <c r="E293" t="s">
        <v>3028</v>
      </c>
    </row>
    <row r="294" spans="1:5" x14ac:dyDescent="0.25">
      <c r="A294" s="10" t="s">
        <v>774</v>
      </c>
      <c r="B294" s="10" t="s">
        <v>774</v>
      </c>
      <c r="C294" s="9" t="s">
        <v>775</v>
      </c>
      <c r="D294" s="9" t="s">
        <v>3028</v>
      </c>
      <c r="E294" t="s">
        <v>3028</v>
      </c>
    </row>
    <row r="295" spans="1:5" x14ac:dyDescent="0.25">
      <c r="A295" s="10" t="s">
        <v>776</v>
      </c>
      <c r="B295" s="10" t="s">
        <v>776</v>
      </c>
      <c r="C295" s="9" t="s">
        <v>777</v>
      </c>
      <c r="D295" s="9" t="s">
        <v>3028</v>
      </c>
      <c r="E295" t="s">
        <v>3028</v>
      </c>
    </row>
    <row r="296" spans="1:5" x14ac:dyDescent="0.25">
      <c r="A296" s="10" t="s">
        <v>778</v>
      </c>
      <c r="B296" s="10" t="s">
        <v>778</v>
      </c>
      <c r="C296" s="9" t="s">
        <v>779</v>
      </c>
      <c r="D296" s="9" t="s">
        <v>3028</v>
      </c>
      <c r="E296" t="s">
        <v>3028</v>
      </c>
    </row>
    <row r="297" spans="1:5" x14ac:dyDescent="0.25">
      <c r="A297" s="10" t="s">
        <v>780</v>
      </c>
      <c r="B297" s="10" t="s">
        <v>780</v>
      </c>
      <c r="C297" s="9" t="s">
        <v>781</v>
      </c>
      <c r="D297" s="9" t="s">
        <v>3028</v>
      </c>
      <c r="E297" t="s">
        <v>3028</v>
      </c>
    </row>
    <row r="298" spans="1:5" x14ac:dyDescent="0.25">
      <c r="A298" s="10" t="s">
        <v>782</v>
      </c>
      <c r="B298" s="10" t="s">
        <v>782</v>
      </c>
      <c r="C298" s="9" t="s">
        <v>783</v>
      </c>
      <c r="D298" s="9" t="s">
        <v>3028</v>
      </c>
      <c r="E298" t="s">
        <v>3028</v>
      </c>
    </row>
    <row r="299" spans="1:5" x14ac:dyDescent="0.25">
      <c r="A299" s="10" t="s">
        <v>784</v>
      </c>
      <c r="B299" s="10" t="s">
        <v>784</v>
      </c>
      <c r="C299" s="9" t="s">
        <v>785</v>
      </c>
      <c r="D299" s="9" t="s">
        <v>3028</v>
      </c>
      <c r="E299" t="s">
        <v>3028</v>
      </c>
    </row>
    <row r="300" spans="1:5" x14ac:dyDescent="0.25">
      <c r="A300" s="10" t="s">
        <v>788</v>
      </c>
      <c r="B300" s="10" t="s">
        <v>788</v>
      </c>
      <c r="C300" s="9" t="s">
        <v>789</v>
      </c>
      <c r="D300" s="9" t="s">
        <v>3028</v>
      </c>
      <c r="E300" t="s">
        <v>3028</v>
      </c>
    </row>
    <row r="301" spans="1:5" x14ac:dyDescent="0.25">
      <c r="A301" s="10" t="s">
        <v>790</v>
      </c>
      <c r="B301" s="10" t="s">
        <v>790</v>
      </c>
      <c r="C301" s="9" t="s">
        <v>791</v>
      </c>
      <c r="D301" s="9" t="s">
        <v>3028</v>
      </c>
      <c r="E301" t="s">
        <v>3028</v>
      </c>
    </row>
    <row r="302" spans="1:5" x14ac:dyDescent="0.25">
      <c r="A302" s="10" t="s">
        <v>792</v>
      </c>
      <c r="B302" s="10" t="s">
        <v>792</v>
      </c>
      <c r="C302" s="9" t="s">
        <v>793</v>
      </c>
      <c r="D302" s="9" t="s">
        <v>3028</v>
      </c>
      <c r="E302" t="s">
        <v>3028</v>
      </c>
    </row>
    <row r="303" spans="1:5" x14ac:dyDescent="0.25">
      <c r="A303" s="10" t="s">
        <v>794</v>
      </c>
      <c r="B303" s="10" t="s">
        <v>794</v>
      </c>
      <c r="C303" s="9" t="s">
        <v>795</v>
      </c>
      <c r="D303" s="9" t="s">
        <v>3028</v>
      </c>
      <c r="E303" t="s">
        <v>3028</v>
      </c>
    </row>
    <row r="304" spans="1:5" x14ac:dyDescent="0.25">
      <c r="A304" s="10" t="s">
        <v>796</v>
      </c>
      <c r="B304" s="10" t="s">
        <v>796</v>
      </c>
      <c r="C304" s="9" t="s">
        <v>797</v>
      </c>
      <c r="D304" s="9" t="s">
        <v>3028</v>
      </c>
      <c r="E304" t="s">
        <v>3028</v>
      </c>
    </row>
    <row r="305" spans="1:5" x14ac:dyDescent="0.25">
      <c r="A305" s="10" t="s">
        <v>798</v>
      </c>
      <c r="B305" s="10" t="s">
        <v>798</v>
      </c>
      <c r="C305" s="9" t="s">
        <v>799</v>
      </c>
      <c r="D305" s="9" t="s">
        <v>3028</v>
      </c>
      <c r="E305" t="s">
        <v>3028</v>
      </c>
    </row>
    <row r="306" spans="1:5" x14ac:dyDescent="0.25">
      <c r="A306" s="10" t="s">
        <v>805</v>
      </c>
      <c r="B306" s="10" t="s">
        <v>805</v>
      </c>
      <c r="C306" s="9" t="s">
        <v>806</v>
      </c>
      <c r="D306" s="9" t="s">
        <v>3028</v>
      </c>
      <c r="E306" t="s">
        <v>3028</v>
      </c>
    </row>
    <row r="307" spans="1:5" x14ac:dyDescent="0.25">
      <c r="A307" s="10" t="s">
        <v>807</v>
      </c>
      <c r="B307" s="10" t="s">
        <v>807</v>
      </c>
      <c r="C307" s="9" t="s">
        <v>808</v>
      </c>
      <c r="D307" s="9" t="s">
        <v>3028</v>
      </c>
      <c r="E307" t="s">
        <v>3028</v>
      </c>
    </row>
    <row r="308" spans="1:5" x14ac:dyDescent="0.25">
      <c r="A308" s="10" t="s">
        <v>809</v>
      </c>
      <c r="B308" s="10" t="s">
        <v>809</v>
      </c>
      <c r="C308" s="9" t="s">
        <v>810</v>
      </c>
      <c r="D308" s="9" t="s">
        <v>3028</v>
      </c>
      <c r="E308" t="s">
        <v>3028</v>
      </c>
    </row>
    <row r="309" spans="1:5" x14ac:dyDescent="0.25">
      <c r="A309" s="10" t="s">
        <v>811</v>
      </c>
      <c r="B309" s="10" t="s">
        <v>811</v>
      </c>
      <c r="C309" s="9" t="s">
        <v>812</v>
      </c>
      <c r="D309" s="9" t="s">
        <v>3028</v>
      </c>
      <c r="E309" t="s">
        <v>3028</v>
      </c>
    </row>
    <row r="310" spans="1:5" x14ac:dyDescent="0.25">
      <c r="A310" s="10" t="s">
        <v>813</v>
      </c>
      <c r="B310" s="10" t="s">
        <v>813</v>
      </c>
      <c r="C310" s="9" t="s">
        <v>814</v>
      </c>
      <c r="D310" s="9" t="s">
        <v>3028</v>
      </c>
      <c r="E310" t="s">
        <v>3028</v>
      </c>
    </row>
    <row r="311" spans="1:5" x14ac:dyDescent="0.25">
      <c r="A311" s="10" t="s">
        <v>815</v>
      </c>
      <c r="B311" s="10" t="s">
        <v>815</v>
      </c>
      <c r="C311" s="9" t="s">
        <v>816</v>
      </c>
      <c r="D311" s="9" t="s">
        <v>3028</v>
      </c>
      <c r="E311" t="s">
        <v>3028</v>
      </c>
    </row>
    <row r="312" spans="1:5" x14ac:dyDescent="0.25">
      <c r="A312" s="10" t="s">
        <v>819</v>
      </c>
      <c r="B312" s="10" t="s">
        <v>819</v>
      </c>
      <c r="C312" s="9" t="s">
        <v>820</v>
      </c>
      <c r="D312" s="9" t="s">
        <v>3028</v>
      </c>
      <c r="E312" t="s">
        <v>3028</v>
      </c>
    </row>
    <row r="313" spans="1:5" x14ac:dyDescent="0.25">
      <c r="A313" s="10" t="s">
        <v>821</v>
      </c>
      <c r="B313" s="10" t="s">
        <v>821</v>
      </c>
      <c r="C313" s="9" t="s">
        <v>822</v>
      </c>
      <c r="D313" s="9" t="s">
        <v>3028</v>
      </c>
      <c r="E313" t="s">
        <v>3028</v>
      </c>
    </row>
    <row r="314" spans="1:5" x14ac:dyDescent="0.25">
      <c r="A314" s="10" t="s">
        <v>823</v>
      </c>
      <c r="B314" s="10" t="s">
        <v>823</v>
      </c>
      <c r="C314" s="9" t="s">
        <v>824</v>
      </c>
      <c r="D314" s="9" t="s">
        <v>3028</v>
      </c>
      <c r="E314" t="s">
        <v>3028</v>
      </c>
    </row>
    <row r="315" spans="1:5" x14ac:dyDescent="0.25">
      <c r="A315" s="10" t="s">
        <v>825</v>
      </c>
      <c r="B315" s="10" t="s">
        <v>825</v>
      </c>
      <c r="C315" s="9" t="s">
        <v>826</v>
      </c>
      <c r="D315" s="9" t="s">
        <v>3028</v>
      </c>
      <c r="E315" t="s">
        <v>3028</v>
      </c>
    </row>
    <row r="316" spans="1:5" x14ac:dyDescent="0.25">
      <c r="A316" s="10" t="s">
        <v>830</v>
      </c>
      <c r="B316" s="10" t="s">
        <v>830</v>
      </c>
      <c r="C316" s="9" t="s">
        <v>831</v>
      </c>
      <c r="D316" s="9" t="s">
        <v>3028</v>
      </c>
      <c r="E316" t="s">
        <v>3028</v>
      </c>
    </row>
    <row r="317" spans="1:5" x14ac:dyDescent="0.25">
      <c r="A317" s="10" t="s">
        <v>832</v>
      </c>
      <c r="B317" s="10" t="s">
        <v>832</v>
      </c>
      <c r="C317" s="9" t="s">
        <v>833</v>
      </c>
      <c r="D317" s="9" t="s">
        <v>3028</v>
      </c>
      <c r="E317" t="s">
        <v>3028</v>
      </c>
    </row>
    <row r="318" spans="1:5" x14ac:dyDescent="0.25">
      <c r="A318" s="10" t="s">
        <v>834</v>
      </c>
      <c r="B318" s="10" t="s">
        <v>834</v>
      </c>
      <c r="C318" s="9" t="s">
        <v>835</v>
      </c>
      <c r="D318" s="9" t="s">
        <v>3028</v>
      </c>
      <c r="E318" t="s">
        <v>3028</v>
      </c>
    </row>
    <row r="319" spans="1:5" x14ac:dyDescent="0.25">
      <c r="A319" s="10" t="s">
        <v>838</v>
      </c>
      <c r="B319" s="10" t="s">
        <v>838</v>
      </c>
      <c r="C319" s="9" t="s">
        <v>839</v>
      </c>
      <c r="D319" s="9" t="s">
        <v>3028</v>
      </c>
      <c r="E319" t="s">
        <v>3028</v>
      </c>
    </row>
    <row r="320" spans="1:5" x14ac:dyDescent="0.25">
      <c r="A320" s="10" t="s">
        <v>840</v>
      </c>
      <c r="B320" s="10" t="s">
        <v>840</v>
      </c>
      <c r="C320" s="9" t="s">
        <v>841</v>
      </c>
      <c r="D320" s="9" t="s">
        <v>3028</v>
      </c>
      <c r="E320" t="s">
        <v>3028</v>
      </c>
    </row>
    <row r="321" spans="1:5" x14ac:dyDescent="0.25">
      <c r="A321" s="10" t="s">
        <v>842</v>
      </c>
      <c r="B321" s="10" t="s">
        <v>842</v>
      </c>
      <c r="C321" s="9" t="s">
        <v>843</v>
      </c>
      <c r="D321" s="9" t="s">
        <v>3028</v>
      </c>
      <c r="E321" t="s">
        <v>3028</v>
      </c>
    </row>
    <row r="322" spans="1:5" x14ac:dyDescent="0.25">
      <c r="A322" s="10" t="s">
        <v>844</v>
      </c>
      <c r="B322" s="10" t="s">
        <v>844</v>
      </c>
      <c r="C322" s="9" t="s">
        <v>845</v>
      </c>
      <c r="D322" s="9" t="s">
        <v>3028</v>
      </c>
      <c r="E322" t="s">
        <v>3028</v>
      </c>
    </row>
    <row r="323" spans="1:5" x14ac:dyDescent="0.25">
      <c r="A323" s="10" t="s">
        <v>846</v>
      </c>
      <c r="B323" s="10" t="s">
        <v>846</v>
      </c>
      <c r="C323" s="9" t="s">
        <v>847</v>
      </c>
      <c r="D323" s="9" t="s">
        <v>3028</v>
      </c>
      <c r="E323" t="s">
        <v>3028</v>
      </c>
    </row>
    <row r="324" spans="1:5" x14ac:dyDescent="0.25">
      <c r="A324" s="10" t="s">
        <v>848</v>
      </c>
      <c r="B324" s="10" t="s">
        <v>848</v>
      </c>
      <c r="C324" s="9" t="s">
        <v>849</v>
      </c>
      <c r="D324" s="9" t="s">
        <v>3028</v>
      </c>
      <c r="E324" t="s">
        <v>3028</v>
      </c>
    </row>
    <row r="325" spans="1:5" x14ac:dyDescent="0.25">
      <c r="A325" s="10" t="s">
        <v>850</v>
      </c>
      <c r="B325" s="10" t="s">
        <v>850</v>
      </c>
      <c r="C325" s="9" t="s">
        <v>851</v>
      </c>
      <c r="D325" s="9" t="s">
        <v>3028</v>
      </c>
      <c r="E325" t="s">
        <v>3028</v>
      </c>
    </row>
    <row r="326" spans="1:5" x14ac:dyDescent="0.25">
      <c r="A326" s="10" t="s">
        <v>852</v>
      </c>
      <c r="B326" s="10" t="s">
        <v>852</v>
      </c>
      <c r="C326" s="9" t="s">
        <v>853</v>
      </c>
      <c r="D326" s="9" t="s">
        <v>3028</v>
      </c>
      <c r="E326" t="s">
        <v>3028</v>
      </c>
    </row>
    <row r="327" spans="1:5" x14ac:dyDescent="0.25">
      <c r="A327" s="10" t="s">
        <v>854</v>
      </c>
      <c r="B327" s="10" t="s">
        <v>854</v>
      </c>
      <c r="C327" s="9" t="s">
        <v>855</v>
      </c>
      <c r="D327" s="9" t="s">
        <v>3028</v>
      </c>
      <c r="E327" t="s">
        <v>3028</v>
      </c>
    </row>
    <row r="328" spans="1:5" x14ac:dyDescent="0.25">
      <c r="A328" s="10" t="s">
        <v>856</v>
      </c>
      <c r="B328" s="10" t="s">
        <v>856</v>
      </c>
      <c r="C328" s="9" t="s">
        <v>857</v>
      </c>
      <c r="D328" s="9" t="s">
        <v>3028</v>
      </c>
      <c r="E328" t="s">
        <v>3028</v>
      </c>
    </row>
    <row r="329" spans="1:5" x14ac:dyDescent="0.25">
      <c r="A329" s="10" t="s">
        <v>858</v>
      </c>
      <c r="B329" s="10" t="s">
        <v>858</v>
      </c>
      <c r="C329" s="9" t="s">
        <v>859</v>
      </c>
      <c r="D329" s="9" t="s">
        <v>3028</v>
      </c>
      <c r="E329" t="s">
        <v>3028</v>
      </c>
    </row>
    <row r="330" spans="1:5" x14ac:dyDescent="0.25">
      <c r="A330" s="10" t="s">
        <v>860</v>
      </c>
      <c r="B330" s="10" t="s">
        <v>860</v>
      </c>
      <c r="C330" s="9" t="s">
        <v>861</v>
      </c>
      <c r="D330" s="9" t="s">
        <v>3028</v>
      </c>
      <c r="E330" t="s">
        <v>3028</v>
      </c>
    </row>
    <row r="331" spans="1:5" x14ac:dyDescent="0.25">
      <c r="A331" s="10" t="s">
        <v>866</v>
      </c>
      <c r="B331" s="10" t="s">
        <v>866</v>
      </c>
      <c r="C331" s="9" t="s">
        <v>867</v>
      </c>
      <c r="D331" s="9" t="s">
        <v>3028</v>
      </c>
      <c r="E331" t="s">
        <v>3028</v>
      </c>
    </row>
    <row r="332" spans="1:5" x14ac:dyDescent="0.25">
      <c r="A332" s="10" t="s">
        <v>868</v>
      </c>
      <c r="B332" s="10" t="s">
        <v>868</v>
      </c>
      <c r="C332" s="9" t="s">
        <v>869</v>
      </c>
      <c r="D332" s="9" t="s">
        <v>3028</v>
      </c>
      <c r="E332" t="s">
        <v>3028</v>
      </c>
    </row>
    <row r="333" spans="1:5" x14ac:dyDescent="0.25">
      <c r="A333" s="10" t="s">
        <v>870</v>
      </c>
      <c r="B333" s="10" t="s">
        <v>870</v>
      </c>
      <c r="C333" s="9" t="s">
        <v>871</v>
      </c>
      <c r="D333" s="9" t="s">
        <v>3028</v>
      </c>
      <c r="E333" t="s">
        <v>3028</v>
      </c>
    </row>
    <row r="334" spans="1:5" x14ac:dyDescent="0.25">
      <c r="A334" s="10" t="s">
        <v>872</v>
      </c>
      <c r="B334" s="10" t="s">
        <v>872</v>
      </c>
      <c r="C334" s="9" t="s">
        <v>873</v>
      </c>
      <c r="D334" s="9" t="s">
        <v>3028</v>
      </c>
      <c r="E334" t="s">
        <v>3028</v>
      </c>
    </row>
    <row r="335" spans="1:5" x14ac:dyDescent="0.25">
      <c r="A335" s="10" t="s">
        <v>874</v>
      </c>
      <c r="B335" s="10" t="s">
        <v>874</v>
      </c>
      <c r="C335" s="9" t="s">
        <v>875</v>
      </c>
      <c r="D335" s="9" t="s">
        <v>3028</v>
      </c>
      <c r="E335" t="s">
        <v>3028</v>
      </c>
    </row>
    <row r="336" spans="1:5" x14ac:dyDescent="0.25">
      <c r="A336" s="10" t="s">
        <v>876</v>
      </c>
      <c r="B336" s="10" t="s">
        <v>876</v>
      </c>
      <c r="C336" s="9" t="s">
        <v>877</v>
      </c>
      <c r="D336" s="9" t="s">
        <v>3028</v>
      </c>
      <c r="E336" t="s">
        <v>3028</v>
      </c>
    </row>
    <row r="337" spans="1:5" x14ac:dyDescent="0.25">
      <c r="A337" s="10" t="s">
        <v>878</v>
      </c>
      <c r="B337" s="10" t="s">
        <v>878</v>
      </c>
      <c r="C337" s="9" t="s">
        <v>879</v>
      </c>
      <c r="D337" s="9" t="s">
        <v>3028</v>
      </c>
      <c r="E337" t="s">
        <v>3028</v>
      </c>
    </row>
    <row r="338" spans="1:5" x14ac:dyDescent="0.25">
      <c r="A338" s="10" t="s">
        <v>880</v>
      </c>
      <c r="B338" s="10" t="s">
        <v>880</v>
      </c>
      <c r="C338" s="9" t="s">
        <v>881</v>
      </c>
      <c r="D338" s="9" t="s">
        <v>3028</v>
      </c>
      <c r="E338" t="s">
        <v>3028</v>
      </c>
    </row>
    <row r="339" spans="1:5" x14ac:dyDescent="0.25">
      <c r="A339" s="10" t="s">
        <v>882</v>
      </c>
      <c r="B339" s="10" t="s">
        <v>882</v>
      </c>
      <c r="C339" s="9" t="s">
        <v>883</v>
      </c>
      <c r="D339" s="9" t="s">
        <v>3028</v>
      </c>
      <c r="E339" t="s">
        <v>3028</v>
      </c>
    </row>
    <row r="340" spans="1:5" x14ac:dyDescent="0.25">
      <c r="A340" s="10" t="s">
        <v>884</v>
      </c>
      <c r="B340" s="10" t="s">
        <v>884</v>
      </c>
      <c r="C340" s="9" t="s">
        <v>885</v>
      </c>
      <c r="D340" s="9" t="s">
        <v>3028</v>
      </c>
      <c r="E340" t="s">
        <v>3028</v>
      </c>
    </row>
    <row r="341" spans="1:5" x14ac:dyDescent="0.25">
      <c r="A341" s="10" t="s">
        <v>886</v>
      </c>
      <c r="B341" s="10" t="s">
        <v>886</v>
      </c>
      <c r="C341" s="9" t="s">
        <v>887</v>
      </c>
      <c r="D341" s="9" t="s">
        <v>3028</v>
      </c>
      <c r="E341" t="s">
        <v>3028</v>
      </c>
    </row>
    <row r="342" spans="1:5" x14ac:dyDescent="0.25">
      <c r="A342" s="10" t="s">
        <v>888</v>
      </c>
      <c r="B342" s="10" t="s">
        <v>888</v>
      </c>
      <c r="C342" s="9" t="s">
        <v>889</v>
      </c>
      <c r="D342" s="9" t="s">
        <v>3028</v>
      </c>
      <c r="E342" t="s">
        <v>3028</v>
      </c>
    </row>
    <row r="343" spans="1:5" x14ac:dyDescent="0.25">
      <c r="A343" s="10" t="s">
        <v>892</v>
      </c>
      <c r="B343" s="10" t="s">
        <v>892</v>
      </c>
      <c r="C343" s="9" t="s">
        <v>893</v>
      </c>
      <c r="D343" s="9" t="s">
        <v>3028</v>
      </c>
      <c r="E343" t="s">
        <v>3028</v>
      </c>
    </row>
    <row r="344" spans="1:5" x14ac:dyDescent="0.25">
      <c r="A344" s="10" t="s">
        <v>894</v>
      </c>
      <c r="B344" s="10" t="s">
        <v>894</v>
      </c>
      <c r="C344" s="9" t="s">
        <v>895</v>
      </c>
      <c r="D344" s="9" t="s">
        <v>3028</v>
      </c>
      <c r="E344" t="s">
        <v>3028</v>
      </c>
    </row>
    <row r="345" spans="1:5" x14ac:dyDescent="0.25">
      <c r="A345" s="10" t="s">
        <v>896</v>
      </c>
      <c r="B345" s="10" t="s">
        <v>896</v>
      </c>
      <c r="C345" s="9" t="s">
        <v>897</v>
      </c>
      <c r="D345" s="9" t="s">
        <v>3028</v>
      </c>
      <c r="E345" t="s">
        <v>3028</v>
      </c>
    </row>
    <row r="346" spans="1:5" x14ac:dyDescent="0.25">
      <c r="A346" s="10" t="s">
        <v>898</v>
      </c>
      <c r="B346" s="10" t="s">
        <v>898</v>
      </c>
      <c r="C346" s="9" t="s">
        <v>899</v>
      </c>
      <c r="D346" s="9" t="s">
        <v>3028</v>
      </c>
      <c r="E346" t="s">
        <v>3028</v>
      </c>
    </row>
    <row r="347" spans="1:5" x14ac:dyDescent="0.25">
      <c r="A347" s="10" t="s">
        <v>900</v>
      </c>
      <c r="B347" s="10" t="s">
        <v>900</v>
      </c>
      <c r="C347" s="9" t="s">
        <v>901</v>
      </c>
      <c r="D347" s="9" t="s">
        <v>3028</v>
      </c>
      <c r="E347" t="s">
        <v>3028</v>
      </c>
    </row>
    <row r="348" spans="1:5" x14ac:dyDescent="0.25">
      <c r="A348" s="10" t="s">
        <v>904</v>
      </c>
      <c r="B348" s="10" t="s">
        <v>904</v>
      </c>
      <c r="C348" s="9" t="s">
        <v>905</v>
      </c>
      <c r="D348" s="9" t="s">
        <v>3028</v>
      </c>
      <c r="E348" t="s">
        <v>3028</v>
      </c>
    </row>
    <row r="349" spans="1:5" x14ac:dyDescent="0.25">
      <c r="A349" s="10" t="s">
        <v>906</v>
      </c>
      <c r="B349" s="10" t="s">
        <v>906</v>
      </c>
      <c r="C349" s="9" t="s">
        <v>907</v>
      </c>
      <c r="D349" s="9" t="s">
        <v>3028</v>
      </c>
      <c r="E349" t="s">
        <v>3028</v>
      </c>
    </row>
    <row r="350" spans="1:5" x14ac:dyDescent="0.25">
      <c r="A350" s="10" t="s">
        <v>908</v>
      </c>
      <c r="B350" s="10" t="s">
        <v>908</v>
      </c>
      <c r="C350" s="9" t="s">
        <v>909</v>
      </c>
      <c r="D350" s="9" t="s">
        <v>3028</v>
      </c>
      <c r="E350" t="s">
        <v>3028</v>
      </c>
    </row>
    <row r="351" spans="1:5" x14ac:dyDescent="0.25">
      <c r="A351" s="10" t="s">
        <v>912</v>
      </c>
      <c r="B351" s="10" t="s">
        <v>912</v>
      </c>
      <c r="C351" s="9" t="s">
        <v>913</v>
      </c>
      <c r="D351" s="9" t="s">
        <v>3028</v>
      </c>
      <c r="E351" t="s">
        <v>3028</v>
      </c>
    </row>
    <row r="352" spans="1:5" x14ac:dyDescent="0.25">
      <c r="A352" s="10" t="s">
        <v>914</v>
      </c>
      <c r="B352" s="10" t="s">
        <v>914</v>
      </c>
      <c r="C352" s="9" t="s">
        <v>915</v>
      </c>
      <c r="D352" s="9" t="s">
        <v>3028</v>
      </c>
      <c r="E352" t="s">
        <v>3028</v>
      </c>
    </row>
    <row r="353" spans="1:5" x14ac:dyDescent="0.25">
      <c r="A353" s="10" t="s">
        <v>916</v>
      </c>
      <c r="B353" s="10" t="s">
        <v>916</v>
      </c>
      <c r="C353" s="9" t="s">
        <v>917</v>
      </c>
      <c r="D353" s="9" t="s">
        <v>3028</v>
      </c>
      <c r="E353" t="s">
        <v>3028</v>
      </c>
    </row>
    <row r="354" spans="1:5" x14ac:dyDescent="0.25">
      <c r="A354" s="10" t="s">
        <v>918</v>
      </c>
      <c r="B354" s="10" t="s">
        <v>918</v>
      </c>
      <c r="C354" s="9" t="s">
        <v>919</v>
      </c>
      <c r="D354" s="9" t="s">
        <v>3028</v>
      </c>
      <c r="E354" t="s">
        <v>3028</v>
      </c>
    </row>
    <row r="355" spans="1:5" x14ac:dyDescent="0.25">
      <c r="A355" s="10" t="s">
        <v>920</v>
      </c>
      <c r="B355" s="10" t="s">
        <v>920</v>
      </c>
      <c r="C355" s="9" t="s">
        <v>921</v>
      </c>
      <c r="D355" s="9" t="s">
        <v>3028</v>
      </c>
      <c r="E355" t="s">
        <v>3028</v>
      </c>
    </row>
    <row r="356" spans="1:5" x14ac:dyDescent="0.25">
      <c r="A356" s="10" t="s">
        <v>922</v>
      </c>
      <c r="B356" s="10" t="s">
        <v>922</v>
      </c>
      <c r="C356" s="9" t="s">
        <v>923</v>
      </c>
      <c r="D356" s="9" t="s">
        <v>3028</v>
      </c>
      <c r="E356" t="s">
        <v>3028</v>
      </c>
    </row>
    <row r="357" spans="1:5" x14ac:dyDescent="0.25">
      <c r="A357" s="10" t="s">
        <v>926</v>
      </c>
      <c r="B357" s="10" t="s">
        <v>926</v>
      </c>
      <c r="C357" s="9" t="s">
        <v>927</v>
      </c>
      <c r="D357" s="9" t="s">
        <v>3028</v>
      </c>
      <c r="E357" t="s">
        <v>3028</v>
      </c>
    </row>
    <row r="358" spans="1:5" x14ac:dyDescent="0.25">
      <c r="A358" s="10" t="s">
        <v>928</v>
      </c>
      <c r="B358" s="10" t="s">
        <v>928</v>
      </c>
      <c r="C358" s="9" t="s">
        <v>929</v>
      </c>
      <c r="D358" s="9" t="s">
        <v>3028</v>
      </c>
      <c r="E358" t="s">
        <v>3028</v>
      </c>
    </row>
    <row r="359" spans="1:5" x14ac:dyDescent="0.25">
      <c r="A359" s="10" t="s">
        <v>930</v>
      </c>
      <c r="B359" s="10" t="s">
        <v>930</v>
      </c>
      <c r="C359" s="9" t="s">
        <v>931</v>
      </c>
      <c r="D359" s="9" t="s">
        <v>3028</v>
      </c>
      <c r="E359" t="s">
        <v>3028</v>
      </c>
    </row>
    <row r="360" spans="1:5" x14ac:dyDescent="0.25">
      <c r="A360" s="10" t="s">
        <v>932</v>
      </c>
      <c r="B360" s="10" t="s">
        <v>932</v>
      </c>
      <c r="C360" s="9" t="s">
        <v>933</v>
      </c>
      <c r="D360" s="9" t="s">
        <v>3028</v>
      </c>
      <c r="E360" t="s">
        <v>3028</v>
      </c>
    </row>
    <row r="361" spans="1:5" x14ac:dyDescent="0.25">
      <c r="A361" s="10" t="s">
        <v>934</v>
      </c>
      <c r="B361" s="10" t="s">
        <v>934</v>
      </c>
      <c r="C361" s="9" t="s">
        <v>935</v>
      </c>
      <c r="D361" s="9" t="s">
        <v>3028</v>
      </c>
      <c r="E361" t="s">
        <v>3028</v>
      </c>
    </row>
    <row r="362" spans="1:5" x14ac:dyDescent="0.25">
      <c r="A362" s="10" t="s">
        <v>936</v>
      </c>
      <c r="B362" s="10" t="s">
        <v>936</v>
      </c>
      <c r="C362" s="9" t="s">
        <v>937</v>
      </c>
      <c r="D362" s="9" t="s">
        <v>3028</v>
      </c>
      <c r="E362" t="s">
        <v>3028</v>
      </c>
    </row>
    <row r="363" spans="1:5" x14ac:dyDescent="0.25">
      <c r="A363" s="10" t="s">
        <v>938</v>
      </c>
      <c r="B363" s="10" t="s">
        <v>938</v>
      </c>
      <c r="C363" s="9" t="s">
        <v>939</v>
      </c>
      <c r="D363" s="9" t="s">
        <v>3028</v>
      </c>
      <c r="E363" t="s">
        <v>3028</v>
      </c>
    </row>
    <row r="364" spans="1:5" x14ac:dyDescent="0.25">
      <c r="A364" s="10" t="s">
        <v>940</v>
      </c>
      <c r="B364" s="10" t="s">
        <v>940</v>
      </c>
      <c r="C364" s="9" t="s">
        <v>941</v>
      </c>
      <c r="D364" s="9" t="s">
        <v>3028</v>
      </c>
      <c r="E364" t="s">
        <v>3028</v>
      </c>
    </row>
    <row r="365" spans="1:5" x14ac:dyDescent="0.25">
      <c r="A365" s="10" t="s">
        <v>942</v>
      </c>
      <c r="B365" s="10" t="s">
        <v>942</v>
      </c>
      <c r="C365" s="9" t="s">
        <v>943</v>
      </c>
      <c r="D365" s="9" t="s">
        <v>3028</v>
      </c>
      <c r="E365" t="s">
        <v>3028</v>
      </c>
    </row>
    <row r="366" spans="1:5" x14ac:dyDescent="0.25">
      <c r="A366" s="10" t="s">
        <v>946</v>
      </c>
      <c r="B366" s="10" t="s">
        <v>946</v>
      </c>
      <c r="C366" s="9" t="s">
        <v>947</v>
      </c>
      <c r="D366" s="9" t="s">
        <v>3028</v>
      </c>
      <c r="E366" t="s">
        <v>3028</v>
      </c>
    </row>
    <row r="367" spans="1:5" x14ac:dyDescent="0.25">
      <c r="A367" s="10" t="s">
        <v>948</v>
      </c>
      <c r="B367" s="10" t="s">
        <v>948</v>
      </c>
      <c r="C367" s="9" t="s">
        <v>949</v>
      </c>
      <c r="D367" s="9" t="s">
        <v>3028</v>
      </c>
      <c r="E367" t="s">
        <v>3028</v>
      </c>
    </row>
    <row r="368" spans="1:5" x14ac:dyDescent="0.25">
      <c r="A368" s="10" t="s">
        <v>958</v>
      </c>
      <c r="B368" s="10" t="s">
        <v>958</v>
      </c>
      <c r="C368" s="9" t="s">
        <v>959</v>
      </c>
      <c r="D368" s="9" t="s">
        <v>3028</v>
      </c>
      <c r="E368" t="s">
        <v>3028</v>
      </c>
    </row>
    <row r="369" spans="1:5" x14ac:dyDescent="0.25">
      <c r="A369" s="10" t="s">
        <v>962</v>
      </c>
      <c r="B369" s="10" t="s">
        <v>962</v>
      </c>
      <c r="C369" s="9" t="s">
        <v>963</v>
      </c>
      <c r="D369" s="9" t="s">
        <v>3028</v>
      </c>
      <c r="E369" t="s">
        <v>3028</v>
      </c>
    </row>
    <row r="370" spans="1:5" x14ac:dyDescent="0.25">
      <c r="A370" s="10" t="s">
        <v>968</v>
      </c>
      <c r="B370" s="10" t="s">
        <v>968</v>
      </c>
      <c r="C370" s="9" t="s">
        <v>969</v>
      </c>
      <c r="D370" s="9" t="s">
        <v>3028</v>
      </c>
      <c r="E370" t="s">
        <v>3028</v>
      </c>
    </row>
    <row r="371" spans="1:5" x14ac:dyDescent="0.25">
      <c r="A371" s="10" t="s">
        <v>970</v>
      </c>
      <c r="B371" s="10" t="s">
        <v>970</v>
      </c>
      <c r="C371" s="9" t="s">
        <v>971</v>
      </c>
      <c r="D371" s="9" t="s">
        <v>3028</v>
      </c>
      <c r="E371" t="s">
        <v>3028</v>
      </c>
    </row>
    <row r="372" spans="1:5" x14ac:dyDescent="0.25">
      <c r="A372" s="10" t="s">
        <v>974</v>
      </c>
      <c r="B372" s="10" t="s">
        <v>974</v>
      </c>
      <c r="C372" s="9" t="s">
        <v>975</v>
      </c>
      <c r="D372" s="9" t="s">
        <v>3028</v>
      </c>
      <c r="E372" t="s">
        <v>3028</v>
      </c>
    </row>
    <row r="373" spans="1:5" x14ac:dyDescent="0.25">
      <c r="A373" s="10" t="s">
        <v>976</v>
      </c>
      <c r="B373" s="10" t="s">
        <v>976</v>
      </c>
      <c r="C373" s="9" t="s">
        <v>977</v>
      </c>
      <c r="D373" s="9" t="s">
        <v>3028</v>
      </c>
      <c r="E373" t="s">
        <v>3028</v>
      </c>
    </row>
    <row r="374" spans="1:5" x14ac:dyDescent="0.25">
      <c r="A374" s="10" t="s">
        <v>978</v>
      </c>
      <c r="B374" s="10" t="s">
        <v>978</v>
      </c>
      <c r="C374" s="9" t="s">
        <v>979</v>
      </c>
      <c r="D374" s="9" t="s">
        <v>3028</v>
      </c>
      <c r="E374" t="s">
        <v>3028</v>
      </c>
    </row>
    <row r="375" spans="1:5" x14ac:dyDescent="0.25">
      <c r="A375" s="10" t="s">
        <v>980</v>
      </c>
      <c r="B375" s="10" t="s">
        <v>980</v>
      </c>
      <c r="C375" s="9" t="s">
        <v>981</v>
      </c>
      <c r="D375" s="9" t="s">
        <v>3028</v>
      </c>
      <c r="E375" t="s">
        <v>3028</v>
      </c>
    </row>
    <row r="376" spans="1:5" x14ac:dyDescent="0.25">
      <c r="A376" s="10" t="s">
        <v>982</v>
      </c>
      <c r="B376" s="10" t="s">
        <v>982</v>
      </c>
      <c r="C376" s="9" t="s">
        <v>983</v>
      </c>
      <c r="D376" s="9" t="s">
        <v>3028</v>
      </c>
      <c r="E376" t="s">
        <v>3028</v>
      </c>
    </row>
    <row r="377" spans="1:5" x14ac:dyDescent="0.25">
      <c r="A377" s="10" t="s">
        <v>984</v>
      </c>
      <c r="B377" s="10" t="s">
        <v>984</v>
      </c>
      <c r="C377" s="9" t="s">
        <v>985</v>
      </c>
      <c r="D377" s="9" t="s">
        <v>3028</v>
      </c>
      <c r="E377" t="s">
        <v>3028</v>
      </c>
    </row>
    <row r="378" spans="1:5" x14ac:dyDescent="0.25">
      <c r="A378" s="10" t="s">
        <v>986</v>
      </c>
      <c r="B378" s="10" t="s">
        <v>986</v>
      </c>
      <c r="C378" s="9" t="s">
        <v>987</v>
      </c>
      <c r="D378" s="9" t="s">
        <v>3028</v>
      </c>
      <c r="E378" t="s">
        <v>3028</v>
      </c>
    </row>
    <row r="379" spans="1:5" x14ac:dyDescent="0.25">
      <c r="A379" s="10" t="s">
        <v>992</v>
      </c>
      <c r="B379" s="10" t="s">
        <v>992</v>
      </c>
      <c r="C379" s="9" t="s">
        <v>993</v>
      </c>
      <c r="D379" s="9" t="s">
        <v>3028</v>
      </c>
      <c r="E379" t="s">
        <v>3028</v>
      </c>
    </row>
    <row r="380" spans="1:5" x14ac:dyDescent="0.25">
      <c r="A380" s="10" t="s">
        <v>994</v>
      </c>
      <c r="B380" s="10" t="s">
        <v>994</v>
      </c>
      <c r="C380" s="9" t="s">
        <v>995</v>
      </c>
      <c r="D380" s="9" t="s">
        <v>3028</v>
      </c>
      <c r="E380" t="s">
        <v>3028</v>
      </c>
    </row>
    <row r="381" spans="1:5" x14ac:dyDescent="0.25">
      <c r="A381" s="10" t="s">
        <v>996</v>
      </c>
      <c r="B381" s="10" t="s">
        <v>996</v>
      </c>
      <c r="C381" s="9" t="s">
        <v>997</v>
      </c>
      <c r="D381" s="9" t="s">
        <v>3028</v>
      </c>
      <c r="E381" t="s">
        <v>3028</v>
      </c>
    </row>
    <row r="382" spans="1:5" x14ac:dyDescent="0.25">
      <c r="A382" s="10" t="s">
        <v>998</v>
      </c>
      <c r="B382" s="10" t="s">
        <v>998</v>
      </c>
      <c r="C382" s="9" t="s">
        <v>999</v>
      </c>
      <c r="D382" s="9" t="s">
        <v>3028</v>
      </c>
      <c r="E382" t="s">
        <v>3028</v>
      </c>
    </row>
    <row r="383" spans="1:5" x14ac:dyDescent="0.25">
      <c r="A383" s="10" t="s">
        <v>1002</v>
      </c>
      <c r="B383" s="10" t="s">
        <v>1002</v>
      </c>
      <c r="C383" s="9" t="s">
        <v>1003</v>
      </c>
      <c r="D383" s="9" t="s">
        <v>3028</v>
      </c>
      <c r="E383" t="s">
        <v>3028</v>
      </c>
    </row>
    <row r="384" spans="1:5" x14ac:dyDescent="0.25">
      <c r="A384" s="10" t="s">
        <v>1004</v>
      </c>
      <c r="B384" s="10" t="s">
        <v>1004</v>
      </c>
      <c r="C384" s="9" t="s">
        <v>1005</v>
      </c>
      <c r="D384" s="9" t="s">
        <v>3028</v>
      </c>
      <c r="E384" t="s">
        <v>3028</v>
      </c>
    </row>
    <row r="385" spans="1:5" x14ac:dyDescent="0.25">
      <c r="A385" s="10" t="s">
        <v>1006</v>
      </c>
      <c r="B385" s="10" t="s">
        <v>1006</v>
      </c>
      <c r="C385" s="9" t="s">
        <v>1007</v>
      </c>
      <c r="D385" s="9" t="s">
        <v>3028</v>
      </c>
      <c r="E385" t="s">
        <v>3028</v>
      </c>
    </row>
    <row r="386" spans="1:5" x14ac:dyDescent="0.25">
      <c r="A386" s="10" t="s">
        <v>1008</v>
      </c>
      <c r="B386" s="10" t="s">
        <v>1008</v>
      </c>
      <c r="C386" s="9" t="s">
        <v>1009</v>
      </c>
      <c r="D386" s="9" t="s">
        <v>3028</v>
      </c>
      <c r="E386" t="s">
        <v>3028</v>
      </c>
    </row>
    <row r="387" spans="1:5" x14ac:dyDescent="0.25">
      <c r="A387" s="10" t="s">
        <v>1010</v>
      </c>
      <c r="B387" s="10" t="s">
        <v>1010</v>
      </c>
      <c r="C387" s="9" t="s">
        <v>1011</v>
      </c>
      <c r="D387" s="9" t="s">
        <v>3028</v>
      </c>
      <c r="E387" t="s">
        <v>3028</v>
      </c>
    </row>
    <row r="388" spans="1:5" x14ac:dyDescent="0.25">
      <c r="A388" s="10" t="s">
        <v>1012</v>
      </c>
      <c r="B388" s="10" t="s">
        <v>1012</v>
      </c>
      <c r="C388" s="9" t="s">
        <v>1013</v>
      </c>
      <c r="D388" s="9" t="s">
        <v>3028</v>
      </c>
      <c r="E388" t="s">
        <v>3028</v>
      </c>
    </row>
    <row r="389" spans="1:5" x14ac:dyDescent="0.25">
      <c r="A389" s="10" t="s">
        <v>1014</v>
      </c>
      <c r="B389" s="10" t="s">
        <v>1014</v>
      </c>
      <c r="C389" s="9" t="s">
        <v>1015</v>
      </c>
      <c r="D389" s="9" t="s">
        <v>3028</v>
      </c>
      <c r="E389" t="s">
        <v>3028</v>
      </c>
    </row>
    <row r="390" spans="1:5" x14ac:dyDescent="0.25">
      <c r="A390" s="10" t="s">
        <v>1018</v>
      </c>
      <c r="B390" s="10" t="s">
        <v>1018</v>
      </c>
      <c r="C390" s="9" t="s">
        <v>1019</v>
      </c>
      <c r="D390" s="9" t="s">
        <v>3028</v>
      </c>
      <c r="E390" t="s">
        <v>3028</v>
      </c>
    </row>
    <row r="391" spans="1:5" x14ac:dyDescent="0.25">
      <c r="A391" s="10" t="s">
        <v>1020</v>
      </c>
      <c r="B391" s="10" t="s">
        <v>1020</v>
      </c>
      <c r="C391" s="9" t="s">
        <v>1021</v>
      </c>
      <c r="D391" s="9" t="s">
        <v>3028</v>
      </c>
      <c r="E391" t="s">
        <v>3028</v>
      </c>
    </row>
    <row r="392" spans="1:5" x14ac:dyDescent="0.25">
      <c r="A392" s="10" t="s">
        <v>1024</v>
      </c>
      <c r="B392" s="10" t="s">
        <v>1024</v>
      </c>
      <c r="C392" s="9" t="s">
        <v>1025</v>
      </c>
      <c r="D392" s="9" t="s">
        <v>3028</v>
      </c>
      <c r="E392" t="s">
        <v>3028</v>
      </c>
    </row>
    <row r="393" spans="1:5" x14ac:dyDescent="0.25">
      <c r="A393" s="10" t="s">
        <v>1026</v>
      </c>
      <c r="B393" s="10" t="s">
        <v>1026</v>
      </c>
      <c r="C393" s="9" t="s">
        <v>1027</v>
      </c>
      <c r="D393" s="9" t="s">
        <v>3028</v>
      </c>
      <c r="E393" t="s">
        <v>3028</v>
      </c>
    </row>
    <row r="394" spans="1:5" x14ac:dyDescent="0.25">
      <c r="A394" s="10" t="s">
        <v>1028</v>
      </c>
      <c r="B394" s="10" t="s">
        <v>1028</v>
      </c>
      <c r="C394" s="9" t="s">
        <v>1029</v>
      </c>
      <c r="D394" s="9" t="s">
        <v>3028</v>
      </c>
      <c r="E394" t="s">
        <v>3028</v>
      </c>
    </row>
    <row r="395" spans="1:5" x14ac:dyDescent="0.25">
      <c r="A395" s="10" t="s">
        <v>1030</v>
      </c>
      <c r="B395" s="10" t="s">
        <v>1030</v>
      </c>
      <c r="C395" s="9" t="s">
        <v>1031</v>
      </c>
      <c r="D395" s="9" t="s">
        <v>3028</v>
      </c>
      <c r="E395" t="s">
        <v>3028</v>
      </c>
    </row>
    <row r="396" spans="1:5" x14ac:dyDescent="0.25">
      <c r="A396" s="10" t="s">
        <v>1032</v>
      </c>
      <c r="B396" s="10" t="s">
        <v>1032</v>
      </c>
      <c r="C396" s="9" t="s">
        <v>1033</v>
      </c>
      <c r="D396" s="9" t="s">
        <v>3028</v>
      </c>
      <c r="E396" t="s">
        <v>3028</v>
      </c>
    </row>
    <row r="397" spans="1:5" x14ac:dyDescent="0.25">
      <c r="A397" s="10" t="s">
        <v>1034</v>
      </c>
      <c r="B397" s="10" t="s">
        <v>1034</v>
      </c>
      <c r="C397" s="9" t="s">
        <v>1035</v>
      </c>
      <c r="D397" s="9" t="s">
        <v>3028</v>
      </c>
      <c r="E397" t="s">
        <v>3028</v>
      </c>
    </row>
    <row r="398" spans="1:5" x14ac:dyDescent="0.25">
      <c r="A398" s="10" t="s">
        <v>1038</v>
      </c>
      <c r="B398" s="10" t="s">
        <v>1038</v>
      </c>
      <c r="C398" s="9" t="s">
        <v>1039</v>
      </c>
      <c r="D398" s="9" t="s">
        <v>3028</v>
      </c>
      <c r="E398" t="s">
        <v>3028</v>
      </c>
    </row>
    <row r="399" spans="1:5" x14ac:dyDescent="0.25">
      <c r="A399" s="10" t="s">
        <v>1040</v>
      </c>
      <c r="B399" s="10" t="s">
        <v>1040</v>
      </c>
      <c r="C399" s="9" t="s">
        <v>1041</v>
      </c>
      <c r="D399" s="9" t="s">
        <v>3028</v>
      </c>
      <c r="E399" t="s">
        <v>3028</v>
      </c>
    </row>
    <row r="400" spans="1:5" x14ac:dyDescent="0.25">
      <c r="A400" s="10" t="s">
        <v>1042</v>
      </c>
      <c r="B400" s="10" t="s">
        <v>1042</v>
      </c>
      <c r="C400" s="9" t="s">
        <v>1043</v>
      </c>
      <c r="D400" s="9" t="s">
        <v>3028</v>
      </c>
      <c r="E400" t="s">
        <v>3028</v>
      </c>
    </row>
    <row r="401" spans="1:5" x14ac:dyDescent="0.25">
      <c r="A401" s="10" t="s">
        <v>1047</v>
      </c>
      <c r="B401" s="10" t="s">
        <v>1047</v>
      </c>
      <c r="C401" s="9" t="s">
        <v>1048</v>
      </c>
      <c r="D401" s="9" t="s">
        <v>3028</v>
      </c>
      <c r="E401" t="s">
        <v>3028</v>
      </c>
    </row>
    <row r="402" spans="1:5" x14ac:dyDescent="0.25">
      <c r="A402" s="10" t="s">
        <v>1049</v>
      </c>
      <c r="B402" s="10" t="s">
        <v>1049</v>
      </c>
      <c r="C402" s="9" t="s">
        <v>1050</v>
      </c>
      <c r="D402" s="9" t="s">
        <v>3028</v>
      </c>
      <c r="E402" t="s">
        <v>3028</v>
      </c>
    </row>
    <row r="403" spans="1:5" x14ac:dyDescent="0.25">
      <c r="A403" s="10" t="s">
        <v>1053</v>
      </c>
      <c r="B403" s="10" t="s">
        <v>1053</v>
      </c>
      <c r="C403" s="9" t="s">
        <v>1054</v>
      </c>
      <c r="D403" s="9" t="s">
        <v>3028</v>
      </c>
      <c r="E403" t="s">
        <v>3028</v>
      </c>
    </row>
    <row r="404" spans="1:5" x14ac:dyDescent="0.25">
      <c r="A404" s="10" t="s">
        <v>1057</v>
      </c>
      <c r="B404" s="10" t="s">
        <v>1057</v>
      </c>
      <c r="C404" s="9" t="s">
        <v>1058</v>
      </c>
      <c r="D404" s="9" t="s">
        <v>3028</v>
      </c>
      <c r="E404" t="s">
        <v>3028</v>
      </c>
    </row>
    <row r="405" spans="1:5" x14ac:dyDescent="0.25">
      <c r="A405" s="10" t="s">
        <v>1059</v>
      </c>
      <c r="B405" s="10" t="s">
        <v>1059</v>
      </c>
      <c r="C405" s="9" t="s">
        <v>1060</v>
      </c>
      <c r="D405" s="9" t="s">
        <v>3028</v>
      </c>
      <c r="E405" t="s">
        <v>3028</v>
      </c>
    </row>
    <row r="406" spans="1:5" x14ac:dyDescent="0.25">
      <c r="A406" s="10" t="s">
        <v>1061</v>
      </c>
      <c r="B406" s="10" t="s">
        <v>1061</v>
      </c>
      <c r="C406" s="9" t="s">
        <v>1062</v>
      </c>
      <c r="D406" s="9" t="s">
        <v>3028</v>
      </c>
      <c r="E406" t="s">
        <v>3028</v>
      </c>
    </row>
    <row r="407" spans="1:5" x14ac:dyDescent="0.25">
      <c r="A407" s="10" t="s">
        <v>1065</v>
      </c>
      <c r="B407" s="10" t="s">
        <v>1065</v>
      </c>
      <c r="C407" s="9" t="s">
        <v>1066</v>
      </c>
      <c r="D407" s="9" t="s">
        <v>3028</v>
      </c>
      <c r="E407" t="s">
        <v>3028</v>
      </c>
    </row>
    <row r="408" spans="1:5" x14ac:dyDescent="0.25">
      <c r="A408" s="10" t="s">
        <v>1067</v>
      </c>
      <c r="B408" s="10" t="s">
        <v>1067</v>
      </c>
      <c r="C408" s="9" t="s">
        <v>1068</v>
      </c>
      <c r="D408" s="9" t="s">
        <v>3028</v>
      </c>
      <c r="E408" t="s">
        <v>3028</v>
      </c>
    </row>
    <row r="409" spans="1:5" x14ac:dyDescent="0.25">
      <c r="A409" s="10" t="s">
        <v>1069</v>
      </c>
      <c r="B409" s="10" t="s">
        <v>1069</v>
      </c>
      <c r="C409" s="9" t="s">
        <v>1070</v>
      </c>
      <c r="D409" s="9" t="s">
        <v>3028</v>
      </c>
      <c r="E409" t="s">
        <v>3028</v>
      </c>
    </row>
    <row r="410" spans="1:5" x14ac:dyDescent="0.25">
      <c r="A410" s="10" t="s">
        <v>1071</v>
      </c>
      <c r="B410" s="10" t="s">
        <v>1071</v>
      </c>
      <c r="C410" s="9" t="s">
        <v>1072</v>
      </c>
      <c r="D410" s="9" t="s">
        <v>3028</v>
      </c>
      <c r="E410" t="s">
        <v>3028</v>
      </c>
    </row>
    <row r="411" spans="1:5" x14ac:dyDescent="0.25">
      <c r="A411" s="10" t="s">
        <v>1073</v>
      </c>
      <c r="B411" s="10" t="s">
        <v>1073</v>
      </c>
      <c r="C411" s="9" t="s">
        <v>1074</v>
      </c>
      <c r="D411" s="9" t="s">
        <v>3028</v>
      </c>
      <c r="E411" t="s">
        <v>3028</v>
      </c>
    </row>
    <row r="412" spans="1:5" x14ac:dyDescent="0.25">
      <c r="A412" s="10" t="s">
        <v>1075</v>
      </c>
      <c r="B412" s="10" t="s">
        <v>1075</v>
      </c>
      <c r="C412" s="9" t="s">
        <v>1076</v>
      </c>
      <c r="D412" s="9" t="s">
        <v>3028</v>
      </c>
      <c r="E412" t="s">
        <v>3028</v>
      </c>
    </row>
    <row r="413" spans="1:5" x14ac:dyDescent="0.25">
      <c r="A413" s="10" t="s">
        <v>1077</v>
      </c>
      <c r="B413" s="10" t="s">
        <v>1077</v>
      </c>
      <c r="C413" s="9" t="s">
        <v>1078</v>
      </c>
      <c r="D413" s="9" t="s">
        <v>3028</v>
      </c>
      <c r="E413" t="s">
        <v>3028</v>
      </c>
    </row>
    <row r="414" spans="1:5" x14ac:dyDescent="0.25">
      <c r="A414" s="10" t="s">
        <v>1079</v>
      </c>
      <c r="B414" s="10" t="s">
        <v>1079</v>
      </c>
      <c r="C414" s="9" t="s">
        <v>1080</v>
      </c>
      <c r="D414" s="9" t="s">
        <v>3028</v>
      </c>
      <c r="E414" t="s">
        <v>3028</v>
      </c>
    </row>
    <row r="415" spans="1:5" x14ac:dyDescent="0.25">
      <c r="A415" s="10" t="s">
        <v>1081</v>
      </c>
      <c r="B415" s="10" t="s">
        <v>1081</v>
      </c>
      <c r="C415" s="9" t="s">
        <v>1082</v>
      </c>
      <c r="D415" s="9" t="s">
        <v>3028</v>
      </c>
      <c r="E415" t="s">
        <v>3028</v>
      </c>
    </row>
    <row r="416" spans="1:5" x14ac:dyDescent="0.25">
      <c r="A416" s="10" t="s">
        <v>1083</v>
      </c>
      <c r="B416" s="10" t="s">
        <v>1083</v>
      </c>
      <c r="C416" s="9" t="s">
        <v>1084</v>
      </c>
      <c r="D416" s="9" t="s">
        <v>3028</v>
      </c>
      <c r="E416" t="s">
        <v>3028</v>
      </c>
    </row>
    <row r="417" spans="1:5" x14ac:dyDescent="0.25">
      <c r="A417" s="10" t="s">
        <v>1085</v>
      </c>
      <c r="B417" s="10" t="s">
        <v>1085</v>
      </c>
      <c r="C417" s="9" t="s">
        <v>1086</v>
      </c>
      <c r="D417" s="9" t="s">
        <v>3028</v>
      </c>
      <c r="E417" t="s">
        <v>3028</v>
      </c>
    </row>
    <row r="418" spans="1:5" x14ac:dyDescent="0.25">
      <c r="A418" s="10" t="s">
        <v>1087</v>
      </c>
      <c r="B418" s="10" t="s">
        <v>1087</v>
      </c>
      <c r="C418" s="9" t="s">
        <v>1088</v>
      </c>
      <c r="D418" s="9" t="s">
        <v>3028</v>
      </c>
      <c r="E418" t="s">
        <v>3028</v>
      </c>
    </row>
    <row r="419" spans="1:5" x14ac:dyDescent="0.25">
      <c r="A419" s="10" t="s">
        <v>1089</v>
      </c>
      <c r="B419" s="10" t="s">
        <v>1089</v>
      </c>
      <c r="C419" s="9" t="s">
        <v>1090</v>
      </c>
      <c r="D419" s="9" t="s">
        <v>3028</v>
      </c>
      <c r="E419" t="s">
        <v>3028</v>
      </c>
    </row>
    <row r="420" spans="1:5" x14ac:dyDescent="0.25">
      <c r="A420" s="10" t="s">
        <v>1091</v>
      </c>
      <c r="B420" s="10" t="s">
        <v>1091</v>
      </c>
      <c r="C420" s="9" t="s">
        <v>1092</v>
      </c>
      <c r="D420" s="9" t="s">
        <v>3028</v>
      </c>
      <c r="E420" t="s">
        <v>3028</v>
      </c>
    </row>
    <row r="421" spans="1:5" x14ac:dyDescent="0.25">
      <c r="A421" s="10" t="s">
        <v>1093</v>
      </c>
      <c r="B421" s="10" t="s">
        <v>1093</v>
      </c>
      <c r="C421" s="9" t="s">
        <v>1094</v>
      </c>
      <c r="D421" s="9" t="s">
        <v>3028</v>
      </c>
      <c r="E421" t="s">
        <v>3028</v>
      </c>
    </row>
    <row r="422" spans="1:5" x14ac:dyDescent="0.25">
      <c r="A422" s="10" t="s">
        <v>1095</v>
      </c>
      <c r="B422" s="10" t="s">
        <v>1095</v>
      </c>
      <c r="C422" s="9" t="s">
        <v>1096</v>
      </c>
      <c r="D422" s="9" t="s">
        <v>3028</v>
      </c>
      <c r="E422" t="s">
        <v>3028</v>
      </c>
    </row>
    <row r="423" spans="1:5" x14ac:dyDescent="0.25">
      <c r="A423" s="10" t="s">
        <v>1097</v>
      </c>
      <c r="B423" s="10" t="s">
        <v>1097</v>
      </c>
      <c r="C423" s="9" t="s">
        <v>1098</v>
      </c>
      <c r="D423" s="9" t="s">
        <v>3028</v>
      </c>
      <c r="E423" t="s">
        <v>3028</v>
      </c>
    </row>
    <row r="424" spans="1:5" x14ac:dyDescent="0.25">
      <c r="A424" s="10" t="s">
        <v>1099</v>
      </c>
      <c r="B424" s="10" t="s">
        <v>1099</v>
      </c>
      <c r="C424" s="9" t="s">
        <v>1100</v>
      </c>
      <c r="D424" s="9" t="s">
        <v>3028</v>
      </c>
      <c r="E424" t="s">
        <v>3028</v>
      </c>
    </row>
    <row r="425" spans="1:5" x14ac:dyDescent="0.25">
      <c r="A425" s="10" t="s">
        <v>1101</v>
      </c>
      <c r="B425" s="10" t="s">
        <v>1101</v>
      </c>
      <c r="C425" s="9" t="s">
        <v>1102</v>
      </c>
      <c r="D425" s="9" t="s">
        <v>3028</v>
      </c>
      <c r="E425" t="s">
        <v>3028</v>
      </c>
    </row>
    <row r="426" spans="1:5" x14ac:dyDescent="0.25">
      <c r="A426" s="10" t="s">
        <v>1103</v>
      </c>
      <c r="B426" s="10" t="s">
        <v>1103</v>
      </c>
      <c r="C426" s="9" t="s">
        <v>1104</v>
      </c>
      <c r="D426" s="9" t="s">
        <v>3028</v>
      </c>
      <c r="E426" t="s">
        <v>3028</v>
      </c>
    </row>
    <row r="427" spans="1:5" x14ac:dyDescent="0.25">
      <c r="A427" s="10" t="s">
        <v>1105</v>
      </c>
      <c r="B427" s="10" t="s">
        <v>1105</v>
      </c>
      <c r="C427" s="9" t="s">
        <v>1106</v>
      </c>
      <c r="D427" s="9" t="s">
        <v>3028</v>
      </c>
      <c r="E427" t="s">
        <v>3028</v>
      </c>
    </row>
    <row r="428" spans="1:5" x14ac:dyDescent="0.25">
      <c r="A428" s="10" t="s">
        <v>1109</v>
      </c>
      <c r="B428" s="10" t="s">
        <v>1109</v>
      </c>
      <c r="C428" s="9" t="s">
        <v>1110</v>
      </c>
      <c r="D428" s="9" t="s">
        <v>3028</v>
      </c>
      <c r="E428" t="s">
        <v>3028</v>
      </c>
    </row>
    <row r="429" spans="1:5" x14ac:dyDescent="0.25">
      <c r="A429" s="10" t="s">
        <v>1111</v>
      </c>
      <c r="B429" s="10" t="s">
        <v>1111</v>
      </c>
      <c r="C429" s="9" t="s">
        <v>1112</v>
      </c>
      <c r="D429" s="9" t="s">
        <v>3028</v>
      </c>
      <c r="E429" t="s">
        <v>3028</v>
      </c>
    </row>
    <row r="430" spans="1:5" x14ac:dyDescent="0.25">
      <c r="A430" s="10" t="s">
        <v>1113</v>
      </c>
      <c r="B430" s="10" t="s">
        <v>1113</v>
      </c>
      <c r="C430" s="9" t="s">
        <v>1114</v>
      </c>
      <c r="D430" s="9" t="s">
        <v>3028</v>
      </c>
      <c r="E430" t="s">
        <v>3028</v>
      </c>
    </row>
    <row r="431" spans="1:5" x14ac:dyDescent="0.25">
      <c r="A431" s="10" t="s">
        <v>1115</v>
      </c>
      <c r="B431" s="10" t="s">
        <v>1115</v>
      </c>
      <c r="C431" s="9" t="s">
        <v>1116</v>
      </c>
      <c r="D431" s="9" t="s">
        <v>3028</v>
      </c>
      <c r="E431" t="s">
        <v>3028</v>
      </c>
    </row>
    <row r="432" spans="1:5" x14ac:dyDescent="0.25">
      <c r="A432" s="10" t="s">
        <v>1117</v>
      </c>
      <c r="B432" s="10" t="s">
        <v>1117</v>
      </c>
      <c r="C432" s="9" t="s">
        <v>1118</v>
      </c>
      <c r="D432" s="9" t="s">
        <v>3028</v>
      </c>
      <c r="E432" t="s">
        <v>3028</v>
      </c>
    </row>
    <row r="433" spans="1:5" x14ac:dyDescent="0.25">
      <c r="A433" s="10" t="s">
        <v>1119</v>
      </c>
      <c r="B433" s="10" t="s">
        <v>1119</v>
      </c>
      <c r="C433" s="9" t="s">
        <v>1120</v>
      </c>
      <c r="D433" s="9" t="s">
        <v>3028</v>
      </c>
      <c r="E433" t="s">
        <v>3028</v>
      </c>
    </row>
    <row r="434" spans="1:5" x14ac:dyDescent="0.25">
      <c r="A434" s="10" t="s">
        <v>1121</v>
      </c>
      <c r="B434" s="10" t="s">
        <v>1121</v>
      </c>
      <c r="C434" s="9" t="s">
        <v>1122</v>
      </c>
      <c r="D434" s="9" t="s">
        <v>3028</v>
      </c>
      <c r="E434" t="s">
        <v>3028</v>
      </c>
    </row>
    <row r="435" spans="1:5" x14ac:dyDescent="0.25">
      <c r="A435" s="10" t="s">
        <v>1123</v>
      </c>
      <c r="B435" s="10" t="s">
        <v>1123</v>
      </c>
      <c r="C435" s="9" t="s">
        <v>1124</v>
      </c>
      <c r="D435" s="9" t="s">
        <v>3028</v>
      </c>
      <c r="E435" t="s">
        <v>3028</v>
      </c>
    </row>
    <row r="436" spans="1:5" x14ac:dyDescent="0.25">
      <c r="A436" s="10" t="s">
        <v>1125</v>
      </c>
      <c r="B436" s="10" t="s">
        <v>1125</v>
      </c>
      <c r="C436" s="9" t="s">
        <v>1126</v>
      </c>
      <c r="D436" s="9" t="s">
        <v>3028</v>
      </c>
      <c r="E436" t="s">
        <v>3028</v>
      </c>
    </row>
    <row r="437" spans="1:5" x14ac:dyDescent="0.25">
      <c r="A437" s="10" t="s">
        <v>1127</v>
      </c>
      <c r="B437" s="10" t="s">
        <v>1127</v>
      </c>
      <c r="C437" s="9" t="s">
        <v>1128</v>
      </c>
      <c r="D437" s="9" t="s">
        <v>3028</v>
      </c>
      <c r="E437" t="s">
        <v>3028</v>
      </c>
    </row>
    <row r="438" spans="1:5" x14ac:dyDescent="0.25">
      <c r="A438" s="10" t="s">
        <v>1129</v>
      </c>
      <c r="B438" s="10" t="s">
        <v>1129</v>
      </c>
      <c r="C438" s="9" t="s">
        <v>1130</v>
      </c>
      <c r="D438" s="9" t="s">
        <v>3028</v>
      </c>
      <c r="E438" t="s">
        <v>3028</v>
      </c>
    </row>
    <row r="439" spans="1:5" x14ac:dyDescent="0.25">
      <c r="A439" s="10" t="s">
        <v>1131</v>
      </c>
      <c r="B439" s="10" t="s">
        <v>1131</v>
      </c>
      <c r="C439" s="9" t="s">
        <v>1132</v>
      </c>
      <c r="D439" s="9" t="s">
        <v>3028</v>
      </c>
      <c r="E439" t="s">
        <v>3028</v>
      </c>
    </row>
    <row r="440" spans="1:5" x14ac:dyDescent="0.25">
      <c r="A440" s="10" t="s">
        <v>1133</v>
      </c>
      <c r="B440" s="10" t="s">
        <v>1133</v>
      </c>
      <c r="C440" s="9" t="s">
        <v>1134</v>
      </c>
      <c r="D440" s="9" t="s">
        <v>3028</v>
      </c>
      <c r="E440" t="s">
        <v>3028</v>
      </c>
    </row>
    <row r="441" spans="1:5" x14ac:dyDescent="0.25">
      <c r="A441" s="10" t="s">
        <v>1135</v>
      </c>
      <c r="B441" s="10" t="s">
        <v>1135</v>
      </c>
      <c r="C441" s="9" t="s">
        <v>1136</v>
      </c>
      <c r="D441" s="9" t="s">
        <v>3028</v>
      </c>
      <c r="E441" t="s">
        <v>3028</v>
      </c>
    </row>
    <row r="442" spans="1:5" x14ac:dyDescent="0.25">
      <c r="A442" s="10" t="s">
        <v>1139</v>
      </c>
      <c r="B442" s="10" t="s">
        <v>1139</v>
      </c>
      <c r="C442" s="9" t="s">
        <v>1140</v>
      </c>
      <c r="D442" s="9" t="s">
        <v>3028</v>
      </c>
      <c r="E442" t="s">
        <v>3028</v>
      </c>
    </row>
    <row r="443" spans="1:5" x14ac:dyDescent="0.25">
      <c r="A443" s="10" t="s">
        <v>1141</v>
      </c>
      <c r="B443" s="10" t="s">
        <v>1141</v>
      </c>
      <c r="C443" s="9" t="s">
        <v>1142</v>
      </c>
      <c r="D443" s="9" t="s">
        <v>3028</v>
      </c>
      <c r="E443" t="s">
        <v>3028</v>
      </c>
    </row>
    <row r="444" spans="1:5" x14ac:dyDescent="0.25">
      <c r="A444" s="10" t="s">
        <v>1143</v>
      </c>
      <c r="B444" s="10" t="s">
        <v>1143</v>
      </c>
      <c r="C444" s="9" t="s">
        <v>1144</v>
      </c>
      <c r="D444" s="9" t="s">
        <v>3028</v>
      </c>
      <c r="E444" t="s">
        <v>3028</v>
      </c>
    </row>
    <row r="445" spans="1:5" x14ac:dyDescent="0.25">
      <c r="A445" s="10" t="s">
        <v>1145</v>
      </c>
      <c r="B445" s="10" t="s">
        <v>1145</v>
      </c>
      <c r="C445" s="9" t="s">
        <v>1146</v>
      </c>
      <c r="D445" s="9" t="s">
        <v>3028</v>
      </c>
      <c r="E445" t="s">
        <v>3028</v>
      </c>
    </row>
    <row r="446" spans="1:5" x14ac:dyDescent="0.25">
      <c r="A446" s="10" t="s">
        <v>1147</v>
      </c>
      <c r="B446" s="10" t="s">
        <v>1147</v>
      </c>
      <c r="C446" s="9" t="s">
        <v>1148</v>
      </c>
      <c r="D446" s="9" t="s">
        <v>3028</v>
      </c>
      <c r="E446" t="s">
        <v>3028</v>
      </c>
    </row>
    <row r="447" spans="1:5" x14ac:dyDescent="0.25">
      <c r="A447" s="10" t="s">
        <v>1149</v>
      </c>
      <c r="B447" s="10" t="s">
        <v>1149</v>
      </c>
      <c r="C447" s="9" t="s">
        <v>1150</v>
      </c>
      <c r="D447" s="9" t="s">
        <v>3028</v>
      </c>
      <c r="E447" t="s">
        <v>3028</v>
      </c>
    </row>
    <row r="448" spans="1:5" x14ac:dyDescent="0.25">
      <c r="A448" s="10" t="s">
        <v>1151</v>
      </c>
      <c r="B448" s="10" t="s">
        <v>1151</v>
      </c>
      <c r="C448" s="9" t="s">
        <v>1152</v>
      </c>
      <c r="D448" s="9" t="s">
        <v>3028</v>
      </c>
      <c r="E448" t="s">
        <v>3028</v>
      </c>
    </row>
    <row r="449" spans="1:5" x14ac:dyDescent="0.25">
      <c r="A449" s="10" t="s">
        <v>1153</v>
      </c>
      <c r="B449" s="10" t="s">
        <v>1153</v>
      </c>
      <c r="C449" s="9" t="s">
        <v>1154</v>
      </c>
      <c r="D449" s="9" t="s">
        <v>3028</v>
      </c>
      <c r="E449" t="s">
        <v>3028</v>
      </c>
    </row>
    <row r="450" spans="1:5" x14ac:dyDescent="0.25">
      <c r="A450" s="10" t="s">
        <v>1155</v>
      </c>
      <c r="B450" s="10" t="s">
        <v>1155</v>
      </c>
      <c r="C450" s="9" t="s">
        <v>1156</v>
      </c>
      <c r="D450" s="9" t="s">
        <v>3028</v>
      </c>
      <c r="E450" t="s">
        <v>3028</v>
      </c>
    </row>
    <row r="451" spans="1:5" x14ac:dyDescent="0.25">
      <c r="A451" s="10" t="s">
        <v>1163</v>
      </c>
      <c r="B451" s="10" t="s">
        <v>1163</v>
      </c>
      <c r="C451" s="9" t="s">
        <v>1164</v>
      </c>
      <c r="D451" s="9" t="s">
        <v>3028</v>
      </c>
      <c r="E451" t="s">
        <v>3028</v>
      </c>
    </row>
    <row r="452" spans="1:5" x14ac:dyDescent="0.25">
      <c r="A452" s="10" t="s">
        <v>1165</v>
      </c>
      <c r="B452" s="10" t="s">
        <v>1165</v>
      </c>
      <c r="C452" s="9" t="s">
        <v>1166</v>
      </c>
      <c r="D452" s="9" t="s">
        <v>3028</v>
      </c>
      <c r="E452" t="s">
        <v>3028</v>
      </c>
    </row>
    <row r="453" spans="1:5" x14ac:dyDescent="0.25">
      <c r="A453" s="10" t="s">
        <v>1167</v>
      </c>
      <c r="B453" s="10" t="s">
        <v>1167</v>
      </c>
      <c r="C453" s="9" t="s">
        <v>1168</v>
      </c>
      <c r="D453" s="9" t="s">
        <v>3028</v>
      </c>
      <c r="E453" t="s">
        <v>3028</v>
      </c>
    </row>
    <row r="454" spans="1:5" x14ac:dyDescent="0.25">
      <c r="A454" s="10" t="s">
        <v>1169</v>
      </c>
      <c r="B454" s="10" t="s">
        <v>1169</v>
      </c>
      <c r="C454" s="9" t="s">
        <v>1170</v>
      </c>
      <c r="D454" s="9" t="s">
        <v>3028</v>
      </c>
      <c r="E454" t="s">
        <v>3028</v>
      </c>
    </row>
    <row r="455" spans="1:5" x14ac:dyDescent="0.25">
      <c r="A455" s="10" t="s">
        <v>1171</v>
      </c>
      <c r="B455" s="10" t="s">
        <v>1171</v>
      </c>
      <c r="C455" s="9" t="s">
        <v>1172</v>
      </c>
      <c r="D455" s="9" t="s">
        <v>3028</v>
      </c>
      <c r="E455" t="s">
        <v>3028</v>
      </c>
    </row>
    <row r="456" spans="1:5" x14ac:dyDescent="0.25">
      <c r="A456" s="10" t="s">
        <v>1173</v>
      </c>
      <c r="B456" s="10" t="s">
        <v>1173</v>
      </c>
      <c r="C456" s="9" t="s">
        <v>1174</v>
      </c>
      <c r="D456" s="9" t="s">
        <v>3028</v>
      </c>
      <c r="E456" t="s">
        <v>3028</v>
      </c>
    </row>
    <row r="457" spans="1:5" x14ac:dyDescent="0.25">
      <c r="A457" s="10" t="s">
        <v>1175</v>
      </c>
      <c r="B457" s="10" t="s">
        <v>1175</v>
      </c>
      <c r="C457" s="9" t="s">
        <v>1176</v>
      </c>
      <c r="D457" s="9" t="s">
        <v>3028</v>
      </c>
      <c r="E457" t="s">
        <v>3028</v>
      </c>
    </row>
    <row r="458" spans="1:5" x14ac:dyDescent="0.25">
      <c r="A458" s="10" t="s">
        <v>1177</v>
      </c>
      <c r="B458" s="10" t="s">
        <v>1177</v>
      </c>
      <c r="C458" s="9" t="s">
        <v>1178</v>
      </c>
      <c r="D458" s="9" t="s">
        <v>3028</v>
      </c>
      <c r="E458" t="s">
        <v>3028</v>
      </c>
    </row>
    <row r="459" spans="1:5" x14ac:dyDescent="0.25">
      <c r="A459" s="10" t="s">
        <v>1179</v>
      </c>
      <c r="B459" s="10" t="s">
        <v>1179</v>
      </c>
      <c r="C459" s="9" t="s">
        <v>1180</v>
      </c>
      <c r="D459" s="9" t="s">
        <v>3028</v>
      </c>
      <c r="E459" t="s">
        <v>3028</v>
      </c>
    </row>
    <row r="460" spans="1:5" x14ac:dyDescent="0.25">
      <c r="A460" s="10" t="s">
        <v>1181</v>
      </c>
      <c r="B460" s="10" t="s">
        <v>1181</v>
      </c>
      <c r="C460" s="9" t="s">
        <v>1182</v>
      </c>
      <c r="D460" s="9" t="s">
        <v>3028</v>
      </c>
      <c r="E460" t="s">
        <v>3028</v>
      </c>
    </row>
    <row r="461" spans="1:5" x14ac:dyDescent="0.25">
      <c r="A461" s="10" t="s">
        <v>1183</v>
      </c>
      <c r="B461" s="10" t="s">
        <v>1183</v>
      </c>
      <c r="C461" s="9" t="s">
        <v>1184</v>
      </c>
      <c r="D461" s="9" t="s">
        <v>3028</v>
      </c>
      <c r="E461" t="s">
        <v>3028</v>
      </c>
    </row>
    <row r="462" spans="1:5" x14ac:dyDescent="0.25">
      <c r="A462" s="10" t="s">
        <v>1185</v>
      </c>
      <c r="B462" s="10" t="s">
        <v>1185</v>
      </c>
      <c r="C462" s="9" t="s">
        <v>1186</v>
      </c>
      <c r="D462" s="9" t="s">
        <v>3028</v>
      </c>
      <c r="E462" t="s">
        <v>3028</v>
      </c>
    </row>
    <row r="463" spans="1:5" x14ac:dyDescent="0.25">
      <c r="A463" s="10" t="s">
        <v>1187</v>
      </c>
      <c r="B463" s="10" t="s">
        <v>1187</v>
      </c>
      <c r="C463" s="9" t="s">
        <v>1188</v>
      </c>
      <c r="D463" s="9" t="s">
        <v>3028</v>
      </c>
      <c r="E463" t="s">
        <v>3028</v>
      </c>
    </row>
    <row r="464" spans="1:5" x14ac:dyDescent="0.25">
      <c r="A464" s="10" t="s">
        <v>1191</v>
      </c>
      <c r="B464" s="10" t="s">
        <v>1191</v>
      </c>
      <c r="C464" s="9" t="s">
        <v>1192</v>
      </c>
      <c r="D464" s="9" t="s">
        <v>3028</v>
      </c>
      <c r="E464" t="s">
        <v>3028</v>
      </c>
    </row>
    <row r="465" spans="1:5" x14ac:dyDescent="0.25">
      <c r="A465" s="10" t="s">
        <v>1195</v>
      </c>
      <c r="B465" s="10" t="s">
        <v>1195</v>
      </c>
      <c r="C465" s="9" t="s">
        <v>1196</v>
      </c>
      <c r="D465" s="9" t="s">
        <v>3028</v>
      </c>
      <c r="E465" t="s">
        <v>3028</v>
      </c>
    </row>
    <row r="466" spans="1:5" x14ac:dyDescent="0.25">
      <c r="A466" s="10" t="s">
        <v>1197</v>
      </c>
      <c r="B466" s="10" t="s">
        <v>1197</v>
      </c>
      <c r="C466" s="9" t="s">
        <v>1198</v>
      </c>
      <c r="D466" s="9" t="s">
        <v>3028</v>
      </c>
      <c r="E466" t="s">
        <v>3028</v>
      </c>
    </row>
    <row r="467" spans="1:5" x14ac:dyDescent="0.25">
      <c r="A467" s="10" t="s">
        <v>1199</v>
      </c>
      <c r="B467" s="10" t="s">
        <v>1199</v>
      </c>
      <c r="C467" s="9" t="s">
        <v>1200</v>
      </c>
      <c r="D467" s="9" t="s">
        <v>3028</v>
      </c>
      <c r="E467" t="s">
        <v>3028</v>
      </c>
    </row>
    <row r="468" spans="1:5" x14ac:dyDescent="0.25">
      <c r="A468" s="10" t="s">
        <v>1203</v>
      </c>
      <c r="B468" s="10" t="s">
        <v>1203</v>
      </c>
      <c r="C468" s="9" t="s">
        <v>1204</v>
      </c>
      <c r="D468" s="9" t="s">
        <v>3028</v>
      </c>
      <c r="E468" t="s">
        <v>3028</v>
      </c>
    </row>
    <row r="469" spans="1:5" x14ac:dyDescent="0.25">
      <c r="A469" s="10" t="s">
        <v>1207</v>
      </c>
      <c r="B469" s="10" t="s">
        <v>1207</v>
      </c>
      <c r="C469" s="9" t="s">
        <v>1208</v>
      </c>
      <c r="D469" s="9" t="s">
        <v>3028</v>
      </c>
      <c r="E469" t="s">
        <v>3028</v>
      </c>
    </row>
    <row r="470" spans="1:5" x14ac:dyDescent="0.25">
      <c r="A470" s="10" t="s">
        <v>1209</v>
      </c>
      <c r="B470" s="10" t="s">
        <v>1209</v>
      </c>
      <c r="C470" s="9" t="s">
        <v>1210</v>
      </c>
      <c r="D470" s="9" t="s">
        <v>3028</v>
      </c>
      <c r="E470" t="s">
        <v>3028</v>
      </c>
    </row>
    <row r="471" spans="1:5" x14ac:dyDescent="0.25">
      <c r="A471" s="10" t="s">
        <v>1211</v>
      </c>
      <c r="B471" s="10" t="s">
        <v>1211</v>
      </c>
      <c r="C471" s="9" t="s">
        <v>1212</v>
      </c>
      <c r="D471" s="9" t="s">
        <v>3028</v>
      </c>
      <c r="E471" t="s">
        <v>3028</v>
      </c>
    </row>
    <row r="472" spans="1:5" x14ac:dyDescent="0.25">
      <c r="A472" s="10" t="s">
        <v>1213</v>
      </c>
      <c r="B472" s="10" t="s">
        <v>1213</v>
      </c>
      <c r="C472" s="9" t="s">
        <v>1214</v>
      </c>
      <c r="D472" s="9" t="s">
        <v>3028</v>
      </c>
      <c r="E472" t="s">
        <v>3028</v>
      </c>
    </row>
    <row r="473" spans="1:5" x14ac:dyDescent="0.25">
      <c r="A473" s="10" t="s">
        <v>1215</v>
      </c>
      <c r="B473" s="10" t="s">
        <v>1215</v>
      </c>
      <c r="C473" s="9" t="s">
        <v>1216</v>
      </c>
      <c r="D473" s="9" t="s">
        <v>3028</v>
      </c>
      <c r="E473" t="s">
        <v>3028</v>
      </c>
    </row>
    <row r="474" spans="1:5" x14ac:dyDescent="0.25">
      <c r="A474" s="10" t="s">
        <v>1217</v>
      </c>
      <c r="B474" s="10" t="s">
        <v>1217</v>
      </c>
      <c r="C474" s="9" t="s">
        <v>1218</v>
      </c>
      <c r="D474" s="9" t="s">
        <v>3028</v>
      </c>
      <c r="E474" t="s">
        <v>3028</v>
      </c>
    </row>
    <row r="475" spans="1:5" x14ac:dyDescent="0.25">
      <c r="A475" s="10" t="s">
        <v>1219</v>
      </c>
      <c r="B475" s="10" t="s">
        <v>1219</v>
      </c>
      <c r="C475" s="9" t="s">
        <v>1220</v>
      </c>
      <c r="D475" s="9" t="s">
        <v>3028</v>
      </c>
      <c r="E475" t="s">
        <v>3028</v>
      </c>
    </row>
    <row r="476" spans="1:5" x14ac:dyDescent="0.25">
      <c r="A476" s="10" t="s">
        <v>1221</v>
      </c>
      <c r="B476" s="10" t="s">
        <v>1221</v>
      </c>
      <c r="C476" s="9" t="s">
        <v>1222</v>
      </c>
      <c r="D476" s="9" t="s">
        <v>3028</v>
      </c>
      <c r="E476" t="s">
        <v>3028</v>
      </c>
    </row>
    <row r="477" spans="1:5" x14ac:dyDescent="0.25">
      <c r="A477" s="10" t="s">
        <v>1223</v>
      </c>
      <c r="B477" s="10" t="s">
        <v>1223</v>
      </c>
      <c r="C477" s="9" t="s">
        <v>1224</v>
      </c>
      <c r="D477" s="9" t="s">
        <v>3028</v>
      </c>
      <c r="E477" t="s">
        <v>3028</v>
      </c>
    </row>
    <row r="478" spans="1:5" x14ac:dyDescent="0.25">
      <c r="A478" s="10" t="s">
        <v>1225</v>
      </c>
      <c r="B478" s="10" t="s">
        <v>1225</v>
      </c>
      <c r="C478" s="9" t="s">
        <v>1226</v>
      </c>
      <c r="D478" s="9" t="s">
        <v>3028</v>
      </c>
      <c r="E478" t="s">
        <v>3028</v>
      </c>
    </row>
    <row r="479" spans="1:5" x14ac:dyDescent="0.25">
      <c r="A479" s="10" t="s">
        <v>1227</v>
      </c>
      <c r="B479" s="10" t="s">
        <v>1227</v>
      </c>
      <c r="C479" s="9" t="s">
        <v>1228</v>
      </c>
      <c r="D479" s="9" t="s">
        <v>3028</v>
      </c>
      <c r="E479" t="s">
        <v>3028</v>
      </c>
    </row>
    <row r="480" spans="1:5" x14ac:dyDescent="0.25">
      <c r="A480" s="10" t="s">
        <v>1229</v>
      </c>
      <c r="B480" s="10" t="s">
        <v>1229</v>
      </c>
      <c r="C480" s="9" t="s">
        <v>1230</v>
      </c>
      <c r="D480" s="9" t="s">
        <v>3028</v>
      </c>
      <c r="E480" t="s">
        <v>3028</v>
      </c>
    </row>
    <row r="481" spans="1:5" x14ac:dyDescent="0.25">
      <c r="A481" s="10" t="s">
        <v>1231</v>
      </c>
      <c r="B481" s="10" t="s">
        <v>1231</v>
      </c>
      <c r="C481" s="9" t="s">
        <v>1232</v>
      </c>
      <c r="D481" s="9" t="s">
        <v>3028</v>
      </c>
      <c r="E481" t="s">
        <v>3028</v>
      </c>
    </row>
    <row r="482" spans="1:5" x14ac:dyDescent="0.25">
      <c r="A482" s="10" t="s">
        <v>1233</v>
      </c>
      <c r="B482" s="10" t="s">
        <v>1233</v>
      </c>
      <c r="C482" s="9" t="s">
        <v>1234</v>
      </c>
      <c r="D482" s="9" t="s">
        <v>3028</v>
      </c>
      <c r="E482" t="s">
        <v>3028</v>
      </c>
    </row>
    <row r="483" spans="1:5" x14ac:dyDescent="0.25">
      <c r="A483" s="10" t="s">
        <v>1235</v>
      </c>
      <c r="B483" s="10" t="s">
        <v>1235</v>
      </c>
      <c r="C483" s="9" t="s">
        <v>1236</v>
      </c>
      <c r="D483" s="9" t="s">
        <v>3028</v>
      </c>
      <c r="E483" t="s">
        <v>3028</v>
      </c>
    </row>
    <row r="484" spans="1:5" x14ac:dyDescent="0.25">
      <c r="A484" s="10" t="s">
        <v>1237</v>
      </c>
      <c r="B484" s="10" t="s">
        <v>1237</v>
      </c>
      <c r="C484" s="9" t="s">
        <v>1238</v>
      </c>
      <c r="D484" s="9" t="s">
        <v>3028</v>
      </c>
      <c r="E484" t="s">
        <v>3028</v>
      </c>
    </row>
    <row r="485" spans="1:5" x14ac:dyDescent="0.25">
      <c r="A485" s="10" t="s">
        <v>1239</v>
      </c>
      <c r="B485" s="10" t="s">
        <v>1239</v>
      </c>
      <c r="C485" s="9" t="s">
        <v>1240</v>
      </c>
      <c r="D485" s="9" t="s">
        <v>3028</v>
      </c>
      <c r="E485" t="s">
        <v>3028</v>
      </c>
    </row>
    <row r="486" spans="1:5" x14ac:dyDescent="0.25">
      <c r="A486" s="10" t="s">
        <v>1241</v>
      </c>
      <c r="B486" s="10" t="s">
        <v>1241</v>
      </c>
      <c r="C486" s="9" t="s">
        <v>1242</v>
      </c>
      <c r="D486" s="9" t="s">
        <v>3028</v>
      </c>
      <c r="E486" t="s">
        <v>3028</v>
      </c>
    </row>
    <row r="487" spans="1:5" x14ac:dyDescent="0.25">
      <c r="A487" s="10" t="s">
        <v>1243</v>
      </c>
      <c r="B487" s="10" t="s">
        <v>1243</v>
      </c>
      <c r="C487" s="9" t="s">
        <v>1244</v>
      </c>
      <c r="D487" s="9" t="s">
        <v>3028</v>
      </c>
      <c r="E487" t="s">
        <v>3028</v>
      </c>
    </row>
    <row r="488" spans="1:5" x14ac:dyDescent="0.25">
      <c r="A488" s="10" t="s">
        <v>1245</v>
      </c>
      <c r="B488" s="10" t="s">
        <v>1245</v>
      </c>
      <c r="C488" s="9" t="s">
        <v>1246</v>
      </c>
      <c r="D488" s="9" t="s">
        <v>3028</v>
      </c>
      <c r="E488" t="s">
        <v>3028</v>
      </c>
    </row>
    <row r="489" spans="1:5" x14ac:dyDescent="0.25">
      <c r="A489" s="10" t="s">
        <v>1247</v>
      </c>
      <c r="B489" s="10" t="s">
        <v>1247</v>
      </c>
      <c r="C489" s="9" t="s">
        <v>1248</v>
      </c>
      <c r="D489" s="9" t="s">
        <v>3028</v>
      </c>
      <c r="E489" t="s">
        <v>3028</v>
      </c>
    </row>
    <row r="490" spans="1:5" x14ac:dyDescent="0.25">
      <c r="A490" s="10" t="s">
        <v>1251</v>
      </c>
      <c r="B490" s="10" t="s">
        <v>1251</v>
      </c>
      <c r="C490" s="9" t="s">
        <v>1252</v>
      </c>
      <c r="D490" s="9" t="s">
        <v>3028</v>
      </c>
      <c r="E490" t="s">
        <v>3028</v>
      </c>
    </row>
    <row r="491" spans="1:5" x14ac:dyDescent="0.25">
      <c r="A491" s="10" t="s">
        <v>1255</v>
      </c>
      <c r="B491" s="10" t="s">
        <v>1255</v>
      </c>
      <c r="C491" s="9" t="s">
        <v>1256</v>
      </c>
      <c r="D491" s="9" t="s">
        <v>3028</v>
      </c>
      <c r="E491" t="s">
        <v>3028</v>
      </c>
    </row>
    <row r="492" spans="1:5" x14ac:dyDescent="0.25">
      <c r="A492" s="10" t="s">
        <v>1257</v>
      </c>
      <c r="B492" s="10" t="s">
        <v>1257</v>
      </c>
      <c r="C492" s="9" t="s">
        <v>1258</v>
      </c>
      <c r="D492" s="9" t="s">
        <v>3028</v>
      </c>
      <c r="E492" t="s">
        <v>3028</v>
      </c>
    </row>
    <row r="493" spans="1:5" x14ac:dyDescent="0.25">
      <c r="A493" s="10" t="s">
        <v>1261</v>
      </c>
      <c r="B493" s="10" t="s">
        <v>1261</v>
      </c>
      <c r="C493" s="9" t="s">
        <v>1262</v>
      </c>
      <c r="D493" s="9" t="s">
        <v>3028</v>
      </c>
      <c r="E493" t="s">
        <v>3028</v>
      </c>
    </row>
    <row r="494" spans="1:5" x14ac:dyDescent="0.25">
      <c r="A494" s="10" t="s">
        <v>1263</v>
      </c>
      <c r="B494" s="10" t="s">
        <v>1263</v>
      </c>
      <c r="C494" s="9" t="s">
        <v>1264</v>
      </c>
      <c r="D494" s="9" t="s">
        <v>3028</v>
      </c>
      <c r="E494" t="s">
        <v>3028</v>
      </c>
    </row>
    <row r="495" spans="1:5" x14ac:dyDescent="0.25">
      <c r="A495" s="10" t="s">
        <v>1265</v>
      </c>
      <c r="B495" s="10" t="s">
        <v>1265</v>
      </c>
      <c r="C495" s="9" t="s">
        <v>1266</v>
      </c>
      <c r="D495" s="9" t="s">
        <v>3028</v>
      </c>
      <c r="E495" t="s">
        <v>3028</v>
      </c>
    </row>
    <row r="496" spans="1:5" x14ac:dyDescent="0.25">
      <c r="A496" s="10" t="s">
        <v>1267</v>
      </c>
      <c r="B496" s="10" t="s">
        <v>1267</v>
      </c>
      <c r="C496" s="9" t="s">
        <v>1268</v>
      </c>
      <c r="D496" s="9" t="s">
        <v>3028</v>
      </c>
      <c r="E496" t="s">
        <v>3028</v>
      </c>
    </row>
    <row r="497" spans="1:5" x14ac:dyDescent="0.25">
      <c r="A497" s="10" t="s">
        <v>1271</v>
      </c>
      <c r="B497" s="10" t="s">
        <v>1271</v>
      </c>
      <c r="C497" s="9" t="s">
        <v>1272</v>
      </c>
      <c r="D497" s="9" t="s">
        <v>3028</v>
      </c>
      <c r="E497" t="s">
        <v>3028</v>
      </c>
    </row>
    <row r="498" spans="1:5" x14ac:dyDescent="0.25">
      <c r="A498" s="10" t="s">
        <v>1273</v>
      </c>
      <c r="B498" s="10" t="s">
        <v>1273</v>
      </c>
      <c r="C498" s="9" t="s">
        <v>1274</v>
      </c>
      <c r="D498" s="9" t="s">
        <v>3028</v>
      </c>
      <c r="E498" t="s">
        <v>3028</v>
      </c>
    </row>
    <row r="499" spans="1:5" x14ac:dyDescent="0.25">
      <c r="A499" s="10" t="s">
        <v>1275</v>
      </c>
      <c r="B499" s="10" t="s">
        <v>1275</v>
      </c>
      <c r="C499" s="9" t="s">
        <v>1276</v>
      </c>
      <c r="D499" s="9" t="s">
        <v>3028</v>
      </c>
      <c r="E499" t="s">
        <v>3028</v>
      </c>
    </row>
    <row r="500" spans="1:5" x14ac:dyDescent="0.25">
      <c r="A500" s="10" t="s">
        <v>1277</v>
      </c>
      <c r="B500" s="10" t="s">
        <v>1277</v>
      </c>
      <c r="C500" s="9" t="s">
        <v>1278</v>
      </c>
      <c r="D500" s="9" t="s">
        <v>3028</v>
      </c>
      <c r="E500" t="s">
        <v>3028</v>
      </c>
    </row>
    <row r="501" spans="1:5" x14ac:dyDescent="0.25">
      <c r="A501" s="10" t="s">
        <v>1279</v>
      </c>
      <c r="B501" s="10" t="s">
        <v>1279</v>
      </c>
      <c r="C501" s="9" t="s">
        <v>1280</v>
      </c>
      <c r="D501" s="9" t="s">
        <v>3028</v>
      </c>
      <c r="E501" t="s">
        <v>3028</v>
      </c>
    </row>
    <row r="502" spans="1:5" x14ac:dyDescent="0.25">
      <c r="A502" s="10" t="s">
        <v>1281</v>
      </c>
      <c r="B502" s="10" t="s">
        <v>1281</v>
      </c>
      <c r="C502" s="9" t="s">
        <v>1282</v>
      </c>
      <c r="D502" s="9" t="s">
        <v>3028</v>
      </c>
      <c r="E502" t="s">
        <v>3028</v>
      </c>
    </row>
    <row r="503" spans="1:5" x14ac:dyDescent="0.25">
      <c r="A503" s="10" t="s">
        <v>1283</v>
      </c>
      <c r="B503" s="10" t="s">
        <v>1283</v>
      </c>
      <c r="C503" s="9" t="s">
        <v>1284</v>
      </c>
      <c r="D503" s="9" t="s">
        <v>3028</v>
      </c>
      <c r="E503" t="s">
        <v>3028</v>
      </c>
    </row>
    <row r="504" spans="1:5" x14ac:dyDescent="0.25">
      <c r="A504" s="10" t="s">
        <v>1285</v>
      </c>
      <c r="B504" s="10" t="s">
        <v>1285</v>
      </c>
      <c r="C504" s="9" t="s">
        <v>1286</v>
      </c>
      <c r="D504" s="9" t="s">
        <v>3028</v>
      </c>
      <c r="E504" t="s">
        <v>3028</v>
      </c>
    </row>
    <row r="505" spans="1:5" x14ac:dyDescent="0.25">
      <c r="A505" s="10" t="s">
        <v>1289</v>
      </c>
      <c r="B505" s="10" t="s">
        <v>1289</v>
      </c>
      <c r="C505" s="9" t="s">
        <v>1290</v>
      </c>
      <c r="D505" s="9" t="s">
        <v>3028</v>
      </c>
      <c r="E505" t="s">
        <v>3028</v>
      </c>
    </row>
    <row r="506" spans="1:5" x14ac:dyDescent="0.25">
      <c r="A506" s="10" t="s">
        <v>1291</v>
      </c>
      <c r="B506" s="10" t="s">
        <v>1291</v>
      </c>
      <c r="C506" s="9" t="s">
        <v>1292</v>
      </c>
      <c r="D506" s="9" t="s">
        <v>3028</v>
      </c>
      <c r="E506" t="s">
        <v>3028</v>
      </c>
    </row>
    <row r="507" spans="1:5" x14ac:dyDescent="0.25">
      <c r="A507" s="10" t="s">
        <v>1293</v>
      </c>
      <c r="B507" s="10" t="s">
        <v>1293</v>
      </c>
      <c r="C507" s="9" t="s">
        <v>1294</v>
      </c>
      <c r="D507" s="9" t="s">
        <v>3028</v>
      </c>
      <c r="E507" t="s">
        <v>3028</v>
      </c>
    </row>
    <row r="508" spans="1:5" x14ac:dyDescent="0.25">
      <c r="A508" s="10" t="s">
        <v>1295</v>
      </c>
      <c r="B508" s="10" t="s">
        <v>1295</v>
      </c>
      <c r="C508" s="9" t="s">
        <v>1296</v>
      </c>
      <c r="D508" s="9" t="s">
        <v>3028</v>
      </c>
      <c r="E508" t="s">
        <v>3028</v>
      </c>
    </row>
    <row r="509" spans="1:5" x14ac:dyDescent="0.25">
      <c r="A509" s="10" t="s">
        <v>1299</v>
      </c>
      <c r="B509" s="10" t="s">
        <v>1299</v>
      </c>
      <c r="C509" s="9" t="s">
        <v>1300</v>
      </c>
      <c r="D509" s="9" t="s">
        <v>3028</v>
      </c>
      <c r="E509" t="s">
        <v>3028</v>
      </c>
    </row>
    <row r="510" spans="1:5" x14ac:dyDescent="0.25">
      <c r="A510" s="10" t="s">
        <v>1304</v>
      </c>
      <c r="B510" s="10" t="s">
        <v>1304</v>
      </c>
      <c r="C510" s="9" t="s">
        <v>1305</v>
      </c>
      <c r="D510" s="9" t="s">
        <v>3028</v>
      </c>
      <c r="E510" t="s">
        <v>3028</v>
      </c>
    </row>
    <row r="511" spans="1:5" x14ac:dyDescent="0.25">
      <c r="A511" s="10" t="s">
        <v>1306</v>
      </c>
      <c r="B511" s="10" t="s">
        <v>1306</v>
      </c>
      <c r="C511" s="9" t="s">
        <v>1307</v>
      </c>
      <c r="D511" s="9" t="s">
        <v>3028</v>
      </c>
      <c r="E511" t="s">
        <v>3028</v>
      </c>
    </row>
    <row r="512" spans="1:5" x14ac:dyDescent="0.25">
      <c r="A512" s="10" t="s">
        <v>1308</v>
      </c>
      <c r="B512" s="10" t="s">
        <v>1308</v>
      </c>
      <c r="C512" s="9" t="s">
        <v>1309</v>
      </c>
      <c r="D512" s="9" t="s">
        <v>3028</v>
      </c>
      <c r="E512" t="s">
        <v>3028</v>
      </c>
    </row>
    <row r="513" spans="1:5" x14ac:dyDescent="0.25">
      <c r="A513" s="10" t="s">
        <v>1312</v>
      </c>
      <c r="B513" s="10" t="s">
        <v>1312</v>
      </c>
      <c r="C513" s="9" t="s">
        <v>1313</v>
      </c>
      <c r="D513" s="9" t="s">
        <v>3028</v>
      </c>
      <c r="E513" t="s">
        <v>3028</v>
      </c>
    </row>
    <row r="514" spans="1:5" x14ac:dyDescent="0.25">
      <c r="A514" s="10" t="s">
        <v>1318</v>
      </c>
      <c r="B514" s="10" t="s">
        <v>1318</v>
      </c>
      <c r="C514" s="9" t="s">
        <v>1319</v>
      </c>
      <c r="D514" s="9" t="s">
        <v>3028</v>
      </c>
      <c r="E514" t="s">
        <v>3028</v>
      </c>
    </row>
    <row r="515" spans="1:5" x14ac:dyDescent="0.25">
      <c r="A515" s="10" t="s">
        <v>1320</v>
      </c>
      <c r="B515" s="10" t="s">
        <v>1320</v>
      </c>
      <c r="C515" s="9" t="s">
        <v>1321</v>
      </c>
      <c r="D515" s="9" t="s">
        <v>3028</v>
      </c>
      <c r="E515" t="s">
        <v>3028</v>
      </c>
    </row>
    <row r="516" spans="1:5" x14ac:dyDescent="0.25">
      <c r="A516" s="10" t="s">
        <v>1324</v>
      </c>
      <c r="B516" s="10" t="s">
        <v>1324</v>
      </c>
      <c r="C516" s="9" t="s">
        <v>1325</v>
      </c>
      <c r="D516" s="9" t="s">
        <v>3028</v>
      </c>
      <c r="E516" t="s">
        <v>3028</v>
      </c>
    </row>
    <row r="517" spans="1:5" x14ac:dyDescent="0.25">
      <c r="A517" s="10" t="s">
        <v>1326</v>
      </c>
      <c r="B517" s="10" t="s">
        <v>1326</v>
      </c>
      <c r="C517" s="9" t="s">
        <v>1327</v>
      </c>
      <c r="D517" s="9" t="s">
        <v>3028</v>
      </c>
      <c r="E517" t="s">
        <v>3028</v>
      </c>
    </row>
    <row r="518" spans="1:5" x14ac:dyDescent="0.25">
      <c r="A518" s="10" t="s">
        <v>1328</v>
      </c>
      <c r="B518" s="10" t="s">
        <v>1328</v>
      </c>
      <c r="C518" s="9" t="s">
        <v>1329</v>
      </c>
      <c r="D518" s="9" t="s">
        <v>3028</v>
      </c>
      <c r="E518" t="s">
        <v>3028</v>
      </c>
    </row>
    <row r="519" spans="1:5" x14ac:dyDescent="0.25">
      <c r="A519" s="10" t="s">
        <v>1332</v>
      </c>
      <c r="B519" s="10" t="s">
        <v>1332</v>
      </c>
      <c r="C519" s="9" t="s">
        <v>1333</v>
      </c>
      <c r="D519" s="9" t="s">
        <v>3028</v>
      </c>
      <c r="E519" t="s">
        <v>3028</v>
      </c>
    </row>
    <row r="520" spans="1:5" x14ac:dyDescent="0.25">
      <c r="A520" s="10" t="s">
        <v>1336</v>
      </c>
      <c r="B520" s="10" t="s">
        <v>1336</v>
      </c>
      <c r="C520" s="9" t="s">
        <v>1337</v>
      </c>
      <c r="D520" s="9" t="s">
        <v>3028</v>
      </c>
      <c r="E520" t="s">
        <v>3028</v>
      </c>
    </row>
    <row r="521" spans="1:5" x14ac:dyDescent="0.25">
      <c r="A521" s="10" t="s">
        <v>1338</v>
      </c>
      <c r="B521" s="10" t="s">
        <v>1338</v>
      </c>
      <c r="C521" s="9" t="s">
        <v>1339</v>
      </c>
      <c r="D521" s="9" t="s">
        <v>3028</v>
      </c>
      <c r="E521" t="s">
        <v>3028</v>
      </c>
    </row>
    <row r="522" spans="1:5" x14ac:dyDescent="0.25">
      <c r="A522" s="10" t="s">
        <v>1340</v>
      </c>
      <c r="B522" s="10" t="s">
        <v>1340</v>
      </c>
      <c r="C522" s="9" t="s">
        <v>1341</v>
      </c>
      <c r="D522" s="9" t="s">
        <v>3028</v>
      </c>
      <c r="E522" t="s">
        <v>3028</v>
      </c>
    </row>
    <row r="523" spans="1:5" x14ac:dyDescent="0.25">
      <c r="A523" s="10" t="s">
        <v>1342</v>
      </c>
      <c r="B523" s="10" t="s">
        <v>1342</v>
      </c>
      <c r="C523" s="9" t="s">
        <v>1343</v>
      </c>
      <c r="D523" s="9" t="s">
        <v>3028</v>
      </c>
      <c r="E523" t="s">
        <v>3028</v>
      </c>
    </row>
    <row r="524" spans="1:5" x14ac:dyDescent="0.25">
      <c r="A524" s="10" t="s">
        <v>1344</v>
      </c>
      <c r="B524" s="10" t="s">
        <v>1344</v>
      </c>
      <c r="C524" s="9" t="s">
        <v>1345</v>
      </c>
      <c r="D524" s="9" t="s">
        <v>3028</v>
      </c>
      <c r="E524" t="s">
        <v>3028</v>
      </c>
    </row>
    <row r="525" spans="1:5" x14ac:dyDescent="0.25">
      <c r="A525" s="10" t="s">
        <v>1346</v>
      </c>
      <c r="B525" s="10" t="s">
        <v>1346</v>
      </c>
      <c r="C525" s="9" t="s">
        <v>1347</v>
      </c>
      <c r="D525" s="9" t="s">
        <v>3028</v>
      </c>
      <c r="E525" t="s">
        <v>3028</v>
      </c>
    </row>
    <row r="526" spans="1:5" x14ac:dyDescent="0.25">
      <c r="A526" s="10" t="s">
        <v>1355</v>
      </c>
      <c r="B526" s="10" t="s">
        <v>1355</v>
      </c>
      <c r="C526" s="9" t="s">
        <v>1356</v>
      </c>
      <c r="D526" s="9" t="s">
        <v>3028</v>
      </c>
      <c r="E526" t="s">
        <v>3028</v>
      </c>
    </row>
    <row r="527" spans="1:5" x14ac:dyDescent="0.25">
      <c r="A527" s="10" t="s">
        <v>1357</v>
      </c>
      <c r="B527" s="10" t="s">
        <v>1357</v>
      </c>
      <c r="C527" s="9" t="s">
        <v>1358</v>
      </c>
      <c r="D527" s="9" t="s">
        <v>3028</v>
      </c>
      <c r="E527" t="s">
        <v>3028</v>
      </c>
    </row>
    <row r="528" spans="1:5" x14ac:dyDescent="0.25">
      <c r="A528" s="10" t="s">
        <v>1359</v>
      </c>
      <c r="B528" s="10" t="s">
        <v>1359</v>
      </c>
      <c r="C528" s="9" t="s">
        <v>1360</v>
      </c>
      <c r="D528" s="9" t="s">
        <v>3028</v>
      </c>
      <c r="E528" t="s">
        <v>3028</v>
      </c>
    </row>
    <row r="529" spans="1:5" x14ac:dyDescent="0.25">
      <c r="A529" s="10" t="s">
        <v>1361</v>
      </c>
      <c r="B529" s="10" t="s">
        <v>1361</v>
      </c>
      <c r="C529" s="9" t="s">
        <v>1362</v>
      </c>
      <c r="D529" s="9" t="s">
        <v>3028</v>
      </c>
      <c r="E529" t="s">
        <v>3028</v>
      </c>
    </row>
    <row r="530" spans="1:5" x14ac:dyDescent="0.25">
      <c r="A530" s="10" t="s">
        <v>1363</v>
      </c>
      <c r="B530" s="10" t="s">
        <v>1363</v>
      </c>
      <c r="C530" s="9" t="s">
        <v>1364</v>
      </c>
      <c r="D530" s="9" t="s">
        <v>3028</v>
      </c>
      <c r="E530" t="s">
        <v>3028</v>
      </c>
    </row>
    <row r="531" spans="1:5" x14ac:dyDescent="0.25">
      <c r="A531" s="10" t="s">
        <v>1365</v>
      </c>
      <c r="B531" s="10" t="s">
        <v>1365</v>
      </c>
      <c r="C531" s="9" t="s">
        <v>1366</v>
      </c>
      <c r="D531" s="9" t="s">
        <v>3028</v>
      </c>
      <c r="E531" t="s">
        <v>3028</v>
      </c>
    </row>
    <row r="532" spans="1:5" x14ac:dyDescent="0.25">
      <c r="A532" s="10" t="s">
        <v>1367</v>
      </c>
      <c r="B532" s="10" t="s">
        <v>1367</v>
      </c>
      <c r="C532" s="9" t="s">
        <v>1368</v>
      </c>
      <c r="D532" s="9" t="s">
        <v>3028</v>
      </c>
      <c r="E532" t="s">
        <v>3028</v>
      </c>
    </row>
    <row r="533" spans="1:5" x14ac:dyDescent="0.25">
      <c r="A533" s="10" t="s">
        <v>1371</v>
      </c>
      <c r="B533" s="10" t="s">
        <v>1371</v>
      </c>
      <c r="C533" s="9" t="s">
        <v>1372</v>
      </c>
      <c r="D533" s="9" t="s">
        <v>3028</v>
      </c>
      <c r="E533" t="s">
        <v>3028</v>
      </c>
    </row>
    <row r="534" spans="1:5" x14ac:dyDescent="0.25">
      <c r="A534" s="10" t="s">
        <v>1373</v>
      </c>
      <c r="B534" s="10" t="s">
        <v>1373</v>
      </c>
      <c r="C534" s="9" t="s">
        <v>1374</v>
      </c>
      <c r="D534" s="9" t="s">
        <v>3028</v>
      </c>
      <c r="E534" t="s">
        <v>3028</v>
      </c>
    </row>
    <row r="535" spans="1:5" x14ac:dyDescent="0.25">
      <c r="A535" s="10" t="s">
        <v>1375</v>
      </c>
      <c r="B535" s="10" t="s">
        <v>1375</v>
      </c>
      <c r="C535" s="9" t="s">
        <v>1376</v>
      </c>
      <c r="D535" s="9" t="s">
        <v>3028</v>
      </c>
      <c r="E535" t="s">
        <v>3028</v>
      </c>
    </row>
    <row r="536" spans="1:5" x14ac:dyDescent="0.25">
      <c r="A536" s="10" t="s">
        <v>1379</v>
      </c>
      <c r="B536" s="10" t="s">
        <v>1379</v>
      </c>
      <c r="C536" s="9" t="s">
        <v>1380</v>
      </c>
      <c r="D536" s="9" t="s">
        <v>3028</v>
      </c>
      <c r="E536" t="s">
        <v>3028</v>
      </c>
    </row>
    <row r="537" spans="1:5" x14ac:dyDescent="0.25">
      <c r="A537" s="10" t="s">
        <v>1381</v>
      </c>
      <c r="B537" s="10" t="s">
        <v>1381</v>
      </c>
      <c r="C537" s="9" t="s">
        <v>1382</v>
      </c>
      <c r="D537" s="9" t="s">
        <v>3028</v>
      </c>
      <c r="E537" t="s">
        <v>3028</v>
      </c>
    </row>
    <row r="538" spans="1:5" x14ac:dyDescent="0.25">
      <c r="A538" s="10" t="s">
        <v>1383</v>
      </c>
      <c r="B538" s="10" t="s">
        <v>1383</v>
      </c>
      <c r="C538" s="9" t="s">
        <v>1384</v>
      </c>
      <c r="D538" s="9" t="s">
        <v>3028</v>
      </c>
      <c r="E538" t="s">
        <v>3028</v>
      </c>
    </row>
    <row r="539" spans="1:5" x14ac:dyDescent="0.25">
      <c r="A539" s="10" t="s">
        <v>1385</v>
      </c>
      <c r="B539" s="10" t="s">
        <v>1385</v>
      </c>
      <c r="C539" s="9" t="s">
        <v>1386</v>
      </c>
      <c r="D539" s="9" t="s">
        <v>3028</v>
      </c>
      <c r="E539" t="s">
        <v>3028</v>
      </c>
    </row>
    <row r="540" spans="1:5" x14ac:dyDescent="0.25">
      <c r="A540" s="10" t="s">
        <v>1387</v>
      </c>
      <c r="B540" s="10" t="s">
        <v>1387</v>
      </c>
      <c r="C540" s="9" t="s">
        <v>1388</v>
      </c>
      <c r="D540" s="9" t="s">
        <v>3028</v>
      </c>
      <c r="E540" t="s">
        <v>3028</v>
      </c>
    </row>
    <row r="541" spans="1:5" x14ac:dyDescent="0.25">
      <c r="A541" s="10" t="s">
        <v>1389</v>
      </c>
      <c r="B541" s="10" t="s">
        <v>1389</v>
      </c>
      <c r="C541" s="9" t="s">
        <v>1390</v>
      </c>
      <c r="D541" s="9" t="s">
        <v>3028</v>
      </c>
      <c r="E541" t="s">
        <v>3028</v>
      </c>
    </row>
    <row r="542" spans="1:5" x14ac:dyDescent="0.25">
      <c r="A542" s="10" t="s">
        <v>1391</v>
      </c>
      <c r="B542" s="10" t="s">
        <v>1391</v>
      </c>
      <c r="C542" s="9" t="s">
        <v>1392</v>
      </c>
      <c r="D542" s="9" t="s">
        <v>3028</v>
      </c>
      <c r="E542" t="s">
        <v>3028</v>
      </c>
    </row>
    <row r="543" spans="1:5" x14ac:dyDescent="0.25">
      <c r="A543" s="10" t="s">
        <v>1393</v>
      </c>
      <c r="B543" s="10" t="s">
        <v>1393</v>
      </c>
      <c r="C543" s="9" t="s">
        <v>1394</v>
      </c>
      <c r="D543" s="9" t="s">
        <v>3028</v>
      </c>
      <c r="E543" t="s">
        <v>3028</v>
      </c>
    </row>
    <row r="544" spans="1:5" x14ac:dyDescent="0.25">
      <c r="A544" s="10" t="s">
        <v>1395</v>
      </c>
      <c r="B544" s="10" t="s">
        <v>1395</v>
      </c>
      <c r="C544" s="9" t="s">
        <v>1396</v>
      </c>
      <c r="D544" s="9" t="s">
        <v>3028</v>
      </c>
      <c r="E544" t="s">
        <v>3028</v>
      </c>
    </row>
    <row r="545" spans="1:5" x14ac:dyDescent="0.25">
      <c r="A545" s="10" t="s">
        <v>1397</v>
      </c>
      <c r="B545" s="10" t="s">
        <v>1397</v>
      </c>
      <c r="C545" s="9" t="s">
        <v>1398</v>
      </c>
      <c r="D545" s="9" t="s">
        <v>3028</v>
      </c>
      <c r="E545" t="s">
        <v>3028</v>
      </c>
    </row>
    <row r="546" spans="1:5" x14ac:dyDescent="0.25">
      <c r="A546" s="10" t="s">
        <v>1399</v>
      </c>
      <c r="B546" s="10" t="s">
        <v>1399</v>
      </c>
      <c r="C546" s="9" t="s">
        <v>1400</v>
      </c>
      <c r="D546" s="9" t="s">
        <v>3028</v>
      </c>
      <c r="E546" t="s">
        <v>3028</v>
      </c>
    </row>
    <row r="547" spans="1:5" x14ac:dyDescent="0.25">
      <c r="A547" s="10" t="s">
        <v>1401</v>
      </c>
      <c r="B547" s="10" t="s">
        <v>1401</v>
      </c>
      <c r="C547" s="9" t="s">
        <v>1402</v>
      </c>
      <c r="D547" s="9" t="s">
        <v>3028</v>
      </c>
      <c r="E547" t="s">
        <v>3028</v>
      </c>
    </row>
    <row r="548" spans="1:5" x14ac:dyDescent="0.25">
      <c r="A548" s="10" t="s">
        <v>1403</v>
      </c>
      <c r="B548" s="10" t="s">
        <v>1403</v>
      </c>
      <c r="C548" s="9" t="s">
        <v>1404</v>
      </c>
      <c r="D548" s="9" t="s">
        <v>3028</v>
      </c>
      <c r="E548" t="s">
        <v>3028</v>
      </c>
    </row>
    <row r="549" spans="1:5" x14ac:dyDescent="0.25">
      <c r="A549" s="10" t="s">
        <v>1409</v>
      </c>
      <c r="B549" s="10" t="s">
        <v>1409</v>
      </c>
      <c r="C549" s="9" t="s">
        <v>1410</v>
      </c>
      <c r="D549" s="9" t="s">
        <v>3028</v>
      </c>
      <c r="E549" t="s">
        <v>3028</v>
      </c>
    </row>
    <row r="550" spans="1:5" x14ac:dyDescent="0.25">
      <c r="A550" s="10" t="s">
        <v>1411</v>
      </c>
      <c r="B550" s="10" t="s">
        <v>1411</v>
      </c>
      <c r="C550" s="9" t="s">
        <v>1412</v>
      </c>
      <c r="D550" s="9" t="s">
        <v>3028</v>
      </c>
      <c r="E550" t="s">
        <v>3028</v>
      </c>
    </row>
    <row r="551" spans="1:5" x14ac:dyDescent="0.25">
      <c r="A551" s="10" t="s">
        <v>1415</v>
      </c>
      <c r="B551" s="10" t="s">
        <v>1415</v>
      </c>
      <c r="C551" s="9" t="s">
        <v>1416</v>
      </c>
      <c r="D551" s="9" t="s">
        <v>3028</v>
      </c>
      <c r="E551" t="s">
        <v>3028</v>
      </c>
    </row>
    <row r="552" spans="1:5" x14ac:dyDescent="0.25">
      <c r="A552" s="10" t="s">
        <v>1417</v>
      </c>
      <c r="B552" s="10" t="s">
        <v>1417</v>
      </c>
      <c r="C552" s="9" t="s">
        <v>1418</v>
      </c>
      <c r="D552" s="9" t="s">
        <v>3028</v>
      </c>
      <c r="E552" t="s">
        <v>3028</v>
      </c>
    </row>
    <row r="553" spans="1:5" x14ac:dyDescent="0.25">
      <c r="A553" s="10" t="s">
        <v>1419</v>
      </c>
      <c r="B553" s="10" t="s">
        <v>1419</v>
      </c>
      <c r="C553" s="9" t="s">
        <v>1420</v>
      </c>
      <c r="D553" s="9" t="s">
        <v>3028</v>
      </c>
      <c r="E553" t="s">
        <v>3028</v>
      </c>
    </row>
    <row r="554" spans="1:5" x14ac:dyDescent="0.25">
      <c r="A554" s="10" t="s">
        <v>1421</v>
      </c>
      <c r="B554" s="10" t="s">
        <v>1421</v>
      </c>
      <c r="C554" s="9" t="s">
        <v>1422</v>
      </c>
      <c r="D554" s="9" t="s">
        <v>3028</v>
      </c>
      <c r="E554" t="s">
        <v>3028</v>
      </c>
    </row>
    <row r="555" spans="1:5" x14ac:dyDescent="0.25">
      <c r="A555" s="10" t="s">
        <v>1423</v>
      </c>
      <c r="B555" s="10" t="s">
        <v>1423</v>
      </c>
      <c r="C555" s="9" t="s">
        <v>1424</v>
      </c>
      <c r="D555" s="9" t="s">
        <v>3028</v>
      </c>
      <c r="E555" t="s">
        <v>3028</v>
      </c>
    </row>
    <row r="556" spans="1:5" x14ac:dyDescent="0.25">
      <c r="A556" s="10" t="s">
        <v>1425</v>
      </c>
      <c r="B556" s="10" t="s">
        <v>1425</v>
      </c>
      <c r="C556" s="9" t="s">
        <v>1426</v>
      </c>
      <c r="D556" s="9" t="s">
        <v>3028</v>
      </c>
      <c r="E556" t="s">
        <v>3028</v>
      </c>
    </row>
    <row r="557" spans="1:5" x14ac:dyDescent="0.25">
      <c r="A557" s="10" t="s">
        <v>1429</v>
      </c>
      <c r="B557" s="10" t="s">
        <v>1429</v>
      </c>
      <c r="C557" s="9" t="s">
        <v>1430</v>
      </c>
      <c r="D557" s="9" t="s">
        <v>3028</v>
      </c>
      <c r="E557" t="s">
        <v>3028</v>
      </c>
    </row>
    <row r="558" spans="1:5" x14ac:dyDescent="0.25">
      <c r="A558" s="10" t="s">
        <v>1435</v>
      </c>
      <c r="B558" s="10" t="s">
        <v>1435</v>
      </c>
      <c r="C558" s="9" t="s">
        <v>1436</v>
      </c>
      <c r="D558" s="9" t="s">
        <v>3028</v>
      </c>
      <c r="E558" t="s">
        <v>3028</v>
      </c>
    </row>
    <row r="559" spans="1:5" x14ac:dyDescent="0.25">
      <c r="A559" s="10" t="s">
        <v>1437</v>
      </c>
      <c r="B559" s="10" t="s">
        <v>1437</v>
      </c>
      <c r="C559" s="9" t="s">
        <v>1438</v>
      </c>
      <c r="D559" s="9" t="s">
        <v>3028</v>
      </c>
      <c r="E559" t="s">
        <v>3028</v>
      </c>
    </row>
    <row r="560" spans="1:5" x14ac:dyDescent="0.25">
      <c r="A560" s="10" t="s">
        <v>1442</v>
      </c>
      <c r="B560" s="10" t="s">
        <v>1442</v>
      </c>
      <c r="C560" s="9" t="s">
        <v>1443</v>
      </c>
      <c r="D560" s="9" t="s">
        <v>3028</v>
      </c>
      <c r="E560" t="s">
        <v>3028</v>
      </c>
    </row>
    <row r="561" spans="1:5" x14ac:dyDescent="0.25">
      <c r="A561" s="10" t="s">
        <v>1446</v>
      </c>
      <c r="B561" s="10" t="s">
        <v>1446</v>
      </c>
      <c r="C561" s="9" t="s">
        <v>1447</v>
      </c>
      <c r="D561" s="9" t="s">
        <v>3028</v>
      </c>
      <c r="E561" t="s">
        <v>3028</v>
      </c>
    </row>
    <row r="562" spans="1:5" x14ac:dyDescent="0.25">
      <c r="A562" s="10" t="s">
        <v>1448</v>
      </c>
      <c r="B562" s="10" t="s">
        <v>1448</v>
      </c>
      <c r="C562" s="9" t="s">
        <v>1449</v>
      </c>
      <c r="D562" s="9" t="s">
        <v>3028</v>
      </c>
      <c r="E562" t="s">
        <v>3028</v>
      </c>
    </row>
    <row r="563" spans="1:5" x14ac:dyDescent="0.25">
      <c r="A563" s="10" t="s">
        <v>1450</v>
      </c>
      <c r="B563" s="10" t="s">
        <v>1450</v>
      </c>
      <c r="C563" s="9" t="s">
        <v>1451</v>
      </c>
      <c r="D563" s="9" t="s">
        <v>3028</v>
      </c>
      <c r="E563" t="s">
        <v>3028</v>
      </c>
    </row>
    <row r="564" spans="1:5" x14ac:dyDescent="0.25">
      <c r="A564" s="10" t="s">
        <v>1452</v>
      </c>
      <c r="B564" s="10" t="s">
        <v>1452</v>
      </c>
      <c r="C564" s="9" t="s">
        <v>1453</v>
      </c>
      <c r="D564" s="9" t="s">
        <v>3028</v>
      </c>
      <c r="E564" t="s">
        <v>3028</v>
      </c>
    </row>
    <row r="565" spans="1:5" x14ac:dyDescent="0.25">
      <c r="A565" s="10" t="s">
        <v>1454</v>
      </c>
      <c r="B565" s="10" t="s">
        <v>1454</v>
      </c>
      <c r="C565" s="9" t="s">
        <v>1455</v>
      </c>
      <c r="D565" s="9" t="s">
        <v>3028</v>
      </c>
      <c r="E565" t="s">
        <v>3028</v>
      </c>
    </row>
    <row r="566" spans="1:5" x14ac:dyDescent="0.25">
      <c r="A566" s="10" t="s">
        <v>1456</v>
      </c>
      <c r="B566" s="10" t="s">
        <v>1456</v>
      </c>
      <c r="C566" s="9" t="s">
        <v>1457</v>
      </c>
      <c r="D566" s="9" t="s">
        <v>3028</v>
      </c>
      <c r="E566" t="s">
        <v>3028</v>
      </c>
    </row>
    <row r="567" spans="1:5" x14ac:dyDescent="0.25">
      <c r="A567" s="10" t="s">
        <v>1460</v>
      </c>
      <c r="B567" s="10" t="s">
        <v>1460</v>
      </c>
      <c r="C567" s="9" t="s">
        <v>1461</v>
      </c>
      <c r="D567" s="9" t="s">
        <v>3028</v>
      </c>
      <c r="E567" t="s">
        <v>3028</v>
      </c>
    </row>
    <row r="568" spans="1:5" x14ac:dyDescent="0.25">
      <c r="A568" s="10" t="s">
        <v>1462</v>
      </c>
      <c r="B568" s="10" t="s">
        <v>1462</v>
      </c>
      <c r="C568" s="9" t="s">
        <v>1463</v>
      </c>
      <c r="D568" s="9" t="s">
        <v>3028</v>
      </c>
      <c r="E568" t="s">
        <v>3028</v>
      </c>
    </row>
    <row r="569" spans="1:5" x14ac:dyDescent="0.25">
      <c r="A569" s="10" t="s">
        <v>1464</v>
      </c>
      <c r="B569" s="10" t="s">
        <v>1464</v>
      </c>
      <c r="C569" s="9" t="s">
        <v>1465</v>
      </c>
      <c r="D569" s="9" t="s">
        <v>3028</v>
      </c>
      <c r="E569" t="s">
        <v>3028</v>
      </c>
    </row>
    <row r="570" spans="1:5" x14ac:dyDescent="0.25">
      <c r="A570" s="10" t="s">
        <v>1466</v>
      </c>
      <c r="B570" s="10" t="s">
        <v>1466</v>
      </c>
      <c r="C570" s="9" t="s">
        <v>1467</v>
      </c>
      <c r="D570" s="9" t="s">
        <v>3028</v>
      </c>
      <c r="E570" t="s">
        <v>3028</v>
      </c>
    </row>
    <row r="571" spans="1:5" x14ac:dyDescent="0.25">
      <c r="A571" s="10" t="s">
        <v>1468</v>
      </c>
      <c r="B571" s="10" t="s">
        <v>1468</v>
      </c>
      <c r="C571" s="9" t="s">
        <v>1469</v>
      </c>
      <c r="D571" s="9" t="s">
        <v>3028</v>
      </c>
      <c r="E571" t="s">
        <v>3028</v>
      </c>
    </row>
    <row r="572" spans="1:5" x14ac:dyDescent="0.25">
      <c r="A572" s="10" t="s">
        <v>1474</v>
      </c>
      <c r="B572" s="10" t="s">
        <v>1474</v>
      </c>
      <c r="C572" s="9" t="s">
        <v>1475</v>
      </c>
      <c r="D572" s="9" t="s">
        <v>3028</v>
      </c>
      <c r="E572" t="s">
        <v>3028</v>
      </c>
    </row>
    <row r="573" spans="1:5" x14ac:dyDescent="0.25">
      <c r="A573" s="10" t="s">
        <v>1478</v>
      </c>
      <c r="B573" s="10" t="s">
        <v>1478</v>
      </c>
      <c r="C573" s="9" t="s">
        <v>1479</v>
      </c>
      <c r="D573" s="9" t="s">
        <v>3028</v>
      </c>
      <c r="E573" t="s">
        <v>3028</v>
      </c>
    </row>
    <row r="574" spans="1:5" x14ac:dyDescent="0.25">
      <c r="A574" s="10" t="s">
        <v>1480</v>
      </c>
      <c r="B574" s="10" t="s">
        <v>1480</v>
      </c>
      <c r="C574" s="9" t="s">
        <v>1481</v>
      </c>
      <c r="D574" s="9" t="s">
        <v>3028</v>
      </c>
      <c r="E574" t="s">
        <v>3028</v>
      </c>
    </row>
    <row r="575" spans="1:5" x14ac:dyDescent="0.25">
      <c r="A575" s="10" t="s">
        <v>1482</v>
      </c>
      <c r="B575" s="10" t="s">
        <v>1482</v>
      </c>
      <c r="C575" s="9" t="s">
        <v>1483</v>
      </c>
      <c r="D575" s="9" t="s">
        <v>3028</v>
      </c>
      <c r="E575" t="s">
        <v>3028</v>
      </c>
    </row>
    <row r="576" spans="1:5" x14ac:dyDescent="0.25">
      <c r="A576" s="10" t="s">
        <v>1484</v>
      </c>
      <c r="B576" s="10" t="s">
        <v>1484</v>
      </c>
      <c r="C576" s="9" t="s">
        <v>1485</v>
      </c>
      <c r="D576" s="9" t="s">
        <v>3028</v>
      </c>
      <c r="E576" t="s">
        <v>3028</v>
      </c>
    </row>
    <row r="577" spans="1:5" x14ac:dyDescent="0.25">
      <c r="A577" s="10" t="s">
        <v>1486</v>
      </c>
      <c r="B577" s="10" t="s">
        <v>1486</v>
      </c>
      <c r="C577" s="9" t="s">
        <v>1487</v>
      </c>
      <c r="D577" s="9" t="s">
        <v>3028</v>
      </c>
      <c r="E577" t="s">
        <v>3028</v>
      </c>
    </row>
    <row r="578" spans="1:5" x14ac:dyDescent="0.25">
      <c r="A578" s="10" t="s">
        <v>1488</v>
      </c>
      <c r="B578" s="10" t="s">
        <v>1488</v>
      </c>
      <c r="C578" s="9" t="s">
        <v>1489</v>
      </c>
      <c r="D578" s="9" t="s">
        <v>3028</v>
      </c>
      <c r="E578" t="s">
        <v>3028</v>
      </c>
    </row>
    <row r="579" spans="1:5" x14ac:dyDescent="0.25">
      <c r="A579" s="10" t="s">
        <v>1490</v>
      </c>
      <c r="B579" s="10" t="s">
        <v>1490</v>
      </c>
      <c r="C579" s="9" t="s">
        <v>1491</v>
      </c>
      <c r="D579" s="9" t="s">
        <v>3028</v>
      </c>
      <c r="E579" t="s">
        <v>3028</v>
      </c>
    </row>
    <row r="580" spans="1:5" x14ac:dyDescent="0.25">
      <c r="A580" s="10" t="s">
        <v>1492</v>
      </c>
      <c r="B580" s="10" t="s">
        <v>1492</v>
      </c>
      <c r="C580" s="9" t="s">
        <v>1493</v>
      </c>
      <c r="D580" s="9" t="s">
        <v>3028</v>
      </c>
      <c r="E580" t="s">
        <v>3028</v>
      </c>
    </row>
    <row r="581" spans="1:5" x14ac:dyDescent="0.25">
      <c r="A581" s="10" t="s">
        <v>1494</v>
      </c>
      <c r="B581" s="10" t="s">
        <v>1494</v>
      </c>
      <c r="C581" s="9" t="s">
        <v>1495</v>
      </c>
      <c r="D581" s="9" t="s">
        <v>3028</v>
      </c>
      <c r="E581" t="s">
        <v>3028</v>
      </c>
    </row>
    <row r="582" spans="1:5" x14ac:dyDescent="0.25">
      <c r="A582" s="10" t="s">
        <v>1496</v>
      </c>
      <c r="B582" s="10" t="s">
        <v>1496</v>
      </c>
      <c r="C582" s="9" t="s">
        <v>1497</v>
      </c>
      <c r="D582" s="9" t="s">
        <v>3028</v>
      </c>
      <c r="E582" t="s">
        <v>3028</v>
      </c>
    </row>
    <row r="583" spans="1:5" x14ac:dyDescent="0.25">
      <c r="A583" s="10" t="s">
        <v>1500</v>
      </c>
      <c r="B583" s="10" t="s">
        <v>1500</v>
      </c>
      <c r="C583" s="9" t="s">
        <v>1501</v>
      </c>
      <c r="D583" s="9" t="s">
        <v>3028</v>
      </c>
      <c r="E583" t="s">
        <v>3028</v>
      </c>
    </row>
    <row r="584" spans="1:5" x14ac:dyDescent="0.25">
      <c r="A584" s="10" t="s">
        <v>1508</v>
      </c>
      <c r="B584" s="10" t="s">
        <v>1508</v>
      </c>
      <c r="C584" s="9" t="s">
        <v>1509</v>
      </c>
      <c r="D584" s="9" t="s">
        <v>3028</v>
      </c>
      <c r="E584" t="s">
        <v>3028</v>
      </c>
    </row>
    <row r="585" spans="1:5" x14ac:dyDescent="0.25">
      <c r="A585" s="10" t="s">
        <v>1510</v>
      </c>
      <c r="B585" s="10" t="s">
        <v>1510</v>
      </c>
      <c r="C585" s="9" t="s">
        <v>1511</v>
      </c>
      <c r="D585" s="9" t="s">
        <v>3028</v>
      </c>
      <c r="E585" t="s">
        <v>3028</v>
      </c>
    </row>
    <row r="586" spans="1:5" x14ac:dyDescent="0.25">
      <c r="A586" s="10" t="s">
        <v>1512</v>
      </c>
      <c r="B586" s="10" t="s">
        <v>1512</v>
      </c>
      <c r="C586" s="9" t="s">
        <v>1513</v>
      </c>
      <c r="D586" s="9" t="s">
        <v>3028</v>
      </c>
      <c r="E586" t="s">
        <v>3028</v>
      </c>
    </row>
    <row r="587" spans="1:5" x14ac:dyDescent="0.25">
      <c r="A587" s="10" t="s">
        <v>1514</v>
      </c>
      <c r="B587" s="10" t="s">
        <v>1514</v>
      </c>
      <c r="C587" s="9" t="s">
        <v>1515</v>
      </c>
      <c r="D587" s="9" t="s">
        <v>3028</v>
      </c>
      <c r="E587" t="s">
        <v>3028</v>
      </c>
    </row>
    <row r="588" spans="1:5" x14ac:dyDescent="0.25">
      <c r="A588" s="10" t="s">
        <v>1516</v>
      </c>
      <c r="B588" s="10" t="s">
        <v>1516</v>
      </c>
      <c r="C588" s="9" t="s">
        <v>1517</v>
      </c>
      <c r="D588" s="9" t="s">
        <v>3028</v>
      </c>
      <c r="E588" t="s">
        <v>3028</v>
      </c>
    </row>
    <row r="589" spans="1:5" x14ac:dyDescent="0.25">
      <c r="A589" s="10" t="s">
        <v>1520</v>
      </c>
      <c r="B589" s="10" t="s">
        <v>1520</v>
      </c>
      <c r="C589" s="9" t="s">
        <v>1521</v>
      </c>
      <c r="D589" s="9" t="s">
        <v>3028</v>
      </c>
      <c r="E589" t="s">
        <v>3028</v>
      </c>
    </row>
    <row r="590" spans="1:5" x14ac:dyDescent="0.25">
      <c r="A590" s="10" t="s">
        <v>1546</v>
      </c>
      <c r="B590" s="10" t="s">
        <v>1546</v>
      </c>
      <c r="C590" s="9" t="s">
        <v>1547</v>
      </c>
      <c r="D590" s="9" t="s">
        <v>3028</v>
      </c>
      <c r="E590" t="s">
        <v>3028</v>
      </c>
    </row>
    <row r="591" spans="1:5" x14ac:dyDescent="0.25">
      <c r="A591" s="10" t="s">
        <v>1548</v>
      </c>
      <c r="B591" s="10" t="s">
        <v>1548</v>
      </c>
      <c r="C591" s="9" t="s">
        <v>1549</v>
      </c>
      <c r="D591" s="9" t="s">
        <v>3028</v>
      </c>
      <c r="E591" t="s">
        <v>3028</v>
      </c>
    </row>
    <row r="592" spans="1:5" x14ac:dyDescent="0.25">
      <c r="A592" s="10" t="s">
        <v>1550</v>
      </c>
      <c r="B592" s="10" t="s">
        <v>1550</v>
      </c>
      <c r="C592" s="9" t="s">
        <v>1551</v>
      </c>
      <c r="D592" s="9" t="s">
        <v>3028</v>
      </c>
      <c r="E592" t="s">
        <v>3028</v>
      </c>
    </row>
    <row r="593" spans="1:5" x14ac:dyDescent="0.25">
      <c r="A593" s="10" t="s">
        <v>1552</v>
      </c>
      <c r="B593" s="10" t="s">
        <v>1552</v>
      </c>
      <c r="C593" s="9" t="s">
        <v>1553</v>
      </c>
      <c r="D593" s="9" t="s">
        <v>3028</v>
      </c>
      <c r="E593" t="s">
        <v>3028</v>
      </c>
    </row>
    <row r="594" spans="1:5" x14ac:dyDescent="0.25">
      <c r="A594" s="10" t="s">
        <v>1554</v>
      </c>
      <c r="B594" s="10" t="s">
        <v>1554</v>
      </c>
      <c r="C594" s="9" t="s">
        <v>1555</v>
      </c>
      <c r="D594" s="9" t="s">
        <v>3028</v>
      </c>
      <c r="E594" t="s">
        <v>3028</v>
      </c>
    </row>
    <row r="595" spans="1:5" x14ac:dyDescent="0.25">
      <c r="A595" s="10" t="s">
        <v>1556</v>
      </c>
      <c r="B595" s="10" t="s">
        <v>1556</v>
      </c>
      <c r="C595" s="9" t="s">
        <v>1557</v>
      </c>
      <c r="D595" s="9" t="s">
        <v>3028</v>
      </c>
      <c r="E595" t="s">
        <v>3028</v>
      </c>
    </row>
    <row r="596" spans="1:5" x14ac:dyDescent="0.25">
      <c r="A596" s="10" t="s">
        <v>1558</v>
      </c>
      <c r="B596" s="10" t="s">
        <v>1558</v>
      </c>
      <c r="C596" s="9" t="s">
        <v>1559</v>
      </c>
      <c r="D596" s="9" t="s">
        <v>3028</v>
      </c>
      <c r="E596" t="s">
        <v>3028</v>
      </c>
    </row>
    <row r="597" spans="1:5" x14ac:dyDescent="0.25">
      <c r="A597" s="10" t="s">
        <v>1560</v>
      </c>
      <c r="B597" s="10" t="s">
        <v>1560</v>
      </c>
      <c r="C597" s="9" t="s">
        <v>1561</v>
      </c>
      <c r="D597" s="9" t="s">
        <v>3028</v>
      </c>
      <c r="E597" t="s">
        <v>3028</v>
      </c>
    </row>
    <row r="598" spans="1:5" x14ac:dyDescent="0.25">
      <c r="A598" s="10" t="s">
        <v>1562</v>
      </c>
      <c r="B598" s="10" t="s">
        <v>1562</v>
      </c>
      <c r="C598" s="9" t="s">
        <v>1563</v>
      </c>
      <c r="D598" s="9" t="s">
        <v>3028</v>
      </c>
      <c r="E598" t="s">
        <v>3028</v>
      </c>
    </row>
    <row r="599" spans="1:5" x14ac:dyDescent="0.25">
      <c r="A599" s="10" t="s">
        <v>1564</v>
      </c>
      <c r="B599" s="10" t="s">
        <v>1564</v>
      </c>
      <c r="C599" s="9" t="s">
        <v>1565</v>
      </c>
      <c r="D599" s="9" t="s">
        <v>3028</v>
      </c>
      <c r="E599" t="s">
        <v>3028</v>
      </c>
    </row>
    <row r="600" spans="1:5" x14ac:dyDescent="0.25">
      <c r="A600" s="10" t="s">
        <v>1568</v>
      </c>
      <c r="B600" s="10" t="s">
        <v>1568</v>
      </c>
      <c r="C600" s="9" t="s">
        <v>1569</v>
      </c>
      <c r="D600" s="9" t="s">
        <v>3028</v>
      </c>
      <c r="E600" t="s">
        <v>3028</v>
      </c>
    </row>
    <row r="601" spans="1:5" x14ac:dyDescent="0.25">
      <c r="A601" s="10" t="s">
        <v>1570</v>
      </c>
      <c r="B601" s="10" t="s">
        <v>1570</v>
      </c>
      <c r="C601" s="9" t="s">
        <v>1571</v>
      </c>
      <c r="D601" s="9" t="s">
        <v>3028</v>
      </c>
      <c r="E601" t="s">
        <v>3028</v>
      </c>
    </row>
    <row r="602" spans="1:5" x14ac:dyDescent="0.25">
      <c r="A602" s="10" t="s">
        <v>1572</v>
      </c>
      <c r="B602" s="10" t="s">
        <v>1572</v>
      </c>
      <c r="C602" s="9" t="s">
        <v>1573</v>
      </c>
      <c r="D602" s="9" t="s">
        <v>3028</v>
      </c>
      <c r="E602" t="s">
        <v>3028</v>
      </c>
    </row>
    <row r="603" spans="1:5" x14ac:dyDescent="0.25">
      <c r="A603" s="10" t="s">
        <v>1574</v>
      </c>
      <c r="B603" s="10" t="s">
        <v>1574</v>
      </c>
      <c r="C603" s="9" t="s">
        <v>1575</v>
      </c>
      <c r="D603" s="9" t="s">
        <v>3028</v>
      </c>
      <c r="E603" t="s">
        <v>3028</v>
      </c>
    </row>
    <row r="604" spans="1:5" x14ac:dyDescent="0.25">
      <c r="A604" s="10" t="s">
        <v>1576</v>
      </c>
      <c r="B604" s="10" t="s">
        <v>1576</v>
      </c>
      <c r="C604" s="9" t="s">
        <v>1577</v>
      </c>
      <c r="D604" s="9" t="s">
        <v>3028</v>
      </c>
      <c r="E604" t="s">
        <v>3028</v>
      </c>
    </row>
    <row r="605" spans="1:5" x14ac:dyDescent="0.25">
      <c r="A605" s="10" t="s">
        <v>1578</v>
      </c>
      <c r="B605" s="10" t="s">
        <v>1578</v>
      </c>
      <c r="C605" s="9" t="s">
        <v>1579</v>
      </c>
      <c r="D605" s="9" t="s">
        <v>3028</v>
      </c>
      <c r="E605" t="s">
        <v>3028</v>
      </c>
    </row>
    <row r="606" spans="1:5" x14ac:dyDescent="0.25">
      <c r="A606" s="10" t="s">
        <v>1582</v>
      </c>
      <c r="B606" s="10" t="s">
        <v>1582</v>
      </c>
      <c r="C606" s="9" t="s">
        <v>1583</v>
      </c>
      <c r="D606" s="9" t="s">
        <v>3028</v>
      </c>
      <c r="E606" t="s">
        <v>3028</v>
      </c>
    </row>
    <row r="607" spans="1:5" x14ac:dyDescent="0.25">
      <c r="A607" s="10" t="s">
        <v>1584</v>
      </c>
      <c r="B607" s="10" t="s">
        <v>1584</v>
      </c>
      <c r="C607" s="9" t="s">
        <v>1585</v>
      </c>
      <c r="D607" s="9" t="s">
        <v>3028</v>
      </c>
      <c r="E607" t="s">
        <v>3028</v>
      </c>
    </row>
    <row r="608" spans="1:5" x14ac:dyDescent="0.25">
      <c r="A608" s="10" t="s">
        <v>1586</v>
      </c>
      <c r="B608" s="10" t="s">
        <v>1586</v>
      </c>
      <c r="C608" s="9" t="s">
        <v>1587</v>
      </c>
      <c r="D608" s="9" t="s">
        <v>3028</v>
      </c>
      <c r="E608" t="s">
        <v>3028</v>
      </c>
    </row>
    <row r="609" spans="1:5" x14ac:dyDescent="0.25">
      <c r="A609" s="10" t="s">
        <v>1588</v>
      </c>
      <c r="B609" s="10" t="s">
        <v>1588</v>
      </c>
      <c r="C609" s="9" t="s">
        <v>1589</v>
      </c>
      <c r="D609" s="9" t="s">
        <v>3028</v>
      </c>
      <c r="E609" t="s">
        <v>3028</v>
      </c>
    </row>
    <row r="610" spans="1:5" x14ac:dyDescent="0.25">
      <c r="A610" s="10" t="s">
        <v>1590</v>
      </c>
      <c r="B610" s="10" t="s">
        <v>1590</v>
      </c>
      <c r="C610" s="9" t="s">
        <v>1591</v>
      </c>
      <c r="D610" s="9" t="s">
        <v>3028</v>
      </c>
      <c r="E610" t="s">
        <v>3028</v>
      </c>
    </row>
    <row r="611" spans="1:5" x14ac:dyDescent="0.25">
      <c r="A611" s="10" t="s">
        <v>1592</v>
      </c>
      <c r="B611" s="10" t="s">
        <v>1592</v>
      </c>
      <c r="C611" s="9" t="s">
        <v>1593</v>
      </c>
      <c r="D611" s="9" t="s">
        <v>3028</v>
      </c>
      <c r="E611" t="s">
        <v>3028</v>
      </c>
    </row>
    <row r="612" spans="1:5" x14ac:dyDescent="0.25">
      <c r="A612" s="10" t="s">
        <v>1594</v>
      </c>
      <c r="B612" s="10" t="s">
        <v>1594</v>
      </c>
      <c r="C612" s="9" t="s">
        <v>1595</v>
      </c>
      <c r="D612" s="9" t="s">
        <v>3028</v>
      </c>
      <c r="E612" t="s">
        <v>3028</v>
      </c>
    </row>
    <row r="613" spans="1:5" x14ac:dyDescent="0.25">
      <c r="A613" s="10" t="s">
        <v>1596</v>
      </c>
      <c r="B613" s="10" t="s">
        <v>1596</v>
      </c>
      <c r="C613" s="9" t="s">
        <v>1597</v>
      </c>
      <c r="D613" s="9" t="s">
        <v>3028</v>
      </c>
      <c r="E613" t="s">
        <v>3028</v>
      </c>
    </row>
    <row r="614" spans="1:5" x14ac:dyDescent="0.25">
      <c r="A614" s="10" t="s">
        <v>1598</v>
      </c>
      <c r="B614" s="10" t="s">
        <v>1598</v>
      </c>
      <c r="C614" s="9" t="s">
        <v>1599</v>
      </c>
      <c r="D614" s="9" t="s">
        <v>3028</v>
      </c>
      <c r="E614" t="s">
        <v>3028</v>
      </c>
    </row>
    <row r="615" spans="1:5" x14ac:dyDescent="0.25">
      <c r="A615" s="10" t="s">
        <v>1600</v>
      </c>
      <c r="B615" s="10" t="s">
        <v>1600</v>
      </c>
      <c r="C615" s="9" t="s">
        <v>1601</v>
      </c>
      <c r="D615" s="9" t="s">
        <v>3028</v>
      </c>
      <c r="E615" t="s">
        <v>3028</v>
      </c>
    </row>
    <row r="616" spans="1:5" x14ac:dyDescent="0.25">
      <c r="A616" s="10" t="s">
        <v>1605</v>
      </c>
      <c r="B616" s="10" t="s">
        <v>1605</v>
      </c>
      <c r="C616" s="9" t="s">
        <v>1606</v>
      </c>
      <c r="D616" s="9" t="s">
        <v>3028</v>
      </c>
      <c r="E616" t="s">
        <v>3028</v>
      </c>
    </row>
    <row r="617" spans="1:5" x14ac:dyDescent="0.25">
      <c r="A617" s="10" t="s">
        <v>1607</v>
      </c>
      <c r="B617" s="10" t="s">
        <v>1607</v>
      </c>
      <c r="C617" s="9" t="s">
        <v>1608</v>
      </c>
      <c r="D617" s="9" t="s">
        <v>3028</v>
      </c>
      <c r="E617" t="s">
        <v>3028</v>
      </c>
    </row>
    <row r="618" spans="1:5" x14ac:dyDescent="0.25">
      <c r="A618" s="10" t="s">
        <v>1609</v>
      </c>
      <c r="B618" s="10" t="s">
        <v>1609</v>
      </c>
      <c r="C618" s="9" t="s">
        <v>1610</v>
      </c>
      <c r="D618" s="9" t="s">
        <v>3028</v>
      </c>
      <c r="E618" t="s">
        <v>3028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3"/>
  <dimension ref="A1:N2"/>
  <sheetViews>
    <sheetView workbookViewId="0">
      <selection activeCell="I8" sqref="I8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6" t="s">
        <v>48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2"/>
  <dimension ref="A1:O139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5" ht="47.85" customHeight="1" x14ac:dyDescent="0.25">
      <c r="A1" s="26" t="s">
        <v>47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15399,17</v>
      </c>
      <c r="C2" s="14" t="str">
        <f>CONCATENATE("FEVEREIRO",CHAR(10),"TOTAL: ",ROUND(SUM(C3:C1048576),2))</f>
        <v>FEVEREIRO
TOTAL: 8337,55</v>
      </c>
      <c r="D2" s="14" t="str">
        <f>CONCATENATE("MARÇO",CHAR(10),"TOTAL: ",ROUND(SUM(D3:D1048576),2))</f>
        <v>MARÇO
TOTAL: 19465,32</v>
      </c>
      <c r="E2" s="14" t="str">
        <f>CONCATENATE("ABRIL",CHAR(10),"TOTAL: ",ROUND(SUM(E3:E1048576),2))</f>
        <v>ABRIL
TOTAL: 52889,49</v>
      </c>
      <c r="F2" s="14" t="str">
        <f>CONCATENATE("MAIO",CHAR(10),"TOTAL: ",ROUND(SUM(F3:F1048576),2))</f>
        <v>MAIO
TOTAL: 20732,53</v>
      </c>
      <c r="G2" s="14" t="str">
        <f>CONCATENATE("JUNHO",CHAR(10),"TOTAL: ",ROUND(SUM(G3:G1048576),2))</f>
        <v>JUNHO
TOTAL: 47869,62</v>
      </c>
      <c r="H2" s="14" t="str">
        <f>CONCATENATE("JULHO",CHAR(10),"TOTAL: ",ROUND(SUM(H3:H1048576),2))</f>
        <v>JULHO
TOTAL: 35431,89</v>
      </c>
      <c r="I2" s="14" t="str">
        <f>CONCATENATE("AGOSTO",CHAR(10),"TOTAL: ",ROUND(SUM(I3:I1048576),2))</f>
        <v>AGOSTO
TOTAL: 47316,71</v>
      </c>
      <c r="J2" s="14" t="str">
        <f>CONCATENATE("SETEMBRO",CHAR(10),"TOTAL: ",ROUND(SUM(J3:J1048576),2))</f>
        <v>SETEMBRO
TOTAL: 48261,75</v>
      </c>
      <c r="K2" s="14" t="str">
        <f>CONCATENATE("OUTUBRO",CHAR(10),"TOTAL: ",ROUND(SUM(K3:K1048576),2))</f>
        <v>OUTUBRO
TOTAL: 17859,85</v>
      </c>
      <c r="L2" s="14" t="str">
        <f>CONCATENATE("NOVEMBRO",CHAR(10),"TOTAL: ",ROUND(SUM(L3:L1048576),2))</f>
        <v>NOVEMBRO
TOTAL: 12188,06</v>
      </c>
      <c r="M2" s="14" t="str">
        <f>CONCATENATE("DEZEMBRO",CHAR(10),"TOTAL: ",ROUND(SUM(M3:M1048576),2))</f>
        <v>DEZEMBRO
TOTAL: 35280,06</v>
      </c>
      <c r="N2" s="14" t="str">
        <f>CONCATENATE("DEC. TERCEIRO",CHAR(10),"TOTAL: ",ROUND(SUM(N3:N1048576),2))</f>
        <v>DEC. TERCEIRO
TOTAL: 0</v>
      </c>
    </row>
    <row r="3" spans="1:15" x14ac:dyDescent="0.25">
      <c r="A3" s="10" t="s">
        <v>93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1839.19</v>
      </c>
      <c r="H3" s="15">
        <v>0</v>
      </c>
      <c r="I3" s="15">
        <v>180.6</v>
      </c>
      <c r="J3" s="15">
        <v>0</v>
      </c>
      <c r="K3" s="15">
        <v>0</v>
      </c>
      <c r="L3" s="15">
        <v>0</v>
      </c>
      <c r="M3" s="15">
        <v>0</v>
      </c>
      <c r="N3" s="15" t="s">
        <v>3028</v>
      </c>
      <c r="O3" t="s">
        <v>3028</v>
      </c>
    </row>
    <row r="4" spans="1:15" x14ac:dyDescent="0.25">
      <c r="A4" s="10" t="s">
        <v>95</v>
      </c>
      <c r="B4" s="15">
        <v>0</v>
      </c>
      <c r="C4" s="15">
        <v>0</v>
      </c>
      <c r="D4" s="15">
        <v>1226.1199999999999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 t="s">
        <v>3028</v>
      </c>
      <c r="O4" t="s">
        <v>3028</v>
      </c>
    </row>
    <row r="5" spans="1:15" x14ac:dyDescent="0.25">
      <c r="A5" s="10" t="s">
        <v>109</v>
      </c>
      <c r="B5" s="15">
        <v>0</v>
      </c>
      <c r="C5" s="15">
        <v>0</v>
      </c>
      <c r="D5" s="15">
        <v>0</v>
      </c>
      <c r="E5" s="15">
        <v>0</v>
      </c>
      <c r="F5" s="15">
        <v>3773.64</v>
      </c>
      <c r="G5" s="15">
        <v>0</v>
      </c>
      <c r="H5" s="15">
        <v>0</v>
      </c>
      <c r="I5" s="15">
        <v>449.23</v>
      </c>
      <c r="J5" s="15">
        <v>0</v>
      </c>
      <c r="K5" s="15">
        <v>0</v>
      </c>
      <c r="L5" s="15">
        <v>0</v>
      </c>
      <c r="M5" s="15">
        <v>0</v>
      </c>
      <c r="N5" s="15" t="s">
        <v>3028</v>
      </c>
      <c r="O5" t="s">
        <v>3028</v>
      </c>
    </row>
    <row r="6" spans="1:15" x14ac:dyDescent="0.25">
      <c r="A6" s="10" t="s">
        <v>115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4496.1499999999996</v>
      </c>
      <c r="J6" s="15">
        <v>0</v>
      </c>
      <c r="K6" s="15">
        <v>0</v>
      </c>
      <c r="L6" s="15">
        <v>0</v>
      </c>
      <c r="M6" s="15">
        <v>0</v>
      </c>
      <c r="N6" s="15" t="s">
        <v>3028</v>
      </c>
      <c r="O6" t="s">
        <v>3028</v>
      </c>
    </row>
    <row r="7" spans="1:15" x14ac:dyDescent="0.25">
      <c r="A7" s="10" t="s">
        <v>131</v>
      </c>
      <c r="B7" s="15">
        <v>0</v>
      </c>
      <c r="C7" s="15">
        <v>0</v>
      </c>
      <c r="D7" s="15">
        <v>0</v>
      </c>
      <c r="E7" s="15">
        <v>916.27</v>
      </c>
      <c r="F7" s="15">
        <v>0.4</v>
      </c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 t="s">
        <v>3028</v>
      </c>
      <c r="O7" t="s">
        <v>3028</v>
      </c>
    </row>
    <row r="8" spans="1:15" x14ac:dyDescent="0.25">
      <c r="A8" s="10" t="s">
        <v>137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4846.3100000000004</v>
      </c>
      <c r="N8" s="15" t="s">
        <v>3028</v>
      </c>
      <c r="O8" t="s">
        <v>3028</v>
      </c>
    </row>
    <row r="9" spans="1:15" x14ac:dyDescent="0.25">
      <c r="A9" s="10" t="s">
        <v>149</v>
      </c>
      <c r="B9" s="15">
        <v>0</v>
      </c>
      <c r="C9" s="15">
        <v>0</v>
      </c>
      <c r="D9" s="15">
        <v>0</v>
      </c>
      <c r="E9" s="15">
        <v>1148.19</v>
      </c>
      <c r="F9" s="15">
        <v>3.6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 t="s">
        <v>3028</v>
      </c>
      <c r="O9" t="s">
        <v>3028</v>
      </c>
    </row>
    <row r="10" spans="1:15" x14ac:dyDescent="0.25">
      <c r="A10" s="10" t="s">
        <v>157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3585.39</v>
      </c>
      <c r="H10" s="15">
        <v>0</v>
      </c>
      <c r="I10" s="15">
        <v>676.93</v>
      </c>
      <c r="J10" s="15">
        <v>0</v>
      </c>
      <c r="K10" s="15">
        <v>0</v>
      </c>
      <c r="L10" s="15">
        <v>0</v>
      </c>
      <c r="M10" s="15">
        <v>0</v>
      </c>
      <c r="N10" s="15" t="s">
        <v>3028</v>
      </c>
      <c r="O10" t="s">
        <v>3028</v>
      </c>
    </row>
    <row r="11" spans="1:15" x14ac:dyDescent="0.25">
      <c r="A11" s="10" t="s">
        <v>184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3796.83</v>
      </c>
      <c r="H11" s="15">
        <v>0</v>
      </c>
      <c r="I11" s="15">
        <v>372.85</v>
      </c>
      <c r="J11" s="15">
        <v>0</v>
      </c>
      <c r="K11" s="15">
        <v>0</v>
      </c>
      <c r="L11" s="15">
        <v>0</v>
      </c>
      <c r="M11" s="15">
        <v>0</v>
      </c>
      <c r="N11" s="15" t="s">
        <v>3028</v>
      </c>
      <c r="O11" t="s">
        <v>3028</v>
      </c>
    </row>
    <row r="12" spans="1:15" x14ac:dyDescent="0.25">
      <c r="A12" s="10" t="s">
        <v>200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1322.88</v>
      </c>
      <c r="I12" s="15">
        <v>437.35</v>
      </c>
      <c r="J12" s="15">
        <v>0</v>
      </c>
      <c r="K12" s="15">
        <v>0</v>
      </c>
      <c r="L12" s="15">
        <v>0</v>
      </c>
      <c r="M12" s="15">
        <v>0</v>
      </c>
      <c r="N12" s="15" t="s">
        <v>3028</v>
      </c>
      <c r="O12" t="s">
        <v>3028</v>
      </c>
    </row>
    <row r="13" spans="1:15" x14ac:dyDescent="0.25">
      <c r="A13" s="10" t="s">
        <v>210</v>
      </c>
      <c r="B13" s="15">
        <v>636.91999999999996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 t="s">
        <v>3028</v>
      </c>
      <c r="O13" t="s">
        <v>3028</v>
      </c>
    </row>
    <row r="14" spans="1:15" x14ac:dyDescent="0.25">
      <c r="A14" s="10" t="s">
        <v>228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8171.6</v>
      </c>
      <c r="N14" s="15" t="s">
        <v>3028</v>
      </c>
      <c r="O14" t="s">
        <v>3028</v>
      </c>
    </row>
    <row r="15" spans="1:15" x14ac:dyDescent="0.25">
      <c r="A15" s="10" t="s">
        <v>230</v>
      </c>
      <c r="B15" s="15">
        <v>0</v>
      </c>
      <c r="C15" s="15">
        <v>0</v>
      </c>
      <c r="D15" s="15">
        <v>0</v>
      </c>
      <c r="E15" s="15">
        <v>603.16</v>
      </c>
      <c r="F15" s="15">
        <v>4.8099999999999996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 t="s">
        <v>3028</v>
      </c>
      <c r="O15" t="s">
        <v>3028</v>
      </c>
    </row>
    <row r="16" spans="1:15" x14ac:dyDescent="0.25">
      <c r="A16" s="10" t="s">
        <v>238</v>
      </c>
      <c r="B16" s="15">
        <v>0</v>
      </c>
      <c r="C16" s="15">
        <v>0</v>
      </c>
      <c r="D16" s="15">
        <v>0</v>
      </c>
      <c r="E16" s="15">
        <v>0</v>
      </c>
      <c r="F16" s="15">
        <v>4062.76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 t="s">
        <v>3028</v>
      </c>
      <c r="O16" t="s">
        <v>3028</v>
      </c>
    </row>
    <row r="17" spans="1:15" x14ac:dyDescent="0.25">
      <c r="A17" s="10" t="s">
        <v>262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1134.92</v>
      </c>
      <c r="K17" s="15">
        <v>0</v>
      </c>
      <c r="L17" s="15">
        <v>0</v>
      </c>
      <c r="M17" s="15">
        <v>0</v>
      </c>
      <c r="N17" s="15" t="s">
        <v>3028</v>
      </c>
      <c r="O17" t="s">
        <v>3028</v>
      </c>
    </row>
    <row r="18" spans="1:15" x14ac:dyDescent="0.25">
      <c r="A18" s="10" t="s">
        <v>270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6589.11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 t="s">
        <v>3028</v>
      </c>
      <c r="O18" t="s">
        <v>3028</v>
      </c>
    </row>
    <row r="19" spans="1:15" x14ac:dyDescent="0.25">
      <c r="A19" s="10" t="s">
        <v>272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4897.6899999999996</v>
      </c>
      <c r="N19" s="15" t="s">
        <v>3028</v>
      </c>
      <c r="O19" t="s">
        <v>3028</v>
      </c>
    </row>
    <row r="20" spans="1:15" x14ac:dyDescent="0.25">
      <c r="A20" s="10" t="s">
        <v>278</v>
      </c>
      <c r="B20" s="15">
        <v>0</v>
      </c>
      <c r="C20" s="15">
        <v>0</v>
      </c>
      <c r="D20" s="15">
        <v>0</v>
      </c>
      <c r="E20" s="15">
        <v>0</v>
      </c>
      <c r="F20" s="15">
        <v>0</v>
      </c>
      <c r="G20" s="15">
        <v>9541.01</v>
      </c>
      <c r="H20" s="15">
        <v>0</v>
      </c>
      <c r="I20" s="15">
        <v>949.91</v>
      </c>
      <c r="J20" s="15">
        <v>0</v>
      </c>
      <c r="K20" s="15">
        <v>0</v>
      </c>
      <c r="L20" s="15">
        <v>0</v>
      </c>
      <c r="M20" s="15">
        <v>0</v>
      </c>
      <c r="N20" s="15" t="s">
        <v>3028</v>
      </c>
      <c r="O20" t="s">
        <v>3028</v>
      </c>
    </row>
    <row r="21" spans="1:15" x14ac:dyDescent="0.25">
      <c r="A21" s="10" t="s">
        <v>288</v>
      </c>
      <c r="B21" s="15">
        <v>0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950.52</v>
      </c>
      <c r="N21" s="15" t="s">
        <v>3028</v>
      </c>
      <c r="O21" t="s">
        <v>3028</v>
      </c>
    </row>
    <row r="22" spans="1:15" x14ac:dyDescent="0.25">
      <c r="A22" s="10" t="s">
        <v>300</v>
      </c>
      <c r="B22" s="15">
        <v>0</v>
      </c>
      <c r="C22" s="15">
        <v>0</v>
      </c>
      <c r="D22" s="15">
        <v>0</v>
      </c>
      <c r="E22" s="15">
        <v>4594.92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 t="s">
        <v>3028</v>
      </c>
      <c r="O22" t="s">
        <v>3028</v>
      </c>
    </row>
    <row r="23" spans="1:15" x14ac:dyDescent="0.25">
      <c r="A23" s="10" t="s">
        <v>302</v>
      </c>
      <c r="B23" s="15">
        <v>16.100000000000001</v>
      </c>
      <c r="C23" s="15">
        <v>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2986.39</v>
      </c>
      <c r="N23" s="15" t="s">
        <v>3028</v>
      </c>
      <c r="O23" t="s">
        <v>3028</v>
      </c>
    </row>
    <row r="24" spans="1:15" x14ac:dyDescent="0.25">
      <c r="A24" s="10" t="s">
        <v>306</v>
      </c>
      <c r="B24" s="15">
        <v>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1508.63</v>
      </c>
      <c r="J24" s="15">
        <v>0</v>
      </c>
      <c r="K24" s="15">
        <v>0</v>
      </c>
      <c r="L24" s="15">
        <v>0</v>
      </c>
      <c r="M24" s="15">
        <v>0</v>
      </c>
      <c r="N24" s="15" t="s">
        <v>3028</v>
      </c>
      <c r="O24" t="s">
        <v>3028</v>
      </c>
    </row>
    <row r="25" spans="1:15" x14ac:dyDescent="0.25">
      <c r="A25" s="10" t="s">
        <v>324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3091.83</v>
      </c>
      <c r="H25" s="15">
        <v>0</v>
      </c>
      <c r="I25" s="15">
        <v>461.96</v>
      </c>
      <c r="J25" s="15">
        <v>0</v>
      </c>
      <c r="K25" s="15">
        <v>0</v>
      </c>
      <c r="L25" s="15">
        <v>0</v>
      </c>
      <c r="M25" s="15">
        <v>0</v>
      </c>
      <c r="N25" s="15" t="s">
        <v>3028</v>
      </c>
      <c r="O25" t="s">
        <v>3028</v>
      </c>
    </row>
    <row r="26" spans="1:15" x14ac:dyDescent="0.25">
      <c r="A26" s="10" t="s">
        <v>340</v>
      </c>
      <c r="B26" s="15">
        <v>0</v>
      </c>
      <c r="C26" s="15">
        <v>0</v>
      </c>
      <c r="D26" s="15">
        <v>0</v>
      </c>
      <c r="E26" s="15">
        <v>625.69000000000005</v>
      </c>
      <c r="F26" s="15">
        <v>2.86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 t="s">
        <v>3028</v>
      </c>
      <c r="O26" t="s">
        <v>3028</v>
      </c>
    </row>
    <row r="27" spans="1:15" x14ac:dyDescent="0.25">
      <c r="A27" s="10" t="s">
        <v>350</v>
      </c>
      <c r="B27" s="15">
        <v>0</v>
      </c>
      <c r="C27" s="15">
        <v>0</v>
      </c>
      <c r="D27" s="15">
        <v>0</v>
      </c>
      <c r="E27" s="15">
        <v>3796.83</v>
      </c>
      <c r="F27" s="15">
        <v>0</v>
      </c>
      <c r="G27" s="15">
        <v>0</v>
      </c>
      <c r="H27" s="15">
        <v>0</v>
      </c>
      <c r="I27" s="15">
        <v>0</v>
      </c>
      <c r="J27" s="15">
        <v>4169.68</v>
      </c>
      <c r="K27" s="15">
        <v>0</v>
      </c>
      <c r="L27" s="15">
        <v>0</v>
      </c>
      <c r="M27" s="15">
        <v>0</v>
      </c>
      <c r="N27" s="15" t="s">
        <v>3028</v>
      </c>
      <c r="O27" t="s">
        <v>3028</v>
      </c>
    </row>
    <row r="28" spans="1:15" x14ac:dyDescent="0.25">
      <c r="A28" s="10" t="s">
        <v>352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2042.04</v>
      </c>
      <c r="H28" s="15">
        <v>0</v>
      </c>
      <c r="I28" s="15">
        <v>527.83000000000004</v>
      </c>
      <c r="J28" s="15">
        <v>0</v>
      </c>
      <c r="K28" s="15">
        <v>0</v>
      </c>
      <c r="L28" s="15">
        <v>0</v>
      </c>
      <c r="M28" s="15">
        <v>0</v>
      </c>
      <c r="N28" s="15" t="s">
        <v>3028</v>
      </c>
      <c r="O28" t="s">
        <v>3028</v>
      </c>
    </row>
    <row r="29" spans="1:15" x14ac:dyDescent="0.25">
      <c r="A29" s="10" t="s">
        <v>374</v>
      </c>
      <c r="B29" s="15">
        <v>0.17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2579.91</v>
      </c>
      <c r="N29" s="15" t="s">
        <v>3028</v>
      </c>
      <c r="O29" t="s">
        <v>3028</v>
      </c>
    </row>
    <row r="30" spans="1:15" x14ac:dyDescent="0.25">
      <c r="A30" s="10" t="s">
        <v>384</v>
      </c>
      <c r="B30" s="15">
        <v>0</v>
      </c>
      <c r="C30" s="15">
        <v>0</v>
      </c>
      <c r="D30" s="15">
        <v>2393.0700000000002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 t="s">
        <v>3028</v>
      </c>
      <c r="O30" t="s">
        <v>3028</v>
      </c>
    </row>
    <row r="31" spans="1:15" x14ac:dyDescent="0.25">
      <c r="A31" s="10" t="s">
        <v>398</v>
      </c>
      <c r="B31" s="15">
        <v>0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2461.79</v>
      </c>
      <c r="I31" s="15">
        <v>240.94</v>
      </c>
      <c r="J31" s="15">
        <v>0</v>
      </c>
      <c r="K31" s="15">
        <v>0</v>
      </c>
      <c r="L31" s="15">
        <v>0</v>
      </c>
      <c r="M31" s="15">
        <v>0</v>
      </c>
      <c r="N31" s="15" t="s">
        <v>3028</v>
      </c>
      <c r="O31" t="s">
        <v>3028</v>
      </c>
    </row>
    <row r="32" spans="1:15" x14ac:dyDescent="0.25">
      <c r="A32" s="10" t="s">
        <v>400</v>
      </c>
      <c r="B32" s="15">
        <v>0</v>
      </c>
      <c r="C32" s="15">
        <v>0</v>
      </c>
      <c r="D32" s="15">
        <v>0</v>
      </c>
      <c r="E32" s="15">
        <v>1015.15</v>
      </c>
      <c r="F32" s="15">
        <v>0.1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 t="s">
        <v>3028</v>
      </c>
      <c r="O32" t="s">
        <v>3028</v>
      </c>
    </row>
    <row r="33" spans="1:15" x14ac:dyDescent="0.25">
      <c r="A33" s="10" t="s">
        <v>404</v>
      </c>
      <c r="B33" s="15">
        <v>0</v>
      </c>
      <c r="C33" s="15">
        <v>0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11314.64</v>
      </c>
      <c r="K33" s="15">
        <v>0</v>
      </c>
      <c r="L33" s="15">
        <v>0</v>
      </c>
      <c r="M33" s="15">
        <v>0</v>
      </c>
      <c r="N33" s="15" t="s">
        <v>3028</v>
      </c>
      <c r="O33" t="s">
        <v>3028</v>
      </c>
    </row>
    <row r="34" spans="1:15" x14ac:dyDescent="0.25">
      <c r="A34" s="10" t="s">
        <v>416</v>
      </c>
      <c r="B34" s="15">
        <v>0</v>
      </c>
      <c r="C34" s="15">
        <v>0</v>
      </c>
      <c r="D34" s="15">
        <v>0</v>
      </c>
      <c r="E34" s="15">
        <v>0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1746.32</v>
      </c>
      <c r="L34" s="15">
        <v>0</v>
      </c>
      <c r="M34" s="15">
        <v>0</v>
      </c>
      <c r="N34" s="15" t="s">
        <v>3028</v>
      </c>
      <c r="O34" t="s">
        <v>3028</v>
      </c>
    </row>
    <row r="35" spans="1:15" x14ac:dyDescent="0.25">
      <c r="A35" s="10" t="s">
        <v>422</v>
      </c>
      <c r="B35" s="15">
        <v>0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1267.72</v>
      </c>
      <c r="M35" s="15">
        <v>0</v>
      </c>
      <c r="N35" s="15" t="s">
        <v>3028</v>
      </c>
      <c r="O35" t="s">
        <v>3028</v>
      </c>
    </row>
    <row r="36" spans="1:15" x14ac:dyDescent="0.25">
      <c r="A36" s="10" t="s">
        <v>426</v>
      </c>
      <c r="B36" s="15">
        <v>0</v>
      </c>
      <c r="C36" s="15">
        <v>5578.17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 t="s">
        <v>3028</v>
      </c>
      <c r="O36" t="s">
        <v>3028</v>
      </c>
    </row>
    <row r="37" spans="1:15" x14ac:dyDescent="0.25">
      <c r="A37" s="10" t="s">
        <v>432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1530.71</v>
      </c>
      <c r="K37" s="15">
        <v>0</v>
      </c>
      <c r="L37" s="15">
        <v>0</v>
      </c>
      <c r="M37" s="15">
        <v>0</v>
      </c>
      <c r="N37" s="15" t="s">
        <v>3028</v>
      </c>
      <c r="O37" t="s">
        <v>3028</v>
      </c>
    </row>
    <row r="38" spans="1:15" x14ac:dyDescent="0.25">
      <c r="A38" s="10" t="s">
        <v>438</v>
      </c>
      <c r="B38" s="15">
        <v>0</v>
      </c>
      <c r="C38" s="15">
        <v>0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1825.67</v>
      </c>
      <c r="K38" s="15">
        <v>0</v>
      </c>
      <c r="L38" s="15">
        <v>0</v>
      </c>
      <c r="M38" s="15">
        <v>0</v>
      </c>
      <c r="N38" s="15" t="s">
        <v>3028</v>
      </c>
      <c r="O38" t="s">
        <v>3028</v>
      </c>
    </row>
    <row r="39" spans="1:15" x14ac:dyDescent="0.25">
      <c r="A39" s="10" t="s">
        <v>468</v>
      </c>
      <c r="B39" s="15">
        <v>0</v>
      </c>
      <c r="C39" s="15">
        <v>0</v>
      </c>
      <c r="D39" s="15">
        <v>0</v>
      </c>
      <c r="E39" s="15">
        <v>0</v>
      </c>
      <c r="F39" s="15">
        <v>0</v>
      </c>
      <c r="G39" s="15">
        <v>0</v>
      </c>
      <c r="H39" s="15">
        <v>1929.88</v>
      </c>
      <c r="I39" s="15">
        <v>186.48</v>
      </c>
      <c r="J39" s="15">
        <v>0</v>
      </c>
      <c r="K39" s="15">
        <v>0</v>
      </c>
      <c r="L39" s="15">
        <v>0</v>
      </c>
      <c r="M39" s="15">
        <v>0</v>
      </c>
      <c r="N39" s="15" t="s">
        <v>3028</v>
      </c>
      <c r="O39" t="s">
        <v>3028</v>
      </c>
    </row>
    <row r="40" spans="1:15" x14ac:dyDescent="0.25">
      <c r="A40" s="10" t="s">
        <v>472</v>
      </c>
      <c r="B40" s="15">
        <v>0</v>
      </c>
      <c r="C40" s="15">
        <v>0</v>
      </c>
      <c r="D40" s="15">
        <v>0</v>
      </c>
      <c r="E40" s="15">
        <v>0</v>
      </c>
      <c r="F40" s="15">
        <v>4084.77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 t="s">
        <v>3028</v>
      </c>
      <c r="O40" t="s">
        <v>3028</v>
      </c>
    </row>
    <row r="41" spans="1:15" x14ac:dyDescent="0.25">
      <c r="A41" s="10" t="s">
        <v>492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4008.43</v>
      </c>
      <c r="L41" s="15">
        <v>0</v>
      </c>
      <c r="M41" s="15">
        <v>0</v>
      </c>
      <c r="N41" s="15" t="s">
        <v>3028</v>
      </c>
      <c r="O41" t="s">
        <v>3028</v>
      </c>
    </row>
    <row r="42" spans="1:15" x14ac:dyDescent="0.25">
      <c r="A42" s="10" t="s">
        <v>85</v>
      </c>
      <c r="B42" s="15">
        <v>0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9169.7099999999991</v>
      </c>
      <c r="J42" s="15">
        <v>0</v>
      </c>
      <c r="K42" s="15">
        <v>0</v>
      </c>
      <c r="L42" s="15">
        <v>0</v>
      </c>
      <c r="M42" s="15">
        <v>0</v>
      </c>
      <c r="N42" s="15" t="s">
        <v>3028</v>
      </c>
      <c r="O42" t="s">
        <v>3028</v>
      </c>
    </row>
    <row r="43" spans="1:15" x14ac:dyDescent="0.25">
      <c r="A43" s="10" t="s">
        <v>512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9169.7099999999991</v>
      </c>
      <c r="L43" s="15">
        <v>0</v>
      </c>
      <c r="M43" s="15">
        <v>0</v>
      </c>
      <c r="N43" s="15" t="s">
        <v>3028</v>
      </c>
      <c r="O43" t="s">
        <v>3028</v>
      </c>
    </row>
    <row r="44" spans="1:15" x14ac:dyDescent="0.25">
      <c r="A44" s="10" t="s">
        <v>530</v>
      </c>
      <c r="B44" s="15">
        <v>0</v>
      </c>
      <c r="C44" s="15">
        <v>0</v>
      </c>
      <c r="D44" s="15">
        <v>0</v>
      </c>
      <c r="E44" s="15">
        <v>1155.04</v>
      </c>
      <c r="F44" s="15">
        <v>3.67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 t="s">
        <v>3028</v>
      </c>
      <c r="O44" t="s">
        <v>3028</v>
      </c>
    </row>
    <row r="45" spans="1:15" x14ac:dyDescent="0.25">
      <c r="A45" s="10" t="s">
        <v>532</v>
      </c>
      <c r="B45" s="15">
        <v>0</v>
      </c>
      <c r="C45" s="15">
        <v>1598.83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  <c r="N45" s="15" t="s">
        <v>3028</v>
      </c>
      <c r="O45" t="s">
        <v>3028</v>
      </c>
    </row>
    <row r="46" spans="1:15" x14ac:dyDescent="0.25">
      <c r="A46" s="10" t="s">
        <v>534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2237.23</v>
      </c>
      <c r="K46" s="15">
        <v>0</v>
      </c>
      <c r="L46" s="15">
        <v>0</v>
      </c>
      <c r="M46" s="15">
        <v>0</v>
      </c>
      <c r="N46" s="15" t="s">
        <v>3028</v>
      </c>
      <c r="O46" t="s">
        <v>3028</v>
      </c>
    </row>
    <row r="47" spans="1:15" x14ac:dyDescent="0.25">
      <c r="A47" s="10" t="s">
        <v>552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1456.67</v>
      </c>
      <c r="K47" s="15">
        <v>0</v>
      </c>
      <c r="L47" s="15">
        <v>0</v>
      </c>
      <c r="M47" s="15">
        <v>0</v>
      </c>
      <c r="N47" s="15" t="s">
        <v>3028</v>
      </c>
      <c r="O47" t="s">
        <v>3028</v>
      </c>
    </row>
    <row r="48" spans="1:15" x14ac:dyDescent="0.25">
      <c r="A48" s="10" t="s">
        <v>560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4493.3500000000004</v>
      </c>
      <c r="M48" s="15">
        <v>0</v>
      </c>
      <c r="N48" s="15" t="s">
        <v>3028</v>
      </c>
      <c r="O48" t="s">
        <v>3028</v>
      </c>
    </row>
    <row r="49" spans="1:15" x14ac:dyDescent="0.25">
      <c r="A49" s="10" t="s">
        <v>562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1349.8</v>
      </c>
      <c r="J49" s="15">
        <v>0</v>
      </c>
      <c r="K49" s="15">
        <v>0</v>
      </c>
      <c r="L49" s="15">
        <v>0</v>
      </c>
      <c r="M49" s="15">
        <v>0</v>
      </c>
      <c r="N49" s="15" t="s">
        <v>3028</v>
      </c>
      <c r="O49" t="s">
        <v>3028</v>
      </c>
    </row>
    <row r="50" spans="1:15" x14ac:dyDescent="0.25">
      <c r="A50" s="10" t="s">
        <v>564</v>
      </c>
      <c r="B50" s="15">
        <v>0</v>
      </c>
      <c r="C50" s="15">
        <v>0</v>
      </c>
      <c r="D50" s="15">
        <v>0</v>
      </c>
      <c r="E50" s="15">
        <v>823.07</v>
      </c>
      <c r="F50" s="15">
        <v>0.77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 t="s">
        <v>3028</v>
      </c>
      <c r="O50" t="s">
        <v>3028</v>
      </c>
    </row>
    <row r="51" spans="1:15" x14ac:dyDescent="0.25">
      <c r="A51" s="10" t="s">
        <v>576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2290.23</v>
      </c>
      <c r="N51" s="15" t="s">
        <v>3028</v>
      </c>
      <c r="O51" t="s">
        <v>3028</v>
      </c>
    </row>
    <row r="52" spans="1:15" x14ac:dyDescent="0.25">
      <c r="A52" s="10" t="s">
        <v>592</v>
      </c>
      <c r="B52" s="15">
        <v>0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7551.08</v>
      </c>
      <c r="I52" s="15">
        <v>480.09</v>
      </c>
      <c r="J52" s="15">
        <v>0</v>
      </c>
      <c r="K52" s="15">
        <v>0</v>
      </c>
      <c r="L52" s="15">
        <v>0</v>
      </c>
      <c r="M52" s="15">
        <v>0</v>
      </c>
      <c r="N52" s="15" t="s">
        <v>3028</v>
      </c>
      <c r="O52" t="s">
        <v>3028</v>
      </c>
    </row>
    <row r="53" spans="1:15" x14ac:dyDescent="0.25">
      <c r="A53" s="10" t="s">
        <v>594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8685.67</v>
      </c>
      <c r="K53" s="15">
        <v>0</v>
      </c>
      <c r="L53" s="15">
        <v>0</v>
      </c>
      <c r="M53" s="15">
        <v>0</v>
      </c>
      <c r="N53" s="15" t="s">
        <v>3028</v>
      </c>
      <c r="O53" t="s">
        <v>3028</v>
      </c>
    </row>
    <row r="54" spans="1:15" x14ac:dyDescent="0.25">
      <c r="A54" s="10" t="s">
        <v>596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3796.65</v>
      </c>
      <c r="H54" s="15">
        <v>0</v>
      </c>
      <c r="I54" s="15">
        <v>367.44</v>
      </c>
      <c r="J54" s="15">
        <v>0</v>
      </c>
      <c r="K54" s="15">
        <v>0</v>
      </c>
      <c r="L54" s="15">
        <v>0</v>
      </c>
      <c r="M54" s="15">
        <v>0</v>
      </c>
      <c r="N54" s="15" t="s">
        <v>3028</v>
      </c>
      <c r="O54" t="s">
        <v>3028</v>
      </c>
    </row>
    <row r="55" spans="1:15" x14ac:dyDescent="0.25">
      <c r="A55" s="10" t="s">
        <v>598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1163.57</v>
      </c>
      <c r="L55" s="15">
        <v>0</v>
      </c>
      <c r="M55" s="15">
        <v>0</v>
      </c>
      <c r="N55" s="15" t="s">
        <v>3028</v>
      </c>
      <c r="O55" t="s">
        <v>3028</v>
      </c>
    </row>
    <row r="56" spans="1:15" x14ac:dyDescent="0.25">
      <c r="A56" s="10" t="s">
        <v>612</v>
      </c>
      <c r="B56" s="15">
        <v>0</v>
      </c>
      <c r="C56" s="15">
        <v>0</v>
      </c>
      <c r="D56" s="15">
        <v>0</v>
      </c>
      <c r="E56" s="15">
        <v>1237.53</v>
      </c>
      <c r="F56" s="15">
        <v>0.03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 t="s">
        <v>3028</v>
      </c>
      <c r="O56" t="s">
        <v>3028</v>
      </c>
    </row>
    <row r="57" spans="1:15" x14ac:dyDescent="0.25">
      <c r="A57" s="10" t="s">
        <v>616</v>
      </c>
      <c r="B57" s="15">
        <v>0</v>
      </c>
      <c r="C57" s="15">
        <v>0</v>
      </c>
      <c r="D57" s="15">
        <v>0</v>
      </c>
      <c r="E57" s="15">
        <v>0</v>
      </c>
      <c r="F57" s="15">
        <v>0</v>
      </c>
      <c r="G57" s="15">
        <v>3796.83</v>
      </c>
      <c r="H57" s="15">
        <v>0</v>
      </c>
      <c r="I57" s="15">
        <v>0</v>
      </c>
      <c r="J57" s="15">
        <v>372.85</v>
      </c>
      <c r="K57" s="15">
        <v>0</v>
      </c>
      <c r="L57" s="15">
        <v>0</v>
      </c>
      <c r="M57" s="15">
        <v>0</v>
      </c>
      <c r="N57" s="15" t="s">
        <v>3028</v>
      </c>
      <c r="O57" t="s">
        <v>3028</v>
      </c>
    </row>
    <row r="58" spans="1:15" x14ac:dyDescent="0.25">
      <c r="A58" s="10" t="s">
        <v>620</v>
      </c>
      <c r="B58" s="15">
        <v>0</v>
      </c>
      <c r="C58" s="15">
        <v>0</v>
      </c>
      <c r="D58" s="15">
        <v>0</v>
      </c>
      <c r="E58" s="15">
        <v>697.83</v>
      </c>
      <c r="F58" s="15">
        <v>1.84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 t="s">
        <v>3028</v>
      </c>
      <c r="O58" t="s">
        <v>3028</v>
      </c>
    </row>
    <row r="59" spans="1:15" x14ac:dyDescent="0.25">
      <c r="A59" s="10" t="s">
        <v>638</v>
      </c>
      <c r="B59" s="15">
        <v>0</v>
      </c>
      <c r="C59" s="15">
        <v>0</v>
      </c>
      <c r="D59" s="15">
        <v>0</v>
      </c>
      <c r="E59" s="15">
        <v>1411.39</v>
      </c>
      <c r="F59" s="15">
        <v>8.1300000000000008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 t="s">
        <v>3028</v>
      </c>
      <c r="O59" t="s">
        <v>3028</v>
      </c>
    </row>
    <row r="60" spans="1:15" x14ac:dyDescent="0.25">
      <c r="A60" s="10" t="s">
        <v>646</v>
      </c>
      <c r="B60" s="15">
        <v>0</v>
      </c>
      <c r="C60" s="15">
        <v>0</v>
      </c>
      <c r="D60" s="15">
        <v>0</v>
      </c>
      <c r="E60" s="15">
        <v>0</v>
      </c>
      <c r="F60" s="15">
        <v>2896.43</v>
      </c>
      <c r="G60" s="15">
        <v>0</v>
      </c>
      <c r="H60" s="15">
        <v>0</v>
      </c>
      <c r="I60" s="15">
        <v>287.61</v>
      </c>
      <c r="J60" s="15">
        <v>0</v>
      </c>
      <c r="K60" s="15">
        <v>0</v>
      </c>
      <c r="L60" s="15">
        <v>0</v>
      </c>
      <c r="M60" s="15">
        <v>3146.15</v>
      </c>
      <c r="N60" s="15" t="s">
        <v>3028</v>
      </c>
      <c r="O60" t="s">
        <v>3028</v>
      </c>
    </row>
    <row r="61" spans="1:15" x14ac:dyDescent="0.25">
      <c r="A61" s="10" t="s">
        <v>652</v>
      </c>
      <c r="B61" s="15">
        <v>0</v>
      </c>
      <c r="C61" s="15">
        <v>0</v>
      </c>
      <c r="D61" s="15">
        <v>0</v>
      </c>
      <c r="E61" s="15">
        <v>0</v>
      </c>
      <c r="F61" s="15">
        <v>1128.49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 t="s">
        <v>3028</v>
      </c>
      <c r="O61" t="s">
        <v>3028</v>
      </c>
    </row>
    <row r="62" spans="1:15" x14ac:dyDescent="0.25">
      <c r="A62" s="10" t="s">
        <v>656</v>
      </c>
      <c r="B62" s="15">
        <v>0</v>
      </c>
      <c r="C62" s="15">
        <v>0</v>
      </c>
      <c r="D62" s="15">
        <v>0</v>
      </c>
      <c r="E62" s="15">
        <v>1169.31</v>
      </c>
      <c r="F62" s="15">
        <v>5.88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 t="s">
        <v>3028</v>
      </c>
      <c r="O62" t="s">
        <v>3028</v>
      </c>
    </row>
    <row r="63" spans="1:15" x14ac:dyDescent="0.25">
      <c r="A63" s="10" t="s">
        <v>668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10543.63</v>
      </c>
      <c r="K63" s="15">
        <v>0</v>
      </c>
      <c r="L63" s="15">
        <v>0</v>
      </c>
      <c r="M63" s="15">
        <v>0</v>
      </c>
      <c r="N63" s="15" t="s">
        <v>3028</v>
      </c>
      <c r="O63" t="s">
        <v>3028</v>
      </c>
    </row>
    <row r="64" spans="1:15" x14ac:dyDescent="0.25">
      <c r="A64" s="10" t="s">
        <v>672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2269.8000000000002</v>
      </c>
      <c r="H64" s="15">
        <v>0</v>
      </c>
      <c r="I64" s="15">
        <v>221.88</v>
      </c>
      <c r="J64" s="15">
        <v>0</v>
      </c>
      <c r="K64" s="15">
        <v>0</v>
      </c>
      <c r="L64" s="15">
        <v>0</v>
      </c>
      <c r="M64" s="15">
        <v>0</v>
      </c>
      <c r="N64" s="15" t="s">
        <v>3028</v>
      </c>
      <c r="O64" t="s">
        <v>3028</v>
      </c>
    </row>
    <row r="65" spans="1:15" x14ac:dyDescent="0.25">
      <c r="A65" s="10" t="s">
        <v>678</v>
      </c>
      <c r="B65" s="15">
        <v>0</v>
      </c>
      <c r="C65" s="15">
        <v>0</v>
      </c>
      <c r="D65" s="15">
        <v>4091.55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 t="s">
        <v>3028</v>
      </c>
      <c r="O65" t="s">
        <v>3028</v>
      </c>
    </row>
    <row r="66" spans="1:15" x14ac:dyDescent="0.25">
      <c r="A66" s="10" t="s">
        <v>693</v>
      </c>
      <c r="B66" s="15">
        <v>0</v>
      </c>
      <c r="C66" s="15">
        <v>0</v>
      </c>
      <c r="D66" s="15">
        <v>0</v>
      </c>
      <c r="E66" s="15">
        <v>0</v>
      </c>
      <c r="F66" s="15">
        <v>0</v>
      </c>
      <c r="G66" s="15">
        <v>1012.95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 t="s">
        <v>3028</v>
      </c>
      <c r="O66" t="s">
        <v>3028</v>
      </c>
    </row>
    <row r="67" spans="1:15" x14ac:dyDescent="0.25">
      <c r="A67" s="10" t="s">
        <v>703</v>
      </c>
      <c r="B67" s="15">
        <v>0</v>
      </c>
      <c r="C67" s="15">
        <v>0</v>
      </c>
      <c r="D67" s="15">
        <v>0</v>
      </c>
      <c r="E67" s="15">
        <v>0</v>
      </c>
      <c r="F67" s="15">
        <v>0</v>
      </c>
      <c r="G67" s="15">
        <v>0</v>
      </c>
      <c r="H67" s="15">
        <v>3558.2</v>
      </c>
      <c r="I67" s="15">
        <v>467.24</v>
      </c>
      <c r="J67" s="15">
        <v>0</v>
      </c>
      <c r="K67" s="15">
        <v>0</v>
      </c>
      <c r="L67" s="15">
        <v>0</v>
      </c>
      <c r="M67" s="15">
        <v>0</v>
      </c>
      <c r="N67" s="15" t="s">
        <v>3028</v>
      </c>
      <c r="O67" t="s">
        <v>3028</v>
      </c>
    </row>
    <row r="68" spans="1:15" x14ac:dyDescent="0.25">
      <c r="A68" s="10" t="s">
        <v>722</v>
      </c>
      <c r="B68" s="15">
        <v>0</v>
      </c>
      <c r="C68" s="15">
        <v>0</v>
      </c>
      <c r="D68" s="15">
        <v>0</v>
      </c>
      <c r="E68" s="15">
        <v>864.03</v>
      </c>
      <c r="F68" s="15">
        <v>3.64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 t="s">
        <v>3028</v>
      </c>
      <c r="O68" t="s">
        <v>3028</v>
      </c>
    </row>
    <row r="69" spans="1:15" x14ac:dyDescent="0.25">
      <c r="A69" s="10" t="s">
        <v>726</v>
      </c>
      <c r="B69" s="15">
        <v>0</v>
      </c>
      <c r="C69" s="15">
        <v>0</v>
      </c>
      <c r="D69" s="15">
        <v>0</v>
      </c>
      <c r="E69" s="15">
        <v>0</v>
      </c>
      <c r="F69" s="15">
        <v>1008.83</v>
      </c>
      <c r="G69" s="15">
        <v>0</v>
      </c>
      <c r="H69" s="15">
        <v>0</v>
      </c>
      <c r="I69" s="15">
        <v>6.16</v>
      </c>
      <c r="J69" s="15">
        <v>0</v>
      </c>
      <c r="K69" s="15">
        <v>0</v>
      </c>
      <c r="L69" s="15">
        <v>0</v>
      </c>
      <c r="M69" s="15">
        <v>0</v>
      </c>
      <c r="N69" s="15" t="s">
        <v>3028</v>
      </c>
      <c r="O69" t="s">
        <v>3028</v>
      </c>
    </row>
    <row r="70" spans="1:15" x14ac:dyDescent="0.25">
      <c r="A70" s="10" t="s">
        <v>730</v>
      </c>
      <c r="B70" s="15">
        <v>0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4539.1899999999996</v>
      </c>
      <c r="J70" s="15">
        <v>0</v>
      </c>
      <c r="K70" s="15">
        <v>0</v>
      </c>
      <c r="L70" s="15">
        <v>0</v>
      </c>
      <c r="M70" s="15">
        <v>0</v>
      </c>
      <c r="N70" s="15" t="s">
        <v>3028</v>
      </c>
      <c r="O70" t="s">
        <v>3028</v>
      </c>
    </row>
    <row r="71" spans="1:15" x14ac:dyDescent="0.25">
      <c r="A71" s="10" t="s">
        <v>736</v>
      </c>
      <c r="B71" s="15">
        <v>2331.41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 t="s">
        <v>3028</v>
      </c>
      <c r="O71" t="s">
        <v>3028</v>
      </c>
    </row>
    <row r="72" spans="1:15" x14ac:dyDescent="0.25">
      <c r="A72" s="10" t="s">
        <v>740</v>
      </c>
      <c r="B72" s="15">
        <v>0</v>
      </c>
      <c r="C72" s="15">
        <v>0</v>
      </c>
      <c r="D72" s="15">
        <v>0</v>
      </c>
      <c r="E72" s="15">
        <v>1147.95</v>
      </c>
      <c r="F72" s="15">
        <v>14.85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 t="s">
        <v>3028</v>
      </c>
      <c r="O72" t="s">
        <v>3028</v>
      </c>
    </row>
    <row r="73" spans="1:15" x14ac:dyDescent="0.25">
      <c r="A73" s="10" t="s">
        <v>746</v>
      </c>
      <c r="B73" s="15">
        <v>2135.88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1452.97</v>
      </c>
      <c r="M73" s="15">
        <v>0</v>
      </c>
      <c r="N73" s="15" t="s">
        <v>3028</v>
      </c>
      <c r="O73" t="s">
        <v>3028</v>
      </c>
    </row>
    <row r="74" spans="1:15" x14ac:dyDescent="0.25">
      <c r="A74" s="10" t="s">
        <v>748</v>
      </c>
      <c r="B74" s="15">
        <v>32.409999999999997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906.61</v>
      </c>
      <c r="M74" s="15">
        <v>0</v>
      </c>
      <c r="N74" s="15" t="s">
        <v>3028</v>
      </c>
      <c r="O74" t="s">
        <v>3028</v>
      </c>
    </row>
    <row r="75" spans="1:15" x14ac:dyDescent="0.25">
      <c r="A75" s="10" t="s">
        <v>752</v>
      </c>
      <c r="B75" s="15">
        <v>0</v>
      </c>
      <c r="C75" s="15">
        <v>0</v>
      </c>
      <c r="D75" s="15">
        <v>0</v>
      </c>
      <c r="E75" s="15">
        <v>0</v>
      </c>
      <c r="F75" s="15">
        <v>0</v>
      </c>
      <c r="G75" s="15">
        <v>0</v>
      </c>
      <c r="H75" s="15">
        <v>1231.32</v>
      </c>
      <c r="I75" s="15">
        <v>120.88</v>
      </c>
      <c r="J75" s="15">
        <v>0</v>
      </c>
      <c r="K75" s="15">
        <v>0</v>
      </c>
      <c r="L75" s="15">
        <v>0</v>
      </c>
      <c r="M75" s="15">
        <v>0</v>
      </c>
      <c r="N75" s="15" t="s">
        <v>3028</v>
      </c>
      <c r="O75" t="s">
        <v>3028</v>
      </c>
    </row>
    <row r="76" spans="1:15" x14ac:dyDescent="0.25">
      <c r="A76" s="10" t="s">
        <v>766</v>
      </c>
      <c r="B76" s="15">
        <v>0</v>
      </c>
      <c r="C76" s="15">
        <v>0</v>
      </c>
      <c r="D76" s="15">
        <v>0</v>
      </c>
      <c r="E76" s="15">
        <v>823.68</v>
      </c>
      <c r="F76" s="15">
        <v>37.130000000000003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 t="s">
        <v>3028</v>
      </c>
      <c r="O76" t="s">
        <v>3028</v>
      </c>
    </row>
    <row r="77" spans="1:15" x14ac:dyDescent="0.25">
      <c r="A77" s="10" t="s">
        <v>770</v>
      </c>
      <c r="B77" s="15">
        <v>33.22</v>
      </c>
      <c r="C77" s="15">
        <v>0</v>
      </c>
      <c r="D77" s="15">
        <v>0</v>
      </c>
      <c r="E77" s="15">
        <v>0</v>
      </c>
      <c r="F77" s="15">
        <v>0</v>
      </c>
      <c r="G77" s="15">
        <v>2500.17</v>
      </c>
      <c r="H77" s="15">
        <v>0</v>
      </c>
      <c r="I77" s="15">
        <v>0.12</v>
      </c>
      <c r="J77" s="15">
        <v>0</v>
      </c>
      <c r="K77" s="15">
        <v>0</v>
      </c>
      <c r="L77" s="15">
        <v>0</v>
      </c>
      <c r="M77" s="15">
        <v>0</v>
      </c>
      <c r="N77" s="15" t="s">
        <v>3028</v>
      </c>
      <c r="O77" t="s">
        <v>3028</v>
      </c>
    </row>
    <row r="78" spans="1:15" x14ac:dyDescent="0.25">
      <c r="A78" s="10" t="s">
        <v>778</v>
      </c>
      <c r="B78" s="15">
        <v>0</v>
      </c>
      <c r="C78" s="15">
        <v>0</v>
      </c>
      <c r="D78" s="15">
        <v>4091.55</v>
      </c>
      <c r="E78" s="15">
        <v>0</v>
      </c>
      <c r="F78" s="15">
        <v>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 t="s">
        <v>3028</v>
      </c>
      <c r="O78" t="s">
        <v>3028</v>
      </c>
    </row>
    <row r="79" spans="1:15" x14ac:dyDescent="0.25">
      <c r="A79" s="10" t="s">
        <v>790</v>
      </c>
      <c r="B79" s="15">
        <v>0</v>
      </c>
      <c r="C79" s="15">
        <v>0</v>
      </c>
      <c r="D79" s="15">
        <v>0</v>
      </c>
      <c r="E79" s="15">
        <v>598.11</v>
      </c>
      <c r="F79" s="15">
        <v>0.44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 t="s">
        <v>3028</v>
      </c>
      <c r="O79" t="s">
        <v>3028</v>
      </c>
    </row>
    <row r="80" spans="1:15" x14ac:dyDescent="0.25">
      <c r="A80" s="10" t="s">
        <v>809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1341.4</v>
      </c>
      <c r="I80" s="15">
        <v>131.72999999999999</v>
      </c>
      <c r="J80" s="15">
        <v>0</v>
      </c>
      <c r="K80" s="15">
        <v>0</v>
      </c>
      <c r="L80" s="15">
        <v>0</v>
      </c>
      <c r="M80" s="15">
        <v>0</v>
      </c>
      <c r="N80" s="15" t="s">
        <v>3028</v>
      </c>
      <c r="O80" t="s">
        <v>3028</v>
      </c>
    </row>
    <row r="81" spans="1:15" x14ac:dyDescent="0.25">
      <c r="A81" s="10" t="s">
        <v>830</v>
      </c>
      <c r="B81" s="15">
        <v>0</v>
      </c>
      <c r="C81" s="15">
        <v>0</v>
      </c>
      <c r="D81" s="15">
        <v>0</v>
      </c>
      <c r="E81" s="15">
        <v>1154.9100000000001</v>
      </c>
      <c r="F81" s="15">
        <v>5.5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  <c r="N81" s="15" t="s">
        <v>3028</v>
      </c>
      <c r="O81" t="s">
        <v>3028</v>
      </c>
    </row>
    <row r="82" spans="1:15" x14ac:dyDescent="0.25">
      <c r="A82" s="10" t="s">
        <v>832</v>
      </c>
      <c r="B82" s="15">
        <v>0</v>
      </c>
      <c r="C82" s="15">
        <v>0</v>
      </c>
      <c r="D82" s="15">
        <v>0</v>
      </c>
      <c r="E82" s="15">
        <v>3667.55</v>
      </c>
      <c r="F82" s="15">
        <v>14.8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 t="s">
        <v>3028</v>
      </c>
      <c r="O82" t="s">
        <v>3028</v>
      </c>
    </row>
    <row r="83" spans="1:15" x14ac:dyDescent="0.25">
      <c r="A83" s="10" t="s">
        <v>838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1496.64</v>
      </c>
      <c r="J83" s="15">
        <v>0</v>
      </c>
      <c r="K83" s="15">
        <v>0</v>
      </c>
      <c r="L83" s="15">
        <v>0</v>
      </c>
      <c r="M83" s="15">
        <v>0</v>
      </c>
      <c r="N83" s="15" t="s">
        <v>3028</v>
      </c>
      <c r="O83" t="s">
        <v>3028</v>
      </c>
    </row>
    <row r="84" spans="1:15" x14ac:dyDescent="0.25">
      <c r="A84" s="10" t="s">
        <v>844</v>
      </c>
      <c r="B84" s="15">
        <v>0</v>
      </c>
      <c r="C84" s="15">
        <v>0</v>
      </c>
      <c r="D84" s="15">
        <v>0</v>
      </c>
      <c r="E84" s="15">
        <v>876.41</v>
      </c>
      <c r="F84" s="15">
        <v>0.12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 t="s">
        <v>3028</v>
      </c>
      <c r="O84" t="s">
        <v>3028</v>
      </c>
    </row>
    <row r="85" spans="1:15" x14ac:dyDescent="0.25">
      <c r="A85" s="10" t="s">
        <v>866</v>
      </c>
      <c r="B85" s="15">
        <v>0</v>
      </c>
      <c r="C85" s="15">
        <v>0</v>
      </c>
      <c r="D85" s="15">
        <v>0</v>
      </c>
      <c r="E85" s="15">
        <v>1336.41</v>
      </c>
      <c r="F85" s="15">
        <v>5.94</v>
      </c>
      <c r="G85" s="15">
        <v>0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 t="s">
        <v>3028</v>
      </c>
      <c r="O85" t="s">
        <v>3028</v>
      </c>
    </row>
    <row r="86" spans="1:15" x14ac:dyDescent="0.25">
      <c r="A86" s="10" t="s">
        <v>870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1121.75</v>
      </c>
      <c r="N86" s="15" t="s">
        <v>3028</v>
      </c>
      <c r="O86" t="s">
        <v>3028</v>
      </c>
    </row>
    <row r="87" spans="1:15" x14ac:dyDescent="0.25">
      <c r="A87" s="10" t="s">
        <v>872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0</v>
      </c>
      <c r="I87" s="15">
        <v>3183.69</v>
      </c>
      <c r="J87" s="15">
        <v>0</v>
      </c>
      <c r="K87" s="15">
        <v>0</v>
      </c>
      <c r="L87" s="15">
        <v>0</v>
      </c>
      <c r="M87" s="15">
        <v>0</v>
      </c>
      <c r="N87" s="15" t="s">
        <v>3028</v>
      </c>
      <c r="O87" t="s">
        <v>3028</v>
      </c>
    </row>
    <row r="88" spans="1:15" x14ac:dyDescent="0.25">
      <c r="A88" s="10" t="s">
        <v>888</v>
      </c>
      <c r="B88" s="15">
        <v>0</v>
      </c>
      <c r="C88" s="15">
        <v>0</v>
      </c>
      <c r="D88" s="15">
        <v>0</v>
      </c>
      <c r="E88" s="15">
        <v>604.91</v>
      </c>
      <c r="F88" s="15">
        <v>4.2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 t="s">
        <v>3028</v>
      </c>
      <c r="O88" t="s">
        <v>3028</v>
      </c>
    </row>
    <row r="89" spans="1:15" x14ac:dyDescent="0.25">
      <c r="A89" s="10" t="s">
        <v>904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0</v>
      </c>
      <c r="H89" s="15">
        <v>827.11</v>
      </c>
      <c r="I89" s="15">
        <v>77.17</v>
      </c>
      <c r="J89" s="15">
        <v>0</v>
      </c>
      <c r="K89" s="15">
        <v>0</v>
      </c>
      <c r="L89" s="15">
        <v>0</v>
      </c>
      <c r="M89" s="15">
        <v>0</v>
      </c>
      <c r="N89" s="15" t="s">
        <v>3028</v>
      </c>
      <c r="O89" t="s">
        <v>3028</v>
      </c>
    </row>
    <row r="90" spans="1:15" x14ac:dyDescent="0.25">
      <c r="A90" s="10" t="s">
        <v>906</v>
      </c>
      <c r="B90" s="15">
        <v>0</v>
      </c>
      <c r="C90" s="15">
        <v>0</v>
      </c>
      <c r="D90" s="15">
        <v>0</v>
      </c>
      <c r="E90" s="15">
        <v>0</v>
      </c>
      <c r="F90" s="15">
        <v>1486.55</v>
      </c>
      <c r="G90" s="15">
        <v>0</v>
      </c>
      <c r="H90" s="15">
        <v>0</v>
      </c>
      <c r="I90" s="15">
        <v>25.96</v>
      </c>
      <c r="J90" s="15">
        <v>0</v>
      </c>
      <c r="K90" s="15">
        <v>0</v>
      </c>
      <c r="L90" s="15">
        <v>0</v>
      </c>
      <c r="M90" s="15">
        <v>0</v>
      </c>
      <c r="N90" s="15" t="s">
        <v>3028</v>
      </c>
      <c r="O90" t="s">
        <v>3028</v>
      </c>
    </row>
    <row r="91" spans="1:15" x14ac:dyDescent="0.25">
      <c r="A91" s="10" t="s">
        <v>934</v>
      </c>
      <c r="B91" s="15">
        <v>0</v>
      </c>
      <c r="C91" s="15">
        <v>0</v>
      </c>
      <c r="D91" s="15">
        <v>1537.52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0</v>
      </c>
      <c r="K91" s="15">
        <v>0</v>
      </c>
      <c r="L91" s="15">
        <v>0</v>
      </c>
      <c r="M91" s="15">
        <v>1605.93</v>
      </c>
      <c r="N91" s="15" t="s">
        <v>3028</v>
      </c>
      <c r="O91" t="s">
        <v>3028</v>
      </c>
    </row>
    <row r="92" spans="1:15" x14ac:dyDescent="0.25">
      <c r="A92" s="10" t="s">
        <v>936</v>
      </c>
      <c r="B92" s="15">
        <v>0</v>
      </c>
      <c r="C92" s="15">
        <v>0</v>
      </c>
      <c r="D92" s="15">
        <v>0</v>
      </c>
      <c r="E92" s="15">
        <v>1193.8900000000001</v>
      </c>
      <c r="F92" s="15">
        <v>6.16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 t="s">
        <v>3028</v>
      </c>
      <c r="O92" t="s">
        <v>3028</v>
      </c>
    </row>
    <row r="93" spans="1:15" x14ac:dyDescent="0.25">
      <c r="A93" s="10" t="s">
        <v>968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1307.07</v>
      </c>
      <c r="H93" s="15">
        <v>0</v>
      </c>
      <c r="I93" s="15">
        <v>125.37</v>
      </c>
      <c r="J93" s="15">
        <v>0</v>
      </c>
      <c r="K93" s="15">
        <v>0</v>
      </c>
      <c r="L93" s="15">
        <v>0</v>
      </c>
      <c r="M93" s="15">
        <v>0</v>
      </c>
      <c r="N93" s="15" t="s">
        <v>3028</v>
      </c>
      <c r="O93" t="s">
        <v>3028</v>
      </c>
    </row>
    <row r="94" spans="1:15" x14ac:dyDescent="0.25">
      <c r="A94" s="10" t="s">
        <v>978</v>
      </c>
      <c r="B94" s="15">
        <v>0</v>
      </c>
      <c r="C94" s="15">
        <v>0</v>
      </c>
      <c r="D94" s="15">
        <v>2319.16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 t="s">
        <v>3028</v>
      </c>
      <c r="O94" t="s">
        <v>3028</v>
      </c>
    </row>
    <row r="95" spans="1:15" x14ac:dyDescent="0.25">
      <c r="A95" s="10" t="s">
        <v>996</v>
      </c>
      <c r="B95" s="15">
        <v>0</v>
      </c>
      <c r="C95" s="15">
        <v>0</v>
      </c>
      <c r="D95" s="15">
        <v>0</v>
      </c>
      <c r="E95" s="15">
        <v>1456.23</v>
      </c>
      <c r="F95" s="15">
        <v>4.6399999999999997</v>
      </c>
      <c r="G95" s="15">
        <v>0</v>
      </c>
      <c r="H95" s="15">
        <v>0</v>
      </c>
      <c r="I95" s="15">
        <v>0</v>
      </c>
      <c r="J95" s="15">
        <v>0</v>
      </c>
      <c r="K95" s="15">
        <v>0</v>
      </c>
      <c r="L95" s="15">
        <v>0</v>
      </c>
      <c r="M95" s="15">
        <v>0</v>
      </c>
      <c r="N95" s="15" t="s">
        <v>3028</v>
      </c>
      <c r="O95" t="s">
        <v>3028</v>
      </c>
    </row>
    <row r="96" spans="1:15" x14ac:dyDescent="0.25">
      <c r="A96" s="10" t="s">
        <v>998</v>
      </c>
      <c r="B96" s="15">
        <v>0</v>
      </c>
      <c r="C96" s="15">
        <v>0</v>
      </c>
      <c r="D96" s="15">
        <v>0</v>
      </c>
      <c r="E96" s="15">
        <v>0</v>
      </c>
      <c r="F96" s="15">
        <v>0</v>
      </c>
      <c r="G96" s="15">
        <v>1639.16</v>
      </c>
      <c r="H96" s="15">
        <v>0</v>
      </c>
      <c r="I96" s="15">
        <v>160.38999999999999</v>
      </c>
      <c r="J96" s="15">
        <v>0</v>
      </c>
      <c r="K96" s="15">
        <v>0</v>
      </c>
      <c r="L96" s="15">
        <v>0</v>
      </c>
      <c r="M96" s="15">
        <v>0</v>
      </c>
      <c r="N96" s="15" t="s">
        <v>3028</v>
      </c>
      <c r="O96" t="s">
        <v>3028</v>
      </c>
    </row>
    <row r="97" spans="1:15" x14ac:dyDescent="0.25">
      <c r="A97" s="10" t="s">
        <v>1004</v>
      </c>
      <c r="B97" s="15">
        <v>0</v>
      </c>
      <c r="C97" s="15">
        <v>0</v>
      </c>
      <c r="D97" s="15">
        <v>0</v>
      </c>
      <c r="E97" s="15">
        <v>1078.56</v>
      </c>
      <c r="F97" s="15">
        <v>70.930000000000007</v>
      </c>
      <c r="G97" s="15">
        <v>0</v>
      </c>
      <c r="H97" s="15">
        <v>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 t="s">
        <v>3028</v>
      </c>
      <c r="O97" t="s">
        <v>3028</v>
      </c>
    </row>
    <row r="98" spans="1:15" x14ac:dyDescent="0.25">
      <c r="A98" s="10" t="s">
        <v>1010</v>
      </c>
      <c r="B98" s="15">
        <v>0</v>
      </c>
      <c r="C98" s="15">
        <v>0</v>
      </c>
      <c r="D98" s="15">
        <v>0</v>
      </c>
      <c r="E98" s="15">
        <v>0</v>
      </c>
      <c r="F98" s="15">
        <v>0</v>
      </c>
      <c r="G98" s="15">
        <v>1297.24</v>
      </c>
      <c r="H98" s="15">
        <v>0</v>
      </c>
      <c r="I98" s="15">
        <v>126.85</v>
      </c>
      <c r="J98" s="15">
        <v>0</v>
      </c>
      <c r="K98" s="15">
        <v>0</v>
      </c>
      <c r="L98" s="15">
        <v>0</v>
      </c>
      <c r="M98" s="15">
        <v>0</v>
      </c>
      <c r="N98" s="15" t="s">
        <v>3028</v>
      </c>
      <c r="O98" t="s">
        <v>3028</v>
      </c>
    </row>
    <row r="99" spans="1:15" x14ac:dyDescent="0.25">
      <c r="A99" s="10" t="s">
        <v>1032</v>
      </c>
      <c r="B99" s="15">
        <v>0</v>
      </c>
      <c r="C99" s="15">
        <v>0</v>
      </c>
      <c r="D99" s="15">
        <v>0</v>
      </c>
      <c r="E99" s="15">
        <v>2388.5500000000002</v>
      </c>
      <c r="F99" s="15">
        <v>0.37</v>
      </c>
      <c r="G99" s="15">
        <v>0</v>
      </c>
      <c r="H99" s="15">
        <v>0</v>
      </c>
      <c r="I99" s="15">
        <v>0</v>
      </c>
      <c r="J99" s="15">
        <v>0</v>
      </c>
      <c r="K99" s="15">
        <v>0</v>
      </c>
      <c r="L99" s="15">
        <v>0</v>
      </c>
      <c r="M99" s="15">
        <v>0</v>
      </c>
      <c r="N99" s="15" t="s">
        <v>3028</v>
      </c>
      <c r="O99" t="s">
        <v>3028</v>
      </c>
    </row>
    <row r="100" spans="1:15" x14ac:dyDescent="0.25">
      <c r="A100" s="10" t="s">
        <v>1038</v>
      </c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G100" s="15">
        <v>0</v>
      </c>
      <c r="H100" s="15">
        <v>1452.51</v>
      </c>
      <c r="I100" s="15">
        <v>182.56</v>
      </c>
      <c r="J100" s="15">
        <v>0</v>
      </c>
      <c r="K100" s="15">
        <v>0</v>
      </c>
      <c r="L100" s="15">
        <v>0</v>
      </c>
      <c r="M100" s="15">
        <v>0</v>
      </c>
      <c r="N100" s="15" t="s">
        <v>3028</v>
      </c>
      <c r="O100" t="s">
        <v>3028</v>
      </c>
    </row>
    <row r="101" spans="1:15" x14ac:dyDescent="0.25">
      <c r="A101" s="10" t="s">
        <v>1061</v>
      </c>
      <c r="B101" s="15">
        <v>0</v>
      </c>
      <c r="C101" s="15">
        <v>0</v>
      </c>
      <c r="D101" s="15">
        <v>0</v>
      </c>
      <c r="E101" s="15">
        <v>1063.83</v>
      </c>
      <c r="F101" s="15">
        <v>68.3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 t="s">
        <v>3028</v>
      </c>
      <c r="O101" t="s">
        <v>3028</v>
      </c>
    </row>
    <row r="102" spans="1:15" x14ac:dyDescent="0.25">
      <c r="A102" s="10" t="s">
        <v>1079</v>
      </c>
      <c r="B102" s="15">
        <v>0</v>
      </c>
      <c r="C102" s="15">
        <v>0</v>
      </c>
      <c r="D102" s="15">
        <v>0</v>
      </c>
      <c r="E102" s="15">
        <v>947.15</v>
      </c>
      <c r="F102" s="15">
        <v>0.26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 t="s">
        <v>3028</v>
      </c>
      <c r="O102" t="s">
        <v>3028</v>
      </c>
    </row>
    <row r="103" spans="1:15" x14ac:dyDescent="0.25">
      <c r="A103" s="10" t="s">
        <v>1081</v>
      </c>
      <c r="B103" s="15">
        <v>0</v>
      </c>
      <c r="C103" s="15">
        <v>0</v>
      </c>
      <c r="D103" s="15">
        <v>0</v>
      </c>
      <c r="E103" s="15">
        <v>1289.8</v>
      </c>
      <c r="F103" s="15">
        <v>89.77</v>
      </c>
      <c r="G103" s="15">
        <v>0</v>
      </c>
      <c r="H103" s="15">
        <v>0</v>
      </c>
      <c r="I103" s="15">
        <v>0</v>
      </c>
      <c r="J103" s="15">
        <v>1470.68</v>
      </c>
      <c r="K103" s="15">
        <v>0</v>
      </c>
      <c r="L103" s="15">
        <v>0</v>
      </c>
      <c r="M103" s="15">
        <v>0</v>
      </c>
      <c r="N103" s="15" t="s">
        <v>3028</v>
      </c>
      <c r="O103" t="s">
        <v>3028</v>
      </c>
    </row>
    <row r="104" spans="1:15" x14ac:dyDescent="0.25">
      <c r="A104" s="10" t="s">
        <v>1103</v>
      </c>
      <c r="B104" s="15">
        <v>282.54000000000002</v>
      </c>
      <c r="C104" s="15">
        <v>0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 t="s">
        <v>3028</v>
      </c>
      <c r="O104" t="s">
        <v>3028</v>
      </c>
    </row>
    <row r="105" spans="1:15" x14ac:dyDescent="0.25">
      <c r="A105" s="10" t="s">
        <v>1121</v>
      </c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G105" s="15">
        <v>0</v>
      </c>
      <c r="H105" s="15">
        <v>0</v>
      </c>
      <c r="I105" s="15">
        <v>0</v>
      </c>
      <c r="J105" s="15">
        <v>0</v>
      </c>
      <c r="K105" s="15">
        <v>1406.59</v>
      </c>
      <c r="L105" s="15">
        <v>0</v>
      </c>
      <c r="M105" s="15">
        <v>0</v>
      </c>
      <c r="N105" s="15" t="s">
        <v>3028</v>
      </c>
      <c r="O105" t="s">
        <v>3028</v>
      </c>
    </row>
    <row r="106" spans="1:15" x14ac:dyDescent="0.25">
      <c r="A106" s="10" t="s">
        <v>1125</v>
      </c>
      <c r="B106" s="15">
        <v>0</v>
      </c>
      <c r="C106" s="15">
        <v>0</v>
      </c>
      <c r="D106" s="15">
        <v>0</v>
      </c>
      <c r="E106" s="15">
        <v>4594.92</v>
      </c>
      <c r="F106" s="15">
        <v>0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 t="s">
        <v>3028</v>
      </c>
      <c r="O106" t="s">
        <v>3028</v>
      </c>
    </row>
    <row r="107" spans="1:15" x14ac:dyDescent="0.25">
      <c r="A107" s="10" t="s">
        <v>1127</v>
      </c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G107" s="15">
        <v>2581.5700000000002</v>
      </c>
      <c r="H107" s="15">
        <v>0</v>
      </c>
      <c r="I107" s="15">
        <v>252.47</v>
      </c>
      <c r="J107" s="15">
        <v>0</v>
      </c>
      <c r="K107" s="15">
        <v>0</v>
      </c>
      <c r="L107" s="15">
        <v>0</v>
      </c>
      <c r="M107" s="15">
        <v>0</v>
      </c>
      <c r="N107" s="15" t="s">
        <v>3028</v>
      </c>
      <c r="O107" t="s">
        <v>3028</v>
      </c>
    </row>
    <row r="108" spans="1:15" x14ac:dyDescent="0.25">
      <c r="A108" s="10" t="s">
        <v>1143</v>
      </c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G108" s="15">
        <v>0</v>
      </c>
      <c r="H108" s="15">
        <v>1573.16</v>
      </c>
      <c r="I108" s="15">
        <v>162.16999999999999</v>
      </c>
      <c r="J108" s="15">
        <v>0</v>
      </c>
      <c r="K108" s="15">
        <v>0</v>
      </c>
      <c r="L108" s="15">
        <v>0</v>
      </c>
      <c r="M108" s="15">
        <v>0</v>
      </c>
      <c r="N108" s="15" t="s">
        <v>3028</v>
      </c>
      <c r="O108" t="s">
        <v>3028</v>
      </c>
    </row>
    <row r="109" spans="1:15" x14ac:dyDescent="0.25">
      <c r="A109" s="10" t="s">
        <v>1197</v>
      </c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G109" s="15">
        <v>0</v>
      </c>
      <c r="H109" s="15">
        <v>1252.1300000000001</v>
      </c>
      <c r="I109" s="15">
        <v>122.48</v>
      </c>
      <c r="J109" s="15">
        <v>0</v>
      </c>
      <c r="K109" s="15">
        <v>0</v>
      </c>
      <c r="L109" s="15">
        <v>0</v>
      </c>
      <c r="M109" s="15">
        <v>0</v>
      </c>
      <c r="N109" s="15" t="s">
        <v>3028</v>
      </c>
      <c r="O109" t="s">
        <v>3028</v>
      </c>
    </row>
    <row r="110" spans="1:15" x14ac:dyDescent="0.25">
      <c r="A110" s="10" t="s">
        <v>1207</v>
      </c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G110" s="15">
        <v>1927.4</v>
      </c>
      <c r="H110" s="15">
        <v>0</v>
      </c>
      <c r="I110" s="15">
        <v>185.83</v>
      </c>
      <c r="J110" s="15">
        <v>0</v>
      </c>
      <c r="K110" s="15">
        <v>0</v>
      </c>
      <c r="L110" s="15">
        <v>0</v>
      </c>
      <c r="M110" s="15">
        <v>0</v>
      </c>
      <c r="N110" s="15" t="s">
        <v>3028</v>
      </c>
      <c r="O110" t="s">
        <v>3028</v>
      </c>
    </row>
    <row r="111" spans="1:15" x14ac:dyDescent="0.25">
      <c r="A111" s="10" t="s">
        <v>1211</v>
      </c>
      <c r="B111" s="15">
        <v>0</v>
      </c>
      <c r="C111" s="15">
        <v>0</v>
      </c>
      <c r="D111" s="15">
        <v>0</v>
      </c>
      <c r="E111" s="15">
        <v>1196.01</v>
      </c>
      <c r="F111" s="15">
        <v>1.52</v>
      </c>
      <c r="G111" s="15">
        <v>0</v>
      </c>
      <c r="H111" s="15">
        <v>0</v>
      </c>
      <c r="I111" s="15">
        <v>0</v>
      </c>
      <c r="J111" s="15">
        <v>0</v>
      </c>
      <c r="K111" s="15">
        <v>0</v>
      </c>
      <c r="L111" s="15">
        <v>0</v>
      </c>
      <c r="M111" s="15">
        <v>0</v>
      </c>
      <c r="N111" s="15" t="s">
        <v>3028</v>
      </c>
      <c r="O111" t="s">
        <v>3028</v>
      </c>
    </row>
    <row r="112" spans="1:15" x14ac:dyDescent="0.25">
      <c r="A112" s="10" t="s">
        <v>1213</v>
      </c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1363.95</v>
      </c>
      <c r="J112" s="15">
        <v>0</v>
      </c>
      <c r="K112" s="15">
        <v>0</v>
      </c>
      <c r="L112" s="15">
        <v>0</v>
      </c>
      <c r="M112" s="15">
        <v>0</v>
      </c>
      <c r="N112" s="15" t="s">
        <v>3028</v>
      </c>
      <c r="O112" t="s">
        <v>3028</v>
      </c>
    </row>
    <row r="113" spans="1:15" x14ac:dyDescent="0.25">
      <c r="A113" s="10" t="s">
        <v>1239</v>
      </c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G113" s="15">
        <v>1844.49</v>
      </c>
      <c r="H113" s="15">
        <v>0</v>
      </c>
      <c r="I113" s="15">
        <v>179.31</v>
      </c>
      <c r="J113" s="15">
        <v>0</v>
      </c>
      <c r="K113" s="15">
        <v>0</v>
      </c>
      <c r="L113" s="15">
        <v>0</v>
      </c>
      <c r="M113" s="15">
        <v>0</v>
      </c>
      <c r="N113" s="15" t="s">
        <v>3028</v>
      </c>
      <c r="O113" t="s">
        <v>3028</v>
      </c>
    </row>
    <row r="114" spans="1:15" x14ac:dyDescent="0.25">
      <c r="A114" s="10" t="s">
        <v>1241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1492.57</v>
      </c>
      <c r="J114" s="15">
        <v>0</v>
      </c>
      <c r="K114" s="15">
        <v>0</v>
      </c>
      <c r="L114" s="15">
        <v>0</v>
      </c>
      <c r="M114" s="15">
        <v>0</v>
      </c>
      <c r="N114" s="15" t="s">
        <v>3028</v>
      </c>
      <c r="O114" t="s">
        <v>3028</v>
      </c>
    </row>
    <row r="115" spans="1:15" x14ac:dyDescent="0.25">
      <c r="A115" s="10" t="s">
        <v>1251</v>
      </c>
      <c r="B115" s="15">
        <v>0</v>
      </c>
      <c r="C115" s="15">
        <v>0</v>
      </c>
      <c r="D115" s="15">
        <v>0</v>
      </c>
      <c r="E115" s="15">
        <v>871.84</v>
      </c>
      <c r="F115" s="15">
        <v>1.57</v>
      </c>
      <c r="G115" s="15">
        <v>0</v>
      </c>
      <c r="H115" s="15">
        <v>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 t="s">
        <v>3028</v>
      </c>
      <c r="O115" t="s">
        <v>3028</v>
      </c>
    </row>
    <row r="116" spans="1:15" x14ac:dyDescent="0.25">
      <c r="A116" s="10" t="s">
        <v>1255</v>
      </c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1923.44</v>
      </c>
      <c r="K116" s="15">
        <v>0</v>
      </c>
      <c r="L116" s="15">
        <v>0</v>
      </c>
      <c r="M116" s="15">
        <v>0</v>
      </c>
      <c r="N116" s="15" t="s">
        <v>3028</v>
      </c>
      <c r="O116" t="s">
        <v>3028</v>
      </c>
    </row>
    <row r="117" spans="1:15" x14ac:dyDescent="0.25">
      <c r="A117" s="10" t="s">
        <v>1257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0</v>
      </c>
      <c r="L117" s="15">
        <v>2934.8</v>
      </c>
      <c r="M117" s="15">
        <v>0</v>
      </c>
      <c r="N117" s="15" t="s">
        <v>3028</v>
      </c>
      <c r="O117" t="s">
        <v>3028</v>
      </c>
    </row>
    <row r="118" spans="1:15" x14ac:dyDescent="0.25">
      <c r="A118" s="10" t="s">
        <v>1265</v>
      </c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2019.79</v>
      </c>
      <c r="J118" s="15">
        <v>0</v>
      </c>
      <c r="K118" s="15">
        <v>0</v>
      </c>
      <c r="L118" s="15">
        <v>0</v>
      </c>
      <c r="M118" s="15">
        <v>0</v>
      </c>
      <c r="N118" s="15" t="s">
        <v>3028</v>
      </c>
      <c r="O118" t="s">
        <v>3028</v>
      </c>
    </row>
    <row r="119" spans="1:15" x14ac:dyDescent="0.25">
      <c r="A119" s="10" t="s">
        <v>1271</v>
      </c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G119" s="15">
        <v>0</v>
      </c>
      <c r="H119" s="15">
        <v>0</v>
      </c>
      <c r="I119" s="15">
        <v>2072.4299999999998</v>
      </c>
      <c r="J119" s="15">
        <v>0</v>
      </c>
      <c r="K119" s="15">
        <v>0</v>
      </c>
      <c r="L119" s="15">
        <v>0</v>
      </c>
      <c r="M119" s="15">
        <v>0</v>
      </c>
      <c r="N119" s="15" t="s">
        <v>3028</v>
      </c>
      <c r="O119" t="s">
        <v>3028</v>
      </c>
    </row>
    <row r="120" spans="1:15" x14ac:dyDescent="0.25">
      <c r="A120" s="10" t="s">
        <v>1273</v>
      </c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3796.6</v>
      </c>
      <c r="J120" s="15">
        <v>0</v>
      </c>
      <c r="K120" s="15">
        <v>365.23</v>
      </c>
      <c r="L120" s="15">
        <v>0</v>
      </c>
      <c r="M120" s="15">
        <v>0</v>
      </c>
      <c r="N120" s="15" t="s">
        <v>3028</v>
      </c>
      <c r="O120" t="s">
        <v>3028</v>
      </c>
    </row>
    <row r="121" spans="1:15" x14ac:dyDescent="0.25">
      <c r="A121" s="10" t="s">
        <v>1293</v>
      </c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1483.56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  <c r="N121" s="15" t="s">
        <v>3028</v>
      </c>
      <c r="O121" t="s">
        <v>3028</v>
      </c>
    </row>
    <row r="122" spans="1:15" x14ac:dyDescent="0.25">
      <c r="A122" s="10" t="s">
        <v>1308</v>
      </c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1067.25</v>
      </c>
      <c r="M122" s="15">
        <v>0</v>
      </c>
      <c r="N122" s="15" t="s">
        <v>3028</v>
      </c>
      <c r="O122" t="s">
        <v>3028</v>
      </c>
    </row>
    <row r="123" spans="1:15" x14ac:dyDescent="0.25">
      <c r="A123" s="10" t="s">
        <v>1318</v>
      </c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G123" s="15">
        <v>0</v>
      </c>
      <c r="H123" s="15">
        <v>1616.11</v>
      </c>
      <c r="I123" s="15">
        <v>158.46</v>
      </c>
      <c r="J123" s="15">
        <v>0</v>
      </c>
      <c r="K123" s="15">
        <v>0</v>
      </c>
      <c r="L123" s="15">
        <v>0</v>
      </c>
      <c r="M123" s="15">
        <v>0</v>
      </c>
      <c r="N123" s="15" t="s">
        <v>3028</v>
      </c>
      <c r="O123" t="s">
        <v>3028</v>
      </c>
    </row>
    <row r="124" spans="1:15" x14ac:dyDescent="0.25">
      <c r="A124" s="10" t="s">
        <v>1326</v>
      </c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2379.61</v>
      </c>
      <c r="J124" s="15">
        <v>0</v>
      </c>
      <c r="K124" s="15">
        <v>0</v>
      </c>
      <c r="L124" s="15">
        <v>0</v>
      </c>
      <c r="M124" s="15">
        <v>0</v>
      </c>
      <c r="N124" s="15" t="s">
        <v>3028</v>
      </c>
      <c r="O124" t="s">
        <v>3028</v>
      </c>
    </row>
    <row r="125" spans="1:15" x14ac:dyDescent="0.25">
      <c r="A125" s="10" t="s">
        <v>1346</v>
      </c>
      <c r="B125" s="15">
        <v>0</v>
      </c>
      <c r="C125" s="15">
        <v>0</v>
      </c>
      <c r="D125" s="15">
        <v>0</v>
      </c>
      <c r="E125" s="15">
        <v>0</v>
      </c>
      <c r="F125" s="15">
        <v>980.88</v>
      </c>
      <c r="G125" s="15">
        <v>0</v>
      </c>
      <c r="H125" s="15">
        <v>0</v>
      </c>
      <c r="I125" s="15">
        <v>0</v>
      </c>
      <c r="J125" s="15">
        <v>0</v>
      </c>
      <c r="K125" s="15">
        <v>0</v>
      </c>
      <c r="L125" s="15">
        <v>0</v>
      </c>
      <c r="M125" s="15">
        <v>0</v>
      </c>
      <c r="N125" s="15" t="s">
        <v>3028</v>
      </c>
      <c r="O125" t="s">
        <v>3028</v>
      </c>
    </row>
    <row r="126" spans="1:15" x14ac:dyDescent="0.25">
      <c r="A126" s="10" t="s">
        <v>1357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1241.6500000000001</v>
      </c>
      <c r="I126" s="15">
        <v>121.7</v>
      </c>
      <c r="J126" s="15">
        <v>0</v>
      </c>
      <c r="K126" s="15">
        <v>0</v>
      </c>
      <c r="L126" s="15">
        <v>0</v>
      </c>
      <c r="M126" s="15">
        <v>0</v>
      </c>
      <c r="N126" s="15" t="s">
        <v>3028</v>
      </c>
      <c r="O126" t="s">
        <v>3028</v>
      </c>
    </row>
    <row r="127" spans="1:15" x14ac:dyDescent="0.25">
      <c r="A127" s="10" t="s">
        <v>1359</v>
      </c>
      <c r="B127" s="15">
        <v>0</v>
      </c>
      <c r="C127" s="15">
        <v>0</v>
      </c>
      <c r="D127" s="15">
        <v>0</v>
      </c>
      <c r="E127" s="15">
        <v>0</v>
      </c>
      <c r="F127" s="15">
        <v>945.85</v>
      </c>
      <c r="G127" s="15">
        <v>0</v>
      </c>
      <c r="H127" s="15">
        <v>0</v>
      </c>
      <c r="I127" s="15">
        <v>0</v>
      </c>
      <c r="J127" s="15">
        <v>0</v>
      </c>
      <c r="K127" s="15">
        <v>0</v>
      </c>
      <c r="L127" s="15">
        <v>0</v>
      </c>
      <c r="M127" s="15">
        <v>0</v>
      </c>
      <c r="N127" s="15" t="s">
        <v>3028</v>
      </c>
      <c r="O127" t="s">
        <v>3028</v>
      </c>
    </row>
    <row r="128" spans="1:15" x14ac:dyDescent="0.25">
      <c r="A128" s="10" t="s">
        <v>1381</v>
      </c>
      <c r="B128" s="15">
        <v>0</v>
      </c>
      <c r="C128" s="15">
        <v>0</v>
      </c>
      <c r="D128" s="15">
        <v>0</v>
      </c>
      <c r="E128" s="15">
        <v>686.01</v>
      </c>
      <c r="F128" s="15">
        <v>0.12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 t="s">
        <v>3028</v>
      </c>
      <c r="O128" t="s">
        <v>3028</v>
      </c>
    </row>
    <row r="129" spans="1:15" x14ac:dyDescent="0.25">
      <c r="A129" s="10" t="s">
        <v>1387</v>
      </c>
      <c r="B129" s="15">
        <v>0</v>
      </c>
      <c r="C129" s="15">
        <v>0</v>
      </c>
      <c r="D129" s="15">
        <v>0</v>
      </c>
      <c r="E129" s="15">
        <v>600.32000000000005</v>
      </c>
      <c r="F129" s="15">
        <v>0.44</v>
      </c>
      <c r="G129" s="15">
        <v>0</v>
      </c>
      <c r="H129" s="15">
        <v>0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  <c r="N129" s="15" t="s">
        <v>3028</v>
      </c>
      <c r="O129" t="s">
        <v>3028</v>
      </c>
    </row>
    <row r="130" spans="1:15" x14ac:dyDescent="0.25">
      <c r="A130" s="10" t="s">
        <v>1395</v>
      </c>
      <c r="B130" s="15">
        <v>0</v>
      </c>
      <c r="C130" s="15">
        <v>0</v>
      </c>
      <c r="D130" s="15">
        <v>0</v>
      </c>
      <c r="E130" s="15">
        <v>868.67</v>
      </c>
      <c r="F130" s="15">
        <v>1.06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 t="s">
        <v>3028</v>
      </c>
      <c r="O130" t="s">
        <v>3028</v>
      </c>
    </row>
    <row r="131" spans="1:15" x14ac:dyDescent="0.25">
      <c r="A131" s="10" t="s">
        <v>1397</v>
      </c>
      <c r="B131" s="15">
        <v>0</v>
      </c>
      <c r="C131" s="15">
        <v>1160.55</v>
      </c>
      <c r="D131" s="15">
        <v>0</v>
      </c>
      <c r="E131" s="15">
        <v>0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0</v>
      </c>
      <c r="M131" s="15">
        <v>0</v>
      </c>
      <c r="N131" s="15" t="s">
        <v>3028</v>
      </c>
      <c r="O131" t="s">
        <v>3028</v>
      </c>
    </row>
    <row r="132" spans="1:15" x14ac:dyDescent="0.25">
      <c r="A132" s="10" t="s">
        <v>1425</v>
      </c>
      <c r="B132" s="15">
        <v>0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940.37</v>
      </c>
      <c r="K132" s="15">
        <v>0</v>
      </c>
      <c r="L132" s="15">
        <v>0</v>
      </c>
      <c r="M132" s="15">
        <v>0</v>
      </c>
      <c r="N132" s="15" t="s">
        <v>3028</v>
      </c>
      <c r="O132" t="s">
        <v>3028</v>
      </c>
    </row>
    <row r="133" spans="1:15" x14ac:dyDescent="0.25">
      <c r="A133" s="10" t="s">
        <v>1486</v>
      </c>
      <c r="B133" s="15">
        <v>0</v>
      </c>
      <c r="C133" s="15">
        <v>0</v>
      </c>
      <c r="D133" s="15">
        <v>0</v>
      </c>
      <c r="E133" s="15">
        <v>0</v>
      </c>
      <c r="F133" s="15">
        <v>0</v>
      </c>
      <c r="G133" s="15">
        <v>0</v>
      </c>
      <c r="H133" s="15">
        <v>0</v>
      </c>
      <c r="I133" s="15">
        <v>0</v>
      </c>
      <c r="J133" s="15">
        <v>655.59</v>
      </c>
      <c r="K133" s="15">
        <v>0</v>
      </c>
      <c r="L133" s="15">
        <v>65.36</v>
      </c>
      <c r="M133" s="15">
        <v>0</v>
      </c>
      <c r="N133" s="15" t="s">
        <v>3028</v>
      </c>
      <c r="O133" t="s">
        <v>3028</v>
      </c>
    </row>
    <row r="134" spans="1:15" x14ac:dyDescent="0.25">
      <c r="A134" s="10" t="s">
        <v>1508</v>
      </c>
      <c r="B134" s="15">
        <v>0</v>
      </c>
      <c r="C134" s="15">
        <v>0</v>
      </c>
      <c r="D134" s="15">
        <v>0</v>
      </c>
      <c r="E134" s="15">
        <v>616.13</v>
      </c>
      <c r="F134" s="15">
        <v>0.48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 t="s">
        <v>3028</v>
      </c>
      <c r="O134" t="s">
        <v>3028</v>
      </c>
    </row>
    <row r="135" spans="1:15" x14ac:dyDescent="0.25">
      <c r="A135" s="10" t="s">
        <v>1516</v>
      </c>
      <c r="B135" s="15">
        <v>603.28</v>
      </c>
      <c r="C135" s="15">
        <v>0</v>
      </c>
      <c r="D135" s="15">
        <v>0</v>
      </c>
      <c r="E135" s="15">
        <v>0</v>
      </c>
      <c r="F135" s="15">
        <v>0</v>
      </c>
      <c r="G135" s="15">
        <v>0</v>
      </c>
      <c r="H135" s="15">
        <v>0</v>
      </c>
      <c r="I135" s="15">
        <v>0</v>
      </c>
      <c r="J135" s="15">
        <v>0</v>
      </c>
      <c r="K135" s="15">
        <v>0</v>
      </c>
      <c r="L135" s="15">
        <v>0</v>
      </c>
      <c r="M135" s="15">
        <v>1061.3900000000001</v>
      </c>
      <c r="N135" s="15" t="s">
        <v>3028</v>
      </c>
      <c r="O135" t="s">
        <v>3028</v>
      </c>
    </row>
    <row r="136" spans="1:15" x14ac:dyDescent="0.25">
      <c r="A136" s="10" t="s">
        <v>1546</v>
      </c>
      <c r="B136" s="15">
        <v>0</v>
      </c>
      <c r="C136" s="15">
        <v>0</v>
      </c>
      <c r="D136" s="15">
        <v>3806.35</v>
      </c>
      <c r="E136" s="15">
        <v>0</v>
      </c>
      <c r="F136" s="15">
        <v>0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 t="s">
        <v>3028</v>
      </c>
      <c r="O136" t="s">
        <v>3028</v>
      </c>
    </row>
    <row r="137" spans="1:15" x14ac:dyDescent="0.25">
      <c r="A137" s="10" t="s">
        <v>1552</v>
      </c>
      <c r="B137" s="15">
        <v>9327.24</v>
      </c>
      <c r="C137" s="15">
        <v>0</v>
      </c>
      <c r="D137" s="15">
        <v>0</v>
      </c>
      <c r="E137" s="15">
        <v>0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  <c r="N137" s="15" t="s">
        <v>3028</v>
      </c>
      <c r="O137" t="s">
        <v>3028</v>
      </c>
    </row>
    <row r="138" spans="1:15" x14ac:dyDescent="0.25">
      <c r="A138" s="10" t="s">
        <v>1556</v>
      </c>
      <c r="B138" s="15">
        <v>0</v>
      </c>
      <c r="C138" s="15">
        <v>0</v>
      </c>
      <c r="D138" s="15">
        <v>0</v>
      </c>
      <c r="E138" s="15">
        <v>3769.24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 t="s">
        <v>3028</v>
      </c>
      <c r="O138" t="s">
        <v>3028</v>
      </c>
    </row>
    <row r="139" spans="1:15" x14ac:dyDescent="0.25">
      <c r="A139" s="10" t="s">
        <v>1574</v>
      </c>
      <c r="B139" s="15">
        <v>0</v>
      </c>
      <c r="C139" s="15">
        <v>0</v>
      </c>
      <c r="D139" s="15">
        <v>0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1622.19</v>
      </c>
      <c r="N139" s="15" t="s">
        <v>3028</v>
      </c>
      <c r="O139" t="s">
        <v>3028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1"/>
  <dimension ref="A1:O94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5" ht="47.85" customHeight="1" x14ac:dyDescent="0.25">
      <c r="A1" s="26" t="s">
        <v>46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54462,4</v>
      </c>
      <c r="C2" s="14" t="str">
        <f>CONCATENATE("FEVEREIRO",CHAR(10),"TOTAL: ",ROUND(SUM(C3:C1048576),2))</f>
        <v>FEVEREIRO
TOTAL: 44437,06</v>
      </c>
      <c r="D2" s="14" t="str">
        <f>CONCATENATE("MARÇO",CHAR(10),"TOTAL: ",ROUND(SUM(D3:D1048576),2))</f>
        <v>MARÇO
TOTAL: 205980,83</v>
      </c>
      <c r="E2" s="14" t="str">
        <f>CONCATENATE("ABRIL",CHAR(10),"TOTAL: ",ROUND(SUM(E3:E1048576),2))</f>
        <v>ABRIL
TOTAL: 97160,77</v>
      </c>
      <c r="F2" s="14" t="str">
        <f>CONCATENATE("MAIO",CHAR(10),"TOTAL: ",ROUND(SUM(F3:F1048576),2))</f>
        <v>MAIO
TOTAL: 20577,04</v>
      </c>
      <c r="G2" s="14" t="str">
        <f>CONCATENATE("JUNHO",CHAR(10),"TOTAL: ",ROUND(SUM(G3:G1048576),2))</f>
        <v>JUNHO
TOTAL: 69943,93</v>
      </c>
      <c r="H2" s="14" t="str">
        <f>CONCATENATE("JULHO",CHAR(10),"TOTAL: ",ROUND(SUM(H3:H1048576),2))</f>
        <v>JULHO
TOTAL: 87186,46</v>
      </c>
      <c r="I2" s="14" t="str">
        <f>CONCATENATE("AGOSTO",CHAR(10),"TOTAL: ",ROUND(SUM(I3:I1048576),2))</f>
        <v>AGOSTO
TOTAL: 65057,9</v>
      </c>
      <c r="J2" s="14" t="str">
        <f>CONCATENATE("SETEMBRO",CHAR(10),"TOTAL: ",ROUND(SUM(J3:J1048576),2))</f>
        <v>SETEMBRO
TOTAL: 102666,89</v>
      </c>
      <c r="K2" s="14" t="str">
        <f>CONCATENATE("OUTUBRO",CHAR(10),"TOTAL: ",ROUND(SUM(K3:K1048576),2))</f>
        <v>OUTUBRO
TOTAL: 177334,86</v>
      </c>
      <c r="L2" s="14" t="str">
        <f>CONCATENATE("NOVEMBRO",CHAR(10),"TOTAL: ",ROUND(SUM(L3:L1048576),2))</f>
        <v>NOVEMBRO
TOTAL: 51952,52</v>
      </c>
      <c r="M2" s="14" t="str">
        <f>CONCATENATE("DEZEMBRO",CHAR(10),"TOTAL: ",ROUND(SUM(M3:M1048576),2))</f>
        <v>DEZEMBRO
TOTAL: 1929,59</v>
      </c>
      <c r="N2" s="14" t="str">
        <f>CONCATENATE("DEC. TERCEIRO",CHAR(10),"TOTAL: ",ROUND(SUM(N3:N1048576),2))</f>
        <v>DEC. TERCEIRO
TOTAL: 0</v>
      </c>
    </row>
    <row r="3" spans="1:15" x14ac:dyDescent="0.25">
      <c r="A3" s="10" t="s">
        <v>107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1929.59</v>
      </c>
      <c r="N3" s="15" t="s">
        <v>3028</v>
      </c>
      <c r="O3" t="s">
        <v>3028</v>
      </c>
    </row>
    <row r="4" spans="1:15" x14ac:dyDescent="0.25">
      <c r="A4" s="10" t="s">
        <v>123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37357.68</v>
      </c>
      <c r="I4" s="15">
        <v>0</v>
      </c>
      <c r="J4" s="15">
        <v>1585.97</v>
      </c>
      <c r="K4" s="15">
        <v>0</v>
      </c>
      <c r="L4" s="15">
        <v>0</v>
      </c>
      <c r="M4" s="15">
        <v>0</v>
      </c>
      <c r="N4" s="15" t="s">
        <v>3028</v>
      </c>
      <c r="O4" t="s">
        <v>3028</v>
      </c>
    </row>
    <row r="5" spans="1:15" x14ac:dyDescent="0.25">
      <c r="A5" s="10" t="s">
        <v>141</v>
      </c>
      <c r="B5" s="15">
        <v>0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16925.93</v>
      </c>
      <c r="K5" s="15">
        <v>0</v>
      </c>
      <c r="L5" s="15">
        <v>0</v>
      </c>
      <c r="M5" s="15">
        <v>0</v>
      </c>
      <c r="N5" s="15" t="s">
        <v>3028</v>
      </c>
      <c r="O5" t="s">
        <v>3028</v>
      </c>
    </row>
    <row r="6" spans="1:15" x14ac:dyDescent="0.25">
      <c r="A6" s="10" t="s">
        <v>180</v>
      </c>
      <c r="B6" s="15">
        <v>0</v>
      </c>
      <c r="C6" s="15">
        <v>0</v>
      </c>
      <c r="D6" s="15">
        <v>0</v>
      </c>
      <c r="E6" s="15">
        <v>2760.78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 t="s">
        <v>3028</v>
      </c>
      <c r="O6" t="s">
        <v>3028</v>
      </c>
    </row>
    <row r="7" spans="1:15" x14ac:dyDescent="0.25">
      <c r="A7" s="10" t="s">
        <v>208</v>
      </c>
      <c r="B7" s="15">
        <v>0</v>
      </c>
      <c r="C7" s="15">
        <v>0</v>
      </c>
      <c r="D7" s="15">
        <v>0</v>
      </c>
      <c r="E7" s="15">
        <v>0</v>
      </c>
      <c r="F7" s="15">
        <v>0</v>
      </c>
      <c r="G7" s="15">
        <v>49588.7</v>
      </c>
      <c r="H7" s="15">
        <v>0</v>
      </c>
      <c r="I7" s="15">
        <v>0</v>
      </c>
      <c r="J7" s="15">
        <v>1427.79</v>
      </c>
      <c r="K7" s="15">
        <v>0</v>
      </c>
      <c r="L7" s="15">
        <v>0</v>
      </c>
      <c r="M7" s="15">
        <v>0</v>
      </c>
      <c r="N7" s="15" t="s">
        <v>3028</v>
      </c>
      <c r="O7" t="s">
        <v>3028</v>
      </c>
    </row>
    <row r="8" spans="1:15" x14ac:dyDescent="0.25">
      <c r="A8" s="10" t="s">
        <v>236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9009.17</v>
      </c>
      <c r="M8" s="15">
        <v>0</v>
      </c>
      <c r="N8" s="15" t="s">
        <v>3028</v>
      </c>
      <c r="O8" t="s">
        <v>3028</v>
      </c>
    </row>
    <row r="9" spans="1:15" x14ac:dyDescent="0.25">
      <c r="A9" s="10" t="s">
        <v>242</v>
      </c>
      <c r="B9" s="15">
        <v>0</v>
      </c>
      <c r="C9" s="15">
        <v>0</v>
      </c>
      <c r="D9" s="15">
        <v>6690.99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 t="s">
        <v>3028</v>
      </c>
      <c r="O9" t="s">
        <v>3028</v>
      </c>
    </row>
    <row r="10" spans="1:15" x14ac:dyDescent="0.25">
      <c r="A10" s="10" t="s">
        <v>248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3468.26</v>
      </c>
      <c r="M10" s="15">
        <v>0</v>
      </c>
      <c r="N10" s="15" t="s">
        <v>3028</v>
      </c>
      <c r="O10" t="s">
        <v>3028</v>
      </c>
    </row>
    <row r="11" spans="1:15" x14ac:dyDescent="0.25">
      <c r="A11" s="10" t="s">
        <v>258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6008.13</v>
      </c>
      <c r="M11" s="15">
        <v>0</v>
      </c>
      <c r="N11" s="15" t="s">
        <v>3028</v>
      </c>
      <c r="O11" t="s">
        <v>3028</v>
      </c>
    </row>
    <row r="12" spans="1:15" x14ac:dyDescent="0.25">
      <c r="A12" s="10" t="s">
        <v>260</v>
      </c>
      <c r="B12" s="15">
        <v>0</v>
      </c>
      <c r="C12" s="15">
        <v>0</v>
      </c>
      <c r="D12" s="15">
        <v>0</v>
      </c>
      <c r="E12" s="15">
        <v>14811.06</v>
      </c>
      <c r="F12" s="15">
        <v>0</v>
      </c>
      <c r="G12" s="15">
        <v>8542.8700000000008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 t="s">
        <v>3028</v>
      </c>
      <c r="O12" t="s">
        <v>3028</v>
      </c>
    </row>
    <row r="13" spans="1:15" x14ac:dyDescent="0.25">
      <c r="A13" s="10" t="s">
        <v>290</v>
      </c>
      <c r="B13" s="15">
        <v>0</v>
      </c>
      <c r="C13" s="15">
        <v>0</v>
      </c>
      <c r="D13" s="15">
        <v>0</v>
      </c>
      <c r="E13" s="15">
        <v>0</v>
      </c>
      <c r="F13" s="15">
        <v>0</v>
      </c>
      <c r="G13" s="15">
        <v>0</v>
      </c>
      <c r="H13" s="15">
        <v>8968.0300000000007</v>
      </c>
      <c r="I13" s="15">
        <v>0</v>
      </c>
      <c r="J13" s="15">
        <v>371.35</v>
      </c>
      <c r="K13" s="15">
        <v>0</v>
      </c>
      <c r="L13" s="15">
        <v>0</v>
      </c>
      <c r="M13" s="15">
        <v>0</v>
      </c>
      <c r="N13" s="15" t="s">
        <v>3028</v>
      </c>
      <c r="O13" t="s">
        <v>3028</v>
      </c>
    </row>
    <row r="14" spans="1:15" x14ac:dyDescent="0.25">
      <c r="A14" s="10" t="s">
        <v>296</v>
      </c>
      <c r="B14" s="15">
        <v>0</v>
      </c>
      <c r="C14" s="15">
        <v>0</v>
      </c>
      <c r="D14" s="15">
        <v>14062.3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 t="s">
        <v>3028</v>
      </c>
      <c r="O14" t="s">
        <v>3028</v>
      </c>
    </row>
    <row r="15" spans="1:15" x14ac:dyDescent="0.25">
      <c r="A15" s="10" t="s">
        <v>318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7807.85</v>
      </c>
      <c r="K15" s="15">
        <v>0</v>
      </c>
      <c r="L15" s="15">
        <v>0</v>
      </c>
      <c r="M15" s="15">
        <v>0</v>
      </c>
      <c r="N15" s="15" t="s">
        <v>3028</v>
      </c>
      <c r="O15" t="s">
        <v>3028</v>
      </c>
    </row>
    <row r="16" spans="1:15" x14ac:dyDescent="0.25">
      <c r="A16" s="10" t="s">
        <v>320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7568.4</v>
      </c>
      <c r="L16" s="15">
        <v>0</v>
      </c>
      <c r="M16" s="15">
        <v>0</v>
      </c>
      <c r="N16" s="15" t="s">
        <v>3028</v>
      </c>
      <c r="O16" t="s">
        <v>3028</v>
      </c>
    </row>
    <row r="17" spans="1:15" x14ac:dyDescent="0.25">
      <c r="A17" s="10" t="s">
        <v>334</v>
      </c>
      <c r="B17" s="15">
        <v>0</v>
      </c>
      <c r="C17" s="15">
        <v>0</v>
      </c>
      <c r="D17" s="15">
        <v>18485.36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 t="s">
        <v>3028</v>
      </c>
      <c r="O17" t="s">
        <v>3028</v>
      </c>
    </row>
    <row r="18" spans="1:15" x14ac:dyDescent="0.25">
      <c r="A18" s="10" t="s">
        <v>354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0</v>
      </c>
      <c r="H18" s="15">
        <v>2143.14</v>
      </c>
      <c r="I18" s="15">
        <v>1300</v>
      </c>
      <c r="J18" s="15">
        <v>0</v>
      </c>
      <c r="K18" s="15">
        <v>0</v>
      </c>
      <c r="L18" s="15">
        <v>0</v>
      </c>
      <c r="M18" s="15">
        <v>0</v>
      </c>
      <c r="N18" s="15" t="s">
        <v>3028</v>
      </c>
      <c r="O18" t="s">
        <v>3028</v>
      </c>
    </row>
    <row r="19" spans="1:15" x14ac:dyDescent="0.25">
      <c r="A19" s="10" t="s">
        <v>360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8472.93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 t="s">
        <v>3028</v>
      </c>
      <c r="O19" t="s">
        <v>3028</v>
      </c>
    </row>
    <row r="20" spans="1:15" x14ac:dyDescent="0.25">
      <c r="A20" s="10" t="s">
        <v>376</v>
      </c>
      <c r="B20" s="15">
        <v>0</v>
      </c>
      <c r="C20" s="15">
        <v>0</v>
      </c>
      <c r="D20" s="15">
        <v>11225.71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 t="s">
        <v>3028</v>
      </c>
      <c r="O20" t="s">
        <v>3028</v>
      </c>
    </row>
    <row r="21" spans="1:15" x14ac:dyDescent="0.25">
      <c r="A21" s="10" t="s">
        <v>386</v>
      </c>
      <c r="B21" s="15">
        <v>2458.4299999999998</v>
      </c>
      <c r="C21" s="15">
        <v>0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 t="s">
        <v>3028</v>
      </c>
      <c r="O21" t="s">
        <v>3028</v>
      </c>
    </row>
    <row r="22" spans="1:15" x14ac:dyDescent="0.25">
      <c r="A22" s="10" t="s">
        <v>402</v>
      </c>
      <c r="B22" s="15">
        <v>0</v>
      </c>
      <c r="C22" s="15">
        <v>1691.75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 t="s">
        <v>3028</v>
      </c>
      <c r="O22" t="s">
        <v>3028</v>
      </c>
    </row>
    <row r="23" spans="1:15" x14ac:dyDescent="0.25">
      <c r="A23" s="10" t="s">
        <v>480</v>
      </c>
      <c r="B23" s="15">
        <v>0</v>
      </c>
      <c r="C23" s="15">
        <v>1804.91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 t="s">
        <v>3028</v>
      </c>
      <c r="O23" t="s">
        <v>3028</v>
      </c>
    </row>
    <row r="24" spans="1:15" x14ac:dyDescent="0.25">
      <c r="A24" s="10" t="s">
        <v>484</v>
      </c>
      <c r="B24" s="15">
        <v>0</v>
      </c>
      <c r="C24" s="15">
        <v>5851.47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 t="s">
        <v>3028</v>
      </c>
      <c r="O24" t="s">
        <v>3028</v>
      </c>
    </row>
    <row r="25" spans="1:15" x14ac:dyDescent="0.25">
      <c r="A25" s="10" t="s">
        <v>496</v>
      </c>
      <c r="B25" s="15">
        <v>0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19803</v>
      </c>
      <c r="I25" s="15">
        <v>0</v>
      </c>
      <c r="J25" s="15">
        <v>634.91</v>
      </c>
      <c r="K25" s="15">
        <v>0</v>
      </c>
      <c r="L25" s="15">
        <v>0</v>
      </c>
      <c r="M25" s="15">
        <v>0</v>
      </c>
      <c r="N25" s="15" t="s">
        <v>3028</v>
      </c>
      <c r="O25" t="s">
        <v>3028</v>
      </c>
    </row>
    <row r="26" spans="1:15" x14ac:dyDescent="0.25">
      <c r="A26" s="10" t="s">
        <v>502</v>
      </c>
      <c r="B26" s="15">
        <v>0</v>
      </c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12493.51</v>
      </c>
      <c r="M26" s="15">
        <v>0</v>
      </c>
      <c r="N26" s="15" t="s">
        <v>3028</v>
      </c>
      <c r="O26" t="s">
        <v>3028</v>
      </c>
    </row>
    <row r="27" spans="1:15" x14ac:dyDescent="0.25">
      <c r="A27" s="10" t="s">
        <v>516</v>
      </c>
      <c r="B27" s="15">
        <v>0</v>
      </c>
      <c r="C27" s="15">
        <v>0</v>
      </c>
      <c r="D27" s="15">
        <v>2653.38</v>
      </c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 t="s">
        <v>3028</v>
      </c>
      <c r="O27" t="s">
        <v>3028</v>
      </c>
    </row>
    <row r="28" spans="1:15" x14ac:dyDescent="0.25">
      <c r="A28" s="10" t="s">
        <v>536</v>
      </c>
      <c r="B28" s="15">
        <v>0</v>
      </c>
      <c r="C28" s="15">
        <v>0</v>
      </c>
      <c r="D28" s="15">
        <v>4847.8100000000004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 t="s">
        <v>3028</v>
      </c>
      <c r="O28" t="s">
        <v>3028</v>
      </c>
    </row>
    <row r="29" spans="1:15" x14ac:dyDescent="0.25">
      <c r="A29" s="10" t="s">
        <v>540</v>
      </c>
      <c r="B29" s="15">
        <v>0</v>
      </c>
      <c r="C29" s="15">
        <v>0</v>
      </c>
      <c r="D29" s="15">
        <v>1956.84</v>
      </c>
      <c r="E29" s="15">
        <v>4.01</v>
      </c>
      <c r="F29" s="15">
        <v>0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 t="s">
        <v>3028</v>
      </c>
      <c r="O29" t="s">
        <v>3028</v>
      </c>
    </row>
    <row r="30" spans="1:15" x14ac:dyDescent="0.25">
      <c r="A30" s="10" t="s">
        <v>548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6264.7</v>
      </c>
      <c r="H30" s="15">
        <v>0</v>
      </c>
      <c r="I30" s="15">
        <v>0</v>
      </c>
      <c r="J30" s="15">
        <v>341.7</v>
      </c>
      <c r="K30" s="15">
        <v>0</v>
      </c>
      <c r="L30" s="15">
        <v>0</v>
      </c>
      <c r="M30" s="15">
        <v>0</v>
      </c>
      <c r="N30" s="15" t="s">
        <v>3028</v>
      </c>
      <c r="O30" t="s">
        <v>3028</v>
      </c>
    </row>
    <row r="31" spans="1:15" x14ac:dyDescent="0.25">
      <c r="A31" s="10" t="s">
        <v>566</v>
      </c>
      <c r="B31" s="15">
        <v>14739.83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 t="s">
        <v>3028</v>
      </c>
      <c r="O31" t="s">
        <v>3028</v>
      </c>
    </row>
    <row r="32" spans="1:15" x14ac:dyDescent="0.25">
      <c r="A32" s="10" t="s">
        <v>616</v>
      </c>
      <c r="B32" s="15">
        <v>0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49836.43</v>
      </c>
      <c r="J32" s="15">
        <v>1988.04</v>
      </c>
      <c r="K32" s="15">
        <v>0</v>
      </c>
      <c r="L32" s="15">
        <v>0</v>
      </c>
      <c r="M32" s="15">
        <v>0</v>
      </c>
      <c r="N32" s="15" t="s">
        <v>3028</v>
      </c>
      <c r="O32" t="s">
        <v>3028</v>
      </c>
    </row>
    <row r="33" spans="1:15" x14ac:dyDescent="0.25">
      <c r="A33" s="10" t="s">
        <v>626</v>
      </c>
      <c r="B33" s="15">
        <v>0</v>
      </c>
      <c r="C33" s="15">
        <v>6046.34</v>
      </c>
      <c r="D33" s="15">
        <v>0</v>
      </c>
      <c r="E33" s="15">
        <v>0</v>
      </c>
      <c r="F33" s="15">
        <v>0</v>
      </c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 t="s">
        <v>3028</v>
      </c>
      <c r="O33" t="s">
        <v>3028</v>
      </c>
    </row>
    <row r="34" spans="1:15" x14ac:dyDescent="0.25">
      <c r="A34" s="10" t="s">
        <v>628</v>
      </c>
      <c r="B34" s="15">
        <v>0</v>
      </c>
      <c r="C34" s="15">
        <v>0</v>
      </c>
      <c r="D34" s="15">
        <v>0</v>
      </c>
      <c r="E34" s="15">
        <v>16082.65</v>
      </c>
      <c r="F34" s="15">
        <v>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 t="s">
        <v>3028</v>
      </c>
      <c r="O34" t="s">
        <v>3028</v>
      </c>
    </row>
    <row r="35" spans="1:15" x14ac:dyDescent="0.25">
      <c r="A35" s="10" t="s">
        <v>648</v>
      </c>
      <c r="B35" s="15">
        <v>1746.09</v>
      </c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 t="s">
        <v>3028</v>
      </c>
      <c r="O35" t="s">
        <v>3028</v>
      </c>
    </row>
    <row r="36" spans="1:15" x14ac:dyDescent="0.25">
      <c r="A36" s="10" t="s">
        <v>662</v>
      </c>
      <c r="B36" s="15">
        <v>0</v>
      </c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3550.19</v>
      </c>
      <c r="M36" s="15">
        <v>0</v>
      </c>
      <c r="N36" s="15" t="s">
        <v>3028</v>
      </c>
      <c r="O36" t="s">
        <v>3028</v>
      </c>
    </row>
    <row r="37" spans="1:15" x14ac:dyDescent="0.25">
      <c r="A37" s="10" t="s">
        <v>668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150243.85</v>
      </c>
      <c r="L37" s="15">
        <v>0</v>
      </c>
      <c r="M37" s="15">
        <v>0</v>
      </c>
      <c r="N37" s="15" t="s">
        <v>3028</v>
      </c>
      <c r="O37" t="s">
        <v>3028</v>
      </c>
    </row>
    <row r="38" spans="1:15" x14ac:dyDescent="0.25">
      <c r="A38" s="10" t="s">
        <v>695</v>
      </c>
      <c r="B38" s="15">
        <v>0</v>
      </c>
      <c r="C38" s="15">
        <v>14279.31</v>
      </c>
      <c r="D38" s="15">
        <v>0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 t="s">
        <v>3028</v>
      </c>
      <c r="O38" t="s">
        <v>3028</v>
      </c>
    </row>
    <row r="39" spans="1:15" x14ac:dyDescent="0.25">
      <c r="A39" s="10" t="s">
        <v>701</v>
      </c>
      <c r="B39" s="15">
        <v>0</v>
      </c>
      <c r="C39" s="15">
        <v>0</v>
      </c>
      <c r="D39" s="15">
        <v>39953.03</v>
      </c>
      <c r="E39" s="15">
        <v>0</v>
      </c>
      <c r="F39" s="15">
        <v>0</v>
      </c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 t="s">
        <v>3028</v>
      </c>
      <c r="O39" t="s">
        <v>3028</v>
      </c>
    </row>
    <row r="40" spans="1:15" x14ac:dyDescent="0.25">
      <c r="A40" s="10" t="s">
        <v>705</v>
      </c>
      <c r="B40" s="15">
        <v>8189.12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 t="s">
        <v>3028</v>
      </c>
      <c r="O40" t="s">
        <v>3028</v>
      </c>
    </row>
    <row r="41" spans="1:15" x14ac:dyDescent="0.25">
      <c r="A41" s="10" t="s">
        <v>707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2650.27</v>
      </c>
      <c r="M41" s="15">
        <v>0</v>
      </c>
      <c r="N41" s="15" t="s">
        <v>3028</v>
      </c>
      <c r="O41" t="s">
        <v>3028</v>
      </c>
    </row>
    <row r="42" spans="1:15" x14ac:dyDescent="0.25">
      <c r="A42" s="10" t="s">
        <v>750</v>
      </c>
      <c r="B42" s="15">
        <v>0</v>
      </c>
      <c r="C42" s="15">
        <v>0</v>
      </c>
      <c r="D42" s="15">
        <v>0</v>
      </c>
      <c r="E42" s="15">
        <v>0</v>
      </c>
      <c r="F42" s="15">
        <v>7246.92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 t="s">
        <v>3028</v>
      </c>
      <c r="O42" t="s">
        <v>3028</v>
      </c>
    </row>
    <row r="43" spans="1:15" x14ac:dyDescent="0.25">
      <c r="A43" s="10" t="s">
        <v>762</v>
      </c>
      <c r="B43" s="15">
        <v>0</v>
      </c>
      <c r="C43" s="15">
        <v>0</v>
      </c>
      <c r="D43" s="15">
        <v>0</v>
      </c>
      <c r="E43" s="15">
        <v>0</v>
      </c>
      <c r="F43" s="15">
        <v>0</v>
      </c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6383.57</v>
      </c>
      <c r="M43" s="15">
        <v>0</v>
      </c>
      <c r="N43" s="15" t="s">
        <v>3028</v>
      </c>
      <c r="O43" t="s">
        <v>3028</v>
      </c>
    </row>
    <row r="44" spans="1:15" x14ac:dyDescent="0.25">
      <c r="A44" s="10" t="s">
        <v>788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5973.53</v>
      </c>
      <c r="M44" s="15">
        <v>0</v>
      </c>
      <c r="N44" s="15" t="s">
        <v>3028</v>
      </c>
      <c r="O44" t="s">
        <v>3028</v>
      </c>
    </row>
    <row r="45" spans="1:15" x14ac:dyDescent="0.25">
      <c r="A45" s="10" t="s">
        <v>796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4710.5</v>
      </c>
      <c r="J45" s="15">
        <v>17.190000000000001</v>
      </c>
      <c r="K45" s="15">
        <v>0</v>
      </c>
      <c r="L45" s="15">
        <v>0</v>
      </c>
      <c r="M45" s="15">
        <v>0</v>
      </c>
      <c r="N45" s="15" t="s">
        <v>3028</v>
      </c>
      <c r="O45" t="s">
        <v>3028</v>
      </c>
    </row>
    <row r="46" spans="1:15" x14ac:dyDescent="0.25">
      <c r="A46" s="10" t="s">
        <v>807</v>
      </c>
      <c r="B46" s="15">
        <v>0</v>
      </c>
      <c r="C46" s="15">
        <v>0</v>
      </c>
      <c r="D46" s="15">
        <v>21922.55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 t="s">
        <v>3028</v>
      </c>
      <c r="O46" t="s">
        <v>3028</v>
      </c>
    </row>
    <row r="47" spans="1:15" x14ac:dyDescent="0.25">
      <c r="A47" s="10" t="s">
        <v>842</v>
      </c>
      <c r="B47" s="15">
        <v>0</v>
      </c>
      <c r="C47" s="15">
        <v>0</v>
      </c>
      <c r="D47" s="15">
        <v>0</v>
      </c>
      <c r="E47" s="15">
        <v>5967.87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 t="s">
        <v>3028</v>
      </c>
      <c r="O47" t="s">
        <v>3028</v>
      </c>
    </row>
    <row r="48" spans="1:15" x14ac:dyDescent="0.25">
      <c r="A48" s="10" t="s">
        <v>848</v>
      </c>
      <c r="B48" s="15">
        <v>0</v>
      </c>
      <c r="C48" s="15">
        <v>0</v>
      </c>
      <c r="D48" s="15">
        <v>0</v>
      </c>
      <c r="E48" s="15">
        <v>47234.55</v>
      </c>
      <c r="F48" s="15">
        <v>0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 t="s">
        <v>3028</v>
      </c>
      <c r="O48" t="s">
        <v>3028</v>
      </c>
    </row>
    <row r="49" spans="1:15" x14ac:dyDescent="0.25">
      <c r="A49" s="10" t="s">
        <v>854</v>
      </c>
      <c r="B49" s="15">
        <v>0</v>
      </c>
      <c r="C49" s="15">
        <v>0</v>
      </c>
      <c r="D49" s="15">
        <v>10458.030000000001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 t="s">
        <v>3028</v>
      </c>
      <c r="O49" t="s">
        <v>3028</v>
      </c>
    </row>
    <row r="50" spans="1:15" x14ac:dyDescent="0.25">
      <c r="A50" s="10" t="s">
        <v>858</v>
      </c>
      <c r="B50" s="15">
        <v>0</v>
      </c>
      <c r="C50" s="15">
        <v>0</v>
      </c>
      <c r="D50" s="15">
        <v>3465.09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 t="s">
        <v>3028</v>
      </c>
      <c r="O50" t="s">
        <v>3028</v>
      </c>
    </row>
    <row r="51" spans="1:15" x14ac:dyDescent="0.25">
      <c r="A51" s="10" t="s">
        <v>876</v>
      </c>
      <c r="B51" s="15">
        <v>0</v>
      </c>
      <c r="C51" s="15">
        <v>2435.8200000000002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 t="s">
        <v>3028</v>
      </c>
      <c r="O51" t="s">
        <v>3028</v>
      </c>
    </row>
    <row r="52" spans="1:15" x14ac:dyDescent="0.25">
      <c r="A52" s="10" t="s">
        <v>920</v>
      </c>
      <c r="B52" s="15">
        <v>2413.5300000000002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 t="s">
        <v>3028</v>
      </c>
      <c r="O52" t="s">
        <v>3028</v>
      </c>
    </row>
    <row r="53" spans="1:15" x14ac:dyDescent="0.25">
      <c r="A53" s="10" t="s">
        <v>926</v>
      </c>
      <c r="B53" s="15">
        <v>0</v>
      </c>
      <c r="C53" s="15">
        <v>0</v>
      </c>
      <c r="D53" s="15">
        <v>12048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 t="s">
        <v>3028</v>
      </c>
      <c r="O53" t="s">
        <v>3028</v>
      </c>
    </row>
    <row r="54" spans="1:15" x14ac:dyDescent="0.25">
      <c r="A54" s="10" t="s">
        <v>932</v>
      </c>
      <c r="B54" s="15">
        <v>0</v>
      </c>
      <c r="C54" s="15">
        <v>0</v>
      </c>
      <c r="D54" s="15">
        <v>0</v>
      </c>
      <c r="E54" s="15">
        <v>0</v>
      </c>
      <c r="F54" s="15">
        <v>5319.27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 t="s">
        <v>3028</v>
      </c>
      <c r="O54" t="s">
        <v>3028</v>
      </c>
    </row>
    <row r="55" spans="1:15" x14ac:dyDescent="0.25">
      <c r="A55" s="10" t="s">
        <v>958</v>
      </c>
      <c r="B55" s="15">
        <v>0</v>
      </c>
      <c r="C55" s="15">
        <v>0</v>
      </c>
      <c r="D55" s="15">
        <v>0</v>
      </c>
      <c r="E55" s="15">
        <v>5372.47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 t="s">
        <v>3028</v>
      </c>
      <c r="O55" t="s">
        <v>3028</v>
      </c>
    </row>
    <row r="56" spans="1:15" x14ac:dyDescent="0.25">
      <c r="A56" s="10" t="s">
        <v>962</v>
      </c>
      <c r="B56" s="15">
        <v>0</v>
      </c>
      <c r="C56" s="15">
        <v>0</v>
      </c>
      <c r="D56" s="15">
        <v>7006.63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 t="s">
        <v>3028</v>
      </c>
      <c r="O56" t="s">
        <v>3028</v>
      </c>
    </row>
    <row r="57" spans="1:15" x14ac:dyDescent="0.25">
      <c r="A57" s="10" t="s">
        <v>984</v>
      </c>
      <c r="B57" s="15">
        <v>0</v>
      </c>
      <c r="C57" s="15">
        <v>0</v>
      </c>
      <c r="D57" s="15">
        <v>3435.54</v>
      </c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 t="s">
        <v>3028</v>
      </c>
      <c r="O57" t="s">
        <v>3028</v>
      </c>
    </row>
    <row r="58" spans="1:15" x14ac:dyDescent="0.25">
      <c r="A58" s="10" t="s">
        <v>992</v>
      </c>
      <c r="B58" s="15">
        <v>0</v>
      </c>
      <c r="C58" s="15">
        <v>0</v>
      </c>
      <c r="D58" s="15">
        <v>7355.88</v>
      </c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 t="s">
        <v>3028</v>
      </c>
      <c r="O58" t="s">
        <v>3028</v>
      </c>
    </row>
    <row r="59" spans="1:15" x14ac:dyDescent="0.25">
      <c r="A59" s="10" t="s">
        <v>1012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2415.89</v>
      </c>
      <c r="M59" s="15">
        <v>0</v>
      </c>
      <c r="N59" s="15" t="s">
        <v>3028</v>
      </c>
      <c r="O59" t="s">
        <v>3028</v>
      </c>
    </row>
    <row r="60" spans="1:15" x14ac:dyDescent="0.25">
      <c r="A60" s="10" t="s">
        <v>1059</v>
      </c>
      <c r="B60" s="15">
        <v>0</v>
      </c>
      <c r="C60" s="15">
        <v>0</v>
      </c>
      <c r="D60" s="15">
        <v>0</v>
      </c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2179.02</v>
      </c>
      <c r="K60" s="15">
        <v>0</v>
      </c>
      <c r="L60" s="15">
        <v>0</v>
      </c>
      <c r="M60" s="15">
        <v>0</v>
      </c>
      <c r="N60" s="15" t="s">
        <v>3028</v>
      </c>
      <c r="O60" t="s">
        <v>3028</v>
      </c>
    </row>
    <row r="61" spans="1:15" x14ac:dyDescent="0.25">
      <c r="A61" s="10" t="s">
        <v>1065</v>
      </c>
      <c r="B61" s="15">
        <v>0</v>
      </c>
      <c r="C61" s="15">
        <v>0</v>
      </c>
      <c r="D61" s="15">
        <v>2470.85</v>
      </c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 t="s">
        <v>3028</v>
      </c>
      <c r="O61" t="s">
        <v>3028</v>
      </c>
    </row>
    <row r="62" spans="1:15" x14ac:dyDescent="0.25">
      <c r="A62" s="10" t="s">
        <v>1067</v>
      </c>
      <c r="B62" s="15">
        <v>0</v>
      </c>
      <c r="C62" s="15">
        <v>0</v>
      </c>
      <c r="D62" s="15">
        <v>6811.03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 t="s">
        <v>3028</v>
      </c>
      <c r="O62" t="s">
        <v>3028</v>
      </c>
    </row>
    <row r="63" spans="1:15" x14ac:dyDescent="0.25">
      <c r="A63" s="10" t="s">
        <v>1077</v>
      </c>
      <c r="B63" s="15">
        <v>0</v>
      </c>
      <c r="C63" s="15">
        <v>0</v>
      </c>
      <c r="D63" s="15">
        <v>0</v>
      </c>
      <c r="E63" s="15">
        <v>0</v>
      </c>
      <c r="F63" s="15">
        <v>0</v>
      </c>
      <c r="G63" s="15">
        <v>0</v>
      </c>
      <c r="H63" s="15">
        <v>3025.87</v>
      </c>
      <c r="I63" s="15">
        <v>1782</v>
      </c>
      <c r="J63" s="15">
        <v>0</v>
      </c>
      <c r="K63" s="15">
        <v>0</v>
      </c>
      <c r="L63" s="15">
        <v>0</v>
      </c>
      <c r="M63" s="15">
        <v>0</v>
      </c>
      <c r="N63" s="15" t="s">
        <v>3028</v>
      </c>
      <c r="O63" t="s">
        <v>3028</v>
      </c>
    </row>
    <row r="64" spans="1:15" x14ac:dyDescent="0.25">
      <c r="A64" s="10" t="s">
        <v>1087</v>
      </c>
      <c r="B64" s="15">
        <v>0</v>
      </c>
      <c r="C64" s="15">
        <v>0</v>
      </c>
      <c r="D64" s="15">
        <v>0</v>
      </c>
      <c r="E64" s="15">
        <v>0</v>
      </c>
      <c r="F64" s="15">
        <v>3783.19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 t="s">
        <v>3028</v>
      </c>
      <c r="O64" t="s">
        <v>3028</v>
      </c>
    </row>
    <row r="65" spans="1:15" x14ac:dyDescent="0.25">
      <c r="A65" s="10" t="s">
        <v>1095</v>
      </c>
      <c r="B65" s="15">
        <v>0</v>
      </c>
      <c r="C65" s="15">
        <v>0</v>
      </c>
      <c r="D65" s="15">
        <v>7471.16</v>
      </c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 t="s">
        <v>3028</v>
      </c>
      <c r="O65" t="s">
        <v>3028</v>
      </c>
    </row>
    <row r="66" spans="1:15" x14ac:dyDescent="0.25">
      <c r="A66" s="10" t="s">
        <v>1109</v>
      </c>
      <c r="B66" s="15">
        <v>0</v>
      </c>
      <c r="C66" s="15">
        <v>0</v>
      </c>
      <c r="D66" s="15">
        <v>4879.93</v>
      </c>
      <c r="E66" s="15">
        <v>0</v>
      </c>
      <c r="F66" s="15">
        <v>0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 t="s">
        <v>3028</v>
      </c>
      <c r="O66" t="s">
        <v>3028</v>
      </c>
    </row>
    <row r="67" spans="1:15" x14ac:dyDescent="0.25">
      <c r="A67" s="10" t="s">
        <v>1111</v>
      </c>
      <c r="B67" s="15">
        <v>0</v>
      </c>
      <c r="C67" s="15">
        <v>2882.98</v>
      </c>
      <c r="D67" s="15">
        <v>0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 t="s">
        <v>3028</v>
      </c>
      <c r="O67" t="s">
        <v>3028</v>
      </c>
    </row>
    <row r="68" spans="1:15" x14ac:dyDescent="0.25">
      <c r="A68" s="10" t="s">
        <v>1129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2103.2600000000002</v>
      </c>
      <c r="H68" s="15">
        <v>0</v>
      </c>
      <c r="I68" s="15">
        <v>0</v>
      </c>
      <c r="J68" s="15">
        <v>149.63999999999999</v>
      </c>
      <c r="K68" s="15">
        <v>0</v>
      </c>
      <c r="L68" s="15">
        <v>0</v>
      </c>
      <c r="M68" s="15">
        <v>0</v>
      </c>
      <c r="N68" s="15" t="s">
        <v>3028</v>
      </c>
      <c r="O68" t="s">
        <v>3028</v>
      </c>
    </row>
    <row r="69" spans="1:15" x14ac:dyDescent="0.25">
      <c r="A69" s="10" t="s">
        <v>1135</v>
      </c>
      <c r="B69" s="15">
        <v>7262.52</v>
      </c>
      <c r="C69" s="15">
        <v>0</v>
      </c>
      <c r="D69" s="15">
        <v>0</v>
      </c>
      <c r="E69" s="15">
        <v>0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 t="s">
        <v>3028</v>
      </c>
      <c r="O69" t="s">
        <v>3028</v>
      </c>
    </row>
    <row r="70" spans="1:15" x14ac:dyDescent="0.25">
      <c r="A70" s="10" t="s">
        <v>1151</v>
      </c>
      <c r="B70" s="15">
        <v>4358.16</v>
      </c>
      <c r="C70" s="15">
        <v>0</v>
      </c>
      <c r="D70" s="15">
        <v>0</v>
      </c>
      <c r="E70" s="15">
        <v>0</v>
      </c>
      <c r="F70" s="15">
        <v>0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 t="s">
        <v>3028</v>
      </c>
      <c r="O70" t="s">
        <v>3028</v>
      </c>
    </row>
    <row r="71" spans="1:15" x14ac:dyDescent="0.25">
      <c r="A71" s="10" t="s">
        <v>1163</v>
      </c>
      <c r="B71" s="15">
        <v>0</v>
      </c>
      <c r="C71" s="15">
        <v>0</v>
      </c>
      <c r="D71" s="15">
        <v>0</v>
      </c>
      <c r="E71" s="15">
        <v>0</v>
      </c>
      <c r="F71" s="15">
        <v>0</v>
      </c>
      <c r="G71" s="15">
        <v>0</v>
      </c>
      <c r="H71" s="15">
        <v>0</v>
      </c>
      <c r="I71" s="15">
        <v>3258.26</v>
      </c>
      <c r="J71" s="15">
        <v>176.2</v>
      </c>
      <c r="K71" s="15">
        <v>0</v>
      </c>
      <c r="L71" s="15">
        <v>0</v>
      </c>
      <c r="M71" s="15">
        <v>0</v>
      </c>
      <c r="N71" s="15" t="s">
        <v>3028</v>
      </c>
      <c r="O71" t="s">
        <v>3028</v>
      </c>
    </row>
    <row r="72" spans="1:15" x14ac:dyDescent="0.25">
      <c r="A72" s="10" t="s">
        <v>1173</v>
      </c>
      <c r="B72" s="15">
        <v>0</v>
      </c>
      <c r="C72" s="15">
        <v>0</v>
      </c>
      <c r="D72" s="15">
        <v>0</v>
      </c>
      <c r="E72" s="15">
        <v>0</v>
      </c>
      <c r="F72" s="15">
        <v>2428.27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 t="s">
        <v>3028</v>
      </c>
      <c r="O72" t="s">
        <v>3028</v>
      </c>
    </row>
    <row r="73" spans="1:15" x14ac:dyDescent="0.25">
      <c r="A73" s="10" t="s">
        <v>1183</v>
      </c>
      <c r="B73" s="15">
        <v>2513.5500000000002</v>
      </c>
      <c r="C73" s="15">
        <v>0</v>
      </c>
      <c r="D73" s="15">
        <v>0</v>
      </c>
      <c r="E73" s="15">
        <v>0</v>
      </c>
      <c r="F73" s="15">
        <v>0</v>
      </c>
      <c r="G73" s="15">
        <v>0</v>
      </c>
      <c r="H73" s="15">
        <v>0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 t="s">
        <v>3028</v>
      </c>
      <c r="O73" t="s">
        <v>3028</v>
      </c>
    </row>
    <row r="74" spans="1:15" x14ac:dyDescent="0.25">
      <c r="A74" s="10" t="s">
        <v>1195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6920.66</v>
      </c>
      <c r="K74" s="15">
        <v>0</v>
      </c>
      <c r="L74" s="15">
        <v>0</v>
      </c>
      <c r="M74" s="15">
        <v>0</v>
      </c>
      <c r="N74" s="15" t="s">
        <v>3028</v>
      </c>
      <c r="O74" t="s">
        <v>3028</v>
      </c>
    </row>
    <row r="75" spans="1:15" x14ac:dyDescent="0.25">
      <c r="A75" s="10" t="s">
        <v>1203</v>
      </c>
      <c r="B75" s="15">
        <v>0</v>
      </c>
      <c r="C75" s="15">
        <v>0</v>
      </c>
      <c r="D75" s="15">
        <v>6338.81</v>
      </c>
      <c r="E75" s="15">
        <v>0</v>
      </c>
      <c r="F75" s="15">
        <v>0</v>
      </c>
      <c r="G75" s="15">
        <v>0</v>
      </c>
      <c r="H75" s="15">
        <v>0</v>
      </c>
      <c r="I75" s="15">
        <v>0</v>
      </c>
      <c r="J75" s="15">
        <v>0</v>
      </c>
      <c r="K75" s="15">
        <v>0</v>
      </c>
      <c r="L75" s="15">
        <v>0</v>
      </c>
      <c r="M75" s="15">
        <v>0</v>
      </c>
      <c r="N75" s="15" t="s">
        <v>3028</v>
      </c>
      <c r="O75" t="s">
        <v>3028</v>
      </c>
    </row>
    <row r="76" spans="1:15" x14ac:dyDescent="0.25">
      <c r="A76" s="10" t="s">
        <v>1233</v>
      </c>
      <c r="B76" s="15">
        <v>0</v>
      </c>
      <c r="C76" s="15">
        <v>0</v>
      </c>
      <c r="D76" s="15">
        <v>0</v>
      </c>
      <c r="E76" s="15">
        <v>0</v>
      </c>
      <c r="F76" s="15">
        <v>0</v>
      </c>
      <c r="G76" s="15">
        <v>0</v>
      </c>
      <c r="H76" s="15">
        <v>0</v>
      </c>
      <c r="I76" s="15">
        <v>0</v>
      </c>
      <c r="J76" s="15">
        <v>0</v>
      </c>
      <c r="K76" s="15">
        <v>4071.09</v>
      </c>
      <c r="L76" s="15">
        <v>0</v>
      </c>
      <c r="M76" s="15">
        <v>0</v>
      </c>
      <c r="N76" s="15" t="s">
        <v>3028</v>
      </c>
      <c r="O76" t="s">
        <v>3028</v>
      </c>
    </row>
    <row r="77" spans="1:15" x14ac:dyDescent="0.25">
      <c r="A77" s="10" t="s">
        <v>1245</v>
      </c>
      <c r="B77" s="15">
        <v>2352.13</v>
      </c>
      <c r="C77" s="15">
        <v>0</v>
      </c>
      <c r="D77" s="15">
        <v>0</v>
      </c>
      <c r="E77" s="15">
        <v>0</v>
      </c>
      <c r="F77" s="15">
        <v>0</v>
      </c>
      <c r="G77" s="15">
        <v>0</v>
      </c>
      <c r="H77" s="15">
        <v>0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 t="s">
        <v>3028</v>
      </c>
      <c r="O77" t="s">
        <v>3028</v>
      </c>
    </row>
    <row r="78" spans="1:15" x14ac:dyDescent="0.25">
      <c r="A78" s="10" t="s">
        <v>1277</v>
      </c>
      <c r="B78" s="15">
        <v>0</v>
      </c>
      <c r="C78" s="15">
        <v>0</v>
      </c>
      <c r="D78" s="15">
        <v>0</v>
      </c>
      <c r="E78" s="15">
        <v>0</v>
      </c>
      <c r="F78" s="15">
        <v>0</v>
      </c>
      <c r="G78" s="15">
        <v>0</v>
      </c>
      <c r="H78" s="15">
        <v>1919.43</v>
      </c>
      <c r="I78" s="15">
        <v>0</v>
      </c>
      <c r="J78" s="15">
        <v>150.21</v>
      </c>
      <c r="K78" s="15">
        <v>0</v>
      </c>
      <c r="L78" s="15">
        <v>0</v>
      </c>
      <c r="M78" s="15">
        <v>0</v>
      </c>
      <c r="N78" s="15" t="s">
        <v>3028</v>
      </c>
      <c r="O78" t="s">
        <v>3028</v>
      </c>
    </row>
    <row r="79" spans="1:15" x14ac:dyDescent="0.25">
      <c r="A79" s="10" t="s">
        <v>1363</v>
      </c>
      <c r="B79" s="15">
        <v>0</v>
      </c>
      <c r="C79" s="15">
        <v>0</v>
      </c>
      <c r="D79" s="15">
        <v>0</v>
      </c>
      <c r="E79" s="15">
        <v>2508.23</v>
      </c>
      <c r="F79" s="15">
        <v>0</v>
      </c>
      <c r="G79" s="15">
        <v>0</v>
      </c>
      <c r="H79" s="15">
        <v>0</v>
      </c>
      <c r="I79" s="15">
        <v>0</v>
      </c>
      <c r="J79" s="15">
        <v>0</v>
      </c>
      <c r="K79" s="15">
        <v>0</v>
      </c>
      <c r="L79" s="15">
        <v>0</v>
      </c>
      <c r="M79" s="15">
        <v>0</v>
      </c>
      <c r="N79" s="15" t="s">
        <v>3028</v>
      </c>
      <c r="O79" t="s">
        <v>3028</v>
      </c>
    </row>
    <row r="80" spans="1:15" x14ac:dyDescent="0.25">
      <c r="A80" s="10" t="s">
        <v>1379</v>
      </c>
      <c r="B80" s="15">
        <v>0</v>
      </c>
      <c r="C80" s="15">
        <v>0</v>
      </c>
      <c r="D80" s="15">
        <v>0</v>
      </c>
      <c r="E80" s="15">
        <v>0</v>
      </c>
      <c r="F80" s="15">
        <v>0</v>
      </c>
      <c r="G80" s="15">
        <v>0</v>
      </c>
      <c r="H80" s="15">
        <v>1642.91</v>
      </c>
      <c r="I80" s="15">
        <v>0</v>
      </c>
      <c r="J80" s="15">
        <v>136.18</v>
      </c>
      <c r="K80" s="15">
        <v>0</v>
      </c>
      <c r="L80" s="15">
        <v>0</v>
      </c>
      <c r="M80" s="15">
        <v>0</v>
      </c>
      <c r="N80" s="15" t="s">
        <v>3028</v>
      </c>
      <c r="O80" t="s">
        <v>3028</v>
      </c>
    </row>
    <row r="81" spans="1:15" x14ac:dyDescent="0.25">
      <c r="A81" s="10" t="s">
        <v>1383</v>
      </c>
      <c r="B81" s="15">
        <v>4352.1099999999997</v>
      </c>
      <c r="C81" s="15">
        <v>0</v>
      </c>
      <c r="D81" s="15">
        <v>0</v>
      </c>
      <c r="E81" s="15">
        <v>0</v>
      </c>
      <c r="F81" s="15">
        <v>0</v>
      </c>
      <c r="G81" s="15">
        <v>0</v>
      </c>
      <c r="H81" s="15">
        <v>0</v>
      </c>
      <c r="I81" s="15">
        <v>0</v>
      </c>
      <c r="J81" s="15">
        <v>0</v>
      </c>
      <c r="K81" s="15">
        <v>0</v>
      </c>
      <c r="L81" s="15">
        <v>0</v>
      </c>
      <c r="M81" s="15">
        <v>0</v>
      </c>
      <c r="N81" s="15" t="s">
        <v>3028</v>
      </c>
      <c r="O81" t="s">
        <v>3028</v>
      </c>
    </row>
    <row r="82" spans="1:15" x14ac:dyDescent="0.25">
      <c r="A82" s="10" t="s">
        <v>1385</v>
      </c>
      <c r="B82" s="15">
        <v>0</v>
      </c>
      <c r="C82" s="15">
        <v>0</v>
      </c>
      <c r="D82" s="15">
        <v>0</v>
      </c>
      <c r="E82" s="15">
        <v>0</v>
      </c>
      <c r="F82" s="15">
        <v>1799.39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 t="s">
        <v>3028</v>
      </c>
      <c r="O82" t="s">
        <v>3028</v>
      </c>
    </row>
    <row r="83" spans="1:15" x14ac:dyDescent="0.25">
      <c r="A83" s="10" t="s">
        <v>1393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9753.6</v>
      </c>
      <c r="L83" s="15">
        <v>0</v>
      </c>
      <c r="M83" s="15">
        <v>0</v>
      </c>
      <c r="N83" s="15" t="s">
        <v>3028</v>
      </c>
      <c r="O83" t="s">
        <v>3028</v>
      </c>
    </row>
    <row r="84" spans="1:15" x14ac:dyDescent="0.25">
      <c r="A84" s="10" t="s">
        <v>1401</v>
      </c>
      <c r="B84" s="15">
        <v>0</v>
      </c>
      <c r="C84" s="15">
        <v>0</v>
      </c>
      <c r="D84" s="15">
        <v>8542.74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 t="s">
        <v>3028</v>
      </c>
      <c r="O84" t="s">
        <v>3028</v>
      </c>
    </row>
    <row r="85" spans="1:15" x14ac:dyDescent="0.25">
      <c r="A85" s="10" t="s">
        <v>1435</v>
      </c>
      <c r="B85" s="15">
        <v>0</v>
      </c>
      <c r="C85" s="15">
        <v>0</v>
      </c>
      <c r="D85" s="15">
        <v>0</v>
      </c>
      <c r="E85" s="15">
        <v>0</v>
      </c>
      <c r="F85" s="15">
        <v>0</v>
      </c>
      <c r="G85" s="15">
        <v>0</v>
      </c>
      <c r="H85" s="15">
        <v>0</v>
      </c>
      <c r="I85" s="15">
        <v>4170.71</v>
      </c>
      <c r="J85" s="15">
        <v>247.3</v>
      </c>
      <c r="K85" s="15">
        <v>1.38</v>
      </c>
      <c r="L85" s="15">
        <v>0</v>
      </c>
      <c r="M85" s="15">
        <v>0</v>
      </c>
      <c r="N85" s="15" t="s">
        <v>3028</v>
      </c>
      <c r="O85" t="s">
        <v>3028</v>
      </c>
    </row>
    <row r="86" spans="1:15" x14ac:dyDescent="0.25">
      <c r="A86" s="10" t="s">
        <v>1446</v>
      </c>
      <c r="B86" s="15">
        <v>0</v>
      </c>
      <c r="C86" s="15">
        <v>0</v>
      </c>
      <c r="D86" s="15">
        <v>3899.17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 t="s">
        <v>3028</v>
      </c>
      <c r="O86" t="s">
        <v>3028</v>
      </c>
    </row>
    <row r="87" spans="1:15" x14ac:dyDescent="0.25">
      <c r="A87" s="10" t="s">
        <v>1452</v>
      </c>
      <c r="B87" s="15">
        <v>0</v>
      </c>
      <c r="C87" s="15">
        <v>0</v>
      </c>
      <c r="D87" s="15">
        <v>0</v>
      </c>
      <c r="E87" s="15">
        <v>0</v>
      </c>
      <c r="F87" s="15">
        <v>0</v>
      </c>
      <c r="G87" s="15">
        <v>0</v>
      </c>
      <c r="H87" s="15">
        <v>3853.47</v>
      </c>
      <c r="I87" s="15">
        <v>0</v>
      </c>
      <c r="J87" s="15">
        <v>200.15</v>
      </c>
      <c r="K87" s="15">
        <v>0</v>
      </c>
      <c r="L87" s="15">
        <v>0</v>
      </c>
      <c r="M87" s="15">
        <v>0</v>
      </c>
      <c r="N87" s="15" t="s">
        <v>3028</v>
      </c>
      <c r="O87" t="s">
        <v>3028</v>
      </c>
    </row>
    <row r="88" spans="1:15" x14ac:dyDescent="0.25">
      <c r="A88" s="10" t="s">
        <v>1456</v>
      </c>
      <c r="B88" s="15">
        <v>0</v>
      </c>
      <c r="C88" s="15">
        <v>0</v>
      </c>
      <c r="D88" s="15">
        <v>0</v>
      </c>
      <c r="E88" s="15">
        <v>2419.15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 t="s">
        <v>3028</v>
      </c>
      <c r="O88" t="s">
        <v>3028</v>
      </c>
    </row>
    <row r="89" spans="1:15" x14ac:dyDescent="0.25">
      <c r="A89" s="10" t="s">
        <v>1466</v>
      </c>
      <c r="B89" s="15">
        <v>0</v>
      </c>
      <c r="C89" s="15">
        <v>0</v>
      </c>
      <c r="D89" s="15">
        <v>0</v>
      </c>
      <c r="E89" s="15">
        <v>0</v>
      </c>
      <c r="F89" s="15">
        <v>0</v>
      </c>
      <c r="G89" s="15">
        <v>3444.4</v>
      </c>
      <c r="H89" s="15">
        <v>0</v>
      </c>
      <c r="I89" s="15">
        <v>0</v>
      </c>
      <c r="J89" s="15">
        <v>178.17</v>
      </c>
      <c r="K89" s="15">
        <v>0</v>
      </c>
      <c r="L89" s="15">
        <v>0</v>
      </c>
      <c r="M89" s="15">
        <v>0</v>
      </c>
      <c r="N89" s="15" t="s">
        <v>3028</v>
      </c>
      <c r="O89" t="s">
        <v>3028</v>
      </c>
    </row>
    <row r="90" spans="1:15" x14ac:dyDescent="0.25">
      <c r="A90" s="10" t="s">
        <v>1490</v>
      </c>
      <c r="B90" s="15">
        <v>4076.93</v>
      </c>
      <c r="C90" s="15">
        <v>0</v>
      </c>
      <c r="D90" s="15">
        <v>0</v>
      </c>
      <c r="E90" s="15">
        <v>0</v>
      </c>
      <c r="F90" s="15">
        <v>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 t="s">
        <v>3028</v>
      </c>
      <c r="O90" t="s">
        <v>3028</v>
      </c>
    </row>
    <row r="91" spans="1:15" x14ac:dyDescent="0.25">
      <c r="A91" s="10" t="s">
        <v>1552</v>
      </c>
      <c r="B91" s="15">
        <v>0</v>
      </c>
      <c r="C91" s="15">
        <v>0</v>
      </c>
      <c r="D91" s="15">
        <v>0</v>
      </c>
      <c r="E91" s="15">
        <v>0</v>
      </c>
      <c r="F91" s="15">
        <v>0</v>
      </c>
      <c r="G91" s="15">
        <v>0</v>
      </c>
      <c r="H91" s="15">
        <v>0</v>
      </c>
      <c r="I91" s="15">
        <v>0</v>
      </c>
      <c r="J91" s="15">
        <v>61228.63</v>
      </c>
      <c r="K91" s="15">
        <v>0</v>
      </c>
      <c r="L91" s="15">
        <v>0</v>
      </c>
      <c r="M91" s="15">
        <v>0</v>
      </c>
      <c r="N91" s="15" t="s">
        <v>3028</v>
      </c>
      <c r="O91" t="s">
        <v>3028</v>
      </c>
    </row>
    <row r="92" spans="1:15" x14ac:dyDescent="0.25">
      <c r="A92" s="10" t="s">
        <v>1580</v>
      </c>
      <c r="B92" s="15">
        <v>0</v>
      </c>
      <c r="C92" s="15">
        <v>4829.32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 t="s">
        <v>3028</v>
      </c>
      <c r="O92" t="s">
        <v>3028</v>
      </c>
    </row>
    <row r="93" spans="1:15" x14ac:dyDescent="0.25">
      <c r="A93" s="10" t="s">
        <v>1584</v>
      </c>
      <c r="B93" s="15">
        <v>0</v>
      </c>
      <c r="C93" s="15">
        <v>0</v>
      </c>
      <c r="D93" s="15">
        <v>0</v>
      </c>
      <c r="E93" s="15">
        <v>0</v>
      </c>
      <c r="F93" s="15">
        <v>0</v>
      </c>
      <c r="G93" s="15">
        <v>0</v>
      </c>
      <c r="H93" s="15">
        <v>0</v>
      </c>
      <c r="I93" s="15">
        <v>0</v>
      </c>
      <c r="J93" s="15">
        <v>0</v>
      </c>
      <c r="K93" s="15">
        <v>5696.54</v>
      </c>
      <c r="L93" s="15">
        <v>0</v>
      </c>
      <c r="M93" s="15">
        <v>0</v>
      </c>
      <c r="N93" s="15" t="s">
        <v>3028</v>
      </c>
      <c r="O93" t="s">
        <v>3028</v>
      </c>
    </row>
    <row r="94" spans="1:15" x14ac:dyDescent="0.25">
      <c r="A94" s="10" t="s">
        <v>1586</v>
      </c>
      <c r="B94" s="15">
        <v>0</v>
      </c>
      <c r="C94" s="15">
        <v>4615.16</v>
      </c>
      <c r="D94" s="15">
        <v>0</v>
      </c>
      <c r="E94" s="15">
        <v>0</v>
      </c>
      <c r="F94" s="15">
        <v>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 t="s">
        <v>3028</v>
      </c>
      <c r="O94" t="s">
        <v>3028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0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9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7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6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5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7.8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4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8"/>
  <dimension ref="A1:O2"/>
  <sheetViews>
    <sheetView workbookViewId="0">
      <selection activeCell="B2" sqref="B2:N2"/>
    </sheetView>
  </sheetViews>
  <sheetFormatPr defaultRowHeight="12" x14ac:dyDescent="0.2"/>
  <cols>
    <col min="1" max="1" width="11.375" style="10" customWidth="1"/>
    <col min="2" max="14" width="11.625" style="15" customWidth="1"/>
    <col min="15" max="15" width="9" style="15"/>
    <col min="16" max="16384" width="9" style="9"/>
  </cols>
  <sheetData>
    <row r="1" spans="1:15" customFormat="1" ht="47.85" customHeight="1" x14ac:dyDescent="0.25">
      <c r="A1" s="27" t="s">
        <v>43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16"/>
    </row>
    <row r="2" spans="1:15" customFormat="1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  <c r="O2" s="16"/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3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2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1"/>
  <dimension ref="A1:N2"/>
  <sheetViews>
    <sheetView workbookViewId="0">
      <selection sqref="A1:N1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36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0"/>
  <dimension ref="A1:O560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5" ht="47.85" customHeight="1" x14ac:dyDescent="0.25">
      <c r="A1" s="27" t="s">
        <v>35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250883,37</v>
      </c>
      <c r="C2" s="14" t="str">
        <f>CONCATENATE("FEVEREIRO",CHAR(10),"TOTAL: ",ROUND(SUM(C3:C1048576),2))</f>
        <v>FEVEREIRO
TOTAL: 259911,9</v>
      </c>
      <c r="D2" s="14" t="str">
        <f>CONCATENATE("MARÇO",CHAR(10),"TOTAL: ",ROUND(SUM(D3:D1048576),2))</f>
        <v>MARÇO
TOTAL: 264240,01</v>
      </c>
      <c r="E2" s="14" t="str">
        <f>CONCATENATE("ABRIL",CHAR(10),"TOTAL: ",ROUND(SUM(E3:E1048576),2))</f>
        <v>ABRIL
TOTAL: 243838,6</v>
      </c>
      <c r="F2" s="14" t="str">
        <f>CONCATENATE("MAIO",CHAR(10),"TOTAL: ",ROUND(SUM(F3:F1048576),2))</f>
        <v>MAIO
TOTAL: 261454,95</v>
      </c>
      <c r="G2" s="14" t="str">
        <f>CONCATENATE("JUNHO",CHAR(10),"TOTAL: ",ROUND(SUM(G3:G1048576),2))</f>
        <v>JUNHO
TOTAL: 289233,37</v>
      </c>
      <c r="H2" s="14" t="str">
        <f>CONCATENATE("JULHO",CHAR(10),"TOTAL: ",ROUND(SUM(H3:H1048576),2))</f>
        <v>JULHO
TOTAL: 261557,53</v>
      </c>
      <c r="I2" s="14" t="str">
        <f>CONCATENATE("AGOSTO",CHAR(10),"TOTAL: ",ROUND(SUM(I3:I1048576),2))</f>
        <v>AGOSTO
TOTAL: 409535,25</v>
      </c>
      <c r="J2" s="14" t="str">
        <f>CONCATENATE("SETEMBRO",CHAR(10),"TOTAL: ",ROUND(SUM(J3:J1048576),2))</f>
        <v>SETEMBRO
TOTAL: 301450,08</v>
      </c>
      <c r="K2" s="14" t="str">
        <f>CONCATENATE("OUTUBRO",CHAR(10),"TOTAL: ",ROUND(SUM(K3:K1048576),2))</f>
        <v>OUTUBRO
TOTAL: 297295,46</v>
      </c>
      <c r="L2" s="14" t="str">
        <f>CONCATENATE("NOVEMBRO",CHAR(10),"TOTAL: ",ROUND(SUM(L3:L1048576),2))</f>
        <v>NOVEMBRO
TOTAL: 286179,02</v>
      </c>
      <c r="M2" s="14" t="str">
        <f>CONCATENATE("DEZEMBRO",CHAR(10),"TOTAL: ",ROUND(SUM(M3:M1048576),2))</f>
        <v>DEZEMBRO
TOTAL: 292290,89</v>
      </c>
      <c r="N2" s="14" t="str">
        <f>CONCATENATE("DEC. TERCEIRO",CHAR(10),"TOTAL: ",ROUND(SUM(N3:N1048576),2))</f>
        <v>DEC. TERCEIRO
TOTAL: 232577,76</v>
      </c>
    </row>
    <row r="3" spans="1:15" x14ac:dyDescent="0.25">
      <c r="A3" s="10" t="s">
        <v>93</v>
      </c>
      <c r="B3" s="15">
        <v>0</v>
      </c>
      <c r="C3" s="15">
        <v>0</v>
      </c>
      <c r="D3" s="15">
        <v>169.2</v>
      </c>
      <c r="E3" s="15">
        <v>169.2</v>
      </c>
      <c r="F3" s="15">
        <v>169.2</v>
      </c>
      <c r="G3" s="15">
        <v>109.48</v>
      </c>
      <c r="H3" s="15">
        <v>130.72</v>
      </c>
      <c r="I3" s="15">
        <v>337.19</v>
      </c>
      <c r="J3" s="15">
        <v>231.25</v>
      </c>
      <c r="K3" s="15">
        <v>231.25</v>
      </c>
      <c r="L3" s="15">
        <v>231.25</v>
      </c>
      <c r="M3" s="15">
        <v>231.25</v>
      </c>
      <c r="N3" s="15">
        <v>122.34</v>
      </c>
      <c r="O3" t="s">
        <v>3028</v>
      </c>
    </row>
    <row r="4" spans="1:15" x14ac:dyDescent="0.25">
      <c r="A4" s="10" t="s">
        <v>95</v>
      </c>
      <c r="B4" s="15">
        <v>27.12</v>
      </c>
      <c r="C4" s="15">
        <v>27.12</v>
      </c>
      <c r="D4" s="15">
        <v>12.18</v>
      </c>
      <c r="E4" s="15">
        <v>0</v>
      </c>
      <c r="F4" s="15">
        <v>65.040000000000006</v>
      </c>
      <c r="G4" s="15">
        <v>65.040000000000006</v>
      </c>
      <c r="H4" s="15">
        <v>65.040000000000006</v>
      </c>
      <c r="I4" s="15">
        <v>191.74</v>
      </c>
      <c r="J4" s="15">
        <v>104.51</v>
      </c>
      <c r="K4" s="15">
        <v>104.51</v>
      </c>
      <c r="L4" s="15">
        <v>104.51</v>
      </c>
      <c r="M4" s="15">
        <v>104.51</v>
      </c>
      <c r="N4" s="15">
        <v>104.51</v>
      </c>
      <c r="O4" t="s">
        <v>3028</v>
      </c>
    </row>
    <row r="5" spans="1:15" x14ac:dyDescent="0.25">
      <c r="A5" s="10" t="s">
        <v>97</v>
      </c>
      <c r="B5" s="15">
        <v>0</v>
      </c>
      <c r="C5" s="15">
        <v>0</v>
      </c>
      <c r="D5" s="15">
        <v>0</v>
      </c>
      <c r="E5" s="15">
        <v>25.74</v>
      </c>
      <c r="F5" s="15">
        <v>0</v>
      </c>
      <c r="G5" s="15">
        <v>0</v>
      </c>
      <c r="H5" s="15">
        <v>0</v>
      </c>
      <c r="I5" s="15">
        <v>38.200000000000003</v>
      </c>
      <c r="J5" s="15">
        <v>0</v>
      </c>
      <c r="K5" s="15">
        <v>0</v>
      </c>
      <c r="L5" s="15">
        <v>15.45</v>
      </c>
      <c r="M5" s="15">
        <v>0</v>
      </c>
      <c r="N5" s="15">
        <v>0</v>
      </c>
      <c r="O5" t="s">
        <v>3028</v>
      </c>
    </row>
    <row r="6" spans="1:15" x14ac:dyDescent="0.25">
      <c r="A6" s="10" t="s">
        <v>99</v>
      </c>
      <c r="B6" s="15">
        <v>13.22</v>
      </c>
      <c r="C6" s="15">
        <v>26.83</v>
      </c>
      <c r="D6" s="15">
        <v>1.03</v>
      </c>
      <c r="E6" s="15">
        <v>31.47</v>
      </c>
      <c r="F6" s="15">
        <v>0</v>
      </c>
      <c r="G6" s="15">
        <v>28.97</v>
      </c>
      <c r="H6" s="15">
        <v>49.17</v>
      </c>
      <c r="I6" s="15">
        <v>98.7</v>
      </c>
      <c r="J6" s="15">
        <v>61.26</v>
      </c>
      <c r="K6" s="15">
        <v>0</v>
      </c>
      <c r="L6" s="15">
        <v>31.83</v>
      </c>
      <c r="M6" s="15">
        <v>15.94</v>
      </c>
      <c r="N6" s="15">
        <v>32.340000000000003</v>
      </c>
      <c r="O6" t="s">
        <v>3028</v>
      </c>
    </row>
    <row r="7" spans="1:15" x14ac:dyDescent="0.25">
      <c r="A7" s="10" t="s">
        <v>101</v>
      </c>
      <c r="B7" s="15">
        <v>217.95</v>
      </c>
      <c r="C7" s="15">
        <v>191.37</v>
      </c>
      <c r="D7" s="15">
        <v>189.32</v>
      </c>
      <c r="E7" s="15">
        <v>275.79000000000002</v>
      </c>
      <c r="F7" s="15">
        <v>282.92</v>
      </c>
      <c r="G7" s="15">
        <v>197.33</v>
      </c>
      <c r="H7" s="15">
        <v>251.72</v>
      </c>
      <c r="I7" s="15">
        <v>468.53</v>
      </c>
      <c r="J7" s="15">
        <v>300.69</v>
      </c>
      <c r="K7" s="15">
        <v>746.01</v>
      </c>
      <c r="L7" s="15">
        <v>16.79</v>
      </c>
      <c r="M7" s="15">
        <v>356.37</v>
      </c>
      <c r="N7" s="15">
        <v>295.43</v>
      </c>
      <c r="O7" t="s">
        <v>3028</v>
      </c>
    </row>
    <row r="8" spans="1:15" x14ac:dyDescent="0.25">
      <c r="A8" s="10" t="s">
        <v>103</v>
      </c>
      <c r="B8" s="15">
        <v>0</v>
      </c>
      <c r="C8" s="15">
        <v>0</v>
      </c>
      <c r="D8" s="15">
        <v>0</v>
      </c>
      <c r="E8" s="15">
        <v>0</v>
      </c>
      <c r="F8" s="15">
        <v>0</v>
      </c>
      <c r="G8" s="15">
        <v>0</v>
      </c>
      <c r="H8" s="15">
        <v>10.07</v>
      </c>
      <c r="I8" s="15">
        <v>16.79</v>
      </c>
      <c r="J8" s="15">
        <v>32.67</v>
      </c>
      <c r="K8" s="15">
        <v>33.200000000000003</v>
      </c>
      <c r="L8" s="15">
        <v>30.94</v>
      </c>
      <c r="M8" s="15">
        <v>46.06</v>
      </c>
      <c r="N8" s="15">
        <v>25.28</v>
      </c>
      <c r="O8" t="s">
        <v>3028</v>
      </c>
    </row>
    <row r="9" spans="1:15" x14ac:dyDescent="0.25">
      <c r="A9" s="10" t="s">
        <v>105</v>
      </c>
      <c r="B9" s="15">
        <v>55.22</v>
      </c>
      <c r="C9" s="15">
        <v>47.12</v>
      </c>
      <c r="D9" s="15">
        <v>51.06</v>
      </c>
      <c r="E9" s="15">
        <v>133.55000000000001</v>
      </c>
      <c r="F9" s="15">
        <v>0</v>
      </c>
      <c r="G9" s="15">
        <v>18.54</v>
      </c>
      <c r="H9" s="15">
        <v>19.57</v>
      </c>
      <c r="I9" s="15">
        <v>94.72</v>
      </c>
      <c r="J9" s="15">
        <v>35.1</v>
      </c>
      <c r="K9" s="15">
        <v>34.86</v>
      </c>
      <c r="L9" s="15">
        <v>38.549999999999997</v>
      </c>
      <c r="M9" s="15">
        <v>40.299999999999997</v>
      </c>
      <c r="N9" s="15">
        <v>45.65</v>
      </c>
      <c r="O9" t="s">
        <v>3028</v>
      </c>
    </row>
    <row r="10" spans="1:15" x14ac:dyDescent="0.25">
      <c r="A10" s="10" t="s">
        <v>109</v>
      </c>
      <c r="B10" s="15">
        <v>1903.74</v>
      </c>
      <c r="C10" s="15">
        <v>1839.95</v>
      </c>
      <c r="D10" s="15">
        <v>1390.35</v>
      </c>
      <c r="E10" s="15">
        <v>1393.41</v>
      </c>
      <c r="F10" s="15">
        <v>1728.77</v>
      </c>
      <c r="G10" s="15">
        <v>1375.01</v>
      </c>
      <c r="H10" s="15">
        <v>1944.94</v>
      </c>
      <c r="I10" s="15">
        <v>2924.7</v>
      </c>
      <c r="J10" s="15">
        <v>1110.74</v>
      </c>
      <c r="K10" s="15">
        <v>2599.9</v>
      </c>
      <c r="L10" s="15">
        <v>1548.59</v>
      </c>
      <c r="M10" s="15">
        <v>1312.33</v>
      </c>
      <c r="N10" s="15">
        <v>1852.18</v>
      </c>
      <c r="O10" t="s">
        <v>3028</v>
      </c>
    </row>
    <row r="11" spans="1:15" x14ac:dyDescent="0.25">
      <c r="A11" s="10" t="s">
        <v>111</v>
      </c>
      <c r="B11" s="15">
        <v>0</v>
      </c>
      <c r="C11" s="15">
        <v>0</v>
      </c>
      <c r="D11" s="15">
        <v>0</v>
      </c>
      <c r="E11" s="15">
        <v>2.0299999999999998</v>
      </c>
      <c r="F11" s="15">
        <v>0</v>
      </c>
      <c r="G11" s="15">
        <v>0</v>
      </c>
      <c r="H11" s="15">
        <v>41.63</v>
      </c>
      <c r="I11" s="15">
        <v>0</v>
      </c>
      <c r="J11" s="15">
        <v>10.38</v>
      </c>
      <c r="K11" s="15">
        <v>6.79</v>
      </c>
      <c r="L11" s="15">
        <v>11.56</v>
      </c>
      <c r="M11" s="15">
        <v>18.37</v>
      </c>
      <c r="N11" s="15">
        <v>7.37</v>
      </c>
      <c r="O11" t="s">
        <v>3028</v>
      </c>
    </row>
    <row r="12" spans="1:15" x14ac:dyDescent="0.25">
      <c r="A12" s="10" t="s">
        <v>113</v>
      </c>
      <c r="B12" s="15">
        <v>0</v>
      </c>
      <c r="C12" s="15">
        <v>16.36</v>
      </c>
      <c r="D12" s="15">
        <v>5.58</v>
      </c>
      <c r="E12" s="15">
        <v>0</v>
      </c>
      <c r="F12" s="15">
        <v>47.67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7.39</v>
      </c>
      <c r="M12" s="15">
        <v>0</v>
      </c>
      <c r="N12" s="15">
        <v>0</v>
      </c>
      <c r="O12" t="s">
        <v>3028</v>
      </c>
    </row>
    <row r="13" spans="1:15" x14ac:dyDescent="0.25">
      <c r="A13" s="10" t="s">
        <v>115</v>
      </c>
      <c r="B13" s="15">
        <v>567.52</v>
      </c>
      <c r="C13" s="15">
        <v>567.52</v>
      </c>
      <c r="D13" s="15">
        <v>1045.68</v>
      </c>
      <c r="E13" s="15">
        <v>1045.68</v>
      </c>
      <c r="F13" s="15">
        <v>1045.68</v>
      </c>
      <c r="G13" s="15">
        <v>1045.68</v>
      </c>
      <c r="H13" s="15">
        <v>1045.68</v>
      </c>
      <c r="I13" s="15">
        <v>2157.1</v>
      </c>
      <c r="J13" s="15">
        <v>1295.6300000000001</v>
      </c>
      <c r="K13" s="15">
        <v>1553.63</v>
      </c>
      <c r="L13" s="15">
        <v>1553.63</v>
      </c>
      <c r="M13" s="15">
        <v>1553.63</v>
      </c>
      <c r="N13" s="15">
        <v>1553.63</v>
      </c>
      <c r="O13" t="s">
        <v>3028</v>
      </c>
    </row>
    <row r="14" spans="1:15" x14ac:dyDescent="0.25">
      <c r="A14" s="10" t="s">
        <v>117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13.59</v>
      </c>
      <c r="M14" s="15">
        <v>31.48</v>
      </c>
      <c r="N14" s="15">
        <v>0</v>
      </c>
      <c r="O14" t="s">
        <v>3028</v>
      </c>
    </row>
    <row r="15" spans="1:15" x14ac:dyDescent="0.25">
      <c r="A15" s="10" t="s">
        <v>121</v>
      </c>
      <c r="B15" s="15">
        <v>111.73</v>
      </c>
      <c r="C15" s="15">
        <v>66.650000000000006</v>
      </c>
      <c r="D15" s="15">
        <v>65.260000000000005</v>
      </c>
      <c r="E15" s="15">
        <v>74.53</v>
      </c>
      <c r="F15" s="15">
        <v>96.98</v>
      </c>
      <c r="G15" s="15">
        <v>337.34</v>
      </c>
      <c r="H15" s="15">
        <v>0</v>
      </c>
      <c r="I15" s="15">
        <v>124.85</v>
      </c>
      <c r="J15" s="15">
        <v>197.12</v>
      </c>
      <c r="K15" s="15">
        <v>186.77</v>
      </c>
      <c r="L15" s="15">
        <v>113.68</v>
      </c>
      <c r="M15" s="15">
        <v>213.02</v>
      </c>
      <c r="N15" s="15">
        <v>139.69</v>
      </c>
      <c r="O15" t="s">
        <v>3028</v>
      </c>
    </row>
    <row r="16" spans="1:15" x14ac:dyDescent="0.25">
      <c r="A16" s="10" t="s">
        <v>123</v>
      </c>
      <c r="B16" s="15">
        <v>1737.97</v>
      </c>
      <c r="C16" s="15">
        <v>2807.21</v>
      </c>
      <c r="D16" s="15">
        <v>816.53</v>
      </c>
      <c r="E16" s="15">
        <v>1737.97</v>
      </c>
      <c r="F16" s="15">
        <v>1737.97</v>
      </c>
      <c r="G16" s="15">
        <v>1737.97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816.53</v>
      </c>
      <c r="O16" t="s">
        <v>3028</v>
      </c>
    </row>
    <row r="17" spans="1:15" x14ac:dyDescent="0.25">
      <c r="A17" s="10" t="s">
        <v>127</v>
      </c>
      <c r="B17" s="15">
        <v>65.67</v>
      </c>
      <c r="C17" s="15">
        <v>51.5</v>
      </c>
      <c r="D17" s="15">
        <v>67.45</v>
      </c>
      <c r="E17" s="15">
        <v>71.23</v>
      </c>
      <c r="F17" s="15">
        <v>35.630000000000003</v>
      </c>
      <c r="G17" s="15">
        <v>36.07</v>
      </c>
      <c r="H17" s="15">
        <v>38.299999999999997</v>
      </c>
      <c r="I17" s="15">
        <v>285.77999999999997</v>
      </c>
      <c r="J17" s="15">
        <v>305.01</v>
      </c>
      <c r="K17" s="15">
        <v>0</v>
      </c>
      <c r="L17" s="15">
        <v>169.12</v>
      </c>
      <c r="M17" s="15">
        <v>67.25</v>
      </c>
      <c r="N17" s="15">
        <v>111.88</v>
      </c>
      <c r="O17" t="s">
        <v>3028</v>
      </c>
    </row>
    <row r="18" spans="1:15" x14ac:dyDescent="0.25">
      <c r="A18" s="10" t="s">
        <v>129</v>
      </c>
      <c r="B18" s="15">
        <v>0</v>
      </c>
      <c r="C18" s="15">
        <v>0</v>
      </c>
      <c r="D18" s="15">
        <v>0</v>
      </c>
      <c r="E18" s="15">
        <v>0</v>
      </c>
      <c r="F18" s="15">
        <v>0</v>
      </c>
      <c r="G18" s="15">
        <v>2.98</v>
      </c>
      <c r="H18" s="15">
        <v>0</v>
      </c>
      <c r="I18" s="15">
        <v>0</v>
      </c>
      <c r="J18" s="15">
        <v>51.5</v>
      </c>
      <c r="K18" s="15">
        <v>62.61</v>
      </c>
      <c r="L18" s="15">
        <v>64.53</v>
      </c>
      <c r="M18" s="15">
        <v>49.87</v>
      </c>
      <c r="N18" s="15">
        <v>35.21</v>
      </c>
      <c r="O18" t="s">
        <v>3028</v>
      </c>
    </row>
    <row r="19" spans="1:15" x14ac:dyDescent="0.25">
      <c r="A19" s="10" t="s">
        <v>131</v>
      </c>
      <c r="B19" s="15">
        <v>28.56</v>
      </c>
      <c r="C19" s="15">
        <v>8.56</v>
      </c>
      <c r="D19" s="15">
        <v>9.41</v>
      </c>
      <c r="E19" s="15">
        <v>0</v>
      </c>
      <c r="F19" s="15">
        <v>0</v>
      </c>
      <c r="G19" s="15">
        <v>0</v>
      </c>
      <c r="H19" s="15">
        <v>0</v>
      </c>
      <c r="I19" s="15">
        <v>46.83</v>
      </c>
      <c r="J19" s="15">
        <v>7.64</v>
      </c>
      <c r="K19" s="15">
        <v>25.03</v>
      </c>
      <c r="L19" s="15">
        <v>25.34</v>
      </c>
      <c r="M19" s="15">
        <v>1.89</v>
      </c>
      <c r="N19" s="15">
        <v>16.23</v>
      </c>
      <c r="O19" t="s">
        <v>3028</v>
      </c>
    </row>
    <row r="20" spans="1:15" x14ac:dyDescent="0.25">
      <c r="A20" s="10" t="s">
        <v>133</v>
      </c>
      <c r="B20" s="15">
        <v>4.3499999999999996</v>
      </c>
      <c r="C20" s="15">
        <v>0.67</v>
      </c>
      <c r="D20" s="15">
        <v>57.95</v>
      </c>
      <c r="E20" s="15">
        <v>0</v>
      </c>
      <c r="F20" s="15">
        <v>0</v>
      </c>
      <c r="G20" s="15">
        <v>2.87</v>
      </c>
      <c r="H20" s="15">
        <v>2.39</v>
      </c>
      <c r="I20" s="15">
        <v>41.36</v>
      </c>
      <c r="J20" s="15">
        <v>16.78</v>
      </c>
      <c r="K20" s="15">
        <v>7.18</v>
      </c>
      <c r="L20" s="15">
        <v>17.010000000000002</v>
      </c>
      <c r="M20" s="15">
        <v>16.260000000000002</v>
      </c>
      <c r="N20" s="15">
        <v>16.600000000000001</v>
      </c>
      <c r="O20" t="s">
        <v>3028</v>
      </c>
    </row>
    <row r="21" spans="1:15" x14ac:dyDescent="0.25">
      <c r="A21" s="10" t="s">
        <v>135</v>
      </c>
      <c r="B21" s="15">
        <v>0</v>
      </c>
      <c r="C21" s="15">
        <v>0</v>
      </c>
      <c r="D21" s="15">
        <v>7.56</v>
      </c>
      <c r="E21" s="15">
        <v>0</v>
      </c>
      <c r="F21" s="15">
        <v>0</v>
      </c>
      <c r="G21" s="15">
        <v>0</v>
      </c>
      <c r="H21" s="15">
        <v>12.31</v>
      </c>
      <c r="I21" s="15">
        <v>59.33</v>
      </c>
      <c r="J21" s="15">
        <v>61.18</v>
      </c>
      <c r="K21" s="15">
        <v>0</v>
      </c>
      <c r="L21" s="15">
        <v>30.6</v>
      </c>
      <c r="M21" s="15">
        <v>23.2</v>
      </c>
      <c r="N21" s="15">
        <v>15.82</v>
      </c>
      <c r="O21" t="s">
        <v>3028</v>
      </c>
    </row>
    <row r="22" spans="1:15" x14ac:dyDescent="0.25">
      <c r="A22" s="10" t="s">
        <v>137</v>
      </c>
      <c r="B22" s="15">
        <v>1851.61</v>
      </c>
      <c r="C22" s="15">
        <v>1787.82</v>
      </c>
      <c r="D22" s="15">
        <v>1813.58</v>
      </c>
      <c r="E22" s="15">
        <v>1819.71</v>
      </c>
      <c r="F22" s="15">
        <v>1851.61</v>
      </c>
      <c r="G22" s="15">
        <v>1782.91</v>
      </c>
      <c r="H22" s="15">
        <v>1892.81</v>
      </c>
      <c r="I22" s="15">
        <v>2888.47</v>
      </c>
      <c r="J22" s="15">
        <v>1058.5999999999999</v>
      </c>
      <c r="K22" s="15">
        <v>2845.02</v>
      </c>
      <c r="L22" s="15">
        <v>1675.69</v>
      </c>
      <c r="M22" s="15">
        <v>1709.8</v>
      </c>
      <c r="N22" s="15">
        <v>1942.44</v>
      </c>
      <c r="O22" t="s">
        <v>3028</v>
      </c>
    </row>
    <row r="23" spans="1:15" x14ac:dyDescent="0.25">
      <c r="A23" s="10" t="s">
        <v>139</v>
      </c>
      <c r="B23" s="15">
        <v>1.57</v>
      </c>
      <c r="C23" s="15">
        <v>48.94</v>
      </c>
      <c r="D23" s="15">
        <v>26.44</v>
      </c>
      <c r="E23" s="15">
        <v>13.72</v>
      </c>
      <c r="F23" s="15">
        <v>16.95</v>
      </c>
      <c r="G23" s="15">
        <v>11.88</v>
      </c>
      <c r="H23" s="15">
        <v>20.73</v>
      </c>
      <c r="I23" s="15">
        <v>60.55</v>
      </c>
      <c r="J23" s="15">
        <v>114.53</v>
      </c>
      <c r="K23" s="15">
        <v>0</v>
      </c>
      <c r="L23" s="15">
        <v>46.12</v>
      </c>
      <c r="M23" s="15">
        <v>30.36</v>
      </c>
      <c r="N23" s="15">
        <v>32.96</v>
      </c>
      <c r="O23" t="s">
        <v>3028</v>
      </c>
    </row>
    <row r="24" spans="1:15" x14ac:dyDescent="0.25">
      <c r="A24" s="10" t="s">
        <v>141</v>
      </c>
      <c r="B24" s="15">
        <v>0</v>
      </c>
      <c r="C24" s="15">
        <v>0</v>
      </c>
      <c r="D24" s="15">
        <v>0</v>
      </c>
      <c r="E24" s="15">
        <v>20.02</v>
      </c>
      <c r="F24" s="15">
        <v>0</v>
      </c>
      <c r="G24" s="15">
        <v>0</v>
      </c>
      <c r="H24" s="15">
        <v>0</v>
      </c>
      <c r="I24" s="15">
        <v>16.11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t="s">
        <v>3028</v>
      </c>
    </row>
    <row r="25" spans="1:15" x14ac:dyDescent="0.25">
      <c r="A25" s="10" t="s">
        <v>143</v>
      </c>
      <c r="B25" s="15">
        <v>54.47</v>
      </c>
      <c r="C25" s="15">
        <v>51.21</v>
      </c>
      <c r="D25" s="15">
        <v>160.75</v>
      </c>
      <c r="E25" s="15">
        <v>0</v>
      </c>
      <c r="F25" s="15">
        <v>0</v>
      </c>
      <c r="G25" s="15">
        <v>42.3</v>
      </c>
      <c r="H25" s="15">
        <v>35.39</v>
      </c>
      <c r="I25" s="15">
        <v>125.06</v>
      </c>
      <c r="J25" s="15">
        <v>51.15</v>
      </c>
      <c r="K25" s="15">
        <v>51.12</v>
      </c>
      <c r="L25" s="15">
        <v>55.81</v>
      </c>
      <c r="M25" s="15">
        <v>54.18</v>
      </c>
      <c r="N25" s="15">
        <v>51.16</v>
      </c>
      <c r="O25" t="s">
        <v>3028</v>
      </c>
    </row>
    <row r="26" spans="1:15" x14ac:dyDescent="0.25">
      <c r="A26" s="10" t="s">
        <v>145</v>
      </c>
      <c r="B26" s="15">
        <v>0</v>
      </c>
      <c r="C26" s="15">
        <v>26.76</v>
      </c>
      <c r="D26" s="15">
        <v>56.47</v>
      </c>
      <c r="E26" s="15">
        <v>50.78</v>
      </c>
      <c r="F26" s="15">
        <v>49.55</v>
      </c>
      <c r="G26" s="15">
        <v>45.12</v>
      </c>
      <c r="H26" s="15">
        <v>44.28</v>
      </c>
      <c r="I26" s="15">
        <v>157.63</v>
      </c>
      <c r="J26" s="15">
        <v>73.040000000000006</v>
      </c>
      <c r="K26" s="15">
        <v>62.93</v>
      </c>
      <c r="L26" s="15">
        <v>79.81</v>
      </c>
      <c r="M26" s="15">
        <v>285.89</v>
      </c>
      <c r="N26" s="15">
        <v>67.81</v>
      </c>
      <c r="O26" t="s">
        <v>3028</v>
      </c>
    </row>
    <row r="27" spans="1:15" x14ac:dyDescent="0.25">
      <c r="A27" s="10" t="s">
        <v>147</v>
      </c>
      <c r="B27" s="15">
        <v>22.21</v>
      </c>
      <c r="C27" s="15">
        <v>27.64</v>
      </c>
      <c r="D27" s="15">
        <v>62.16</v>
      </c>
      <c r="E27" s="15">
        <v>55.47</v>
      </c>
      <c r="F27" s="15">
        <v>0</v>
      </c>
      <c r="G27" s="15">
        <v>24.85</v>
      </c>
      <c r="H27" s="15">
        <v>56.78</v>
      </c>
      <c r="I27" s="15">
        <v>170.29</v>
      </c>
      <c r="J27" s="15">
        <v>54.34</v>
      </c>
      <c r="K27" s="15">
        <v>12.85</v>
      </c>
      <c r="L27" s="15">
        <v>5.77</v>
      </c>
      <c r="M27" s="15">
        <v>40.28</v>
      </c>
      <c r="N27" s="15">
        <v>43.98</v>
      </c>
      <c r="O27" t="s">
        <v>3028</v>
      </c>
    </row>
    <row r="28" spans="1:15" x14ac:dyDescent="0.25">
      <c r="A28" s="10" t="s">
        <v>149</v>
      </c>
      <c r="B28" s="15">
        <v>2.4500000000000002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37.74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t="s">
        <v>3028</v>
      </c>
    </row>
    <row r="29" spans="1:15" x14ac:dyDescent="0.25">
      <c r="A29" s="10" t="s">
        <v>151</v>
      </c>
      <c r="B29" s="15">
        <v>0</v>
      </c>
      <c r="C29" s="15">
        <v>0</v>
      </c>
      <c r="D29" s="15">
        <v>0</v>
      </c>
      <c r="E29" s="15">
        <v>0</v>
      </c>
      <c r="F29" s="15">
        <v>0</v>
      </c>
      <c r="G29" s="15">
        <v>0</v>
      </c>
      <c r="H29" s="15">
        <v>0</v>
      </c>
      <c r="I29" s="15">
        <v>104.45</v>
      </c>
      <c r="J29" s="15">
        <v>16.54</v>
      </c>
      <c r="K29" s="15">
        <v>22.06</v>
      </c>
      <c r="L29" s="15">
        <v>33.880000000000003</v>
      </c>
      <c r="M29" s="15">
        <v>37.71</v>
      </c>
      <c r="N29" s="15">
        <v>20.07</v>
      </c>
      <c r="O29" t="s">
        <v>3028</v>
      </c>
    </row>
    <row r="30" spans="1:15" x14ac:dyDescent="0.25">
      <c r="A30" s="10" t="s">
        <v>153</v>
      </c>
      <c r="B30" s="15">
        <v>0</v>
      </c>
      <c r="C30" s="15">
        <v>0</v>
      </c>
      <c r="D30" s="15">
        <v>0</v>
      </c>
      <c r="E30" s="15">
        <v>0</v>
      </c>
      <c r="F30" s="15">
        <v>0</v>
      </c>
      <c r="G30" s="15">
        <v>0</v>
      </c>
      <c r="H30" s="15">
        <v>0</v>
      </c>
      <c r="I30" s="15">
        <v>18.72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t="s">
        <v>3028</v>
      </c>
    </row>
    <row r="31" spans="1:15" x14ac:dyDescent="0.25">
      <c r="A31" s="10" t="s">
        <v>155</v>
      </c>
      <c r="B31" s="15">
        <v>31.45</v>
      </c>
      <c r="C31" s="15">
        <v>63.51</v>
      </c>
      <c r="D31" s="15">
        <v>45.63</v>
      </c>
      <c r="E31" s="15">
        <v>11.47</v>
      </c>
      <c r="F31" s="15">
        <v>38.270000000000003</v>
      </c>
      <c r="G31" s="15">
        <v>45.54</v>
      </c>
      <c r="H31" s="15">
        <v>58.27</v>
      </c>
      <c r="I31" s="15">
        <v>145.07</v>
      </c>
      <c r="J31" s="15">
        <v>67.349999999999994</v>
      </c>
      <c r="K31" s="15">
        <v>49.61</v>
      </c>
      <c r="L31" s="15">
        <v>0</v>
      </c>
      <c r="M31" s="15">
        <v>171.56</v>
      </c>
      <c r="N31" s="15">
        <v>43.66</v>
      </c>
      <c r="O31" t="s">
        <v>3028</v>
      </c>
    </row>
    <row r="32" spans="1:15" x14ac:dyDescent="0.25">
      <c r="A32" s="10" t="s">
        <v>157</v>
      </c>
      <c r="B32" s="15">
        <v>1831.05</v>
      </c>
      <c r="C32" s="15">
        <v>1892.09</v>
      </c>
      <c r="D32" s="15">
        <v>1917.85</v>
      </c>
      <c r="E32" s="15">
        <v>1445.55</v>
      </c>
      <c r="F32" s="15">
        <v>1955.88</v>
      </c>
      <c r="G32" s="15">
        <v>2832.78</v>
      </c>
      <c r="H32" s="15">
        <v>328.89</v>
      </c>
      <c r="I32" s="15">
        <v>2452.7800000000002</v>
      </c>
      <c r="J32" s="15">
        <v>1290.03</v>
      </c>
      <c r="K32" s="15">
        <v>2514.94</v>
      </c>
      <c r="L32" s="15">
        <v>2115.1999999999998</v>
      </c>
      <c r="M32" s="15">
        <v>1580.13</v>
      </c>
      <c r="N32" s="15">
        <v>1956.17</v>
      </c>
      <c r="O32" t="s">
        <v>3028</v>
      </c>
    </row>
    <row r="33" spans="1:15" x14ac:dyDescent="0.25">
      <c r="A33" s="10" t="s">
        <v>159</v>
      </c>
      <c r="B33" s="15">
        <v>63.21</v>
      </c>
      <c r="C33" s="15">
        <v>40.299999999999997</v>
      </c>
      <c r="D33" s="15">
        <v>236.01</v>
      </c>
      <c r="E33" s="15">
        <v>0</v>
      </c>
      <c r="F33" s="15">
        <v>0</v>
      </c>
      <c r="G33" s="15">
        <v>38.64</v>
      </c>
      <c r="H33" s="15">
        <v>45.01</v>
      </c>
      <c r="I33" s="15">
        <v>144.37</v>
      </c>
      <c r="J33" s="15">
        <v>58.98</v>
      </c>
      <c r="K33" s="15">
        <v>59.91</v>
      </c>
      <c r="L33" s="15">
        <v>60.58</v>
      </c>
      <c r="M33" s="15">
        <v>57.83</v>
      </c>
      <c r="N33" s="15">
        <v>60.87</v>
      </c>
      <c r="O33" t="s">
        <v>3028</v>
      </c>
    </row>
    <row r="34" spans="1:15" x14ac:dyDescent="0.25">
      <c r="A34" s="10" t="s">
        <v>161</v>
      </c>
      <c r="B34" s="15">
        <v>53.77</v>
      </c>
      <c r="C34" s="15">
        <v>55.59</v>
      </c>
      <c r="D34" s="15">
        <v>55.32</v>
      </c>
      <c r="E34" s="15">
        <v>52.89</v>
      </c>
      <c r="F34" s="15">
        <v>53.75</v>
      </c>
      <c r="G34" s="15">
        <v>76.36</v>
      </c>
      <c r="H34" s="15">
        <v>53.65</v>
      </c>
      <c r="I34" s="15">
        <v>441.3</v>
      </c>
      <c r="J34" s="15">
        <v>0</v>
      </c>
      <c r="K34" s="15">
        <v>76.540000000000006</v>
      </c>
      <c r="L34" s="15">
        <v>90.52</v>
      </c>
      <c r="M34" s="15">
        <v>184.37</v>
      </c>
      <c r="N34" s="15">
        <v>97.28</v>
      </c>
      <c r="O34" t="s">
        <v>3028</v>
      </c>
    </row>
    <row r="35" spans="1:15" x14ac:dyDescent="0.25">
      <c r="A35" s="10" t="s">
        <v>166</v>
      </c>
      <c r="B35" s="15">
        <v>0</v>
      </c>
      <c r="C35" s="15">
        <v>0</v>
      </c>
      <c r="D35" s="15">
        <v>15.57</v>
      </c>
      <c r="E35" s="15">
        <v>1.2</v>
      </c>
      <c r="F35" s="15">
        <v>0</v>
      </c>
      <c r="G35" s="15">
        <v>37.630000000000003</v>
      </c>
      <c r="H35" s="15">
        <v>0</v>
      </c>
      <c r="I35" s="15">
        <v>19.57</v>
      </c>
      <c r="J35" s="15">
        <v>5.53</v>
      </c>
      <c r="K35" s="15">
        <v>16.25</v>
      </c>
      <c r="L35" s="15">
        <v>8.8000000000000007</v>
      </c>
      <c r="M35" s="15">
        <v>25.37</v>
      </c>
      <c r="N35" s="15">
        <v>8.24</v>
      </c>
      <c r="O35" t="s">
        <v>3028</v>
      </c>
    </row>
    <row r="36" spans="1:15" x14ac:dyDescent="0.25">
      <c r="A36" s="10" t="s">
        <v>170</v>
      </c>
      <c r="B36" s="15">
        <v>0</v>
      </c>
      <c r="C36" s="15">
        <v>10.67</v>
      </c>
      <c r="D36" s="15">
        <v>35.19</v>
      </c>
      <c r="E36" s="15">
        <v>0</v>
      </c>
      <c r="F36" s="15">
        <v>0</v>
      </c>
      <c r="G36" s="15">
        <v>5.26</v>
      </c>
      <c r="H36" s="15">
        <v>3.23</v>
      </c>
      <c r="I36" s="15">
        <v>60.91</v>
      </c>
      <c r="J36" s="15">
        <v>15.23</v>
      </c>
      <c r="K36" s="15">
        <v>18.89</v>
      </c>
      <c r="L36" s="15">
        <v>10.64</v>
      </c>
      <c r="M36" s="15">
        <v>12.68</v>
      </c>
      <c r="N36" s="15">
        <v>10.61</v>
      </c>
      <c r="O36" t="s">
        <v>3028</v>
      </c>
    </row>
    <row r="37" spans="1:15" x14ac:dyDescent="0.25">
      <c r="A37" s="10" t="s">
        <v>172</v>
      </c>
      <c r="B37" s="15">
        <v>0</v>
      </c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3217.23</v>
      </c>
      <c r="J37" s="15">
        <v>3217.23</v>
      </c>
      <c r="K37" s="15">
        <v>3217.23</v>
      </c>
      <c r="L37" s="15">
        <v>3217.23</v>
      </c>
      <c r="M37" s="15">
        <v>3217.23</v>
      </c>
      <c r="N37" s="15">
        <v>650.57000000000005</v>
      </c>
      <c r="O37" t="s">
        <v>3028</v>
      </c>
    </row>
    <row r="38" spans="1:15" x14ac:dyDescent="0.25">
      <c r="A38" s="10" t="s">
        <v>174</v>
      </c>
      <c r="B38" s="15">
        <v>0</v>
      </c>
      <c r="C38" s="15">
        <v>17.010000000000002</v>
      </c>
      <c r="D38" s="15">
        <v>24.76</v>
      </c>
      <c r="E38" s="15">
        <v>0</v>
      </c>
      <c r="F38" s="15">
        <v>0</v>
      </c>
      <c r="G38" s="15">
        <v>0</v>
      </c>
      <c r="H38" s="15">
        <v>0</v>
      </c>
      <c r="I38" s="15">
        <v>46.99</v>
      </c>
      <c r="J38" s="15">
        <v>10.38</v>
      </c>
      <c r="K38" s="15">
        <v>0</v>
      </c>
      <c r="L38" s="15">
        <v>0</v>
      </c>
      <c r="M38" s="15">
        <v>6.95</v>
      </c>
      <c r="N38" s="15">
        <v>5.95</v>
      </c>
      <c r="O38" t="s">
        <v>3028</v>
      </c>
    </row>
    <row r="39" spans="1:15" x14ac:dyDescent="0.25">
      <c r="A39" s="10" t="s">
        <v>176</v>
      </c>
      <c r="B39" s="15">
        <v>11.73</v>
      </c>
      <c r="C39" s="15">
        <v>0</v>
      </c>
      <c r="D39" s="15">
        <v>0</v>
      </c>
      <c r="E39" s="15">
        <v>60.27</v>
      </c>
      <c r="F39" s="15">
        <v>0</v>
      </c>
      <c r="G39" s="15">
        <v>0</v>
      </c>
      <c r="H39" s="15">
        <v>0</v>
      </c>
      <c r="I39" s="15">
        <v>58.46</v>
      </c>
      <c r="J39" s="15">
        <v>12.64</v>
      </c>
      <c r="K39" s="15">
        <v>12.57</v>
      </c>
      <c r="L39" s="15">
        <v>13.95</v>
      </c>
      <c r="M39" s="15">
        <v>17.13</v>
      </c>
      <c r="N39" s="15">
        <v>13.45</v>
      </c>
      <c r="O39" t="s">
        <v>3028</v>
      </c>
    </row>
    <row r="40" spans="1:15" x14ac:dyDescent="0.25">
      <c r="A40" s="10" t="s">
        <v>178</v>
      </c>
      <c r="B40" s="15">
        <v>0</v>
      </c>
      <c r="C40" s="15">
        <v>12.81</v>
      </c>
      <c r="D40" s="15">
        <v>131.88</v>
      </c>
      <c r="E40" s="15">
        <v>0</v>
      </c>
      <c r="F40" s="15">
        <v>1.79</v>
      </c>
      <c r="G40" s="15">
        <v>64.7</v>
      </c>
      <c r="H40" s="15">
        <v>98.47</v>
      </c>
      <c r="I40" s="15">
        <v>174.15</v>
      </c>
      <c r="J40" s="15">
        <v>86.7</v>
      </c>
      <c r="K40" s="15">
        <v>89.35</v>
      </c>
      <c r="L40" s="15">
        <v>59.13</v>
      </c>
      <c r="M40" s="15">
        <v>52.28</v>
      </c>
      <c r="N40" s="15">
        <v>85.03</v>
      </c>
      <c r="O40" t="s">
        <v>3028</v>
      </c>
    </row>
    <row r="41" spans="1:15" x14ac:dyDescent="0.25">
      <c r="A41" s="10" t="s">
        <v>182</v>
      </c>
      <c r="B41" s="15">
        <v>0</v>
      </c>
      <c r="C41" s="15">
        <v>0</v>
      </c>
      <c r="D41" s="15">
        <v>0</v>
      </c>
      <c r="E41" s="15">
        <v>0</v>
      </c>
      <c r="F41" s="15">
        <v>0</v>
      </c>
      <c r="G41" s="15">
        <v>0</v>
      </c>
      <c r="H41" s="15">
        <v>0</v>
      </c>
      <c r="I41" s="15">
        <v>6.46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t="s">
        <v>3028</v>
      </c>
    </row>
    <row r="42" spans="1:15" x14ac:dyDescent="0.25">
      <c r="A42" s="10" t="s">
        <v>184</v>
      </c>
      <c r="B42" s="15">
        <v>1270.8</v>
      </c>
      <c r="C42" s="15">
        <v>1270.8</v>
      </c>
      <c r="D42" s="15">
        <v>1270.8</v>
      </c>
      <c r="E42" s="15">
        <v>1270.8</v>
      </c>
      <c r="F42" s="15">
        <v>1270.8</v>
      </c>
      <c r="G42" s="15">
        <v>1545.5</v>
      </c>
      <c r="H42" s="15">
        <v>596.66</v>
      </c>
      <c r="I42" s="15">
        <v>1809.1</v>
      </c>
      <c r="J42" s="15">
        <v>1501.5</v>
      </c>
      <c r="K42" s="15">
        <v>1501.5</v>
      </c>
      <c r="L42" s="15">
        <v>1529</v>
      </c>
      <c r="M42" s="15">
        <v>1501.5</v>
      </c>
      <c r="N42" s="15">
        <v>1501.5</v>
      </c>
      <c r="O42" t="s">
        <v>3028</v>
      </c>
    </row>
    <row r="43" spans="1:15" x14ac:dyDescent="0.25">
      <c r="A43" s="10" t="s">
        <v>186</v>
      </c>
      <c r="B43" s="15">
        <v>55.89</v>
      </c>
      <c r="C43" s="15">
        <v>15.3</v>
      </c>
      <c r="D43" s="15">
        <v>148.41</v>
      </c>
      <c r="E43" s="15">
        <v>0.03</v>
      </c>
      <c r="F43" s="15">
        <v>60.87</v>
      </c>
      <c r="G43" s="15">
        <v>14.7</v>
      </c>
      <c r="H43" s="15">
        <v>34.33</v>
      </c>
      <c r="I43" s="15">
        <v>141.1</v>
      </c>
      <c r="J43" s="15">
        <v>83.81</v>
      </c>
      <c r="K43" s="15">
        <v>91.51</v>
      </c>
      <c r="L43" s="15">
        <v>125.79</v>
      </c>
      <c r="M43" s="15">
        <v>97.44</v>
      </c>
      <c r="N43" s="15">
        <v>63.84</v>
      </c>
      <c r="O43" t="s">
        <v>3028</v>
      </c>
    </row>
    <row r="44" spans="1:15" x14ac:dyDescent="0.25">
      <c r="A44" s="10" t="s">
        <v>188</v>
      </c>
      <c r="B44" s="15">
        <v>52.89</v>
      </c>
      <c r="C44" s="15">
        <v>52.3</v>
      </c>
      <c r="D44" s="15">
        <v>38.46</v>
      </c>
      <c r="E44" s="15">
        <v>51.05</v>
      </c>
      <c r="F44" s="15">
        <v>29.6</v>
      </c>
      <c r="G44" s="15">
        <v>176.26</v>
      </c>
      <c r="H44" s="15">
        <v>0</v>
      </c>
      <c r="I44" s="15">
        <v>38.43</v>
      </c>
      <c r="J44" s="15">
        <v>60.78</v>
      </c>
      <c r="K44" s="15">
        <v>51.03</v>
      </c>
      <c r="L44" s="15">
        <v>50.74</v>
      </c>
      <c r="M44" s="15">
        <v>55.89</v>
      </c>
      <c r="N44" s="15">
        <v>56.47</v>
      </c>
      <c r="O44" t="s">
        <v>3028</v>
      </c>
    </row>
    <row r="45" spans="1:15" x14ac:dyDescent="0.25">
      <c r="A45" s="10" t="s">
        <v>190</v>
      </c>
      <c r="B45" s="15">
        <v>27.86</v>
      </c>
      <c r="C45" s="15">
        <v>4.62</v>
      </c>
      <c r="D45" s="15">
        <v>0</v>
      </c>
      <c r="E45" s="15">
        <v>0</v>
      </c>
      <c r="F45" s="15">
        <v>0</v>
      </c>
      <c r="G45" s="15">
        <v>0</v>
      </c>
      <c r="H45" s="15">
        <v>56.76</v>
      </c>
      <c r="I45" s="15">
        <v>0</v>
      </c>
      <c r="J45" s="15">
        <v>0</v>
      </c>
      <c r="K45" s="15">
        <v>0</v>
      </c>
      <c r="L45" s="15">
        <v>0</v>
      </c>
      <c r="M45" s="15">
        <v>7.16</v>
      </c>
      <c r="N45" s="15">
        <v>0</v>
      </c>
      <c r="O45" t="s">
        <v>3028</v>
      </c>
    </row>
    <row r="46" spans="1:15" x14ac:dyDescent="0.25">
      <c r="A46" s="10" t="s">
        <v>192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12.79</v>
      </c>
      <c r="K46" s="15">
        <v>40.840000000000003</v>
      </c>
      <c r="L46" s="15">
        <v>46.78</v>
      </c>
      <c r="M46" s="15">
        <v>25.49</v>
      </c>
      <c r="N46" s="15">
        <v>26.09</v>
      </c>
      <c r="O46" t="s">
        <v>3028</v>
      </c>
    </row>
    <row r="47" spans="1:15" x14ac:dyDescent="0.25">
      <c r="A47" s="10" t="s">
        <v>196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21.37</v>
      </c>
      <c r="M47" s="15">
        <v>0</v>
      </c>
      <c r="N47" s="15">
        <v>0</v>
      </c>
      <c r="O47" t="s">
        <v>3028</v>
      </c>
    </row>
    <row r="48" spans="1:15" x14ac:dyDescent="0.25">
      <c r="A48" s="10" t="s">
        <v>200</v>
      </c>
      <c r="B48" s="15">
        <v>233.96</v>
      </c>
      <c r="C48" s="15">
        <v>206.62</v>
      </c>
      <c r="D48" s="15">
        <v>6.06</v>
      </c>
      <c r="E48" s="15">
        <v>219.98</v>
      </c>
      <c r="F48" s="15">
        <v>233.96</v>
      </c>
      <c r="G48" s="15">
        <v>205.19</v>
      </c>
      <c r="H48" s="15">
        <v>285.81</v>
      </c>
      <c r="I48" s="15">
        <v>814.62</v>
      </c>
      <c r="J48" s="15">
        <v>20.68</v>
      </c>
      <c r="K48" s="15">
        <v>319.39999999999998</v>
      </c>
      <c r="L48" s="15">
        <v>92.9</v>
      </c>
      <c r="M48" s="15">
        <v>284.14999999999998</v>
      </c>
      <c r="N48" s="15">
        <v>219.91</v>
      </c>
      <c r="O48" t="s">
        <v>3028</v>
      </c>
    </row>
    <row r="49" spans="1:15" x14ac:dyDescent="0.25">
      <c r="A49" s="10" t="s">
        <v>202</v>
      </c>
      <c r="B49" s="15">
        <v>23.86</v>
      </c>
      <c r="C49" s="15">
        <v>2.29</v>
      </c>
      <c r="D49" s="15">
        <v>0</v>
      </c>
      <c r="E49" s="15">
        <v>9.06</v>
      </c>
      <c r="F49" s="15">
        <v>0.76</v>
      </c>
      <c r="G49" s="15">
        <v>0</v>
      </c>
      <c r="H49" s="15">
        <v>23.39</v>
      </c>
      <c r="I49" s="15">
        <v>55.87</v>
      </c>
      <c r="J49" s="15">
        <v>150.65</v>
      </c>
      <c r="K49" s="15">
        <v>0</v>
      </c>
      <c r="L49" s="15">
        <v>0</v>
      </c>
      <c r="M49" s="15">
        <v>10.119999999999999</v>
      </c>
      <c r="N49" s="15">
        <v>20.21</v>
      </c>
      <c r="O49" t="s">
        <v>3028</v>
      </c>
    </row>
    <row r="50" spans="1:15" x14ac:dyDescent="0.25">
      <c r="A50" s="10" t="s">
        <v>204</v>
      </c>
      <c r="B50" s="15">
        <v>68.31</v>
      </c>
      <c r="C50" s="15">
        <v>82.74</v>
      </c>
      <c r="D50" s="15">
        <v>110.57</v>
      </c>
      <c r="E50" s="15">
        <v>94.19</v>
      </c>
      <c r="F50" s="15">
        <v>64.680000000000007</v>
      </c>
      <c r="G50" s="15">
        <v>65.319999999999993</v>
      </c>
      <c r="H50" s="15">
        <v>68.47</v>
      </c>
      <c r="I50" s="15">
        <v>312.61</v>
      </c>
      <c r="J50" s="15">
        <v>0</v>
      </c>
      <c r="K50" s="15">
        <v>107.45</v>
      </c>
      <c r="L50" s="15">
        <v>109.12</v>
      </c>
      <c r="M50" s="15">
        <v>110.56</v>
      </c>
      <c r="N50" s="15">
        <v>106.49</v>
      </c>
      <c r="O50" t="s">
        <v>3028</v>
      </c>
    </row>
    <row r="51" spans="1:15" x14ac:dyDescent="0.25">
      <c r="A51" s="10" t="s">
        <v>206</v>
      </c>
      <c r="B51" s="15">
        <v>0</v>
      </c>
      <c r="C51" s="15">
        <v>0</v>
      </c>
      <c r="D51" s="15">
        <v>0</v>
      </c>
      <c r="E51" s="15">
        <v>0</v>
      </c>
      <c r="F51" s="15">
        <v>900.67</v>
      </c>
      <c r="G51" s="15">
        <v>1887.18</v>
      </c>
      <c r="H51" s="15">
        <v>1997.08</v>
      </c>
      <c r="I51" s="15">
        <v>2992.75</v>
      </c>
      <c r="J51" s="15">
        <v>1162.8800000000001</v>
      </c>
      <c r="K51" s="15">
        <v>1905.87</v>
      </c>
      <c r="L51" s="15">
        <v>1628.09</v>
      </c>
      <c r="M51" s="15">
        <v>1449.17</v>
      </c>
      <c r="N51" s="15">
        <v>806.87</v>
      </c>
      <c r="O51" t="s">
        <v>3028</v>
      </c>
    </row>
    <row r="52" spans="1:15" x14ac:dyDescent="0.25">
      <c r="A52" s="10" t="s">
        <v>208</v>
      </c>
      <c r="B52" s="15">
        <v>162.65</v>
      </c>
      <c r="C52" s="15">
        <v>162.99</v>
      </c>
      <c r="D52" s="15">
        <v>253.57</v>
      </c>
      <c r="E52" s="15">
        <v>161.61000000000001</v>
      </c>
      <c r="F52" s="15">
        <v>164.91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19.7</v>
      </c>
      <c r="O52" t="s">
        <v>3028</v>
      </c>
    </row>
    <row r="53" spans="1:15" x14ac:dyDescent="0.25">
      <c r="A53" s="10" t="s">
        <v>212</v>
      </c>
      <c r="B53" s="15">
        <v>0</v>
      </c>
      <c r="C53" s="15">
        <v>0</v>
      </c>
      <c r="D53" s="15">
        <v>1.42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t="s">
        <v>3028</v>
      </c>
    </row>
    <row r="54" spans="1:15" x14ac:dyDescent="0.25">
      <c r="A54" s="10" t="s">
        <v>216</v>
      </c>
      <c r="B54" s="15">
        <v>0</v>
      </c>
      <c r="C54" s="15">
        <v>0</v>
      </c>
      <c r="D54" s="15">
        <v>0</v>
      </c>
      <c r="E54" s="15">
        <v>0</v>
      </c>
      <c r="F54" s="15">
        <v>0</v>
      </c>
      <c r="G54" s="15">
        <v>1.42</v>
      </c>
      <c r="H54" s="15">
        <v>0</v>
      </c>
      <c r="I54" s="15">
        <v>24.48</v>
      </c>
      <c r="J54" s="15">
        <v>4.4400000000000004</v>
      </c>
      <c r="K54" s="15">
        <v>25.69</v>
      </c>
      <c r="L54" s="15">
        <v>9.85</v>
      </c>
      <c r="M54" s="15">
        <v>30.77</v>
      </c>
      <c r="N54" s="15">
        <v>22.89</v>
      </c>
      <c r="O54" t="s">
        <v>3028</v>
      </c>
    </row>
    <row r="55" spans="1:15" x14ac:dyDescent="0.25">
      <c r="A55" s="10" t="s">
        <v>218</v>
      </c>
      <c r="B55" s="15">
        <v>0</v>
      </c>
      <c r="C55" s="15">
        <v>0</v>
      </c>
      <c r="D55" s="15">
        <v>0</v>
      </c>
      <c r="E55" s="15">
        <v>0</v>
      </c>
      <c r="F55" s="15">
        <v>0</v>
      </c>
      <c r="G55" s="15">
        <v>0</v>
      </c>
      <c r="H55" s="15">
        <v>0</v>
      </c>
      <c r="I55" s="15">
        <v>64.47</v>
      </c>
      <c r="J55" s="15">
        <v>20.85</v>
      </c>
      <c r="K55" s="15">
        <v>140.44999999999999</v>
      </c>
      <c r="L55" s="15">
        <v>0</v>
      </c>
      <c r="M55" s="15">
        <v>20.85</v>
      </c>
      <c r="N55" s="15">
        <v>20.85</v>
      </c>
      <c r="O55" t="s">
        <v>3028</v>
      </c>
    </row>
    <row r="56" spans="1:15" x14ac:dyDescent="0.25">
      <c r="A56" s="10" t="s">
        <v>224</v>
      </c>
      <c r="B56" s="15">
        <v>0</v>
      </c>
      <c r="C56" s="15">
        <v>0</v>
      </c>
      <c r="D56" s="15">
        <v>0</v>
      </c>
      <c r="E56" s="15">
        <v>0</v>
      </c>
      <c r="F56" s="15">
        <v>0</v>
      </c>
      <c r="G56" s="15">
        <v>0</v>
      </c>
      <c r="H56" s="15">
        <v>0</v>
      </c>
      <c r="I56" s="15">
        <v>38.47</v>
      </c>
      <c r="J56" s="15">
        <v>3.9</v>
      </c>
      <c r="K56" s="15">
        <v>54.07</v>
      </c>
      <c r="L56" s="15">
        <v>33.75</v>
      </c>
      <c r="M56" s="15">
        <v>68.06</v>
      </c>
      <c r="N56" s="15">
        <v>31.06</v>
      </c>
      <c r="O56" t="s">
        <v>3028</v>
      </c>
    </row>
    <row r="57" spans="1:15" x14ac:dyDescent="0.25">
      <c r="A57" s="10" t="s">
        <v>226</v>
      </c>
      <c r="B57" s="15">
        <v>0</v>
      </c>
      <c r="C57" s="15">
        <v>0</v>
      </c>
      <c r="D57" s="15">
        <v>0</v>
      </c>
      <c r="E57" s="15">
        <v>15.88</v>
      </c>
      <c r="F57" s="15">
        <v>16.7</v>
      </c>
      <c r="G57" s="15">
        <v>18.52</v>
      </c>
      <c r="H57" s="15">
        <v>31.32</v>
      </c>
      <c r="I57" s="15">
        <v>0</v>
      </c>
      <c r="J57" s="15">
        <v>30.49</v>
      </c>
      <c r="K57" s="15">
        <v>29.49</v>
      </c>
      <c r="L57" s="15">
        <v>28.06</v>
      </c>
      <c r="M57" s="15">
        <v>32.15</v>
      </c>
      <c r="N57" s="15">
        <v>21.36</v>
      </c>
      <c r="O57" t="s">
        <v>3028</v>
      </c>
    </row>
    <row r="58" spans="1:15" x14ac:dyDescent="0.25">
      <c r="A58" s="10" t="s">
        <v>228</v>
      </c>
      <c r="B58" s="15">
        <v>3708.13</v>
      </c>
      <c r="C58" s="15">
        <v>3680.63</v>
      </c>
      <c r="D58" s="15">
        <v>3680.63</v>
      </c>
      <c r="E58" s="15">
        <v>3680.63</v>
      </c>
      <c r="F58" s="15">
        <v>3680.63</v>
      </c>
      <c r="G58" s="15">
        <v>3680.63</v>
      </c>
      <c r="H58" s="15">
        <v>3680.63</v>
      </c>
      <c r="I58" s="15">
        <v>4571.79</v>
      </c>
      <c r="J58" s="15">
        <v>3977.68</v>
      </c>
      <c r="K58" s="15">
        <v>3977.68</v>
      </c>
      <c r="L58" s="15">
        <v>3977.68</v>
      </c>
      <c r="M58" s="15">
        <v>4179.7700000000004</v>
      </c>
      <c r="N58" s="15">
        <v>3977.68</v>
      </c>
      <c r="O58" t="s">
        <v>3028</v>
      </c>
    </row>
    <row r="59" spans="1:15" x14ac:dyDescent="0.25">
      <c r="A59" s="10" t="s">
        <v>230</v>
      </c>
      <c r="B59" s="15">
        <v>0</v>
      </c>
      <c r="C59" s="15">
        <v>0</v>
      </c>
      <c r="D59" s="15">
        <v>0</v>
      </c>
      <c r="E59" s="15">
        <v>0</v>
      </c>
      <c r="F59" s="15">
        <v>0</v>
      </c>
      <c r="G59" s="15">
        <v>0</v>
      </c>
      <c r="H59" s="15">
        <v>0</v>
      </c>
      <c r="I59" s="15">
        <v>26.63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t="s">
        <v>3028</v>
      </c>
    </row>
    <row r="60" spans="1:15" x14ac:dyDescent="0.25">
      <c r="A60" s="10" t="s">
        <v>232</v>
      </c>
      <c r="B60" s="15">
        <v>21.79</v>
      </c>
      <c r="C60" s="15">
        <v>19.05</v>
      </c>
      <c r="D60" s="15">
        <v>23.14</v>
      </c>
      <c r="E60" s="15">
        <v>31.16</v>
      </c>
      <c r="F60" s="15">
        <v>116.83</v>
      </c>
      <c r="G60" s="15">
        <v>0</v>
      </c>
      <c r="H60" s="15">
        <v>64.42</v>
      </c>
      <c r="I60" s="15">
        <v>87.57</v>
      </c>
      <c r="J60" s="15">
        <v>35.06</v>
      </c>
      <c r="K60" s="15">
        <v>51.73</v>
      </c>
      <c r="L60" s="15">
        <v>88.92</v>
      </c>
      <c r="M60" s="15">
        <v>57.92</v>
      </c>
      <c r="N60" s="15">
        <v>45.18</v>
      </c>
      <c r="O60" t="s">
        <v>3028</v>
      </c>
    </row>
    <row r="61" spans="1:15" x14ac:dyDescent="0.25">
      <c r="A61" s="10" t="s">
        <v>234</v>
      </c>
      <c r="B61" s="15">
        <v>30.84</v>
      </c>
      <c r="C61" s="15">
        <v>33.71</v>
      </c>
      <c r="D61" s="15">
        <v>33.94</v>
      </c>
      <c r="E61" s="15">
        <v>3.45</v>
      </c>
      <c r="F61" s="15">
        <v>4.9000000000000004</v>
      </c>
      <c r="G61" s="15">
        <v>15.69</v>
      </c>
      <c r="H61" s="15">
        <v>2.2999999999999998</v>
      </c>
      <c r="I61" s="15">
        <v>102.48</v>
      </c>
      <c r="J61" s="15">
        <v>0</v>
      </c>
      <c r="K61" s="15">
        <v>60.37</v>
      </c>
      <c r="L61" s="15">
        <v>28.69</v>
      </c>
      <c r="M61" s="15">
        <v>40.479999999999997</v>
      </c>
      <c r="N61" s="15">
        <v>32.229999999999997</v>
      </c>
      <c r="O61" t="s">
        <v>3028</v>
      </c>
    </row>
    <row r="62" spans="1:15" x14ac:dyDescent="0.25">
      <c r="A62" s="10" t="s">
        <v>236</v>
      </c>
      <c r="B62" s="15">
        <v>14.47</v>
      </c>
      <c r="C62" s="15">
        <v>23.5</v>
      </c>
      <c r="D62" s="15">
        <v>16.670000000000002</v>
      </c>
      <c r="E62" s="15">
        <v>16.91</v>
      </c>
      <c r="F62" s="15">
        <v>0</v>
      </c>
      <c r="G62" s="15">
        <v>69.3</v>
      </c>
      <c r="H62" s="15">
        <v>0</v>
      </c>
      <c r="I62" s="15">
        <v>28.27</v>
      </c>
      <c r="J62" s="15">
        <v>14.69</v>
      </c>
      <c r="K62" s="15">
        <v>16.68</v>
      </c>
      <c r="L62" s="15">
        <v>0</v>
      </c>
      <c r="M62" s="15">
        <v>0</v>
      </c>
      <c r="N62" s="15">
        <v>17.27</v>
      </c>
      <c r="O62" t="s">
        <v>3028</v>
      </c>
    </row>
    <row r="63" spans="1:15" x14ac:dyDescent="0.25">
      <c r="A63" s="10" t="s">
        <v>238</v>
      </c>
      <c r="B63" s="15">
        <v>1487.48</v>
      </c>
      <c r="C63" s="15">
        <v>1487.48</v>
      </c>
      <c r="D63" s="15">
        <v>1487.48</v>
      </c>
      <c r="E63" s="15">
        <v>1487.48</v>
      </c>
      <c r="F63" s="15">
        <v>1310.42</v>
      </c>
      <c r="G63" s="15">
        <v>1487.48</v>
      </c>
      <c r="H63" s="15">
        <v>1487.48</v>
      </c>
      <c r="I63" s="15">
        <v>2228.06</v>
      </c>
      <c r="J63" s="15">
        <v>1734.34</v>
      </c>
      <c r="K63" s="15">
        <v>1734.34</v>
      </c>
      <c r="L63" s="15">
        <v>1734.34</v>
      </c>
      <c r="M63" s="15">
        <v>1734.34</v>
      </c>
      <c r="N63" s="15">
        <v>1734.34</v>
      </c>
      <c r="O63" t="s">
        <v>3028</v>
      </c>
    </row>
    <row r="64" spans="1:15" x14ac:dyDescent="0.25">
      <c r="A64" s="10" t="s">
        <v>240</v>
      </c>
      <c r="B64" s="15">
        <v>0</v>
      </c>
      <c r="C64" s="15">
        <v>0</v>
      </c>
      <c r="D64" s="15">
        <v>0</v>
      </c>
      <c r="E64" s="15">
        <v>0</v>
      </c>
      <c r="F64" s="15">
        <v>0</v>
      </c>
      <c r="G64" s="15">
        <v>25.07</v>
      </c>
      <c r="H64" s="15">
        <v>0</v>
      </c>
      <c r="I64" s="15">
        <v>0.62</v>
      </c>
      <c r="J64" s="15">
        <v>0</v>
      </c>
      <c r="K64" s="15">
        <v>3.19</v>
      </c>
      <c r="L64" s="15">
        <v>0</v>
      </c>
      <c r="M64" s="15">
        <v>0</v>
      </c>
      <c r="N64" s="15">
        <v>0</v>
      </c>
      <c r="O64" t="s">
        <v>3028</v>
      </c>
    </row>
    <row r="65" spans="1:15" x14ac:dyDescent="0.25">
      <c r="A65" s="10" t="s">
        <v>244</v>
      </c>
      <c r="B65" s="15">
        <v>20.079999999999998</v>
      </c>
      <c r="C65" s="15">
        <v>16.95</v>
      </c>
      <c r="D65" s="15">
        <v>0</v>
      </c>
      <c r="E65" s="15">
        <v>108.62</v>
      </c>
      <c r="F65" s="15">
        <v>0</v>
      </c>
      <c r="G65" s="15">
        <v>0</v>
      </c>
      <c r="H65" s="15">
        <v>0</v>
      </c>
      <c r="I65" s="15">
        <v>19.34</v>
      </c>
      <c r="J65" s="15">
        <v>0</v>
      </c>
      <c r="K65" s="15">
        <v>0</v>
      </c>
      <c r="L65" s="15">
        <v>6.25</v>
      </c>
      <c r="M65" s="15">
        <v>0</v>
      </c>
      <c r="N65" s="15">
        <v>2.83</v>
      </c>
      <c r="O65" t="s">
        <v>3028</v>
      </c>
    </row>
    <row r="66" spans="1:15" x14ac:dyDescent="0.25">
      <c r="A66" s="10" t="s">
        <v>246</v>
      </c>
      <c r="B66" s="15">
        <v>4412.95</v>
      </c>
      <c r="C66" s="15">
        <v>4588.46</v>
      </c>
      <c r="D66" s="15">
        <v>4588.46</v>
      </c>
      <c r="E66" s="15">
        <v>4588.46</v>
      </c>
      <c r="F66" s="15">
        <v>4588.46</v>
      </c>
      <c r="G66" s="15">
        <v>4588.46</v>
      </c>
      <c r="H66" s="15">
        <v>4588.46</v>
      </c>
      <c r="I66" s="15">
        <v>4588.46</v>
      </c>
      <c r="J66" s="15">
        <v>4588.46</v>
      </c>
      <c r="K66" s="15">
        <v>5182.57</v>
      </c>
      <c r="L66" s="15">
        <v>4885.51</v>
      </c>
      <c r="M66" s="15">
        <v>4885.51</v>
      </c>
      <c r="N66" s="15">
        <v>4885.51</v>
      </c>
      <c r="O66" t="s">
        <v>3028</v>
      </c>
    </row>
    <row r="67" spans="1:15" x14ac:dyDescent="0.25">
      <c r="A67" s="10" t="s">
        <v>250</v>
      </c>
      <c r="B67" s="15">
        <v>21.21</v>
      </c>
      <c r="C67" s="15">
        <v>31.07</v>
      </c>
      <c r="D67" s="15">
        <v>13.19</v>
      </c>
      <c r="E67" s="15">
        <v>83.35</v>
      </c>
      <c r="F67" s="15">
        <v>0</v>
      </c>
      <c r="G67" s="15">
        <v>3.41</v>
      </c>
      <c r="H67" s="15">
        <v>7.29</v>
      </c>
      <c r="I67" s="15">
        <v>56.59</v>
      </c>
      <c r="J67" s="15">
        <v>23.86</v>
      </c>
      <c r="K67" s="15">
        <v>42.74</v>
      </c>
      <c r="L67" s="15">
        <v>35.21</v>
      </c>
      <c r="M67" s="15">
        <v>36.9</v>
      </c>
      <c r="N67" s="15">
        <v>30.14</v>
      </c>
      <c r="O67" t="s">
        <v>3028</v>
      </c>
    </row>
    <row r="68" spans="1:15" x14ac:dyDescent="0.25">
      <c r="A68" s="10" t="s">
        <v>252</v>
      </c>
      <c r="B68" s="15">
        <v>0</v>
      </c>
      <c r="C68" s="15">
        <v>0</v>
      </c>
      <c r="D68" s="15">
        <v>0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20.68</v>
      </c>
      <c r="K68" s="15">
        <v>1192.3</v>
      </c>
      <c r="L68" s="15">
        <v>323.24</v>
      </c>
      <c r="M68" s="15">
        <v>284.14999999999998</v>
      </c>
      <c r="N68" s="15">
        <v>0</v>
      </c>
      <c r="O68" t="s">
        <v>3028</v>
      </c>
    </row>
    <row r="69" spans="1:15" x14ac:dyDescent="0.25">
      <c r="A69" s="10" t="s">
        <v>254</v>
      </c>
      <c r="B69" s="15">
        <v>3.97</v>
      </c>
      <c r="C69" s="15">
        <v>61.31</v>
      </c>
      <c r="D69" s="15">
        <v>0</v>
      </c>
      <c r="E69" s="15">
        <v>2.25</v>
      </c>
      <c r="F69" s="15">
        <v>33.14</v>
      </c>
      <c r="G69" s="15">
        <v>0.28000000000000003</v>
      </c>
      <c r="H69" s="15">
        <v>2.02</v>
      </c>
      <c r="I69" s="15">
        <v>54.39</v>
      </c>
      <c r="J69" s="15">
        <v>14.11</v>
      </c>
      <c r="K69" s="15">
        <v>31.39</v>
      </c>
      <c r="L69" s="15">
        <v>32.06</v>
      </c>
      <c r="M69" s="15">
        <v>45.13</v>
      </c>
      <c r="N69" s="15">
        <v>23.35</v>
      </c>
      <c r="O69" t="s">
        <v>3028</v>
      </c>
    </row>
    <row r="70" spans="1:15" x14ac:dyDescent="0.25">
      <c r="A70" s="10" t="s">
        <v>256</v>
      </c>
      <c r="B70" s="15">
        <v>208.97</v>
      </c>
      <c r="C70" s="15">
        <v>148.49</v>
      </c>
      <c r="D70" s="15">
        <v>38.619999999999997</v>
      </c>
      <c r="E70" s="15">
        <v>47.15</v>
      </c>
      <c r="F70" s="15">
        <v>62.05</v>
      </c>
      <c r="G70" s="15">
        <v>198.96</v>
      </c>
      <c r="H70" s="15">
        <v>0</v>
      </c>
      <c r="I70" s="15">
        <v>113.14</v>
      </c>
      <c r="J70" s="15">
        <v>61.07</v>
      </c>
      <c r="K70" s="15">
        <v>104.64</v>
      </c>
      <c r="L70" s="15">
        <v>67.930000000000007</v>
      </c>
      <c r="M70" s="15">
        <v>74.150000000000006</v>
      </c>
      <c r="N70" s="15">
        <v>92.66</v>
      </c>
      <c r="O70" t="s">
        <v>3028</v>
      </c>
    </row>
    <row r="71" spans="1:15" x14ac:dyDescent="0.25">
      <c r="A71" s="10" t="s">
        <v>258</v>
      </c>
      <c r="B71" s="15">
        <v>0</v>
      </c>
      <c r="C71" s="15">
        <v>0</v>
      </c>
      <c r="D71" s="15">
        <v>0</v>
      </c>
      <c r="E71" s="15">
        <v>0</v>
      </c>
      <c r="F71" s="15">
        <v>13.77</v>
      </c>
      <c r="G71" s="15">
        <v>254.7</v>
      </c>
      <c r="H71" s="15">
        <v>103.96</v>
      </c>
      <c r="I71" s="15">
        <v>384.85</v>
      </c>
      <c r="J71" s="15">
        <v>165.18</v>
      </c>
      <c r="K71" s="15">
        <v>399.15</v>
      </c>
      <c r="L71" s="15">
        <v>0</v>
      </c>
      <c r="M71" s="15">
        <v>0</v>
      </c>
      <c r="N71" s="15">
        <v>15.32</v>
      </c>
      <c r="O71" t="s">
        <v>3028</v>
      </c>
    </row>
    <row r="72" spans="1:15" x14ac:dyDescent="0.25">
      <c r="A72" s="10" t="s">
        <v>260</v>
      </c>
      <c r="B72" s="15">
        <v>1322.93</v>
      </c>
      <c r="C72" s="15">
        <v>1322.93</v>
      </c>
      <c r="D72" s="15">
        <v>1322.93</v>
      </c>
      <c r="E72" s="15">
        <v>49.31</v>
      </c>
      <c r="F72" s="15">
        <v>0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47.28</v>
      </c>
      <c r="O72" t="s">
        <v>3028</v>
      </c>
    </row>
    <row r="73" spans="1:15" x14ac:dyDescent="0.25">
      <c r="A73" s="10" t="s">
        <v>262</v>
      </c>
      <c r="B73" s="15">
        <v>13.4</v>
      </c>
      <c r="C73" s="15">
        <v>29.56</v>
      </c>
      <c r="D73" s="15">
        <v>32.99</v>
      </c>
      <c r="E73" s="15">
        <v>18.3</v>
      </c>
      <c r="F73" s="15">
        <v>8.5399999999999991</v>
      </c>
      <c r="G73" s="15">
        <v>4.53</v>
      </c>
      <c r="H73" s="15">
        <v>4.09</v>
      </c>
      <c r="I73" s="15">
        <v>59.91</v>
      </c>
      <c r="J73" s="15">
        <v>12.33</v>
      </c>
      <c r="K73" s="15">
        <v>37.369999999999997</v>
      </c>
      <c r="L73" s="15">
        <v>39.31</v>
      </c>
      <c r="M73" s="15">
        <v>53.84</v>
      </c>
      <c r="N73" s="15">
        <v>30.67</v>
      </c>
      <c r="O73" t="s">
        <v>3028</v>
      </c>
    </row>
    <row r="74" spans="1:15" x14ac:dyDescent="0.25">
      <c r="A74" s="10" t="s">
        <v>264</v>
      </c>
      <c r="B74" s="15">
        <v>32.049999999999997</v>
      </c>
      <c r="C74" s="15">
        <v>17.37</v>
      </c>
      <c r="D74" s="15">
        <v>104.69</v>
      </c>
      <c r="E74" s="15">
        <v>0</v>
      </c>
      <c r="F74" s="15">
        <v>0</v>
      </c>
      <c r="G74" s="15">
        <v>0</v>
      </c>
      <c r="H74" s="15">
        <v>91.24</v>
      </c>
      <c r="I74" s="15">
        <v>134.38</v>
      </c>
      <c r="J74" s="15">
        <v>44.65</v>
      </c>
      <c r="K74" s="15">
        <v>46.14</v>
      </c>
      <c r="L74" s="15">
        <v>40.04</v>
      </c>
      <c r="M74" s="15">
        <v>41.26</v>
      </c>
      <c r="N74" s="15">
        <v>37.520000000000003</v>
      </c>
      <c r="O74" t="s">
        <v>3028</v>
      </c>
    </row>
    <row r="75" spans="1:15" x14ac:dyDescent="0.25">
      <c r="A75" s="10" t="s">
        <v>268</v>
      </c>
      <c r="B75" s="15">
        <v>0</v>
      </c>
      <c r="C75" s="15">
        <v>24.98</v>
      </c>
      <c r="D75" s="15">
        <v>37.96</v>
      </c>
      <c r="E75" s="15">
        <v>24.07</v>
      </c>
      <c r="F75" s="15">
        <v>40.869999999999997</v>
      </c>
      <c r="G75" s="15">
        <v>52.57</v>
      </c>
      <c r="H75" s="15">
        <v>31.24</v>
      </c>
      <c r="I75" s="15">
        <v>23.49</v>
      </c>
      <c r="J75" s="15">
        <v>59.73</v>
      </c>
      <c r="K75" s="15">
        <v>82.06</v>
      </c>
      <c r="L75" s="15">
        <v>168.76</v>
      </c>
      <c r="M75" s="15">
        <v>0</v>
      </c>
      <c r="N75" s="15">
        <v>61.84</v>
      </c>
      <c r="O75" t="s">
        <v>3028</v>
      </c>
    </row>
    <row r="76" spans="1:15" x14ac:dyDescent="0.25">
      <c r="A76" s="10" t="s">
        <v>270</v>
      </c>
      <c r="B76" s="15">
        <v>2998.52</v>
      </c>
      <c r="C76" s="15">
        <v>2998.52</v>
      </c>
      <c r="D76" s="15">
        <v>2998.52</v>
      </c>
      <c r="E76" s="15">
        <v>2998.52</v>
      </c>
      <c r="F76" s="15">
        <v>2998.52</v>
      </c>
      <c r="G76" s="15">
        <v>2998.52</v>
      </c>
      <c r="H76" s="15">
        <v>2983.02</v>
      </c>
      <c r="I76" s="15">
        <v>2998.52</v>
      </c>
      <c r="J76" s="15">
        <v>2998.52</v>
      </c>
      <c r="K76" s="15">
        <v>3527.62</v>
      </c>
      <c r="L76" s="15">
        <v>3263.07</v>
      </c>
      <c r="M76" s="15">
        <v>3263.07</v>
      </c>
      <c r="N76" s="15">
        <v>3263.07</v>
      </c>
      <c r="O76" t="s">
        <v>3028</v>
      </c>
    </row>
    <row r="77" spans="1:15" x14ac:dyDescent="0.25">
      <c r="A77" s="10" t="s">
        <v>272</v>
      </c>
      <c r="B77" s="15">
        <v>1841.21</v>
      </c>
      <c r="C77" s="15">
        <v>1839.95</v>
      </c>
      <c r="D77" s="15">
        <v>1865.72</v>
      </c>
      <c r="E77" s="15">
        <v>1130.28</v>
      </c>
      <c r="F77" s="15">
        <v>1906.46</v>
      </c>
      <c r="G77" s="15">
        <v>1375.01</v>
      </c>
      <c r="H77" s="15">
        <v>1944.94</v>
      </c>
      <c r="I77" s="15">
        <v>2768.32</v>
      </c>
      <c r="J77" s="15">
        <v>1636.15</v>
      </c>
      <c r="K77" s="15">
        <v>2897.15</v>
      </c>
      <c r="L77" s="15">
        <v>1570.48</v>
      </c>
      <c r="M77" s="15">
        <v>2779.18</v>
      </c>
      <c r="N77" s="15">
        <v>1938.95</v>
      </c>
      <c r="O77" t="s">
        <v>3028</v>
      </c>
    </row>
    <row r="78" spans="1:15" x14ac:dyDescent="0.25">
      <c r="A78" s="10" t="s">
        <v>276</v>
      </c>
      <c r="B78" s="15">
        <v>0</v>
      </c>
      <c r="C78" s="15">
        <v>0</v>
      </c>
      <c r="D78" s="15">
        <v>0</v>
      </c>
      <c r="E78" s="15">
        <v>2.0299999999999998</v>
      </c>
      <c r="F78" s="15">
        <v>2.4900000000000002</v>
      </c>
      <c r="G78" s="15">
        <v>33.36</v>
      </c>
      <c r="H78" s="15">
        <v>4.92</v>
      </c>
      <c r="I78" s="15">
        <v>49</v>
      </c>
      <c r="J78" s="15">
        <v>32.75</v>
      </c>
      <c r="K78" s="15">
        <v>15.61</v>
      </c>
      <c r="L78" s="15">
        <v>15.72</v>
      </c>
      <c r="M78" s="15">
        <v>47.71</v>
      </c>
      <c r="N78" s="15">
        <v>0</v>
      </c>
      <c r="O78" t="s">
        <v>3028</v>
      </c>
    </row>
    <row r="79" spans="1:15" x14ac:dyDescent="0.25">
      <c r="A79" s="10" t="s">
        <v>278</v>
      </c>
      <c r="B79" s="15">
        <v>6083.22</v>
      </c>
      <c r="C79" s="15">
        <v>5945.21</v>
      </c>
      <c r="D79" s="15">
        <v>5989.84</v>
      </c>
      <c r="E79" s="15">
        <v>4740.6400000000003</v>
      </c>
      <c r="F79" s="15">
        <v>6882.72</v>
      </c>
      <c r="G79" s="15">
        <v>9204.5400000000009</v>
      </c>
      <c r="H79" s="15">
        <v>2529.0100000000002</v>
      </c>
      <c r="I79" s="15">
        <v>6913.5</v>
      </c>
      <c r="J79" s="15">
        <v>5513.25</v>
      </c>
      <c r="K79" s="15">
        <v>7298.89</v>
      </c>
      <c r="L79" s="15">
        <v>5816.59</v>
      </c>
      <c r="M79" s="15">
        <v>5308.38</v>
      </c>
      <c r="N79" s="15">
        <v>6109.67</v>
      </c>
      <c r="O79" t="s">
        <v>3028</v>
      </c>
    </row>
    <row r="80" spans="1:15" x14ac:dyDescent="0.25">
      <c r="A80" s="10" t="s">
        <v>280</v>
      </c>
      <c r="B80" s="15">
        <v>82.3</v>
      </c>
      <c r="C80" s="15">
        <v>166.91</v>
      </c>
      <c r="D80" s="15">
        <v>46.35</v>
      </c>
      <c r="E80" s="15">
        <v>45.79</v>
      </c>
      <c r="F80" s="15">
        <v>27.33</v>
      </c>
      <c r="G80" s="15">
        <v>24.47</v>
      </c>
      <c r="H80" s="15">
        <v>47.27</v>
      </c>
      <c r="I80" s="15">
        <v>60.54</v>
      </c>
      <c r="J80" s="15">
        <v>220.36</v>
      </c>
      <c r="K80" s="15">
        <v>0</v>
      </c>
      <c r="L80" s="15">
        <v>29.28</v>
      </c>
      <c r="M80" s="15">
        <v>208.32</v>
      </c>
      <c r="N80" s="15">
        <v>84.38</v>
      </c>
      <c r="O80" t="s">
        <v>3028</v>
      </c>
    </row>
    <row r="81" spans="1:15" x14ac:dyDescent="0.25">
      <c r="A81" s="10" t="s">
        <v>282</v>
      </c>
      <c r="B81" s="15">
        <v>0</v>
      </c>
      <c r="C81" s="15">
        <v>0</v>
      </c>
      <c r="D81" s="15">
        <v>0</v>
      </c>
      <c r="E81" s="15">
        <v>0</v>
      </c>
      <c r="F81" s="15">
        <v>0</v>
      </c>
      <c r="G81" s="15">
        <v>52.11</v>
      </c>
      <c r="H81" s="15">
        <v>0</v>
      </c>
      <c r="I81" s="15">
        <v>6.67</v>
      </c>
      <c r="J81" s="15">
        <v>1.55</v>
      </c>
      <c r="K81" s="15">
        <v>4.04</v>
      </c>
      <c r="L81" s="15">
        <v>3.73</v>
      </c>
      <c r="M81" s="15">
        <v>2.89</v>
      </c>
      <c r="N81" s="15">
        <v>0</v>
      </c>
      <c r="O81" t="s">
        <v>3028</v>
      </c>
    </row>
    <row r="82" spans="1:15" x14ac:dyDescent="0.25">
      <c r="A82" s="10" t="s">
        <v>284</v>
      </c>
      <c r="B82" s="15">
        <v>3031.98</v>
      </c>
      <c r="C82" s="15">
        <v>4849.53</v>
      </c>
      <c r="D82" s="15">
        <v>4849.53</v>
      </c>
      <c r="E82" s="15">
        <v>5873.5</v>
      </c>
      <c r="F82" s="15">
        <v>4261.9399999999996</v>
      </c>
      <c r="G82" s="15">
        <v>4849.53</v>
      </c>
      <c r="H82" s="15">
        <v>4849.53</v>
      </c>
      <c r="I82" s="15">
        <v>5740.69</v>
      </c>
      <c r="J82" s="15">
        <v>5146.58</v>
      </c>
      <c r="K82" s="15">
        <v>5146.58</v>
      </c>
      <c r="L82" s="15">
        <v>5146.58</v>
      </c>
      <c r="M82" s="15">
        <v>7089.34</v>
      </c>
      <c r="N82" s="15">
        <v>5146.58</v>
      </c>
      <c r="O82" t="s">
        <v>3028</v>
      </c>
    </row>
    <row r="83" spans="1:15" x14ac:dyDescent="0.25">
      <c r="A83" s="10" t="s">
        <v>286</v>
      </c>
      <c r="B83" s="15">
        <v>0</v>
      </c>
      <c r="C83" s="15">
        <v>0</v>
      </c>
      <c r="D83" s="15">
        <v>0</v>
      </c>
      <c r="E83" s="15">
        <v>0</v>
      </c>
      <c r="F83" s="15">
        <v>0</v>
      </c>
      <c r="G83" s="15">
        <v>0</v>
      </c>
      <c r="H83" s="15">
        <v>0</v>
      </c>
      <c r="I83" s="15">
        <v>5.27</v>
      </c>
      <c r="J83" s="15">
        <v>0</v>
      </c>
      <c r="K83" s="15">
        <v>0</v>
      </c>
      <c r="L83" s="15">
        <v>0</v>
      </c>
      <c r="M83" s="15">
        <v>0</v>
      </c>
      <c r="N83" s="15">
        <v>0</v>
      </c>
      <c r="O83" t="s">
        <v>3028</v>
      </c>
    </row>
    <row r="84" spans="1:15" x14ac:dyDescent="0.25">
      <c r="A84" s="10" t="s">
        <v>288</v>
      </c>
      <c r="B84" s="15">
        <v>0</v>
      </c>
      <c r="C84" s="15">
        <v>0</v>
      </c>
      <c r="D84" s="15">
        <v>0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28.72</v>
      </c>
      <c r="K84" s="15">
        <v>7.79</v>
      </c>
      <c r="L84" s="15">
        <v>19.89</v>
      </c>
      <c r="M84" s="15">
        <v>4.66</v>
      </c>
      <c r="N84" s="15">
        <v>5.79</v>
      </c>
      <c r="O84" t="s">
        <v>3028</v>
      </c>
    </row>
    <row r="85" spans="1:15" x14ac:dyDescent="0.25">
      <c r="A85" s="10" t="s">
        <v>290</v>
      </c>
      <c r="B85" s="15">
        <v>14.54</v>
      </c>
      <c r="C85" s="15">
        <v>13.51</v>
      </c>
      <c r="D85" s="15">
        <v>96.21</v>
      </c>
      <c r="E85" s="15">
        <v>0</v>
      </c>
      <c r="F85" s="15">
        <v>0</v>
      </c>
      <c r="G85" s="15">
        <v>15.12</v>
      </c>
      <c r="H85" s="15">
        <v>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t="s">
        <v>3028</v>
      </c>
    </row>
    <row r="86" spans="1:15" x14ac:dyDescent="0.25">
      <c r="A86" s="10" t="s">
        <v>292</v>
      </c>
      <c r="B86" s="15">
        <v>38.17</v>
      </c>
      <c r="C86" s="15">
        <v>122.04</v>
      </c>
      <c r="D86" s="15">
        <v>59.68</v>
      </c>
      <c r="E86" s="15">
        <v>118.25</v>
      </c>
      <c r="F86" s="15">
        <v>0</v>
      </c>
      <c r="G86" s="15">
        <v>0</v>
      </c>
      <c r="H86" s="15">
        <v>31.7</v>
      </c>
      <c r="I86" s="15">
        <v>39.33</v>
      </c>
      <c r="J86" s="15">
        <v>102.29</v>
      </c>
      <c r="K86" s="15">
        <v>120.95</v>
      </c>
      <c r="L86" s="15">
        <v>127.88</v>
      </c>
      <c r="M86" s="15">
        <v>171.94</v>
      </c>
      <c r="N86" s="15">
        <v>77.819999999999993</v>
      </c>
      <c r="O86" t="s">
        <v>3028</v>
      </c>
    </row>
    <row r="87" spans="1:15" x14ac:dyDescent="0.25">
      <c r="A87" s="10" t="s">
        <v>294</v>
      </c>
      <c r="B87" s="15">
        <v>271.26</v>
      </c>
      <c r="C87" s="15">
        <v>265.93</v>
      </c>
      <c r="D87" s="15">
        <v>251.24</v>
      </c>
      <c r="E87" s="15">
        <v>251.24</v>
      </c>
      <c r="F87" s="15">
        <v>265.19</v>
      </c>
      <c r="G87" s="15">
        <v>263.41000000000003</v>
      </c>
      <c r="H87" s="15">
        <v>255.29</v>
      </c>
      <c r="I87" s="15">
        <v>1244.94</v>
      </c>
      <c r="J87" s="15">
        <v>0</v>
      </c>
      <c r="K87" s="15">
        <v>346.66</v>
      </c>
      <c r="L87" s="15">
        <v>342.56</v>
      </c>
      <c r="M87" s="15">
        <v>348.87</v>
      </c>
      <c r="N87" s="15">
        <v>345.03</v>
      </c>
      <c r="O87" t="s">
        <v>3028</v>
      </c>
    </row>
    <row r="88" spans="1:15" x14ac:dyDescent="0.25">
      <c r="A88" s="10" t="s">
        <v>296</v>
      </c>
      <c r="B88" s="15">
        <v>0</v>
      </c>
      <c r="C88" s="15">
        <v>6.82</v>
      </c>
      <c r="D88" s="15">
        <v>0</v>
      </c>
      <c r="E88" s="15">
        <v>0</v>
      </c>
      <c r="F88" s="15">
        <v>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t="s">
        <v>3028</v>
      </c>
    </row>
    <row r="89" spans="1:15" x14ac:dyDescent="0.25">
      <c r="A89" s="10" t="s">
        <v>298</v>
      </c>
      <c r="B89" s="15">
        <v>942.93</v>
      </c>
      <c r="C89" s="15">
        <v>760.11</v>
      </c>
      <c r="D89" s="15">
        <v>771.06</v>
      </c>
      <c r="E89" s="15">
        <v>1371.79</v>
      </c>
      <c r="F89" s="15">
        <v>189.68</v>
      </c>
      <c r="G89" s="15">
        <v>255.4</v>
      </c>
      <c r="H89" s="15">
        <v>1455.85</v>
      </c>
      <c r="I89" s="15">
        <v>1286.46</v>
      </c>
      <c r="J89" s="15">
        <v>969.3</v>
      </c>
      <c r="K89" s="15">
        <v>954.61</v>
      </c>
      <c r="L89" s="15">
        <v>1009.77</v>
      </c>
      <c r="M89" s="15">
        <v>1109.69</v>
      </c>
      <c r="N89" s="15">
        <v>929.44</v>
      </c>
      <c r="O89" t="s">
        <v>3028</v>
      </c>
    </row>
    <row r="90" spans="1:15" x14ac:dyDescent="0.25">
      <c r="A90" s="10" t="s">
        <v>300</v>
      </c>
      <c r="B90" s="15">
        <v>1712.48</v>
      </c>
      <c r="C90" s="15">
        <v>1712.48</v>
      </c>
      <c r="D90" s="15">
        <v>1712.48</v>
      </c>
      <c r="E90" s="15">
        <v>3109.05</v>
      </c>
      <c r="F90" s="15">
        <v>105.25</v>
      </c>
      <c r="G90" s="15">
        <v>1712.48</v>
      </c>
      <c r="H90" s="15">
        <v>1712.48</v>
      </c>
      <c r="I90" s="15">
        <v>2550.06</v>
      </c>
      <c r="J90" s="15">
        <v>1991.67</v>
      </c>
      <c r="K90" s="15">
        <v>1991.67</v>
      </c>
      <c r="L90" s="15">
        <v>1991.67</v>
      </c>
      <c r="M90" s="15">
        <v>1991.67</v>
      </c>
      <c r="N90" s="15">
        <v>1991.67</v>
      </c>
      <c r="O90" t="s">
        <v>3028</v>
      </c>
    </row>
    <row r="91" spans="1:15" x14ac:dyDescent="0.25">
      <c r="A91" s="10" t="s">
        <v>302</v>
      </c>
      <c r="B91" s="15">
        <v>22.85</v>
      </c>
      <c r="C91" s="15">
        <v>608.66</v>
      </c>
      <c r="D91" s="15">
        <v>577.47</v>
      </c>
      <c r="E91" s="15">
        <v>590.12</v>
      </c>
      <c r="F91" s="15">
        <v>565.95000000000005</v>
      </c>
      <c r="G91" s="15">
        <v>581.64</v>
      </c>
      <c r="H91" s="15">
        <v>565.95000000000005</v>
      </c>
      <c r="I91" s="15">
        <v>1051.95</v>
      </c>
      <c r="J91" s="15">
        <v>948.47</v>
      </c>
      <c r="K91" s="15">
        <v>734.53</v>
      </c>
      <c r="L91" s="15">
        <v>790.95</v>
      </c>
      <c r="M91" s="15">
        <v>1328.4</v>
      </c>
      <c r="N91" s="15">
        <v>774.85</v>
      </c>
      <c r="O91" t="s">
        <v>3028</v>
      </c>
    </row>
    <row r="92" spans="1:15" x14ac:dyDescent="0.25">
      <c r="A92" s="10" t="s">
        <v>304</v>
      </c>
      <c r="B92" s="15">
        <v>0</v>
      </c>
      <c r="C92" s="15">
        <v>0</v>
      </c>
      <c r="D92" s="15">
        <v>0</v>
      </c>
      <c r="E92" s="15">
        <v>0</v>
      </c>
      <c r="F92" s="15">
        <v>0</v>
      </c>
      <c r="G92" s="15">
        <v>0</v>
      </c>
      <c r="H92" s="15">
        <v>0</v>
      </c>
      <c r="I92" s="15">
        <v>1.26</v>
      </c>
      <c r="J92" s="15">
        <v>4.57</v>
      </c>
      <c r="K92" s="15">
        <v>0</v>
      </c>
      <c r="L92" s="15">
        <v>0</v>
      </c>
      <c r="M92" s="15">
        <v>0</v>
      </c>
      <c r="N92" s="15">
        <v>0</v>
      </c>
      <c r="O92" t="s">
        <v>3028</v>
      </c>
    </row>
    <row r="93" spans="1:15" x14ac:dyDescent="0.25">
      <c r="A93" s="10" t="s">
        <v>306</v>
      </c>
      <c r="B93" s="15">
        <v>59.17</v>
      </c>
      <c r="C93" s="15">
        <v>55.86</v>
      </c>
      <c r="D93" s="15">
        <v>58.66</v>
      </c>
      <c r="E93" s="15">
        <v>62.92</v>
      </c>
      <c r="F93" s="15">
        <v>60.33</v>
      </c>
      <c r="G93" s="15">
        <v>104.95</v>
      </c>
      <c r="H93" s="15">
        <v>61.69</v>
      </c>
      <c r="I93" s="15">
        <v>58.6</v>
      </c>
      <c r="J93" s="15">
        <v>49.47</v>
      </c>
      <c r="K93" s="15">
        <v>151.06</v>
      </c>
      <c r="L93" s="15">
        <v>72.290000000000006</v>
      </c>
      <c r="M93" s="15">
        <v>86.43</v>
      </c>
      <c r="N93" s="15">
        <v>91.73</v>
      </c>
      <c r="O93" t="s">
        <v>3028</v>
      </c>
    </row>
    <row r="94" spans="1:15" x14ac:dyDescent="0.25">
      <c r="A94" s="10" t="s">
        <v>308</v>
      </c>
      <c r="B94" s="15">
        <v>33.72</v>
      </c>
      <c r="C94" s="15">
        <v>31.8</v>
      </c>
      <c r="D94" s="15">
        <v>67.989999999999995</v>
      </c>
      <c r="E94" s="15">
        <v>0</v>
      </c>
      <c r="F94" s="15">
        <v>5.14</v>
      </c>
      <c r="G94" s="15">
        <v>3.86</v>
      </c>
      <c r="H94" s="15">
        <v>2.98</v>
      </c>
      <c r="I94" s="15">
        <v>54.57</v>
      </c>
      <c r="J94" s="15">
        <v>4.51</v>
      </c>
      <c r="K94" s="15">
        <v>8.1</v>
      </c>
      <c r="L94" s="15">
        <v>3.67</v>
      </c>
      <c r="M94" s="15">
        <v>45.1</v>
      </c>
      <c r="N94" s="15">
        <v>25.73</v>
      </c>
      <c r="O94" t="s">
        <v>3028</v>
      </c>
    </row>
    <row r="95" spans="1:15" x14ac:dyDescent="0.25">
      <c r="A95" s="10" t="s">
        <v>312</v>
      </c>
      <c r="B95" s="15">
        <v>3991.85</v>
      </c>
      <c r="C95" s="15">
        <v>3969.34</v>
      </c>
      <c r="D95" s="15">
        <v>3459.31</v>
      </c>
      <c r="E95" s="15">
        <v>3521.05</v>
      </c>
      <c r="F95" s="15">
        <v>4920.24</v>
      </c>
      <c r="G95" s="15">
        <v>4103.33</v>
      </c>
      <c r="H95" s="15">
        <v>5008.3</v>
      </c>
      <c r="I95" s="15">
        <v>5276.84</v>
      </c>
      <c r="J95" s="15">
        <v>4594.33</v>
      </c>
      <c r="K95" s="15">
        <v>4680.29</v>
      </c>
      <c r="L95" s="15">
        <v>3971.32</v>
      </c>
      <c r="M95" s="15">
        <v>3739.18</v>
      </c>
      <c r="N95" s="15">
        <v>4358.16</v>
      </c>
      <c r="O95" t="s">
        <v>3028</v>
      </c>
    </row>
    <row r="96" spans="1:15" x14ac:dyDescent="0.25">
      <c r="A96" s="10" t="s">
        <v>314</v>
      </c>
      <c r="B96" s="15">
        <v>0</v>
      </c>
      <c r="C96" s="15">
        <v>0</v>
      </c>
      <c r="D96" s="15">
        <v>0</v>
      </c>
      <c r="E96" s="15">
        <v>0</v>
      </c>
      <c r="F96" s="15">
        <v>0</v>
      </c>
      <c r="G96" s="15">
        <v>0</v>
      </c>
      <c r="H96" s="15">
        <v>0</v>
      </c>
      <c r="I96" s="15">
        <v>15.75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t="s">
        <v>3028</v>
      </c>
    </row>
    <row r="97" spans="1:15" x14ac:dyDescent="0.25">
      <c r="A97" s="10" t="s">
        <v>316</v>
      </c>
      <c r="B97" s="15">
        <v>0</v>
      </c>
      <c r="C97" s="15">
        <v>4.8099999999999996</v>
      </c>
      <c r="D97" s="15">
        <v>0</v>
      </c>
      <c r="E97" s="15">
        <v>33.57</v>
      </c>
      <c r="F97" s="15">
        <v>0</v>
      </c>
      <c r="G97" s="15">
        <v>0</v>
      </c>
      <c r="H97" s="15">
        <v>0</v>
      </c>
      <c r="I97" s="15">
        <v>17.93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t="s">
        <v>3028</v>
      </c>
    </row>
    <row r="98" spans="1:15" x14ac:dyDescent="0.25">
      <c r="A98" s="10" t="s">
        <v>318</v>
      </c>
      <c r="B98" s="15">
        <v>0</v>
      </c>
      <c r="C98" s="15">
        <v>0</v>
      </c>
      <c r="D98" s="15">
        <v>0</v>
      </c>
      <c r="E98" s="15">
        <v>262.08999999999997</v>
      </c>
      <c r="F98" s="15">
        <v>388.59</v>
      </c>
      <c r="G98" s="15">
        <v>388.59</v>
      </c>
      <c r="H98" s="15">
        <v>392.09</v>
      </c>
      <c r="I98" s="15">
        <v>870.9</v>
      </c>
      <c r="J98" s="15">
        <v>0</v>
      </c>
      <c r="K98" s="15">
        <v>0</v>
      </c>
      <c r="L98" s="15">
        <v>0</v>
      </c>
      <c r="M98" s="15">
        <v>0</v>
      </c>
      <c r="N98" s="15">
        <v>31.32</v>
      </c>
      <c r="O98" t="s">
        <v>3028</v>
      </c>
    </row>
    <row r="99" spans="1:15" x14ac:dyDescent="0.25">
      <c r="A99" s="10" t="s">
        <v>320</v>
      </c>
      <c r="B99" s="15">
        <v>35.01</v>
      </c>
      <c r="C99" s="15">
        <v>27.62</v>
      </c>
      <c r="D99" s="15">
        <v>27.62</v>
      </c>
      <c r="E99" s="15">
        <v>27.62</v>
      </c>
      <c r="F99" s="15">
        <v>27.62</v>
      </c>
      <c r="G99" s="15">
        <v>27.62</v>
      </c>
      <c r="H99" s="15">
        <v>27.62</v>
      </c>
      <c r="I99" s="15">
        <v>167.8</v>
      </c>
      <c r="J99" s="15">
        <v>3.37</v>
      </c>
      <c r="K99" s="15">
        <v>0</v>
      </c>
      <c r="L99" s="15">
        <v>0</v>
      </c>
      <c r="M99" s="15">
        <v>0</v>
      </c>
      <c r="N99" s="15">
        <v>29.59</v>
      </c>
      <c r="O99" t="s">
        <v>3028</v>
      </c>
    </row>
    <row r="100" spans="1:15" x14ac:dyDescent="0.25">
      <c r="A100" s="10" t="s">
        <v>322</v>
      </c>
      <c r="B100" s="15">
        <v>1851.61</v>
      </c>
      <c r="C100" s="15">
        <v>1787.82</v>
      </c>
      <c r="D100" s="15">
        <v>1338.21</v>
      </c>
      <c r="E100" s="15">
        <v>1819.71</v>
      </c>
      <c r="F100" s="15">
        <v>1851.61</v>
      </c>
      <c r="G100" s="15">
        <v>1322.88</v>
      </c>
      <c r="H100" s="15">
        <v>1815.56</v>
      </c>
      <c r="I100" s="15">
        <v>2482.69</v>
      </c>
      <c r="J100" s="15">
        <v>1058.5999999999999</v>
      </c>
      <c r="K100" s="15">
        <v>2845.02</v>
      </c>
      <c r="L100" s="15">
        <v>1496.45</v>
      </c>
      <c r="M100" s="15">
        <v>2024.13</v>
      </c>
      <c r="N100" s="15">
        <v>1821.85</v>
      </c>
      <c r="O100" t="s">
        <v>3028</v>
      </c>
    </row>
    <row r="101" spans="1:15" x14ac:dyDescent="0.25">
      <c r="A101" s="10" t="s">
        <v>324</v>
      </c>
      <c r="B101" s="15">
        <v>886</v>
      </c>
      <c r="C101" s="15">
        <v>1043.83</v>
      </c>
      <c r="D101" s="15">
        <v>895.57</v>
      </c>
      <c r="E101" s="15">
        <v>812.66</v>
      </c>
      <c r="F101" s="15">
        <v>981.42</v>
      </c>
      <c r="G101" s="15">
        <v>1206.8499999999999</v>
      </c>
      <c r="H101" s="15">
        <v>293.61</v>
      </c>
      <c r="I101" s="15">
        <v>2004.58</v>
      </c>
      <c r="J101" s="15">
        <v>821.54</v>
      </c>
      <c r="K101" s="15">
        <v>2165.35</v>
      </c>
      <c r="L101" s="15">
        <v>1005.69</v>
      </c>
      <c r="M101" s="15">
        <v>1108.73</v>
      </c>
      <c r="N101" s="15">
        <v>1393.59</v>
      </c>
      <c r="O101" t="s">
        <v>3028</v>
      </c>
    </row>
    <row r="102" spans="1:15" x14ac:dyDescent="0.25">
      <c r="A102" s="10" t="s">
        <v>326</v>
      </c>
      <c r="B102" s="15">
        <v>0</v>
      </c>
      <c r="C102" s="15">
        <v>0</v>
      </c>
      <c r="D102" s="15">
        <v>18.86</v>
      </c>
      <c r="E102" s="15">
        <v>0</v>
      </c>
      <c r="F102" s="15">
        <v>0</v>
      </c>
      <c r="G102" s="15">
        <v>0</v>
      </c>
      <c r="H102" s="15">
        <v>0</v>
      </c>
      <c r="I102" s="15">
        <v>6.38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  <c r="O102" t="s">
        <v>3028</v>
      </c>
    </row>
    <row r="103" spans="1:15" x14ac:dyDescent="0.25">
      <c r="A103" s="10" t="s">
        <v>332</v>
      </c>
      <c r="B103" s="15">
        <v>37.24</v>
      </c>
      <c r="C103" s="15">
        <v>37.159999999999997</v>
      </c>
      <c r="D103" s="15">
        <v>54.79</v>
      </c>
      <c r="E103" s="15">
        <v>37.619999999999997</v>
      </c>
      <c r="F103" s="15">
        <v>35.68</v>
      </c>
      <c r="G103" s="15">
        <v>199.42</v>
      </c>
      <c r="H103" s="15">
        <v>0</v>
      </c>
      <c r="I103" s="15">
        <v>54.74</v>
      </c>
      <c r="J103" s="15">
        <v>49.91</v>
      </c>
      <c r="K103" s="15">
        <v>56.41</v>
      </c>
      <c r="L103" s="15">
        <v>54.43</v>
      </c>
      <c r="M103" s="15">
        <v>76.86</v>
      </c>
      <c r="N103" s="15">
        <v>59.43</v>
      </c>
      <c r="O103" t="s">
        <v>3028</v>
      </c>
    </row>
    <row r="104" spans="1:15" x14ac:dyDescent="0.25">
      <c r="A104" s="10" t="s">
        <v>334</v>
      </c>
      <c r="B104" s="15">
        <v>69.25</v>
      </c>
      <c r="C104" s="15">
        <v>40.31</v>
      </c>
      <c r="D104" s="15">
        <v>0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t="s">
        <v>3028</v>
      </c>
    </row>
    <row r="105" spans="1:15" x14ac:dyDescent="0.25">
      <c r="A105" s="10" t="s">
        <v>338</v>
      </c>
      <c r="B105" s="15">
        <v>1685.83</v>
      </c>
      <c r="C105" s="15">
        <v>1685.83</v>
      </c>
      <c r="D105" s="15">
        <v>2450.2199999999998</v>
      </c>
      <c r="E105" s="15">
        <v>460.66</v>
      </c>
      <c r="F105" s="15">
        <v>1685.83</v>
      </c>
      <c r="G105" s="15">
        <v>1225.05</v>
      </c>
      <c r="H105" s="15">
        <v>1685.83</v>
      </c>
      <c r="I105" s="15">
        <v>2364.48</v>
      </c>
      <c r="J105" s="15">
        <v>1957.29</v>
      </c>
      <c r="K105" s="15">
        <v>1957.29</v>
      </c>
      <c r="L105" s="15">
        <v>1957.29</v>
      </c>
      <c r="M105" s="15">
        <v>1957.29</v>
      </c>
      <c r="N105" s="15">
        <v>1957.29</v>
      </c>
      <c r="O105" t="s">
        <v>3028</v>
      </c>
    </row>
    <row r="106" spans="1:15" x14ac:dyDescent="0.25">
      <c r="A106" s="10" t="s">
        <v>340</v>
      </c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G106" s="15">
        <v>0</v>
      </c>
      <c r="H106" s="15">
        <v>0</v>
      </c>
      <c r="I106" s="15">
        <v>17.670000000000002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t="s">
        <v>3028</v>
      </c>
    </row>
    <row r="107" spans="1:15" x14ac:dyDescent="0.25">
      <c r="A107" s="10" t="s">
        <v>342</v>
      </c>
      <c r="B107" s="15">
        <v>851.48</v>
      </c>
      <c r="C107" s="15">
        <v>698.15</v>
      </c>
      <c r="D107" s="15">
        <v>696.01</v>
      </c>
      <c r="E107" s="15">
        <v>733.63</v>
      </c>
      <c r="F107" s="15">
        <v>723.83</v>
      </c>
      <c r="G107" s="15">
        <v>698.48</v>
      </c>
      <c r="H107" s="15">
        <v>791.38</v>
      </c>
      <c r="I107" s="15">
        <v>1293.33</v>
      </c>
      <c r="J107" s="15">
        <v>1778.3</v>
      </c>
      <c r="K107" s="15">
        <v>143.19</v>
      </c>
      <c r="L107" s="15">
        <v>970.06</v>
      </c>
      <c r="M107" s="15">
        <v>35.200000000000003</v>
      </c>
      <c r="N107" s="15">
        <v>723.15</v>
      </c>
      <c r="O107" t="s">
        <v>3028</v>
      </c>
    </row>
    <row r="108" spans="1:15" x14ac:dyDescent="0.25">
      <c r="A108" s="10" t="s">
        <v>344</v>
      </c>
      <c r="B108" s="15">
        <v>64.459999999999994</v>
      </c>
      <c r="C108" s="15">
        <v>54.83</v>
      </c>
      <c r="D108" s="15">
        <v>32.32</v>
      </c>
      <c r="E108" s="15">
        <v>33.21</v>
      </c>
      <c r="F108" s="15">
        <v>33.79</v>
      </c>
      <c r="G108" s="15">
        <v>229.67</v>
      </c>
      <c r="H108" s="15">
        <v>0</v>
      </c>
      <c r="I108" s="15">
        <v>0</v>
      </c>
      <c r="J108" s="15">
        <v>243.2</v>
      </c>
      <c r="K108" s="15">
        <v>98.19</v>
      </c>
      <c r="L108" s="15">
        <v>83.22</v>
      </c>
      <c r="M108" s="15">
        <v>63.7</v>
      </c>
      <c r="N108" s="15">
        <v>67.78</v>
      </c>
      <c r="O108" t="s">
        <v>3028</v>
      </c>
    </row>
    <row r="109" spans="1:15" x14ac:dyDescent="0.25">
      <c r="A109" s="10" t="s">
        <v>346</v>
      </c>
      <c r="B109" s="15">
        <v>0</v>
      </c>
      <c r="C109" s="15">
        <v>0</v>
      </c>
      <c r="D109" s="15">
        <v>0</v>
      </c>
      <c r="E109" s="15">
        <v>8.09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t="s">
        <v>3028</v>
      </c>
    </row>
    <row r="110" spans="1:15" x14ac:dyDescent="0.25">
      <c r="A110" s="10" t="s">
        <v>348</v>
      </c>
      <c r="B110" s="15">
        <v>103.25</v>
      </c>
      <c r="C110" s="15">
        <v>91.45</v>
      </c>
      <c r="D110" s="15">
        <v>266.33999999999997</v>
      </c>
      <c r="E110" s="15">
        <v>0</v>
      </c>
      <c r="F110" s="15">
        <v>0</v>
      </c>
      <c r="G110" s="15">
        <v>52.66</v>
      </c>
      <c r="H110" s="15">
        <v>60.9</v>
      </c>
      <c r="I110" s="15">
        <v>168.74</v>
      </c>
      <c r="J110" s="15">
        <v>74.319999999999993</v>
      </c>
      <c r="K110" s="15">
        <v>68.989999999999995</v>
      </c>
      <c r="L110" s="15">
        <v>80.19</v>
      </c>
      <c r="M110" s="15">
        <v>125.54</v>
      </c>
      <c r="N110" s="15">
        <v>89.55</v>
      </c>
      <c r="O110" t="s">
        <v>3028</v>
      </c>
    </row>
    <row r="111" spans="1:15" x14ac:dyDescent="0.25">
      <c r="A111" s="10" t="s">
        <v>350</v>
      </c>
      <c r="B111" s="15">
        <v>1166.52</v>
      </c>
      <c r="C111" s="15">
        <v>1166.52</v>
      </c>
      <c r="D111" s="15">
        <v>1166.52</v>
      </c>
      <c r="E111" s="15">
        <v>2072.0100000000002</v>
      </c>
      <c r="F111" s="15">
        <v>28.11</v>
      </c>
      <c r="G111" s="15">
        <v>1166.52</v>
      </c>
      <c r="H111" s="15">
        <v>1166.52</v>
      </c>
      <c r="I111" s="15">
        <v>1858.62</v>
      </c>
      <c r="J111" s="15">
        <v>1186.44</v>
      </c>
      <c r="K111" s="15">
        <v>1311.22</v>
      </c>
      <c r="L111" s="15">
        <v>1397.22</v>
      </c>
      <c r="M111" s="15">
        <v>1397.22</v>
      </c>
      <c r="N111" s="15">
        <v>1397.22</v>
      </c>
      <c r="O111" t="s">
        <v>3028</v>
      </c>
    </row>
    <row r="112" spans="1:15" x14ac:dyDescent="0.25">
      <c r="A112" s="10" t="s">
        <v>352</v>
      </c>
      <c r="B112" s="15">
        <v>689.81</v>
      </c>
      <c r="C112" s="15">
        <v>641.14</v>
      </c>
      <c r="D112" s="15">
        <v>108.98</v>
      </c>
      <c r="E112" s="15">
        <v>650.9</v>
      </c>
      <c r="F112" s="15">
        <v>689.81</v>
      </c>
      <c r="G112" s="15">
        <v>270.97000000000003</v>
      </c>
      <c r="H112" s="15">
        <v>0</v>
      </c>
      <c r="I112" s="15">
        <v>3967.92</v>
      </c>
      <c r="J112" s="15">
        <v>836.74</v>
      </c>
      <c r="K112" s="15">
        <v>863.46</v>
      </c>
      <c r="L112" s="15">
        <v>283.16000000000003</v>
      </c>
      <c r="M112" s="15">
        <v>763.36</v>
      </c>
      <c r="N112" s="15">
        <v>734.98</v>
      </c>
      <c r="O112" t="s">
        <v>3028</v>
      </c>
    </row>
    <row r="113" spans="1:15" x14ac:dyDescent="0.25">
      <c r="A113" s="10" t="s">
        <v>356</v>
      </c>
      <c r="B113" s="15">
        <v>26.66</v>
      </c>
      <c r="C113" s="15">
        <v>1.56</v>
      </c>
      <c r="D113" s="15">
        <v>31.86</v>
      </c>
      <c r="E113" s="15">
        <v>10.27</v>
      </c>
      <c r="F113" s="15">
        <v>0</v>
      </c>
      <c r="G113" s="15">
        <v>0</v>
      </c>
      <c r="H113" s="15">
        <v>0</v>
      </c>
      <c r="I113" s="15">
        <v>66.86</v>
      </c>
      <c r="J113" s="15">
        <v>106.27</v>
      </c>
      <c r="K113" s="15">
        <v>0</v>
      </c>
      <c r="L113" s="15">
        <v>0</v>
      </c>
      <c r="M113" s="15">
        <v>14.04</v>
      </c>
      <c r="N113" s="15">
        <v>19.07</v>
      </c>
      <c r="O113" t="s">
        <v>3028</v>
      </c>
    </row>
    <row r="114" spans="1:15" x14ac:dyDescent="0.25">
      <c r="A114" s="10" t="s">
        <v>358</v>
      </c>
      <c r="B114" s="15">
        <v>33.97</v>
      </c>
      <c r="C114" s="15">
        <v>83.28</v>
      </c>
      <c r="D114" s="15">
        <v>34.549999999999997</v>
      </c>
      <c r="E114" s="15">
        <v>24.91</v>
      </c>
      <c r="F114" s="15">
        <v>8.23</v>
      </c>
      <c r="G114" s="15">
        <v>0</v>
      </c>
      <c r="H114" s="15">
        <v>5.64</v>
      </c>
      <c r="I114" s="15">
        <v>19.8</v>
      </c>
      <c r="J114" s="15">
        <v>25.89</v>
      </c>
      <c r="K114" s="15">
        <v>38.47</v>
      </c>
      <c r="L114" s="15">
        <v>138.44999999999999</v>
      </c>
      <c r="M114" s="15">
        <v>0</v>
      </c>
      <c r="N114" s="15">
        <v>34.85</v>
      </c>
      <c r="O114" t="s">
        <v>3028</v>
      </c>
    </row>
    <row r="115" spans="1:15" x14ac:dyDescent="0.25">
      <c r="A115" s="10" t="s">
        <v>364</v>
      </c>
      <c r="B115" s="15">
        <v>28.1</v>
      </c>
      <c r="C115" s="15">
        <v>0</v>
      </c>
      <c r="D115" s="15">
        <v>0</v>
      </c>
      <c r="E115" s="15">
        <v>0</v>
      </c>
      <c r="F115" s="15">
        <v>0</v>
      </c>
      <c r="G115" s="15">
        <v>0</v>
      </c>
      <c r="H115" s="15">
        <v>62.52</v>
      </c>
      <c r="I115" s="15">
        <v>0</v>
      </c>
      <c r="J115" s="15">
        <v>0</v>
      </c>
      <c r="K115" s="15">
        <v>21.49</v>
      </c>
      <c r="L115" s="15">
        <v>0</v>
      </c>
      <c r="M115" s="15">
        <v>27.03</v>
      </c>
      <c r="N115" s="15">
        <v>10.19</v>
      </c>
      <c r="O115" t="s">
        <v>3028</v>
      </c>
    </row>
    <row r="116" spans="1:15" x14ac:dyDescent="0.25">
      <c r="A116" s="10" t="s">
        <v>368</v>
      </c>
      <c r="B116" s="15">
        <v>0</v>
      </c>
      <c r="C116" s="15">
        <v>0</v>
      </c>
      <c r="D116" s="15">
        <v>0</v>
      </c>
      <c r="E116" s="15">
        <v>19.13</v>
      </c>
      <c r="F116" s="15">
        <v>0</v>
      </c>
      <c r="G116" s="15">
        <v>0</v>
      </c>
      <c r="H116" s="15">
        <v>0</v>
      </c>
      <c r="I116" s="15">
        <v>13.8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t="s">
        <v>3028</v>
      </c>
    </row>
    <row r="117" spans="1:15" x14ac:dyDescent="0.25">
      <c r="A117" s="10" t="s">
        <v>370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16.12</v>
      </c>
      <c r="J117" s="15">
        <v>0</v>
      </c>
      <c r="K117" s="15">
        <v>0</v>
      </c>
      <c r="L117" s="15">
        <v>6.21</v>
      </c>
      <c r="M117" s="15">
        <v>0</v>
      </c>
      <c r="N117" s="15">
        <v>0</v>
      </c>
      <c r="O117" t="s">
        <v>3028</v>
      </c>
    </row>
    <row r="118" spans="1:15" x14ac:dyDescent="0.25">
      <c r="A118" s="10" t="s">
        <v>372</v>
      </c>
      <c r="B118" s="15">
        <v>41.79</v>
      </c>
      <c r="C118" s="15">
        <v>32.74</v>
      </c>
      <c r="D118" s="15">
        <v>32.979999999999997</v>
      </c>
      <c r="E118" s="15">
        <v>168.31</v>
      </c>
      <c r="F118" s="15">
        <v>0</v>
      </c>
      <c r="G118" s="15">
        <v>34.56</v>
      </c>
      <c r="H118" s="15">
        <v>46.39</v>
      </c>
      <c r="I118" s="15">
        <v>123.73</v>
      </c>
      <c r="J118" s="15">
        <v>50.2</v>
      </c>
      <c r="K118" s="15">
        <v>57.89</v>
      </c>
      <c r="L118" s="15">
        <v>52.92</v>
      </c>
      <c r="M118" s="15">
        <v>55.67</v>
      </c>
      <c r="N118" s="15">
        <v>54.03</v>
      </c>
      <c r="O118" t="s">
        <v>3028</v>
      </c>
    </row>
    <row r="119" spans="1:15" x14ac:dyDescent="0.25">
      <c r="A119" s="10" t="s">
        <v>374</v>
      </c>
      <c r="B119" s="15">
        <v>0</v>
      </c>
      <c r="C119" s="15">
        <v>291.12</v>
      </c>
      <c r="D119" s="15">
        <v>296.12</v>
      </c>
      <c r="E119" s="15">
        <v>291.12</v>
      </c>
      <c r="F119" s="15">
        <v>292.67</v>
      </c>
      <c r="G119" s="15">
        <v>302.93</v>
      </c>
      <c r="H119" s="15">
        <v>291.12</v>
      </c>
      <c r="I119" s="15">
        <v>701.63</v>
      </c>
      <c r="J119" s="15">
        <v>407.36</v>
      </c>
      <c r="K119" s="15">
        <v>407.36</v>
      </c>
      <c r="L119" s="15">
        <v>460.61</v>
      </c>
      <c r="M119" s="15">
        <v>676.51</v>
      </c>
      <c r="N119" s="15">
        <v>413.55</v>
      </c>
      <c r="O119" t="s">
        <v>3028</v>
      </c>
    </row>
    <row r="120" spans="1:15" x14ac:dyDescent="0.25">
      <c r="A120" s="10" t="s">
        <v>376</v>
      </c>
      <c r="B120" s="15">
        <v>239.49</v>
      </c>
      <c r="C120" s="15">
        <v>210.6</v>
      </c>
      <c r="D120" s="15">
        <v>0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t="s">
        <v>3028</v>
      </c>
    </row>
    <row r="121" spans="1:15" x14ac:dyDescent="0.25">
      <c r="A121" s="10" t="s">
        <v>380</v>
      </c>
      <c r="B121" s="15">
        <v>379.8</v>
      </c>
      <c r="C121" s="15">
        <v>211.86</v>
      </c>
      <c r="D121" s="15">
        <v>878.62</v>
      </c>
      <c r="E121" s="15">
        <v>0</v>
      </c>
      <c r="F121" s="15">
        <v>328.65</v>
      </c>
      <c r="G121" s="15">
        <v>273.67</v>
      </c>
      <c r="H121" s="15">
        <v>201.37</v>
      </c>
      <c r="I121" s="15">
        <v>604.96</v>
      </c>
      <c r="J121" s="15">
        <v>306.56</v>
      </c>
      <c r="K121" s="15">
        <v>308.95</v>
      </c>
      <c r="L121" s="15">
        <v>303.38</v>
      </c>
      <c r="M121" s="15">
        <v>406.04</v>
      </c>
      <c r="N121" s="15">
        <v>342.93</v>
      </c>
      <c r="O121" t="s">
        <v>3028</v>
      </c>
    </row>
    <row r="122" spans="1:15" x14ac:dyDescent="0.25">
      <c r="A122" s="10" t="s">
        <v>382</v>
      </c>
      <c r="B122" s="15">
        <v>47.17</v>
      </c>
      <c r="C122" s="15">
        <v>94.99</v>
      </c>
      <c r="D122" s="15">
        <v>67.77</v>
      </c>
      <c r="E122" s="15">
        <v>182.47</v>
      </c>
      <c r="F122" s="15">
        <v>0</v>
      </c>
      <c r="G122" s="15">
        <v>50.17</v>
      </c>
      <c r="H122" s="15">
        <v>51.78</v>
      </c>
      <c r="I122" s="15">
        <v>184.21</v>
      </c>
      <c r="J122" s="15">
        <v>71.25</v>
      </c>
      <c r="K122" s="15">
        <v>84.31</v>
      </c>
      <c r="L122" s="15">
        <v>79.55</v>
      </c>
      <c r="M122" s="15">
        <v>94.86</v>
      </c>
      <c r="N122" s="15">
        <v>78.38</v>
      </c>
      <c r="O122" t="s">
        <v>3028</v>
      </c>
    </row>
    <row r="123" spans="1:15" x14ac:dyDescent="0.25">
      <c r="A123" s="10" t="s">
        <v>384</v>
      </c>
      <c r="B123" s="15">
        <v>461.49</v>
      </c>
      <c r="C123" s="15">
        <v>157.94</v>
      </c>
      <c r="D123" s="15">
        <v>282.86</v>
      </c>
      <c r="E123" s="15">
        <v>107.65</v>
      </c>
      <c r="F123" s="15">
        <v>347.02</v>
      </c>
      <c r="G123" s="15">
        <v>214.7</v>
      </c>
      <c r="H123" s="15">
        <v>237.44</v>
      </c>
      <c r="I123" s="15">
        <v>491.89</v>
      </c>
      <c r="J123" s="15">
        <v>600.08000000000004</v>
      </c>
      <c r="K123" s="15">
        <v>714.74</v>
      </c>
      <c r="L123" s="15">
        <v>749.15</v>
      </c>
      <c r="M123" s="15">
        <v>725.62</v>
      </c>
      <c r="N123" s="15">
        <v>431.58</v>
      </c>
      <c r="O123" t="s">
        <v>3028</v>
      </c>
    </row>
    <row r="124" spans="1:15" x14ac:dyDescent="0.25">
      <c r="A124" s="10" t="s">
        <v>388</v>
      </c>
      <c r="B124" s="15">
        <v>36.229999999999997</v>
      </c>
      <c r="C124" s="15">
        <v>39.72</v>
      </c>
      <c r="D124" s="15">
        <v>39.68</v>
      </c>
      <c r="E124" s="15">
        <v>171.1</v>
      </c>
      <c r="F124" s="15">
        <v>0</v>
      </c>
      <c r="G124" s="15">
        <v>36.21</v>
      </c>
      <c r="H124" s="15">
        <v>41.98</v>
      </c>
      <c r="I124" s="15">
        <v>110.44</v>
      </c>
      <c r="J124" s="15">
        <v>51.81</v>
      </c>
      <c r="K124" s="15">
        <v>55.78</v>
      </c>
      <c r="L124" s="15">
        <v>51.68</v>
      </c>
      <c r="M124" s="15">
        <v>53.35</v>
      </c>
      <c r="N124" s="15">
        <v>55.45</v>
      </c>
      <c r="O124" t="s">
        <v>3028</v>
      </c>
    </row>
    <row r="125" spans="1:15" x14ac:dyDescent="0.25">
      <c r="A125" s="10" t="s">
        <v>392</v>
      </c>
      <c r="B125" s="15">
        <v>62.01</v>
      </c>
      <c r="C125" s="15">
        <v>11.09</v>
      </c>
      <c r="D125" s="15">
        <v>27.86</v>
      </c>
      <c r="E125" s="15">
        <v>20.420000000000002</v>
      </c>
      <c r="F125" s="15">
        <v>0</v>
      </c>
      <c r="G125" s="15">
        <v>36.659999999999997</v>
      </c>
      <c r="H125" s="15">
        <v>4.33</v>
      </c>
      <c r="I125" s="15">
        <v>102.35</v>
      </c>
      <c r="J125" s="15">
        <v>128.80000000000001</v>
      </c>
      <c r="K125" s="15">
        <v>216.05</v>
      </c>
      <c r="L125" s="15">
        <v>0</v>
      </c>
      <c r="M125" s="15">
        <v>23.22</v>
      </c>
      <c r="N125" s="15">
        <v>43.78</v>
      </c>
      <c r="O125" t="s">
        <v>3028</v>
      </c>
    </row>
    <row r="126" spans="1:15" x14ac:dyDescent="0.25">
      <c r="A126" s="10" t="s">
        <v>394</v>
      </c>
      <c r="B126" s="15">
        <v>0</v>
      </c>
      <c r="C126" s="15">
        <v>0</v>
      </c>
      <c r="D126" s="15">
        <v>0</v>
      </c>
      <c r="E126" s="15">
        <v>73.5</v>
      </c>
      <c r="F126" s="15">
        <v>0</v>
      </c>
      <c r="G126" s="15">
        <v>0</v>
      </c>
      <c r="H126" s="15">
        <v>0</v>
      </c>
      <c r="I126" s="15">
        <v>3.8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t="s">
        <v>3028</v>
      </c>
    </row>
    <row r="127" spans="1:15" x14ac:dyDescent="0.25">
      <c r="A127" s="10" t="s">
        <v>396</v>
      </c>
      <c r="B127" s="15">
        <v>435.13</v>
      </c>
      <c r="C127" s="15">
        <v>293.77999999999997</v>
      </c>
      <c r="D127" s="15">
        <v>276.36</v>
      </c>
      <c r="E127" s="15">
        <v>271.13</v>
      </c>
      <c r="F127" s="15">
        <v>273.41000000000003</v>
      </c>
      <c r="G127" s="15">
        <v>586.79</v>
      </c>
      <c r="H127" s="15">
        <v>270.76</v>
      </c>
      <c r="I127" s="15">
        <v>639</v>
      </c>
      <c r="J127" s="15">
        <v>534.75</v>
      </c>
      <c r="K127" s="15">
        <v>384.51</v>
      </c>
      <c r="L127" s="15">
        <v>1067.17</v>
      </c>
      <c r="M127" s="15">
        <v>8.26</v>
      </c>
      <c r="N127" s="15">
        <v>447.73</v>
      </c>
      <c r="O127" t="s">
        <v>3028</v>
      </c>
    </row>
    <row r="128" spans="1:15" x14ac:dyDescent="0.25">
      <c r="A128" s="10" t="s">
        <v>398</v>
      </c>
      <c r="B128" s="15">
        <v>568.25</v>
      </c>
      <c r="C128" s="15">
        <v>421.17</v>
      </c>
      <c r="D128" s="15">
        <v>421.17</v>
      </c>
      <c r="E128" s="15">
        <v>428.74</v>
      </c>
      <c r="F128" s="15">
        <v>428.37</v>
      </c>
      <c r="G128" s="15">
        <v>421.17</v>
      </c>
      <c r="H128" s="15">
        <v>307.16000000000003</v>
      </c>
      <c r="I128" s="15">
        <v>766.89</v>
      </c>
      <c r="J128" s="15">
        <v>580.72</v>
      </c>
      <c r="K128" s="15">
        <v>591.58000000000004</v>
      </c>
      <c r="L128" s="15">
        <v>572.15</v>
      </c>
      <c r="M128" s="15">
        <v>587.6</v>
      </c>
      <c r="N128" s="15">
        <v>589.9</v>
      </c>
      <c r="O128" t="s">
        <v>3028</v>
      </c>
    </row>
    <row r="129" spans="1:15" x14ac:dyDescent="0.25">
      <c r="A129" s="10" t="s">
        <v>400</v>
      </c>
      <c r="B129" s="15">
        <v>0.82</v>
      </c>
      <c r="C129" s="15">
        <v>0.82</v>
      </c>
      <c r="D129" s="15">
        <v>0.82</v>
      </c>
      <c r="E129" s="15">
        <v>0.82</v>
      </c>
      <c r="F129" s="15">
        <v>0</v>
      </c>
      <c r="G129" s="15">
        <v>0.82</v>
      </c>
      <c r="H129" s="15">
        <v>1.25</v>
      </c>
      <c r="I129" s="15">
        <v>39.08</v>
      </c>
      <c r="J129" s="15">
        <v>15.35</v>
      </c>
      <c r="K129" s="15">
        <v>14.92</v>
      </c>
      <c r="L129" s="15">
        <v>14.92</v>
      </c>
      <c r="M129" s="15">
        <v>15.03</v>
      </c>
      <c r="N129" s="15">
        <v>15.01</v>
      </c>
      <c r="O129" t="s">
        <v>3028</v>
      </c>
    </row>
    <row r="130" spans="1:15" x14ac:dyDescent="0.25">
      <c r="A130" s="10" t="s">
        <v>404</v>
      </c>
      <c r="B130" s="15">
        <v>6055.72</v>
      </c>
      <c r="C130" s="15">
        <v>5945.21</v>
      </c>
      <c r="D130" s="15">
        <v>5504.29</v>
      </c>
      <c r="E130" s="15">
        <v>5204.79</v>
      </c>
      <c r="F130" s="15">
        <v>6021.47</v>
      </c>
      <c r="G130" s="15">
        <v>5936.71</v>
      </c>
      <c r="H130" s="15">
        <v>7019.24</v>
      </c>
      <c r="I130" s="15">
        <v>7802.71</v>
      </c>
      <c r="J130" s="15">
        <v>7022.87</v>
      </c>
      <c r="K130" s="15">
        <v>5008.21</v>
      </c>
      <c r="L130" s="15">
        <v>5367.68</v>
      </c>
      <c r="M130" s="15">
        <v>5308.38</v>
      </c>
      <c r="N130" s="15">
        <v>6058.23</v>
      </c>
      <c r="O130" t="s">
        <v>3028</v>
      </c>
    </row>
    <row r="131" spans="1:15" x14ac:dyDescent="0.25">
      <c r="A131" s="10" t="s">
        <v>406</v>
      </c>
      <c r="B131" s="15">
        <v>93.8</v>
      </c>
      <c r="C131" s="15">
        <v>43.87</v>
      </c>
      <c r="D131" s="15">
        <v>28.63</v>
      </c>
      <c r="E131" s="15">
        <v>47.8</v>
      </c>
      <c r="F131" s="15">
        <v>89.81</v>
      </c>
      <c r="G131" s="15">
        <v>75.37</v>
      </c>
      <c r="H131" s="15">
        <v>218.67</v>
      </c>
      <c r="I131" s="15">
        <v>0</v>
      </c>
      <c r="J131" s="15">
        <v>54.05</v>
      </c>
      <c r="K131" s="15">
        <v>58.87</v>
      </c>
      <c r="L131" s="15">
        <v>150.56</v>
      </c>
      <c r="M131" s="15">
        <v>96.4</v>
      </c>
      <c r="N131" s="15">
        <v>85.58</v>
      </c>
      <c r="O131" t="s">
        <v>3028</v>
      </c>
    </row>
    <row r="132" spans="1:15" x14ac:dyDescent="0.25">
      <c r="A132" s="10" t="s">
        <v>408</v>
      </c>
      <c r="B132" s="15">
        <v>95.66</v>
      </c>
      <c r="C132" s="15">
        <v>101.5</v>
      </c>
      <c r="D132" s="15">
        <v>139.13999999999999</v>
      </c>
      <c r="E132" s="15">
        <v>90.04</v>
      </c>
      <c r="F132" s="15">
        <v>93.27</v>
      </c>
      <c r="G132" s="15">
        <v>85.57</v>
      </c>
      <c r="H132" s="15">
        <v>98.55</v>
      </c>
      <c r="I132" s="15">
        <v>689.26</v>
      </c>
      <c r="J132" s="15">
        <v>0</v>
      </c>
      <c r="K132" s="15">
        <v>113</v>
      </c>
      <c r="L132" s="15">
        <v>131.85</v>
      </c>
      <c r="M132" s="15">
        <v>127.77</v>
      </c>
      <c r="N132" s="15">
        <v>141.09</v>
      </c>
      <c r="O132" t="s">
        <v>3028</v>
      </c>
    </row>
    <row r="133" spans="1:15" x14ac:dyDescent="0.25">
      <c r="A133" s="10" t="s">
        <v>410</v>
      </c>
      <c r="B133" s="15">
        <v>225.63</v>
      </c>
      <c r="C133" s="15">
        <v>155.15</v>
      </c>
      <c r="D133" s="15">
        <v>140.88</v>
      </c>
      <c r="E133" s="15">
        <v>136.94</v>
      </c>
      <c r="F133" s="15">
        <v>153.69999999999999</v>
      </c>
      <c r="G133" s="15">
        <v>756.66</v>
      </c>
      <c r="H133" s="15">
        <v>0</v>
      </c>
      <c r="I133" s="15">
        <v>201.83</v>
      </c>
      <c r="J133" s="15">
        <v>201.68</v>
      </c>
      <c r="K133" s="15">
        <v>207.61</v>
      </c>
      <c r="L133" s="15">
        <v>323.64999999999998</v>
      </c>
      <c r="M133" s="15">
        <v>286.16000000000003</v>
      </c>
      <c r="N133" s="15">
        <v>226.84</v>
      </c>
      <c r="O133" t="s">
        <v>3028</v>
      </c>
    </row>
    <row r="134" spans="1:15" x14ac:dyDescent="0.25">
      <c r="A134" s="10" t="s">
        <v>412</v>
      </c>
      <c r="B134" s="15">
        <v>4.34</v>
      </c>
      <c r="C134" s="15">
        <v>0.05</v>
      </c>
      <c r="D134" s="15">
        <v>0.72</v>
      </c>
      <c r="E134" s="15">
        <v>2.42</v>
      </c>
      <c r="F134" s="15">
        <v>0</v>
      </c>
      <c r="G134" s="15">
        <v>0</v>
      </c>
      <c r="H134" s="15">
        <v>43.44</v>
      </c>
      <c r="I134" s="15">
        <v>0</v>
      </c>
      <c r="J134" s="15">
        <v>0</v>
      </c>
      <c r="K134" s="15">
        <v>0</v>
      </c>
      <c r="L134" s="15">
        <v>3.78</v>
      </c>
      <c r="M134" s="15">
        <v>0</v>
      </c>
      <c r="N134" s="15">
        <v>0</v>
      </c>
      <c r="O134" t="s">
        <v>3028</v>
      </c>
    </row>
    <row r="135" spans="1:15" x14ac:dyDescent="0.25">
      <c r="A135" s="10" t="s">
        <v>414</v>
      </c>
      <c r="B135" s="15">
        <v>291.12</v>
      </c>
      <c r="C135" s="15">
        <v>832.8</v>
      </c>
      <c r="D135" s="15">
        <v>0</v>
      </c>
      <c r="E135" s="15">
        <v>300.83999999999997</v>
      </c>
      <c r="F135" s="15">
        <v>292.67</v>
      </c>
      <c r="G135" s="15">
        <v>293.27999999999997</v>
      </c>
      <c r="H135" s="15">
        <v>291.12</v>
      </c>
      <c r="I135" s="15">
        <v>690.42</v>
      </c>
      <c r="J135" s="15">
        <v>407.36</v>
      </c>
      <c r="K135" s="15">
        <v>407.36</v>
      </c>
      <c r="L135" s="15">
        <v>480.24</v>
      </c>
      <c r="M135" s="15">
        <v>407.36</v>
      </c>
      <c r="N135" s="15">
        <v>413.7</v>
      </c>
      <c r="O135" t="s">
        <v>3028</v>
      </c>
    </row>
    <row r="136" spans="1:15" x14ac:dyDescent="0.25">
      <c r="A136" s="10" t="s">
        <v>416</v>
      </c>
      <c r="B136" s="15">
        <v>504.52</v>
      </c>
      <c r="C136" s="15">
        <v>455.33</v>
      </c>
      <c r="D136" s="15">
        <v>475.2</v>
      </c>
      <c r="E136" s="15">
        <v>232.39</v>
      </c>
      <c r="F136" s="15">
        <v>504.52</v>
      </c>
      <c r="G136" s="15">
        <v>43.73</v>
      </c>
      <c r="H136" s="15">
        <v>408.36</v>
      </c>
      <c r="I136" s="15">
        <v>1062.33</v>
      </c>
      <c r="J136" s="15">
        <v>627.85</v>
      </c>
      <c r="K136" s="15">
        <v>111.46</v>
      </c>
      <c r="L136" s="15">
        <v>492.81</v>
      </c>
      <c r="M136" s="15">
        <v>592.84</v>
      </c>
      <c r="N136" s="15">
        <v>435.51</v>
      </c>
      <c r="O136" t="s">
        <v>3028</v>
      </c>
    </row>
    <row r="137" spans="1:15" x14ac:dyDescent="0.25">
      <c r="A137" s="10" t="s">
        <v>418</v>
      </c>
      <c r="B137" s="15">
        <v>830.41</v>
      </c>
      <c r="C137" s="15">
        <v>513.12</v>
      </c>
      <c r="D137" s="15">
        <v>396.5</v>
      </c>
      <c r="E137" s="15">
        <v>383.65</v>
      </c>
      <c r="F137" s="15">
        <v>464.68</v>
      </c>
      <c r="G137" s="15">
        <v>871.39</v>
      </c>
      <c r="H137" s="15">
        <v>494.61</v>
      </c>
      <c r="I137" s="15">
        <v>926.28</v>
      </c>
      <c r="J137" s="15">
        <v>532.91</v>
      </c>
      <c r="K137" s="15">
        <v>499.11</v>
      </c>
      <c r="L137" s="15">
        <v>731.75</v>
      </c>
      <c r="M137" s="15">
        <v>917.98</v>
      </c>
      <c r="N137" s="15">
        <v>698.73</v>
      </c>
      <c r="O137" t="s">
        <v>3028</v>
      </c>
    </row>
    <row r="138" spans="1:15" x14ac:dyDescent="0.25">
      <c r="A138" s="10" t="s">
        <v>420</v>
      </c>
      <c r="B138" s="15">
        <v>0</v>
      </c>
      <c r="C138" s="15">
        <v>0</v>
      </c>
      <c r="D138" s="15">
        <v>0</v>
      </c>
      <c r="E138" s="15">
        <v>0</v>
      </c>
      <c r="F138" s="15">
        <v>0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0.35</v>
      </c>
      <c r="M138" s="15">
        <v>0</v>
      </c>
      <c r="N138" s="15">
        <v>0</v>
      </c>
      <c r="O138" t="s">
        <v>3028</v>
      </c>
    </row>
    <row r="139" spans="1:15" x14ac:dyDescent="0.25">
      <c r="A139" s="10" t="s">
        <v>422</v>
      </c>
      <c r="B139" s="15">
        <v>3.23</v>
      </c>
      <c r="C139" s="15">
        <v>3.52</v>
      </c>
      <c r="D139" s="15">
        <v>3.52</v>
      </c>
      <c r="E139" s="15">
        <v>3.52</v>
      </c>
      <c r="F139" s="15">
        <v>3.52</v>
      </c>
      <c r="G139" s="15">
        <v>3.52</v>
      </c>
      <c r="H139" s="15">
        <v>3.52</v>
      </c>
      <c r="I139" s="15">
        <v>50.03</v>
      </c>
      <c r="J139" s="15">
        <v>37.520000000000003</v>
      </c>
      <c r="K139" s="15">
        <v>16.46</v>
      </c>
      <c r="L139" s="15">
        <v>1.8</v>
      </c>
      <c r="M139" s="15">
        <v>16.46</v>
      </c>
      <c r="N139" s="15">
        <v>18.54</v>
      </c>
      <c r="O139" t="s">
        <v>3028</v>
      </c>
    </row>
    <row r="140" spans="1:15" x14ac:dyDescent="0.25">
      <c r="A140" s="10" t="s">
        <v>426</v>
      </c>
      <c r="B140" s="15">
        <v>2268.73</v>
      </c>
      <c r="C140" s="15">
        <v>2072.65</v>
      </c>
      <c r="D140" s="15">
        <v>2268.73</v>
      </c>
      <c r="E140" s="15">
        <v>2268.73</v>
      </c>
      <c r="F140" s="15">
        <v>2268.73</v>
      </c>
      <c r="G140" s="15">
        <v>2268.73</v>
      </c>
      <c r="H140" s="15">
        <v>2268.73</v>
      </c>
      <c r="I140" s="15">
        <v>3159.89</v>
      </c>
      <c r="J140" s="15">
        <v>2565.7800000000002</v>
      </c>
      <c r="K140" s="15">
        <v>2565.7800000000002</v>
      </c>
      <c r="L140" s="15">
        <v>2565.7800000000002</v>
      </c>
      <c r="M140" s="15">
        <v>2565.7800000000002</v>
      </c>
      <c r="N140" s="15">
        <v>2565.7800000000002</v>
      </c>
      <c r="O140" t="s">
        <v>3028</v>
      </c>
    </row>
    <row r="141" spans="1:15" x14ac:dyDescent="0.25">
      <c r="A141" s="10" t="s">
        <v>428</v>
      </c>
      <c r="B141" s="15">
        <v>0</v>
      </c>
      <c r="C141" s="15">
        <v>0</v>
      </c>
      <c r="D141" s="15">
        <v>0</v>
      </c>
      <c r="E141" s="15">
        <v>0</v>
      </c>
      <c r="F141" s="15">
        <v>0</v>
      </c>
      <c r="G141" s="15">
        <v>0</v>
      </c>
      <c r="H141" s="15">
        <v>0</v>
      </c>
      <c r="I141" s="15">
        <v>0</v>
      </c>
      <c r="J141" s="15">
        <v>0</v>
      </c>
      <c r="K141" s="15">
        <v>0</v>
      </c>
      <c r="L141" s="15">
        <v>2269.86</v>
      </c>
      <c r="M141" s="15">
        <v>3468.49</v>
      </c>
      <c r="N141" s="15">
        <v>39.03</v>
      </c>
      <c r="O141" t="s">
        <v>3028</v>
      </c>
    </row>
    <row r="142" spans="1:15" x14ac:dyDescent="0.25">
      <c r="A142" s="10" t="s">
        <v>430</v>
      </c>
      <c r="B142" s="15">
        <v>1027.7</v>
      </c>
      <c r="C142" s="15">
        <v>0</v>
      </c>
      <c r="D142" s="15">
        <v>403.03</v>
      </c>
      <c r="E142" s="15">
        <v>445.75</v>
      </c>
      <c r="F142" s="15">
        <v>710.46</v>
      </c>
      <c r="G142" s="15">
        <v>2673.05</v>
      </c>
      <c r="H142" s="15">
        <v>0</v>
      </c>
      <c r="I142" s="15">
        <v>852.08</v>
      </c>
      <c r="J142" s="15">
        <v>728.39</v>
      </c>
      <c r="K142" s="15">
        <v>599.42999999999995</v>
      </c>
      <c r="L142" s="15">
        <v>1673.33</v>
      </c>
      <c r="M142" s="15">
        <v>1878.39</v>
      </c>
      <c r="N142" s="15">
        <v>803.5</v>
      </c>
      <c r="O142" t="s">
        <v>3028</v>
      </c>
    </row>
    <row r="143" spans="1:15" x14ac:dyDescent="0.25">
      <c r="A143" s="10" t="s">
        <v>432</v>
      </c>
      <c r="B143" s="15">
        <v>36.32</v>
      </c>
      <c r="C143" s="15">
        <v>26.49</v>
      </c>
      <c r="D143" s="15">
        <v>35.03</v>
      </c>
      <c r="E143" s="15">
        <v>30.16</v>
      </c>
      <c r="F143" s="15">
        <v>27.04</v>
      </c>
      <c r="G143" s="15">
        <v>32.840000000000003</v>
      </c>
      <c r="H143" s="15">
        <v>25.91</v>
      </c>
      <c r="I143" s="15">
        <v>173.66</v>
      </c>
      <c r="J143" s="15">
        <v>18.89</v>
      </c>
      <c r="K143" s="15">
        <v>59.57</v>
      </c>
      <c r="L143" s="15">
        <v>49.68</v>
      </c>
      <c r="M143" s="15">
        <v>47.04</v>
      </c>
      <c r="N143" s="15">
        <v>55.74</v>
      </c>
      <c r="O143" t="s">
        <v>3028</v>
      </c>
    </row>
    <row r="144" spans="1:15" x14ac:dyDescent="0.25">
      <c r="A144" s="10" t="s">
        <v>434</v>
      </c>
      <c r="B144" s="15">
        <v>0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343.91</v>
      </c>
      <c r="J144" s="15">
        <v>139.28</v>
      </c>
      <c r="K144" s="15">
        <v>166.87</v>
      </c>
      <c r="L144" s="15">
        <v>158.1</v>
      </c>
      <c r="M144" s="15">
        <v>192.51</v>
      </c>
      <c r="N144" s="15">
        <v>0</v>
      </c>
      <c r="O144" t="s">
        <v>3028</v>
      </c>
    </row>
    <row r="145" spans="1:15" x14ac:dyDescent="0.25">
      <c r="A145" s="10" t="s">
        <v>436</v>
      </c>
      <c r="B145" s="15">
        <v>0</v>
      </c>
      <c r="C145" s="15">
        <v>0</v>
      </c>
      <c r="D145" s="15">
        <v>0</v>
      </c>
      <c r="E145" s="15">
        <v>25.36</v>
      </c>
      <c r="F145" s="15">
        <v>0</v>
      </c>
      <c r="G145" s="15">
        <v>0</v>
      </c>
      <c r="H145" s="15">
        <v>0</v>
      </c>
      <c r="I145" s="15">
        <v>26.98</v>
      </c>
      <c r="J145" s="15">
        <v>4.4000000000000004</v>
      </c>
      <c r="K145" s="15">
        <v>4.67</v>
      </c>
      <c r="L145" s="15">
        <v>5.12</v>
      </c>
      <c r="M145" s="15">
        <v>19.350000000000001</v>
      </c>
      <c r="N145" s="15">
        <v>0</v>
      </c>
      <c r="O145" t="s">
        <v>3028</v>
      </c>
    </row>
    <row r="146" spans="1:15" x14ac:dyDescent="0.25">
      <c r="A146" s="10" t="s">
        <v>438</v>
      </c>
      <c r="B146" s="15">
        <v>69.290000000000006</v>
      </c>
      <c r="C146" s="15">
        <v>68.72</v>
      </c>
      <c r="D146" s="15">
        <v>72.22</v>
      </c>
      <c r="E146" s="15">
        <v>79.72</v>
      </c>
      <c r="F146" s="15">
        <v>85.22</v>
      </c>
      <c r="G146" s="15">
        <v>81.36</v>
      </c>
      <c r="H146" s="15">
        <v>69.349999999999994</v>
      </c>
      <c r="I146" s="15">
        <v>219.83</v>
      </c>
      <c r="J146" s="15">
        <v>76.59</v>
      </c>
      <c r="K146" s="15">
        <v>99.43</v>
      </c>
      <c r="L146" s="15">
        <v>117.05</v>
      </c>
      <c r="M146" s="15">
        <v>115.38</v>
      </c>
      <c r="N146" s="15">
        <v>120.67</v>
      </c>
      <c r="O146" t="s">
        <v>3028</v>
      </c>
    </row>
    <row r="147" spans="1:15" x14ac:dyDescent="0.25">
      <c r="A147" s="10" t="s">
        <v>440</v>
      </c>
      <c r="B147" s="15">
        <v>337.56</v>
      </c>
      <c r="C147" s="15">
        <v>2800.16</v>
      </c>
      <c r="D147" s="15">
        <v>2800.16</v>
      </c>
      <c r="E147" s="15">
        <v>2800.16</v>
      </c>
      <c r="F147" s="15">
        <v>2800.16</v>
      </c>
      <c r="G147" s="15">
        <v>2800.16</v>
      </c>
      <c r="H147" s="15">
        <v>2800.16</v>
      </c>
      <c r="I147" s="15">
        <v>3691.33</v>
      </c>
      <c r="J147" s="15">
        <v>3097.22</v>
      </c>
      <c r="K147" s="15">
        <v>3097.22</v>
      </c>
      <c r="L147" s="15">
        <v>3097.22</v>
      </c>
      <c r="M147" s="15">
        <v>3097.22</v>
      </c>
      <c r="N147" s="15">
        <v>3097.22</v>
      </c>
      <c r="O147" t="s">
        <v>3028</v>
      </c>
    </row>
    <row r="148" spans="1:15" x14ac:dyDescent="0.25">
      <c r="A148" s="10" t="s">
        <v>444</v>
      </c>
      <c r="B148" s="15">
        <v>36.25</v>
      </c>
      <c r="C148" s="15">
        <v>40.57</v>
      </c>
      <c r="D148" s="15">
        <v>38.78</v>
      </c>
      <c r="E148" s="15">
        <v>38.700000000000003</v>
      </c>
      <c r="F148" s="15">
        <v>0</v>
      </c>
      <c r="G148" s="15">
        <v>0</v>
      </c>
      <c r="H148" s="15">
        <v>0</v>
      </c>
      <c r="I148" s="15">
        <v>181.91</v>
      </c>
      <c r="J148" s="15">
        <v>4.0999999999999996</v>
      </c>
      <c r="K148" s="15">
        <v>1.74</v>
      </c>
      <c r="L148" s="15">
        <v>76.900000000000006</v>
      </c>
      <c r="M148" s="15">
        <v>0</v>
      </c>
      <c r="N148" s="15">
        <v>65.45</v>
      </c>
      <c r="O148" t="s">
        <v>3028</v>
      </c>
    </row>
    <row r="149" spans="1:15" x14ac:dyDescent="0.25">
      <c r="A149" s="10" t="s">
        <v>452</v>
      </c>
      <c r="B149" s="15">
        <v>0</v>
      </c>
      <c r="C149" s="15">
        <v>0</v>
      </c>
      <c r="D149" s="15">
        <v>0</v>
      </c>
      <c r="E149" s="15">
        <v>7.48</v>
      </c>
      <c r="F149" s="15">
        <v>165.57</v>
      </c>
      <c r="G149" s="15">
        <v>165.97</v>
      </c>
      <c r="H149" s="15">
        <v>164.93</v>
      </c>
      <c r="I149" s="15">
        <v>472.66</v>
      </c>
      <c r="J149" s="15">
        <v>316.85000000000002</v>
      </c>
      <c r="K149" s="15">
        <v>226.02</v>
      </c>
      <c r="L149" s="15">
        <v>221.48</v>
      </c>
      <c r="M149" s="15">
        <v>218.89</v>
      </c>
      <c r="N149" s="15">
        <v>83.83</v>
      </c>
      <c r="O149" t="s">
        <v>3028</v>
      </c>
    </row>
    <row r="150" spans="1:15" x14ac:dyDescent="0.25">
      <c r="A150" s="10" t="s">
        <v>456</v>
      </c>
      <c r="B150" s="15">
        <v>300.11</v>
      </c>
      <c r="C150" s="15">
        <v>284.38</v>
      </c>
      <c r="D150" s="15">
        <v>253.22</v>
      </c>
      <c r="E150" s="15">
        <v>258.22000000000003</v>
      </c>
      <c r="F150" s="15">
        <v>252.63</v>
      </c>
      <c r="G150" s="15">
        <v>342.74</v>
      </c>
      <c r="H150" s="15">
        <v>234.46</v>
      </c>
      <c r="I150" s="15">
        <v>598.1</v>
      </c>
      <c r="J150" s="15">
        <v>1139.92</v>
      </c>
      <c r="K150" s="15">
        <v>0</v>
      </c>
      <c r="L150" s="15">
        <v>237.68</v>
      </c>
      <c r="M150" s="15">
        <v>432.16</v>
      </c>
      <c r="N150" s="15">
        <v>363.42</v>
      </c>
      <c r="O150" t="s">
        <v>3028</v>
      </c>
    </row>
    <row r="151" spans="1:15" x14ac:dyDescent="0.25">
      <c r="A151" s="10" t="s">
        <v>458</v>
      </c>
      <c r="B151" s="15">
        <v>898.15</v>
      </c>
      <c r="C151" s="15">
        <v>350.63</v>
      </c>
      <c r="D151" s="15">
        <v>429.43</v>
      </c>
      <c r="E151" s="15">
        <v>376.6</v>
      </c>
      <c r="F151" s="15">
        <v>381.13</v>
      </c>
      <c r="G151" s="15">
        <v>1592.55</v>
      </c>
      <c r="H151" s="15">
        <v>0</v>
      </c>
      <c r="I151" s="15">
        <v>693.97</v>
      </c>
      <c r="J151" s="15">
        <v>41.45</v>
      </c>
      <c r="K151" s="15">
        <v>0</v>
      </c>
      <c r="L151" s="15">
        <v>65.599999999999994</v>
      </c>
      <c r="M151" s="15">
        <v>33.08</v>
      </c>
      <c r="N151" s="15">
        <v>228.8</v>
      </c>
      <c r="O151" t="s">
        <v>3028</v>
      </c>
    </row>
    <row r="152" spans="1:15" x14ac:dyDescent="0.25">
      <c r="A152" s="10" t="s">
        <v>460</v>
      </c>
      <c r="B152" s="15">
        <v>0</v>
      </c>
      <c r="C152" s="15">
        <v>11.55</v>
      </c>
      <c r="D152" s="15">
        <v>80.599999999999994</v>
      </c>
      <c r="E152" s="15">
        <v>0</v>
      </c>
      <c r="F152" s="15">
        <v>0</v>
      </c>
      <c r="G152" s="15">
        <v>12.33</v>
      </c>
      <c r="H152" s="15">
        <v>115.97</v>
      </c>
      <c r="I152" s="15">
        <v>129.26</v>
      </c>
      <c r="J152" s="15">
        <v>60.52</v>
      </c>
      <c r="K152" s="15">
        <v>71.47</v>
      </c>
      <c r="L152" s="15">
        <v>62.06</v>
      </c>
      <c r="M152" s="15">
        <v>119.39</v>
      </c>
      <c r="N152" s="15">
        <v>72.099999999999994</v>
      </c>
      <c r="O152" t="s">
        <v>3028</v>
      </c>
    </row>
    <row r="153" spans="1:15" x14ac:dyDescent="0.25">
      <c r="A153" s="10" t="s">
        <v>464</v>
      </c>
      <c r="B153" s="15">
        <v>76.099999999999994</v>
      </c>
      <c r="C153" s="15">
        <v>0</v>
      </c>
      <c r="D153" s="15">
        <v>0</v>
      </c>
      <c r="E153" s="15">
        <v>0</v>
      </c>
      <c r="F153" s="15">
        <v>4.91</v>
      </c>
      <c r="G153" s="15">
        <v>10.63</v>
      </c>
      <c r="H153" s="15">
        <v>160.16</v>
      </c>
      <c r="I153" s="15">
        <v>0</v>
      </c>
      <c r="J153" s="15">
        <v>11.31</v>
      </c>
      <c r="K153" s="15">
        <v>101.39</v>
      </c>
      <c r="L153" s="15">
        <v>87.01</v>
      </c>
      <c r="M153" s="15">
        <v>76.22</v>
      </c>
      <c r="N153" s="15">
        <v>48.15</v>
      </c>
      <c r="O153" t="s">
        <v>3028</v>
      </c>
    </row>
    <row r="154" spans="1:15" x14ac:dyDescent="0.25">
      <c r="A154" s="10" t="s">
        <v>466</v>
      </c>
      <c r="B154" s="15">
        <v>0</v>
      </c>
      <c r="C154" s="15">
        <v>10.36</v>
      </c>
      <c r="D154" s="15">
        <v>6.02</v>
      </c>
      <c r="E154" s="15">
        <v>11.26</v>
      </c>
      <c r="F154" s="15">
        <v>0</v>
      </c>
      <c r="G154" s="15">
        <v>104.86</v>
      </c>
      <c r="H154" s="15">
        <v>0</v>
      </c>
      <c r="I154" s="15">
        <v>28.36</v>
      </c>
      <c r="J154" s="15">
        <v>39.69</v>
      </c>
      <c r="K154" s="15">
        <v>10.63</v>
      </c>
      <c r="L154" s="15">
        <v>8.76</v>
      </c>
      <c r="M154" s="15">
        <v>10.86</v>
      </c>
      <c r="N154" s="15">
        <v>19.53</v>
      </c>
      <c r="O154" t="s">
        <v>3028</v>
      </c>
    </row>
    <row r="155" spans="1:15" x14ac:dyDescent="0.25">
      <c r="A155" s="10" t="s">
        <v>468</v>
      </c>
      <c r="B155" s="15">
        <v>197.18</v>
      </c>
      <c r="C155" s="15">
        <v>299.83999999999997</v>
      </c>
      <c r="D155" s="15">
        <v>234.88</v>
      </c>
      <c r="E155" s="15">
        <v>278.93</v>
      </c>
      <c r="F155" s="15">
        <v>333.98</v>
      </c>
      <c r="G155" s="15">
        <v>381.28</v>
      </c>
      <c r="H155" s="15">
        <v>394.04</v>
      </c>
      <c r="I155" s="15">
        <v>121.72</v>
      </c>
      <c r="J155" s="15">
        <v>318.37</v>
      </c>
      <c r="K155" s="15">
        <v>248.57</v>
      </c>
      <c r="L155" s="15">
        <v>306.52999999999997</v>
      </c>
      <c r="M155" s="15">
        <v>296.2</v>
      </c>
      <c r="N155" s="15">
        <v>353.3</v>
      </c>
      <c r="O155" t="s">
        <v>3028</v>
      </c>
    </row>
    <row r="156" spans="1:15" x14ac:dyDescent="0.25">
      <c r="A156" s="10" t="s">
        <v>470</v>
      </c>
      <c r="B156" s="15">
        <v>701.46</v>
      </c>
      <c r="C156" s="15">
        <v>1161.04</v>
      </c>
      <c r="D156" s="15">
        <v>529.62</v>
      </c>
      <c r="E156" s="15">
        <v>312.37</v>
      </c>
      <c r="F156" s="15">
        <v>327.99</v>
      </c>
      <c r="G156" s="15">
        <v>2455.27</v>
      </c>
      <c r="H156" s="15">
        <v>0</v>
      </c>
      <c r="I156" s="15">
        <v>456.91</v>
      </c>
      <c r="J156" s="15">
        <v>749.94</v>
      </c>
      <c r="K156" s="15">
        <v>546.96</v>
      </c>
      <c r="L156" s="15">
        <v>1273.6199999999999</v>
      </c>
      <c r="M156" s="15">
        <v>1032.6300000000001</v>
      </c>
      <c r="N156" s="15">
        <v>794.04</v>
      </c>
      <c r="O156" t="s">
        <v>3028</v>
      </c>
    </row>
    <row r="157" spans="1:15" x14ac:dyDescent="0.25">
      <c r="A157" s="10" t="s">
        <v>472</v>
      </c>
      <c r="B157" s="15">
        <v>1448.96</v>
      </c>
      <c r="C157" s="15">
        <v>1448.96</v>
      </c>
      <c r="D157" s="15">
        <v>1448.96</v>
      </c>
      <c r="E157" s="15">
        <v>1448.96</v>
      </c>
      <c r="F157" s="15">
        <v>1244.42</v>
      </c>
      <c r="G157" s="15">
        <v>1448.96</v>
      </c>
      <c r="H157" s="15">
        <v>1448.96</v>
      </c>
      <c r="I157" s="15">
        <v>2193.54</v>
      </c>
      <c r="J157" s="15">
        <v>1697.15</v>
      </c>
      <c r="K157" s="15">
        <v>1697.15</v>
      </c>
      <c r="L157" s="15">
        <v>1697.15</v>
      </c>
      <c r="M157" s="15">
        <v>1697.15</v>
      </c>
      <c r="N157" s="15">
        <v>1697.15</v>
      </c>
      <c r="O157" t="s">
        <v>3028</v>
      </c>
    </row>
    <row r="158" spans="1:15" x14ac:dyDescent="0.25">
      <c r="A158" s="10" t="s">
        <v>474</v>
      </c>
      <c r="B158" s="15">
        <v>5.86</v>
      </c>
      <c r="C158" s="15">
        <v>27.47</v>
      </c>
      <c r="D158" s="15">
        <v>49.87</v>
      </c>
      <c r="E158" s="15">
        <v>182.67</v>
      </c>
      <c r="F158" s="15">
        <v>0</v>
      </c>
      <c r="G158" s="15">
        <v>29.66</v>
      </c>
      <c r="H158" s="15">
        <v>20.62</v>
      </c>
      <c r="I158" s="15">
        <v>93.21</v>
      </c>
      <c r="J158" s="15">
        <v>42.73</v>
      </c>
      <c r="K158" s="15">
        <v>45.19</v>
      </c>
      <c r="L158" s="15">
        <v>92.83</v>
      </c>
      <c r="M158" s="15">
        <v>40.47</v>
      </c>
      <c r="N158" s="15">
        <v>51.5</v>
      </c>
      <c r="O158" t="s">
        <v>3028</v>
      </c>
    </row>
    <row r="159" spans="1:15" x14ac:dyDescent="0.25">
      <c r="A159" s="10" t="s">
        <v>478</v>
      </c>
      <c r="B159" s="15">
        <v>0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709.23</v>
      </c>
      <c r="J159" s="15">
        <v>1397.23</v>
      </c>
      <c r="K159" s="15">
        <v>1397.23</v>
      </c>
      <c r="L159" s="15">
        <v>1397.23</v>
      </c>
      <c r="M159" s="15">
        <v>1397.23</v>
      </c>
      <c r="N159" s="15">
        <v>81.739999999999995</v>
      </c>
      <c r="O159" t="s">
        <v>3028</v>
      </c>
    </row>
    <row r="160" spans="1:15" x14ac:dyDescent="0.25">
      <c r="A160" s="10" t="s">
        <v>486</v>
      </c>
      <c r="B160" s="15">
        <v>0</v>
      </c>
      <c r="C160" s="15">
        <v>0</v>
      </c>
      <c r="D160" s="15">
        <v>0</v>
      </c>
      <c r="E160" s="15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2.4700000000000002</v>
      </c>
      <c r="M160" s="15">
        <v>766.09</v>
      </c>
      <c r="N160" s="15">
        <v>0</v>
      </c>
      <c r="O160" t="s">
        <v>3028</v>
      </c>
    </row>
    <row r="161" spans="1:15" x14ac:dyDescent="0.25">
      <c r="A161" s="10" t="s">
        <v>488</v>
      </c>
      <c r="B161" s="15">
        <v>0</v>
      </c>
      <c r="C161" s="15">
        <v>0</v>
      </c>
      <c r="D161" s="15">
        <v>8.73</v>
      </c>
      <c r="E161" s="15">
        <v>0</v>
      </c>
      <c r="F161" s="15">
        <v>0</v>
      </c>
      <c r="G161" s="15">
        <v>0</v>
      </c>
      <c r="H161" s="15">
        <v>0</v>
      </c>
      <c r="I161" s="15">
        <v>0</v>
      </c>
      <c r="J161" s="15">
        <v>0</v>
      </c>
      <c r="K161" s="15">
        <v>0</v>
      </c>
      <c r="L161" s="15">
        <v>0</v>
      </c>
      <c r="M161" s="15">
        <v>0</v>
      </c>
      <c r="N161" s="15">
        <v>0</v>
      </c>
      <c r="O161" t="s">
        <v>3028</v>
      </c>
    </row>
    <row r="162" spans="1:15" x14ac:dyDescent="0.25">
      <c r="A162" s="10" t="s">
        <v>492</v>
      </c>
      <c r="B162" s="15">
        <v>1232.08</v>
      </c>
      <c r="C162" s="15">
        <v>1232.08</v>
      </c>
      <c r="D162" s="15">
        <v>1232.08</v>
      </c>
      <c r="E162" s="15">
        <v>1232.08</v>
      </c>
      <c r="F162" s="15">
        <v>1232.08</v>
      </c>
      <c r="G162" s="15">
        <v>1232.08</v>
      </c>
      <c r="H162" s="15">
        <v>1232.08</v>
      </c>
      <c r="I162" s="15">
        <v>1897.42</v>
      </c>
      <c r="J162" s="15">
        <v>1453.86</v>
      </c>
      <c r="K162" s="15">
        <v>1274.42</v>
      </c>
      <c r="L162" s="15">
        <v>1453.86</v>
      </c>
      <c r="M162" s="15">
        <v>1453.86</v>
      </c>
      <c r="N162" s="15">
        <v>1453.86</v>
      </c>
      <c r="O162" t="s">
        <v>3028</v>
      </c>
    </row>
    <row r="163" spans="1:15" x14ac:dyDescent="0.25">
      <c r="A163" s="10" t="s">
        <v>494</v>
      </c>
      <c r="B163" s="15">
        <v>4246.07</v>
      </c>
      <c r="C163" s="15">
        <v>4246.07</v>
      </c>
      <c r="D163" s="15">
        <v>6699.91</v>
      </c>
      <c r="E163" s="15">
        <v>1714.71</v>
      </c>
      <c r="F163" s="15">
        <v>4246.07</v>
      </c>
      <c r="G163" s="15">
        <v>6699.91</v>
      </c>
      <c r="H163" s="15">
        <v>1714.71</v>
      </c>
      <c r="I163" s="15">
        <v>4988.71</v>
      </c>
      <c r="J163" s="15">
        <v>4543.13</v>
      </c>
      <c r="K163" s="15">
        <v>4543.13</v>
      </c>
      <c r="L163" s="15">
        <v>4543.13</v>
      </c>
      <c r="M163" s="15">
        <v>58.29</v>
      </c>
      <c r="N163" s="15">
        <v>4070.31</v>
      </c>
      <c r="O163" t="s">
        <v>3028</v>
      </c>
    </row>
    <row r="164" spans="1:15" x14ac:dyDescent="0.25">
      <c r="A164" s="10" t="s">
        <v>496</v>
      </c>
      <c r="B164" s="15">
        <v>8.7799999999999994</v>
      </c>
      <c r="C164" s="15">
        <v>0</v>
      </c>
      <c r="D164" s="15">
        <v>0</v>
      </c>
      <c r="E164" s="15">
        <v>0.27</v>
      </c>
      <c r="F164" s="15">
        <v>40.42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  <c r="O164" t="s">
        <v>3028</v>
      </c>
    </row>
    <row r="165" spans="1:15" x14ac:dyDescent="0.25">
      <c r="A165" s="10" t="s">
        <v>500</v>
      </c>
      <c r="B165" s="15">
        <v>0</v>
      </c>
      <c r="C165" s="15">
        <v>0</v>
      </c>
      <c r="D165" s="15">
        <v>0</v>
      </c>
      <c r="E165" s="15">
        <v>0</v>
      </c>
      <c r="F165" s="15">
        <v>136.04</v>
      </c>
      <c r="G165" s="15">
        <v>0</v>
      </c>
      <c r="H165" s="15">
        <v>0</v>
      </c>
      <c r="I165" s="15">
        <v>0</v>
      </c>
      <c r="J165" s="15">
        <v>0</v>
      </c>
      <c r="K165" s="15">
        <v>0</v>
      </c>
      <c r="L165" s="15">
        <v>0</v>
      </c>
      <c r="M165" s="15">
        <v>0</v>
      </c>
      <c r="N165" s="15">
        <v>0</v>
      </c>
      <c r="O165" t="s">
        <v>3028</v>
      </c>
    </row>
    <row r="166" spans="1:15" x14ac:dyDescent="0.25">
      <c r="A166" s="10" t="s">
        <v>502</v>
      </c>
      <c r="B166" s="15">
        <v>954.1</v>
      </c>
      <c r="C166" s="15">
        <v>954.1</v>
      </c>
      <c r="D166" s="15">
        <v>954.1</v>
      </c>
      <c r="E166" s="15">
        <v>954.1</v>
      </c>
      <c r="F166" s="15">
        <v>954.1</v>
      </c>
      <c r="G166" s="15">
        <v>954.1</v>
      </c>
      <c r="H166" s="15">
        <v>954.1</v>
      </c>
      <c r="I166" s="15">
        <v>1552.9</v>
      </c>
      <c r="J166" s="15">
        <v>1153.7</v>
      </c>
      <c r="K166" s="15">
        <v>1153.7</v>
      </c>
      <c r="L166" s="15">
        <v>0</v>
      </c>
      <c r="M166" s="15">
        <v>0</v>
      </c>
      <c r="N166" s="15">
        <v>781.67</v>
      </c>
      <c r="O166" t="s">
        <v>3028</v>
      </c>
    </row>
    <row r="167" spans="1:15" x14ac:dyDescent="0.25">
      <c r="A167" s="10" t="s">
        <v>506</v>
      </c>
      <c r="B167" s="15">
        <v>0</v>
      </c>
      <c r="C167" s="15">
        <v>2.74</v>
      </c>
      <c r="D167" s="15">
        <v>13.54</v>
      </c>
      <c r="E167" s="15">
        <v>38.4</v>
      </c>
      <c r="F167" s="15">
        <v>0</v>
      </c>
      <c r="G167" s="15">
        <v>0</v>
      </c>
      <c r="H167" s="15">
        <v>0</v>
      </c>
      <c r="I167" s="15">
        <v>43.4</v>
      </c>
      <c r="J167" s="15">
        <v>11.08</v>
      </c>
      <c r="K167" s="15">
        <v>28.09</v>
      </c>
      <c r="L167" s="15">
        <v>16.45</v>
      </c>
      <c r="M167" s="15">
        <v>13.14</v>
      </c>
      <c r="N167" s="15">
        <v>12.82</v>
      </c>
      <c r="O167" t="s">
        <v>3028</v>
      </c>
    </row>
    <row r="168" spans="1:15" x14ac:dyDescent="0.25">
      <c r="A168" s="10" t="s">
        <v>510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11.11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  <c r="O168" t="s">
        <v>3028</v>
      </c>
    </row>
    <row r="169" spans="1:15" x14ac:dyDescent="0.25">
      <c r="A169" s="10" t="s">
        <v>85</v>
      </c>
      <c r="B169" s="15">
        <v>4298.21</v>
      </c>
      <c r="C169" s="15">
        <v>4298.21</v>
      </c>
      <c r="D169" s="15">
        <v>4298.21</v>
      </c>
      <c r="E169" s="15">
        <v>4298.21</v>
      </c>
      <c r="F169" s="15">
        <v>4298.21</v>
      </c>
      <c r="G169" s="15">
        <v>4298.21</v>
      </c>
      <c r="H169" s="15">
        <v>4298.21</v>
      </c>
      <c r="I169" s="15">
        <v>6096.09</v>
      </c>
      <c r="J169" s="15">
        <v>4027.89</v>
      </c>
      <c r="K169" s="15">
        <v>4595.26</v>
      </c>
      <c r="L169" s="15">
        <v>4595.26</v>
      </c>
      <c r="M169" s="15">
        <v>4595.26</v>
      </c>
      <c r="N169" s="15">
        <v>4595.26</v>
      </c>
      <c r="O169" t="s">
        <v>3028</v>
      </c>
    </row>
    <row r="170" spans="1:15" x14ac:dyDescent="0.25">
      <c r="A170" s="10" t="s">
        <v>512</v>
      </c>
      <c r="B170" s="15">
        <v>4298.21</v>
      </c>
      <c r="C170" s="15">
        <v>4298.21</v>
      </c>
      <c r="D170" s="15">
        <v>4298.21</v>
      </c>
      <c r="E170" s="15">
        <v>4298.21</v>
      </c>
      <c r="F170" s="15">
        <v>4298.21</v>
      </c>
      <c r="G170" s="15">
        <v>4298.21</v>
      </c>
      <c r="H170" s="15">
        <v>4298.21</v>
      </c>
      <c r="I170" s="15">
        <v>5216.87</v>
      </c>
      <c r="J170" s="15">
        <v>4595.26</v>
      </c>
      <c r="K170" s="15">
        <v>5880.23</v>
      </c>
      <c r="L170" s="15">
        <v>3649.64</v>
      </c>
      <c r="M170" s="15">
        <v>4595.26</v>
      </c>
      <c r="N170" s="15">
        <v>4595.26</v>
      </c>
      <c r="O170" t="s">
        <v>3028</v>
      </c>
    </row>
    <row r="171" spans="1:15" x14ac:dyDescent="0.25">
      <c r="A171" s="10" t="s">
        <v>514</v>
      </c>
      <c r="B171" s="15">
        <v>563.30999999999995</v>
      </c>
      <c r="C171" s="15">
        <v>205.86</v>
      </c>
      <c r="D171" s="15">
        <v>204.85</v>
      </c>
      <c r="E171" s="15">
        <v>160.77000000000001</v>
      </c>
      <c r="F171" s="15">
        <v>153.22</v>
      </c>
      <c r="G171" s="15">
        <v>540.42999999999995</v>
      </c>
      <c r="H171" s="15">
        <v>207.55</v>
      </c>
      <c r="I171" s="15">
        <v>674.6</v>
      </c>
      <c r="J171" s="15">
        <v>329.61</v>
      </c>
      <c r="K171" s="15">
        <v>1116.5</v>
      </c>
      <c r="L171" s="15">
        <v>0</v>
      </c>
      <c r="M171" s="15">
        <v>213.59</v>
      </c>
      <c r="N171" s="15">
        <v>358.46</v>
      </c>
      <c r="O171" t="s">
        <v>3028</v>
      </c>
    </row>
    <row r="172" spans="1:15" x14ac:dyDescent="0.25">
      <c r="A172" s="10" t="s">
        <v>520</v>
      </c>
      <c r="B172" s="15">
        <v>166.46</v>
      </c>
      <c r="C172" s="15">
        <v>154.31</v>
      </c>
      <c r="D172" s="15">
        <v>203.76</v>
      </c>
      <c r="E172" s="15">
        <v>179.5</v>
      </c>
      <c r="F172" s="15">
        <v>144.24</v>
      </c>
      <c r="G172" s="15">
        <v>396.08</v>
      </c>
      <c r="H172" s="15">
        <v>0</v>
      </c>
      <c r="I172" s="15">
        <v>63.7</v>
      </c>
      <c r="J172" s="15">
        <v>161.44999999999999</v>
      </c>
      <c r="K172" s="15">
        <v>162.84</v>
      </c>
      <c r="L172" s="15">
        <v>168.43</v>
      </c>
      <c r="M172" s="15">
        <v>250.43</v>
      </c>
      <c r="N172" s="15">
        <v>181.45</v>
      </c>
      <c r="O172" t="s">
        <v>3028</v>
      </c>
    </row>
    <row r="173" spans="1:15" x14ac:dyDescent="0.25">
      <c r="A173" s="10" t="s">
        <v>522</v>
      </c>
      <c r="B173" s="15">
        <v>0</v>
      </c>
      <c r="C173" s="15">
        <v>0</v>
      </c>
      <c r="D173" s="15">
        <v>0</v>
      </c>
      <c r="E173" s="15">
        <v>0</v>
      </c>
      <c r="F173" s="15">
        <v>0</v>
      </c>
      <c r="G173" s="15">
        <v>0</v>
      </c>
      <c r="H173" s="15">
        <v>0</v>
      </c>
      <c r="I173" s="15">
        <v>18.559999999999999</v>
      </c>
      <c r="J173" s="15">
        <v>96.38</v>
      </c>
      <c r="K173" s="15">
        <v>86.09</v>
      </c>
      <c r="L173" s="15">
        <v>0</v>
      </c>
      <c r="M173" s="15">
        <v>0</v>
      </c>
      <c r="N173" s="15">
        <v>0</v>
      </c>
      <c r="O173" t="s">
        <v>3028</v>
      </c>
    </row>
    <row r="174" spans="1:15" x14ac:dyDescent="0.25">
      <c r="A174" s="10" t="s">
        <v>524</v>
      </c>
      <c r="B174" s="15">
        <v>0</v>
      </c>
      <c r="C174" s="15">
        <v>0</v>
      </c>
      <c r="D174" s="15">
        <v>0</v>
      </c>
      <c r="E174" s="15">
        <v>0</v>
      </c>
      <c r="F174" s="15">
        <v>0</v>
      </c>
      <c r="G174" s="15">
        <v>0</v>
      </c>
      <c r="H174" s="15">
        <v>0</v>
      </c>
      <c r="I174" s="15">
        <v>30.52</v>
      </c>
      <c r="J174" s="15">
        <v>4.1500000000000004</v>
      </c>
      <c r="K174" s="15">
        <v>4.4000000000000004</v>
      </c>
      <c r="L174" s="15">
        <v>12.87</v>
      </c>
      <c r="M174" s="15">
        <v>6.95</v>
      </c>
      <c r="N174" s="15">
        <v>5.97</v>
      </c>
      <c r="O174" t="s">
        <v>3028</v>
      </c>
    </row>
    <row r="175" spans="1:15" x14ac:dyDescent="0.25">
      <c r="A175" s="10" t="s">
        <v>526</v>
      </c>
      <c r="B175" s="15">
        <v>0</v>
      </c>
      <c r="C175" s="15">
        <v>46.6</v>
      </c>
      <c r="D175" s="15">
        <v>56.56</v>
      </c>
      <c r="E175" s="15">
        <v>44.45</v>
      </c>
      <c r="F175" s="15">
        <v>53.72</v>
      </c>
      <c r="G175" s="15">
        <v>94.12</v>
      </c>
      <c r="H175" s="15">
        <v>55.41</v>
      </c>
      <c r="I175" s="15">
        <v>153.19999999999999</v>
      </c>
      <c r="J175" s="15">
        <v>74.430000000000007</v>
      </c>
      <c r="K175" s="15">
        <v>159.62</v>
      </c>
      <c r="L175" s="15">
        <v>136.06</v>
      </c>
      <c r="M175" s="15">
        <v>104.5</v>
      </c>
      <c r="N175" s="15">
        <v>102.01</v>
      </c>
      <c r="O175" t="s">
        <v>3028</v>
      </c>
    </row>
    <row r="176" spans="1:15" x14ac:dyDescent="0.25">
      <c r="A176" s="10" t="s">
        <v>528</v>
      </c>
      <c r="B176" s="15">
        <v>1505.29</v>
      </c>
      <c r="C176" s="15">
        <v>1060.95</v>
      </c>
      <c r="D176" s="15">
        <v>1505.29</v>
      </c>
      <c r="E176" s="15">
        <v>1505.29</v>
      </c>
      <c r="F176" s="15">
        <v>1505.29</v>
      </c>
      <c r="G176" s="15">
        <v>1505.29</v>
      </c>
      <c r="H176" s="15">
        <v>1505.29</v>
      </c>
      <c r="I176" s="15">
        <v>2030.48</v>
      </c>
      <c r="J176" s="15">
        <v>1568.55</v>
      </c>
      <c r="K176" s="15">
        <v>1753.9</v>
      </c>
      <c r="L176" s="15">
        <v>1753.9</v>
      </c>
      <c r="M176" s="15">
        <v>1753.9</v>
      </c>
      <c r="N176" s="15">
        <v>1753.9</v>
      </c>
      <c r="O176" t="s">
        <v>3028</v>
      </c>
    </row>
    <row r="177" spans="1:15" x14ac:dyDescent="0.25">
      <c r="A177" s="10" t="s">
        <v>530</v>
      </c>
      <c r="B177" s="15">
        <v>32.200000000000003</v>
      </c>
      <c r="C177" s="15">
        <v>19.63</v>
      </c>
      <c r="D177" s="15">
        <v>20.91</v>
      </c>
      <c r="E177" s="15">
        <v>25.24</v>
      </c>
      <c r="F177" s="15">
        <v>0</v>
      </c>
      <c r="G177" s="15">
        <v>22.89</v>
      </c>
      <c r="H177" s="15">
        <v>24.9</v>
      </c>
      <c r="I177" s="15">
        <v>107.06</v>
      </c>
      <c r="J177" s="15">
        <v>41.06</v>
      </c>
      <c r="K177" s="15">
        <v>44.39</v>
      </c>
      <c r="L177" s="15">
        <v>40.299999999999997</v>
      </c>
      <c r="M177" s="15">
        <v>45.51</v>
      </c>
      <c r="N177" s="15">
        <v>40.49</v>
      </c>
      <c r="O177" t="s">
        <v>3028</v>
      </c>
    </row>
    <row r="178" spans="1:15" x14ac:dyDescent="0.25">
      <c r="A178" s="10" t="s">
        <v>532</v>
      </c>
      <c r="B178" s="15">
        <v>57.17</v>
      </c>
      <c r="C178" s="15">
        <v>158.49</v>
      </c>
      <c r="D178" s="15">
        <v>0</v>
      </c>
      <c r="E178" s="15">
        <v>87.42</v>
      </c>
      <c r="F178" s="15">
        <v>122.41</v>
      </c>
      <c r="G178" s="15">
        <v>66.39</v>
      </c>
      <c r="H178" s="15">
        <v>74.209999999999994</v>
      </c>
      <c r="I178" s="15">
        <v>193.71</v>
      </c>
      <c r="J178" s="15">
        <v>101.64</v>
      </c>
      <c r="K178" s="15">
        <v>119.34</v>
      </c>
      <c r="L178" s="15">
        <v>124.48</v>
      </c>
      <c r="M178" s="15">
        <v>161.15</v>
      </c>
      <c r="N178" s="15">
        <v>125.31</v>
      </c>
      <c r="O178" t="s">
        <v>3028</v>
      </c>
    </row>
    <row r="179" spans="1:15" x14ac:dyDescent="0.25">
      <c r="A179" s="10" t="s">
        <v>534</v>
      </c>
      <c r="B179" s="15">
        <v>342.99</v>
      </c>
      <c r="C179" s="15">
        <v>286.86</v>
      </c>
      <c r="D179" s="15">
        <v>295.52</v>
      </c>
      <c r="E179" s="15">
        <v>275.87</v>
      </c>
      <c r="F179" s="15">
        <v>277.23</v>
      </c>
      <c r="G179" s="15">
        <v>273.02</v>
      </c>
      <c r="H179" s="15">
        <v>269.08999999999997</v>
      </c>
      <c r="I179" s="15">
        <v>621.41</v>
      </c>
      <c r="J179" s="15">
        <v>261.39</v>
      </c>
      <c r="K179" s="15">
        <v>324.73</v>
      </c>
      <c r="L179" s="15">
        <v>406.9</v>
      </c>
      <c r="M179" s="15">
        <v>398.65</v>
      </c>
      <c r="N179" s="15">
        <v>380.69</v>
      </c>
      <c r="O179" t="s">
        <v>3028</v>
      </c>
    </row>
    <row r="180" spans="1:15" x14ac:dyDescent="0.25">
      <c r="A180" s="10" t="s">
        <v>542</v>
      </c>
      <c r="B180" s="15">
        <v>0</v>
      </c>
      <c r="C180" s="15">
        <v>4.28</v>
      </c>
      <c r="D180" s="15">
        <v>68.27</v>
      </c>
      <c r="E180" s="15">
        <v>0</v>
      </c>
      <c r="F180" s="15">
        <v>0</v>
      </c>
      <c r="G180" s="15">
        <v>4.4400000000000004</v>
      </c>
      <c r="H180" s="15">
        <v>3.66</v>
      </c>
      <c r="I180" s="15">
        <v>45.95</v>
      </c>
      <c r="J180" s="15">
        <v>17.940000000000001</v>
      </c>
      <c r="K180" s="15">
        <v>18.48</v>
      </c>
      <c r="L180" s="15">
        <v>18.28</v>
      </c>
      <c r="M180" s="15">
        <v>18.89</v>
      </c>
      <c r="N180" s="15">
        <v>19.02</v>
      </c>
      <c r="O180" t="s">
        <v>3028</v>
      </c>
    </row>
    <row r="181" spans="1:15" x14ac:dyDescent="0.25">
      <c r="A181" s="10" t="s">
        <v>544</v>
      </c>
      <c r="B181" s="15">
        <v>67.459999999999994</v>
      </c>
      <c r="C181" s="15">
        <v>64.56</v>
      </c>
      <c r="D181" s="15">
        <v>65.12</v>
      </c>
      <c r="E181" s="15">
        <v>48.69</v>
      </c>
      <c r="F181" s="15">
        <v>176.85</v>
      </c>
      <c r="G181" s="15">
        <v>0</v>
      </c>
      <c r="H181" s="15">
        <v>48.01</v>
      </c>
      <c r="I181" s="15">
        <v>48.01</v>
      </c>
      <c r="J181" s="15">
        <v>48.01</v>
      </c>
      <c r="K181" s="15">
        <v>100.89</v>
      </c>
      <c r="L181" s="15">
        <v>70.599999999999994</v>
      </c>
      <c r="M181" s="15">
        <v>68.19</v>
      </c>
      <c r="N181" s="15">
        <v>73.53</v>
      </c>
      <c r="O181" t="s">
        <v>3028</v>
      </c>
    </row>
    <row r="182" spans="1:15" x14ac:dyDescent="0.25">
      <c r="A182" s="10" t="s">
        <v>546</v>
      </c>
      <c r="B182" s="15">
        <v>69.97</v>
      </c>
      <c r="C182" s="15">
        <v>10.58</v>
      </c>
      <c r="D182" s="15">
        <v>18.02</v>
      </c>
      <c r="E182" s="15">
        <v>72.12</v>
      </c>
      <c r="F182" s="15">
        <v>0</v>
      </c>
      <c r="G182" s="15">
        <v>0</v>
      </c>
      <c r="H182" s="15">
        <v>14.44</v>
      </c>
      <c r="I182" s="15">
        <v>11.16</v>
      </c>
      <c r="J182" s="15">
        <v>16.600000000000001</v>
      </c>
      <c r="K182" s="15">
        <v>42</v>
      </c>
      <c r="L182" s="15">
        <v>15.57</v>
      </c>
      <c r="M182" s="15">
        <v>24.66</v>
      </c>
      <c r="N182" s="15">
        <v>24.11</v>
      </c>
      <c r="O182" t="s">
        <v>3028</v>
      </c>
    </row>
    <row r="183" spans="1:15" x14ac:dyDescent="0.25">
      <c r="A183" s="10" t="s">
        <v>548</v>
      </c>
      <c r="B183" s="15">
        <v>0</v>
      </c>
      <c r="C183" s="15">
        <v>64.81</v>
      </c>
      <c r="D183" s="15">
        <v>0</v>
      </c>
      <c r="E183" s="15">
        <v>77.66</v>
      </c>
      <c r="F183" s="15">
        <v>0</v>
      </c>
      <c r="G183" s="15">
        <v>0</v>
      </c>
      <c r="H183" s="15">
        <v>0</v>
      </c>
      <c r="I183" s="15">
        <v>0</v>
      </c>
      <c r="J183" s="15">
        <v>0</v>
      </c>
      <c r="K183" s="15">
        <v>0</v>
      </c>
      <c r="L183" s="15">
        <v>0</v>
      </c>
      <c r="M183" s="15">
        <v>0</v>
      </c>
      <c r="N183" s="15">
        <v>0</v>
      </c>
      <c r="O183" t="s">
        <v>3028</v>
      </c>
    </row>
    <row r="184" spans="1:15" x14ac:dyDescent="0.25">
      <c r="A184" s="10" t="s">
        <v>550</v>
      </c>
      <c r="B184" s="15">
        <v>88.79</v>
      </c>
      <c r="C184" s="15">
        <v>33.630000000000003</v>
      </c>
      <c r="D184" s="15">
        <v>19.600000000000001</v>
      </c>
      <c r="E184" s="15">
        <v>40</v>
      </c>
      <c r="F184" s="15">
        <v>19.600000000000001</v>
      </c>
      <c r="G184" s="15">
        <v>20.66</v>
      </c>
      <c r="H184" s="15">
        <v>24.37</v>
      </c>
      <c r="I184" s="15">
        <v>210.67</v>
      </c>
      <c r="J184" s="15">
        <v>0</v>
      </c>
      <c r="K184" s="15">
        <v>31.68</v>
      </c>
      <c r="L184" s="15">
        <v>37.03</v>
      </c>
      <c r="M184" s="15">
        <v>31.65</v>
      </c>
      <c r="N184" s="15">
        <v>42.53</v>
      </c>
      <c r="O184" t="s">
        <v>3028</v>
      </c>
    </row>
    <row r="185" spans="1:15" x14ac:dyDescent="0.25">
      <c r="A185" s="10" t="s">
        <v>552</v>
      </c>
      <c r="B185" s="15">
        <v>44.19</v>
      </c>
      <c r="C185" s="15">
        <v>32.43</v>
      </c>
      <c r="D185" s="15">
        <v>32.56</v>
      </c>
      <c r="E185" s="15">
        <v>32.700000000000003</v>
      </c>
      <c r="F185" s="15">
        <v>33.090000000000003</v>
      </c>
      <c r="G185" s="15">
        <v>32.81</v>
      </c>
      <c r="H185" s="15">
        <v>32.43</v>
      </c>
      <c r="I185" s="15">
        <v>108.99</v>
      </c>
      <c r="J185" s="15">
        <v>37.44</v>
      </c>
      <c r="K185" s="15">
        <v>51.03</v>
      </c>
      <c r="L185" s="15">
        <v>51.03</v>
      </c>
      <c r="M185" s="15">
        <v>51.37</v>
      </c>
      <c r="N185" s="15">
        <v>52.7</v>
      </c>
      <c r="O185" t="s">
        <v>3028</v>
      </c>
    </row>
    <row r="186" spans="1:15" x14ac:dyDescent="0.25">
      <c r="A186" s="10" t="s">
        <v>554</v>
      </c>
      <c r="B186" s="15">
        <v>54.27</v>
      </c>
      <c r="C186" s="15">
        <v>34.49</v>
      </c>
      <c r="D186" s="15">
        <v>45.75</v>
      </c>
      <c r="E186" s="15">
        <v>166.64</v>
      </c>
      <c r="F186" s="15">
        <v>0</v>
      </c>
      <c r="G186" s="15">
        <v>32.72</v>
      </c>
      <c r="H186" s="15">
        <v>38.07</v>
      </c>
      <c r="I186" s="15">
        <v>129.5</v>
      </c>
      <c r="J186" s="15">
        <v>51.83</v>
      </c>
      <c r="K186" s="15">
        <v>54</v>
      </c>
      <c r="L186" s="15">
        <v>55.98</v>
      </c>
      <c r="M186" s="15">
        <v>57.2</v>
      </c>
      <c r="N186" s="15">
        <v>54.57</v>
      </c>
      <c r="O186" t="s">
        <v>3028</v>
      </c>
    </row>
    <row r="187" spans="1:15" x14ac:dyDescent="0.25">
      <c r="A187" s="10" t="s">
        <v>556</v>
      </c>
      <c r="B187" s="15">
        <v>96.36</v>
      </c>
      <c r="C187" s="15">
        <v>37.54</v>
      </c>
      <c r="D187" s="15">
        <v>19.32</v>
      </c>
      <c r="E187" s="15">
        <v>0.73</v>
      </c>
      <c r="F187" s="15">
        <v>23.89</v>
      </c>
      <c r="G187" s="15">
        <v>21.05</v>
      </c>
      <c r="H187" s="15">
        <v>34.119999999999997</v>
      </c>
      <c r="I187" s="15">
        <v>97.45</v>
      </c>
      <c r="J187" s="15">
        <v>36.56</v>
      </c>
      <c r="K187" s="15">
        <v>36.71</v>
      </c>
      <c r="L187" s="15">
        <v>131.03</v>
      </c>
      <c r="M187" s="15">
        <v>0</v>
      </c>
      <c r="N187" s="15">
        <v>37.630000000000003</v>
      </c>
      <c r="O187" t="s">
        <v>3028</v>
      </c>
    </row>
    <row r="188" spans="1:15" x14ac:dyDescent="0.25">
      <c r="A188" s="10" t="s">
        <v>560</v>
      </c>
      <c r="B188" s="15">
        <v>1505.29</v>
      </c>
      <c r="C188" s="15">
        <v>1505.29</v>
      </c>
      <c r="D188" s="15">
        <v>1505.29</v>
      </c>
      <c r="E188" s="15">
        <v>1505.29</v>
      </c>
      <c r="F188" s="15">
        <v>1505.29</v>
      </c>
      <c r="G188" s="15">
        <v>1505.29</v>
      </c>
      <c r="H188" s="15">
        <v>1505.29</v>
      </c>
      <c r="I188" s="15">
        <v>2251.12</v>
      </c>
      <c r="J188" s="15">
        <v>1753.9</v>
      </c>
      <c r="K188" s="15">
        <v>1753.9</v>
      </c>
      <c r="L188" s="15">
        <v>2408.0500000000002</v>
      </c>
      <c r="M188" s="15">
        <v>848.22</v>
      </c>
      <c r="N188" s="15">
        <v>1753.9</v>
      </c>
      <c r="O188" t="s">
        <v>3028</v>
      </c>
    </row>
    <row r="189" spans="1:15" x14ac:dyDescent="0.25">
      <c r="A189" s="10" t="s">
        <v>562</v>
      </c>
      <c r="B189" s="15">
        <v>13.35</v>
      </c>
      <c r="C189" s="15">
        <v>13.35</v>
      </c>
      <c r="D189" s="15">
        <v>13.35</v>
      </c>
      <c r="E189" s="15">
        <v>13.35</v>
      </c>
      <c r="F189" s="15">
        <v>13.35</v>
      </c>
      <c r="G189" s="15">
        <v>13.35</v>
      </c>
      <c r="H189" s="15">
        <v>13.35</v>
      </c>
      <c r="I189" s="15">
        <v>14.63</v>
      </c>
      <c r="J189" s="15">
        <v>31.48</v>
      </c>
      <c r="K189" s="15">
        <v>31.48</v>
      </c>
      <c r="L189" s="15">
        <v>31.48</v>
      </c>
      <c r="M189" s="15">
        <v>31.48</v>
      </c>
      <c r="N189" s="15">
        <v>31.48</v>
      </c>
      <c r="O189" t="s">
        <v>3028</v>
      </c>
    </row>
    <row r="190" spans="1:15" x14ac:dyDescent="0.25">
      <c r="A190" s="10" t="s">
        <v>564</v>
      </c>
      <c r="B190" s="15">
        <v>0</v>
      </c>
      <c r="C190" s="15">
        <v>0</v>
      </c>
      <c r="D190" s="15">
        <v>0</v>
      </c>
      <c r="E190" s="15">
        <v>0</v>
      </c>
      <c r="F190" s="15">
        <v>0</v>
      </c>
      <c r="G190" s="15">
        <v>0</v>
      </c>
      <c r="H190" s="15">
        <v>0</v>
      </c>
      <c r="I190" s="15">
        <v>15.77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  <c r="O190" t="s">
        <v>3028</v>
      </c>
    </row>
    <row r="191" spans="1:15" x14ac:dyDescent="0.25">
      <c r="A191" s="10" t="s">
        <v>568</v>
      </c>
      <c r="B191" s="15">
        <v>0</v>
      </c>
      <c r="C191" s="15">
        <v>0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8060.09</v>
      </c>
      <c r="K191" s="15">
        <v>9490.09</v>
      </c>
      <c r="L191" s="15">
        <v>9490.09</v>
      </c>
      <c r="M191" s="15">
        <v>9490.09</v>
      </c>
      <c r="N191" s="15">
        <v>2340.09</v>
      </c>
      <c r="O191" t="s">
        <v>3028</v>
      </c>
    </row>
    <row r="192" spans="1:15" x14ac:dyDescent="0.25">
      <c r="A192" s="10" t="s">
        <v>570</v>
      </c>
      <c r="B192" s="15">
        <v>0</v>
      </c>
      <c r="C192" s="15">
        <v>2.48</v>
      </c>
      <c r="D192" s="15">
        <v>9.59</v>
      </c>
      <c r="E192" s="15">
        <v>0</v>
      </c>
      <c r="F192" s="15">
        <v>0</v>
      </c>
      <c r="G192" s="15">
        <v>31.78</v>
      </c>
      <c r="H192" s="15">
        <v>0</v>
      </c>
      <c r="I192" s="15">
        <v>11.11</v>
      </c>
      <c r="J192" s="15">
        <v>22.61</v>
      </c>
      <c r="K192" s="15">
        <v>0</v>
      </c>
      <c r="L192" s="15">
        <v>2.3199999999999998</v>
      </c>
      <c r="M192" s="15">
        <v>28.16</v>
      </c>
      <c r="N192" s="15">
        <v>5.14</v>
      </c>
      <c r="O192" t="s">
        <v>3028</v>
      </c>
    </row>
    <row r="193" spans="1:15" x14ac:dyDescent="0.25">
      <c r="A193" s="10" t="s">
        <v>572</v>
      </c>
      <c r="B193" s="15">
        <v>0</v>
      </c>
      <c r="C193" s="15">
        <v>0</v>
      </c>
      <c r="D193" s="15">
        <v>0</v>
      </c>
      <c r="E193" s="15">
        <v>0</v>
      </c>
      <c r="F193" s="15">
        <v>18166.939999999999</v>
      </c>
      <c r="G193" s="15">
        <v>12491.26</v>
      </c>
      <c r="H193" s="15">
        <v>13072.31</v>
      </c>
      <c r="I193" s="15">
        <v>18581.71</v>
      </c>
      <c r="J193" s="15">
        <v>0</v>
      </c>
      <c r="K193" s="15">
        <v>0</v>
      </c>
      <c r="L193" s="15">
        <v>0</v>
      </c>
      <c r="M193" s="15">
        <v>0</v>
      </c>
      <c r="N193" s="15">
        <v>0</v>
      </c>
      <c r="O193" t="s">
        <v>3028</v>
      </c>
    </row>
    <row r="194" spans="1:15" x14ac:dyDescent="0.25">
      <c r="A194" s="10" t="s">
        <v>576</v>
      </c>
      <c r="B194" s="15">
        <v>583.72</v>
      </c>
      <c r="C194" s="15">
        <v>308.63</v>
      </c>
      <c r="D194" s="15">
        <v>317.82</v>
      </c>
      <c r="E194" s="15">
        <v>278.48</v>
      </c>
      <c r="F194" s="15">
        <v>272.93</v>
      </c>
      <c r="G194" s="15">
        <v>265.85000000000002</v>
      </c>
      <c r="H194" s="15">
        <v>268.10000000000002</v>
      </c>
      <c r="I194" s="15">
        <v>581.08000000000004</v>
      </c>
      <c r="J194" s="15">
        <v>353.48</v>
      </c>
      <c r="K194" s="15">
        <v>369.28</v>
      </c>
      <c r="L194" s="15">
        <v>371.33</v>
      </c>
      <c r="M194" s="15">
        <v>487.16</v>
      </c>
      <c r="N194" s="15">
        <v>395.03</v>
      </c>
      <c r="O194" t="s">
        <v>3028</v>
      </c>
    </row>
    <row r="195" spans="1:15" x14ac:dyDescent="0.25">
      <c r="A195" s="10" t="s">
        <v>578</v>
      </c>
      <c r="B195" s="15">
        <v>2772.05</v>
      </c>
      <c r="C195" s="15">
        <v>7815.18</v>
      </c>
      <c r="D195" s="15">
        <v>3737.1</v>
      </c>
      <c r="E195" s="15">
        <v>6500.4</v>
      </c>
      <c r="F195" s="15">
        <v>6243.79</v>
      </c>
      <c r="G195" s="15">
        <v>6614.12</v>
      </c>
      <c r="H195" s="15">
        <v>6388.77</v>
      </c>
      <c r="I195" s="15">
        <v>10004.19</v>
      </c>
      <c r="J195" s="15">
        <v>6309.35</v>
      </c>
      <c r="K195" s="15">
        <v>6441.9</v>
      </c>
      <c r="L195" s="15">
        <v>6441.9</v>
      </c>
      <c r="M195" s="15">
        <v>6326.96</v>
      </c>
      <c r="N195" s="15">
        <v>3261.39</v>
      </c>
      <c r="O195" t="s">
        <v>3028</v>
      </c>
    </row>
    <row r="196" spans="1:15" x14ac:dyDescent="0.25">
      <c r="A196" s="10" t="s">
        <v>580</v>
      </c>
      <c r="B196" s="15">
        <v>4088.53</v>
      </c>
      <c r="C196" s="15">
        <v>11074.44</v>
      </c>
      <c r="D196" s="15">
        <v>5873.49</v>
      </c>
      <c r="E196" s="15">
        <v>8668.85</v>
      </c>
      <c r="F196" s="15">
        <v>8307.9699999999993</v>
      </c>
      <c r="G196" s="15">
        <v>8181.24</v>
      </c>
      <c r="H196" s="15">
        <v>8385.11</v>
      </c>
      <c r="I196" s="15">
        <v>13824.8</v>
      </c>
      <c r="J196" s="15">
        <v>8356.23</v>
      </c>
      <c r="K196" s="15">
        <v>8481.4500000000007</v>
      </c>
      <c r="L196" s="15">
        <v>8481.4500000000007</v>
      </c>
      <c r="M196" s="15">
        <v>8245.58</v>
      </c>
      <c r="N196" s="15">
        <v>4631.71</v>
      </c>
      <c r="O196" t="s">
        <v>3028</v>
      </c>
    </row>
    <row r="197" spans="1:15" x14ac:dyDescent="0.25">
      <c r="A197" s="10" t="s">
        <v>582</v>
      </c>
      <c r="B197" s="15">
        <v>4345.55</v>
      </c>
      <c r="C197" s="15">
        <v>8561.31</v>
      </c>
      <c r="D197" s="15">
        <v>5963.36</v>
      </c>
      <c r="E197" s="15">
        <v>6110.66</v>
      </c>
      <c r="F197" s="15">
        <v>8464.32</v>
      </c>
      <c r="G197" s="15">
        <v>8332.2000000000007</v>
      </c>
      <c r="H197" s="15">
        <v>8544.74</v>
      </c>
      <c r="I197" s="15">
        <v>14725.69</v>
      </c>
      <c r="J197" s="15">
        <v>8616.31</v>
      </c>
      <c r="K197" s="15">
        <v>8739.19</v>
      </c>
      <c r="L197" s="15">
        <v>8739.19</v>
      </c>
      <c r="M197" s="15">
        <v>8365.48</v>
      </c>
      <c r="N197" s="15">
        <v>4896.8500000000004</v>
      </c>
      <c r="O197" t="s">
        <v>3028</v>
      </c>
    </row>
    <row r="198" spans="1:15" x14ac:dyDescent="0.25">
      <c r="A198" s="10" t="s">
        <v>584</v>
      </c>
      <c r="B198" s="15">
        <v>15755.85</v>
      </c>
      <c r="C198" s="15">
        <v>19106.439999999999</v>
      </c>
      <c r="D198" s="15">
        <v>16251.2</v>
      </c>
      <c r="E198" s="15">
        <v>18733</v>
      </c>
      <c r="F198" s="15">
        <v>18650.740000000002</v>
      </c>
      <c r="G198" s="15">
        <v>18733</v>
      </c>
      <c r="H198" s="15">
        <v>18733</v>
      </c>
      <c r="I198" s="15">
        <v>19962.189999999999</v>
      </c>
      <c r="J198" s="15">
        <v>19142.73</v>
      </c>
      <c r="K198" s="15">
        <v>19142.73</v>
      </c>
      <c r="L198" s="15">
        <v>19142.73</v>
      </c>
      <c r="M198" s="15">
        <v>19059.71</v>
      </c>
      <c r="N198" s="15">
        <v>0</v>
      </c>
      <c r="O198" t="s">
        <v>3028</v>
      </c>
    </row>
    <row r="199" spans="1:15" x14ac:dyDescent="0.25">
      <c r="A199" s="10" t="s">
        <v>586</v>
      </c>
      <c r="B199" s="15">
        <v>0</v>
      </c>
      <c r="C199" s="15">
        <v>0</v>
      </c>
      <c r="D199" s="15">
        <v>0</v>
      </c>
      <c r="E199" s="15">
        <v>511.94</v>
      </c>
      <c r="F199" s="15">
        <v>637.66999999999996</v>
      </c>
      <c r="G199" s="15">
        <v>585.26</v>
      </c>
      <c r="H199" s="15">
        <v>669.1</v>
      </c>
      <c r="I199" s="15">
        <v>1279.3900000000001</v>
      </c>
      <c r="J199" s="15">
        <v>128.87</v>
      </c>
      <c r="K199" s="15">
        <v>811.32</v>
      </c>
      <c r="L199" s="15">
        <v>334.47</v>
      </c>
      <c r="M199" s="15">
        <v>749.96</v>
      </c>
      <c r="N199" s="15">
        <v>232.29</v>
      </c>
      <c r="O199" t="s">
        <v>3028</v>
      </c>
    </row>
    <row r="200" spans="1:15" x14ac:dyDescent="0.25">
      <c r="A200" s="10" t="s">
        <v>588</v>
      </c>
      <c r="B200" s="15">
        <v>1345.97</v>
      </c>
      <c r="C200" s="15">
        <v>1826.72</v>
      </c>
      <c r="D200" s="15">
        <v>2320.87</v>
      </c>
      <c r="E200" s="15">
        <v>2320.87</v>
      </c>
      <c r="F200" s="15">
        <v>2320.87</v>
      </c>
      <c r="G200" s="15">
        <v>2320.87</v>
      </c>
      <c r="H200" s="15">
        <v>1922.48</v>
      </c>
      <c r="I200" s="15">
        <v>3063.5</v>
      </c>
      <c r="J200" s="15">
        <v>2617.92</v>
      </c>
      <c r="K200" s="15">
        <v>2617.92</v>
      </c>
      <c r="L200" s="15">
        <v>2617.92</v>
      </c>
      <c r="M200" s="15">
        <v>2617.92</v>
      </c>
      <c r="N200" s="15">
        <v>2617.92</v>
      </c>
      <c r="O200" t="s">
        <v>3028</v>
      </c>
    </row>
    <row r="201" spans="1:15" x14ac:dyDescent="0.25">
      <c r="A201" s="10" t="s">
        <v>592</v>
      </c>
      <c r="B201" s="15">
        <v>3645.87</v>
      </c>
      <c r="C201" s="15">
        <v>3645.87</v>
      </c>
      <c r="D201" s="15">
        <v>3673.37</v>
      </c>
      <c r="E201" s="15">
        <v>3645.87</v>
      </c>
      <c r="F201" s="15">
        <v>3645.87</v>
      </c>
      <c r="G201" s="15">
        <v>3645.87</v>
      </c>
      <c r="H201" s="15">
        <v>6772.61</v>
      </c>
      <c r="I201" s="15">
        <v>1381.17</v>
      </c>
      <c r="J201" s="15">
        <v>3942.93</v>
      </c>
      <c r="K201" s="15">
        <v>3942.93</v>
      </c>
      <c r="L201" s="15">
        <v>3942.93</v>
      </c>
      <c r="M201" s="15">
        <v>3942.93</v>
      </c>
      <c r="N201" s="15">
        <v>3942.93</v>
      </c>
      <c r="O201" t="s">
        <v>3028</v>
      </c>
    </row>
    <row r="202" spans="1:15" x14ac:dyDescent="0.25">
      <c r="A202" s="10" t="s">
        <v>594</v>
      </c>
      <c r="B202" s="15">
        <v>4268.41</v>
      </c>
      <c r="C202" s="15">
        <v>4175.79</v>
      </c>
      <c r="D202" s="15">
        <v>4213.1899999999996</v>
      </c>
      <c r="E202" s="15">
        <v>4222.1000000000004</v>
      </c>
      <c r="F202" s="15">
        <v>4268.41</v>
      </c>
      <c r="G202" s="15">
        <v>3500.73</v>
      </c>
      <c r="H202" s="15">
        <v>5075.93</v>
      </c>
      <c r="I202" s="15">
        <v>5201.3900000000003</v>
      </c>
      <c r="J202" s="15">
        <v>8219.24</v>
      </c>
      <c r="K202" s="15">
        <v>1289.0899999999999</v>
      </c>
      <c r="L202" s="15">
        <v>3316.88</v>
      </c>
      <c r="M202" s="15">
        <v>3938.7</v>
      </c>
      <c r="N202" s="15">
        <v>4337.6099999999997</v>
      </c>
      <c r="O202" t="s">
        <v>3028</v>
      </c>
    </row>
    <row r="203" spans="1:15" x14ac:dyDescent="0.25">
      <c r="A203" s="10" t="s">
        <v>596</v>
      </c>
      <c r="B203" s="15">
        <v>1077.3900000000001</v>
      </c>
      <c r="C203" s="15">
        <v>1008.85</v>
      </c>
      <c r="D203" s="15">
        <v>1124.3699999999999</v>
      </c>
      <c r="E203" s="15">
        <v>1351.9</v>
      </c>
      <c r="F203" s="15">
        <v>1497.68</v>
      </c>
      <c r="G203" s="15">
        <v>2543.54</v>
      </c>
      <c r="H203" s="15">
        <v>253.52</v>
      </c>
      <c r="I203" s="15">
        <v>1786.1</v>
      </c>
      <c r="J203" s="15">
        <v>1551.66</v>
      </c>
      <c r="K203" s="15">
        <v>1697.95</v>
      </c>
      <c r="L203" s="15">
        <v>1397.15</v>
      </c>
      <c r="M203" s="15">
        <v>1250.56</v>
      </c>
      <c r="N203" s="15">
        <v>1514.56</v>
      </c>
      <c r="O203" t="s">
        <v>3028</v>
      </c>
    </row>
    <row r="204" spans="1:15" x14ac:dyDescent="0.25">
      <c r="A204" s="10" t="s">
        <v>598</v>
      </c>
      <c r="B204" s="15">
        <v>23.46</v>
      </c>
      <c r="C204" s="15">
        <v>0</v>
      </c>
      <c r="D204" s="15">
        <v>0</v>
      </c>
      <c r="E204" s="15">
        <v>0</v>
      </c>
      <c r="F204" s="15">
        <v>0</v>
      </c>
      <c r="G204" s="15">
        <v>0</v>
      </c>
      <c r="H204" s="15">
        <v>0</v>
      </c>
      <c r="I204" s="15">
        <v>0</v>
      </c>
      <c r="J204" s="15">
        <v>0</v>
      </c>
      <c r="K204" s="15">
        <v>2.5</v>
      </c>
      <c r="L204" s="15">
        <v>0</v>
      </c>
      <c r="M204" s="15">
        <v>2.37</v>
      </c>
      <c r="N204" s="15">
        <v>0</v>
      </c>
      <c r="O204" t="s">
        <v>3028</v>
      </c>
    </row>
    <row r="205" spans="1:15" x14ac:dyDescent="0.25">
      <c r="A205" s="10" t="s">
        <v>602</v>
      </c>
      <c r="B205" s="15">
        <v>24.5</v>
      </c>
      <c r="C205" s="15">
        <v>0</v>
      </c>
      <c r="D205" s="15">
        <v>0</v>
      </c>
      <c r="E205" s="15">
        <v>0</v>
      </c>
      <c r="F205" s="15">
        <v>0</v>
      </c>
      <c r="G205" s="15">
        <v>0</v>
      </c>
      <c r="H205" s="15">
        <v>0</v>
      </c>
      <c r="I205" s="15">
        <v>0</v>
      </c>
      <c r="J205" s="15">
        <v>0</v>
      </c>
      <c r="K205" s="15">
        <v>0</v>
      </c>
      <c r="L205" s="15">
        <v>0</v>
      </c>
      <c r="M205" s="15">
        <v>0</v>
      </c>
      <c r="N205" s="15">
        <v>0</v>
      </c>
      <c r="O205" t="s">
        <v>3028</v>
      </c>
    </row>
    <row r="206" spans="1:15" x14ac:dyDescent="0.25">
      <c r="A206" s="10" t="s">
        <v>606</v>
      </c>
      <c r="B206" s="15">
        <v>0</v>
      </c>
      <c r="C206" s="15">
        <v>159.58000000000001</v>
      </c>
      <c r="D206" s="15">
        <v>285.48</v>
      </c>
      <c r="E206" s="15">
        <v>326.91000000000003</v>
      </c>
      <c r="F206" s="15">
        <v>240.77</v>
      </c>
      <c r="G206" s="15">
        <v>276.47000000000003</v>
      </c>
      <c r="H206" s="15">
        <v>261.23</v>
      </c>
      <c r="I206" s="15">
        <v>300.20999999999998</v>
      </c>
      <c r="J206" s="15">
        <v>262</v>
      </c>
      <c r="K206" s="15">
        <v>420.57</v>
      </c>
      <c r="L206" s="15">
        <v>433.62</v>
      </c>
      <c r="M206" s="15">
        <v>360.93</v>
      </c>
      <c r="N206" s="15">
        <v>276.58</v>
      </c>
      <c r="O206" t="s">
        <v>3028</v>
      </c>
    </row>
    <row r="207" spans="1:15" x14ac:dyDescent="0.25">
      <c r="A207" s="10" t="s">
        <v>610</v>
      </c>
      <c r="B207" s="15">
        <v>0</v>
      </c>
      <c r="C207" s="15">
        <v>0</v>
      </c>
      <c r="D207" s="15">
        <v>0</v>
      </c>
      <c r="E207" s="15">
        <v>28.85</v>
      </c>
      <c r="F207" s="15">
        <v>65.709999999999994</v>
      </c>
      <c r="G207" s="15">
        <v>125.57</v>
      </c>
      <c r="H207" s="15">
        <v>144.4</v>
      </c>
      <c r="I207" s="15">
        <v>387.2</v>
      </c>
      <c r="J207" s="15">
        <v>183.97</v>
      </c>
      <c r="K207" s="15">
        <v>150.77000000000001</v>
      </c>
      <c r="L207" s="15">
        <v>171.1</v>
      </c>
      <c r="M207" s="15">
        <v>178.05</v>
      </c>
      <c r="N207" s="15">
        <v>51.12</v>
      </c>
      <c r="O207" t="s">
        <v>3028</v>
      </c>
    </row>
    <row r="208" spans="1:15" x14ac:dyDescent="0.25">
      <c r="A208" s="10" t="s">
        <v>612</v>
      </c>
      <c r="B208" s="15">
        <v>0</v>
      </c>
      <c r="C208" s="15">
        <v>13.35</v>
      </c>
      <c r="D208" s="15">
        <v>14.26</v>
      </c>
      <c r="E208" s="15">
        <v>13.35</v>
      </c>
      <c r="F208" s="15">
        <v>0</v>
      </c>
      <c r="G208" s="15">
        <v>13.35</v>
      </c>
      <c r="H208" s="15">
        <v>13.35</v>
      </c>
      <c r="I208" s="15">
        <v>84.77</v>
      </c>
      <c r="J208" s="15">
        <v>31.48</v>
      </c>
      <c r="K208" s="15">
        <v>31.48</v>
      </c>
      <c r="L208" s="15">
        <v>31.48</v>
      </c>
      <c r="M208" s="15">
        <v>33.69</v>
      </c>
      <c r="N208" s="15">
        <v>34.020000000000003</v>
      </c>
      <c r="O208" t="s">
        <v>3028</v>
      </c>
    </row>
    <row r="209" spans="1:15" x14ac:dyDescent="0.25">
      <c r="A209" s="10" t="s">
        <v>614</v>
      </c>
      <c r="B209" s="15">
        <v>117.7</v>
      </c>
      <c r="C209" s="15">
        <v>102.24</v>
      </c>
      <c r="D209" s="15">
        <v>102.24</v>
      </c>
      <c r="E209" s="15">
        <v>102.24</v>
      </c>
      <c r="F209" s="15">
        <v>103.08</v>
      </c>
      <c r="G209" s="15">
        <v>102.24</v>
      </c>
      <c r="H209" s="15">
        <v>102.24</v>
      </c>
      <c r="I209" s="15">
        <v>251.41</v>
      </c>
      <c r="J209" s="15">
        <v>147.13</v>
      </c>
      <c r="K209" s="15">
        <v>389.03</v>
      </c>
      <c r="L209" s="15">
        <v>13.35</v>
      </c>
      <c r="M209" s="15">
        <v>147.13</v>
      </c>
      <c r="N209" s="15">
        <v>148.71</v>
      </c>
      <c r="O209" t="s">
        <v>3028</v>
      </c>
    </row>
    <row r="210" spans="1:15" x14ac:dyDescent="0.25">
      <c r="A210" s="10" t="s">
        <v>616</v>
      </c>
      <c r="B210" s="15">
        <v>1270.8</v>
      </c>
      <c r="C210" s="15">
        <v>1270.8</v>
      </c>
      <c r="D210" s="15">
        <v>1270.8</v>
      </c>
      <c r="E210" s="15">
        <v>1270.8</v>
      </c>
      <c r="F210" s="15">
        <v>1270.8</v>
      </c>
      <c r="G210" s="15">
        <v>1066.32</v>
      </c>
      <c r="H210" s="15">
        <v>1270.8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683.47</v>
      </c>
      <c r="O210" t="s">
        <v>3028</v>
      </c>
    </row>
    <row r="211" spans="1:15" x14ac:dyDescent="0.25">
      <c r="A211" s="10" t="s">
        <v>618</v>
      </c>
      <c r="B211" s="15">
        <v>0</v>
      </c>
      <c r="C211" s="15">
        <v>20.38</v>
      </c>
      <c r="D211" s="15">
        <v>17.239999999999998</v>
      </c>
      <c r="E211" s="15">
        <v>30.75</v>
      </c>
      <c r="F211" s="15">
        <v>15.66</v>
      </c>
      <c r="G211" s="15">
        <v>16.36</v>
      </c>
      <c r="H211" s="15">
        <v>16.489999999999998</v>
      </c>
      <c r="I211" s="15">
        <v>69.239999999999995</v>
      </c>
      <c r="J211" s="15">
        <v>19.440000000000001</v>
      </c>
      <c r="K211" s="15">
        <v>21.81</v>
      </c>
      <c r="L211" s="15">
        <v>21.29</v>
      </c>
      <c r="M211" s="15">
        <v>169.41</v>
      </c>
      <c r="N211" s="15">
        <v>30.66</v>
      </c>
      <c r="O211" t="s">
        <v>3028</v>
      </c>
    </row>
    <row r="212" spans="1:15" x14ac:dyDescent="0.25">
      <c r="A212" s="10" t="s">
        <v>622</v>
      </c>
      <c r="B212" s="15">
        <v>34.700000000000003</v>
      </c>
      <c r="C212" s="15">
        <v>36.17</v>
      </c>
      <c r="D212" s="15">
        <v>51.04</v>
      </c>
      <c r="E212" s="15">
        <v>168.06</v>
      </c>
      <c r="F212" s="15">
        <v>0</v>
      </c>
      <c r="G212" s="15">
        <v>30.28</v>
      </c>
      <c r="H212" s="15">
        <v>32.54</v>
      </c>
      <c r="I212" s="15">
        <v>100.47</v>
      </c>
      <c r="J212" s="15">
        <v>73.790000000000006</v>
      </c>
      <c r="K212" s="15">
        <v>48.99</v>
      </c>
      <c r="L212" s="15">
        <v>52.54</v>
      </c>
      <c r="M212" s="15">
        <v>53.47</v>
      </c>
      <c r="N212" s="15">
        <v>55.69</v>
      </c>
      <c r="O212" t="s">
        <v>3028</v>
      </c>
    </row>
    <row r="213" spans="1:15" x14ac:dyDescent="0.25">
      <c r="A213" s="10" t="s">
        <v>624</v>
      </c>
      <c r="B213" s="15">
        <v>1100.2</v>
      </c>
      <c r="C213" s="15">
        <v>104.68</v>
      </c>
      <c r="D213" s="15">
        <v>234.5</v>
      </c>
      <c r="E213" s="15">
        <v>134.31</v>
      </c>
      <c r="F213" s="15">
        <v>174.75</v>
      </c>
      <c r="G213" s="15">
        <v>282.24</v>
      </c>
      <c r="H213" s="15">
        <v>67.77</v>
      </c>
      <c r="I213" s="15">
        <v>709.08</v>
      </c>
      <c r="J213" s="15">
        <v>0</v>
      </c>
      <c r="K213" s="15">
        <v>103.41</v>
      </c>
      <c r="L213" s="15">
        <v>307.04000000000002</v>
      </c>
      <c r="M213" s="15">
        <v>144.58000000000001</v>
      </c>
      <c r="N213" s="15">
        <v>262.14</v>
      </c>
      <c r="O213" t="s">
        <v>3028</v>
      </c>
    </row>
    <row r="214" spans="1:15" x14ac:dyDescent="0.25">
      <c r="A214" s="10" t="s">
        <v>626</v>
      </c>
      <c r="B214" s="15">
        <v>46.42</v>
      </c>
      <c r="C214" s="15">
        <v>0</v>
      </c>
      <c r="D214" s="15">
        <v>0</v>
      </c>
      <c r="E214" s="15">
        <v>0</v>
      </c>
      <c r="F214" s="15">
        <v>0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0</v>
      </c>
      <c r="O214" t="s">
        <v>3028</v>
      </c>
    </row>
    <row r="215" spans="1:15" x14ac:dyDescent="0.25">
      <c r="A215" s="10" t="s">
        <v>628</v>
      </c>
      <c r="B215" s="15">
        <v>46.82</v>
      </c>
      <c r="C215" s="15">
        <v>40.08</v>
      </c>
      <c r="D215" s="15">
        <v>18.86</v>
      </c>
      <c r="E215" s="15">
        <v>0</v>
      </c>
      <c r="F215" s="15">
        <v>0</v>
      </c>
      <c r="G215" s="15">
        <v>0</v>
      </c>
      <c r="H215" s="15">
        <v>0</v>
      </c>
      <c r="I215" s="15">
        <v>0</v>
      </c>
      <c r="J215" s="15">
        <v>0</v>
      </c>
      <c r="K215" s="15">
        <v>0</v>
      </c>
      <c r="L215" s="15">
        <v>0</v>
      </c>
      <c r="M215" s="15">
        <v>0</v>
      </c>
      <c r="N215" s="15">
        <v>0</v>
      </c>
      <c r="O215" t="s">
        <v>3028</v>
      </c>
    </row>
    <row r="216" spans="1:15" x14ac:dyDescent="0.25">
      <c r="A216" s="10" t="s">
        <v>634</v>
      </c>
      <c r="B216" s="15">
        <v>0</v>
      </c>
      <c r="C216" s="15">
        <v>0</v>
      </c>
      <c r="D216" s="15">
        <v>0</v>
      </c>
      <c r="E216" s="15">
        <v>0</v>
      </c>
      <c r="F216" s="15">
        <v>0</v>
      </c>
      <c r="G216" s="15">
        <v>12.12</v>
      </c>
      <c r="H216" s="15">
        <v>0</v>
      </c>
      <c r="I216" s="15">
        <v>0</v>
      </c>
      <c r="J216" s="15">
        <v>0</v>
      </c>
      <c r="K216" s="15">
        <v>0</v>
      </c>
      <c r="L216" s="15">
        <v>0</v>
      </c>
      <c r="M216" s="15">
        <v>0</v>
      </c>
      <c r="N216" s="15">
        <v>0</v>
      </c>
      <c r="O216" t="s">
        <v>3028</v>
      </c>
    </row>
    <row r="217" spans="1:15" x14ac:dyDescent="0.25">
      <c r="A217" s="10" t="s">
        <v>636</v>
      </c>
      <c r="B217" s="15">
        <v>298.66000000000003</v>
      </c>
      <c r="C217" s="15">
        <v>221.4</v>
      </c>
      <c r="D217" s="15">
        <v>210.01</v>
      </c>
      <c r="E217" s="15">
        <v>967.95</v>
      </c>
      <c r="F217" s="15">
        <v>0</v>
      </c>
      <c r="G217" s="15">
        <v>191.48</v>
      </c>
      <c r="H217" s="15">
        <v>194.94</v>
      </c>
      <c r="I217" s="15">
        <v>617.24</v>
      </c>
      <c r="J217" s="15">
        <v>289.56</v>
      </c>
      <c r="K217" s="15">
        <v>275.89</v>
      </c>
      <c r="L217" s="15">
        <v>285.52999999999997</v>
      </c>
      <c r="M217" s="15">
        <v>377.83</v>
      </c>
      <c r="N217" s="15">
        <v>308.89</v>
      </c>
      <c r="O217" t="s">
        <v>3028</v>
      </c>
    </row>
    <row r="218" spans="1:15" x14ac:dyDescent="0.25">
      <c r="A218" s="10" t="s">
        <v>638</v>
      </c>
      <c r="B218" s="15">
        <v>49.89</v>
      </c>
      <c r="C218" s="15">
        <v>35.17</v>
      </c>
      <c r="D218" s="15">
        <v>35.44</v>
      </c>
      <c r="E218" s="15">
        <v>15.44</v>
      </c>
      <c r="F218" s="15">
        <v>0</v>
      </c>
      <c r="G218" s="15">
        <v>36.36</v>
      </c>
      <c r="H218" s="15">
        <v>44.35</v>
      </c>
      <c r="I218" s="15">
        <v>135.13</v>
      </c>
      <c r="J218" s="15">
        <v>85.55</v>
      </c>
      <c r="K218" s="15">
        <v>61.59</v>
      </c>
      <c r="L218" s="15">
        <v>56.49</v>
      </c>
      <c r="M218" s="15">
        <v>59.58</v>
      </c>
      <c r="N218" s="15">
        <v>54.65</v>
      </c>
      <c r="O218" t="s">
        <v>3028</v>
      </c>
    </row>
    <row r="219" spans="1:15" x14ac:dyDescent="0.25">
      <c r="A219" s="10" t="s">
        <v>640</v>
      </c>
      <c r="B219" s="15">
        <v>0</v>
      </c>
      <c r="C219" s="15">
        <v>0</v>
      </c>
      <c r="D219" s="15">
        <v>0</v>
      </c>
      <c r="E219" s="15">
        <v>0</v>
      </c>
      <c r="F219" s="15">
        <v>0</v>
      </c>
      <c r="G219" s="15">
        <v>0</v>
      </c>
      <c r="H219" s="15">
        <v>18.7</v>
      </c>
      <c r="I219" s="15">
        <v>0</v>
      </c>
      <c r="J219" s="15">
        <v>0</v>
      </c>
      <c r="K219" s="15">
        <v>19.41</v>
      </c>
      <c r="L219" s="15">
        <v>9.36</v>
      </c>
      <c r="M219" s="15">
        <v>71.06</v>
      </c>
      <c r="N219" s="15">
        <v>10.73</v>
      </c>
      <c r="O219" t="s">
        <v>3028</v>
      </c>
    </row>
    <row r="220" spans="1:15" x14ac:dyDescent="0.25">
      <c r="A220" s="10" t="s">
        <v>642</v>
      </c>
      <c r="B220" s="15">
        <v>0</v>
      </c>
      <c r="C220" s="15">
        <v>0</v>
      </c>
      <c r="D220" s="15">
        <v>0</v>
      </c>
      <c r="E220" s="15">
        <v>29.53</v>
      </c>
      <c r="F220" s="15">
        <v>0</v>
      </c>
      <c r="G220" s="15">
        <v>0</v>
      </c>
      <c r="H220" s="15">
        <v>0</v>
      </c>
      <c r="I220" s="15">
        <v>13.43</v>
      </c>
      <c r="J220" s="15">
        <v>4.32</v>
      </c>
      <c r="K220" s="15">
        <v>0</v>
      </c>
      <c r="L220" s="15">
        <v>0</v>
      </c>
      <c r="M220" s="15">
        <v>0</v>
      </c>
      <c r="N220" s="15">
        <v>0</v>
      </c>
      <c r="O220" t="s">
        <v>3028</v>
      </c>
    </row>
    <row r="221" spans="1:15" x14ac:dyDescent="0.25">
      <c r="A221" s="10" t="s">
        <v>644</v>
      </c>
      <c r="B221" s="15">
        <v>854.88</v>
      </c>
      <c r="C221" s="15">
        <v>911.27</v>
      </c>
      <c r="D221" s="15">
        <v>862.89</v>
      </c>
      <c r="E221" s="15">
        <v>899.4</v>
      </c>
      <c r="F221" s="15">
        <v>851.45</v>
      </c>
      <c r="G221" s="15">
        <v>848.18</v>
      </c>
      <c r="H221" s="15">
        <v>848.18</v>
      </c>
      <c r="I221" s="15">
        <v>1400.42</v>
      </c>
      <c r="J221" s="15">
        <v>2802.02</v>
      </c>
      <c r="K221" s="15">
        <v>0</v>
      </c>
      <c r="L221" s="15">
        <v>963.64</v>
      </c>
      <c r="M221" s="15">
        <v>1032.26</v>
      </c>
      <c r="N221" s="15">
        <v>1051.99</v>
      </c>
      <c r="O221" t="s">
        <v>3028</v>
      </c>
    </row>
    <row r="222" spans="1:15" x14ac:dyDescent="0.25">
      <c r="A222" s="10" t="s">
        <v>646</v>
      </c>
      <c r="B222" s="15">
        <v>1207.3900000000001</v>
      </c>
      <c r="C222" s="15">
        <v>588.72</v>
      </c>
      <c r="D222" s="15">
        <v>572.34</v>
      </c>
      <c r="E222" s="15">
        <v>551.61</v>
      </c>
      <c r="F222" s="15">
        <v>867.09</v>
      </c>
      <c r="G222" s="15">
        <v>0</v>
      </c>
      <c r="H222" s="15">
        <v>532.12</v>
      </c>
      <c r="I222" s="15">
        <v>939.05</v>
      </c>
      <c r="J222" s="15">
        <v>725.84</v>
      </c>
      <c r="K222" s="15">
        <v>725.95</v>
      </c>
      <c r="L222" s="15">
        <v>728.78</v>
      </c>
      <c r="M222" s="15">
        <v>547.61</v>
      </c>
      <c r="N222" s="15">
        <v>767.16</v>
      </c>
      <c r="O222" t="s">
        <v>3028</v>
      </c>
    </row>
    <row r="223" spans="1:15" x14ac:dyDescent="0.25">
      <c r="A223" s="10" t="s">
        <v>650</v>
      </c>
      <c r="B223" s="15">
        <v>1282.02</v>
      </c>
      <c r="C223" s="15">
        <v>1007.64</v>
      </c>
      <c r="D223" s="15">
        <v>461.88</v>
      </c>
      <c r="E223" s="15">
        <v>398.9</v>
      </c>
      <c r="F223" s="15">
        <v>1110.51</v>
      </c>
      <c r="G223" s="15">
        <v>390.3</v>
      </c>
      <c r="H223" s="15">
        <v>1339.86</v>
      </c>
      <c r="I223" s="15">
        <v>54.08</v>
      </c>
      <c r="J223" s="15">
        <v>524.29</v>
      </c>
      <c r="K223" s="15">
        <v>521.37</v>
      </c>
      <c r="L223" s="15">
        <v>709.23</v>
      </c>
      <c r="M223" s="15">
        <v>525.25</v>
      </c>
      <c r="N223" s="15">
        <v>751.72</v>
      </c>
      <c r="O223" t="s">
        <v>3028</v>
      </c>
    </row>
    <row r="224" spans="1:15" x14ac:dyDescent="0.25">
      <c r="A224" s="10" t="s">
        <v>652</v>
      </c>
      <c r="B224" s="15">
        <v>0</v>
      </c>
      <c r="C224" s="15">
        <v>0</v>
      </c>
      <c r="D224" s="15">
        <v>0</v>
      </c>
      <c r="E224" s="15">
        <v>78.38</v>
      </c>
      <c r="F224" s="15">
        <v>0</v>
      </c>
      <c r="G224" s="15">
        <v>0</v>
      </c>
      <c r="H224" s="15">
        <v>0</v>
      </c>
      <c r="I224" s="15">
        <v>22.97</v>
      </c>
      <c r="J224" s="15">
        <v>0</v>
      </c>
      <c r="K224" s="15">
        <v>0</v>
      </c>
      <c r="L224" s="15">
        <v>0</v>
      </c>
      <c r="M224" s="15">
        <v>0</v>
      </c>
      <c r="N224" s="15">
        <v>0</v>
      </c>
      <c r="O224" t="s">
        <v>3028</v>
      </c>
    </row>
    <row r="225" spans="1:15" x14ac:dyDescent="0.25">
      <c r="A225" s="10" t="s">
        <v>654</v>
      </c>
      <c r="B225" s="15">
        <v>1960.8</v>
      </c>
      <c r="C225" s="15">
        <v>1960.8</v>
      </c>
      <c r="D225" s="15">
        <v>1960.8</v>
      </c>
      <c r="E225" s="15">
        <v>1960.8</v>
      </c>
      <c r="F225" s="15">
        <v>1960.8</v>
      </c>
      <c r="G225" s="15">
        <v>1960.8</v>
      </c>
      <c r="H225" s="15">
        <v>1960.8</v>
      </c>
      <c r="I225" s="15">
        <v>2840.82</v>
      </c>
      <c r="J225" s="15">
        <v>2254.14</v>
      </c>
      <c r="K225" s="15">
        <v>2148.19</v>
      </c>
      <c r="L225" s="15">
        <v>2254.14</v>
      </c>
      <c r="M225" s="15">
        <v>2254.14</v>
      </c>
      <c r="N225" s="15">
        <v>2254.14</v>
      </c>
      <c r="O225" t="s">
        <v>3028</v>
      </c>
    </row>
    <row r="226" spans="1:15" x14ac:dyDescent="0.25">
      <c r="A226" s="10" t="s">
        <v>656</v>
      </c>
      <c r="B226" s="15">
        <v>0</v>
      </c>
      <c r="C226" s="15">
        <v>6.28</v>
      </c>
      <c r="D226" s="15">
        <v>0</v>
      </c>
      <c r="E226" s="15">
        <v>0</v>
      </c>
      <c r="F226" s="15">
        <v>0</v>
      </c>
      <c r="G226" s="15">
        <v>0</v>
      </c>
      <c r="H226" s="15">
        <v>0</v>
      </c>
      <c r="I226" s="15">
        <v>52.96</v>
      </c>
      <c r="J226" s="15">
        <v>5.55</v>
      </c>
      <c r="K226" s="15">
        <v>9.1199999999999992</v>
      </c>
      <c r="L226" s="15">
        <v>11.86</v>
      </c>
      <c r="M226" s="15">
        <v>9.23</v>
      </c>
      <c r="N226" s="15">
        <v>10.25</v>
      </c>
      <c r="O226" t="s">
        <v>3028</v>
      </c>
    </row>
    <row r="227" spans="1:15" x14ac:dyDescent="0.25">
      <c r="A227" s="10" t="s">
        <v>658</v>
      </c>
      <c r="B227" s="15">
        <v>11592.94</v>
      </c>
      <c r="C227" s="15">
        <v>11592.94</v>
      </c>
      <c r="D227" s="15">
        <v>27461.84</v>
      </c>
      <c r="E227" s="15">
        <v>242.78</v>
      </c>
      <c r="F227" s="15">
        <v>10310.16</v>
      </c>
      <c r="G227" s="15">
        <v>11592.94</v>
      </c>
      <c r="H227" s="15">
        <v>11592.94</v>
      </c>
      <c r="I227" s="15">
        <v>12484.11</v>
      </c>
      <c r="J227" s="15">
        <v>11890</v>
      </c>
      <c r="K227" s="15">
        <v>11890</v>
      </c>
      <c r="L227" s="15">
        <v>11890</v>
      </c>
      <c r="M227" s="15">
        <v>11890</v>
      </c>
      <c r="N227" s="15">
        <v>11890</v>
      </c>
      <c r="O227" t="s">
        <v>3028</v>
      </c>
    </row>
    <row r="228" spans="1:15" x14ac:dyDescent="0.25">
      <c r="A228" s="10" t="s">
        <v>660</v>
      </c>
      <c r="B228" s="15">
        <v>41.23</v>
      </c>
      <c r="C228" s="15">
        <v>26.68</v>
      </c>
      <c r="D228" s="15">
        <v>39.28</v>
      </c>
      <c r="E228" s="15">
        <v>174.59</v>
      </c>
      <c r="F228" s="15">
        <v>0</v>
      </c>
      <c r="G228" s="15">
        <v>39.89</v>
      </c>
      <c r="H228" s="15">
        <v>47.63</v>
      </c>
      <c r="I228" s="15">
        <v>142.99</v>
      </c>
      <c r="J228" s="15">
        <v>60.48</v>
      </c>
      <c r="K228" s="15">
        <v>63.25</v>
      </c>
      <c r="L228" s="15">
        <v>56.48</v>
      </c>
      <c r="M228" s="15">
        <v>86.33</v>
      </c>
      <c r="N228" s="15">
        <v>59.31</v>
      </c>
      <c r="O228" t="s">
        <v>3028</v>
      </c>
    </row>
    <row r="229" spans="1:15" x14ac:dyDescent="0.25">
      <c r="A229" s="10" t="s">
        <v>664</v>
      </c>
      <c r="B229" s="15">
        <v>0</v>
      </c>
      <c r="C229" s="15">
        <v>0</v>
      </c>
      <c r="D229" s="15">
        <v>0</v>
      </c>
      <c r="E229" s="15">
        <v>0</v>
      </c>
      <c r="F229" s="15">
        <v>0</v>
      </c>
      <c r="G229" s="15">
        <v>492.63</v>
      </c>
      <c r="H229" s="15">
        <v>1505.29</v>
      </c>
      <c r="I229" s="15">
        <v>2151.67</v>
      </c>
      <c r="J229" s="15">
        <v>0</v>
      </c>
      <c r="K229" s="15">
        <v>0</v>
      </c>
      <c r="L229" s="15">
        <v>0</v>
      </c>
      <c r="M229" s="15">
        <v>0</v>
      </c>
      <c r="N229" s="15">
        <v>29.7</v>
      </c>
      <c r="O229" t="s">
        <v>3028</v>
      </c>
    </row>
    <row r="230" spans="1:15" x14ac:dyDescent="0.25">
      <c r="A230" s="10" t="s">
        <v>666</v>
      </c>
      <c r="B230" s="15">
        <v>107.44</v>
      </c>
      <c r="C230" s="15">
        <v>59.3</v>
      </c>
      <c r="D230" s="15">
        <v>146.93</v>
      </c>
      <c r="E230" s="15">
        <v>62.28</v>
      </c>
      <c r="F230" s="15">
        <v>63.7</v>
      </c>
      <c r="G230" s="15">
        <v>68.239999999999995</v>
      </c>
      <c r="H230" s="15">
        <v>63.42</v>
      </c>
      <c r="I230" s="15">
        <v>55.21</v>
      </c>
      <c r="J230" s="15">
        <v>53.05</v>
      </c>
      <c r="K230" s="15">
        <v>135.72999999999999</v>
      </c>
      <c r="L230" s="15">
        <v>103.11</v>
      </c>
      <c r="M230" s="15">
        <v>297.47000000000003</v>
      </c>
      <c r="N230" s="15">
        <v>102.9</v>
      </c>
      <c r="O230" t="s">
        <v>3028</v>
      </c>
    </row>
    <row r="231" spans="1:15" x14ac:dyDescent="0.25">
      <c r="A231" s="10" t="s">
        <v>668</v>
      </c>
      <c r="B231" s="15">
        <v>5200.46</v>
      </c>
      <c r="C231" s="15">
        <v>5200.46</v>
      </c>
      <c r="D231" s="15">
        <v>5200.46</v>
      </c>
      <c r="E231" s="15">
        <v>5200.46</v>
      </c>
      <c r="F231" s="15">
        <v>5200.46</v>
      </c>
      <c r="G231" s="15">
        <v>5200.46</v>
      </c>
      <c r="H231" s="15">
        <v>5200.46</v>
      </c>
      <c r="I231" s="15">
        <v>6119.12</v>
      </c>
      <c r="J231" s="15">
        <v>6295.36</v>
      </c>
      <c r="K231" s="15">
        <v>5497.51</v>
      </c>
      <c r="L231" s="15">
        <v>0</v>
      </c>
      <c r="M231" s="15">
        <v>0</v>
      </c>
      <c r="N231" s="15">
        <v>5497.51</v>
      </c>
      <c r="O231" t="s">
        <v>3028</v>
      </c>
    </row>
    <row r="232" spans="1:15" x14ac:dyDescent="0.25">
      <c r="A232" s="10" t="s">
        <v>670</v>
      </c>
      <c r="B232" s="15">
        <v>7.78</v>
      </c>
      <c r="C232" s="15">
        <v>908.11</v>
      </c>
      <c r="D232" s="15">
        <v>908.11</v>
      </c>
      <c r="E232" s="15">
        <v>908.11</v>
      </c>
      <c r="F232" s="15">
        <v>908.11</v>
      </c>
      <c r="G232" s="15">
        <v>908.11</v>
      </c>
      <c r="H232" s="15">
        <v>371.66</v>
      </c>
      <c r="I232" s="15">
        <v>935.61</v>
      </c>
      <c r="J232" s="15">
        <v>908.11</v>
      </c>
      <c r="K232" s="15">
        <v>1310.4000000000001</v>
      </c>
      <c r="L232" s="15">
        <v>1136.75</v>
      </c>
      <c r="M232" s="15">
        <v>1109.25</v>
      </c>
      <c r="N232" s="15">
        <v>1109.25</v>
      </c>
      <c r="O232" t="s">
        <v>3028</v>
      </c>
    </row>
    <row r="233" spans="1:15" x14ac:dyDescent="0.25">
      <c r="A233" s="10" t="s">
        <v>672</v>
      </c>
      <c r="B233" s="15">
        <v>354.23</v>
      </c>
      <c r="C233" s="15">
        <v>315.38</v>
      </c>
      <c r="D233" s="15">
        <v>315.38</v>
      </c>
      <c r="E233" s="15">
        <v>315.38</v>
      </c>
      <c r="F233" s="15">
        <v>321.70999999999998</v>
      </c>
      <c r="G233" s="15">
        <v>545.64</v>
      </c>
      <c r="H233" s="15">
        <v>0</v>
      </c>
      <c r="I233" s="15">
        <v>600.14</v>
      </c>
      <c r="J233" s="15">
        <v>420.86</v>
      </c>
      <c r="K233" s="15">
        <v>645.76</v>
      </c>
      <c r="L233" s="15">
        <v>645.76</v>
      </c>
      <c r="M233" s="15">
        <v>645.76</v>
      </c>
      <c r="N233" s="15">
        <v>652.58000000000004</v>
      </c>
      <c r="O233" t="s">
        <v>3028</v>
      </c>
    </row>
    <row r="234" spans="1:15" x14ac:dyDescent="0.25">
      <c r="A234" s="10" t="s">
        <v>674</v>
      </c>
      <c r="B234" s="15">
        <v>0</v>
      </c>
      <c r="C234" s="15">
        <v>0</v>
      </c>
      <c r="D234" s="15">
        <v>0</v>
      </c>
      <c r="E234" s="15">
        <v>0</v>
      </c>
      <c r="F234" s="15">
        <v>0</v>
      </c>
      <c r="G234" s="15">
        <v>0</v>
      </c>
      <c r="H234" s="15">
        <v>0</v>
      </c>
      <c r="I234" s="15">
        <v>0</v>
      </c>
      <c r="J234" s="15">
        <v>0</v>
      </c>
      <c r="K234" s="15">
        <v>20.62</v>
      </c>
      <c r="L234" s="15">
        <v>3.14</v>
      </c>
      <c r="M234" s="15">
        <v>0</v>
      </c>
      <c r="N234" s="15">
        <v>0</v>
      </c>
      <c r="O234" t="s">
        <v>3028</v>
      </c>
    </row>
    <row r="235" spans="1:15" x14ac:dyDescent="0.25">
      <c r="A235" s="10" t="s">
        <v>676</v>
      </c>
      <c r="B235" s="15">
        <v>92.88</v>
      </c>
      <c r="C235" s="15">
        <v>58.26</v>
      </c>
      <c r="D235" s="15">
        <v>0</v>
      </c>
      <c r="E235" s="15">
        <v>0</v>
      </c>
      <c r="F235" s="15">
        <v>0</v>
      </c>
      <c r="G235" s="15">
        <v>0</v>
      </c>
      <c r="H235" s="15">
        <v>0</v>
      </c>
      <c r="I235" s="15">
        <v>0</v>
      </c>
      <c r="J235" s="15">
        <v>329.59</v>
      </c>
      <c r="K235" s="15">
        <v>0</v>
      </c>
      <c r="L235" s="15">
        <v>142.91999999999999</v>
      </c>
      <c r="M235" s="15">
        <v>88.87</v>
      </c>
      <c r="N235" s="15">
        <v>0</v>
      </c>
      <c r="O235" t="s">
        <v>3028</v>
      </c>
    </row>
    <row r="236" spans="1:15" x14ac:dyDescent="0.25">
      <c r="A236" s="10" t="s">
        <v>678</v>
      </c>
      <c r="B236" s="15">
        <v>1376.38</v>
      </c>
      <c r="C236" s="15">
        <v>1348.88</v>
      </c>
      <c r="D236" s="15">
        <v>2416.4699999999998</v>
      </c>
      <c r="E236" s="15">
        <v>44.69</v>
      </c>
      <c r="F236" s="15">
        <v>1348.88</v>
      </c>
      <c r="G236" s="15">
        <v>1348.88</v>
      </c>
      <c r="H236" s="15">
        <v>1348.88</v>
      </c>
      <c r="I236" s="15">
        <v>2094.6999999999998</v>
      </c>
      <c r="J236" s="15">
        <v>1597.49</v>
      </c>
      <c r="K236" s="15">
        <v>1597.49</v>
      </c>
      <c r="L236" s="15">
        <v>1597.49</v>
      </c>
      <c r="M236" s="15">
        <v>966.4</v>
      </c>
      <c r="N236" s="15">
        <v>1597.49</v>
      </c>
      <c r="O236" t="s">
        <v>3028</v>
      </c>
    </row>
    <row r="237" spans="1:15" x14ac:dyDescent="0.25">
      <c r="A237" s="10" t="s">
        <v>680</v>
      </c>
      <c r="B237" s="15">
        <v>2613.96</v>
      </c>
      <c r="C237" s="15">
        <v>0</v>
      </c>
      <c r="D237" s="15">
        <v>689.93</v>
      </c>
      <c r="E237" s="15">
        <v>794.12</v>
      </c>
      <c r="F237" s="15">
        <v>854.97</v>
      </c>
      <c r="G237" s="15">
        <v>838.77</v>
      </c>
      <c r="H237" s="15">
        <v>737.34</v>
      </c>
      <c r="I237" s="15">
        <v>1299.8</v>
      </c>
      <c r="J237" s="15">
        <v>892.63</v>
      </c>
      <c r="K237" s="15">
        <v>978.27</v>
      </c>
      <c r="L237" s="15">
        <v>939.95</v>
      </c>
      <c r="M237" s="15">
        <v>910.9</v>
      </c>
      <c r="N237" s="15">
        <v>970.31</v>
      </c>
      <c r="O237" t="s">
        <v>3028</v>
      </c>
    </row>
    <row r="238" spans="1:15" x14ac:dyDescent="0.25">
      <c r="A238" s="10" t="s">
        <v>682</v>
      </c>
      <c r="B238" s="15">
        <v>0</v>
      </c>
      <c r="C238" s="15">
        <v>342.02</v>
      </c>
      <c r="D238" s="15">
        <v>745.24</v>
      </c>
      <c r="E238" s="15">
        <v>685.64</v>
      </c>
      <c r="F238" s="15">
        <v>785.85</v>
      </c>
      <c r="G238" s="15">
        <v>637.35</v>
      </c>
      <c r="H238" s="15">
        <v>672.3</v>
      </c>
      <c r="I238" s="15">
        <v>1214.04</v>
      </c>
      <c r="J238" s="15">
        <v>861.44</v>
      </c>
      <c r="K238" s="15">
        <v>860.95</v>
      </c>
      <c r="L238" s="15">
        <v>1684.5</v>
      </c>
      <c r="M238" s="15">
        <v>0</v>
      </c>
      <c r="N238" s="15">
        <v>736.71</v>
      </c>
      <c r="O238" t="s">
        <v>3028</v>
      </c>
    </row>
    <row r="239" spans="1:15" x14ac:dyDescent="0.25">
      <c r="A239" s="10" t="s">
        <v>684</v>
      </c>
      <c r="B239" s="15">
        <v>13.86</v>
      </c>
      <c r="C239" s="15">
        <v>15.87</v>
      </c>
      <c r="D239" s="15">
        <v>21.11</v>
      </c>
      <c r="E239" s="15">
        <v>3.05</v>
      </c>
      <c r="F239" s="15">
        <v>1.34</v>
      </c>
      <c r="G239" s="15">
        <v>1.34</v>
      </c>
      <c r="H239" s="15">
        <v>53.56</v>
      </c>
      <c r="I239" s="15">
        <v>0</v>
      </c>
      <c r="J239" s="15">
        <v>1.34</v>
      </c>
      <c r="K239" s="15">
        <v>29.07</v>
      </c>
      <c r="L239" s="15">
        <v>23.36</v>
      </c>
      <c r="M239" s="15">
        <v>15.21</v>
      </c>
      <c r="N239" s="15">
        <v>19.89</v>
      </c>
      <c r="O239" t="s">
        <v>3028</v>
      </c>
    </row>
    <row r="240" spans="1:15" x14ac:dyDescent="0.25">
      <c r="A240" s="10" t="s">
        <v>686</v>
      </c>
      <c r="B240" s="15">
        <v>0</v>
      </c>
      <c r="C240" s="15">
        <v>17.96</v>
      </c>
      <c r="D240" s="15">
        <v>2.99</v>
      </c>
      <c r="E240" s="15">
        <v>0</v>
      </c>
      <c r="F240" s="15">
        <v>45.85</v>
      </c>
      <c r="G240" s="15">
        <v>0</v>
      </c>
      <c r="H240" s="15">
        <v>0</v>
      </c>
      <c r="I240" s="15">
        <v>29.65</v>
      </c>
      <c r="J240" s="15">
        <v>0</v>
      </c>
      <c r="K240" s="15">
        <v>0</v>
      </c>
      <c r="L240" s="15">
        <v>19</v>
      </c>
      <c r="M240" s="15">
        <v>2.17</v>
      </c>
      <c r="N240" s="15">
        <v>4.18</v>
      </c>
      <c r="O240" t="s">
        <v>3028</v>
      </c>
    </row>
    <row r="241" spans="1:15" x14ac:dyDescent="0.25">
      <c r="A241" s="10" t="s">
        <v>688</v>
      </c>
      <c r="B241" s="15">
        <v>5.74</v>
      </c>
      <c r="C241" s="15">
        <v>0</v>
      </c>
      <c r="D241" s="15">
        <v>0</v>
      </c>
      <c r="E241" s="15">
        <v>10.210000000000001</v>
      </c>
      <c r="F241" s="15">
        <v>0</v>
      </c>
      <c r="G241" s="15">
        <v>0</v>
      </c>
      <c r="H241" s="15">
        <v>29.46</v>
      </c>
      <c r="I241" s="15">
        <v>53</v>
      </c>
      <c r="J241" s="15">
        <v>84.76</v>
      </c>
      <c r="K241" s="15">
        <v>0</v>
      </c>
      <c r="L241" s="15">
        <v>112.52</v>
      </c>
      <c r="M241" s="15">
        <v>58.31</v>
      </c>
      <c r="N241" s="15">
        <v>27.64</v>
      </c>
      <c r="O241" t="s">
        <v>3028</v>
      </c>
    </row>
    <row r="242" spans="1:15" x14ac:dyDescent="0.25">
      <c r="A242" s="10" t="s">
        <v>693</v>
      </c>
      <c r="B242" s="15">
        <v>0</v>
      </c>
      <c r="C242" s="15">
        <v>0</v>
      </c>
      <c r="D242" s="15">
        <v>0</v>
      </c>
      <c r="E242" s="15">
        <v>0</v>
      </c>
      <c r="F242" s="15">
        <v>0</v>
      </c>
      <c r="G242" s="15">
        <v>0</v>
      </c>
      <c r="H242" s="15">
        <v>0</v>
      </c>
      <c r="I242" s="15">
        <v>0</v>
      </c>
      <c r="J242" s="15">
        <v>0</v>
      </c>
      <c r="K242" s="15">
        <v>1.99</v>
      </c>
      <c r="L242" s="15">
        <v>0</v>
      </c>
      <c r="M242" s="15">
        <v>0</v>
      </c>
      <c r="N242" s="15">
        <v>0</v>
      </c>
      <c r="O242" t="s">
        <v>3028</v>
      </c>
    </row>
    <row r="243" spans="1:15" x14ac:dyDescent="0.25">
      <c r="A243" s="10" t="s">
        <v>697</v>
      </c>
      <c r="B243" s="15">
        <v>1396.82</v>
      </c>
      <c r="C243" s="15">
        <v>1396.82</v>
      </c>
      <c r="D243" s="15">
        <v>1396.82</v>
      </c>
      <c r="E243" s="15">
        <v>1396.82</v>
      </c>
      <c r="F243" s="15">
        <v>1396.82</v>
      </c>
      <c r="G243" s="15">
        <v>1396.82</v>
      </c>
      <c r="H243" s="15">
        <v>1530.46</v>
      </c>
      <c r="I243" s="15">
        <v>1339.75</v>
      </c>
      <c r="J243" s="15">
        <v>1645.02</v>
      </c>
      <c r="K243" s="15">
        <v>1645.02</v>
      </c>
      <c r="L243" s="15">
        <v>1645.02</v>
      </c>
      <c r="M243" s="15">
        <v>1429.59</v>
      </c>
      <c r="N243" s="15">
        <v>1645.02</v>
      </c>
      <c r="O243" t="s">
        <v>3028</v>
      </c>
    </row>
    <row r="244" spans="1:15" x14ac:dyDescent="0.25">
      <c r="A244" s="10" t="s">
        <v>699</v>
      </c>
      <c r="B244" s="15">
        <v>243.31</v>
      </c>
      <c r="C244" s="15">
        <v>521.95000000000005</v>
      </c>
      <c r="D244" s="15">
        <v>347.57</v>
      </c>
      <c r="E244" s="15">
        <v>238.13</v>
      </c>
      <c r="F244" s="15">
        <v>159.41</v>
      </c>
      <c r="G244" s="15">
        <v>619.34</v>
      </c>
      <c r="H244" s="15">
        <v>0</v>
      </c>
      <c r="I244" s="15">
        <v>310.62</v>
      </c>
      <c r="J244" s="15">
        <v>362.11</v>
      </c>
      <c r="K244" s="15">
        <v>225.73</v>
      </c>
      <c r="L244" s="15">
        <v>345.84</v>
      </c>
      <c r="M244" s="15">
        <v>234.85</v>
      </c>
      <c r="N244" s="15">
        <v>315.23</v>
      </c>
      <c r="O244" t="s">
        <v>3028</v>
      </c>
    </row>
    <row r="245" spans="1:15" x14ac:dyDescent="0.25">
      <c r="A245" s="10" t="s">
        <v>701</v>
      </c>
      <c r="B245" s="15">
        <v>1173.2</v>
      </c>
      <c r="C245" s="15">
        <v>268.74</v>
      </c>
      <c r="D245" s="15">
        <v>0</v>
      </c>
      <c r="E245" s="15">
        <v>0</v>
      </c>
      <c r="F245" s="15">
        <v>0</v>
      </c>
      <c r="G245" s="15">
        <v>0</v>
      </c>
      <c r="H245" s="15">
        <v>0</v>
      </c>
      <c r="I245" s="15">
        <v>0</v>
      </c>
      <c r="J245" s="15">
        <v>0</v>
      </c>
      <c r="K245" s="15">
        <v>0</v>
      </c>
      <c r="L245" s="15">
        <v>0</v>
      </c>
      <c r="M245" s="15">
        <v>0</v>
      </c>
      <c r="N245" s="15">
        <v>0</v>
      </c>
      <c r="O245" t="s">
        <v>3028</v>
      </c>
    </row>
    <row r="246" spans="1:15" x14ac:dyDescent="0.25">
      <c r="A246" s="10" t="s">
        <v>703</v>
      </c>
      <c r="B246" s="15">
        <v>1497.63</v>
      </c>
      <c r="C246" s="15">
        <v>1787.82</v>
      </c>
      <c r="D246" s="15">
        <v>1773.65</v>
      </c>
      <c r="E246" s="15">
        <v>1341.28</v>
      </c>
      <c r="F246" s="15">
        <v>1357.22</v>
      </c>
      <c r="G246" s="15">
        <v>1322.88</v>
      </c>
      <c r="H246" s="15">
        <v>2719.2</v>
      </c>
      <c r="I246" s="15">
        <v>1536.06</v>
      </c>
      <c r="J246" s="15">
        <v>1058.5999999999999</v>
      </c>
      <c r="K246" s="15">
        <v>2616.44</v>
      </c>
      <c r="L246" s="15">
        <v>1955.64</v>
      </c>
      <c r="M246" s="15">
        <v>1511.04</v>
      </c>
      <c r="N246" s="15">
        <v>1823.92</v>
      </c>
      <c r="O246" t="s">
        <v>3028</v>
      </c>
    </row>
    <row r="247" spans="1:15" x14ac:dyDescent="0.25">
      <c r="A247" s="10" t="s">
        <v>709</v>
      </c>
      <c r="B247" s="15">
        <v>0</v>
      </c>
      <c r="C247" s="15">
        <v>0</v>
      </c>
      <c r="D247" s="15">
        <v>0</v>
      </c>
      <c r="E247" s="15">
        <v>0</v>
      </c>
      <c r="F247" s="15">
        <v>0</v>
      </c>
      <c r="G247" s="15">
        <v>0</v>
      </c>
      <c r="H247" s="15">
        <v>0</v>
      </c>
      <c r="I247" s="15">
        <v>0</v>
      </c>
      <c r="J247" s="15">
        <v>34.74</v>
      </c>
      <c r="K247" s="15">
        <v>68.19</v>
      </c>
      <c r="L247" s="15">
        <v>95.83</v>
      </c>
      <c r="M247" s="15">
        <v>89.55</v>
      </c>
      <c r="N247" s="15">
        <v>0</v>
      </c>
      <c r="O247" t="s">
        <v>3028</v>
      </c>
    </row>
    <row r="248" spans="1:15" x14ac:dyDescent="0.25">
      <c r="A248" s="10" t="s">
        <v>711</v>
      </c>
      <c r="B248" s="15">
        <v>0</v>
      </c>
      <c r="C248" s="15">
        <v>4.83</v>
      </c>
      <c r="D248" s="15">
        <v>25.75</v>
      </c>
      <c r="E248" s="15">
        <v>0</v>
      </c>
      <c r="F248" s="15">
        <v>0</v>
      </c>
      <c r="G248" s="15">
        <v>0</v>
      </c>
      <c r="H248" s="15">
        <v>0</v>
      </c>
      <c r="I248" s="15">
        <v>13.58</v>
      </c>
      <c r="J248" s="15">
        <v>0</v>
      </c>
      <c r="K248" s="15">
        <v>0</v>
      </c>
      <c r="L248" s="15">
        <v>0</v>
      </c>
      <c r="M248" s="15">
        <v>0</v>
      </c>
      <c r="N248" s="15">
        <v>0</v>
      </c>
      <c r="O248" t="s">
        <v>3028</v>
      </c>
    </row>
    <row r="249" spans="1:15" x14ac:dyDescent="0.25">
      <c r="A249" s="10" t="s">
        <v>713</v>
      </c>
      <c r="B249" s="15">
        <v>117.84</v>
      </c>
      <c r="C249" s="15">
        <v>162.9</v>
      </c>
      <c r="D249" s="15">
        <v>79.44</v>
      </c>
      <c r="E249" s="15">
        <v>26.15</v>
      </c>
      <c r="F249" s="15">
        <v>26.51</v>
      </c>
      <c r="G249" s="15">
        <v>264.14</v>
      </c>
      <c r="H249" s="15">
        <v>0</v>
      </c>
      <c r="I249" s="15">
        <v>50.41</v>
      </c>
      <c r="J249" s="15">
        <v>56.55</v>
      </c>
      <c r="K249" s="15">
        <v>51.7</v>
      </c>
      <c r="L249" s="15">
        <v>52.3</v>
      </c>
      <c r="M249" s="15">
        <v>55.29</v>
      </c>
      <c r="N249" s="15">
        <v>68.489999999999995</v>
      </c>
      <c r="O249" t="s">
        <v>3028</v>
      </c>
    </row>
    <row r="250" spans="1:15" x14ac:dyDescent="0.25">
      <c r="A250" s="10" t="s">
        <v>720</v>
      </c>
      <c r="B250" s="15">
        <v>0</v>
      </c>
      <c r="C250" s="15">
        <v>0</v>
      </c>
      <c r="D250" s="15">
        <v>0</v>
      </c>
      <c r="E250" s="15">
        <v>0</v>
      </c>
      <c r="F250" s="15">
        <v>0</v>
      </c>
      <c r="G250" s="15">
        <v>0</v>
      </c>
      <c r="H250" s="15">
        <v>0</v>
      </c>
      <c r="I250" s="15">
        <v>0</v>
      </c>
      <c r="J250" s="15">
        <v>2.2000000000000002</v>
      </c>
      <c r="K250" s="15">
        <v>0</v>
      </c>
      <c r="L250" s="15">
        <v>0</v>
      </c>
      <c r="M250" s="15">
        <v>0</v>
      </c>
      <c r="N250" s="15">
        <v>0</v>
      </c>
      <c r="O250" t="s">
        <v>3028</v>
      </c>
    </row>
    <row r="251" spans="1:15" x14ac:dyDescent="0.25">
      <c r="A251" s="10" t="s">
        <v>722</v>
      </c>
      <c r="B251" s="15">
        <v>0</v>
      </c>
      <c r="C251" s="15">
        <v>0</v>
      </c>
      <c r="D251" s="15">
        <v>0</v>
      </c>
      <c r="E251" s="15">
        <v>0</v>
      </c>
      <c r="F251" s="15">
        <v>0</v>
      </c>
      <c r="G251" s="15">
        <v>0</v>
      </c>
      <c r="H251" s="15">
        <v>0</v>
      </c>
      <c r="I251" s="15">
        <v>17.32</v>
      </c>
      <c r="J251" s="15">
        <v>0</v>
      </c>
      <c r="K251" s="15">
        <v>0</v>
      </c>
      <c r="L251" s="15">
        <v>0</v>
      </c>
      <c r="M251" s="15">
        <v>0</v>
      </c>
      <c r="N251" s="15">
        <v>0</v>
      </c>
      <c r="O251" t="s">
        <v>3028</v>
      </c>
    </row>
    <row r="252" spans="1:15" x14ac:dyDescent="0.25">
      <c r="A252" s="10" t="s">
        <v>724</v>
      </c>
      <c r="B252" s="15">
        <v>200.68</v>
      </c>
      <c r="C252" s="15">
        <v>226.3</v>
      </c>
      <c r="D252" s="15">
        <v>222.29</v>
      </c>
      <c r="E252" s="15">
        <v>281.89999999999998</v>
      </c>
      <c r="F252" s="15">
        <v>220.19</v>
      </c>
      <c r="G252" s="15">
        <v>353.4</v>
      </c>
      <c r="H252" s="15">
        <v>239.01</v>
      </c>
      <c r="I252" s="15">
        <v>522.54999999999995</v>
      </c>
      <c r="J252" s="15">
        <v>304.58</v>
      </c>
      <c r="K252" s="15">
        <v>840.35</v>
      </c>
      <c r="L252" s="15">
        <v>60.69</v>
      </c>
      <c r="M252" s="15">
        <v>401.85</v>
      </c>
      <c r="N252" s="15">
        <v>343.72</v>
      </c>
      <c r="O252" t="s">
        <v>3028</v>
      </c>
    </row>
    <row r="253" spans="1:15" x14ac:dyDescent="0.25">
      <c r="A253" s="10" t="s">
        <v>726</v>
      </c>
      <c r="B253" s="15">
        <v>0.02</v>
      </c>
      <c r="C253" s="15">
        <v>26.22</v>
      </c>
      <c r="D253" s="15">
        <v>31.5</v>
      </c>
      <c r="E253" s="15">
        <v>14.31</v>
      </c>
      <c r="F253" s="15">
        <v>0</v>
      </c>
      <c r="G253" s="15">
        <v>0</v>
      </c>
      <c r="H253" s="15">
        <v>15.54</v>
      </c>
      <c r="I253" s="15">
        <v>67.06</v>
      </c>
      <c r="J253" s="15">
        <v>68.3</v>
      </c>
      <c r="K253" s="15">
        <v>133.36000000000001</v>
      </c>
      <c r="L253" s="15">
        <v>68.09</v>
      </c>
      <c r="M253" s="15">
        <v>131.76</v>
      </c>
      <c r="N253" s="15">
        <v>73.69</v>
      </c>
      <c r="O253" t="s">
        <v>3028</v>
      </c>
    </row>
    <row r="254" spans="1:15" x14ac:dyDescent="0.25">
      <c r="A254" s="10" t="s">
        <v>728</v>
      </c>
      <c r="B254" s="15">
        <v>67.63</v>
      </c>
      <c r="C254" s="15">
        <v>73.22</v>
      </c>
      <c r="D254" s="15">
        <v>31.48</v>
      </c>
      <c r="E254" s="15">
        <v>144.59</v>
      </c>
      <c r="F254" s="15">
        <v>0</v>
      </c>
      <c r="G254" s="15">
        <v>33.21</v>
      </c>
      <c r="H254" s="15">
        <v>37.56</v>
      </c>
      <c r="I254" s="15">
        <v>122.1</v>
      </c>
      <c r="J254" s="15">
        <v>49.43</v>
      </c>
      <c r="K254" s="15">
        <v>58.29</v>
      </c>
      <c r="L254" s="15">
        <v>65.209999999999994</v>
      </c>
      <c r="M254" s="15">
        <v>51.88</v>
      </c>
      <c r="N254" s="15">
        <v>58.62</v>
      </c>
      <c r="O254" t="s">
        <v>3028</v>
      </c>
    </row>
    <row r="255" spans="1:15" x14ac:dyDescent="0.25">
      <c r="A255" s="10" t="s">
        <v>730</v>
      </c>
      <c r="B255" s="15">
        <v>1401.02</v>
      </c>
      <c r="C255" s="15">
        <v>1401.02</v>
      </c>
      <c r="D255" s="15">
        <v>1401.02</v>
      </c>
      <c r="E255" s="15">
        <v>1401.02</v>
      </c>
      <c r="F255" s="15">
        <v>1401.02</v>
      </c>
      <c r="G255" s="15">
        <v>1401.02</v>
      </c>
      <c r="H255" s="15">
        <v>1401.02</v>
      </c>
      <c r="I255" s="15">
        <v>3512.76</v>
      </c>
      <c r="J255" s="15">
        <v>93.82</v>
      </c>
      <c r="K255" s="15">
        <v>1649.62</v>
      </c>
      <c r="L255" s="15">
        <v>1649.62</v>
      </c>
      <c r="M255" s="15">
        <v>1649.62</v>
      </c>
      <c r="N255" s="15">
        <v>1649.62</v>
      </c>
      <c r="O255" t="s">
        <v>3028</v>
      </c>
    </row>
    <row r="256" spans="1:15" x14ac:dyDescent="0.25">
      <c r="A256" s="10" t="s">
        <v>732</v>
      </c>
      <c r="B256" s="15">
        <v>195.17</v>
      </c>
      <c r="C256" s="15">
        <v>109.25</v>
      </c>
      <c r="D256" s="15">
        <v>131.4</v>
      </c>
      <c r="E256" s="15">
        <v>124.78</v>
      </c>
      <c r="F256" s="15">
        <v>151.12</v>
      </c>
      <c r="G256" s="15">
        <v>145.30000000000001</v>
      </c>
      <c r="H256" s="15">
        <v>531.38</v>
      </c>
      <c r="I256" s="15">
        <v>25.08</v>
      </c>
      <c r="J256" s="15">
        <v>238.55</v>
      </c>
      <c r="K256" s="15">
        <v>165.15</v>
      </c>
      <c r="L256" s="15">
        <v>162.22</v>
      </c>
      <c r="M256" s="15">
        <v>163.91</v>
      </c>
      <c r="N256" s="15">
        <v>185.29</v>
      </c>
      <c r="O256" t="s">
        <v>3028</v>
      </c>
    </row>
    <row r="257" spans="1:15" x14ac:dyDescent="0.25">
      <c r="A257" s="10" t="s">
        <v>734</v>
      </c>
      <c r="B257" s="15">
        <v>315.02</v>
      </c>
      <c r="C257" s="15">
        <v>50.23</v>
      </c>
      <c r="D257" s="15">
        <v>52.53</v>
      </c>
      <c r="E257" s="15">
        <v>50.23</v>
      </c>
      <c r="F257" s="15">
        <v>51.41</v>
      </c>
      <c r="G257" s="15">
        <v>243.43</v>
      </c>
      <c r="H257" s="15">
        <v>0</v>
      </c>
      <c r="I257" s="15">
        <v>81.93</v>
      </c>
      <c r="J257" s="15">
        <v>74.97</v>
      </c>
      <c r="K257" s="15">
        <v>101.08</v>
      </c>
      <c r="L257" s="15">
        <v>74.760000000000005</v>
      </c>
      <c r="M257" s="15">
        <v>74.760000000000005</v>
      </c>
      <c r="N257" s="15">
        <v>100.87</v>
      </c>
      <c r="O257" t="s">
        <v>3028</v>
      </c>
    </row>
    <row r="258" spans="1:15" x14ac:dyDescent="0.25">
      <c r="A258" s="10" t="s">
        <v>736</v>
      </c>
      <c r="B258" s="15">
        <v>392.48</v>
      </c>
      <c r="C258" s="15">
        <v>196.02</v>
      </c>
      <c r="D258" s="15">
        <v>479.96</v>
      </c>
      <c r="E258" s="15">
        <v>356.11</v>
      </c>
      <c r="F258" s="15">
        <v>403.82</v>
      </c>
      <c r="G258" s="15">
        <v>406.5</v>
      </c>
      <c r="H258" s="15">
        <v>397.61</v>
      </c>
      <c r="I258" s="15">
        <v>823.58</v>
      </c>
      <c r="J258" s="15">
        <v>532.66999999999996</v>
      </c>
      <c r="K258" s="15">
        <v>602.88</v>
      </c>
      <c r="L258" s="15">
        <v>537.59</v>
      </c>
      <c r="M258" s="15">
        <v>532.66999999999996</v>
      </c>
      <c r="N258" s="15">
        <v>559.51</v>
      </c>
      <c r="O258" t="s">
        <v>3028</v>
      </c>
    </row>
    <row r="259" spans="1:15" x14ac:dyDescent="0.25">
      <c r="A259" s="10" t="s">
        <v>740</v>
      </c>
      <c r="B259" s="15">
        <v>16.63</v>
      </c>
      <c r="C259" s="15">
        <v>9.56</v>
      </c>
      <c r="D259" s="15">
        <v>2.5099999999999998</v>
      </c>
      <c r="E259" s="15">
        <v>7</v>
      </c>
      <c r="F259" s="15">
        <v>0</v>
      </c>
      <c r="G259" s="15">
        <v>10.92</v>
      </c>
      <c r="H259" s="15">
        <v>7.78</v>
      </c>
      <c r="I259" s="15">
        <v>67.36</v>
      </c>
      <c r="J259" s="15">
        <v>33.01</v>
      </c>
      <c r="K259" s="15">
        <v>27</v>
      </c>
      <c r="L259" s="15">
        <v>26.19</v>
      </c>
      <c r="M259" s="15">
        <v>27.13</v>
      </c>
      <c r="N259" s="15">
        <v>24.33</v>
      </c>
      <c r="O259" t="s">
        <v>3028</v>
      </c>
    </row>
    <row r="260" spans="1:15" x14ac:dyDescent="0.25">
      <c r="A260" s="10" t="s">
        <v>742</v>
      </c>
      <c r="B260" s="15">
        <v>1113.1199999999999</v>
      </c>
      <c r="C260" s="15">
        <v>1113.1199999999999</v>
      </c>
      <c r="D260" s="15">
        <v>1113.1199999999999</v>
      </c>
      <c r="E260" s="15">
        <v>2562.85</v>
      </c>
      <c r="F260" s="15">
        <v>0</v>
      </c>
      <c r="G260" s="15">
        <v>1113.1199999999999</v>
      </c>
      <c r="H260" s="15">
        <v>1113.1199999999999</v>
      </c>
      <c r="I260" s="15">
        <v>1533.32</v>
      </c>
      <c r="J260" s="15">
        <v>1533.32</v>
      </c>
      <c r="K260" s="15">
        <v>1323.22</v>
      </c>
      <c r="L260" s="15">
        <v>1323.22</v>
      </c>
      <c r="M260" s="15">
        <v>1323.22</v>
      </c>
      <c r="N260" s="15">
        <v>1323.22</v>
      </c>
      <c r="O260" t="s">
        <v>3028</v>
      </c>
    </row>
    <row r="261" spans="1:15" x14ac:dyDescent="0.25">
      <c r="A261" s="10" t="s">
        <v>744</v>
      </c>
      <c r="B261" s="15">
        <v>13.4</v>
      </c>
      <c r="C261" s="15">
        <v>13.4</v>
      </c>
      <c r="D261" s="15">
        <v>13.4</v>
      </c>
      <c r="E261" s="15">
        <v>13.4</v>
      </c>
      <c r="F261" s="15">
        <v>13.4</v>
      </c>
      <c r="G261" s="15">
        <v>103.02</v>
      </c>
      <c r="H261" s="15">
        <v>0</v>
      </c>
      <c r="I261" s="15">
        <v>46.64</v>
      </c>
      <c r="J261" s="15">
        <v>31.54</v>
      </c>
      <c r="K261" s="15">
        <v>35.159999999999997</v>
      </c>
      <c r="L261" s="15">
        <v>31.54</v>
      </c>
      <c r="M261" s="15">
        <v>31.54</v>
      </c>
      <c r="N261" s="15">
        <v>31.84</v>
      </c>
      <c r="O261" t="s">
        <v>3028</v>
      </c>
    </row>
    <row r="262" spans="1:15" x14ac:dyDescent="0.25">
      <c r="A262" s="10" t="s">
        <v>746</v>
      </c>
      <c r="B262" s="15">
        <v>167.22</v>
      </c>
      <c r="C262" s="15">
        <v>0</v>
      </c>
      <c r="D262" s="15">
        <v>7.32</v>
      </c>
      <c r="E262" s="15">
        <v>6.29</v>
      </c>
      <c r="F262" s="15">
        <v>5.42</v>
      </c>
      <c r="G262" s="15">
        <v>103.56</v>
      </c>
      <c r="H262" s="15">
        <v>0</v>
      </c>
      <c r="I262" s="15">
        <v>22.44</v>
      </c>
      <c r="J262" s="15">
        <v>22.14</v>
      </c>
      <c r="K262" s="15">
        <v>0</v>
      </c>
      <c r="L262" s="15">
        <v>0</v>
      </c>
      <c r="M262" s="15">
        <v>5.23</v>
      </c>
      <c r="N262" s="15">
        <v>26.38</v>
      </c>
      <c r="O262" t="s">
        <v>3028</v>
      </c>
    </row>
    <row r="263" spans="1:15" x14ac:dyDescent="0.25">
      <c r="A263" s="10" t="s">
        <v>748</v>
      </c>
      <c r="B263" s="15">
        <v>0</v>
      </c>
      <c r="C263" s="15">
        <v>0</v>
      </c>
      <c r="D263" s="15">
        <v>0</v>
      </c>
      <c r="E263" s="15">
        <v>0</v>
      </c>
      <c r="F263" s="15">
        <v>0</v>
      </c>
      <c r="G263" s="15">
        <v>0</v>
      </c>
      <c r="H263" s="15">
        <v>0</v>
      </c>
      <c r="I263" s="15">
        <v>17.84</v>
      </c>
      <c r="J263" s="15">
        <v>0</v>
      </c>
      <c r="K263" s="15">
        <v>0</v>
      </c>
      <c r="L263" s="15">
        <v>0</v>
      </c>
      <c r="M263" s="15">
        <v>0</v>
      </c>
      <c r="N263" s="15">
        <v>0</v>
      </c>
      <c r="O263" t="s">
        <v>3028</v>
      </c>
    </row>
    <row r="264" spans="1:15" x14ac:dyDescent="0.25">
      <c r="A264" s="10" t="s">
        <v>750</v>
      </c>
      <c r="B264" s="15">
        <v>95.57</v>
      </c>
      <c r="C264" s="15">
        <v>201.54</v>
      </c>
      <c r="D264" s="15">
        <v>197.4</v>
      </c>
      <c r="E264" s="15">
        <v>166.81</v>
      </c>
      <c r="F264" s="15">
        <v>0</v>
      </c>
      <c r="G264" s="15">
        <v>0</v>
      </c>
      <c r="H264" s="15">
        <v>0</v>
      </c>
      <c r="I264" s="15">
        <v>0</v>
      </c>
      <c r="J264" s="15">
        <v>0</v>
      </c>
      <c r="K264" s="15">
        <v>0</v>
      </c>
      <c r="L264" s="15">
        <v>0</v>
      </c>
      <c r="M264" s="15">
        <v>0</v>
      </c>
      <c r="N264" s="15">
        <v>0</v>
      </c>
      <c r="O264" t="s">
        <v>3028</v>
      </c>
    </row>
    <row r="265" spans="1:15" x14ac:dyDescent="0.25">
      <c r="A265" s="10" t="s">
        <v>752</v>
      </c>
      <c r="B265" s="15">
        <v>29.9</v>
      </c>
      <c r="C265" s="15">
        <v>27.62</v>
      </c>
      <c r="D265" s="15">
        <v>28.18</v>
      </c>
      <c r="E265" s="15">
        <v>27.62</v>
      </c>
      <c r="F265" s="15">
        <v>27.62</v>
      </c>
      <c r="G265" s="15">
        <v>27.62</v>
      </c>
      <c r="H265" s="15">
        <v>38.67</v>
      </c>
      <c r="I265" s="15">
        <v>0</v>
      </c>
      <c r="J265" s="15">
        <v>45.76</v>
      </c>
      <c r="K265" s="15">
        <v>45.76</v>
      </c>
      <c r="L265" s="15">
        <v>45.76</v>
      </c>
      <c r="M265" s="15">
        <v>45.76</v>
      </c>
      <c r="N265" s="15">
        <v>47.95</v>
      </c>
      <c r="O265" t="s">
        <v>3028</v>
      </c>
    </row>
    <row r="266" spans="1:15" x14ac:dyDescent="0.25">
      <c r="A266" s="10" t="s">
        <v>756</v>
      </c>
      <c r="B266" s="15">
        <v>824.06</v>
      </c>
      <c r="C266" s="15">
        <v>547.58000000000004</v>
      </c>
      <c r="D266" s="15">
        <v>547.58000000000004</v>
      </c>
      <c r="E266" s="15">
        <v>547.58000000000004</v>
      </c>
      <c r="F266" s="15">
        <v>547.58000000000004</v>
      </c>
      <c r="G266" s="15">
        <v>1677.71</v>
      </c>
      <c r="H266" s="15">
        <v>0</v>
      </c>
      <c r="I266" s="15">
        <v>758.54</v>
      </c>
      <c r="J266" s="15">
        <v>715.47</v>
      </c>
      <c r="K266" s="15">
        <v>707.26</v>
      </c>
      <c r="L266" s="15">
        <v>707.26</v>
      </c>
      <c r="M266" s="15">
        <v>707.26</v>
      </c>
      <c r="N266" s="15">
        <v>732.74</v>
      </c>
      <c r="O266" t="s">
        <v>3028</v>
      </c>
    </row>
    <row r="267" spans="1:15" x14ac:dyDescent="0.25">
      <c r="A267" s="10" t="s">
        <v>758</v>
      </c>
      <c r="B267" s="15">
        <v>1064.52</v>
      </c>
      <c r="C267" s="15">
        <v>1064.52</v>
      </c>
      <c r="D267" s="15">
        <v>1064.52</v>
      </c>
      <c r="E267" s="15">
        <v>1064.52</v>
      </c>
      <c r="F267" s="15">
        <v>1064.52</v>
      </c>
      <c r="G267" s="15">
        <v>1064.52</v>
      </c>
      <c r="H267" s="15">
        <v>1064.52</v>
      </c>
      <c r="I267" s="15">
        <v>1092.02</v>
      </c>
      <c r="J267" s="15">
        <v>1064.52</v>
      </c>
      <c r="K267" s="15">
        <v>1466.81</v>
      </c>
      <c r="L267" s="15">
        <v>1265.67</v>
      </c>
      <c r="M267" s="15">
        <v>1076.56</v>
      </c>
      <c r="N267" s="15">
        <v>1265.67</v>
      </c>
      <c r="O267" t="s">
        <v>3028</v>
      </c>
    </row>
    <row r="268" spans="1:15" x14ac:dyDescent="0.25">
      <c r="A268" s="10" t="s">
        <v>760</v>
      </c>
      <c r="B268" s="15">
        <v>0</v>
      </c>
      <c r="C268" s="15">
        <v>0</v>
      </c>
      <c r="D268" s="15">
        <v>0</v>
      </c>
      <c r="E268" s="15">
        <v>9.7100000000000009</v>
      </c>
      <c r="F268" s="15">
        <v>0</v>
      </c>
      <c r="G268" s="15">
        <v>0</v>
      </c>
      <c r="H268" s="15">
        <v>0</v>
      </c>
      <c r="I268" s="15">
        <v>39.880000000000003</v>
      </c>
      <c r="J268" s="15">
        <v>25.04</v>
      </c>
      <c r="K268" s="15">
        <v>10.61</v>
      </c>
      <c r="L268" s="15">
        <v>53.11</v>
      </c>
      <c r="M268" s="15">
        <v>0</v>
      </c>
      <c r="N268" s="15">
        <v>5.97</v>
      </c>
      <c r="O268" t="s">
        <v>3028</v>
      </c>
    </row>
    <row r="269" spans="1:15" x14ac:dyDescent="0.25">
      <c r="A269" s="10" t="s">
        <v>762</v>
      </c>
      <c r="B269" s="15">
        <v>0</v>
      </c>
      <c r="C269" s="15">
        <v>0.78</v>
      </c>
      <c r="D269" s="15">
        <v>0</v>
      </c>
      <c r="E269" s="15">
        <v>0</v>
      </c>
      <c r="F269" s="15">
        <v>0</v>
      </c>
      <c r="G269" s="15">
        <v>31.37</v>
      </c>
      <c r="H269" s="15">
        <v>0</v>
      </c>
      <c r="I269" s="15">
        <v>0</v>
      </c>
      <c r="J269" s="15">
        <v>0</v>
      </c>
      <c r="K269" s="15">
        <v>9.01</v>
      </c>
      <c r="L269" s="15">
        <v>0</v>
      </c>
      <c r="M269" s="15">
        <v>0</v>
      </c>
      <c r="N269" s="15">
        <v>0</v>
      </c>
      <c r="O269" t="s">
        <v>3028</v>
      </c>
    </row>
    <row r="270" spans="1:15" x14ac:dyDescent="0.25">
      <c r="A270" s="10" t="s">
        <v>770</v>
      </c>
      <c r="B270" s="15">
        <v>809.71</v>
      </c>
      <c r="C270" s="15">
        <v>353.1</v>
      </c>
      <c r="D270" s="15">
        <v>470.99</v>
      </c>
      <c r="E270" s="15">
        <v>353.1</v>
      </c>
      <c r="F270" s="15">
        <v>353.1</v>
      </c>
      <c r="G270" s="15">
        <v>591.03</v>
      </c>
      <c r="H270" s="15">
        <v>0</v>
      </c>
      <c r="I270" s="15">
        <v>353.1</v>
      </c>
      <c r="J270" s="15">
        <v>353.1</v>
      </c>
      <c r="K270" s="15">
        <v>635.02</v>
      </c>
      <c r="L270" s="15">
        <v>486.17</v>
      </c>
      <c r="M270" s="15">
        <v>486.17</v>
      </c>
      <c r="N270" s="15">
        <v>507.1</v>
      </c>
      <c r="O270" t="s">
        <v>3028</v>
      </c>
    </row>
    <row r="271" spans="1:15" x14ac:dyDescent="0.25">
      <c r="A271" s="10" t="s">
        <v>772</v>
      </c>
      <c r="B271" s="15">
        <v>58.18</v>
      </c>
      <c r="C271" s="15">
        <v>109.81</v>
      </c>
      <c r="D271" s="15">
        <v>85.01</v>
      </c>
      <c r="E271" s="15">
        <v>87.97</v>
      </c>
      <c r="F271" s="15">
        <v>57.26</v>
      </c>
      <c r="G271" s="15">
        <v>207.03</v>
      </c>
      <c r="H271" s="15">
        <v>0</v>
      </c>
      <c r="I271" s="15">
        <v>106.06</v>
      </c>
      <c r="J271" s="15">
        <v>92.53</v>
      </c>
      <c r="K271" s="15">
        <v>97.93</v>
      </c>
      <c r="L271" s="15">
        <v>118.16</v>
      </c>
      <c r="M271" s="15">
        <v>67.28</v>
      </c>
      <c r="N271" s="15">
        <v>97.63</v>
      </c>
      <c r="O271" t="s">
        <v>3028</v>
      </c>
    </row>
    <row r="272" spans="1:15" x14ac:dyDescent="0.25">
      <c r="A272" s="10" t="s">
        <v>774</v>
      </c>
      <c r="B272" s="15">
        <v>0</v>
      </c>
      <c r="C272" s="15">
        <v>3.39</v>
      </c>
      <c r="D272" s="15">
        <v>0</v>
      </c>
      <c r="E272" s="15">
        <v>0</v>
      </c>
      <c r="F272" s="15">
        <v>0</v>
      </c>
      <c r="G272" s="15">
        <v>19.87</v>
      </c>
      <c r="H272" s="15">
        <v>0</v>
      </c>
      <c r="I272" s="15">
        <v>0</v>
      </c>
      <c r="J272" s="15">
        <v>0</v>
      </c>
      <c r="K272" s="15">
        <v>0</v>
      </c>
      <c r="L272" s="15">
        <v>1.03</v>
      </c>
      <c r="M272" s="15">
        <v>0</v>
      </c>
      <c r="N272" s="15">
        <v>0</v>
      </c>
      <c r="O272" t="s">
        <v>3028</v>
      </c>
    </row>
    <row r="273" spans="1:15" x14ac:dyDescent="0.25">
      <c r="A273" s="10" t="s">
        <v>776</v>
      </c>
      <c r="B273" s="15">
        <v>29</v>
      </c>
      <c r="C273" s="15">
        <v>39.869999999999997</v>
      </c>
      <c r="D273" s="15">
        <v>106.58</v>
      </c>
      <c r="E273" s="15">
        <v>0</v>
      </c>
      <c r="F273" s="15">
        <v>0</v>
      </c>
      <c r="G273" s="15">
        <v>1.06</v>
      </c>
      <c r="H273" s="15">
        <v>0</v>
      </c>
      <c r="I273" s="15">
        <v>24.59</v>
      </c>
      <c r="J273" s="15">
        <v>0</v>
      </c>
      <c r="K273" s="15">
        <v>0</v>
      </c>
      <c r="L273" s="15">
        <v>15.27</v>
      </c>
      <c r="M273" s="15">
        <v>13.17</v>
      </c>
      <c r="N273" s="15">
        <v>18.02</v>
      </c>
      <c r="O273" t="s">
        <v>3028</v>
      </c>
    </row>
    <row r="274" spans="1:15" x14ac:dyDescent="0.25">
      <c r="A274" s="10" t="s">
        <v>778</v>
      </c>
      <c r="B274" s="15">
        <v>1505.29</v>
      </c>
      <c r="C274" s="15">
        <v>1505.29</v>
      </c>
      <c r="D274" s="15">
        <v>2432.2399999999998</v>
      </c>
      <c r="E274" s="15">
        <v>297.35000000000002</v>
      </c>
      <c r="F274" s="15">
        <v>1505.29</v>
      </c>
      <c r="G274" s="15">
        <v>1505.29</v>
      </c>
      <c r="H274" s="15">
        <v>1505.29</v>
      </c>
      <c r="I274" s="15">
        <v>2251.12</v>
      </c>
      <c r="J274" s="15">
        <v>1753.9</v>
      </c>
      <c r="K274" s="15">
        <v>1753.9</v>
      </c>
      <c r="L274" s="15">
        <v>1753.9</v>
      </c>
      <c r="M274" s="15">
        <v>1753.9</v>
      </c>
      <c r="N274" s="15">
        <v>1753.9</v>
      </c>
      <c r="O274" t="s">
        <v>3028</v>
      </c>
    </row>
    <row r="275" spans="1:15" x14ac:dyDescent="0.25">
      <c r="A275" s="10" t="s">
        <v>782</v>
      </c>
      <c r="B275" s="15">
        <v>0</v>
      </c>
      <c r="C275" s="15">
        <v>0</v>
      </c>
      <c r="D275" s="15">
        <v>0</v>
      </c>
      <c r="E275" s="15">
        <v>0</v>
      </c>
      <c r="F275" s="15">
        <v>0</v>
      </c>
      <c r="G275" s="15">
        <v>0</v>
      </c>
      <c r="H275" s="15">
        <v>0</v>
      </c>
      <c r="I275" s="15">
        <v>0</v>
      </c>
      <c r="J275" s="15">
        <v>0</v>
      </c>
      <c r="K275" s="15">
        <v>10.07</v>
      </c>
      <c r="L275" s="15">
        <v>0</v>
      </c>
      <c r="M275" s="15">
        <v>0</v>
      </c>
      <c r="N275" s="15">
        <v>0</v>
      </c>
      <c r="O275" t="s">
        <v>3028</v>
      </c>
    </row>
    <row r="276" spans="1:15" x14ac:dyDescent="0.25">
      <c r="A276" s="10" t="s">
        <v>788</v>
      </c>
      <c r="B276" s="15">
        <v>0</v>
      </c>
      <c r="C276" s="15">
        <v>48.17</v>
      </c>
      <c r="D276" s="15">
        <v>38.369999999999997</v>
      </c>
      <c r="E276" s="15">
        <v>0</v>
      </c>
      <c r="F276" s="15">
        <v>6.37</v>
      </c>
      <c r="G276" s="15">
        <v>0</v>
      </c>
      <c r="H276" s="15">
        <v>0</v>
      </c>
      <c r="I276" s="15">
        <v>6.17</v>
      </c>
      <c r="J276" s="15">
        <v>5.34</v>
      </c>
      <c r="K276" s="15">
        <v>50.21</v>
      </c>
      <c r="L276" s="15">
        <v>0</v>
      </c>
      <c r="M276" s="15">
        <v>0</v>
      </c>
      <c r="N276" s="15">
        <v>27.24</v>
      </c>
      <c r="O276" t="s">
        <v>3028</v>
      </c>
    </row>
    <row r="277" spans="1:15" x14ac:dyDescent="0.25">
      <c r="A277" s="10" t="s">
        <v>790</v>
      </c>
      <c r="B277" s="15">
        <v>0</v>
      </c>
      <c r="C277" s="15">
        <v>0</v>
      </c>
      <c r="D277" s="15">
        <v>0</v>
      </c>
      <c r="E277" s="15">
        <v>0</v>
      </c>
      <c r="F277" s="15">
        <v>0</v>
      </c>
      <c r="G277" s="15">
        <v>0</v>
      </c>
      <c r="H277" s="15">
        <v>0</v>
      </c>
      <c r="I277" s="15">
        <v>12.23</v>
      </c>
      <c r="J277" s="15">
        <v>0</v>
      </c>
      <c r="K277" s="15">
        <v>0</v>
      </c>
      <c r="L277" s="15">
        <v>0</v>
      </c>
      <c r="M277" s="15">
        <v>0</v>
      </c>
      <c r="N277" s="15">
        <v>0</v>
      </c>
      <c r="O277" t="s">
        <v>3028</v>
      </c>
    </row>
    <row r="278" spans="1:15" x14ac:dyDescent="0.25">
      <c r="A278" s="10" t="s">
        <v>792</v>
      </c>
      <c r="B278" s="15">
        <v>0</v>
      </c>
      <c r="C278" s="15">
        <v>0</v>
      </c>
      <c r="D278" s="15">
        <v>0</v>
      </c>
      <c r="E278" s="15">
        <v>0</v>
      </c>
      <c r="F278" s="15">
        <v>0</v>
      </c>
      <c r="G278" s="15">
        <v>0</v>
      </c>
      <c r="H278" s="15">
        <v>0</v>
      </c>
      <c r="I278" s="15">
        <v>23.12</v>
      </c>
      <c r="J278" s="15">
        <v>1.94</v>
      </c>
      <c r="K278" s="15">
        <v>0</v>
      </c>
      <c r="L278" s="15">
        <v>0</v>
      </c>
      <c r="M278" s="15">
        <v>0</v>
      </c>
      <c r="N278" s="15">
        <v>0</v>
      </c>
      <c r="O278" t="s">
        <v>3028</v>
      </c>
    </row>
    <row r="279" spans="1:15" x14ac:dyDescent="0.25">
      <c r="A279" s="10" t="s">
        <v>794</v>
      </c>
      <c r="B279" s="15">
        <v>705.91</v>
      </c>
      <c r="C279" s="15">
        <v>719.92</v>
      </c>
      <c r="D279" s="15">
        <v>1197.44</v>
      </c>
      <c r="E279" s="15">
        <v>933.18</v>
      </c>
      <c r="F279" s="15">
        <v>866.47</v>
      </c>
      <c r="G279" s="15">
        <v>633.77</v>
      </c>
      <c r="H279" s="15">
        <v>674.72</v>
      </c>
      <c r="I279" s="15">
        <v>2196.2399999999998</v>
      </c>
      <c r="J279" s="15">
        <v>88.62</v>
      </c>
      <c r="K279" s="15">
        <v>909.69</v>
      </c>
      <c r="L279" s="15">
        <v>1040.67</v>
      </c>
      <c r="M279" s="15">
        <v>1063.82</v>
      </c>
      <c r="N279" s="15">
        <v>942.95</v>
      </c>
      <c r="O279" t="s">
        <v>3028</v>
      </c>
    </row>
    <row r="280" spans="1:15" x14ac:dyDescent="0.25">
      <c r="A280" s="10" t="s">
        <v>796</v>
      </c>
      <c r="B280" s="15">
        <v>22.5</v>
      </c>
      <c r="C280" s="15">
        <v>78.709999999999994</v>
      </c>
      <c r="D280" s="15">
        <v>63.52</v>
      </c>
      <c r="E280" s="15">
        <v>38.46</v>
      </c>
      <c r="F280" s="15">
        <v>52.99</v>
      </c>
      <c r="G280" s="15">
        <v>58.7</v>
      </c>
      <c r="H280" s="15">
        <v>24.44</v>
      </c>
      <c r="I280" s="15">
        <v>0</v>
      </c>
      <c r="J280" s="15">
        <v>0</v>
      </c>
      <c r="K280" s="15">
        <v>0</v>
      </c>
      <c r="L280" s="15">
        <v>0</v>
      </c>
      <c r="M280" s="15">
        <v>0</v>
      </c>
      <c r="N280" s="15">
        <v>8.9499999999999993</v>
      </c>
      <c r="O280" t="s">
        <v>3028</v>
      </c>
    </row>
    <row r="281" spans="1:15" x14ac:dyDescent="0.25">
      <c r="A281" s="10" t="s">
        <v>798</v>
      </c>
      <c r="B281" s="15">
        <v>45.17</v>
      </c>
      <c r="C281" s="15">
        <v>53.47</v>
      </c>
      <c r="D281" s="15">
        <v>0.11</v>
      </c>
      <c r="E281" s="15">
        <v>0</v>
      </c>
      <c r="F281" s="15">
        <v>3.48</v>
      </c>
      <c r="G281" s="15">
        <v>0</v>
      </c>
      <c r="H281" s="15">
        <v>0</v>
      </c>
      <c r="I281" s="15">
        <v>193.56</v>
      </c>
      <c r="J281" s="15">
        <v>205.41</v>
      </c>
      <c r="K281" s="15">
        <v>0</v>
      </c>
      <c r="L281" s="15">
        <v>0</v>
      </c>
      <c r="M281" s="15">
        <v>104.76</v>
      </c>
      <c r="N281" s="15">
        <v>39.42</v>
      </c>
      <c r="O281" t="s">
        <v>3028</v>
      </c>
    </row>
    <row r="282" spans="1:15" x14ac:dyDescent="0.25">
      <c r="A282" s="10" t="s">
        <v>800</v>
      </c>
      <c r="B282" s="15">
        <v>0</v>
      </c>
      <c r="C282" s="15">
        <v>0</v>
      </c>
      <c r="D282" s="15">
        <v>0</v>
      </c>
      <c r="E282" s="15">
        <v>304.98</v>
      </c>
      <c r="F282" s="15">
        <v>1218.6600000000001</v>
      </c>
      <c r="G282" s="15">
        <v>952.46</v>
      </c>
      <c r="H282" s="15">
        <v>952.46</v>
      </c>
      <c r="I282" s="15">
        <v>1644.56</v>
      </c>
      <c r="J282" s="15">
        <v>1183.1600000000001</v>
      </c>
      <c r="K282" s="15">
        <v>1447.13</v>
      </c>
      <c r="L282" s="15">
        <v>1183.1600000000001</v>
      </c>
      <c r="M282" s="15">
        <v>1183.1600000000001</v>
      </c>
      <c r="N282" s="15">
        <v>804.36</v>
      </c>
      <c r="O282" t="s">
        <v>3028</v>
      </c>
    </row>
    <row r="283" spans="1:15" x14ac:dyDescent="0.25">
      <c r="A283" s="10" t="s">
        <v>805</v>
      </c>
      <c r="B283" s="15">
        <v>951.2</v>
      </c>
      <c r="C283" s="15">
        <v>163.87</v>
      </c>
      <c r="D283" s="15">
        <v>313.22000000000003</v>
      </c>
      <c r="E283" s="15">
        <v>163.66999999999999</v>
      </c>
      <c r="F283" s="15">
        <v>272.93</v>
      </c>
      <c r="G283" s="15">
        <v>857.13</v>
      </c>
      <c r="H283" s="15">
        <v>0</v>
      </c>
      <c r="I283" s="15">
        <v>291.27</v>
      </c>
      <c r="J283" s="15">
        <v>272.35000000000002</v>
      </c>
      <c r="K283" s="15">
        <v>297.35000000000002</v>
      </c>
      <c r="L283" s="15">
        <v>400.21</v>
      </c>
      <c r="M283" s="15">
        <v>274.37</v>
      </c>
      <c r="N283" s="15">
        <v>339.55</v>
      </c>
      <c r="O283" t="s">
        <v>3028</v>
      </c>
    </row>
    <row r="284" spans="1:15" x14ac:dyDescent="0.25">
      <c r="A284" s="10" t="s">
        <v>807</v>
      </c>
      <c r="B284" s="15">
        <v>527.15</v>
      </c>
      <c r="C284" s="15">
        <v>262.56</v>
      </c>
      <c r="D284" s="15">
        <v>0</v>
      </c>
      <c r="E284" s="15">
        <v>0</v>
      </c>
      <c r="F284" s="15">
        <v>0</v>
      </c>
      <c r="G284" s="15">
        <v>0</v>
      </c>
      <c r="H284" s="15">
        <v>0</v>
      </c>
      <c r="I284" s="15">
        <v>0</v>
      </c>
      <c r="J284" s="15">
        <v>0</v>
      </c>
      <c r="K284" s="15">
        <v>0</v>
      </c>
      <c r="L284" s="15">
        <v>0</v>
      </c>
      <c r="M284" s="15">
        <v>0</v>
      </c>
      <c r="N284" s="15">
        <v>0</v>
      </c>
      <c r="O284" t="s">
        <v>3028</v>
      </c>
    </row>
    <row r="285" spans="1:15" x14ac:dyDescent="0.25">
      <c r="A285" s="10" t="s">
        <v>809</v>
      </c>
      <c r="B285" s="15">
        <v>58.66</v>
      </c>
      <c r="C285" s="15">
        <v>58.66</v>
      </c>
      <c r="D285" s="15">
        <v>58.66</v>
      </c>
      <c r="E285" s="15">
        <v>58.66</v>
      </c>
      <c r="F285" s="15">
        <v>58.66</v>
      </c>
      <c r="G285" s="15">
        <v>58.66</v>
      </c>
      <c r="H285" s="15">
        <v>94.93</v>
      </c>
      <c r="I285" s="15">
        <v>0</v>
      </c>
      <c r="J285" s="15">
        <v>87.69</v>
      </c>
      <c r="K285" s="15">
        <v>87.69</v>
      </c>
      <c r="L285" s="15">
        <v>87.69</v>
      </c>
      <c r="M285" s="15">
        <v>87.69</v>
      </c>
      <c r="N285" s="15">
        <v>87.69</v>
      </c>
      <c r="O285" t="s">
        <v>3028</v>
      </c>
    </row>
    <row r="286" spans="1:15" x14ac:dyDescent="0.25">
      <c r="A286" s="10" t="s">
        <v>811</v>
      </c>
      <c r="B286" s="15">
        <v>79.27</v>
      </c>
      <c r="C286" s="15">
        <v>43.23</v>
      </c>
      <c r="D286" s="15">
        <v>63.17</v>
      </c>
      <c r="E286" s="15">
        <v>167.35</v>
      </c>
      <c r="F286" s="15">
        <v>0</v>
      </c>
      <c r="G286" s="15">
        <v>48.94</v>
      </c>
      <c r="H286" s="15">
        <v>39.369999999999997</v>
      </c>
      <c r="I286" s="15">
        <v>101.31</v>
      </c>
      <c r="J286" s="15">
        <v>49.94</v>
      </c>
      <c r="K286" s="15">
        <v>63.41</v>
      </c>
      <c r="L286" s="15">
        <v>53.11</v>
      </c>
      <c r="M286" s="15">
        <v>54.59</v>
      </c>
      <c r="N286" s="15">
        <v>59.84</v>
      </c>
      <c r="O286" t="s">
        <v>3028</v>
      </c>
    </row>
    <row r="287" spans="1:15" x14ac:dyDescent="0.25">
      <c r="A287" s="10" t="s">
        <v>813</v>
      </c>
      <c r="B287" s="15">
        <v>1505.29</v>
      </c>
      <c r="C287" s="15">
        <v>1505.29</v>
      </c>
      <c r="D287" s="15">
        <v>1505.29</v>
      </c>
      <c r="E287" s="15">
        <v>1505.29</v>
      </c>
      <c r="F287" s="15">
        <v>1505.29</v>
      </c>
      <c r="G287" s="15">
        <v>1505.29</v>
      </c>
      <c r="H287" s="15">
        <v>3854.46</v>
      </c>
      <c r="I287" s="15">
        <v>0</v>
      </c>
      <c r="J287" s="15">
        <v>1701.76</v>
      </c>
      <c r="K287" s="15">
        <v>1701.76</v>
      </c>
      <c r="L287" s="15">
        <v>1701.76</v>
      </c>
      <c r="M287" s="15">
        <v>1701.76</v>
      </c>
      <c r="N287" s="15">
        <v>1701.76</v>
      </c>
      <c r="O287" t="s">
        <v>3028</v>
      </c>
    </row>
    <row r="288" spans="1:15" x14ac:dyDescent="0.25">
      <c r="A288" s="10" t="s">
        <v>817</v>
      </c>
      <c r="B288" s="15">
        <v>0</v>
      </c>
      <c r="C288" s="15">
        <v>5.57</v>
      </c>
      <c r="D288" s="15">
        <v>43.41</v>
      </c>
      <c r="E288" s="15">
        <v>44</v>
      </c>
      <c r="F288" s="15">
        <v>32.57</v>
      </c>
      <c r="G288" s="15">
        <v>30.66</v>
      </c>
      <c r="H288" s="15">
        <v>30.38</v>
      </c>
      <c r="I288" s="15">
        <v>66.239999999999995</v>
      </c>
      <c r="J288" s="15">
        <v>42.79</v>
      </c>
      <c r="K288" s="15">
        <v>36.729999999999997</v>
      </c>
      <c r="L288" s="15">
        <v>33.4</v>
      </c>
      <c r="M288" s="15">
        <v>69.099999999999994</v>
      </c>
      <c r="N288" s="15">
        <v>33.659999999999997</v>
      </c>
      <c r="O288" t="s">
        <v>3028</v>
      </c>
    </row>
    <row r="289" spans="1:15" x14ac:dyDescent="0.25">
      <c r="A289" s="10" t="s">
        <v>819</v>
      </c>
      <c r="B289" s="15">
        <v>0</v>
      </c>
      <c r="C289" s="15">
        <v>0</v>
      </c>
      <c r="D289" s="15">
        <v>0</v>
      </c>
      <c r="E289" s="15">
        <v>0</v>
      </c>
      <c r="F289" s="15">
        <v>0</v>
      </c>
      <c r="G289" s="15">
        <v>0</v>
      </c>
      <c r="H289" s="15">
        <v>0</v>
      </c>
      <c r="I289" s="15">
        <v>0</v>
      </c>
      <c r="J289" s="15">
        <v>0</v>
      </c>
      <c r="K289" s="15">
        <v>0</v>
      </c>
      <c r="L289" s="15">
        <v>25.48</v>
      </c>
      <c r="M289" s="15">
        <v>0</v>
      </c>
      <c r="N289" s="15">
        <v>0</v>
      </c>
      <c r="O289" t="s">
        <v>3028</v>
      </c>
    </row>
    <row r="290" spans="1:15" x14ac:dyDescent="0.25">
      <c r="A290" s="10" t="s">
        <v>821</v>
      </c>
      <c r="B290" s="15">
        <v>361.89</v>
      </c>
      <c r="C290" s="15">
        <v>94.86</v>
      </c>
      <c r="D290" s="15">
        <v>78.040000000000006</v>
      </c>
      <c r="E290" s="15">
        <v>92.77</v>
      </c>
      <c r="F290" s="15">
        <v>625.05999999999995</v>
      </c>
      <c r="G290" s="15">
        <v>0</v>
      </c>
      <c r="H290" s="15">
        <v>70.64</v>
      </c>
      <c r="I290" s="15">
        <v>234.79</v>
      </c>
      <c r="J290" s="15">
        <v>138.84</v>
      </c>
      <c r="K290" s="15">
        <v>148.87</v>
      </c>
      <c r="L290" s="15">
        <v>278.52</v>
      </c>
      <c r="M290" s="15">
        <v>303.79000000000002</v>
      </c>
      <c r="N290" s="15">
        <v>187</v>
      </c>
      <c r="O290" t="s">
        <v>3028</v>
      </c>
    </row>
    <row r="291" spans="1:15" x14ac:dyDescent="0.25">
      <c r="A291" s="10" t="s">
        <v>823</v>
      </c>
      <c r="B291" s="15">
        <v>232.78</v>
      </c>
      <c r="C291" s="15">
        <v>292.08</v>
      </c>
      <c r="D291" s="15">
        <v>237.28</v>
      </c>
      <c r="E291" s="15">
        <v>241.42</v>
      </c>
      <c r="F291" s="15">
        <v>246.22</v>
      </c>
      <c r="G291" s="15">
        <v>847.83</v>
      </c>
      <c r="H291" s="15">
        <v>160.63</v>
      </c>
      <c r="I291" s="15">
        <v>542.34</v>
      </c>
      <c r="J291" s="15">
        <v>327.24</v>
      </c>
      <c r="K291" s="15">
        <v>341.11</v>
      </c>
      <c r="L291" s="15">
        <v>354.03</v>
      </c>
      <c r="M291" s="15">
        <v>326.56</v>
      </c>
      <c r="N291" s="15">
        <v>341.87</v>
      </c>
      <c r="O291" t="s">
        <v>3028</v>
      </c>
    </row>
    <row r="292" spans="1:15" x14ac:dyDescent="0.25">
      <c r="A292" s="10" t="s">
        <v>825</v>
      </c>
      <c r="B292" s="15">
        <v>0</v>
      </c>
      <c r="C292" s="15">
        <v>0</v>
      </c>
      <c r="D292" s="15">
        <v>59.95</v>
      </c>
      <c r="E292" s="15">
        <v>0</v>
      </c>
      <c r="F292" s="15">
        <v>14.07</v>
      </c>
      <c r="G292" s="15">
        <v>0</v>
      </c>
      <c r="H292" s="15">
        <v>0</v>
      </c>
      <c r="I292" s="15">
        <v>38.450000000000003</v>
      </c>
      <c r="J292" s="15">
        <v>58.17</v>
      </c>
      <c r="K292" s="15">
        <v>66.37</v>
      </c>
      <c r="L292" s="15">
        <v>149.22999999999999</v>
      </c>
      <c r="M292" s="15">
        <v>0</v>
      </c>
      <c r="N292" s="15">
        <v>34.94</v>
      </c>
      <c r="O292" t="s">
        <v>3028</v>
      </c>
    </row>
    <row r="293" spans="1:15" x14ac:dyDescent="0.25">
      <c r="A293" s="10" t="s">
        <v>830</v>
      </c>
      <c r="B293" s="15">
        <v>0</v>
      </c>
      <c r="C293" s="15">
        <v>0</v>
      </c>
      <c r="D293" s="15">
        <v>0</v>
      </c>
      <c r="E293" s="15">
        <v>0.62</v>
      </c>
      <c r="F293" s="15">
        <v>0</v>
      </c>
      <c r="G293" s="15">
        <v>0</v>
      </c>
      <c r="H293" s="15">
        <v>0</v>
      </c>
      <c r="I293" s="15">
        <v>0</v>
      </c>
      <c r="J293" s="15">
        <v>0</v>
      </c>
      <c r="K293" s="15">
        <v>0</v>
      </c>
      <c r="L293" s="15">
        <v>0</v>
      </c>
      <c r="M293" s="15">
        <v>0</v>
      </c>
      <c r="N293" s="15">
        <v>0</v>
      </c>
      <c r="O293" t="s">
        <v>3028</v>
      </c>
    </row>
    <row r="294" spans="1:15" x14ac:dyDescent="0.25">
      <c r="A294" s="10" t="s">
        <v>832</v>
      </c>
      <c r="B294" s="15">
        <v>671.16</v>
      </c>
      <c r="C294" s="15">
        <v>671.16</v>
      </c>
      <c r="D294" s="15">
        <v>925.79</v>
      </c>
      <c r="E294" s="15">
        <v>1916.59</v>
      </c>
      <c r="F294" s="15">
        <v>34.659999999999997</v>
      </c>
      <c r="G294" s="15">
        <v>925.79</v>
      </c>
      <c r="H294" s="15">
        <v>925.79</v>
      </c>
      <c r="I294" s="15">
        <v>1702.4</v>
      </c>
      <c r="J294" s="15">
        <v>1319.01</v>
      </c>
      <c r="K294" s="15">
        <v>1319.01</v>
      </c>
      <c r="L294" s="15">
        <v>1319.01</v>
      </c>
      <c r="M294" s="15">
        <v>1319.01</v>
      </c>
      <c r="N294" s="15">
        <v>1319.01</v>
      </c>
      <c r="O294" t="s">
        <v>3028</v>
      </c>
    </row>
    <row r="295" spans="1:15" x14ac:dyDescent="0.25">
      <c r="A295" s="10" t="s">
        <v>838</v>
      </c>
      <c r="B295" s="15">
        <v>20.23</v>
      </c>
      <c r="C295" s="15">
        <v>5.89</v>
      </c>
      <c r="D295" s="15">
        <v>8.1999999999999993</v>
      </c>
      <c r="E295" s="15">
        <v>22.1</v>
      </c>
      <c r="F295" s="15">
        <v>125.14</v>
      </c>
      <c r="G295" s="15">
        <v>0</v>
      </c>
      <c r="H295" s="15">
        <v>34.75</v>
      </c>
      <c r="I295" s="15">
        <v>19.350000000000001</v>
      </c>
      <c r="J295" s="15">
        <v>42.65</v>
      </c>
      <c r="K295" s="15">
        <v>45.64</v>
      </c>
      <c r="L295" s="15">
        <v>50.61</v>
      </c>
      <c r="M295" s="15">
        <v>50.68</v>
      </c>
      <c r="N295" s="15">
        <v>38.75</v>
      </c>
      <c r="O295" t="s">
        <v>3028</v>
      </c>
    </row>
    <row r="296" spans="1:15" x14ac:dyDescent="0.25">
      <c r="A296" s="10" t="s">
        <v>840</v>
      </c>
      <c r="B296" s="15">
        <v>17.96</v>
      </c>
      <c r="C296" s="15">
        <v>8.27</v>
      </c>
      <c r="D296" s="15">
        <v>0</v>
      </c>
      <c r="E296" s="15">
        <v>13.09</v>
      </c>
      <c r="F296" s="15">
        <v>0</v>
      </c>
      <c r="G296" s="15">
        <v>0</v>
      </c>
      <c r="H296" s="15">
        <v>0</v>
      </c>
      <c r="I296" s="15">
        <v>41.95</v>
      </c>
      <c r="J296" s="15">
        <v>96.23</v>
      </c>
      <c r="K296" s="15">
        <v>0</v>
      </c>
      <c r="L296" s="15">
        <v>0</v>
      </c>
      <c r="M296" s="15">
        <v>16.510000000000002</v>
      </c>
      <c r="N296" s="15">
        <v>14.37</v>
      </c>
      <c r="O296" t="s">
        <v>3028</v>
      </c>
    </row>
    <row r="297" spans="1:15" x14ac:dyDescent="0.25">
      <c r="A297" s="10" t="s">
        <v>842</v>
      </c>
      <c r="B297" s="15">
        <v>49.62</v>
      </c>
      <c r="C297" s="15">
        <v>35.03</v>
      </c>
      <c r="D297" s="15">
        <v>42.77</v>
      </c>
      <c r="E297" s="15">
        <v>0</v>
      </c>
      <c r="F297" s="15">
        <v>0</v>
      </c>
      <c r="G297" s="15">
        <v>0</v>
      </c>
      <c r="H297" s="15">
        <v>0</v>
      </c>
      <c r="I297" s="15">
        <v>0</v>
      </c>
      <c r="J297" s="15">
        <v>0</v>
      </c>
      <c r="K297" s="15">
        <v>0</v>
      </c>
      <c r="L297" s="15">
        <v>0</v>
      </c>
      <c r="M297" s="15">
        <v>0</v>
      </c>
      <c r="N297" s="15">
        <v>0</v>
      </c>
      <c r="O297" t="s">
        <v>3028</v>
      </c>
    </row>
    <row r="298" spans="1:15" x14ac:dyDescent="0.25">
      <c r="A298" s="10" t="s">
        <v>844</v>
      </c>
      <c r="B298" s="15">
        <v>33.93</v>
      </c>
      <c r="C298" s="15">
        <v>22.86</v>
      </c>
      <c r="D298" s="15">
        <v>18.05</v>
      </c>
      <c r="E298" s="15">
        <v>7.96</v>
      </c>
      <c r="F298" s="15">
        <v>0</v>
      </c>
      <c r="G298" s="15">
        <v>0</v>
      </c>
      <c r="H298" s="15">
        <v>0</v>
      </c>
      <c r="I298" s="15">
        <v>33.17</v>
      </c>
      <c r="J298" s="15">
        <v>0</v>
      </c>
      <c r="K298" s="15">
        <v>0</v>
      </c>
      <c r="L298" s="15">
        <v>0</v>
      </c>
      <c r="M298" s="15">
        <v>0</v>
      </c>
      <c r="N298" s="15">
        <v>10.24</v>
      </c>
      <c r="O298" t="s">
        <v>3028</v>
      </c>
    </row>
    <row r="299" spans="1:15" x14ac:dyDescent="0.25">
      <c r="A299" s="10" t="s">
        <v>846</v>
      </c>
      <c r="B299" s="15">
        <v>18.3</v>
      </c>
      <c r="C299" s="15">
        <v>8.84</v>
      </c>
      <c r="D299" s="15">
        <v>3.68</v>
      </c>
      <c r="E299" s="15">
        <v>6.97</v>
      </c>
      <c r="F299" s="15">
        <v>5</v>
      </c>
      <c r="G299" s="15">
        <v>72.72</v>
      </c>
      <c r="H299" s="15">
        <v>0</v>
      </c>
      <c r="I299" s="15">
        <v>0</v>
      </c>
      <c r="J299" s="15">
        <v>80.11</v>
      </c>
      <c r="K299" s="15">
        <v>35.26</v>
      </c>
      <c r="L299" s="15">
        <v>84.7</v>
      </c>
      <c r="M299" s="15">
        <v>26.59</v>
      </c>
      <c r="N299" s="15">
        <v>28.24</v>
      </c>
      <c r="O299" t="s">
        <v>3028</v>
      </c>
    </row>
    <row r="300" spans="1:15" x14ac:dyDescent="0.25">
      <c r="A300" s="10" t="s">
        <v>848</v>
      </c>
      <c r="B300" s="15">
        <v>3505.26</v>
      </c>
      <c r="C300" s="15">
        <v>3505.26</v>
      </c>
      <c r="D300" s="15">
        <v>3505.26</v>
      </c>
      <c r="E300" s="15">
        <v>1650.91</v>
      </c>
      <c r="F300" s="15">
        <v>0</v>
      </c>
      <c r="G300" s="15">
        <v>0</v>
      </c>
      <c r="H300" s="15">
        <v>0</v>
      </c>
      <c r="I300" s="15">
        <v>0</v>
      </c>
      <c r="J300" s="15">
        <v>0</v>
      </c>
      <c r="K300" s="15">
        <v>0</v>
      </c>
      <c r="L300" s="15">
        <v>0</v>
      </c>
      <c r="M300" s="15">
        <v>0</v>
      </c>
      <c r="N300" s="15">
        <v>800.99</v>
      </c>
      <c r="O300" t="s">
        <v>3028</v>
      </c>
    </row>
    <row r="301" spans="1:15" x14ac:dyDescent="0.25">
      <c r="A301" s="10" t="s">
        <v>850</v>
      </c>
      <c r="B301" s="15">
        <v>0</v>
      </c>
      <c r="C301" s="15">
        <v>15.98</v>
      </c>
      <c r="D301" s="15">
        <v>0</v>
      </c>
      <c r="E301" s="15">
        <v>1.1299999999999999</v>
      </c>
      <c r="F301" s="15">
        <v>40.43</v>
      </c>
      <c r="G301" s="15">
        <v>0</v>
      </c>
      <c r="H301" s="15">
        <v>0</v>
      </c>
      <c r="I301" s="15">
        <v>0</v>
      </c>
      <c r="J301" s="15">
        <v>0</v>
      </c>
      <c r="K301" s="15">
        <v>0</v>
      </c>
      <c r="L301" s="15">
        <v>13.02</v>
      </c>
      <c r="M301" s="15">
        <v>24.11</v>
      </c>
      <c r="N301" s="15">
        <v>0</v>
      </c>
      <c r="O301" t="s">
        <v>3028</v>
      </c>
    </row>
    <row r="302" spans="1:15" x14ac:dyDescent="0.25">
      <c r="A302" s="10" t="s">
        <v>852</v>
      </c>
      <c r="B302" s="15">
        <v>0</v>
      </c>
      <c r="C302" s="15">
        <v>0</v>
      </c>
      <c r="D302" s="15">
        <v>0</v>
      </c>
      <c r="E302" s="15">
        <v>0</v>
      </c>
      <c r="F302" s="15">
        <v>0</v>
      </c>
      <c r="G302" s="15">
        <v>0</v>
      </c>
      <c r="H302" s="15">
        <v>3.28</v>
      </c>
      <c r="I302" s="15">
        <v>0</v>
      </c>
      <c r="J302" s="15">
        <v>0</v>
      </c>
      <c r="K302" s="15">
        <v>0</v>
      </c>
      <c r="L302" s="15">
        <v>0.7</v>
      </c>
      <c r="M302" s="15">
        <v>7.74</v>
      </c>
      <c r="N302" s="15">
        <v>0</v>
      </c>
      <c r="O302" t="s">
        <v>3028</v>
      </c>
    </row>
    <row r="303" spans="1:15" x14ac:dyDescent="0.25">
      <c r="A303" s="10" t="s">
        <v>854</v>
      </c>
      <c r="B303" s="15">
        <v>0</v>
      </c>
      <c r="C303" s="15">
        <v>11.22</v>
      </c>
      <c r="D303" s="15">
        <v>0</v>
      </c>
      <c r="E303" s="15">
        <v>0</v>
      </c>
      <c r="F303" s="15">
        <v>0</v>
      </c>
      <c r="G303" s="15">
        <v>0</v>
      </c>
      <c r="H303" s="15">
        <v>0</v>
      </c>
      <c r="I303" s="15">
        <v>0</v>
      </c>
      <c r="J303" s="15">
        <v>0</v>
      </c>
      <c r="K303" s="15">
        <v>0</v>
      </c>
      <c r="L303" s="15">
        <v>0</v>
      </c>
      <c r="M303" s="15">
        <v>0</v>
      </c>
      <c r="N303" s="15">
        <v>0</v>
      </c>
      <c r="O303" t="s">
        <v>3028</v>
      </c>
    </row>
    <row r="304" spans="1:15" x14ac:dyDescent="0.25">
      <c r="A304" s="10" t="s">
        <v>856</v>
      </c>
      <c r="B304" s="15">
        <v>299.10000000000002</v>
      </c>
      <c r="C304" s="15">
        <v>412.72</v>
      </c>
      <c r="D304" s="15">
        <v>456.23</v>
      </c>
      <c r="E304" s="15">
        <v>274.44</v>
      </c>
      <c r="F304" s="15">
        <v>274.63</v>
      </c>
      <c r="G304" s="15">
        <v>912.12</v>
      </c>
      <c r="H304" s="15">
        <v>344.43</v>
      </c>
      <c r="I304" s="15">
        <v>733.05</v>
      </c>
      <c r="J304" s="15">
        <v>653.9</v>
      </c>
      <c r="K304" s="15">
        <v>536.59</v>
      </c>
      <c r="L304" s="15">
        <v>507.21</v>
      </c>
      <c r="M304" s="15">
        <v>776.85</v>
      </c>
      <c r="N304" s="15">
        <v>570.26</v>
      </c>
      <c r="O304" t="s">
        <v>3028</v>
      </c>
    </row>
    <row r="305" spans="1:15" x14ac:dyDescent="0.25">
      <c r="A305" s="10" t="s">
        <v>860</v>
      </c>
      <c r="B305" s="15">
        <v>273.76</v>
      </c>
      <c r="C305" s="15">
        <v>255.52</v>
      </c>
      <c r="D305" s="15">
        <v>289.85000000000002</v>
      </c>
      <c r="E305" s="15">
        <v>352.07</v>
      </c>
      <c r="F305" s="15">
        <v>182.18</v>
      </c>
      <c r="G305" s="15">
        <v>187.33</v>
      </c>
      <c r="H305" s="15">
        <v>650.61</v>
      </c>
      <c r="I305" s="15">
        <v>42.59</v>
      </c>
      <c r="J305" s="15">
        <v>300.55</v>
      </c>
      <c r="K305" s="15">
        <v>297.67</v>
      </c>
      <c r="L305" s="15">
        <v>231.37</v>
      </c>
      <c r="M305" s="15">
        <v>233.65</v>
      </c>
      <c r="N305" s="15">
        <v>275.83</v>
      </c>
      <c r="O305" t="s">
        <v>3028</v>
      </c>
    </row>
    <row r="306" spans="1:15" x14ac:dyDescent="0.25">
      <c r="A306" s="10" t="s">
        <v>862</v>
      </c>
      <c r="B306" s="15">
        <v>0</v>
      </c>
      <c r="C306" s="15">
        <v>31.89</v>
      </c>
      <c r="D306" s="15">
        <v>68.3</v>
      </c>
      <c r="E306" s="15">
        <v>142.36000000000001</v>
      </c>
      <c r="F306" s="15">
        <v>79.52</v>
      </c>
      <c r="G306" s="15">
        <v>140.34</v>
      </c>
      <c r="H306" s="15">
        <v>139.51</v>
      </c>
      <c r="I306" s="15">
        <v>207.9</v>
      </c>
      <c r="J306" s="15">
        <v>115.87</v>
      </c>
      <c r="K306" s="15">
        <v>155.27000000000001</v>
      </c>
      <c r="L306" s="15">
        <v>125.02</v>
      </c>
      <c r="M306" s="15">
        <v>86.83</v>
      </c>
      <c r="N306" s="15">
        <v>92.93</v>
      </c>
      <c r="O306" t="s">
        <v>3028</v>
      </c>
    </row>
    <row r="307" spans="1:15" x14ac:dyDescent="0.25">
      <c r="A307" s="10" t="s">
        <v>864</v>
      </c>
      <c r="B307" s="15">
        <v>0</v>
      </c>
      <c r="C307" s="15">
        <v>0</v>
      </c>
      <c r="D307" s="15">
        <v>0</v>
      </c>
      <c r="E307" s="15">
        <v>0</v>
      </c>
      <c r="F307" s="15">
        <v>0</v>
      </c>
      <c r="G307" s="15">
        <v>0</v>
      </c>
      <c r="H307" s="15">
        <v>0</v>
      </c>
      <c r="I307" s="15">
        <v>15.82</v>
      </c>
      <c r="J307" s="15">
        <v>0</v>
      </c>
      <c r="K307" s="15">
        <v>0</v>
      </c>
      <c r="L307" s="15">
        <v>0</v>
      </c>
      <c r="M307" s="15">
        <v>0</v>
      </c>
      <c r="N307" s="15">
        <v>0</v>
      </c>
      <c r="O307" t="s">
        <v>3028</v>
      </c>
    </row>
    <row r="308" spans="1:15" x14ac:dyDescent="0.25">
      <c r="A308" s="10" t="s">
        <v>866</v>
      </c>
      <c r="B308" s="15">
        <v>98.15</v>
      </c>
      <c r="C308" s="15">
        <v>38.64</v>
      </c>
      <c r="D308" s="15">
        <v>42.1</v>
      </c>
      <c r="E308" s="15">
        <v>115.73</v>
      </c>
      <c r="F308" s="15">
        <v>0</v>
      </c>
      <c r="G308" s="15">
        <v>50.27</v>
      </c>
      <c r="H308" s="15">
        <v>56.94</v>
      </c>
      <c r="I308" s="15">
        <v>221.11</v>
      </c>
      <c r="J308" s="15">
        <v>83.59</v>
      </c>
      <c r="K308" s="15">
        <v>133.91</v>
      </c>
      <c r="L308" s="15">
        <v>99.98</v>
      </c>
      <c r="M308" s="15">
        <v>145.56</v>
      </c>
      <c r="N308" s="15">
        <v>99.88</v>
      </c>
      <c r="O308" t="s">
        <v>3028</v>
      </c>
    </row>
    <row r="309" spans="1:15" x14ac:dyDescent="0.25">
      <c r="A309" s="10" t="s">
        <v>868</v>
      </c>
      <c r="B309" s="15">
        <v>0</v>
      </c>
      <c r="C309" s="15">
        <v>0</v>
      </c>
      <c r="D309" s="15">
        <v>3.41</v>
      </c>
      <c r="E309" s="15">
        <v>4.1900000000000004</v>
      </c>
      <c r="F309" s="15">
        <v>0</v>
      </c>
      <c r="G309" s="15">
        <v>43.69</v>
      </c>
      <c r="H309" s="15">
        <v>0</v>
      </c>
      <c r="I309" s="15">
        <v>4.1100000000000003</v>
      </c>
      <c r="J309" s="15">
        <v>17.27</v>
      </c>
      <c r="K309" s="15">
        <v>5.65</v>
      </c>
      <c r="L309" s="15">
        <v>7.93</v>
      </c>
      <c r="M309" s="15">
        <v>0</v>
      </c>
      <c r="N309" s="15">
        <v>6.77</v>
      </c>
      <c r="O309" t="s">
        <v>3028</v>
      </c>
    </row>
    <row r="310" spans="1:15" x14ac:dyDescent="0.25">
      <c r="A310" s="10" t="s">
        <v>870</v>
      </c>
      <c r="B310" s="15">
        <v>5.23</v>
      </c>
      <c r="C310" s="15">
        <v>0</v>
      </c>
      <c r="D310" s="15">
        <v>0</v>
      </c>
      <c r="E310" s="15">
        <v>0</v>
      </c>
      <c r="F310" s="15">
        <v>0</v>
      </c>
      <c r="G310" s="15">
        <v>50</v>
      </c>
      <c r="H310" s="15">
        <v>13.42</v>
      </c>
      <c r="I310" s="15">
        <v>68.45</v>
      </c>
      <c r="J310" s="15">
        <v>18.559999999999999</v>
      </c>
      <c r="K310" s="15">
        <v>24.07</v>
      </c>
      <c r="L310" s="15">
        <v>68.84</v>
      </c>
      <c r="M310" s="15">
        <v>0</v>
      </c>
      <c r="N310" s="15">
        <v>18.329999999999998</v>
      </c>
      <c r="O310" t="s">
        <v>3028</v>
      </c>
    </row>
    <row r="311" spans="1:15" x14ac:dyDescent="0.25">
      <c r="A311" s="10" t="s">
        <v>872</v>
      </c>
      <c r="B311" s="15">
        <v>1141.7</v>
      </c>
      <c r="C311" s="15">
        <v>595.38</v>
      </c>
      <c r="D311" s="15">
        <v>750.62</v>
      </c>
      <c r="E311" s="15">
        <v>699.16</v>
      </c>
      <c r="F311" s="15">
        <v>875.66</v>
      </c>
      <c r="G311" s="15">
        <v>821.27</v>
      </c>
      <c r="H311" s="15">
        <v>817.78</v>
      </c>
      <c r="I311" s="15">
        <v>1456.86</v>
      </c>
      <c r="J311" s="15">
        <v>221.32</v>
      </c>
      <c r="K311" s="15">
        <v>875.41</v>
      </c>
      <c r="L311" s="15">
        <v>774</v>
      </c>
      <c r="M311" s="15">
        <v>891.57</v>
      </c>
      <c r="N311" s="15">
        <v>918.5</v>
      </c>
      <c r="O311" t="s">
        <v>3028</v>
      </c>
    </row>
    <row r="312" spans="1:15" x14ac:dyDescent="0.25">
      <c r="A312" s="10" t="s">
        <v>874</v>
      </c>
      <c r="B312" s="15">
        <v>24.61</v>
      </c>
      <c r="C312" s="15">
        <v>30.74</v>
      </c>
      <c r="D312" s="15">
        <v>28.9</v>
      </c>
      <c r="E312" s="15">
        <v>8.26</v>
      </c>
      <c r="F312" s="15">
        <v>13.1</v>
      </c>
      <c r="G312" s="15">
        <v>4.29</v>
      </c>
      <c r="H312" s="15">
        <v>19.690000000000001</v>
      </c>
      <c r="I312" s="15">
        <v>64.459999999999994</v>
      </c>
      <c r="J312" s="15">
        <v>97.24</v>
      </c>
      <c r="K312" s="15">
        <v>0</v>
      </c>
      <c r="L312" s="15">
        <v>0</v>
      </c>
      <c r="M312" s="15">
        <v>31.32</v>
      </c>
      <c r="N312" s="15">
        <v>31.08</v>
      </c>
      <c r="O312" t="s">
        <v>3028</v>
      </c>
    </row>
    <row r="313" spans="1:15" x14ac:dyDescent="0.25">
      <c r="A313" s="10" t="s">
        <v>878</v>
      </c>
      <c r="B313" s="15">
        <v>0</v>
      </c>
      <c r="C313" s="15">
        <v>0</v>
      </c>
      <c r="D313" s="15">
        <v>0</v>
      </c>
      <c r="E313" s="15">
        <v>30.17</v>
      </c>
      <c r="F313" s="15">
        <v>0</v>
      </c>
      <c r="G313" s="15">
        <v>0</v>
      </c>
      <c r="H313" s="15">
        <v>0</v>
      </c>
      <c r="I313" s="15">
        <v>17.420000000000002</v>
      </c>
      <c r="J313" s="15">
        <v>5.76</v>
      </c>
      <c r="K313" s="15">
        <v>0</v>
      </c>
      <c r="L313" s="15">
        <v>0</v>
      </c>
      <c r="M313" s="15">
        <v>0</v>
      </c>
      <c r="N313" s="15">
        <v>0</v>
      </c>
      <c r="O313" t="s">
        <v>3028</v>
      </c>
    </row>
    <row r="314" spans="1:15" x14ac:dyDescent="0.25">
      <c r="A314" s="10" t="s">
        <v>880</v>
      </c>
      <c r="B314" s="15">
        <v>0.59</v>
      </c>
      <c r="C314" s="15">
        <v>44.78</v>
      </c>
      <c r="D314" s="15">
        <v>42.97</v>
      </c>
      <c r="E314" s="15">
        <v>3.58</v>
      </c>
      <c r="F314" s="15">
        <v>7.41</v>
      </c>
      <c r="G314" s="15">
        <v>5.9</v>
      </c>
      <c r="H314" s="15">
        <v>107.58</v>
      </c>
      <c r="I314" s="15">
        <v>0</v>
      </c>
      <c r="J314" s="15">
        <v>30.26</v>
      </c>
      <c r="K314" s="15">
        <v>22.31</v>
      </c>
      <c r="L314" s="15">
        <v>32.85</v>
      </c>
      <c r="M314" s="15">
        <v>32.200000000000003</v>
      </c>
      <c r="N314" s="15">
        <v>31.93</v>
      </c>
      <c r="O314" t="s">
        <v>3028</v>
      </c>
    </row>
    <row r="315" spans="1:15" x14ac:dyDescent="0.25">
      <c r="A315" s="10" t="s">
        <v>882</v>
      </c>
      <c r="B315" s="15">
        <v>170.88</v>
      </c>
      <c r="C315" s="15">
        <v>161.61000000000001</v>
      </c>
      <c r="D315" s="15">
        <v>169.32</v>
      </c>
      <c r="E315" s="15">
        <v>161.13999999999999</v>
      </c>
      <c r="F315" s="15">
        <v>162.26</v>
      </c>
      <c r="G315" s="15">
        <v>161.13999999999999</v>
      </c>
      <c r="H315" s="15">
        <v>162.82</v>
      </c>
      <c r="I315" s="15">
        <v>377.14</v>
      </c>
      <c r="J315" s="15">
        <v>315.08999999999997</v>
      </c>
      <c r="K315" s="15">
        <v>213.77</v>
      </c>
      <c r="L315" s="15">
        <v>213.77</v>
      </c>
      <c r="M315" s="15">
        <v>560.94000000000005</v>
      </c>
      <c r="N315" s="15">
        <v>226.03</v>
      </c>
      <c r="O315" t="s">
        <v>3028</v>
      </c>
    </row>
    <row r="316" spans="1:15" x14ac:dyDescent="0.25">
      <c r="A316" s="10" t="s">
        <v>884</v>
      </c>
      <c r="B316" s="15">
        <v>251.26</v>
      </c>
      <c r="C316" s="15">
        <v>186.02</v>
      </c>
      <c r="D316" s="15">
        <v>209.35</v>
      </c>
      <c r="E316" s="15">
        <v>176.04</v>
      </c>
      <c r="F316" s="15">
        <v>180.33</v>
      </c>
      <c r="G316" s="15">
        <v>698.77</v>
      </c>
      <c r="H316" s="15">
        <v>94.19</v>
      </c>
      <c r="I316" s="15">
        <v>365.52</v>
      </c>
      <c r="J316" s="15">
        <v>261.06</v>
      </c>
      <c r="K316" s="15">
        <v>307.37</v>
      </c>
      <c r="L316" s="15">
        <v>256.66000000000003</v>
      </c>
      <c r="M316" s="15">
        <v>432.15</v>
      </c>
      <c r="N316" s="15">
        <v>292.01</v>
      </c>
      <c r="O316" t="s">
        <v>3028</v>
      </c>
    </row>
    <row r="317" spans="1:15" x14ac:dyDescent="0.25">
      <c r="A317" s="10" t="s">
        <v>886</v>
      </c>
      <c r="B317" s="15">
        <v>42.03</v>
      </c>
      <c r="C317" s="15">
        <v>46.24</v>
      </c>
      <c r="D317" s="15">
        <v>56.02</v>
      </c>
      <c r="E317" s="15">
        <v>51.16</v>
      </c>
      <c r="F317" s="15">
        <v>54.86</v>
      </c>
      <c r="G317" s="15">
        <v>54.15</v>
      </c>
      <c r="H317" s="15">
        <v>55.06</v>
      </c>
      <c r="I317" s="15">
        <v>243.39</v>
      </c>
      <c r="J317" s="15">
        <v>0</v>
      </c>
      <c r="K317" s="15">
        <v>33.43</v>
      </c>
      <c r="L317" s="15">
        <v>168.44</v>
      </c>
      <c r="M317" s="15">
        <v>69.010000000000005</v>
      </c>
      <c r="N317" s="15">
        <v>69.95</v>
      </c>
      <c r="O317" t="s">
        <v>3028</v>
      </c>
    </row>
    <row r="318" spans="1:15" x14ac:dyDescent="0.25">
      <c r="A318" s="10" t="s">
        <v>888</v>
      </c>
      <c r="B318" s="15">
        <v>0</v>
      </c>
      <c r="C318" s="15">
        <v>0</v>
      </c>
      <c r="D318" s="15">
        <v>0</v>
      </c>
      <c r="E318" s="15">
        <v>0</v>
      </c>
      <c r="F318" s="15">
        <v>0</v>
      </c>
      <c r="G318" s="15">
        <v>0</v>
      </c>
      <c r="H318" s="15">
        <v>0</v>
      </c>
      <c r="I318" s="15">
        <v>0</v>
      </c>
      <c r="J318" s="15">
        <v>0</v>
      </c>
      <c r="K318" s="15">
        <v>0</v>
      </c>
      <c r="L318" s="15">
        <v>5.96</v>
      </c>
      <c r="M318" s="15">
        <v>0</v>
      </c>
      <c r="N318" s="15">
        <v>0</v>
      </c>
      <c r="O318" t="s">
        <v>3028</v>
      </c>
    </row>
    <row r="319" spans="1:15" x14ac:dyDescent="0.25">
      <c r="A319" s="10" t="s">
        <v>890</v>
      </c>
      <c r="B319" s="15">
        <v>0</v>
      </c>
      <c r="C319" s="15">
        <v>0</v>
      </c>
      <c r="D319" s="15">
        <v>0</v>
      </c>
      <c r="E319" s="15">
        <v>0</v>
      </c>
      <c r="F319" s="15">
        <v>14.42</v>
      </c>
      <c r="G319" s="15">
        <v>37.07</v>
      </c>
      <c r="H319" s="15">
        <v>26.95</v>
      </c>
      <c r="I319" s="15">
        <v>92.5</v>
      </c>
      <c r="J319" s="15">
        <v>32.19</v>
      </c>
      <c r="K319" s="15">
        <v>32.590000000000003</v>
      </c>
      <c r="L319" s="15">
        <v>32.57</v>
      </c>
      <c r="M319" s="15">
        <v>48.55</v>
      </c>
      <c r="N319" s="15">
        <v>0</v>
      </c>
      <c r="O319" t="s">
        <v>3028</v>
      </c>
    </row>
    <row r="320" spans="1:15" x14ac:dyDescent="0.25">
      <c r="A320" s="10" t="s">
        <v>892</v>
      </c>
      <c r="B320" s="15">
        <v>705.26</v>
      </c>
      <c r="C320" s="15">
        <v>518.07000000000005</v>
      </c>
      <c r="D320" s="15">
        <v>511.34</v>
      </c>
      <c r="E320" s="15">
        <v>564.17999999999995</v>
      </c>
      <c r="F320" s="15">
        <v>1239.4000000000001</v>
      </c>
      <c r="G320" s="15">
        <v>163.11000000000001</v>
      </c>
      <c r="H320" s="15">
        <v>548.83000000000004</v>
      </c>
      <c r="I320" s="15">
        <v>1115.95</v>
      </c>
      <c r="J320" s="15">
        <v>728.64</v>
      </c>
      <c r="K320" s="15">
        <v>837.85</v>
      </c>
      <c r="L320" s="15">
        <v>826.02</v>
      </c>
      <c r="M320" s="15">
        <v>1227.56</v>
      </c>
      <c r="N320" s="15">
        <v>725.02</v>
      </c>
      <c r="O320" t="s">
        <v>3028</v>
      </c>
    </row>
    <row r="321" spans="1:15" x14ac:dyDescent="0.25">
      <c r="A321" s="10" t="s">
        <v>894</v>
      </c>
      <c r="B321" s="15">
        <v>0</v>
      </c>
      <c r="C321" s="15">
        <v>0</v>
      </c>
      <c r="D321" s="15">
        <v>7.71</v>
      </c>
      <c r="E321" s="15">
        <v>0</v>
      </c>
      <c r="F321" s="15">
        <v>0</v>
      </c>
      <c r="G321" s="15">
        <v>0</v>
      </c>
      <c r="H321" s="15">
        <v>0</v>
      </c>
      <c r="I321" s="15">
        <v>27.62</v>
      </c>
      <c r="J321" s="15">
        <v>52.96</v>
      </c>
      <c r="K321" s="15">
        <v>0</v>
      </c>
      <c r="L321" s="15">
        <v>0</v>
      </c>
      <c r="M321" s="15">
        <v>0</v>
      </c>
      <c r="N321" s="15">
        <v>0</v>
      </c>
      <c r="O321" t="s">
        <v>3028</v>
      </c>
    </row>
    <row r="322" spans="1:15" x14ac:dyDescent="0.25">
      <c r="A322" s="10" t="s">
        <v>896</v>
      </c>
      <c r="B322" s="15">
        <v>0</v>
      </c>
      <c r="C322" s="15">
        <v>0</v>
      </c>
      <c r="D322" s="15">
        <v>0</v>
      </c>
      <c r="E322" s="15">
        <v>0</v>
      </c>
      <c r="F322" s="15">
        <v>0</v>
      </c>
      <c r="G322" s="15">
        <v>0</v>
      </c>
      <c r="H322" s="15">
        <v>0</v>
      </c>
      <c r="I322" s="15">
        <v>11.53</v>
      </c>
      <c r="J322" s="15">
        <v>0</v>
      </c>
      <c r="K322" s="15">
        <v>0</v>
      </c>
      <c r="L322" s="15">
        <v>0</v>
      </c>
      <c r="M322" s="15">
        <v>0</v>
      </c>
      <c r="N322" s="15">
        <v>0</v>
      </c>
      <c r="O322" t="s">
        <v>3028</v>
      </c>
    </row>
    <row r="323" spans="1:15" x14ac:dyDescent="0.25">
      <c r="A323" s="10" t="s">
        <v>898</v>
      </c>
      <c r="B323" s="15">
        <v>0</v>
      </c>
      <c r="C323" s="15">
        <v>0</v>
      </c>
      <c r="D323" s="15">
        <v>0</v>
      </c>
      <c r="E323" s="15">
        <v>0</v>
      </c>
      <c r="F323" s="15">
        <v>0</v>
      </c>
      <c r="G323" s="15">
        <v>0</v>
      </c>
      <c r="H323" s="15">
        <v>0</v>
      </c>
      <c r="I323" s="15">
        <v>73.510000000000005</v>
      </c>
      <c r="J323" s="15">
        <v>67.180000000000007</v>
      </c>
      <c r="K323" s="15">
        <v>0</v>
      </c>
      <c r="L323" s="15">
        <v>12.3</v>
      </c>
      <c r="M323" s="15">
        <v>6.92</v>
      </c>
      <c r="N323" s="15">
        <v>8.8000000000000007</v>
      </c>
      <c r="O323" t="s">
        <v>3028</v>
      </c>
    </row>
    <row r="324" spans="1:15" x14ac:dyDescent="0.25">
      <c r="A324" s="10" t="s">
        <v>900</v>
      </c>
      <c r="B324" s="15">
        <v>8.93</v>
      </c>
      <c r="C324" s="15">
        <v>0</v>
      </c>
      <c r="D324" s="15">
        <v>0</v>
      </c>
      <c r="E324" s="15">
        <v>29.28</v>
      </c>
      <c r="F324" s="15">
        <v>0</v>
      </c>
      <c r="G324" s="15">
        <v>0</v>
      </c>
      <c r="H324" s="15">
        <v>0</v>
      </c>
      <c r="I324" s="15">
        <v>14.95</v>
      </c>
      <c r="J324" s="15">
        <v>7.72</v>
      </c>
      <c r="K324" s="15">
        <v>0.26</v>
      </c>
      <c r="L324" s="15">
        <v>0</v>
      </c>
      <c r="M324" s="15">
        <v>2.61</v>
      </c>
      <c r="N324" s="15">
        <v>0.66</v>
      </c>
      <c r="O324" t="s">
        <v>3028</v>
      </c>
    </row>
    <row r="325" spans="1:15" x14ac:dyDescent="0.25">
      <c r="A325" s="10" t="s">
        <v>902</v>
      </c>
      <c r="B325" s="15">
        <v>0</v>
      </c>
      <c r="C325" s="15">
        <v>0</v>
      </c>
      <c r="D325" s="15">
        <v>0</v>
      </c>
      <c r="E325" s="15">
        <v>40.119999999999997</v>
      </c>
      <c r="F325" s="15">
        <v>6.09</v>
      </c>
      <c r="G325" s="15">
        <v>5.39</v>
      </c>
      <c r="H325" s="15">
        <v>5.39</v>
      </c>
      <c r="I325" s="15">
        <v>48.61</v>
      </c>
      <c r="J325" s="15">
        <v>17.809999999999999</v>
      </c>
      <c r="K325" s="15">
        <v>28.92</v>
      </c>
      <c r="L325" s="15">
        <v>18.91</v>
      </c>
      <c r="M325" s="15">
        <v>17.41</v>
      </c>
      <c r="N325" s="15">
        <v>0</v>
      </c>
      <c r="O325" t="s">
        <v>3028</v>
      </c>
    </row>
    <row r="326" spans="1:15" x14ac:dyDescent="0.25">
      <c r="A326" s="10" t="s">
        <v>904</v>
      </c>
      <c r="B326" s="15">
        <v>124.13</v>
      </c>
      <c r="C326" s="15">
        <v>45.02</v>
      </c>
      <c r="D326" s="15">
        <v>36.630000000000003</v>
      </c>
      <c r="E326" s="15">
        <v>1.82</v>
      </c>
      <c r="F326" s="15">
        <v>0</v>
      </c>
      <c r="G326" s="15">
        <v>0</v>
      </c>
      <c r="H326" s="15">
        <v>0</v>
      </c>
      <c r="I326" s="15">
        <v>0</v>
      </c>
      <c r="J326" s="15">
        <v>0</v>
      </c>
      <c r="K326" s="15">
        <v>0</v>
      </c>
      <c r="L326" s="15">
        <v>0</v>
      </c>
      <c r="M326" s="15">
        <v>0</v>
      </c>
      <c r="N326" s="15">
        <v>16.04</v>
      </c>
      <c r="O326" t="s">
        <v>3028</v>
      </c>
    </row>
    <row r="327" spans="1:15" x14ac:dyDescent="0.25">
      <c r="A327" s="10" t="s">
        <v>906</v>
      </c>
      <c r="B327" s="15">
        <v>273.08999999999997</v>
      </c>
      <c r="C327" s="15">
        <v>174.28</v>
      </c>
      <c r="D327" s="15">
        <v>89.74</v>
      </c>
      <c r="E327" s="15">
        <v>54.64</v>
      </c>
      <c r="F327" s="15">
        <v>55.67</v>
      </c>
      <c r="G327" s="15">
        <v>46.65</v>
      </c>
      <c r="H327" s="15">
        <v>46.65</v>
      </c>
      <c r="I327" s="15">
        <v>135.77000000000001</v>
      </c>
      <c r="J327" s="15">
        <v>141.94999999999999</v>
      </c>
      <c r="K327" s="15">
        <v>65.31</v>
      </c>
      <c r="L327" s="15">
        <v>66.58</v>
      </c>
      <c r="M327" s="15">
        <v>65.25</v>
      </c>
      <c r="N327" s="15">
        <v>110.56</v>
      </c>
      <c r="O327" t="s">
        <v>3028</v>
      </c>
    </row>
    <row r="328" spans="1:15" x14ac:dyDescent="0.25">
      <c r="A328" s="10" t="s">
        <v>908</v>
      </c>
      <c r="B328" s="15">
        <v>258.35000000000002</v>
      </c>
      <c r="C328" s="15">
        <v>94.19</v>
      </c>
      <c r="D328" s="15">
        <v>143.09</v>
      </c>
      <c r="E328" s="15">
        <v>96.51</v>
      </c>
      <c r="F328" s="15">
        <v>137.47999999999999</v>
      </c>
      <c r="G328" s="15">
        <v>334.66</v>
      </c>
      <c r="H328" s="15">
        <v>504.95</v>
      </c>
      <c r="I328" s="15">
        <v>0</v>
      </c>
      <c r="J328" s="15">
        <v>105.73</v>
      </c>
      <c r="K328" s="15">
        <v>133.51</v>
      </c>
      <c r="L328" s="15">
        <v>144.22999999999999</v>
      </c>
      <c r="M328" s="15">
        <v>162.02000000000001</v>
      </c>
      <c r="N328" s="15">
        <v>187.51</v>
      </c>
      <c r="O328" t="s">
        <v>3028</v>
      </c>
    </row>
    <row r="329" spans="1:15" x14ac:dyDescent="0.25">
      <c r="A329" s="10" t="s">
        <v>914</v>
      </c>
      <c r="B329" s="15">
        <v>0</v>
      </c>
      <c r="C329" s="15">
        <v>0</v>
      </c>
      <c r="D329" s="15">
        <v>0</v>
      </c>
      <c r="E329" s="15">
        <v>0.01</v>
      </c>
      <c r="F329" s="15">
        <v>0</v>
      </c>
      <c r="G329" s="15">
        <v>0</v>
      </c>
      <c r="H329" s="15">
        <v>0</v>
      </c>
      <c r="I329" s="15">
        <v>0</v>
      </c>
      <c r="J329" s="15">
        <v>0</v>
      </c>
      <c r="K329" s="15">
        <v>0</v>
      </c>
      <c r="L329" s="15">
        <v>0</v>
      </c>
      <c r="M329" s="15">
        <v>0</v>
      </c>
      <c r="N329" s="15">
        <v>0</v>
      </c>
      <c r="O329" t="s">
        <v>3028</v>
      </c>
    </row>
    <row r="330" spans="1:15" x14ac:dyDescent="0.25">
      <c r="A330" s="10" t="s">
        <v>916</v>
      </c>
      <c r="B330" s="15">
        <v>7.61</v>
      </c>
      <c r="C330" s="15">
        <v>0</v>
      </c>
      <c r="D330" s="15">
        <v>0</v>
      </c>
      <c r="E330" s="15">
        <v>17.309999999999999</v>
      </c>
      <c r="F330" s="15">
        <v>0</v>
      </c>
      <c r="G330" s="15">
        <v>0</v>
      </c>
      <c r="H330" s="15">
        <v>0</v>
      </c>
      <c r="I330" s="15">
        <v>12.26</v>
      </c>
      <c r="J330" s="15">
        <v>10.48</v>
      </c>
      <c r="K330" s="15">
        <v>0</v>
      </c>
      <c r="L330" s="15">
        <v>0</v>
      </c>
      <c r="M330" s="15">
        <v>0</v>
      </c>
      <c r="N330" s="15">
        <v>0</v>
      </c>
      <c r="O330" t="s">
        <v>3028</v>
      </c>
    </row>
    <row r="331" spans="1:15" x14ac:dyDescent="0.25">
      <c r="A331" s="10" t="s">
        <v>922</v>
      </c>
      <c r="B331" s="15">
        <v>304.64999999999998</v>
      </c>
      <c r="C331" s="15">
        <v>511.33</v>
      </c>
      <c r="D331" s="15">
        <v>268.48</v>
      </c>
      <c r="E331" s="15">
        <v>226.79</v>
      </c>
      <c r="F331" s="15">
        <v>762.6</v>
      </c>
      <c r="G331" s="15">
        <v>0</v>
      </c>
      <c r="H331" s="15">
        <v>213.87</v>
      </c>
      <c r="I331" s="15">
        <v>410.59</v>
      </c>
      <c r="J331" s="15">
        <v>337.71</v>
      </c>
      <c r="K331" s="15">
        <v>291.39999999999998</v>
      </c>
      <c r="L331" s="15">
        <v>372.8</v>
      </c>
      <c r="M331" s="15">
        <v>313.16000000000003</v>
      </c>
      <c r="N331" s="15">
        <v>343.56</v>
      </c>
      <c r="O331" t="s">
        <v>3028</v>
      </c>
    </row>
    <row r="332" spans="1:15" x14ac:dyDescent="0.25">
      <c r="A332" s="10" t="s">
        <v>928</v>
      </c>
      <c r="B332" s="15">
        <v>0</v>
      </c>
      <c r="C332" s="15">
        <v>0</v>
      </c>
      <c r="D332" s="15">
        <v>0</v>
      </c>
      <c r="E332" s="15">
        <v>15.72</v>
      </c>
      <c r="F332" s="15">
        <v>0</v>
      </c>
      <c r="G332" s="15">
        <v>0</v>
      </c>
      <c r="H332" s="15">
        <v>0</v>
      </c>
      <c r="I332" s="15">
        <v>23.54</v>
      </c>
      <c r="J332" s="15">
        <v>0</v>
      </c>
      <c r="K332" s="15">
        <v>0</v>
      </c>
      <c r="L332" s="15">
        <v>0</v>
      </c>
      <c r="M332" s="15">
        <v>0</v>
      </c>
      <c r="N332" s="15">
        <v>0</v>
      </c>
      <c r="O332" t="s">
        <v>3028</v>
      </c>
    </row>
    <row r="333" spans="1:15" x14ac:dyDescent="0.25">
      <c r="A333" s="10" t="s">
        <v>930</v>
      </c>
      <c r="B333" s="15">
        <v>26.42</v>
      </c>
      <c r="C333" s="15">
        <v>19.12</v>
      </c>
      <c r="D333" s="15">
        <v>9.9600000000000009</v>
      </c>
      <c r="E333" s="15">
        <v>16.440000000000001</v>
      </c>
      <c r="F333" s="15">
        <v>0</v>
      </c>
      <c r="G333" s="15">
        <v>0</v>
      </c>
      <c r="H333" s="15">
        <v>0</v>
      </c>
      <c r="I333" s="15">
        <v>34.450000000000003</v>
      </c>
      <c r="J333" s="15">
        <v>12.7</v>
      </c>
      <c r="K333" s="15">
        <v>100.54</v>
      </c>
      <c r="L333" s="15">
        <v>0</v>
      </c>
      <c r="M333" s="15">
        <v>8.25</v>
      </c>
      <c r="N333" s="15">
        <v>16.95</v>
      </c>
      <c r="O333" t="s">
        <v>3028</v>
      </c>
    </row>
    <row r="334" spans="1:15" x14ac:dyDescent="0.25">
      <c r="A334" s="10" t="s">
        <v>932</v>
      </c>
      <c r="B334" s="15">
        <v>26.36</v>
      </c>
      <c r="C334" s="15">
        <v>52.87</v>
      </c>
      <c r="D334" s="15">
        <v>15.96</v>
      </c>
      <c r="E334" s="15">
        <v>0</v>
      </c>
      <c r="F334" s="15">
        <v>0</v>
      </c>
      <c r="G334" s="15">
        <v>0</v>
      </c>
      <c r="H334" s="15">
        <v>0</v>
      </c>
      <c r="I334" s="15">
        <v>0</v>
      </c>
      <c r="J334" s="15">
        <v>0</v>
      </c>
      <c r="K334" s="15">
        <v>0</v>
      </c>
      <c r="L334" s="15">
        <v>0</v>
      </c>
      <c r="M334" s="15">
        <v>0</v>
      </c>
      <c r="N334" s="15">
        <v>0</v>
      </c>
      <c r="O334" t="s">
        <v>3028</v>
      </c>
    </row>
    <row r="335" spans="1:15" x14ac:dyDescent="0.25">
      <c r="A335" s="10" t="s">
        <v>934</v>
      </c>
      <c r="B335" s="15">
        <v>78.099999999999994</v>
      </c>
      <c r="C335" s="15">
        <v>86.33</v>
      </c>
      <c r="D335" s="15">
        <v>117.25</v>
      </c>
      <c r="E335" s="15">
        <v>0</v>
      </c>
      <c r="F335" s="15">
        <v>78.099999999999994</v>
      </c>
      <c r="G335" s="15">
        <v>93.11</v>
      </c>
      <c r="H335" s="15">
        <v>82.07</v>
      </c>
      <c r="I335" s="15">
        <v>223.08</v>
      </c>
      <c r="J335" s="15">
        <v>173.94</v>
      </c>
      <c r="K335" s="15">
        <v>120.61</v>
      </c>
      <c r="L335" s="15">
        <v>127.25</v>
      </c>
      <c r="M335" s="15">
        <v>194.93</v>
      </c>
      <c r="N335" s="15">
        <v>130.88</v>
      </c>
      <c r="O335" t="s">
        <v>3028</v>
      </c>
    </row>
    <row r="336" spans="1:15" x14ac:dyDescent="0.25">
      <c r="A336" s="10" t="s">
        <v>936</v>
      </c>
      <c r="B336" s="15">
        <v>34.619999999999997</v>
      </c>
      <c r="C336" s="15">
        <v>24.36</v>
      </c>
      <c r="D336" s="15">
        <v>23.89</v>
      </c>
      <c r="E336" s="15">
        <v>37.090000000000003</v>
      </c>
      <c r="F336" s="15">
        <v>0</v>
      </c>
      <c r="G336" s="15">
        <v>20.61</v>
      </c>
      <c r="H336" s="15">
        <v>23.17</v>
      </c>
      <c r="I336" s="15">
        <v>102.31</v>
      </c>
      <c r="J336" s="15">
        <v>38.43</v>
      </c>
      <c r="K336" s="15">
        <v>42.15</v>
      </c>
      <c r="L336" s="15">
        <v>43.04</v>
      </c>
      <c r="M336" s="15">
        <v>40.24</v>
      </c>
      <c r="N336" s="15">
        <v>41.62</v>
      </c>
      <c r="O336" t="s">
        <v>3028</v>
      </c>
    </row>
    <row r="337" spans="1:15" x14ac:dyDescent="0.25">
      <c r="A337" s="10" t="s">
        <v>938</v>
      </c>
      <c r="B337" s="15">
        <v>0</v>
      </c>
      <c r="C337" s="15">
        <v>25.88</v>
      </c>
      <c r="D337" s="15">
        <v>26.23</v>
      </c>
      <c r="E337" s="15">
        <v>33.590000000000003</v>
      </c>
      <c r="F337" s="15">
        <v>37.31</v>
      </c>
      <c r="G337" s="15">
        <v>25.97</v>
      </c>
      <c r="H337" s="15">
        <v>31.94</v>
      </c>
      <c r="I337" s="15">
        <v>104.3</v>
      </c>
      <c r="J337" s="15">
        <v>38.159999999999997</v>
      </c>
      <c r="K337" s="15">
        <v>50.23</v>
      </c>
      <c r="L337" s="15">
        <v>91.57</v>
      </c>
      <c r="M337" s="15">
        <v>40.61</v>
      </c>
      <c r="N337" s="15">
        <v>46.53</v>
      </c>
      <c r="O337" t="s">
        <v>3028</v>
      </c>
    </row>
    <row r="338" spans="1:15" x14ac:dyDescent="0.25">
      <c r="A338" s="10" t="s">
        <v>940</v>
      </c>
      <c r="B338" s="15">
        <v>9.44</v>
      </c>
      <c r="C338" s="15">
        <v>0</v>
      </c>
      <c r="D338" s="15">
        <v>0</v>
      </c>
      <c r="E338" s="15">
        <v>15.53</v>
      </c>
      <c r="F338" s="15">
        <v>0</v>
      </c>
      <c r="G338" s="15">
        <v>13.53</v>
      </c>
      <c r="H338" s="15">
        <v>59.73</v>
      </c>
      <c r="I338" s="15">
        <v>0</v>
      </c>
      <c r="J338" s="15">
        <v>6.52</v>
      </c>
      <c r="K338" s="15">
        <v>18.41</v>
      </c>
      <c r="L338" s="15">
        <v>8.2799999999999994</v>
      </c>
      <c r="M338" s="15">
        <v>23.43</v>
      </c>
      <c r="N338" s="15">
        <v>16.68</v>
      </c>
      <c r="O338" t="s">
        <v>3028</v>
      </c>
    </row>
    <row r="339" spans="1:15" x14ac:dyDescent="0.25">
      <c r="A339" s="10" t="s">
        <v>944</v>
      </c>
      <c r="B339" s="15">
        <v>0</v>
      </c>
      <c r="C339" s="15">
        <v>0</v>
      </c>
      <c r="D339" s="15">
        <v>0</v>
      </c>
      <c r="E339" s="15">
        <v>0</v>
      </c>
      <c r="F339" s="15">
        <v>0</v>
      </c>
      <c r="G339" s="15">
        <v>0</v>
      </c>
      <c r="H339" s="15">
        <v>0</v>
      </c>
      <c r="I339" s="15">
        <v>0</v>
      </c>
      <c r="J339" s="15">
        <v>0</v>
      </c>
      <c r="K339" s="15">
        <v>0</v>
      </c>
      <c r="L339" s="15">
        <v>14.91</v>
      </c>
      <c r="M339" s="15">
        <v>14.91</v>
      </c>
      <c r="N339" s="15">
        <v>0</v>
      </c>
      <c r="O339" t="s">
        <v>3028</v>
      </c>
    </row>
    <row r="340" spans="1:15" x14ac:dyDescent="0.25">
      <c r="A340" s="10" t="s">
        <v>946</v>
      </c>
      <c r="B340" s="15">
        <v>0</v>
      </c>
      <c r="C340" s="15">
        <v>1.03</v>
      </c>
      <c r="D340" s="15">
        <v>0</v>
      </c>
      <c r="E340" s="15">
        <v>25.1</v>
      </c>
      <c r="F340" s="15">
        <v>0</v>
      </c>
      <c r="G340" s="15">
        <v>0</v>
      </c>
      <c r="H340" s="15">
        <v>0</v>
      </c>
      <c r="I340" s="15">
        <v>2.59</v>
      </c>
      <c r="J340" s="15">
        <v>0</v>
      </c>
      <c r="K340" s="15">
        <v>17.12</v>
      </c>
      <c r="L340" s="15">
        <v>44.64</v>
      </c>
      <c r="M340" s="15">
        <v>10.93</v>
      </c>
      <c r="N340" s="15">
        <v>0</v>
      </c>
      <c r="O340" t="s">
        <v>3028</v>
      </c>
    </row>
    <row r="341" spans="1:15" x14ac:dyDescent="0.25">
      <c r="A341" s="10" t="s">
        <v>958</v>
      </c>
      <c r="B341" s="15">
        <v>7.54</v>
      </c>
      <c r="C341" s="15">
        <v>0</v>
      </c>
      <c r="D341" s="15">
        <v>0</v>
      </c>
      <c r="E341" s="15">
        <v>391.04</v>
      </c>
      <c r="F341" s="15">
        <v>0</v>
      </c>
      <c r="G341" s="15">
        <v>0</v>
      </c>
      <c r="H341" s="15">
        <v>0</v>
      </c>
      <c r="I341" s="15">
        <v>0</v>
      </c>
      <c r="J341" s="15">
        <v>0</v>
      </c>
      <c r="K341" s="15">
        <v>0</v>
      </c>
      <c r="L341" s="15">
        <v>0</v>
      </c>
      <c r="M341" s="15">
        <v>0</v>
      </c>
      <c r="N341" s="15">
        <v>0</v>
      </c>
      <c r="O341" t="s">
        <v>3028</v>
      </c>
    </row>
    <row r="342" spans="1:15" x14ac:dyDescent="0.25">
      <c r="A342" s="10" t="s">
        <v>962</v>
      </c>
      <c r="B342" s="15">
        <v>0</v>
      </c>
      <c r="C342" s="15">
        <v>34.21</v>
      </c>
      <c r="D342" s="15">
        <v>0</v>
      </c>
      <c r="E342" s="15">
        <v>0</v>
      </c>
      <c r="F342" s="15">
        <v>0</v>
      </c>
      <c r="G342" s="15">
        <v>0</v>
      </c>
      <c r="H342" s="15">
        <v>0</v>
      </c>
      <c r="I342" s="15">
        <v>0</v>
      </c>
      <c r="J342" s="15">
        <v>0</v>
      </c>
      <c r="K342" s="15">
        <v>0</v>
      </c>
      <c r="L342" s="15">
        <v>0</v>
      </c>
      <c r="M342" s="15">
        <v>0</v>
      </c>
      <c r="N342" s="15">
        <v>0</v>
      </c>
      <c r="O342" t="s">
        <v>3028</v>
      </c>
    </row>
    <row r="343" spans="1:15" x14ac:dyDescent="0.25">
      <c r="A343" s="10" t="s">
        <v>968</v>
      </c>
      <c r="B343" s="15">
        <v>111.51</v>
      </c>
      <c r="C343" s="15">
        <v>32.67</v>
      </c>
      <c r="D343" s="15">
        <v>75.67</v>
      </c>
      <c r="E343" s="15">
        <v>17.2</v>
      </c>
      <c r="F343" s="15">
        <v>43</v>
      </c>
      <c r="G343" s="15">
        <v>37.049999999999997</v>
      </c>
      <c r="H343" s="15">
        <v>0</v>
      </c>
      <c r="I343" s="15">
        <v>52.95</v>
      </c>
      <c r="J343" s="15">
        <v>35.03</v>
      </c>
      <c r="K343" s="15">
        <v>36.880000000000003</v>
      </c>
      <c r="L343" s="15">
        <v>58.51</v>
      </c>
      <c r="M343" s="15">
        <v>58.35</v>
      </c>
      <c r="N343" s="15">
        <v>54.32</v>
      </c>
      <c r="O343" t="s">
        <v>3028</v>
      </c>
    </row>
    <row r="344" spans="1:15" x14ac:dyDescent="0.25">
      <c r="A344" s="10" t="s">
        <v>970</v>
      </c>
      <c r="B344" s="15">
        <v>0</v>
      </c>
      <c r="C344" s="15">
        <v>8.7200000000000006</v>
      </c>
      <c r="D344" s="15">
        <v>23.6</v>
      </c>
      <c r="E344" s="15">
        <v>30.54</v>
      </c>
      <c r="F344" s="15">
        <v>18.809999999999999</v>
      </c>
      <c r="G344" s="15">
        <v>117.4</v>
      </c>
      <c r="H344" s="15">
        <v>0</v>
      </c>
      <c r="I344" s="15">
        <v>3.63</v>
      </c>
      <c r="J344" s="15">
        <v>48.82</v>
      </c>
      <c r="K344" s="15">
        <v>66.959999999999994</v>
      </c>
      <c r="L344" s="15">
        <v>48.63</v>
      </c>
      <c r="M344" s="15">
        <v>38.08</v>
      </c>
      <c r="N344" s="15">
        <v>32.35</v>
      </c>
      <c r="O344" t="s">
        <v>3028</v>
      </c>
    </row>
    <row r="345" spans="1:15" x14ac:dyDescent="0.25">
      <c r="A345" s="10" t="s">
        <v>974</v>
      </c>
      <c r="B345" s="15">
        <v>0</v>
      </c>
      <c r="C345" s="15">
        <v>0</v>
      </c>
      <c r="D345" s="15">
        <v>0</v>
      </c>
      <c r="E345" s="15">
        <v>2.72</v>
      </c>
      <c r="F345" s="15">
        <v>47.53</v>
      </c>
      <c r="G345" s="15">
        <v>0</v>
      </c>
      <c r="H345" s="15">
        <v>0</v>
      </c>
      <c r="I345" s="15">
        <v>38.04</v>
      </c>
      <c r="J345" s="15">
        <v>0</v>
      </c>
      <c r="K345" s="15">
        <v>0</v>
      </c>
      <c r="L345" s="15">
        <v>50.79</v>
      </c>
      <c r="M345" s="15">
        <v>16.649999999999999</v>
      </c>
      <c r="N345" s="15">
        <v>5.66</v>
      </c>
      <c r="O345" t="s">
        <v>3028</v>
      </c>
    </row>
    <row r="346" spans="1:15" x14ac:dyDescent="0.25">
      <c r="A346" s="10" t="s">
        <v>976</v>
      </c>
      <c r="B346" s="15">
        <v>2536.73</v>
      </c>
      <c r="C346" s="15">
        <v>2401.86</v>
      </c>
      <c r="D346" s="15">
        <v>2413</v>
      </c>
      <c r="E346" s="15">
        <v>6080.1</v>
      </c>
      <c r="F346" s="15">
        <v>0</v>
      </c>
      <c r="G346" s="15">
        <v>1322.93</v>
      </c>
      <c r="H346" s="15">
        <v>1322.93</v>
      </c>
      <c r="I346" s="15">
        <v>2015.03</v>
      </c>
      <c r="J346" s="15">
        <v>1553.63</v>
      </c>
      <c r="K346" s="15">
        <v>1553.63</v>
      </c>
      <c r="L346" s="15">
        <v>1553.63</v>
      </c>
      <c r="M346" s="15">
        <v>1553.63</v>
      </c>
      <c r="N346" s="15">
        <v>1963.4</v>
      </c>
      <c r="O346" t="s">
        <v>3028</v>
      </c>
    </row>
    <row r="347" spans="1:15" x14ac:dyDescent="0.25">
      <c r="A347" s="10" t="s">
        <v>978</v>
      </c>
      <c r="B347" s="15">
        <v>696.55</v>
      </c>
      <c r="C347" s="15">
        <v>396.36</v>
      </c>
      <c r="D347" s="15">
        <v>293.33999999999997</v>
      </c>
      <c r="E347" s="15">
        <v>389.87</v>
      </c>
      <c r="F347" s="15">
        <v>391.59</v>
      </c>
      <c r="G347" s="15">
        <v>375.97</v>
      </c>
      <c r="H347" s="15">
        <v>426.35</v>
      </c>
      <c r="I347" s="15">
        <v>1168.8800000000001</v>
      </c>
      <c r="J347" s="15">
        <v>570.65</v>
      </c>
      <c r="K347" s="15">
        <v>580.55999999999995</v>
      </c>
      <c r="L347" s="15">
        <v>498.58</v>
      </c>
      <c r="M347" s="15">
        <v>513.14</v>
      </c>
      <c r="N347" s="15">
        <v>595.38</v>
      </c>
      <c r="O347" t="s">
        <v>3028</v>
      </c>
    </row>
    <row r="348" spans="1:15" x14ac:dyDescent="0.25">
      <c r="A348" s="10" t="s">
        <v>980</v>
      </c>
      <c r="B348" s="15">
        <v>6.11</v>
      </c>
      <c r="C348" s="15">
        <v>0.8</v>
      </c>
      <c r="D348" s="15">
        <v>1.23</v>
      </c>
      <c r="E348" s="15">
        <v>0.8</v>
      </c>
      <c r="F348" s="15">
        <v>1.56</v>
      </c>
      <c r="G348" s="15">
        <v>46.39</v>
      </c>
      <c r="H348" s="15">
        <v>0</v>
      </c>
      <c r="I348" s="15">
        <v>13.17</v>
      </c>
      <c r="J348" s="15">
        <v>14.91</v>
      </c>
      <c r="K348" s="15">
        <v>14.91</v>
      </c>
      <c r="L348" s="15">
        <v>14.91</v>
      </c>
      <c r="M348" s="15">
        <v>14.91</v>
      </c>
      <c r="N348" s="15">
        <v>15.5</v>
      </c>
      <c r="O348" t="s">
        <v>3028</v>
      </c>
    </row>
    <row r="349" spans="1:15" x14ac:dyDescent="0.25">
      <c r="A349" s="10" t="s">
        <v>986</v>
      </c>
      <c r="B349" s="15">
        <v>15.21</v>
      </c>
      <c r="C349" s="15">
        <v>30.52</v>
      </c>
      <c r="D349" s="15">
        <v>16.25</v>
      </c>
      <c r="E349" s="15">
        <v>16.510000000000002</v>
      </c>
      <c r="F349" s="15">
        <v>86.06</v>
      </c>
      <c r="G349" s="15">
        <v>0</v>
      </c>
      <c r="H349" s="15">
        <v>0.37</v>
      </c>
      <c r="I349" s="15">
        <v>33.03</v>
      </c>
      <c r="J349" s="15">
        <v>11.93</v>
      </c>
      <c r="K349" s="15">
        <v>14.58</v>
      </c>
      <c r="L349" s="15">
        <v>31.04</v>
      </c>
      <c r="M349" s="15">
        <v>13.14</v>
      </c>
      <c r="N349" s="15">
        <v>22.46</v>
      </c>
      <c r="O349" t="s">
        <v>3028</v>
      </c>
    </row>
    <row r="350" spans="1:15" x14ac:dyDescent="0.25">
      <c r="A350" s="10" t="s">
        <v>990</v>
      </c>
      <c r="B350" s="15">
        <v>0</v>
      </c>
      <c r="C350" s="15">
        <v>0</v>
      </c>
      <c r="D350" s="15">
        <v>0</v>
      </c>
      <c r="E350" s="15">
        <v>0</v>
      </c>
      <c r="F350" s="15">
        <v>0</v>
      </c>
      <c r="G350" s="15">
        <v>0</v>
      </c>
      <c r="H350" s="15">
        <v>0</v>
      </c>
      <c r="I350" s="15">
        <v>0</v>
      </c>
      <c r="J350" s="15">
        <v>82.49</v>
      </c>
      <c r="K350" s="15">
        <v>209.85</v>
      </c>
      <c r="L350" s="15">
        <v>224.85</v>
      </c>
      <c r="M350" s="15">
        <v>203.35</v>
      </c>
      <c r="N350" s="15">
        <v>0</v>
      </c>
      <c r="O350" t="s">
        <v>3028</v>
      </c>
    </row>
    <row r="351" spans="1:15" x14ac:dyDescent="0.25">
      <c r="A351" s="10" t="s">
        <v>992</v>
      </c>
      <c r="B351" s="15">
        <v>31.07</v>
      </c>
      <c r="C351" s="15">
        <v>12.81</v>
      </c>
      <c r="D351" s="15">
        <v>0</v>
      </c>
      <c r="E351" s="15">
        <v>0</v>
      </c>
      <c r="F351" s="15">
        <v>0</v>
      </c>
      <c r="G351" s="15">
        <v>0</v>
      </c>
      <c r="H351" s="15">
        <v>0</v>
      </c>
      <c r="I351" s="15">
        <v>0</v>
      </c>
      <c r="J351" s="15">
        <v>0</v>
      </c>
      <c r="K351" s="15">
        <v>0</v>
      </c>
      <c r="L351" s="15">
        <v>0</v>
      </c>
      <c r="M351" s="15">
        <v>0</v>
      </c>
      <c r="N351" s="15">
        <v>0</v>
      </c>
      <c r="O351" t="s">
        <v>3028</v>
      </c>
    </row>
    <row r="352" spans="1:15" x14ac:dyDescent="0.25">
      <c r="A352" s="10" t="s">
        <v>994</v>
      </c>
      <c r="B352" s="15">
        <v>0</v>
      </c>
      <c r="C352" s="15">
        <v>0</v>
      </c>
      <c r="D352" s="15">
        <v>0</v>
      </c>
      <c r="E352" s="15">
        <v>0</v>
      </c>
      <c r="F352" s="15">
        <v>0</v>
      </c>
      <c r="G352" s="15">
        <v>0</v>
      </c>
      <c r="H352" s="15">
        <v>0</v>
      </c>
      <c r="I352" s="15">
        <v>33.97</v>
      </c>
      <c r="J352" s="15">
        <v>17.170000000000002</v>
      </c>
      <c r="K352" s="15">
        <v>31.25</v>
      </c>
      <c r="L352" s="15">
        <v>3.57</v>
      </c>
      <c r="M352" s="15">
        <v>0</v>
      </c>
      <c r="N352" s="15">
        <v>4.34</v>
      </c>
      <c r="O352" t="s">
        <v>3028</v>
      </c>
    </row>
    <row r="353" spans="1:15" x14ac:dyDescent="0.25">
      <c r="A353" s="10" t="s">
        <v>996</v>
      </c>
      <c r="B353" s="15">
        <v>0</v>
      </c>
      <c r="C353" s="15">
        <v>27.83</v>
      </c>
      <c r="D353" s="15">
        <v>44.49</v>
      </c>
      <c r="E353" s="15">
        <v>50.36</v>
      </c>
      <c r="F353" s="15">
        <v>0</v>
      </c>
      <c r="G353" s="15">
        <v>18.89</v>
      </c>
      <c r="H353" s="15">
        <v>21.55</v>
      </c>
      <c r="I353" s="15">
        <v>88.39</v>
      </c>
      <c r="J353" s="15">
        <v>46.79</v>
      </c>
      <c r="K353" s="15">
        <v>42.01</v>
      </c>
      <c r="L353" s="15">
        <v>40.08</v>
      </c>
      <c r="M353" s="15">
        <v>40.01</v>
      </c>
      <c r="N353" s="15">
        <v>41.37</v>
      </c>
      <c r="O353" t="s">
        <v>3028</v>
      </c>
    </row>
    <row r="354" spans="1:15" x14ac:dyDescent="0.25">
      <c r="A354" s="10" t="s">
        <v>998</v>
      </c>
      <c r="B354" s="15">
        <v>107.84</v>
      </c>
      <c r="C354" s="15">
        <v>68.72</v>
      </c>
      <c r="D354" s="15">
        <v>68.72</v>
      </c>
      <c r="E354" s="15">
        <v>68.72</v>
      </c>
      <c r="F354" s="15">
        <v>68.72</v>
      </c>
      <c r="G354" s="15">
        <v>116.3</v>
      </c>
      <c r="H354" s="15">
        <v>0</v>
      </c>
      <c r="I354" s="15">
        <v>172.93</v>
      </c>
      <c r="J354" s="15">
        <v>115.38</v>
      </c>
      <c r="K354" s="15">
        <v>115.38</v>
      </c>
      <c r="L354" s="15">
        <v>115.38</v>
      </c>
      <c r="M354" s="15">
        <v>115.38</v>
      </c>
      <c r="N354" s="15">
        <v>118.93</v>
      </c>
      <c r="O354" t="s">
        <v>3028</v>
      </c>
    </row>
    <row r="355" spans="1:15" x14ac:dyDescent="0.25">
      <c r="A355" s="10" t="s">
        <v>1002</v>
      </c>
      <c r="B355" s="15">
        <v>0</v>
      </c>
      <c r="C355" s="15">
        <v>0</v>
      </c>
      <c r="D355" s="15">
        <v>0</v>
      </c>
      <c r="E355" s="15">
        <v>0</v>
      </c>
      <c r="F355" s="15">
        <v>10.26</v>
      </c>
      <c r="G355" s="15">
        <v>0</v>
      </c>
      <c r="H355" s="15">
        <v>0</v>
      </c>
      <c r="I355" s="15">
        <v>17.579999999999998</v>
      </c>
      <c r="J355" s="15">
        <v>0</v>
      </c>
      <c r="K355" s="15">
        <v>0</v>
      </c>
      <c r="L355" s="15">
        <v>0</v>
      </c>
      <c r="M355" s="15">
        <v>0</v>
      </c>
      <c r="N355" s="15">
        <v>0</v>
      </c>
      <c r="O355" t="s">
        <v>3028</v>
      </c>
    </row>
    <row r="356" spans="1:15" x14ac:dyDescent="0.25">
      <c r="A356" s="10" t="s">
        <v>1004</v>
      </c>
      <c r="B356" s="15">
        <v>36.21</v>
      </c>
      <c r="C356" s="15">
        <v>25.59</v>
      </c>
      <c r="D356" s="15">
        <v>20.57</v>
      </c>
      <c r="E356" s="15">
        <v>28.02</v>
      </c>
      <c r="F356" s="15">
        <v>0</v>
      </c>
      <c r="G356" s="15">
        <v>26.29</v>
      </c>
      <c r="H356" s="15">
        <v>26.2</v>
      </c>
      <c r="I356" s="15">
        <v>73.180000000000007</v>
      </c>
      <c r="J356" s="15">
        <v>36.93</v>
      </c>
      <c r="K356" s="15">
        <v>36.28</v>
      </c>
      <c r="L356" s="15">
        <v>39.04</v>
      </c>
      <c r="M356" s="15">
        <v>32.32</v>
      </c>
      <c r="N356" s="15">
        <v>38.31</v>
      </c>
      <c r="O356" t="s">
        <v>3028</v>
      </c>
    </row>
    <row r="357" spans="1:15" x14ac:dyDescent="0.25">
      <c r="A357" s="10" t="s">
        <v>1006</v>
      </c>
      <c r="B357" s="15">
        <v>0</v>
      </c>
      <c r="C357" s="15">
        <v>0</v>
      </c>
      <c r="D357" s="15">
        <v>0</v>
      </c>
      <c r="E357" s="15">
        <v>0</v>
      </c>
      <c r="F357" s="15">
        <v>0</v>
      </c>
      <c r="G357" s="15">
        <v>0</v>
      </c>
      <c r="H357" s="15">
        <v>0</v>
      </c>
      <c r="I357" s="15">
        <v>83.62</v>
      </c>
      <c r="J357" s="15">
        <v>45.91</v>
      </c>
      <c r="K357" s="15">
        <v>0</v>
      </c>
      <c r="L357" s="15">
        <v>4.22</v>
      </c>
      <c r="M357" s="15">
        <v>0</v>
      </c>
      <c r="N357" s="15">
        <v>2.98</v>
      </c>
      <c r="O357" t="s">
        <v>3028</v>
      </c>
    </row>
    <row r="358" spans="1:15" x14ac:dyDescent="0.25">
      <c r="A358" s="10" t="s">
        <v>1008</v>
      </c>
      <c r="B358" s="15">
        <v>28.3</v>
      </c>
      <c r="C358" s="15">
        <v>5.39</v>
      </c>
      <c r="D358" s="15">
        <v>46.48</v>
      </c>
      <c r="E358" s="15">
        <v>0</v>
      </c>
      <c r="F358" s="15">
        <v>0</v>
      </c>
      <c r="G358" s="15">
        <v>0</v>
      </c>
      <c r="H358" s="15">
        <v>20.21</v>
      </c>
      <c r="I358" s="15">
        <v>77.680000000000007</v>
      </c>
      <c r="J358" s="15">
        <v>24.88</v>
      </c>
      <c r="K358" s="15">
        <v>33.200000000000003</v>
      </c>
      <c r="L358" s="15">
        <v>29.28</v>
      </c>
      <c r="M358" s="15">
        <v>7.92</v>
      </c>
      <c r="N358" s="15">
        <v>24.45</v>
      </c>
      <c r="O358" t="s">
        <v>3028</v>
      </c>
    </row>
    <row r="359" spans="1:15" x14ac:dyDescent="0.25">
      <c r="A359" s="10" t="s">
        <v>1010</v>
      </c>
      <c r="B359" s="15">
        <v>58.11</v>
      </c>
      <c r="C359" s="15">
        <v>4.88</v>
      </c>
      <c r="D359" s="15">
        <v>4.49</v>
      </c>
      <c r="E359" s="15">
        <v>4.49</v>
      </c>
      <c r="F359" s="15">
        <v>4.49</v>
      </c>
      <c r="G359" s="15">
        <v>7.68</v>
      </c>
      <c r="H359" s="15">
        <v>0</v>
      </c>
      <c r="I359" s="15">
        <v>46.23</v>
      </c>
      <c r="J359" s="15">
        <v>23.14</v>
      </c>
      <c r="K359" s="15">
        <v>25.52</v>
      </c>
      <c r="L359" s="15">
        <v>23.14</v>
      </c>
      <c r="M359" s="15">
        <v>23.73</v>
      </c>
      <c r="N359" s="15">
        <v>28.55</v>
      </c>
      <c r="O359" t="s">
        <v>3028</v>
      </c>
    </row>
    <row r="360" spans="1:15" x14ac:dyDescent="0.25">
      <c r="A360" s="10" t="s">
        <v>1014</v>
      </c>
      <c r="B360" s="15">
        <v>401.91</v>
      </c>
      <c r="C360" s="15">
        <v>352.41</v>
      </c>
      <c r="D360" s="15">
        <v>354.46</v>
      </c>
      <c r="E360" s="15">
        <v>349.79</v>
      </c>
      <c r="F360" s="15">
        <v>331.91</v>
      </c>
      <c r="G360" s="15">
        <v>1186.97</v>
      </c>
      <c r="H360" s="15">
        <v>0</v>
      </c>
      <c r="I360" s="15">
        <v>352.7</v>
      </c>
      <c r="J360" s="15">
        <v>440.22</v>
      </c>
      <c r="K360" s="15">
        <v>413.54</v>
      </c>
      <c r="L360" s="15">
        <v>261.77</v>
      </c>
      <c r="M360" s="15">
        <v>283.02</v>
      </c>
      <c r="N360" s="15">
        <v>396.3</v>
      </c>
      <c r="O360" t="s">
        <v>3028</v>
      </c>
    </row>
    <row r="361" spans="1:15" x14ac:dyDescent="0.25">
      <c r="A361" s="10" t="s">
        <v>1018</v>
      </c>
      <c r="B361" s="15">
        <v>0</v>
      </c>
      <c r="C361" s="15">
        <v>0</v>
      </c>
      <c r="D361" s="15">
        <v>0</v>
      </c>
      <c r="E361" s="15">
        <v>175.4</v>
      </c>
      <c r="F361" s="15">
        <v>0</v>
      </c>
      <c r="G361" s="15">
        <v>0</v>
      </c>
      <c r="H361" s="15">
        <v>0</v>
      </c>
      <c r="I361" s="15">
        <v>24.55</v>
      </c>
      <c r="J361" s="15">
        <v>54.63</v>
      </c>
      <c r="K361" s="15">
        <v>34.61</v>
      </c>
      <c r="L361" s="15">
        <v>30.54</v>
      </c>
      <c r="M361" s="15">
        <v>22.83</v>
      </c>
      <c r="N361" s="15">
        <v>34.159999999999997</v>
      </c>
      <c r="O361" t="s">
        <v>3028</v>
      </c>
    </row>
    <row r="362" spans="1:15" x14ac:dyDescent="0.25">
      <c r="A362" s="10" t="s">
        <v>1020</v>
      </c>
      <c r="B362" s="15">
        <v>191.82</v>
      </c>
      <c r="C362" s="15">
        <v>163.53</v>
      </c>
      <c r="D362" s="15">
        <v>163.96</v>
      </c>
      <c r="E362" s="15">
        <v>163.53</v>
      </c>
      <c r="F362" s="15">
        <v>163.53</v>
      </c>
      <c r="G362" s="15">
        <v>440.45</v>
      </c>
      <c r="H362" s="15">
        <v>73.150000000000006</v>
      </c>
      <c r="I362" s="15">
        <v>389.61</v>
      </c>
      <c r="J362" s="15">
        <v>217.71</v>
      </c>
      <c r="K362" s="15">
        <v>221.06</v>
      </c>
      <c r="L362" s="15">
        <v>217.71</v>
      </c>
      <c r="M362" s="15">
        <v>217.71</v>
      </c>
      <c r="N362" s="15">
        <v>231.77</v>
      </c>
      <c r="O362" t="s">
        <v>3028</v>
      </c>
    </row>
    <row r="363" spans="1:15" x14ac:dyDescent="0.25">
      <c r="A363" s="10" t="s">
        <v>1022</v>
      </c>
      <c r="B363" s="15">
        <v>0</v>
      </c>
      <c r="C363" s="15">
        <v>783.8</v>
      </c>
      <c r="D363" s="15">
        <v>846.22</v>
      </c>
      <c r="E363" s="15">
        <v>846.22</v>
      </c>
      <c r="F363" s="15">
        <v>846.22</v>
      </c>
      <c r="G363" s="15">
        <v>846.22</v>
      </c>
      <c r="H363" s="15">
        <v>846.22</v>
      </c>
      <c r="I363" s="15">
        <v>1397.88</v>
      </c>
      <c r="J363" s="15">
        <v>1030.0999999999999</v>
      </c>
      <c r="K363" s="15">
        <v>1030.0999999999999</v>
      </c>
      <c r="L363" s="15">
        <v>1030.0999999999999</v>
      </c>
      <c r="M363" s="15">
        <v>7425.14</v>
      </c>
      <c r="N363" s="15">
        <v>858.73</v>
      </c>
      <c r="O363" t="s">
        <v>3028</v>
      </c>
    </row>
    <row r="364" spans="1:15" x14ac:dyDescent="0.25">
      <c r="A364" s="10" t="s">
        <v>1024</v>
      </c>
      <c r="B364" s="15">
        <v>0</v>
      </c>
      <c r="C364" s="15">
        <v>155.4</v>
      </c>
      <c r="D364" s="15">
        <v>197.64</v>
      </c>
      <c r="E364" s="15">
        <v>197.64</v>
      </c>
      <c r="F364" s="15">
        <v>491.68</v>
      </c>
      <c r="G364" s="15">
        <v>66.069999999999993</v>
      </c>
      <c r="H364" s="15">
        <v>197.64</v>
      </c>
      <c r="I364" s="15">
        <v>420.82</v>
      </c>
      <c r="J364" s="15">
        <v>273.91000000000003</v>
      </c>
      <c r="K364" s="15">
        <v>273.91000000000003</v>
      </c>
      <c r="L364" s="15">
        <v>273.91000000000003</v>
      </c>
      <c r="M364" s="15">
        <v>273.91000000000003</v>
      </c>
      <c r="N364" s="15">
        <v>273.91000000000003</v>
      </c>
      <c r="O364" t="s">
        <v>3028</v>
      </c>
    </row>
    <row r="365" spans="1:15" x14ac:dyDescent="0.25">
      <c r="A365" s="10" t="s">
        <v>1026</v>
      </c>
      <c r="B365" s="15">
        <v>0</v>
      </c>
      <c r="C365" s="15">
        <v>0</v>
      </c>
      <c r="D365" s="15">
        <v>0</v>
      </c>
      <c r="E365" s="15">
        <v>0</v>
      </c>
      <c r="F365" s="15">
        <v>0</v>
      </c>
      <c r="G365" s="15">
        <v>0</v>
      </c>
      <c r="H365" s="15">
        <v>0</v>
      </c>
      <c r="I365" s="15">
        <v>0</v>
      </c>
      <c r="J365" s="15">
        <v>13.27</v>
      </c>
      <c r="K365" s="15">
        <v>0</v>
      </c>
      <c r="L365" s="15">
        <v>0</v>
      </c>
      <c r="M365" s="15">
        <v>0</v>
      </c>
      <c r="N365" s="15">
        <v>0</v>
      </c>
      <c r="O365" t="s">
        <v>3028</v>
      </c>
    </row>
    <row r="366" spans="1:15" x14ac:dyDescent="0.25">
      <c r="A366" s="10" t="s">
        <v>1028</v>
      </c>
      <c r="B366" s="15">
        <v>0</v>
      </c>
      <c r="C366" s="15">
        <v>0</v>
      </c>
      <c r="D366" s="15">
        <v>0</v>
      </c>
      <c r="E366" s="15">
        <v>26.46</v>
      </c>
      <c r="F366" s="15">
        <v>0</v>
      </c>
      <c r="G366" s="15">
        <v>0</v>
      </c>
      <c r="H366" s="15">
        <v>0</v>
      </c>
      <c r="I366" s="15">
        <v>17.96</v>
      </c>
      <c r="J366" s="15">
        <v>0</v>
      </c>
      <c r="K366" s="15">
        <v>0</v>
      </c>
      <c r="L366" s="15">
        <v>0</v>
      </c>
      <c r="M366" s="15">
        <v>0</v>
      </c>
      <c r="N366" s="15">
        <v>0</v>
      </c>
      <c r="O366" t="s">
        <v>3028</v>
      </c>
    </row>
    <row r="367" spans="1:15" x14ac:dyDescent="0.25">
      <c r="A367" s="10" t="s">
        <v>1030</v>
      </c>
      <c r="B367" s="15">
        <v>3.44</v>
      </c>
      <c r="C367" s="15">
        <v>0</v>
      </c>
      <c r="D367" s="15">
        <v>0</v>
      </c>
      <c r="E367" s="15">
        <v>0</v>
      </c>
      <c r="F367" s="15">
        <v>0</v>
      </c>
      <c r="G367" s="15">
        <v>64.16</v>
      </c>
      <c r="H367" s="15">
        <v>0</v>
      </c>
      <c r="I367" s="15">
        <v>58.73</v>
      </c>
      <c r="J367" s="15">
        <v>107.76</v>
      </c>
      <c r="K367" s="15">
        <v>0</v>
      </c>
      <c r="L367" s="15">
        <v>14.59</v>
      </c>
      <c r="M367" s="15">
        <v>23.52</v>
      </c>
      <c r="N367" s="15">
        <v>19.53</v>
      </c>
      <c r="O367" t="s">
        <v>3028</v>
      </c>
    </row>
    <row r="368" spans="1:15" x14ac:dyDescent="0.25">
      <c r="A368" s="10" t="s">
        <v>1032</v>
      </c>
      <c r="B368" s="15">
        <v>409.21</v>
      </c>
      <c r="C368" s="15">
        <v>342.95</v>
      </c>
      <c r="D368" s="15">
        <v>395.4</v>
      </c>
      <c r="E368" s="15">
        <v>235.16</v>
      </c>
      <c r="F368" s="15">
        <v>239.68</v>
      </c>
      <c r="G368" s="15">
        <v>225.81</v>
      </c>
      <c r="H368" s="15">
        <v>227.36</v>
      </c>
      <c r="I368" s="15">
        <v>560.61</v>
      </c>
      <c r="J368" s="15">
        <v>336.7</v>
      </c>
      <c r="K368" s="15">
        <v>323.86</v>
      </c>
      <c r="L368" s="15">
        <v>328.45</v>
      </c>
      <c r="M368" s="15">
        <v>337.87</v>
      </c>
      <c r="N368" s="15">
        <v>374.61</v>
      </c>
      <c r="O368" t="s">
        <v>3028</v>
      </c>
    </row>
    <row r="369" spans="1:15" x14ac:dyDescent="0.25">
      <c r="A369" s="10" t="s">
        <v>1034</v>
      </c>
      <c r="B369" s="15">
        <v>0</v>
      </c>
      <c r="C369" s="15">
        <v>0</v>
      </c>
      <c r="D369" s="15">
        <v>0</v>
      </c>
      <c r="E369" s="15">
        <v>0</v>
      </c>
      <c r="F369" s="15">
        <v>0</v>
      </c>
      <c r="G369" s="15">
        <v>0</v>
      </c>
      <c r="H369" s="15">
        <v>0</v>
      </c>
      <c r="I369" s="15">
        <v>17.88</v>
      </c>
      <c r="J369" s="15">
        <v>112.38</v>
      </c>
      <c r="K369" s="15">
        <v>0</v>
      </c>
      <c r="L369" s="15">
        <v>0</v>
      </c>
      <c r="M369" s="15">
        <v>0</v>
      </c>
      <c r="N369" s="15">
        <v>1.06</v>
      </c>
      <c r="O369" t="s">
        <v>3028</v>
      </c>
    </row>
    <row r="370" spans="1:15" x14ac:dyDescent="0.25">
      <c r="A370" s="10" t="s">
        <v>1038</v>
      </c>
      <c r="B370" s="15">
        <v>0</v>
      </c>
      <c r="C370" s="15">
        <v>21.65</v>
      </c>
      <c r="D370" s="15">
        <v>191.67</v>
      </c>
      <c r="E370" s="15">
        <v>128.46</v>
      </c>
      <c r="F370" s="15">
        <v>36.24</v>
      </c>
      <c r="G370" s="15">
        <v>76.14</v>
      </c>
      <c r="H370" s="15">
        <v>13.46</v>
      </c>
      <c r="I370" s="15">
        <v>28.77</v>
      </c>
      <c r="J370" s="15">
        <v>89.53</v>
      </c>
      <c r="K370" s="15">
        <v>102.03</v>
      </c>
      <c r="L370" s="15">
        <v>113.92</v>
      </c>
      <c r="M370" s="15">
        <v>75.92</v>
      </c>
      <c r="N370" s="15">
        <v>108.93</v>
      </c>
      <c r="O370" t="s">
        <v>3028</v>
      </c>
    </row>
    <row r="371" spans="1:15" x14ac:dyDescent="0.25">
      <c r="A371" s="10" t="s">
        <v>1040</v>
      </c>
      <c r="B371" s="15">
        <v>0</v>
      </c>
      <c r="C371" s="15">
        <v>0</v>
      </c>
      <c r="D371" s="15">
        <v>0</v>
      </c>
      <c r="E371" s="15">
        <v>0</v>
      </c>
      <c r="F371" s="15">
        <v>0</v>
      </c>
      <c r="G371" s="15">
        <v>0</v>
      </c>
      <c r="H371" s="15">
        <v>57.72</v>
      </c>
      <c r="I371" s="15">
        <v>0</v>
      </c>
      <c r="J371" s="15">
        <v>2.87</v>
      </c>
      <c r="K371" s="15">
        <v>14.49</v>
      </c>
      <c r="L371" s="15">
        <v>1.95</v>
      </c>
      <c r="M371" s="15">
        <v>8.86</v>
      </c>
      <c r="N371" s="15">
        <v>6.49</v>
      </c>
      <c r="O371" t="s">
        <v>3028</v>
      </c>
    </row>
    <row r="372" spans="1:15" x14ac:dyDescent="0.25">
      <c r="A372" s="10" t="s">
        <v>1042</v>
      </c>
      <c r="B372" s="15">
        <v>54.31</v>
      </c>
      <c r="C372" s="15">
        <v>64.72</v>
      </c>
      <c r="D372" s="15">
        <v>54.92</v>
      </c>
      <c r="E372" s="15">
        <v>42.02</v>
      </c>
      <c r="F372" s="15">
        <v>113.05</v>
      </c>
      <c r="G372" s="15">
        <v>0</v>
      </c>
      <c r="H372" s="15">
        <v>18.25</v>
      </c>
      <c r="I372" s="15">
        <v>0</v>
      </c>
      <c r="J372" s="15">
        <v>0</v>
      </c>
      <c r="K372" s="15">
        <v>0</v>
      </c>
      <c r="L372" s="15">
        <v>7.85</v>
      </c>
      <c r="M372" s="15">
        <v>0</v>
      </c>
      <c r="N372" s="15">
        <v>8.3000000000000007</v>
      </c>
      <c r="O372" t="s">
        <v>3028</v>
      </c>
    </row>
    <row r="373" spans="1:15" x14ac:dyDescent="0.25">
      <c r="A373" s="10" t="s">
        <v>1049</v>
      </c>
      <c r="B373" s="15">
        <v>338.31</v>
      </c>
      <c r="C373" s="15">
        <v>1024.9100000000001</v>
      </c>
      <c r="D373" s="15">
        <v>0</v>
      </c>
      <c r="E373" s="15">
        <v>291.79000000000002</v>
      </c>
      <c r="F373" s="15">
        <v>299.85000000000002</v>
      </c>
      <c r="G373" s="15">
        <v>292.48</v>
      </c>
      <c r="H373" s="15">
        <v>289.12</v>
      </c>
      <c r="I373" s="15">
        <v>622.07000000000005</v>
      </c>
      <c r="J373" s="15">
        <v>528.66999999999996</v>
      </c>
      <c r="K373" s="15">
        <v>383.78</v>
      </c>
      <c r="L373" s="15">
        <v>392.07</v>
      </c>
      <c r="M373" s="15">
        <v>388.02</v>
      </c>
      <c r="N373" s="15">
        <v>400.91</v>
      </c>
      <c r="O373" t="s">
        <v>3028</v>
      </c>
    </row>
    <row r="374" spans="1:15" x14ac:dyDescent="0.25">
      <c r="A374" s="10" t="s">
        <v>1051</v>
      </c>
      <c r="B374" s="15">
        <v>0</v>
      </c>
      <c r="C374" s="15">
        <v>0</v>
      </c>
      <c r="D374" s="15">
        <v>0</v>
      </c>
      <c r="E374" s="15">
        <v>0</v>
      </c>
      <c r="F374" s="15">
        <v>0</v>
      </c>
      <c r="G374" s="15">
        <v>0</v>
      </c>
      <c r="H374" s="15">
        <v>0.28000000000000003</v>
      </c>
      <c r="I374" s="15">
        <v>42.54</v>
      </c>
      <c r="J374" s="15">
        <v>33.700000000000003</v>
      </c>
      <c r="K374" s="15">
        <v>33.659999999999997</v>
      </c>
      <c r="L374" s="15">
        <v>30.84</v>
      </c>
      <c r="M374" s="15">
        <v>66.760000000000005</v>
      </c>
      <c r="N374" s="15">
        <v>0</v>
      </c>
      <c r="O374" t="s">
        <v>3028</v>
      </c>
    </row>
    <row r="375" spans="1:15" x14ac:dyDescent="0.25">
      <c r="A375" s="10" t="s">
        <v>1053</v>
      </c>
      <c r="B375" s="15">
        <v>0</v>
      </c>
      <c r="C375" s="15">
        <v>0</v>
      </c>
      <c r="D375" s="15">
        <v>0</v>
      </c>
      <c r="E375" s="15">
        <v>0</v>
      </c>
      <c r="F375" s="15">
        <v>0</v>
      </c>
      <c r="G375" s="15">
        <v>0</v>
      </c>
      <c r="H375" s="15">
        <v>0</v>
      </c>
      <c r="I375" s="15">
        <v>0</v>
      </c>
      <c r="J375" s="15">
        <v>0</v>
      </c>
      <c r="K375" s="15">
        <v>0</v>
      </c>
      <c r="L375" s="15">
        <v>0</v>
      </c>
      <c r="M375" s="15">
        <v>26.16</v>
      </c>
      <c r="N375" s="15">
        <v>0</v>
      </c>
      <c r="O375" t="s">
        <v>3028</v>
      </c>
    </row>
    <row r="376" spans="1:15" x14ac:dyDescent="0.25">
      <c r="A376" s="10" t="s">
        <v>1057</v>
      </c>
      <c r="B376" s="15">
        <v>19.64</v>
      </c>
      <c r="C376" s="15">
        <v>32.97</v>
      </c>
      <c r="D376" s="15">
        <v>79.27</v>
      </c>
      <c r="E376" s="15">
        <v>0</v>
      </c>
      <c r="F376" s="15">
        <v>0</v>
      </c>
      <c r="G376" s="15">
        <v>3.13</v>
      </c>
      <c r="H376" s="15">
        <v>0</v>
      </c>
      <c r="I376" s="15">
        <v>44.62</v>
      </c>
      <c r="J376" s="15">
        <v>5.01</v>
      </c>
      <c r="K376" s="15">
        <v>19.3</v>
      </c>
      <c r="L376" s="15">
        <v>53.59</v>
      </c>
      <c r="M376" s="15">
        <v>51.45</v>
      </c>
      <c r="N376" s="15">
        <v>23.67</v>
      </c>
      <c r="O376" t="s">
        <v>3028</v>
      </c>
    </row>
    <row r="377" spans="1:15" x14ac:dyDescent="0.25">
      <c r="A377" s="10" t="s">
        <v>1061</v>
      </c>
      <c r="B377" s="15">
        <v>46.12</v>
      </c>
      <c r="C377" s="15">
        <v>6.63</v>
      </c>
      <c r="D377" s="15">
        <v>32.99</v>
      </c>
      <c r="E377" s="15">
        <v>39.659999999999997</v>
      </c>
      <c r="F377" s="15">
        <v>0</v>
      </c>
      <c r="G377" s="15">
        <v>39.18</v>
      </c>
      <c r="H377" s="15">
        <v>40.799999999999997</v>
      </c>
      <c r="I377" s="15">
        <v>119.96</v>
      </c>
      <c r="J377" s="15">
        <v>59.2</v>
      </c>
      <c r="K377" s="15">
        <v>54.99</v>
      </c>
      <c r="L377" s="15">
        <v>60.76</v>
      </c>
      <c r="M377" s="15">
        <v>60.81</v>
      </c>
      <c r="N377" s="15">
        <v>51.83</v>
      </c>
      <c r="O377" t="s">
        <v>3028</v>
      </c>
    </row>
    <row r="378" spans="1:15" x14ac:dyDescent="0.25">
      <c r="A378" s="10" t="s">
        <v>1067</v>
      </c>
      <c r="B378" s="15">
        <v>75.680000000000007</v>
      </c>
      <c r="C378" s="15">
        <v>0</v>
      </c>
      <c r="D378" s="15">
        <v>0</v>
      </c>
      <c r="E378" s="15">
        <v>0</v>
      </c>
      <c r="F378" s="15">
        <v>0</v>
      </c>
      <c r="G378" s="15">
        <v>0</v>
      </c>
      <c r="H378" s="15">
        <v>0</v>
      </c>
      <c r="I378" s="15">
        <v>0</v>
      </c>
      <c r="J378" s="15">
        <v>0</v>
      </c>
      <c r="K378" s="15">
        <v>0</v>
      </c>
      <c r="L378" s="15">
        <v>0</v>
      </c>
      <c r="M378" s="15">
        <v>0</v>
      </c>
      <c r="N378" s="15">
        <v>0</v>
      </c>
      <c r="O378" t="s">
        <v>3028</v>
      </c>
    </row>
    <row r="379" spans="1:15" x14ac:dyDescent="0.25">
      <c r="A379" s="10" t="s">
        <v>1069</v>
      </c>
      <c r="B379" s="15">
        <v>56.95</v>
      </c>
      <c r="C379" s="15">
        <v>52.24</v>
      </c>
      <c r="D379" s="15">
        <v>48.77</v>
      </c>
      <c r="E379" s="15">
        <v>52.82</v>
      </c>
      <c r="F379" s="15">
        <v>42.86</v>
      </c>
      <c r="G379" s="15">
        <v>58.84</v>
      </c>
      <c r="H379" s="15">
        <v>51.07</v>
      </c>
      <c r="I379" s="15">
        <v>152.16</v>
      </c>
      <c r="J379" s="15">
        <v>68.09</v>
      </c>
      <c r="K379" s="15">
        <v>77.77</v>
      </c>
      <c r="L379" s="15">
        <v>219.1</v>
      </c>
      <c r="M379" s="15">
        <v>0</v>
      </c>
      <c r="N379" s="15">
        <v>67.47</v>
      </c>
      <c r="O379" t="s">
        <v>3028</v>
      </c>
    </row>
    <row r="380" spans="1:15" x14ac:dyDescent="0.25">
      <c r="A380" s="10" t="s">
        <v>1071</v>
      </c>
      <c r="B380" s="15">
        <v>0</v>
      </c>
      <c r="C380" s="15">
        <v>0</v>
      </c>
      <c r="D380" s="15">
        <v>0</v>
      </c>
      <c r="E380" s="15">
        <v>0</v>
      </c>
      <c r="F380" s="15">
        <v>0</v>
      </c>
      <c r="G380" s="15">
        <v>0</v>
      </c>
      <c r="H380" s="15">
        <v>0</v>
      </c>
      <c r="I380" s="15">
        <v>2.98</v>
      </c>
      <c r="J380" s="15">
        <v>0</v>
      </c>
      <c r="K380" s="15">
        <v>0</v>
      </c>
      <c r="L380" s="15">
        <v>26.76</v>
      </c>
      <c r="M380" s="15">
        <v>50.32</v>
      </c>
      <c r="N380" s="15">
        <v>3.02</v>
      </c>
      <c r="O380" t="s">
        <v>3028</v>
      </c>
    </row>
    <row r="381" spans="1:15" x14ac:dyDescent="0.25">
      <c r="A381" s="10" t="s">
        <v>1073</v>
      </c>
      <c r="B381" s="15">
        <v>66.430000000000007</v>
      </c>
      <c r="C381" s="15">
        <v>76.13</v>
      </c>
      <c r="D381" s="15">
        <v>101.39</v>
      </c>
      <c r="E381" s="15">
        <v>48.02</v>
      </c>
      <c r="F381" s="15">
        <v>40.31</v>
      </c>
      <c r="G381" s="15">
        <v>50.95</v>
      </c>
      <c r="H381" s="15">
        <v>29.52</v>
      </c>
      <c r="I381" s="15">
        <v>165.04</v>
      </c>
      <c r="J381" s="15">
        <v>224.16</v>
      </c>
      <c r="K381" s="15">
        <v>0</v>
      </c>
      <c r="L381" s="15">
        <v>115</v>
      </c>
      <c r="M381" s="15">
        <v>58.33</v>
      </c>
      <c r="N381" s="15">
        <v>78.510000000000005</v>
      </c>
      <c r="O381" t="s">
        <v>3028</v>
      </c>
    </row>
    <row r="382" spans="1:15" x14ac:dyDescent="0.25">
      <c r="A382" s="10" t="s">
        <v>1075</v>
      </c>
      <c r="B382" s="15">
        <v>531.97</v>
      </c>
      <c r="C382" s="15">
        <v>547.58000000000004</v>
      </c>
      <c r="D382" s="15">
        <v>547.58000000000004</v>
      </c>
      <c r="E382" s="15">
        <v>547.58000000000004</v>
      </c>
      <c r="F382" s="15">
        <v>553.4</v>
      </c>
      <c r="G382" s="15">
        <v>589.17999999999995</v>
      </c>
      <c r="H382" s="15">
        <v>547.58000000000004</v>
      </c>
      <c r="I382" s="15">
        <v>1236.6099999999999</v>
      </c>
      <c r="J382" s="15">
        <v>707.26</v>
      </c>
      <c r="K382" s="15">
        <v>707.26</v>
      </c>
      <c r="L382" s="15">
        <v>707.26</v>
      </c>
      <c r="M382" s="15">
        <v>1360.47</v>
      </c>
      <c r="N382" s="15">
        <v>766.72</v>
      </c>
      <c r="O382" t="s">
        <v>3028</v>
      </c>
    </row>
    <row r="383" spans="1:15" x14ac:dyDescent="0.25">
      <c r="A383" s="10" t="s">
        <v>1077</v>
      </c>
      <c r="B383" s="15">
        <v>0</v>
      </c>
      <c r="C383" s="15">
        <v>8.59</v>
      </c>
      <c r="D383" s="15">
        <v>0</v>
      </c>
      <c r="E383" s="15">
        <v>0</v>
      </c>
      <c r="F383" s="15">
        <v>0</v>
      </c>
      <c r="G383" s="15">
        <v>0</v>
      </c>
      <c r="H383" s="15">
        <v>0</v>
      </c>
      <c r="I383" s="15">
        <v>0</v>
      </c>
      <c r="J383" s="15">
        <v>0</v>
      </c>
      <c r="K383" s="15">
        <v>0</v>
      </c>
      <c r="L383" s="15">
        <v>0</v>
      </c>
      <c r="M383" s="15">
        <v>0</v>
      </c>
      <c r="N383" s="15">
        <v>0</v>
      </c>
      <c r="O383" t="s">
        <v>3028</v>
      </c>
    </row>
    <row r="384" spans="1:15" x14ac:dyDescent="0.25">
      <c r="A384" s="10" t="s">
        <v>1079</v>
      </c>
      <c r="B384" s="15">
        <v>4.8499999999999996</v>
      </c>
      <c r="C384" s="15">
        <v>1.1100000000000001</v>
      </c>
      <c r="D384" s="15">
        <v>0</v>
      </c>
      <c r="E384" s="15">
        <v>0</v>
      </c>
      <c r="F384" s="15">
        <v>0</v>
      </c>
      <c r="G384" s="15">
        <v>0</v>
      </c>
      <c r="H384" s="15">
        <v>0</v>
      </c>
      <c r="I384" s="15">
        <v>17.45</v>
      </c>
      <c r="J384" s="15">
        <v>0</v>
      </c>
      <c r="K384" s="15">
        <v>0</v>
      </c>
      <c r="L384" s="15">
        <v>0</v>
      </c>
      <c r="M384" s="15">
        <v>0</v>
      </c>
      <c r="N384" s="15">
        <v>0</v>
      </c>
      <c r="O384" t="s">
        <v>3028</v>
      </c>
    </row>
    <row r="385" spans="1:15" x14ac:dyDescent="0.25">
      <c r="A385" s="10" t="s">
        <v>1081</v>
      </c>
      <c r="B385" s="15">
        <v>40.25</v>
      </c>
      <c r="C385" s="15">
        <v>27.8</v>
      </c>
      <c r="D385" s="15">
        <v>27.67</v>
      </c>
      <c r="E385" s="15">
        <v>60.02</v>
      </c>
      <c r="F385" s="15">
        <v>0</v>
      </c>
      <c r="G385" s="15">
        <v>40.369999999999997</v>
      </c>
      <c r="H385" s="15">
        <v>40.39</v>
      </c>
      <c r="I385" s="15">
        <v>127.85</v>
      </c>
      <c r="J385" s="15">
        <v>99.06</v>
      </c>
      <c r="K385" s="15">
        <v>0</v>
      </c>
      <c r="L385" s="15">
        <v>65.52</v>
      </c>
      <c r="M385" s="15">
        <v>63.16</v>
      </c>
      <c r="N385" s="15">
        <v>62.04</v>
      </c>
      <c r="O385" t="s">
        <v>3028</v>
      </c>
    </row>
    <row r="386" spans="1:15" x14ac:dyDescent="0.25">
      <c r="A386" s="10" t="s">
        <v>1085</v>
      </c>
      <c r="B386" s="15">
        <v>0</v>
      </c>
      <c r="C386" s="15">
        <v>0</v>
      </c>
      <c r="D386" s="15">
        <v>0</v>
      </c>
      <c r="E386" s="15">
        <v>0</v>
      </c>
      <c r="F386" s="15">
        <v>0</v>
      </c>
      <c r="G386" s="15">
        <v>32.119999999999997</v>
      </c>
      <c r="H386" s="15">
        <v>0</v>
      </c>
      <c r="I386" s="15">
        <v>0</v>
      </c>
      <c r="J386" s="15">
        <v>0</v>
      </c>
      <c r="K386" s="15">
        <v>0</v>
      </c>
      <c r="L386" s="15">
        <v>0</v>
      </c>
      <c r="M386" s="15">
        <v>3.75</v>
      </c>
      <c r="N386" s="15">
        <v>0</v>
      </c>
      <c r="O386" t="s">
        <v>3028</v>
      </c>
    </row>
    <row r="387" spans="1:15" x14ac:dyDescent="0.25">
      <c r="A387" s="10" t="s">
        <v>1087</v>
      </c>
      <c r="B387" s="15">
        <v>4.09</v>
      </c>
      <c r="C387" s="15">
        <v>10.94</v>
      </c>
      <c r="D387" s="15">
        <v>8.89</v>
      </c>
      <c r="E387" s="15">
        <v>5.29</v>
      </c>
      <c r="F387" s="15">
        <v>0</v>
      </c>
      <c r="G387" s="15">
        <v>0</v>
      </c>
      <c r="H387" s="15">
        <v>0</v>
      </c>
      <c r="I387" s="15">
        <v>0</v>
      </c>
      <c r="J387" s="15">
        <v>0</v>
      </c>
      <c r="K387" s="15">
        <v>0</v>
      </c>
      <c r="L387" s="15">
        <v>0</v>
      </c>
      <c r="M387" s="15">
        <v>0</v>
      </c>
      <c r="N387" s="15">
        <v>0</v>
      </c>
      <c r="O387" t="s">
        <v>3028</v>
      </c>
    </row>
    <row r="388" spans="1:15" x14ac:dyDescent="0.25">
      <c r="A388" s="10" t="s">
        <v>1089</v>
      </c>
      <c r="B388" s="15">
        <v>0</v>
      </c>
      <c r="C388" s="15">
        <v>0</v>
      </c>
      <c r="D388" s="15">
        <v>0</v>
      </c>
      <c r="E388" s="15">
        <v>0</v>
      </c>
      <c r="F388" s="15">
        <v>18.93</v>
      </c>
      <c r="G388" s="15">
        <v>0</v>
      </c>
      <c r="H388" s="15">
        <v>0</v>
      </c>
      <c r="I388" s="15">
        <v>8.94</v>
      </c>
      <c r="J388" s="15">
        <v>0</v>
      </c>
      <c r="K388" s="15">
        <v>0</v>
      </c>
      <c r="L388" s="15">
        <v>0</v>
      </c>
      <c r="M388" s="15">
        <v>0</v>
      </c>
      <c r="N388" s="15">
        <v>0</v>
      </c>
      <c r="O388" t="s">
        <v>3028</v>
      </c>
    </row>
    <row r="389" spans="1:15" x14ac:dyDescent="0.25">
      <c r="A389" s="10" t="s">
        <v>1091</v>
      </c>
      <c r="B389" s="15">
        <v>209.92</v>
      </c>
      <c r="C389" s="15">
        <v>184.35</v>
      </c>
      <c r="D389" s="15">
        <v>182.25</v>
      </c>
      <c r="E389" s="15">
        <v>182.51</v>
      </c>
      <c r="F389" s="15">
        <v>285.20999999999998</v>
      </c>
      <c r="G389" s="15">
        <v>252.32</v>
      </c>
      <c r="H389" s="15">
        <v>732.28</v>
      </c>
      <c r="I389" s="15">
        <v>0</v>
      </c>
      <c r="J389" s="15">
        <v>283.38</v>
      </c>
      <c r="K389" s="15">
        <v>304.76</v>
      </c>
      <c r="L389" s="15">
        <v>303.86</v>
      </c>
      <c r="M389" s="15">
        <v>266.68</v>
      </c>
      <c r="N389" s="15">
        <v>286.10000000000002</v>
      </c>
      <c r="O389" t="s">
        <v>3028</v>
      </c>
    </row>
    <row r="390" spans="1:15" x14ac:dyDescent="0.25">
      <c r="A390" s="10" t="s">
        <v>1093</v>
      </c>
      <c r="B390" s="15">
        <v>0</v>
      </c>
      <c r="C390" s="15">
        <v>11.09</v>
      </c>
      <c r="D390" s="15">
        <v>4.6500000000000004</v>
      </c>
      <c r="E390" s="15">
        <v>4.8499999999999996</v>
      </c>
      <c r="F390" s="15">
        <v>0</v>
      </c>
      <c r="G390" s="15">
        <v>0</v>
      </c>
      <c r="H390" s="15">
        <v>0</v>
      </c>
      <c r="I390" s="15">
        <v>0</v>
      </c>
      <c r="J390" s="15">
        <v>36.43</v>
      </c>
      <c r="K390" s="15">
        <v>0</v>
      </c>
      <c r="L390" s="15">
        <v>16.87</v>
      </c>
      <c r="M390" s="15">
        <v>6.9</v>
      </c>
      <c r="N390" s="15">
        <v>2.93</v>
      </c>
      <c r="O390" t="s">
        <v>3028</v>
      </c>
    </row>
    <row r="391" spans="1:15" x14ac:dyDescent="0.25">
      <c r="A391" s="10" t="s">
        <v>1095</v>
      </c>
      <c r="B391" s="15">
        <v>41.84</v>
      </c>
      <c r="C391" s="15">
        <v>41.84</v>
      </c>
      <c r="D391" s="15">
        <v>0</v>
      </c>
      <c r="E391" s="15">
        <v>0</v>
      </c>
      <c r="F391" s="15">
        <v>0</v>
      </c>
      <c r="G391" s="15">
        <v>0</v>
      </c>
      <c r="H391" s="15">
        <v>0</v>
      </c>
      <c r="I391" s="15">
        <v>0</v>
      </c>
      <c r="J391" s="15">
        <v>0</v>
      </c>
      <c r="K391" s="15">
        <v>0</v>
      </c>
      <c r="L391" s="15">
        <v>0</v>
      </c>
      <c r="M391" s="15">
        <v>0</v>
      </c>
      <c r="N391" s="15">
        <v>0</v>
      </c>
      <c r="O391" t="s">
        <v>3028</v>
      </c>
    </row>
    <row r="392" spans="1:15" x14ac:dyDescent="0.25">
      <c r="A392" s="10" t="s">
        <v>1097</v>
      </c>
      <c r="B392" s="15">
        <v>1767.48</v>
      </c>
      <c r="C392" s="15">
        <v>1712.48</v>
      </c>
      <c r="D392" s="15">
        <v>1712.48</v>
      </c>
      <c r="E392" s="15">
        <v>4372.66</v>
      </c>
      <c r="F392" s="15">
        <v>0</v>
      </c>
      <c r="G392" s="15">
        <v>1712.48</v>
      </c>
      <c r="H392" s="15">
        <v>1712.48</v>
      </c>
      <c r="I392" s="15">
        <v>2550.06</v>
      </c>
      <c r="J392" s="15">
        <v>1991.67</v>
      </c>
      <c r="K392" s="15">
        <v>1991.67</v>
      </c>
      <c r="L392" s="15">
        <v>1991.67</v>
      </c>
      <c r="M392" s="15">
        <v>1991.67</v>
      </c>
      <c r="N392" s="15">
        <v>1991.67</v>
      </c>
      <c r="O392" t="s">
        <v>3028</v>
      </c>
    </row>
    <row r="393" spans="1:15" x14ac:dyDescent="0.25">
      <c r="A393" s="10" t="s">
        <v>1099</v>
      </c>
      <c r="B393" s="15">
        <v>43.94</v>
      </c>
      <c r="C393" s="15">
        <v>37.74</v>
      </c>
      <c r="D393" s="15">
        <v>138.46</v>
      </c>
      <c r="E393" s="15">
        <v>38.53</v>
      </c>
      <c r="F393" s="15">
        <v>35.44</v>
      </c>
      <c r="G393" s="15">
        <v>37.75</v>
      </c>
      <c r="H393" s="15">
        <v>183.21</v>
      </c>
      <c r="I393" s="15">
        <v>0</v>
      </c>
      <c r="J393" s="15">
        <v>64.48</v>
      </c>
      <c r="K393" s="15">
        <v>31.19</v>
      </c>
      <c r="L393" s="15">
        <v>244.62</v>
      </c>
      <c r="M393" s="15">
        <v>119.81</v>
      </c>
      <c r="N393" s="15">
        <v>78.05</v>
      </c>
      <c r="O393" t="s">
        <v>3028</v>
      </c>
    </row>
    <row r="394" spans="1:15" x14ac:dyDescent="0.25">
      <c r="A394" s="10" t="s">
        <v>1101</v>
      </c>
      <c r="B394" s="15">
        <v>5.48</v>
      </c>
      <c r="C394" s="15">
        <v>0</v>
      </c>
      <c r="D394" s="15">
        <v>0</v>
      </c>
      <c r="E394" s="15">
        <v>0</v>
      </c>
      <c r="F394" s="15">
        <v>0</v>
      </c>
      <c r="G394" s="15">
        <v>63.45</v>
      </c>
      <c r="H394" s="15">
        <v>0</v>
      </c>
      <c r="I394" s="15">
        <v>18.21</v>
      </c>
      <c r="J394" s="15">
        <v>0</v>
      </c>
      <c r="K394" s="15">
        <v>8.74</v>
      </c>
      <c r="L394" s="15">
        <v>0</v>
      </c>
      <c r="M394" s="15">
        <v>6.26</v>
      </c>
      <c r="N394" s="15">
        <v>0.44</v>
      </c>
      <c r="O394" t="s">
        <v>3028</v>
      </c>
    </row>
    <row r="395" spans="1:15" x14ac:dyDescent="0.25">
      <c r="A395" s="10" t="s">
        <v>1103</v>
      </c>
      <c r="B395" s="15">
        <v>6.47</v>
      </c>
      <c r="C395" s="15">
        <v>361.21</v>
      </c>
      <c r="D395" s="15">
        <v>592.12</v>
      </c>
      <c r="E395" s="15">
        <v>605.52</v>
      </c>
      <c r="F395" s="15">
        <v>498.96</v>
      </c>
      <c r="G395" s="15">
        <v>329.15</v>
      </c>
      <c r="H395" s="15">
        <v>462.89</v>
      </c>
      <c r="I395" s="15">
        <v>527.27</v>
      </c>
      <c r="J395" s="15">
        <v>491.47</v>
      </c>
      <c r="K395" s="15">
        <v>704.97</v>
      </c>
      <c r="L395" s="15">
        <v>669.98</v>
      </c>
      <c r="M395" s="15">
        <v>541.66999999999996</v>
      </c>
      <c r="N395" s="15">
        <v>613.5</v>
      </c>
      <c r="O395" t="s">
        <v>3028</v>
      </c>
    </row>
    <row r="396" spans="1:15" x14ac:dyDescent="0.25">
      <c r="A396" s="10" t="s">
        <v>1109</v>
      </c>
      <c r="B396" s="15">
        <v>0</v>
      </c>
      <c r="C396" s="15">
        <v>7.87</v>
      </c>
      <c r="D396" s="15">
        <v>0</v>
      </c>
      <c r="E396" s="15">
        <v>0</v>
      </c>
      <c r="F396" s="15">
        <v>0</v>
      </c>
      <c r="G396" s="15">
        <v>0</v>
      </c>
      <c r="H396" s="15">
        <v>0</v>
      </c>
      <c r="I396" s="15">
        <v>0</v>
      </c>
      <c r="J396" s="15">
        <v>0</v>
      </c>
      <c r="K396" s="15">
        <v>0</v>
      </c>
      <c r="L396" s="15">
        <v>0</v>
      </c>
      <c r="M396" s="15">
        <v>0</v>
      </c>
      <c r="N396" s="15">
        <v>0</v>
      </c>
      <c r="O396" t="s">
        <v>3028</v>
      </c>
    </row>
    <row r="397" spans="1:15" x14ac:dyDescent="0.25">
      <c r="A397" s="10" t="s">
        <v>1113</v>
      </c>
      <c r="B397" s="15">
        <v>0</v>
      </c>
      <c r="C397" s="15">
        <v>2.0699999999999998</v>
      </c>
      <c r="D397" s="15">
        <v>0</v>
      </c>
      <c r="E397" s="15">
        <v>0</v>
      </c>
      <c r="F397" s="15">
        <v>0</v>
      </c>
      <c r="G397" s="15">
        <v>0</v>
      </c>
      <c r="H397" s="15">
        <v>30.59</v>
      </c>
      <c r="I397" s="15">
        <v>37.76</v>
      </c>
      <c r="J397" s="15">
        <v>103.68</v>
      </c>
      <c r="K397" s="15">
        <v>0</v>
      </c>
      <c r="L397" s="15">
        <v>8.4600000000000009</v>
      </c>
      <c r="M397" s="15">
        <v>82.53</v>
      </c>
      <c r="N397" s="15">
        <v>38.06</v>
      </c>
      <c r="O397" t="s">
        <v>3028</v>
      </c>
    </row>
    <row r="398" spans="1:15" x14ac:dyDescent="0.25">
      <c r="A398" s="10" t="s">
        <v>1115</v>
      </c>
      <c r="B398" s="15">
        <v>141.28</v>
      </c>
      <c r="C398" s="15">
        <v>142.33000000000001</v>
      </c>
      <c r="D398" s="15">
        <v>128.78</v>
      </c>
      <c r="E398" s="15">
        <v>142.03</v>
      </c>
      <c r="F398" s="15">
        <v>121.72</v>
      </c>
      <c r="G398" s="15">
        <v>149.33000000000001</v>
      </c>
      <c r="H398" s="15">
        <v>200.54</v>
      </c>
      <c r="I398" s="15">
        <v>442.85</v>
      </c>
      <c r="J398" s="15">
        <v>496.51</v>
      </c>
      <c r="K398" s="15">
        <v>250.57</v>
      </c>
      <c r="L398" s="15">
        <v>500.41</v>
      </c>
      <c r="M398" s="15">
        <v>475.63</v>
      </c>
      <c r="N398" s="15">
        <v>492.18</v>
      </c>
      <c r="O398" t="s">
        <v>3028</v>
      </c>
    </row>
    <row r="399" spans="1:15" x14ac:dyDescent="0.25">
      <c r="A399" s="10" t="s">
        <v>1117</v>
      </c>
      <c r="B399" s="15">
        <v>826.65</v>
      </c>
      <c r="C399" s="15">
        <v>614.38</v>
      </c>
      <c r="D399" s="15">
        <v>556.08000000000004</v>
      </c>
      <c r="E399" s="15">
        <v>771.21</v>
      </c>
      <c r="F399" s="15">
        <v>722.19</v>
      </c>
      <c r="G399" s="15">
        <v>778.76</v>
      </c>
      <c r="H399" s="15">
        <v>894.94</v>
      </c>
      <c r="I399" s="15">
        <v>1286.3</v>
      </c>
      <c r="J399" s="15">
        <v>695.07</v>
      </c>
      <c r="K399" s="15">
        <v>1365.88</v>
      </c>
      <c r="L399" s="15">
        <v>1537.72</v>
      </c>
      <c r="M399" s="15">
        <v>362.17</v>
      </c>
      <c r="N399" s="15">
        <v>926.79</v>
      </c>
      <c r="O399" t="s">
        <v>3028</v>
      </c>
    </row>
    <row r="400" spans="1:15" x14ac:dyDescent="0.25">
      <c r="A400" s="10" t="s">
        <v>1119</v>
      </c>
      <c r="B400" s="15">
        <v>0</v>
      </c>
      <c r="C400" s="15">
        <v>0</v>
      </c>
      <c r="D400" s="15">
        <v>0</v>
      </c>
      <c r="E400" s="15">
        <v>0</v>
      </c>
      <c r="F400" s="15">
        <v>0</v>
      </c>
      <c r="G400" s="15">
        <v>2.31</v>
      </c>
      <c r="H400" s="15">
        <v>0</v>
      </c>
      <c r="I400" s="15">
        <v>0</v>
      </c>
      <c r="J400" s="15">
        <v>0</v>
      </c>
      <c r="K400" s="15">
        <v>0</v>
      </c>
      <c r="L400" s="15">
        <v>0</v>
      </c>
      <c r="M400" s="15">
        <v>0</v>
      </c>
      <c r="N400" s="15">
        <v>0</v>
      </c>
      <c r="O400" t="s">
        <v>3028</v>
      </c>
    </row>
    <row r="401" spans="1:15" x14ac:dyDescent="0.25">
      <c r="A401" s="10" t="s">
        <v>1121</v>
      </c>
      <c r="B401" s="15">
        <v>61.94</v>
      </c>
      <c r="C401" s="15">
        <v>49.89</v>
      </c>
      <c r="D401" s="15">
        <v>47.14</v>
      </c>
      <c r="E401" s="15">
        <v>48</v>
      </c>
      <c r="F401" s="15">
        <v>49.23</v>
      </c>
      <c r="G401" s="15">
        <v>49.58</v>
      </c>
      <c r="H401" s="15">
        <v>47.14</v>
      </c>
      <c r="I401" s="15">
        <v>137.71</v>
      </c>
      <c r="J401" s="15">
        <v>65.8</v>
      </c>
      <c r="K401" s="15">
        <v>112.42</v>
      </c>
      <c r="L401" s="15">
        <v>0</v>
      </c>
      <c r="M401" s="15">
        <v>66.23</v>
      </c>
      <c r="N401" s="15">
        <v>68.06</v>
      </c>
      <c r="O401" t="s">
        <v>3028</v>
      </c>
    </row>
    <row r="402" spans="1:15" x14ac:dyDescent="0.25">
      <c r="A402" s="10" t="s">
        <v>1123</v>
      </c>
      <c r="B402" s="15">
        <v>64.41</v>
      </c>
      <c r="C402" s="15">
        <v>127.91</v>
      </c>
      <c r="D402" s="15">
        <v>44.52</v>
      </c>
      <c r="E402" s="15">
        <v>90.91</v>
      </c>
      <c r="F402" s="15">
        <v>41.87</v>
      </c>
      <c r="G402" s="15">
        <v>381.54</v>
      </c>
      <c r="H402" s="15">
        <v>0</v>
      </c>
      <c r="I402" s="15">
        <v>59.71</v>
      </c>
      <c r="J402" s="15">
        <v>115.04</v>
      </c>
      <c r="K402" s="15">
        <v>123.8</v>
      </c>
      <c r="L402" s="15">
        <v>84.17</v>
      </c>
      <c r="M402" s="15">
        <v>127.39</v>
      </c>
      <c r="N402" s="15">
        <v>102.65</v>
      </c>
      <c r="O402" t="s">
        <v>3028</v>
      </c>
    </row>
    <row r="403" spans="1:15" x14ac:dyDescent="0.25">
      <c r="A403" s="10" t="s">
        <v>1125</v>
      </c>
      <c r="B403" s="15">
        <v>1816.75</v>
      </c>
      <c r="C403" s="15">
        <v>1816.75</v>
      </c>
      <c r="D403" s="15">
        <v>1816.75</v>
      </c>
      <c r="E403" s="15">
        <v>3317.6</v>
      </c>
      <c r="F403" s="15">
        <v>162.12</v>
      </c>
      <c r="G403" s="15">
        <v>1816.75</v>
      </c>
      <c r="H403" s="15">
        <v>1911.52</v>
      </c>
      <c r="I403" s="15">
        <v>2739.8</v>
      </c>
      <c r="J403" s="15">
        <v>2095.94</v>
      </c>
      <c r="K403" s="15">
        <v>2200.02</v>
      </c>
      <c r="L403" s="15">
        <v>2095.94</v>
      </c>
      <c r="M403" s="15">
        <v>2095.94</v>
      </c>
      <c r="N403" s="15">
        <v>2095.94</v>
      </c>
      <c r="O403" t="s">
        <v>3028</v>
      </c>
    </row>
    <row r="404" spans="1:15" x14ac:dyDescent="0.25">
      <c r="A404" s="10" t="s">
        <v>1127</v>
      </c>
      <c r="B404" s="15">
        <v>400.84</v>
      </c>
      <c r="C404" s="15">
        <v>435.22</v>
      </c>
      <c r="D404" s="15">
        <v>435.22</v>
      </c>
      <c r="E404" s="15">
        <v>435.22</v>
      </c>
      <c r="F404" s="15">
        <v>435.22</v>
      </c>
      <c r="G404" s="15">
        <v>312.47000000000003</v>
      </c>
      <c r="H404" s="15">
        <v>435.22</v>
      </c>
      <c r="I404" s="15">
        <v>981.22</v>
      </c>
      <c r="J404" s="15">
        <v>973.97</v>
      </c>
      <c r="K404" s="15">
        <v>769.69</v>
      </c>
      <c r="L404" s="15">
        <v>766.23</v>
      </c>
      <c r="M404" s="15">
        <v>768.34</v>
      </c>
      <c r="N404" s="15">
        <v>784.66</v>
      </c>
      <c r="O404" t="s">
        <v>3028</v>
      </c>
    </row>
    <row r="405" spans="1:15" x14ac:dyDescent="0.25">
      <c r="A405" s="10" t="s">
        <v>1131</v>
      </c>
      <c r="B405" s="15">
        <v>0</v>
      </c>
      <c r="C405" s="15">
        <v>0</v>
      </c>
      <c r="D405" s="15">
        <v>0</v>
      </c>
      <c r="E405" s="15">
        <v>0</v>
      </c>
      <c r="F405" s="15">
        <v>0</v>
      </c>
      <c r="G405" s="15">
        <v>0</v>
      </c>
      <c r="H405" s="15">
        <v>0</v>
      </c>
      <c r="I405" s="15">
        <v>0</v>
      </c>
      <c r="J405" s="15">
        <v>0</v>
      </c>
      <c r="K405" s="15">
        <v>0</v>
      </c>
      <c r="L405" s="15">
        <v>0</v>
      </c>
      <c r="M405" s="15">
        <v>21.24</v>
      </c>
      <c r="N405" s="15">
        <v>0</v>
      </c>
      <c r="O405" t="s">
        <v>3028</v>
      </c>
    </row>
    <row r="406" spans="1:15" x14ac:dyDescent="0.25">
      <c r="A406" s="10" t="s">
        <v>1133</v>
      </c>
      <c r="B406" s="15">
        <v>218.44</v>
      </c>
      <c r="C406" s="15">
        <v>233.56</v>
      </c>
      <c r="D406" s="15">
        <v>200.04</v>
      </c>
      <c r="E406" s="15">
        <v>209.57</v>
      </c>
      <c r="F406" s="15">
        <v>206.42</v>
      </c>
      <c r="G406" s="15">
        <v>206.89</v>
      </c>
      <c r="H406" s="15">
        <v>201.74</v>
      </c>
      <c r="I406" s="15">
        <v>446.61</v>
      </c>
      <c r="J406" s="15">
        <v>278.89999999999998</v>
      </c>
      <c r="K406" s="15">
        <v>280.14</v>
      </c>
      <c r="L406" s="15">
        <v>273.38</v>
      </c>
      <c r="M406" s="15">
        <v>274.3</v>
      </c>
      <c r="N406" s="15">
        <v>285.70999999999998</v>
      </c>
      <c r="O406" t="s">
        <v>3028</v>
      </c>
    </row>
    <row r="407" spans="1:15" x14ac:dyDescent="0.25">
      <c r="A407" s="10" t="s">
        <v>1137</v>
      </c>
      <c r="B407" s="15">
        <v>0</v>
      </c>
      <c r="C407" s="15">
        <v>0</v>
      </c>
      <c r="D407" s="15">
        <v>0</v>
      </c>
      <c r="E407" s="15">
        <v>0</v>
      </c>
      <c r="F407" s="15">
        <v>0</v>
      </c>
      <c r="G407" s="15">
        <v>0</v>
      </c>
      <c r="H407" s="15">
        <v>0</v>
      </c>
      <c r="I407" s="15">
        <v>2.1</v>
      </c>
      <c r="J407" s="15">
        <v>0</v>
      </c>
      <c r="K407" s="15">
        <v>0</v>
      </c>
      <c r="L407" s="15">
        <v>0</v>
      </c>
      <c r="M407" s="15">
        <v>0</v>
      </c>
      <c r="N407" s="15">
        <v>0</v>
      </c>
      <c r="O407" t="s">
        <v>3028</v>
      </c>
    </row>
    <row r="408" spans="1:15" x14ac:dyDescent="0.25">
      <c r="A408" s="10" t="s">
        <v>1139</v>
      </c>
      <c r="B408" s="15">
        <v>53.56</v>
      </c>
      <c r="C408" s="15">
        <v>9.9499999999999993</v>
      </c>
      <c r="D408" s="15">
        <v>7.37</v>
      </c>
      <c r="E408" s="15">
        <v>5.83</v>
      </c>
      <c r="F408" s="15">
        <v>0</v>
      </c>
      <c r="G408" s="15">
        <v>75.77</v>
      </c>
      <c r="H408" s="15">
        <v>0</v>
      </c>
      <c r="I408" s="15">
        <v>16.61</v>
      </c>
      <c r="J408" s="15">
        <v>25.05</v>
      </c>
      <c r="K408" s="15">
        <v>8.59</v>
      </c>
      <c r="L408" s="15">
        <v>17.170000000000002</v>
      </c>
      <c r="M408" s="15">
        <v>7.08</v>
      </c>
      <c r="N408" s="15">
        <v>21.77</v>
      </c>
      <c r="O408" t="s">
        <v>3028</v>
      </c>
    </row>
    <row r="409" spans="1:15" x14ac:dyDescent="0.25">
      <c r="A409" s="10" t="s">
        <v>1141</v>
      </c>
      <c r="B409" s="15">
        <v>730.77</v>
      </c>
      <c r="C409" s="15">
        <v>673.32</v>
      </c>
      <c r="D409" s="15">
        <v>522.29999999999995</v>
      </c>
      <c r="E409" s="15">
        <v>451.63</v>
      </c>
      <c r="F409" s="15">
        <v>549.28</v>
      </c>
      <c r="G409" s="15">
        <v>1347.19</v>
      </c>
      <c r="H409" s="15">
        <v>190.7</v>
      </c>
      <c r="I409" s="15">
        <v>413.28</v>
      </c>
      <c r="J409" s="15">
        <v>452.96</v>
      </c>
      <c r="K409" s="15">
        <v>703.65</v>
      </c>
      <c r="L409" s="15">
        <v>746.23</v>
      </c>
      <c r="M409" s="15">
        <v>657.36</v>
      </c>
      <c r="N409" s="15">
        <v>656.74</v>
      </c>
      <c r="O409" t="s">
        <v>3028</v>
      </c>
    </row>
    <row r="410" spans="1:15" x14ac:dyDescent="0.25">
      <c r="A410" s="10" t="s">
        <v>1143</v>
      </c>
      <c r="B410" s="15">
        <v>51.09</v>
      </c>
      <c r="C410" s="15">
        <v>56.98</v>
      </c>
      <c r="D410" s="15">
        <v>119.98</v>
      </c>
      <c r="E410" s="15">
        <v>90.18</v>
      </c>
      <c r="F410" s="15">
        <v>93.76</v>
      </c>
      <c r="G410" s="15">
        <v>29.18</v>
      </c>
      <c r="H410" s="15">
        <v>84.07</v>
      </c>
      <c r="I410" s="15">
        <v>64.319999999999993</v>
      </c>
      <c r="J410" s="15">
        <v>105.43</v>
      </c>
      <c r="K410" s="15">
        <v>121.27</v>
      </c>
      <c r="L410" s="15">
        <v>110.22</v>
      </c>
      <c r="M410" s="15">
        <v>103.2</v>
      </c>
      <c r="N410" s="15">
        <v>127.74</v>
      </c>
      <c r="O410" t="s">
        <v>3028</v>
      </c>
    </row>
    <row r="411" spans="1:15" x14ac:dyDescent="0.25">
      <c r="A411" s="10" t="s">
        <v>1145</v>
      </c>
      <c r="B411" s="15">
        <v>0</v>
      </c>
      <c r="C411" s="15">
        <v>29.71</v>
      </c>
      <c r="D411" s="15">
        <v>34.21</v>
      </c>
      <c r="E411" s="15">
        <v>0</v>
      </c>
      <c r="F411" s="15">
        <v>0.31</v>
      </c>
      <c r="G411" s="15">
        <v>0</v>
      </c>
      <c r="H411" s="15">
        <v>53.46</v>
      </c>
      <c r="I411" s="15">
        <v>0</v>
      </c>
      <c r="J411" s="15">
        <v>11.37</v>
      </c>
      <c r="K411" s="15">
        <v>15.77</v>
      </c>
      <c r="L411" s="15">
        <v>15.35</v>
      </c>
      <c r="M411" s="15">
        <v>26.39</v>
      </c>
      <c r="N411" s="15">
        <v>20.39</v>
      </c>
      <c r="O411" t="s">
        <v>3028</v>
      </c>
    </row>
    <row r="412" spans="1:15" x14ac:dyDescent="0.25">
      <c r="A412" s="10" t="s">
        <v>1147</v>
      </c>
      <c r="B412" s="15">
        <v>0</v>
      </c>
      <c r="C412" s="15">
        <v>55.58</v>
      </c>
      <c r="D412" s="15">
        <v>73.81</v>
      </c>
      <c r="E412" s="15">
        <v>73.81</v>
      </c>
      <c r="F412" s="15">
        <v>74</v>
      </c>
      <c r="G412" s="15">
        <v>74.52</v>
      </c>
      <c r="H412" s="15">
        <v>73.81</v>
      </c>
      <c r="I412" s="15">
        <v>208.86</v>
      </c>
      <c r="J412" s="15">
        <v>118.69</v>
      </c>
      <c r="K412" s="15">
        <v>119.83</v>
      </c>
      <c r="L412" s="15">
        <v>119.64</v>
      </c>
      <c r="M412" s="15">
        <v>118.69</v>
      </c>
      <c r="N412" s="15">
        <v>119.77</v>
      </c>
      <c r="O412" t="s">
        <v>3028</v>
      </c>
    </row>
    <row r="413" spans="1:15" x14ac:dyDescent="0.25">
      <c r="A413" s="10" t="s">
        <v>1149</v>
      </c>
      <c r="B413" s="15">
        <v>0</v>
      </c>
      <c r="C413" s="15">
        <v>11.17</v>
      </c>
      <c r="D413" s="15">
        <v>0</v>
      </c>
      <c r="E413" s="15">
        <v>0</v>
      </c>
      <c r="F413" s="15">
        <v>41.4</v>
      </c>
      <c r="G413" s="15">
        <v>0</v>
      </c>
      <c r="H413" s="15">
        <v>0</v>
      </c>
      <c r="I413" s="15">
        <v>60</v>
      </c>
      <c r="J413" s="15">
        <v>0.31</v>
      </c>
      <c r="K413" s="15">
        <v>25.59</v>
      </c>
      <c r="L413" s="15">
        <v>50.06</v>
      </c>
      <c r="M413" s="15">
        <v>18.07</v>
      </c>
      <c r="N413" s="15">
        <v>15.88</v>
      </c>
      <c r="O413" t="s">
        <v>3028</v>
      </c>
    </row>
    <row r="414" spans="1:15" x14ac:dyDescent="0.25">
      <c r="A414" s="10" t="s">
        <v>1153</v>
      </c>
      <c r="B414" s="15">
        <v>0</v>
      </c>
      <c r="C414" s="15">
        <v>0</v>
      </c>
      <c r="D414" s="15">
        <v>0</v>
      </c>
      <c r="E414" s="15">
        <v>22.64</v>
      </c>
      <c r="F414" s="15">
        <v>0</v>
      </c>
      <c r="G414" s="15">
        <v>0</v>
      </c>
      <c r="H414" s="15">
        <v>0</v>
      </c>
      <c r="I414" s="15">
        <v>31.1</v>
      </c>
      <c r="J414" s="15">
        <v>0</v>
      </c>
      <c r="K414" s="15">
        <v>12.21</v>
      </c>
      <c r="L414" s="15">
        <v>0</v>
      </c>
      <c r="M414" s="15">
        <v>0</v>
      </c>
      <c r="N414" s="15">
        <v>0</v>
      </c>
      <c r="O414" t="s">
        <v>3028</v>
      </c>
    </row>
    <row r="415" spans="1:15" x14ac:dyDescent="0.25">
      <c r="A415" s="10" t="s">
        <v>1161</v>
      </c>
      <c r="B415" s="15">
        <v>0</v>
      </c>
      <c r="C415" s="15">
        <v>0</v>
      </c>
      <c r="D415" s="15">
        <v>0</v>
      </c>
      <c r="E415" s="15">
        <v>0</v>
      </c>
      <c r="F415" s="15">
        <v>0</v>
      </c>
      <c r="G415" s="15">
        <v>0</v>
      </c>
      <c r="H415" s="15">
        <v>0</v>
      </c>
      <c r="I415" s="15">
        <v>0</v>
      </c>
      <c r="J415" s="15">
        <v>0</v>
      </c>
      <c r="K415" s="15">
        <v>0</v>
      </c>
      <c r="L415" s="15">
        <v>10.87</v>
      </c>
      <c r="M415" s="15">
        <v>26.07</v>
      </c>
      <c r="N415" s="15">
        <v>0</v>
      </c>
      <c r="O415" t="s">
        <v>3028</v>
      </c>
    </row>
    <row r="416" spans="1:15" x14ac:dyDescent="0.25">
      <c r="A416" s="10" t="s">
        <v>1165</v>
      </c>
      <c r="B416" s="15">
        <v>201.27</v>
      </c>
      <c r="C416" s="15">
        <v>273.88</v>
      </c>
      <c r="D416" s="15">
        <v>226.71</v>
      </c>
      <c r="E416" s="15">
        <v>297.64</v>
      </c>
      <c r="F416" s="15">
        <v>112.23</v>
      </c>
      <c r="G416" s="15">
        <v>705.96</v>
      </c>
      <c r="H416" s="15">
        <v>0</v>
      </c>
      <c r="I416" s="15">
        <v>128.93</v>
      </c>
      <c r="J416" s="15">
        <v>237.84</v>
      </c>
      <c r="K416" s="15">
        <v>242.09</v>
      </c>
      <c r="L416" s="15">
        <v>265.70999999999998</v>
      </c>
      <c r="M416" s="15">
        <v>378.39</v>
      </c>
      <c r="N416" s="15">
        <v>258.76</v>
      </c>
      <c r="O416" t="s">
        <v>3028</v>
      </c>
    </row>
    <row r="417" spans="1:15" x14ac:dyDescent="0.25">
      <c r="A417" s="10" t="s">
        <v>1167</v>
      </c>
      <c r="B417" s="15">
        <v>0</v>
      </c>
      <c r="C417" s="15">
        <v>6.69</v>
      </c>
      <c r="D417" s="15">
        <v>0</v>
      </c>
      <c r="E417" s="15">
        <v>0</v>
      </c>
      <c r="F417" s="15">
        <v>16.989999999999998</v>
      </c>
      <c r="G417" s="15">
        <v>11.77</v>
      </c>
      <c r="H417" s="15">
        <v>53.18</v>
      </c>
      <c r="I417" s="15">
        <v>0</v>
      </c>
      <c r="J417" s="15">
        <v>0</v>
      </c>
      <c r="K417" s="15">
        <v>1.93</v>
      </c>
      <c r="L417" s="15">
        <v>48.28</v>
      </c>
      <c r="M417" s="15">
        <v>33.020000000000003</v>
      </c>
      <c r="N417" s="15">
        <v>12.67</v>
      </c>
      <c r="O417" t="s">
        <v>3028</v>
      </c>
    </row>
    <row r="418" spans="1:15" x14ac:dyDescent="0.25">
      <c r="A418" s="10" t="s">
        <v>1169</v>
      </c>
      <c r="B418" s="15">
        <v>175.2</v>
      </c>
      <c r="C418" s="15">
        <v>0</v>
      </c>
      <c r="D418" s="15">
        <v>47.14</v>
      </c>
      <c r="E418" s="15">
        <v>50.93</v>
      </c>
      <c r="F418" s="15">
        <v>47.14</v>
      </c>
      <c r="G418" s="15">
        <v>47.14</v>
      </c>
      <c r="H418" s="15">
        <v>47.2</v>
      </c>
      <c r="I418" s="15">
        <v>137.02000000000001</v>
      </c>
      <c r="J418" s="15">
        <v>65.8</v>
      </c>
      <c r="K418" s="15">
        <v>65.8</v>
      </c>
      <c r="L418" s="15">
        <v>65.89</v>
      </c>
      <c r="M418" s="15">
        <v>66.61</v>
      </c>
      <c r="N418" s="15">
        <v>66.760000000000005</v>
      </c>
      <c r="O418" t="s">
        <v>3028</v>
      </c>
    </row>
    <row r="419" spans="1:15" x14ac:dyDescent="0.25">
      <c r="A419" s="10" t="s">
        <v>1171</v>
      </c>
      <c r="B419" s="15">
        <v>3.42</v>
      </c>
      <c r="C419" s="15">
        <v>5.57</v>
      </c>
      <c r="D419" s="15">
        <v>3.36</v>
      </c>
      <c r="E419" s="15">
        <v>3.88</v>
      </c>
      <c r="F419" s="15">
        <v>4.71</v>
      </c>
      <c r="G419" s="15">
        <v>65.5</v>
      </c>
      <c r="H419" s="15">
        <v>0</v>
      </c>
      <c r="I419" s="15">
        <v>24.93</v>
      </c>
      <c r="J419" s="15">
        <v>15.74</v>
      </c>
      <c r="K419" s="15">
        <v>16.46</v>
      </c>
      <c r="L419" s="15">
        <v>15.54</v>
      </c>
      <c r="M419" s="15">
        <v>14.75</v>
      </c>
      <c r="N419" s="15">
        <v>17.170000000000002</v>
      </c>
      <c r="O419" t="s">
        <v>3028</v>
      </c>
    </row>
    <row r="420" spans="1:15" x14ac:dyDescent="0.25">
      <c r="A420" s="10" t="s">
        <v>1175</v>
      </c>
      <c r="B420" s="15">
        <v>57.04</v>
      </c>
      <c r="C420" s="15">
        <v>69.180000000000007</v>
      </c>
      <c r="D420" s="15">
        <v>53.33</v>
      </c>
      <c r="E420" s="15">
        <v>50.17</v>
      </c>
      <c r="F420" s="15">
        <v>19.649999999999999</v>
      </c>
      <c r="G420" s="15">
        <v>21.4</v>
      </c>
      <c r="H420" s="15">
        <v>154.19</v>
      </c>
      <c r="I420" s="15">
        <v>0</v>
      </c>
      <c r="J420" s="15">
        <v>38.659999999999997</v>
      </c>
      <c r="K420" s="15">
        <v>41.7</v>
      </c>
      <c r="L420" s="15">
        <v>118.24</v>
      </c>
      <c r="M420" s="15">
        <v>56.67</v>
      </c>
      <c r="N420" s="15">
        <v>54.33</v>
      </c>
      <c r="O420" t="s">
        <v>3028</v>
      </c>
    </row>
    <row r="421" spans="1:15" x14ac:dyDescent="0.25">
      <c r="A421" s="10" t="s">
        <v>1177</v>
      </c>
      <c r="B421" s="15">
        <v>55.06</v>
      </c>
      <c r="C421" s="15">
        <v>28.88</v>
      </c>
      <c r="D421" s="15">
        <v>29.86</v>
      </c>
      <c r="E421" s="15">
        <v>28.88</v>
      </c>
      <c r="F421" s="15">
        <v>33.07</v>
      </c>
      <c r="G421" s="15">
        <v>29.22</v>
      </c>
      <c r="H421" s="15">
        <v>34</v>
      </c>
      <c r="I421" s="15">
        <v>82.31</v>
      </c>
      <c r="J421" s="15">
        <v>42.15</v>
      </c>
      <c r="K421" s="15">
        <v>45.78</v>
      </c>
      <c r="L421" s="15">
        <v>0</v>
      </c>
      <c r="M421" s="15">
        <v>0</v>
      </c>
      <c r="N421" s="15">
        <v>18.14</v>
      </c>
      <c r="O421" t="s">
        <v>3028</v>
      </c>
    </row>
    <row r="422" spans="1:15" x14ac:dyDescent="0.25">
      <c r="A422" s="10" t="s">
        <v>1179</v>
      </c>
      <c r="B422" s="15">
        <v>0</v>
      </c>
      <c r="C422" s="15">
        <v>0</v>
      </c>
      <c r="D422" s="15">
        <v>0</v>
      </c>
      <c r="E422" s="15">
        <v>0</v>
      </c>
      <c r="F422" s="15">
        <v>0</v>
      </c>
      <c r="G422" s="15">
        <v>0</v>
      </c>
      <c r="H422" s="15">
        <v>0</v>
      </c>
      <c r="I422" s="15">
        <v>45.36</v>
      </c>
      <c r="J422" s="15">
        <v>8.4700000000000006</v>
      </c>
      <c r="K422" s="15">
        <v>34.85</v>
      </c>
      <c r="L422" s="15">
        <v>23.79</v>
      </c>
      <c r="M422" s="15">
        <v>18.829999999999998</v>
      </c>
      <c r="N422" s="15">
        <v>14.39</v>
      </c>
      <c r="O422" t="s">
        <v>3028</v>
      </c>
    </row>
    <row r="423" spans="1:15" x14ac:dyDescent="0.25">
      <c r="A423" s="10" t="s">
        <v>1181</v>
      </c>
      <c r="B423" s="15">
        <v>1816.75</v>
      </c>
      <c r="C423" s="15">
        <v>1816.75</v>
      </c>
      <c r="D423" s="15">
        <v>1816.75</v>
      </c>
      <c r="E423" s="15">
        <v>1816.75</v>
      </c>
      <c r="F423" s="15">
        <v>1816.75</v>
      </c>
      <c r="G423" s="15">
        <v>1816.75</v>
      </c>
      <c r="H423" s="15">
        <v>1816.75</v>
      </c>
      <c r="I423" s="15">
        <v>2681.83</v>
      </c>
      <c r="J423" s="15">
        <v>2095.94</v>
      </c>
      <c r="K423" s="15">
        <v>2095.94</v>
      </c>
      <c r="L423" s="15">
        <v>2095.94</v>
      </c>
      <c r="M423" s="15">
        <v>2095.94</v>
      </c>
      <c r="N423" s="15">
        <v>2095.94</v>
      </c>
      <c r="O423" t="s">
        <v>3028</v>
      </c>
    </row>
    <row r="424" spans="1:15" x14ac:dyDescent="0.25">
      <c r="A424" s="10" t="s">
        <v>1185</v>
      </c>
      <c r="B424" s="15">
        <v>0</v>
      </c>
      <c r="C424" s="15">
        <v>0</v>
      </c>
      <c r="D424" s="15">
        <v>0</v>
      </c>
      <c r="E424" s="15">
        <v>0</v>
      </c>
      <c r="F424" s="15">
        <v>0</v>
      </c>
      <c r="G424" s="15">
        <v>12.14</v>
      </c>
      <c r="H424" s="15">
        <v>0</v>
      </c>
      <c r="I424" s="15">
        <v>0</v>
      </c>
      <c r="J424" s="15">
        <v>0</v>
      </c>
      <c r="K424" s="15">
        <v>0</v>
      </c>
      <c r="L424" s="15">
        <v>0</v>
      </c>
      <c r="M424" s="15">
        <v>0</v>
      </c>
      <c r="N424" s="15">
        <v>0</v>
      </c>
      <c r="O424" t="s">
        <v>3028</v>
      </c>
    </row>
    <row r="425" spans="1:15" x14ac:dyDescent="0.25">
      <c r="A425" s="10" t="s">
        <v>1191</v>
      </c>
      <c r="B425" s="15">
        <v>178.75</v>
      </c>
      <c r="C425" s="15">
        <v>103.51</v>
      </c>
      <c r="D425" s="15">
        <v>464.02</v>
      </c>
      <c r="E425" s="15">
        <v>0</v>
      </c>
      <c r="F425" s="15">
        <v>40.880000000000003</v>
      </c>
      <c r="G425" s="15">
        <v>96.02</v>
      </c>
      <c r="H425" s="15">
        <v>137.24</v>
      </c>
      <c r="I425" s="15">
        <v>334.29</v>
      </c>
      <c r="J425" s="15">
        <v>179.35</v>
      </c>
      <c r="K425" s="15">
        <v>160.72</v>
      </c>
      <c r="L425" s="15">
        <v>154.37</v>
      </c>
      <c r="M425" s="15">
        <v>194.55</v>
      </c>
      <c r="N425" s="15">
        <v>170.23</v>
      </c>
      <c r="O425" t="s">
        <v>3028</v>
      </c>
    </row>
    <row r="426" spans="1:15" x14ac:dyDescent="0.25">
      <c r="A426" s="10" t="s">
        <v>1193</v>
      </c>
      <c r="B426" s="15">
        <v>0</v>
      </c>
      <c r="C426" s="15">
        <v>0</v>
      </c>
      <c r="D426" s="15">
        <v>0</v>
      </c>
      <c r="E426" s="15">
        <v>0</v>
      </c>
      <c r="F426" s="15">
        <v>0</v>
      </c>
      <c r="G426" s="15">
        <v>348.31</v>
      </c>
      <c r="H426" s="15">
        <v>595.94000000000005</v>
      </c>
      <c r="I426" s="15">
        <v>595.94000000000005</v>
      </c>
      <c r="J426" s="15">
        <v>595.94000000000005</v>
      </c>
      <c r="K426" s="15">
        <v>595.94000000000005</v>
      </c>
      <c r="L426" s="15">
        <v>595.94000000000005</v>
      </c>
      <c r="M426" s="15">
        <v>595.94000000000005</v>
      </c>
      <c r="N426" s="15">
        <v>104.6</v>
      </c>
      <c r="O426" t="s">
        <v>3028</v>
      </c>
    </row>
    <row r="427" spans="1:15" x14ac:dyDescent="0.25">
      <c r="A427" s="10" t="s">
        <v>1195</v>
      </c>
      <c r="B427" s="15">
        <v>0</v>
      </c>
      <c r="C427" s="15">
        <v>17.7</v>
      </c>
      <c r="D427" s="15">
        <v>4.3899999999999997</v>
      </c>
      <c r="E427" s="15">
        <v>5.7</v>
      </c>
      <c r="F427" s="15">
        <v>0</v>
      </c>
      <c r="G427" s="15">
        <v>48.87</v>
      </c>
      <c r="H427" s="15">
        <v>0</v>
      </c>
      <c r="I427" s="15">
        <v>26.56</v>
      </c>
      <c r="J427" s="15">
        <v>0</v>
      </c>
      <c r="K427" s="15">
        <v>0</v>
      </c>
      <c r="L427" s="15">
        <v>0</v>
      </c>
      <c r="M427" s="15">
        <v>0</v>
      </c>
      <c r="N427" s="15">
        <v>0</v>
      </c>
      <c r="O427" t="s">
        <v>3028</v>
      </c>
    </row>
    <row r="428" spans="1:15" x14ac:dyDescent="0.25">
      <c r="A428" s="10" t="s">
        <v>1197</v>
      </c>
      <c r="B428" s="15">
        <v>47.22</v>
      </c>
      <c r="C428" s="15">
        <v>43.3</v>
      </c>
      <c r="D428" s="15">
        <v>42.38</v>
      </c>
      <c r="E428" s="15">
        <v>51.8</v>
      </c>
      <c r="F428" s="15">
        <v>43.05</v>
      </c>
      <c r="G428" s="15">
        <v>43.95</v>
      </c>
      <c r="H428" s="15">
        <v>72.33</v>
      </c>
      <c r="I428" s="15">
        <v>0</v>
      </c>
      <c r="J428" s="15">
        <v>325.2</v>
      </c>
      <c r="K428" s="15">
        <v>282.76</v>
      </c>
      <c r="L428" s="15">
        <v>234.34</v>
      </c>
      <c r="M428" s="15">
        <v>232.69</v>
      </c>
      <c r="N428" s="15">
        <v>243.05</v>
      </c>
      <c r="O428" t="s">
        <v>3028</v>
      </c>
    </row>
    <row r="429" spans="1:15" x14ac:dyDescent="0.25">
      <c r="A429" s="10" t="s">
        <v>1201</v>
      </c>
      <c r="B429" s="15">
        <v>0</v>
      </c>
      <c r="C429" s="15">
        <v>0</v>
      </c>
      <c r="D429" s="15">
        <v>0</v>
      </c>
      <c r="E429" s="15">
        <v>0</v>
      </c>
      <c r="F429" s="15">
        <v>0</v>
      </c>
      <c r="G429" s="15">
        <v>0</v>
      </c>
      <c r="H429" s="15">
        <v>0</v>
      </c>
      <c r="I429" s="15">
        <v>0</v>
      </c>
      <c r="J429" s="15">
        <v>0</v>
      </c>
      <c r="K429" s="15">
        <v>0</v>
      </c>
      <c r="L429" s="15">
        <v>0</v>
      </c>
      <c r="M429" s="15">
        <v>9.6999999999999993</v>
      </c>
      <c r="N429" s="15">
        <v>0</v>
      </c>
      <c r="O429" t="s">
        <v>3028</v>
      </c>
    </row>
    <row r="430" spans="1:15" x14ac:dyDescent="0.25">
      <c r="A430" s="10" t="s">
        <v>1205</v>
      </c>
      <c r="B430" s="15">
        <v>0</v>
      </c>
      <c r="C430" s="15">
        <v>0</v>
      </c>
      <c r="D430" s="15">
        <v>0</v>
      </c>
      <c r="E430" s="15">
        <v>0</v>
      </c>
      <c r="F430" s="15">
        <v>0</v>
      </c>
      <c r="G430" s="15">
        <v>0</v>
      </c>
      <c r="H430" s="15">
        <v>0</v>
      </c>
      <c r="I430" s="15">
        <v>0</v>
      </c>
      <c r="J430" s="15">
        <v>231.62</v>
      </c>
      <c r="K430" s="15">
        <v>365.12</v>
      </c>
      <c r="L430" s="15">
        <v>365.12</v>
      </c>
      <c r="M430" s="15">
        <v>365.12</v>
      </c>
      <c r="N430" s="15">
        <v>0</v>
      </c>
      <c r="O430" t="s">
        <v>3028</v>
      </c>
    </row>
    <row r="431" spans="1:15" x14ac:dyDescent="0.25">
      <c r="A431" s="10" t="s">
        <v>1207</v>
      </c>
      <c r="B431" s="15">
        <v>187.82</v>
      </c>
      <c r="C431" s="15">
        <v>191.27</v>
      </c>
      <c r="D431" s="15">
        <v>194.4</v>
      </c>
      <c r="E431" s="15">
        <v>237.34</v>
      </c>
      <c r="F431" s="15">
        <v>181.28</v>
      </c>
      <c r="G431" s="15">
        <v>300.52</v>
      </c>
      <c r="H431" s="15">
        <v>0</v>
      </c>
      <c r="I431" s="15">
        <v>352.34</v>
      </c>
      <c r="J431" s="15">
        <v>276.42</v>
      </c>
      <c r="K431" s="15">
        <v>345.63</v>
      </c>
      <c r="L431" s="15">
        <v>257.77999999999997</v>
      </c>
      <c r="M431" s="15">
        <v>250.68</v>
      </c>
      <c r="N431" s="15">
        <v>273.12</v>
      </c>
      <c r="O431" t="s">
        <v>3028</v>
      </c>
    </row>
    <row r="432" spans="1:15" x14ac:dyDescent="0.25">
      <c r="A432" s="10" t="s">
        <v>1209</v>
      </c>
      <c r="B432" s="15">
        <v>264.20999999999998</v>
      </c>
      <c r="C432" s="15">
        <v>186.97</v>
      </c>
      <c r="D432" s="15">
        <v>204.47</v>
      </c>
      <c r="E432" s="15">
        <v>193.19</v>
      </c>
      <c r="F432" s="15">
        <v>190.07</v>
      </c>
      <c r="G432" s="15">
        <v>654.32000000000005</v>
      </c>
      <c r="H432" s="15">
        <v>0</v>
      </c>
      <c r="I432" s="15">
        <v>325.04000000000002</v>
      </c>
      <c r="J432" s="15">
        <v>253.29</v>
      </c>
      <c r="K432" s="15">
        <v>282.93</v>
      </c>
      <c r="L432" s="15">
        <v>253.29</v>
      </c>
      <c r="M432" s="15">
        <v>253.29</v>
      </c>
      <c r="N432" s="15">
        <v>271.36</v>
      </c>
      <c r="O432" t="s">
        <v>3028</v>
      </c>
    </row>
    <row r="433" spans="1:15" x14ac:dyDescent="0.25">
      <c r="A433" s="10" t="s">
        <v>1211</v>
      </c>
      <c r="B433" s="15">
        <v>43.66</v>
      </c>
      <c r="C433" s="15">
        <v>41.61</v>
      </c>
      <c r="D433" s="15">
        <v>21.79</v>
      </c>
      <c r="E433" s="15">
        <v>65.03</v>
      </c>
      <c r="F433" s="15">
        <v>0</v>
      </c>
      <c r="G433" s="15">
        <v>37.69</v>
      </c>
      <c r="H433" s="15">
        <v>45.11</v>
      </c>
      <c r="I433" s="15">
        <v>140.79</v>
      </c>
      <c r="J433" s="15">
        <v>55.96</v>
      </c>
      <c r="K433" s="15">
        <v>124.73</v>
      </c>
      <c r="L433" s="15">
        <v>56.85</v>
      </c>
      <c r="M433" s="15">
        <v>34.630000000000003</v>
      </c>
      <c r="N433" s="15">
        <v>57.39</v>
      </c>
      <c r="O433" t="s">
        <v>3028</v>
      </c>
    </row>
    <row r="434" spans="1:15" x14ac:dyDescent="0.25">
      <c r="A434" s="10" t="s">
        <v>1213</v>
      </c>
      <c r="B434" s="15">
        <v>51.81</v>
      </c>
      <c r="C434" s="15">
        <v>41.79</v>
      </c>
      <c r="D434" s="15">
        <v>41.79</v>
      </c>
      <c r="E434" s="15">
        <v>41.79</v>
      </c>
      <c r="F434" s="15">
        <v>42.56</v>
      </c>
      <c r="G434" s="15">
        <v>42.08</v>
      </c>
      <c r="H434" s="15">
        <v>42.26</v>
      </c>
      <c r="I434" s="15">
        <v>73.91</v>
      </c>
      <c r="J434" s="15">
        <v>0</v>
      </c>
      <c r="K434" s="15">
        <v>81.53</v>
      </c>
      <c r="L434" s="15">
        <v>67.89</v>
      </c>
      <c r="M434" s="15">
        <v>62.24</v>
      </c>
      <c r="N434" s="15">
        <v>62.85</v>
      </c>
      <c r="O434" t="s">
        <v>3028</v>
      </c>
    </row>
    <row r="435" spans="1:15" x14ac:dyDescent="0.25">
      <c r="A435" s="10" t="s">
        <v>1215</v>
      </c>
      <c r="B435" s="15">
        <v>0</v>
      </c>
      <c r="C435" s="15">
        <v>0</v>
      </c>
      <c r="D435" s="15">
        <v>0</v>
      </c>
      <c r="E435" s="15">
        <v>0</v>
      </c>
      <c r="F435" s="15">
        <v>0</v>
      </c>
      <c r="G435" s="15">
        <v>0</v>
      </c>
      <c r="H435" s="15">
        <v>0</v>
      </c>
      <c r="I435" s="15">
        <v>52.9</v>
      </c>
      <c r="J435" s="15">
        <v>0</v>
      </c>
      <c r="K435" s="15">
        <v>0</v>
      </c>
      <c r="L435" s="15">
        <v>0</v>
      </c>
      <c r="M435" s="15">
        <v>1.92</v>
      </c>
      <c r="N435" s="15">
        <v>0</v>
      </c>
      <c r="O435" t="s">
        <v>3028</v>
      </c>
    </row>
    <row r="436" spans="1:15" x14ac:dyDescent="0.25">
      <c r="A436" s="10" t="s">
        <v>1217</v>
      </c>
      <c r="B436" s="15">
        <v>226.65</v>
      </c>
      <c r="C436" s="15">
        <v>292.57</v>
      </c>
      <c r="D436" s="15">
        <v>292.26</v>
      </c>
      <c r="E436" s="15">
        <v>215.77</v>
      </c>
      <c r="F436" s="15">
        <v>203.34</v>
      </c>
      <c r="G436" s="15">
        <v>210.3</v>
      </c>
      <c r="H436" s="15">
        <v>200.53</v>
      </c>
      <c r="I436" s="15">
        <v>204.64</v>
      </c>
      <c r="J436" s="15">
        <v>202.9</v>
      </c>
      <c r="K436" s="15">
        <v>359.74</v>
      </c>
      <c r="L436" s="15">
        <v>280.87</v>
      </c>
      <c r="M436" s="15">
        <v>277</v>
      </c>
      <c r="N436" s="15">
        <v>301.57</v>
      </c>
      <c r="O436" t="s">
        <v>3028</v>
      </c>
    </row>
    <row r="437" spans="1:15" x14ac:dyDescent="0.25">
      <c r="A437" s="10" t="s">
        <v>1219</v>
      </c>
      <c r="B437" s="15">
        <v>41.41</v>
      </c>
      <c r="C437" s="15">
        <v>42.57</v>
      </c>
      <c r="D437" s="15">
        <v>12.97</v>
      </c>
      <c r="E437" s="15">
        <v>2.78</v>
      </c>
      <c r="F437" s="15">
        <v>17.850000000000001</v>
      </c>
      <c r="G437" s="15">
        <v>1.34</v>
      </c>
      <c r="H437" s="15">
        <v>2.14</v>
      </c>
      <c r="I437" s="15">
        <v>15.42</v>
      </c>
      <c r="J437" s="15">
        <v>61.4</v>
      </c>
      <c r="K437" s="15">
        <v>0</v>
      </c>
      <c r="L437" s="15">
        <v>30.45</v>
      </c>
      <c r="M437" s="15">
        <v>15.21</v>
      </c>
      <c r="N437" s="15">
        <v>25.99</v>
      </c>
      <c r="O437" t="s">
        <v>3028</v>
      </c>
    </row>
    <row r="438" spans="1:15" x14ac:dyDescent="0.25">
      <c r="A438" s="10" t="s">
        <v>1221</v>
      </c>
      <c r="B438" s="15">
        <v>0</v>
      </c>
      <c r="C438" s="15">
        <v>0</v>
      </c>
      <c r="D438" s="15">
        <v>0</v>
      </c>
      <c r="E438" s="15">
        <v>0</v>
      </c>
      <c r="F438" s="15">
        <v>0</v>
      </c>
      <c r="G438" s="15">
        <v>17.559999999999999</v>
      </c>
      <c r="H438" s="15">
        <v>0</v>
      </c>
      <c r="I438" s="15">
        <v>29.49</v>
      </c>
      <c r="J438" s="15">
        <v>9.0500000000000007</v>
      </c>
      <c r="K438" s="15">
        <v>15.57</v>
      </c>
      <c r="L438" s="15">
        <v>10.17</v>
      </c>
      <c r="M438" s="15">
        <v>12.61</v>
      </c>
      <c r="N438" s="15">
        <v>11.6</v>
      </c>
      <c r="O438" t="s">
        <v>3028</v>
      </c>
    </row>
    <row r="439" spans="1:15" x14ac:dyDescent="0.25">
      <c r="A439" s="10" t="s">
        <v>1223</v>
      </c>
      <c r="B439" s="15">
        <v>4.0999999999999996</v>
      </c>
      <c r="C439" s="15">
        <v>4.25</v>
      </c>
      <c r="D439" s="15">
        <v>0</v>
      </c>
      <c r="E439" s="15">
        <v>0</v>
      </c>
      <c r="F439" s="15">
        <v>0</v>
      </c>
      <c r="G439" s="15">
        <v>30.92</v>
      </c>
      <c r="H439" s="15">
        <v>0</v>
      </c>
      <c r="I439" s="15">
        <v>0</v>
      </c>
      <c r="J439" s="15">
        <v>0</v>
      </c>
      <c r="K439" s="15">
        <v>0</v>
      </c>
      <c r="L439" s="15">
        <v>0</v>
      </c>
      <c r="M439" s="15">
        <v>0</v>
      </c>
      <c r="N439" s="15">
        <v>0</v>
      </c>
      <c r="O439" t="s">
        <v>3028</v>
      </c>
    </row>
    <row r="440" spans="1:15" x14ac:dyDescent="0.25">
      <c r="A440" s="10" t="s">
        <v>1227</v>
      </c>
      <c r="B440" s="15">
        <v>267.89</v>
      </c>
      <c r="C440" s="15">
        <v>247.71</v>
      </c>
      <c r="D440" s="15">
        <v>0</v>
      </c>
      <c r="E440" s="15">
        <v>50.25</v>
      </c>
      <c r="F440" s="15">
        <v>50.34</v>
      </c>
      <c r="G440" s="15">
        <v>50.38</v>
      </c>
      <c r="H440" s="15">
        <v>51.4</v>
      </c>
      <c r="I440" s="15">
        <v>162.01</v>
      </c>
      <c r="J440" s="15">
        <v>74.760000000000005</v>
      </c>
      <c r="K440" s="15">
        <v>80.489999999999995</v>
      </c>
      <c r="L440" s="15">
        <v>75.55</v>
      </c>
      <c r="M440" s="15">
        <v>74.760000000000005</v>
      </c>
      <c r="N440" s="15">
        <v>95.09</v>
      </c>
      <c r="O440" t="s">
        <v>3028</v>
      </c>
    </row>
    <row r="441" spans="1:15" x14ac:dyDescent="0.25">
      <c r="A441" s="10" t="s">
        <v>1229</v>
      </c>
      <c r="B441" s="15">
        <v>260.24</v>
      </c>
      <c r="C441" s="15">
        <v>240.96</v>
      </c>
      <c r="D441" s="15">
        <v>240.96</v>
      </c>
      <c r="E441" s="15">
        <v>240.96</v>
      </c>
      <c r="F441" s="15">
        <v>240.96</v>
      </c>
      <c r="G441" s="15">
        <v>240.96</v>
      </c>
      <c r="H441" s="15">
        <v>240.96</v>
      </c>
      <c r="I441" s="15">
        <v>532.99</v>
      </c>
      <c r="J441" s="15">
        <v>1074.1099999999999</v>
      </c>
      <c r="K441" s="15">
        <v>0</v>
      </c>
      <c r="L441" s="15">
        <v>295.75</v>
      </c>
      <c r="M441" s="15">
        <v>333.75</v>
      </c>
      <c r="N441" s="15">
        <v>329.88</v>
      </c>
      <c r="O441" t="s">
        <v>3028</v>
      </c>
    </row>
    <row r="442" spans="1:15" x14ac:dyDescent="0.25">
      <c r="A442" s="10" t="s">
        <v>1231</v>
      </c>
      <c r="B442" s="15">
        <v>1406.14</v>
      </c>
      <c r="C442" s="15">
        <v>1064.52</v>
      </c>
      <c r="D442" s="15">
        <v>1747.75</v>
      </c>
      <c r="E442" s="15">
        <v>1064.52</v>
      </c>
      <c r="F442" s="15">
        <v>1064.52</v>
      </c>
      <c r="G442" s="15">
        <v>1406.14</v>
      </c>
      <c r="H442" s="15">
        <v>1064.52</v>
      </c>
      <c r="I442" s="15">
        <v>1064.52</v>
      </c>
      <c r="J442" s="15">
        <v>939.35</v>
      </c>
      <c r="K442" s="15">
        <v>1263.02</v>
      </c>
      <c r="L442" s="15">
        <v>1265.67</v>
      </c>
      <c r="M442" s="15">
        <v>1265.67</v>
      </c>
      <c r="N442" s="15">
        <v>1265.67</v>
      </c>
      <c r="O442" t="s">
        <v>3028</v>
      </c>
    </row>
    <row r="443" spans="1:15" x14ac:dyDescent="0.25">
      <c r="A443" s="10" t="s">
        <v>1233</v>
      </c>
      <c r="B443" s="15">
        <v>0</v>
      </c>
      <c r="C443" s="15">
        <v>0</v>
      </c>
      <c r="D443" s="15">
        <v>0.68</v>
      </c>
      <c r="E443" s="15">
        <v>40.200000000000003</v>
      </c>
      <c r="F443" s="15">
        <v>39.590000000000003</v>
      </c>
      <c r="G443" s="15">
        <v>62.62</v>
      </c>
      <c r="H443" s="15">
        <v>54.47</v>
      </c>
      <c r="I443" s="15">
        <v>197.54</v>
      </c>
      <c r="J443" s="15">
        <v>108.56</v>
      </c>
      <c r="K443" s="15">
        <v>0</v>
      </c>
      <c r="L443" s="15">
        <v>0</v>
      </c>
      <c r="M443" s="15">
        <v>0</v>
      </c>
      <c r="N443" s="15">
        <v>2.81</v>
      </c>
      <c r="O443" t="s">
        <v>3028</v>
      </c>
    </row>
    <row r="444" spans="1:15" x14ac:dyDescent="0.25">
      <c r="A444" s="10" t="s">
        <v>1235</v>
      </c>
      <c r="B444" s="15">
        <v>0</v>
      </c>
      <c r="C444" s="15">
        <v>0</v>
      </c>
      <c r="D444" s="15">
        <v>0</v>
      </c>
      <c r="E444" s="15">
        <v>0</v>
      </c>
      <c r="F444" s="15">
        <v>0</v>
      </c>
      <c r="G444" s="15">
        <v>0</v>
      </c>
      <c r="H444" s="15">
        <v>21.95</v>
      </c>
      <c r="I444" s="15">
        <v>0</v>
      </c>
      <c r="J444" s="15">
        <v>0</v>
      </c>
      <c r="K444" s="15">
        <v>0</v>
      </c>
      <c r="L444" s="15">
        <v>0</v>
      </c>
      <c r="M444" s="15">
        <v>0</v>
      </c>
      <c r="N444" s="15">
        <v>0</v>
      </c>
      <c r="O444" t="s">
        <v>3028</v>
      </c>
    </row>
    <row r="445" spans="1:15" x14ac:dyDescent="0.25">
      <c r="A445" s="10" t="s">
        <v>1237</v>
      </c>
      <c r="B445" s="15">
        <v>26.04</v>
      </c>
      <c r="C445" s="15">
        <v>28.34</v>
      </c>
      <c r="D445" s="15">
        <v>19.47</v>
      </c>
      <c r="E445" s="15">
        <v>9.9600000000000009</v>
      </c>
      <c r="F445" s="15">
        <v>1.45</v>
      </c>
      <c r="G445" s="15">
        <v>1.56</v>
      </c>
      <c r="H445" s="15">
        <v>1.5</v>
      </c>
      <c r="I445" s="15">
        <v>5.68</v>
      </c>
      <c r="J445" s="15">
        <v>62.01</v>
      </c>
      <c r="K445" s="15">
        <v>0</v>
      </c>
      <c r="L445" s="15">
        <v>9.86</v>
      </c>
      <c r="M445" s="15">
        <v>15.21</v>
      </c>
      <c r="N445" s="15">
        <v>21.67</v>
      </c>
      <c r="O445" t="s">
        <v>3028</v>
      </c>
    </row>
    <row r="446" spans="1:15" x14ac:dyDescent="0.25">
      <c r="A446" s="10" t="s">
        <v>1239</v>
      </c>
      <c r="B446" s="15">
        <v>151.79</v>
      </c>
      <c r="C446" s="15">
        <v>173.52</v>
      </c>
      <c r="D446" s="15">
        <v>154.68</v>
      </c>
      <c r="E446" s="15">
        <v>151.96</v>
      </c>
      <c r="F446" s="15">
        <v>144.86000000000001</v>
      </c>
      <c r="G446" s="15">
        <v>268.27999999999997</v>
      </c>
      <c r="H446" s="15">
        <v>0</v>
      </c>
      <c r="I446" s="15">
        <v>301.49</v>
      </c>
      <c r="J446" s="15">
        <v>186.97</v>
      </c>
      <c r="K446" s="15">
        <v>204.17</v>
      </c>
      <c r="L446" s="15">
        <v>197.18</v>
      </c>
      <c r="M446" s="15">
        <v>210.76</v>
      </c>
      <c r="N446" s="15">
        <v>204.74</v>
      </c>
      <c r="O446" t="s">
        <v>3028</v>
      </c>
    </row>
    <row r="447" spans="1:15" x14ac:dyDescent="0.25">
      <c r="A447" s="10" t="s">
        <v>1241</v>
      </c>
      <c r="B447" s="15">
        <v>0</v>
      </c>
      <c r="C447" s="15">
        <v>50.68</v>
      </c>
      <c r="D447" s="15">
        <v>46.65</v>
      </c>
      <c r="E447" s="15">
        <v>53.07</v>
      </c>
      <c r="F447" s="15">
        <v>51.91</v>
      </c>
      <c r="G447" s="15">
        <v>48.01</v>
      </c>
      <c r="H447" s="15">
        <v>55.36</v>
      </c>
      <c r="I447" s="15">
        <v>58.63</v>
      </c>
      <c r="J447" s="15">
        <v>67.150000000000006</v>
      </c>
      <c r="K447" s="15">
        <v>71.040000000000006</v>
      </c>
      <c r="L447" s="15">
        <v>67.5</v>
      </c>
      <c r="M447" s="15">
        <v>72.2</v>
      </c>
      <c r="N447" s="15">
        <v>69.06</v>
      </c>
      <c r="O447" t="s">
        <v>3028</v>
      </c>
    </row>
    <row r="448" spans="1:15" x14ac:dyDescent="0.25">
      <c r="A448" s="10" t="s">
        <v>1243</v>
      </c>
      <c r="B448" s="15">
        <v>0</v>
      </c>
      <c r="C448" s="15">
        <v>0.03</v>
      </c>
      <c r="D448" s="15">
        <v>0</v>
      </c>
      <c r="E448" s="15">
        <v>0</v>
      </c>
      <c r="F448" s="15">
        <v>0</v>
      </c>
      <c r="G448" s="15">
        <v>0</v>
      </c>
      <c r="H448" s="15">
        <v>30.27</v>
      </c>
      <c r="I448" s="15">
        <v>0</v>
      </c>
      <c r="J448" s="15">
        <v>0</v>
      </c>
      <c r="K448" s="15">
        <v>0</v>
      </c>
      <c r="L448" s="15">
        <v>0</v>
      </c>
      <c r="M448" s="15">
        <v>1.04</v>
      </c>
      <c r="N448" s="15">
        <v>0</v>
      </c>
      <c r="O448" t="s">
        <v>3028</v>
      </c>
    </row>
    <row r="449" spans="1:15" x14ac:dyDescent="0.25">
      <c r="A449" s="10" t="s">
        <v>1247</v>
      </c>
      <c r="B449" s="15">
        <v>3.99</v>
      </c>
      <c r="C449" s="15">
        <v>3.27</v>
      </c>
      <c r="D449" s="15">
        <v>17.829999999999998</v>
      </c>
      <c r="E449" s="15">
        <v>61.78</v>
      </c>
      <c r="F449" s="15">
        <v>0</v>
      </c>
      <c r="G449" s="15">
        <v>25.08</v>
      </c>
      <c r="H449" s="15">
        <v>2.85</v>
      </c>
      <c r="I449" s="15">
        <v>58.66</v>
      </c>
      <c r="J449" s="15">
        <v>18.29</v>
      </c>
      <c r="K449" s="15">
        <v>18.45</v>
      </c>
      <c r="L449" s="15">
        <v>27.44</v>
      </c>
      <c r="M449" s="15">
        <v>43.26</v>
      </c>
      <c r="N449" s="15">
        <v>25.49</v>
      </c>
      <c r="O449" t="s">
        <v>3028</v>
      </c>
    </row>
    <row r="450" spans="1:15" x14ac:dyDescent="0.25">
      <c r="A450" s="10" t="s">
        <v>1251</v>
      </c>
      <c r="B450" s="15">
        <v>0</v>
      </c>
      <c r="C450" s="15">
        <v>0.4</v>
      </c>
      <c r="D450" s="15">
        <v>2.4900000000000002</v>
      </c>
      <c r="E450" s="15">
        <v>0</v>
      </c>
      <c r="F450" s="15">
        <v>0</v>
      </c>
      <c r="G450" s="15">
        <v>0</v>
      </c>
      <c r="H450" s="15">
        <v>7.56</v>
      </c>
      <c r="I450" s="15">
        <v>35.770000000000003</v>
      </c>
      <c r="J450" s="15">
        <v>0</v>
      </c>
      <c r="K450" s="15">
        <v>0</v>
      </c>
      <c r="L450" s="15">
        <v>0</v>
      </c>
      <c r="M450" s="15">
        <v>0</v>
      </c>
      <c r="N450" s="15">
        <v>2.44</v>
      </c>
      <c r="O450" t="s">
        <v>3028</v>
      </c>
    </row>
    <row r="451" spans="1:15" x14ac:dyDescent="0.25">
      <c r="A451" s="10" t="s">
        <v>1255</v>
      </c>
      <c r="B451" s="15">
        <v>178.33</v>
      </c>
      <c r="C451" s="15">
        <v>163.53</v>
      </c>
      <c r="D451" s="15">
        <v>163.53</v>
      </c>
      <c r="E451" s="15">
        <v>167.87</v>
      </c>
      <c r="F451" s="15">
        <v>169.86</v>
      </c>
      <c r="G451" s="15">
        <v>165.37</v>
      </c>
      <c r="H451" s="15">
        <v>163.53</v>
      </c>
      <c r="I451" s="15">
        <v>370.68</v>
      </c>
      <c r="J451" s="15">
        <v>378.53</v>
      </c>
      <c r="K451" s="15">
        <v>0</v>
      </c>
      <c r="L451" s="15">
        <v>217.71</v>
      </c>
      <c r="M451" s="15">
        <v>220.43</v>
      </c>
      <c r="N451" s="15">
        <v>224.24</v>
      </c>
      <c r="O451" t="s">
        <v>3028</v>
      </c>
    </row>
    <row r="452" spans="1:15" x14ac:dyDescent="0.25">
      <c r="A452" s="10" t="s">
        <v>1257</v>
      </c>
      <c r="B452" s="15">
        <v>403.43</v>
      </c>
      <c r="C452" s="15">
        <v>335.95</v>
      </c>
      <c r="D452" s="15">
        <v>337.26</v>
      </c>
      <c r="E452" s="15">
        <v>521.80999999999995</v>
      </c>
      <c r="F452" s="15">
        <v>507.9</v>
      </c>
      <c r="G452" s="15">
        <v>523.01</v>
      </c>
      <c r="H452" s="15">
        <v>511.85</v>
      </c>
      <c r="I452" s="15">
        <v>1020.42</v>
      </c>
      <c r="J452" s="15">
        <v>662.01</v>
      </c>
      <c r="K452" s="15">
        <v>684.04</v>
      </c>
      <c r="L452" s="15">
        <v>581.41999999999996</v>
      </c>
      <c r="M452" s="15">
        <v>712.01</v>
      </c>
      <c r="N452" s="15">
        <v>699.36</v>
      </c>
      <c r="O452" t="s">
        <v>3028</v>
      </c>
    </row>
    <row r="453" spans="1:15" x14ac:dyDescent="0.25">
      <c r="A453" s="10" t="s">
        <v>1259</v>
      </c>
      <c r="B453" s="15">
        <v>0</v>
      </c>
      <c r="C453" s="15">
        <v>0</v>
      </c>
      <c r="D453" s="15">
        <v>0</v>
      </c>
      <c r="E453" s="15">
        <v>0</v>
      </c>
      <c r="F453" s="15">
        <v>0</v>
      </c>
      <c r="G453" s="15">
        <v>0</v>
      </c>
      <c r="H453" s="15">
        <v>0</v>
      </c>
      <c r="I453" s="15">
        <v>25.16</v>
      </c>
      <c r="J453" s="15">
        <v>0.91</v>
      </c>
      <c r="K453" s="15">
        <v>3.93</v>
      </c>
      <c r="L453" s="15">
        <v>16.54</v>
      </c>
      <c r="M453" s="15">
        <v>0.9</v>
      </c>
      <c r="N453" s="15">
        <v>0</v>
      </c>
      <c r="O453" t="s">
        <v>3028</v>
      </c>
    </row>
    <row r="454" spans="1:15" x14ac:dyDescent="0.25">
      <c r="A454" s="10" t="s">
        <v>1261</v>
      </c>
      <c r="B454" s="15">
        <v>136.30000000000001</v>
      </c>
      <c r="C454" s="15">
        <v>135.09</v>
      </c>
      <c r="D454" s="15">
        <v>135.09</v>
      </c>
      <c r="E454" s="15">
        <v>135.09</v>
      </c>
      <c r="F454" s="15">
        <v>135.09</v>
      </c>
      <c r="G454" s="15">
        <v>135.09</v>
      </c>
      <c r="H454" s="15">
        <v>135.09</v>
      </c>
      <c r="I454" s="15">
        <v>327.75</v>
      </c>
      <c r="J454" s="15">
        <v>186.78</v>
      </c>
      <c r="K454" s="15">
        <v>186.11</v>
      </c>
      <c r="L454" s="15">
        <v>186.12</v>
      </c>
      <c r="M454" s="15">
        <v>205.1</v>
      </c>
      <c r="N454" s="15">
        <v>186.2</v>
      </c>
      <c r="O454" t="s">
        <v>3028</v>
      </c>
    </row>
    <row r="455" spans="1:15" x14ac:dyDescent="0.25">
      <c r="A455" s="10" t="s">
        <v>1263</v>
      </c>
      <c r="B455" s="15">
        <v>2.96</v>
      </c>
      <c r="C455" s="15">
        <v>0</v>
      </c>
      <c r="D455" s="15">
        <v>0</v>
      </c>
      <c r="E455" s="15">
        <v>33.28</v>
      </c>
      <c r="F455" s="15">
        <v>0</v>
      </c>
      <c r="G455" s="15">
        <v>0</v>
      </c>
      <c r="H455" s="15">
        <v>0</v>
      </c>
      <c r="I455" s="15">
        <v>40.619999999999997</v>
      </c>
      <c r="J455" s="15">
        <v>7.63</v>
      </c>
      <c r="K455" s="15">
        <v>0</v>
      </c>
      <c r="L455" s="15">
        <v>5.37</v>
      </c>
      <c r="M455" s="15">
        <v>7.54</v>
      </c>
      <c r="N455" s="15">
        <v>6.23</v>
      </c>
      <c r="O455" t="s">
        <v>3028</v>
      </c>
    </row>
    <row r="456" spans="1:15" x14ac:dyDescent="0.25">
      <c r="A456" s="10" t="s">
        <v>1265</v>
      </c>
      <c r="B456" s="15">
        <v>197.64</v>
      </c>
      <c r="C456" s="15">
        <v>197.64</v>
      </c>
      <c r="D456" s="15">
        <v>197.64</v>
      </c>
      <c r="E456" s="15">
        <v>197.64</v>
      </c>
      <c r="F456" s="15">
        <v>197.64</v>
      </c>
      <c r="G456" s="15">
        <v>197.64</v>
      </c>
      <c r="H456" s="15">
        <v>197.64</v>
      </c>
      <c r="I456" s="15">
        <v>536.34</v>
      </c>
      <c r="J456" s="15">
        <v>0</v>
      </c>
      <c r="K456" s="15">
        <v>273.91000000000003</v>
      </c>
      <c r="L456" s="15">
        <v>273.91000000000003</v>
      </c>
      <c r="M456" s="15">
        <v>273.91000000000003</v>
      </c>
      <c r="N456" s="15">
        <v>273.91000000000003</v>
      </c>
      <c r="O456" t="s">
        <v>3028</v>
      </c>
    </row>
    <row r="457" spans="1:15" x14ac:dyDescent="0.25">
      <c r="A457" s="10" t="s">
        <v>1271</v>
      </c>
      <c r="B457" s="15">
        <v>290.45</v>
      </c>
      <c r="C457" s="15">
        <v>144.26</v>
      </c>
      <c r="D457" s="15">
        <v>141.63999999999999</v>
      </c>
      <c r="E457" s="15">
        <v>147.62</v>
      </c>
      <c r="F457" s="15">
        <v>140.88999999999999</v>
      </c>
      <c r="G457" s="15">
        <v>144</v>
      </c>
      <c r="H457" s="15">
        <v>144.66</v>
      </c>
      <c r="I457" s="15">
        <v>147.74</v>
      </c>
      <c r="J457" s="15">
        <v>213.5</v>
      </c>
      <c r="K457" s="15">
        <v>195.15</v>
      </c>
      <c r="L457" s="15">
        <v>196.25</v>
      </c>
      <c r="M457" s="15">
        <v>216.77</v>
      </c>
      <c r="N457" s="15">
        <v>208.89</v>
      </c>
      <c r="O457" t="s">
        <v>3028</v>
      </c>
    </row>
    <row r="458" spans="1:15" x14ac:dyDescent="0.25">
      <c r="A458" s="10" t="s">
        <v>1273</v>
      </c>
      <c r="B458" s="15">
        <v>1322.79</v>
      </c>
      <c r="C458" s="15">
        <v>1322.79</v>
      </c>
      <c r="D458" s="15">
        <v>1322.79</v>
      </c>
      <c r="E458" s="15">
        <v>1322.79</v>
      </c>
      <c r="F458" s="15">
        <v>1322.79</v>
      </c>
      <c r="G458" s="15">
        <v>1322.79</v>
      </c>
      <c r="H458" s="15">
        <v>1322.79</v>
      </c>
      <c r="I458" s="15">
        <v>1262.22</v>
      </c>
      <c r="J458" s="15">
        <v>1087.8699999999999</v>
      </c>
      <c r="K458" s="15">
        <v>1752.16</v>
      </c>
      <c r="L458" s="15">
        <v>1548.77</v>
      </c>
      <c r="M458" s="15">
        <v>1548.77</v>
      </c>
      <c r="N458" s="15">
        <v>1548.77</v>
      </c>
      <c r="O458" t="s">
        <v>3028</v>
      </c>
    </row>
    <row r="459" spans="1:15" x14ac:dyDescent="0.25">
      <c r="A459" s="10" t="s">
        <v>1275</v>
      </c>
      <c r="B459" s="15">
        <v>108.5</v>
      </c>
      <c r="C459" s="15">
        <v>62.07</v>
      </c>
      <c r="D459" s="15">
        <v>47.53</v>
      </c>
      <c r="E459" s="15">
        <v>48.15</v>
      </c>
      <c r="F459" s="15">
        <v>46.65</v>
      </c>
      <c r="G459" s="15">
        <v>46.65</v>
      </c>
      <c r="H459" s="15">
        <v>46.65</v>
      </c>
      <c r="I459" s="15">
        <v>140.91999999999999</v>
      </c>
      <c r="J459" s="15">
        <v>83.25</v>
      </c>
      <c r="K459" s="15">
        <v>65.25</v>
      </c>
      <c r="L459" s="15">
        <v>65.25</v>
      </c>
      <c r="M459" s="15">
        <v>75.180000000000007</v>
      </c>
      <c r="N459" s="15">
        <v>76.97</v>
      </c>
      <c r="O459" t="s">
        <v>3028</v>
      </c>
    </row>
    <row r="460" spans="1:15" x14ac:dyDescent="0.25">
      <c r="A460" s="10" t="s">
        <v>1279</v>
      </c>
      <c r="B460" s="15">
        <v>124.61</v>
      </c>
      <c r="C460" s="15">
        <v>67</v>
      </c>
      <c r="D460" s="15">
        <v>69.39</v>
      </c>
      <c r="E460" s="15">
        <v>51.21</v>
      </c>
      <c r="F460" s="15">
        <v>49.16</v>
      </c>
      <c r="G460" s="15">
        <v>180.22</v>
      </c>
      <c r="H460" s="15">
        <v>0</v>
      </c>
      <c r="I460" s="15">
        <v>55.38</v>
      </c>
      <c r="J460" s="15">
        <v>49.93</v>
      </c>
      <c r="K460" s="15">
        <v>100.62</v>
      </c>
      <c r="L460" s="15">
        <v>68.8</v>
      </c>
      <c r="M460" s="15">
        <v>66.37</v>
      </c>
      <c r="N460" s="15">
        <v>75.53</v>
      </c>
      <c r="O460" t="s">
        <v>3028</v>
      </c>
    </row>
    <row r="461" spans="1:15" x14ac:dyDescent="0.25">
      <c r="A461" s="10" t="s">
        <v>1281</v>
      </c>
      <c r="B461" s="15">
        <v>0</v>
      </c>
      <c r="C461" s="15">
        <v>0</v>
      </c>
      <c r="D461" s="15">
        <v>0</v>
      </c>
      <c r="E461" s="15">
        <v>24.4</v>
      </c>
      <c r="F461" s="15">
        <v>0</v>
      </c>
      <c r="G461" s="15">
        <v>0</v>
      </c>
      <c r="H461" s="15">
        <v>0</v>
      </c>
      <c r="I461" s="15">
        <v>17.579999999999998</v>
      </c>
      <c r="J461" s="15">
        <v>0</v>
      </c>
      <c r="K461" s="15">
        <v>0</v>
      </c>
      <c r="L461" s="15">
        <v>0</v>
      </c>
      <c r="M461" s="15">
        <v>0</v>
      </c>
      <c r="N461" s="15">
        <v>0</v>
      </c>
      <c r="O461" t="s">
        <v>3028</v>
      </c>
    </row>
    <row r="462" spans="1:15" x14ac:dyDescent="0.25">
      <c r="A462" s="10" t="s">
        <v>1283</v>
      </c>
      <c r="B462" s="15">
        <v>731.48</v>
      </c>
      <c r="C462" s="15">
        <v>256.48</v>
      </c>
      <c r="D462" s="15">
        <v>196.15</v>
      </c>
      <c r="E462" s="15">
        <v>965.32</v>
      </c>
      <c r="F462" s="15">
        <v>0</v>
      </c>
      <c r="G462" s="15">
        <v>217.42</v>
      </c>
      <c r="H462" s="15">
        <v>218.81</v>
      </c>
      <c r="I462" s="15">
        <v>659.28</v>
      </c>
      <c r="J462" s="15">
        <v>285.68</v>
      </c>
      <c r="K462" s="15">
        <v>277.04000000000002</v>
      </c>
      <c r="L462" s="15">
        <v>253.37</v>
      </c>
      <c r="M462" s="15">
        <v>248.11</v>
      </c>
      <c r="N462" s="15">
        <v>341.2</v>
      </c>
      <c r="O462" t="s">
        <v>3028</v>
      </c>
    </row>
    <row r="463" spans="1:15" x14ac:dyDescent="0.25">
      <c r="A463" s="10" t="s">
        <v>1285</v>
      </c>
      <c r="B463" s="15">
        <v>555.66999999999996</v>
      </c>
      <c r="C463" s="15">
        <v>539.49</v>
      </c>
      <c r="D463" s="15">
        <v>539.49</v>
      </c>
      <c r="E463" s="15">
        <v>539.49</v>
      </c>
      <c r="F463" s="15">
        <v>47.23</v>
      </c>
      <c r="G463" s="15">
        <v>0</v>
      </c>
      <c r="H463" s="15">
        <v>0</v>
      </c>
      <c r="I463" s="15">
        <v>0</v>
      </c>
      <c r="J463" s="15">
        <v>0</v>
      </c>
      <c r="K463" s="15">
        <v>0</v>
      </c>
      <c r="L463" s="15">
        <v>0</v>
      </c>
      <c r="M463" s="15">
        <v>0</v>
      </c>
      <c r="N463" s="15">
        <v>19.190000000000001</v>
      </c>
      <c r="O463" t="s">
        <v>3028</v>
      </c>
    </row>
    <row r="464" spans="1:15" x14ac:dyDescent="0.25">
      <c r="A464" s="10" t="s">
        <v>1287</v>
      </c>
      <c r="B464" s="15">
        <v>0</v>
      </c>
      <c r="C464" s="15">
        <v>0</v>
      </c>
      <c r="D464" s="15">
        <v>0</v>
      </c>
      <c r="E464" s="15">
        <v>0</v>
      </c>
      <c r="F464" s="15">
        <v>0</v>
      </c>
      <c r="G464" s="15">
        <v>0</v>
      </c>
      <c r="H464" s="15">
        <v>0</v>
      </c>
      <c r="I464" s="15">
        <v>456.45</v>
      </c>
      <c r="J464" s="15">
        <v>1753.9</v>
      </c>
      <c r="K464" s="15">
        <v>1226.73</v>
      </c>
      <c r="L464" s="15">
        <v>1753.9</v>
      </c>
      <c r="M464" s="15">
        <v>1753.9</v>
      </c>
      <c r="N464" s="15">
        <v>207.56</v>
      </c>
      <c r="O464" t="s">
        <v>3028</v>
      </c>
    </row>
    <row r="465" spans="1:15" x14ac:dyDescent="0.25">
      <c r="A465" s="10" t="s">
        <v>1289</v>
      </c>
      <c r="B465" s="15">
        <v>0</v>
      </c>
      <c r="C465" s="15">
        <v>0</v>
      </c>
      <c r="D465" s="15">
        <v>0</v>
      </c>
      <c r="E465" s="15">
        <v>0</v>
      </c>
      <c r="F465" s="15">
        <v>0</v>
      </c>
      <c r="G465" s="15">
        <v>0</v>
      </c>
      <c r="H465" s="15">
        <v>3.92</v>
      </c>
      <c r="I465" s="15">
        <v>34.159999999999997</v>
      </c>
      <c r="J465" s="15">
        <v>5.28</v>
      </c>
      <c r="K465" s="15">
        <v>0</v>
      </c>
      <c r="L465" s="15">
        <v>20.67</v>
      </c>
      <c r="M465" s="15">
        <v>2.0299999999999998</v>
      </c>
      <c r="N465" s="15">
        <v>0</v>
      </c>
      <c r="O465" t="s">
        <v>3028</v>
      </c>
    </row>
    <row r="466" spans="1:15" x14ac:dyDescent="0.25">
      <c r="A466" s="10" t="s">
        <v>1291</v>
      </c>
      <c r="B466" s="15">
        <v>110.52</v>
      </c>
      <c r="C466" s="15">
        <v>88.6</v>
      </c>
      <c r="D466" s="15">
        <v>94.3</v>
      </c>
      <c r="E466" s="15">
        <v>88.94</v>
      </c>
      <c r="F466" s="15">
        <v>100.63</v>
      </c>
      <c r="G466" s="15">
        <v>144.19999999999999</v>
      </c>
      <c r="H466" s="15">
        <v>88.14</v>
      </c>
      <c r="I466" s="15">
        <v>249.35</v>
      </c>
      <c r="J466" s="15">
        <v>136.4</v>
      </c>
      <c r="K466" s="15">
        <v>157.05000000000001</v>
      </c>
      <c r="L466" s="15">
        <v>136.02000000000001</v>
      </c>
      <c r="M466" s="15">
        <v>357.92</v>
      </c>
      <c r="N466" s="15">
        <v>144.79</v>
      </c>
      <c r="O466" t="s">
        <v>3028</v>
      </c>
    </row>
    <row r="467" spans="1:15" x14ac:dyDescent="0.25">
      <c r="A467" s="10" t="s">
        <v>1293</v>
      </c>
      <c r="B467" s="15">
        <v>119.76</v>
      </c>
      <c r="C467" s="15">
        <v>103.27</v>
      </c>
      <c r="D467" s="15">
        <v>60.81</v>
      </c>
      <c r="E467" s="15">
        <v>48.01</v>
      </c>
      <c r="F467" s="15">
        <v>48.48</v>
      </c>
      <c r="G467" s="15">
        <v>48.01</v>
      </c>
      <c r="H467" s="15">
        <v>104.55</v>
      </c>
      <c r="I467" s="15">
        <v>0</v>
      </c>
      <c r="J467" s="15">
        <v>50.92</v>
      </c>
      <c r="K467" s="15">
        <v>104.53</v>
      </c>
      <c r="L467" s="15">
        <v>76.790000000000006</v>
      </c>
      <c r="M467" s="15">
        <v>66.63</v>
      </c>
      <c r="N467" s="15">
        <v>76.819999999999993</v>
      </c>
      <c r="O467" t="s">
        <v>3028</v>
      </c>
    </row>
    <row r="468" spans="1:15" x14ac:dyDescent="0.25">
      <c r="A468" s="10" t="s">
        <v>1299</v>
      </c>
      <c r="B468" s="15">
        <v>7.84</v>
      </c>
      <c r="C468" s="15">
        <v>5.21</v>
      </c>
      <c r="D468" s="15">
        <v>32.28</v>
      </c>
      <c r="E468" s="15">
        <v>0</v>
      </c>
      <c r="F468" s="15">
        <v>0</v>
      </c>
      <c r="G468" s="15">
        <v>0</v>
      </c>
      <c r="H468" s="15">
        <v>0</v>
      </c>
      <c r="I468" s="15">
        <v>18.39</v>
      </c>
      <c r="J468" s="15">
        <v>0</v>
      </c>
      <c r="K468" s="15">
        <v>5.09</v>
      </c>
      <c r="L468" s="15">
        <v>0</v>
      </c>
      <c r="M468" s="15">
        <v>0</v>
      </c>
      <c r="N468" s="15">
        <v>0</v>
      </c>
      <c r="O468" t="s">
        <v>3028</v>
      </c>
    </row>
    <row r="469" spans="1:15" x14ac:dyDescent="0.25">
      <c r="A469" s="10" t="s">
        <v>92</v>
      </c>
      <c r="B469" s="15">
        <v>17886.060000000001</v>
      </c>
      <c r="C469" s="15">
        <v>17886.060000000001</v>
      </c>
      <c r="D469" s="15">
        <v>17886.060000000001</v>
      </c>
      <c r="E469" s="15">
        <v>17886.060000000001</v>
      </c>
      <c r="F469" s="15">
        <v>17886.060000000001</v>
      </c>
      <c r="G469" s="15">
        <v>17886.060000000001</v>
      </c>
      <c r="H469" s="15">
        <v>17886.060000000001</v>
      </c>
      <c r="I469" s="15">
        <v>52117.02</v>
      </c>
      <c r="J469" s="15">
        <v>18183.11</v>
      </c>
      <c r="K469" s="15">
        <v>18183.11</v>
      </c>
      <c r="L469" s="15">
        <v>18183.11</v>
      </c>
      <c r="M469" s="15">
        <v>18183.11</v>
      </c>
      <c r="N469" s="15">
        <v>0</v>
      </c>
      <c r="O469" t="s">
        <v>3028</v>
      </c>
    </row>
    <row r="470" spans="1:15" x14ac:dyDescent="0.25">
      <c r="A470" s="10" t="s">
        <v>1304</v>
      </c>
      <c r="B470" s="15">
        <v>3.33</v>
      </c>
      <c r="C470" s="15">
        <v>20.16</v>
      </c>
      <c r="D470" s="15">
        <v>1.87</v>
      </c>
      <c r="E470" s="15">
        <v>0</v>
      </c>
      <c r="F470" s="15">
        <v>0</v>
      </c>
      <c r="G470" s="15">
        <v>0</v>
      </c>
      <c r="H470" s="15">
        <v>40.86</v>
      </c>
      <c r="I470" s="15">
        <v>0</v>
      </c>
      <c r="J470" s="15">
        <v>0</v>
      </c>
      <c r="K470" s="15">
        <v>19.97</v>
      </c>
      <c r="L470" s="15">
        <v>31.93</v>
      </c>
      <c r="M470" s="15">
        <v>13.35</v>
      </c>
      <c r="N470" s="15">
        <v>9.33</v>
      </c>
      <c r="O470" t="s">
        <v>3028</v>
      </c>
    </row>
    <row r="471" spans="1:15" x14ac:dyDescent="0.25">
      <c r="A471" s="10" t="s">
        <v>1306</v>
      </c>
      <c r="B471" s="15">
        <v>95.72</v>
      </c>
      <c r="C471" s="15">
        <v>65.2</v>
      </c>
      <c r="D471" s="15">
        <v>94.54</v>
      </c>
      <c r="E471" s="15">
        <v>63.5</v>
      </c>
      <c r="F471" s="15">
        <v>63.89</v>
      </c>
      <c r="G471" s="15">
        <v>232.38</v>
      </c>
      <c r="H471" s="15">
        <v>49.11</v>
      </c>
      <c r="I471" s="15">
        <v>167.25</v>
      </c>
      <c r="J471" s="15">
        <v>104.88</v>
      </c>
      <c r="K471" s="15">
        <v>75.5</v>
      </c>
      <c r="L471" s="15">
        <v>83.66</v>
      </c>
      <c r="M471" s="15">
        <v>120.93</v>
      </c>
      <c r="N471" s="15">
        <v>109.38</v>
      </c>
      <c r="O471" t="s">
        <v>3028</v>
      </c>
    </row>
    <row r="472" spans="1:15" x14ac:dyDescent="0.25">
      <c r="A472" s="10" t="s">
        <v>1308</v>
      </c>
      <c r="B472" s="15">
        <v>0</v>
      </c>
      <c r="C472" s="15">
        <v>0</v>
      </c>
      <c r="D472" s="15">
        <v>0</v>
      </c>
      <c r="E472" s="15">
        <v>0</v>
      </c>
      <c r="F472" s="15">
        <v>0</v>
      </c>
      <c r="G472" s="15">
        <v>0</v>
      </c>
      <c r="H472" s="15">
        <v>0</v>
      </c>
      <c r="I472" s="15">
        <v>0</v>
      </c>
      <c r="J472" s="15">
        <v>0</v>
      </c>
      <c r="K472" s="15">
        <v>0</v>
      </c>
      <c r="L472" s="15">
        <v>0</v>
      </c>
      <c r="M472" s="15">
        <v>0</v>
      </c>
      <c r="N472" s="15">
        <v>17.22</v>
      </c>
      <c r="O472" t="s">
        <v>3028</v>
      </c>
    </row>
    <row r="473" spans="1:15" x14ac:dyDescent="0.25">
      <c r="A473" s="10" t="s">
        <v>1312</v>
      </c>
      <c r="B473" s="15">
        <v>82.45</v>
      </c>
      <c r="C473" s="15">
        <v>46.81</v>
      </c>
      <c r="D473" s="15">
        <v>19.100000000000001</v>
      </c>
      <c r="E473" s="15">
        <v>21.79</v>
      </c>
      <c r="F473" s="15">
        <v>15</v>
      </c>
      <c r="G473" s="15">
        <v>56.48</v>
      </c>
      <c r="H473" s="15">
        <v>0</v>
      </c>
      <c r="I473" s="15">
        <v>46.11</v>
      </c>
      <c r="J473" s="15">
        <v>104.35</v>
      </c>
      <c r="K473" s="15">
        <v>149.65</v>
      </c>
      <c r="L473" s="15">
        <v>125.68</v>
      </c>
      <c r="M473" s="15">
        <v>214.93</v>
      </c>
      <c r="N473" s="15">
        <v>62.01</v>
      </c>
      <c r="O473" t="s">
        <v>3028</v>
      </c>
    </row>
    <row r="474" spans="1:15" x14ac:dyDescent="0.25">
      <c r="A474" s="10" t="s">
        <v>1314</v>
      </c>
      <c r="B474" s="15">
        <v>0</v>
      </c>
      <c r="C474" s="15">
        <v>0</v>
      </c>
      <c r="D474" s="15">
        <v>0</v>
      </c>
      <c r="E474" s="15">
        <v>0</v>
      </c>
      <c r="F474" s="15">
        <v>0</v>
      </c>
      <c r="G474" s="15">
        <v>0</v>
      </c>
      <c r="H474" s="15">
        <v>0</v>
      </c>
      <c r="I474" s="15">
        <v>0</v>
      </c>
      <c r="J474" s="15">
        <v>0</v>
      </c>
      <c r="K474" s="15">
        <v>0</v>
      </c>
      <c r="L474" s="15">
        <v>187.01</v>
      </c>
      <c r="M474" s="15">
        <v>1362.83</v>
      </c>
      <c r="N474" s="15">
        <v>0</v>
      </c>
      <c r="O474" t="s">
        <v>3028</v>
      </c>
    </row>
    <row r="475" spans="1:15" x14ac:dyDescent="0.25">
      <c r="A475" s="10" t="s">
        <v>1318</v>
      </c>
      <c r="B475" s="15">
        <v>130.77000000000001</v>
      </c>
      <c r="C475" s="15">
        <v>125.13</v>
      </c>
      <c r="D475" s="15">
        <v>125.13</v>
      </c>
      <c r="E475" s="15">
        <v>125.13</v>
      </c>
      <c r="F475" s="15">
        <v>132.29</v>
      </c>
      <c r="G475" s="15">
        <v>125.13</v>
      </c>
      <c r="H475" s="15">
        <v>201.83</v>
      </c>
      <c r="I475" s="15">
        <v>0</v>
      </c>
      <c r="J475" s="15">
        <v>172.26</v>
      </c>
      <c r="K475" s="15">
        <v>172.26</v>
      </c>
      <c r="L475" s="15">
        <v>172.26</v>
      </c>
      <c r="M475" s="15">
        <v>172.26</v>
      </c>
      <c r="N475" s="15">
        <v>173.41</v>
      </c>
      <c r="O475" t="s">
        <v>3028</v>
      </c>
    </row>
    <row r="476" spans="1:15" x14ac:dyDescent="0.25">
      <c r="A476" s="10" t="s">
        <v>1320</v>
      </c>
      <c r="B476" s="15">
        <v>0</v>
      </c>
      <c r="C476" s="15">
        <v>0</v>
      </c>
      <c r="D476" s="15">
        <v>0</v>
      </c>
      <c r="E476" s="15">
        <v>0</v>
      </c>
      <c r="F476" s="15">
        <v>0</v>
      </c>
      <c r="G476" s="15">
        <v>0</v>
      </c>
      <c r="H476" s="15">
        <v>0</v>
      </c>
      <c r="I476" s="15">
        <v>19.41</v>
      </c>
      <c r="J476" s="15">
        <v>0</v>
      </c>
      <c r="K476" s="15">
        <v>0</v>
      </c>
      <c r="L476" s="15">
        <v>0</v>
      </c>
      <c r="M476" s="15">
        <v>0</v>
      </c>
      <c r="N476" s="15">
        <v>0</v>
      </c>
      <c r="O476" t="s">
        <v>3028</v>
      </c>
    </row>
    <row r="477" spans="1:15" x14ac:dyDescent="0.25">
      <c r="A477" s="10" t="s">
        <v>1322</v>
      </c>
      <c r="B477" s="15">
        <v>0</v>
      </c>
      <c r="C477" s="15">
        <v>0</v>
      </c>
      <c r="D477" s="15">
        <v>0</v>
      </c>
      <c r="E477" s="15">
        <v>0</v>
      </c>
      <c r="F477" s="15">
        <v>0</v>
      </c>
      <c r="G477" s="15">
        <v>0</v>
      </c>
      <c r="H477" s="15">
        <v>0</v>
      </c>
      <c r="I477" s="15">
        <v>0</v>
      </c>
      <c r="J477" s="15">
        <v>0</v>
      </c>
      <c r="K477" s="15">
        <v>0</v>
      </c>
      <c r="L477" s="15">
        <v>0</v>
      </c>
      <c r="M477" s="15">
        <v>5.82</v>
      </c>
      <c r="N477" s="15">
        <v>0</v>
      </c>
      <c r="O477" t="s">
        <v>3028</v>
      </c>
    </row>
    <row r="478" spans="1:15" x14ac:dyDescent="0.25">
      <c r="A478" s="10" t="s">
        <v>1326</v>
      </c>
      <c r="B478" s="15">
        <v>302.35000000000002</v>
      </c>
      <c r="C478" s="15">
        <v>300.69</v>
      </c>
      <c r="D478" s="15">
        <v>0</v>
      </c>
      <c r="E478" s="15">
        <v>142.22</v>
      </c>
      <c r="F478" s="15">
        <v>873.73</v>
      </c>
      <c r="G478" s="15">
        <v>295.79000000000002</v>
      </c>
      <c r="H478" s="15">
        <v>295.79000000000002</v>
      </c>
      <c r="I478" s="15">
        <v>987.57</v>
      </c>
      <c r="J478" s="15">
        <v>13.85</v>
      </c>
      <c r="K478" s="15">
        <v>387.3</v>
      </c>
      <c r="L478" s="15">
        <v>387.3</v>
      </c>
      <c r="M478" s="15">
        <v>387.3</v>
      </c>
      <c r="N478" s="15">
        <v>312.79000000000002</v>
      </c>
      <c r="O478" t="s">
        <v>3028</v>
      </c>
    </row>
    <row r="479" spans="1:15" x14ac:dyDescent="0.25">
      <c r="A479" s="10" t="s">
        <v>1328</v>
      </c>
      <c r="B479" s="15">
        <v>49.04</v>
      </c>
      <c r="C479" s="15">
        <v>107.44</v>
      </c>
      <c r="D479" s="15">
        <v>39</v>
      </c>
      <c r="E479" s="15">
        <v>34.14</v>
      </c>
      <c r="F479" s="15">
        <v>0</v>
      </c>
      <c r="G479" s="15">
        <v>13.52</v>
      </c>
      <c r="H479" s="15">
        <v>72.37</v>
      </c>
      <c r="I479" s="15">
        <v>0</v>
      </c>
      <c r="J479" s="15">
        <v>3.66</v>
      </c>
      <c r="K479" s="15">
        <v>67.239999999999995</v>
      </c>
      <c r="L479" s="15">
        <v>23.42</v>
      </c>
      <c r="M479" s="15">
        <v>62.49</v>
      </c>
      <c r="N479" s="15">
        <v>42.25</v>
      </c>
      <c r="O479" t="s">
        <v>3028</v>
      </c>
    </row>
    <row r="480" spans="1:15" x14ac:dyDescent="0.25">
      <c r="A480" s="10" t="s">
        <v>1330</v>
      </c>
      <c r="B480" s="15">
        <v>0</v>
      </c>
      <c r="C480" s="15">
        <v>0</v>
      </c>
      <c r="D480" s="15">
        <v>0</v>
      </c>
      <c r="E480" s="15">
        <v>0</v>
      </c>
      <c r="F480" s="15">
        <v>0</v>
      </c>
      <c r="G480" s="15">
        <v>0</v>
      </c>
      <c r="H480" s="15">
        <v>0</v>
      </c>
      <c r="I480" s="15">
        <v>5.81</v>
      </c>
      <c r="J480" s="15">
        <v>0</v>
      </c>
      <c r="K480" s="15">
        <v>0</v>
      </c>
      <c r="L480" s="15">
        <v>15.53</v>
      </c>
      <c r="M480" s="15">
        <v>0</v>
      </c>
      <c r="N480" s="15">
        <v>0</v>
      </c>
      <c r="O480" t="s">
        <v>3028</v>
      </c>
    </row>
    <row r="481" spans="1:15" x14ac:dyDescent="0.25">
      <c r="A481" s="10" t="s">
        <v>1332</v>
      </c>
      <c r="B481" s="15">
        <v>0</v>
      </c>
      <c r="C481" s="15">
        <v>0</v>
      </c>
      <c r="D481" s="15">
        <v>0</v>
      </c>
      <c r="E481" s="15">
        <v>0</v>
      </c>
      <c r="F481" s="15">
        <v>0</v>
      </c>
      <c r="G481" s="15">
        <v>0</v>
      </c>
      <c r="H481" s="15">
        <v>0</v>
      </c>
      <c r="I481" s="15">
        <v>0</v>
      </c>
      <c r="J481" s="15">
        <v>0</v>
      </c>
      <c r="K481" s="15">
        <v>2.94</v>
      </c>
      <c r="L481" s="15">
        <v>0</v>
      </c>
      <c r="M481" s="15">
        <v>0</v>
      </c>
      <c r="N481" s="15">
        <v>0</v>
      </c>
      <c r="O481" t="s">
        <v>3028</v>
      </c>
    </row>
    <row r="482" spans="1:15" x14ac:dyDescent="0.25">
      <c r="A482" s="10" t="s">
        <v>1336</v>
      </c>
      <c r="B482" s="15">
        <v>1434.77</v>
      </c>
      <c r="C482" s="15">
        <v>623.26</v>
      </c>
      <c r="D482" s="15">
        <v>551.27</v>
      </c>
      <c r="E482" s="15">
        <v>709.15</v>
      </c>
      <c r="F482" s="15">
        <v>493.98</v>
      </c>
      <c r="G482" s="15">
        <v>869.52</v>
      </c>
      <c r="H482" s="15">
        <v>476.85</v>
      </c>
      <c r="I482" s="15">
        <v>1011.2</v>
      </c>
      <c r="J482" s="15">
        <v>2273.5</v>
      </c>
      <c r="K482" s="15">
        <v>0</v>
      </c>
      <c r="L482" s="15">
        <v>567.9</v>
      </c>
      <c r="M482" s="15">
        <v>624.47</v>
      </c>
      <c r="N482" s="15">
        <v>810.59</v>
      </c>
      <c r="O482" t="s">
        <v>3028</v>
      </c>
    </row>
    <row r="483" spans="1:15" x14ac:dyDescent="0.25">
      <c r="A483" s="10" t="s">
        <v>1338</v>
      </c>
      <c r="B483" s="15">
        <v>0</v>
      </c>
      <c r="C483" s="15">
        <v>0</v>
      </c>
      <c r="D483" s="15">
        <v>0</v>
      </c>
      <c r="E483" s="15">
        <v>0</v>
      </c>
      <c r="F483" s="15">
        <v>0</v>
      </c>
      <c r="G483" s="15">
        <v>32.72</v>
      </c>
      <c r="H483" s="15">
        <v>0</v>
      </c>
      <c r="I483" s="15">
        <v>2.69</v>
      </c>
      <c r="J483" s="15">
        <v>0</v>
      </c>
      <c r="K483" s="15">
        <v>0</v>
      </c>
      <c r="L483" s="15">
        <v>0</v>
      </c>
      <c r="M483" s="15">
        <v>0</v>
      </c>
      <c r="N483" s="15">
        <v>0</v>
      </c>
      <c r="O483" t="s">
        <v>3028</v>
      </c>
    </row>
    <row r="484" spans="1:15" x14ac:dyDescent="0.25">
      <c r="A484" s="10" t="s">
        <v>1340</v>
      </c>
      <c r="B484" s="15">
        <v>27.76</v>
      </c>
      <c r="C484" s="15">
        <v>17.5</v>
      </c>
      <c r="D484" s="15">
        <v>0</v>
      </c>
      <c r="E484" s="15">
        <v>0</v>
      </c>
      <c r="F484" s="15">
        <v>12.54</v>
      </c>
      <c r="G484" s="15">
        <v>0</v>
      </c>
      <c r="H484" s="15">
        <v>0.28999999999999998</v>
      </c>
      <c r="I484" s="15">
        <v>30.54</v>
      </c>
      <c r="J484" s="15">
        <v>24.22</v>
      </c>
      <c r="K484" s="15">
        <v>8.86</v>
      </c>
      <c r="L484" s="15">
        <v>17.61</v>
      </c>
      <c r="M484" s="15">
        <v>0</v>
      </c>
      <c r="N484" s="15">
        <v>17.54</v>
      </c>
      <c r="O484" t="s">
        <v>3028</v>
      </c>
    </row>
    <row r="485" spans="1:15" x14ac:dyDescent="0.25">
      <c r="A485" s="10" t="s">
        <v>1344</v>
      </c>
      <c r="B485" s="15">
        <v>4.84</v>
      </c>
      <c r="C485" s="15">
        <v>26.31</v>
      </c>
      <c r="D485" s="15">
        <v>28.05</v>
      </c>
      <c r="E485" s="15">
        <v>17.03</v>
      </c>
      <c r="F485" s="15">
        <v>0</v>
      </c>
      <c r="G485" s="15">
        <v>4.0199999999999996</v>
      </c>
      <c r="H485" s="15">
        <v>33.42</v>
      </c>
      <c r="I485" s="15">
        <v>53.22</v>
      </c>
      <c r="J485" s="15">
        <v>45.84</v>
      </c>
      <c r="K485" s="15">
        <v>87.86</v>
      </c>
      <c r="L485" s="15">
        <v>0</v>
      </c>
      <c r="M485" s="15">
        <v>25.63</v>
      </c>
      <c r="N485" s="15">
        <v>31.98</v>
      </c>
      <c r="O485" t="s">
        <v>3028</v>
      </c>
    </row>
    <row r="486" spans="1:15" x14ac:dyDescent="0.25">
      <c r="A486" s="10" t="s">
        <v>1346</v>
      </c>
      <c r="B486" s="15">
        <v>0</v>
      </c>
      <c r="C486" s="15">
        <v>7.34</v>
      </c>
      <c r="D486" s="15">
        <v>14.18</v>
      </c>
      <c r="E486" s="15">
        <v>12.38</v>
      </c>
      <c r="F486" s="15">
        <v>0</v>
      </c>
      <c r="G486" s="15">
        <v>0</v>
      </c>
      <c r="H486" s="15">
        <v>2.58</v>
      </c>
      <c r="I486" s="15">
        <v>79.41</v>
      </c>
      <c r="J486" s="15">
        <v>17.22</v>
      </c>
      <c r="K486" s="15">
        <v>0</v>
      </c>
      <c r="L486" s="15">
        <v>0</v>
      </c>
      <c r="M486" s="15">
        <v>0</v>
      </c>
      <c r="N486" s="15">
        <v>0</v>
      </c>
      <c r="O486" t="s">
        <v>3028</v>
      </c>
    </row>
    <row r="487" spans="1:15" x14ac:dyDescent="0.25">
      <c r="A487" s="10" t="s">
        <v>1355</v>
      </c>
      <c r="B487" s="15">
        <v>0</v>
      </c>
      <c r="C487" s="15">
        <v>0</v>
      </c>
      <c r="D487" s="15">
        <v>0</v>
      </c>
      <c r="E487" s="15">
        <v>0</v>
      </c>
      <c r="F487" s="15">
        <v>0</v>
      </c>
      <c r="G487" s="15">
        <v>0</v>
      </c>
      <c r="H487" s="15">
        <v>0</v>
      </c>
      <c r="I487" s="15">
        <v>0</v>
      </c>
      <c r="J487" s="15">
        <v>0</v>
      </c>
      <c r="K487" s="15">
        <v>0</v>
      </c>
      <c r="L487" s="15">
        <v>41.35</v>
      </c>
      <c r="M487" s="15">
        <v>21.23</v>
      </c>
      <c r="N487" s="15">
        <v>1.94</v>
      </c>
      <c r="O487" t="s">
        <v>3028</v>
      </c>
    </row>
    <row r="488" spans="1:15" x14ac:dyDescent="0.25">
      <c r="A488" s="10" t="s">
        <v>1357</v>
      </c>
      <c r="B488" s="15">
        <v>28.91</v>
      </c>
      <c r="C488" s="15">
        <v>42.15</v>
      </c>
      <c r="D488" s="15">
        <v>41.79</v>
      </c>
      <c r="E488" s="15">
        <v>41.79</v>
      </c>
      <c r="F488" s="15">
        <v>41.79</v>
      </c>
      <c r="G488" s="15">
        <v>54.88</v>
      </c>
      <c r="H488" s="15">
        <v>26.68</v>
      </c>
      <c r="I488" s="15">
        <v>97.8</v>
      </c>
      <c r="J488" s="15">
        <v>59.92</v>
      </c>
      <c r="K488" s="15">
        <v>59.92</v>
      </c>
      <c r="L488" s="15">
        <v>59.92</v>
      </c>
      <c r="M488" s="15">
        <v>59.92</v>
      </c>
      <c r="N488" s="15">
        <v>61.37</v>
      </c>
      <c r="O488" t="s">
        <v>3028</v>
      </c>
    </row>
    <row r="489" spans="1:15" x14ac:dyDescent="0.25">
      <c r="A489" s="10" t="s">
        <v>1359</v>
      </c>
      <c r="B489" s="15">
        <v>0</v>
      </c>
      <c r="C489" s="15">
        <v>3.05</v>
      </c>
      <c r="D489" s="15">
        <v>16.2</v>
      </c>
      <c r="E489" s="15">
        <v>2.54</v>
      </c>
      <c r="F489" s="15">
        <v>0</v>
      </c>
      <c r="G489" s="15">
        <v>0.38</v>
      </c>
      <c r="H489" s="15">
        <v>0.92</v>
      </c>
      <c r="I489" s="15">
        <v>95.95</v>
      </c>
      <c r="J489" s="15">
        <v>13.6</v>
      </c>
      <c r="K489" s="15">
        <v>24.05</v>
      </c>
      <c r="L489" s="15">
        <v>48.09</v>
      </c>
      <c r="M489" s="15">
        <v>13.89</v>
      </c>
      <c r="N489" s="15">
        <v>24.34</v>
      </c>
      <c r="O489" t="s">
        <v>3028</v>
      </c>
    </row>
    <row r="490" spans="1:15" x14ac:dyDescent="0.25">
      <c r="A490" s="10" t="s">
        <v>1361</v>
      </c>
      <c r="B490" s="15">
        <v>1.1499999999999999</v>
      </c>
      <c r="C490" s="15">
        <v>0.82</v>
      </c>
      <c r="D490" s="15">
        <v>12.26</v>
      </c>
      <c r="E490" s="15">
        <v>83.68</v>
      </c>
      <c r="F490" s="15">
        <v>0</v>
      </c>
      <c r="G490" s="15">
        <v>0.23</v>
      </c>
      <c r="H490" s="15">
        <v>1.81</v>
      </c>
      <c r="I490" s="15">
        <v>66.069999999999993</v>
      </c>
      <c r="J490" s="15">
        <v>41.31</v>
      </c>
      <c r="K490" s="15">
        <v>42.02</v>
      </c>
      <c r="L490" s="15">
        <v>63.42</v>
      </c>
      <c r="M490" s="15">
        <v>37.21</v>
      </c>
      <c r="N490" s="15">
        <v>31.78</v>
      </c>
      <c r="O490" t="s">
        <v>3028</v>
      </c>
    </row>
    <row r="491" spans="1:15" x14ac:dyDescent="0.25">
      <c r="A491" s="10" t="s">
        <v>1365</v>
      </c>
      <c r="B491" s="15">
        <v>32.799999999999997</v>
      </c>
      <c r="C491" s="15">
        <v>19.27</v>
      </c>
      <c r="D491" s="15">
        <v>21.19</v>
      </c>
      <c r="E491" s="15">
        <v>26.69</v>
      </c>
      <c r="F491" s="15">
        <v>25.91</v>
      </c>
      <c r="G491" s="15">
        <v>29.76</v>
      </c>
      <c r="H491" s="15">
        <v>106.25</v>
      </c>
      <c r="I491" s="15">
        <v>0</v>
      </c>
      <c r="J491" s="15">
        <v>33.700000000000003</v>
      </c>
      <c r="K491" s="15">
        <v>40.200000000000003</v>
      </c>
      <c r="L491" s="15">
        <v>32.92</v>
      </c>
      <c r="M491" s="15">
        <v>36.25</v>
      </c>
      <c r="N491" s="15">
        <v>39.54</v>
      </c>
      <c r="O491" t="s">
        <v>3028</v>
      </c>
    </row>
    <row r="492" spans="1:15" x14ac:dyDescent="0.25">
      <c r="A492" s="10" t="s">
        <v>1367</v>
      </c>
      <c r="B492" s="15">
        <v>0</v>
      </c>
      <c r="C492" s="15">
        <v>0</v>
      </c>
      <c r="D492" s="15">
        <v>0</v>
      </c>
      <c r="E492" s="15">
        <v>0</v>
      </c>
      <c r="F492" s="15">
        <v>0</v>
      </c>
      <c r="G492" s="15">
        <v>0</v>
      </c>
      <c r="H492" s="15">
        <v>0</v>
      </c>
      <c r="I492" s="15">
        <v>0</v>
      </c>
      <c r="J492" s="15">
        <v>0</v>
      </c>
      <c r="K492" s="15">
        <v>0</v>
      </c>
      <c r="L492" s="15">
        <v>0</v>
      </c>
      <c r="M492" s="15">
        <v>29.22</v>
      </c>
      <c r="N492" s="15">
        <v>0</v>
      </c>
      <c r="O492" t="s">
        <v>3028</v>
      </c>
    </row>
    <row r="493" spans="1:15" x14ac:dyDescent="0.25">
      <c r="A493" s="10" t="s">
        <v>1371</v>
      </c>
      <c r="B493" s="15">
        <v>0</v>
      </c>
      <c r="C493" s="15">
        <v>0</v>
      </c>
      <c r="D493" s="15">
        <v>0</v>
      </c>
      <c r="E493" s="15">
        <v>0</v>
      </c>
      <c r="F493" s="15">
        <v>31.4</v>
      </c>
      <c r="G493" s="15">
        <v>0</v>
      </c>
      <c r="H493" s="15">
        <v>0</v>
      </c>
      <c r="I493" s="15">
        <v>15.4</v>
      </c>
      <c r="J493" s="15">
        <v>4.4400000000000004</v>
      </c>
      <c r="K493" s="15">
        <v>0</v>
      </c>
      <c r="L493" s="15">
        <v>0</v>
      </c>
      <c r="M493" s="15">
        <v>9.52</v>
      </c>
      <c r="N493" s="15">
        <v>0</v>
      </c>
      <c r="O493" t="s">
        <v>3028</v>
      </c>
    </row>
    <row r="494" spans="1:15" x14ac:dyDescent="0.25">
      <c r="A494" s="10" t="s">
        <v>1373</v>
      </c>
      <c r="B494" s="15">
        <v>0</v>
      </c>
      <c r="C494" s="15">
        <v>0</v>
      </c>
      <c r="D494" s="15">
        <v>0</v>
      </c>
      <c r="E494" s="15">
        <v>26</v>
      </c>
      <c r="F494" s="15">
        <v>0</v>
      </c>
      <c r="G494" s="15">
        <v>0</v>
      </c>
      <c r="H494" s="15">
        <v>0</v>
      </c>
      <c r="I494" s="15">
        <v>30.75</v>
      </c>
      <c r="J494" s="15">
        <v>0</v>
      </c>
      <c r="K494" s="15">
        <v>0</v>
      </c>
      <c r="L494" s="15">
        <v>20.56</v>
      </c>
      <c r="M494" s="15">
        <v>0</v>
      </c>
      <c r="N494" s="15">
        <v>0</v>
      </c>
      <c r="O494" t="s">
        <v>3028</v>
      </c>
    </row>
    <row r="495" spans="1:15" x14ac:dyDescent="0.25">
      <c r="A495" s="10" t="s">
        <v>1375</v>
      </c>
      <c r="B495" s="15">
        <v>0</v>
      </c>
      <c r="C495" s="15">
        <v>16.11</v>
      </c>
      <c r="D495" s="15">
        <v>0</v>
      </c>
      <c r="E495" s="15">
        <v>0</v>
      </c>
      <c r="F495" s="15">
        <v>0</v>
      </c>
      <c r="G495" s="15">
        <v>0</v>
      </c>
      <c r="H495" s="15">
        <v>0</v>
      </c>
      <c r="I495" s="15">
        <v>0</v>
      </c>
      <c r="J495" s="15">
        <v>0</v>
      </c>
      <c r="K495" s="15">
        <v>18.46</v>
      </c>
      <c r="L495" s="15">
        <v>62.23</v>
      </c>
      <c r="M495" s="15">
        <v>0</v>
      </c>
      <c r="N495" s="15">
        <v>4.6500000000000004</v>
      </c>
      <c r="O495" t="s">
        <v>3028</v>
      </c>
    </row>
    <row r="496" spans="1:15" x14ac:dyDescent="0.25">
      <c r="A496" s="10" t="s">
        <v>1377</v>
      </c>
      <c r="B496" s="15">
        <v>0</v>
      </c>
      <c r="C496" s="15">
        <v>0</v>
      </c>
      <c r="D496" s="15">
        <v>0</v>
      </c>
      <c r="E496" s="15">
        <v>0</v>
      </c>
      <c r="F496" s="15">
        <v>0</v>
      </c>
      <c r="G496" s="15">
        <v>0</v>
      </c>
      <c r="H496" s="15">
        <v>23.48</v>
      </c>
      <c r="I496" s="15">
        <v>63.23</v>
      </c>
      <c r="J496" s="15">
        <v>48.67</v>
      </c>
      <c r="K496" s="15">
        <v>41.19</v>
      </c>
      <c r="L496" s="15">
        <v>46.93</v>
      </c>
      <c r="M496" s="15">
        <v>45.72</v>
      </c>
      <c r="N496" s="15">
        <v>0</v>
      </c>
      <c r="O496" t="s">
        <v>3028</v>
      </c>
    </row>
    <row r="497" spans="1:15" x14ac:dyDescent="0.25">
      <c r="A497" s="10" t="s">
        <v>1387</v>
      </c>
      <c r="B497" s="15">
        <v>0</v>
      </c>
      <c r="C497" s="15">
        <v>0</v>
      </c>
      <c r="D497" s="15">
        <v>0</v>
      </c>
      <c r="E497" s="15">
        <v>0</v>
      </c>
      <c r="F497" s="15">
        <v>0</v>
      </c>
      <c r="G497" s="15">
        <v>0</v>
      </c>
      <c r="H497" s="15">
        <v>0</v>
      </c>
      <c r="I497" s="15">
        <v>4.49</v>
      </c>
      <c r="J497" s="15">
        <v>0</v>
      </c>
      <c r="K497" s="15">
        <v>0</v>
      </c>
      <c r="L497" s="15">
        <v>0</v>
      </c>
      <c r="M497" s="15">
        <v>0</v>
      </c>
      <c r="N497" s="15">
        <v>0</v>
      </c>
      <c r="O497" t="s">
        <v>3028</v>
      </c>
    </row>
    <row r="498" spans="1:15" x14ac:dyDescent="0.25">
      <c r="A498" s="10" t="s">
        <v>1389</v>
      </c>
      <c r="B498" s="15">
        <v>0</v>
      </c>
      <c r="C498" s="15">
        <v>4.45</v>
      </c>
      <c r="D498" s="15">
        <v>15.17</v>
      </c>
      <c r="E498" s="15">
        <v>15.17</v>
      </c>
      <c r="F498" s="15">
        <v>15.17</v>
      </c>
      <c r="G498" s="15">
        <v>17.77</v>
      </c>
      <c r="H498" s="15">
        <v>108.01</v>
      </c>
      <c r="I498" s="15">
        <v>0</v>
      </c>
      <c r="J498" s="15">
        <v>30.68</v>
      </c>
      <c r="K498" s="15">
        <v>31.63</v>
      </c>
      <c r="L498" s="15">
        <v>33.18</v>
      </c>
      <c r="M498" s="15">
        <v>31.17</v>
      </c>
      <c r="N498" s="15">
        <v>32.24</v>
      </c>
      <c r="O498" t="s">
        <v>3028</v>
      </c>
    </row>
    <row r="499" spans="1:15" x14ac:dyDescent="0.25">
      <c r="A499" s="10" t="s">
        <v>1391</v>
      </c>
      <c r="B499" s="15">
        <v>1.63</v>
      </c>
      <c r="C499" s="15">
        <v>0.8</v>
      </c>
      <c r="D499" s="15">
        <v>0.8</v>
      </c>
      <c r="E499" s="15">
        <v>41.84</v>
      </c>
      <c r="F499" s="15">
        <v>41.84</v>
      </c>
      <c r="G499" s="15">
        <v>41.84</v>
      </c>
      <c r="H499" s="15">
        <v>41.84</v>
      </c>
      <c r="I499" s="15">
        <v>210.71</v>
      </c>
      <c r="J499" s="15">
        <v>0</v>
      </c>
      <c r="K499" s="15">
        <v>62.1</v>
      </c>
      <c r="L499" s="15">
        <v>59.98</v>
      </c>
      <c r="M499" s="15">
        <v>59.98</v>
      </c>
      <c r="N499" s="15">
        <v>62.15</v>
      </c>
      <c r="O499" t="s">
        <v>3028</v>
      </c>
    </row>
    <row r="500" spans="1:15" x14ac:dyDescent="0.25">
      <c r="A500" s="10" t="s">
        <v>1393</v>
      </c>
      <c r="B500" s="15">
        <v>42.66</v>
      </c>
      <c r="C500" s="15">
        <v>37.04</v>
      </c>
      <c r="D500" s="15">
        <v>34.229999999999997</v>
      </c>
      <c r="E500" s="15">
        <v>38.92</v>
      </c>
      <c r="F500" s="15">
        <v>37.24</v>
      </c>
      <c r="G500" s="15">
        <v>187.25</v>
      </c>
      <c r="H500" s="15">
        <v>0</v>
      </c>
      <c r="I500" s="15">
        <v>68.66</v>
      </c>
      <c r="J500" s="15">
        <v>51.77</v>
      </c>
      <c r="K500" s="15">
        <v>0</v>
      </c>
      <c r="L500" s="15">
        <v>0</v>
      </c>
      <c r="M500" s="15">
        <v>0</v>
      </c>
      <c r="N500" s="15">
        <v>35.340000000000003</v>
      </c>
      <c r="O500" t="s">
        <v>3028</v>
      </c>
    </row>
    <row r="501" spans="1:15" x14ac:dyDescent="0.25">
      <c r="A501" s="10" t="s">
        <v>1395</v>
      </c>
      <c r="B501" s="15">
        <v>0</v>
      </c>
      <c r="C501" s="15">
        <v>0</v>
      </c>
      <c r="D501" s="15">
        <v>0</v>
      </c>
      <c r="E501" s="15">
        <v>0</v>
      </c>
      <c r="F501" s="15">
        <v>0</v>
      </c>
      <c r="G501" s="15">
        <v>0</v>
      </c>
      <c r="H501" s="15">
        <v>0</v>
      </c>
      <c r="I501" s="15">
        <v>15.54</v>
      </c>
      <c r="J501" s="15">
        <v>0</v>
      </c>
      <c r="K501" s="15">
        <v>0</v>
      </c>
      <c r="L501" s="15">
        <v>0</v>
      </c>
      <c r="M501" s="15">
        <v>0</v>
      </c>
      <c r="N501" s="15">
        <v>0</v>
      </c>
      <c r="O501" t="s">
        <v>3028</v>
      </c>
    </row>
    <row r="502" spans="1:15" x14ac:dyDescent="0.25">
      <c r="A502" s="10" t="s">
        <v>1397</v>
      </c>
      <c r="B502" s="15">
        <v>18.170000000000002</v>
      </c>
      <c r="C502" s="15">
        <v>16.8</v>
      </c>
      <c r="D502" s="15">
        <v>0</v>
      </c>
      <c r="E502" s="15">
        <v>15.42</v>
      </c>
      <c r="F502" s="15">
        <v>15.13</v>
      </c>
      <c r="G502" s="15">
        <v>15.64</v>
      </c>
      <c r="H502" s="15">
        <v>23.86</v>
      </c>
      <c r="I502" s="15">
        <v>313.67</v>
      </c>
      <c r="J502" s="15">
        <v>285.49</v>
      </c>
      <c r="K502" s="15">
        <v>182.98</v>
      </c>
      <c r="L502" s="15">
        <v>186.9</v>
      </c>
      <c r="M502" s="15">
        <v>187.01</v>
      </c>
      <c r="N502" s="15">
        <v>17.45</v>
      </c>
      <c r="O502" t="s">
        <v>3028</v>
      </c>
    </row>
    <row r="503" spans="1:15" x14ac:dyDescent="0.25">
      <c r="A503" s="10" t="s">
        <v>1401</v>
      </c>
      <c r="B503" s="15">
        <v>45.43</v>
      </c>
      <c r="C503" s="15">
        <v>45.85</v>
      </c>
      <c r="D503" s="15">
        <v>0</v>
      </c>
      <c r="E503" s="15">
        <v>0</v>
      </c>
      <c r="F503" s="15">
        <v>0</v>
      </c>
      <c r="G503" s="15">
        <v>0</v>
      </c>
      <c r="H503" s="15">
        <v>0</v>
      </c>
      <c r="I503" s="15">
        <v>0</v>
      </c>
      <c r="J503" s="15">
        <v>0</v>
      </c>
      <c r="K503" s="15">
        <v>0</v>
      </c>
      <c r="L503" s="15">
        <v>0</v>
      </c>
      <c r="M503" s="15">
        <v>0</v>
      </c>
      <c r="N503" s="15">
        <v>0</v>
      </c>
      <c r="O503" t="s">
        <v>3028</v>
      </c>
    </row>
    <row r="504" spans="1:15" x14ac:dyDescent="0.25">
      <c r="A504" s="10" t="s">
        <v>1403</v>
      </c>
      <c r="B504" s="15">
        <v>157.27000000000001</v>
      </c>
      <c r="C504" s="15">
        <v>79.489999999999995</v>
      </c>
      <c r="D504" s="15">
        <v>298.95999999999998</v>
      </c>
      <c r="E504" s="15">
        <v>0</v>
      </c>
      <c r="F504" s="15">
        <v>47.3</v>
      </c>
      <c r="G504" s="15">
        <v>48.01</v>
      </c>
      <c r="H504" s="15">
        <v>48.01</v>
      </c>
      <c r="I504" s="15">
        <v>54.91</v>
      </c>
      <c r="J504" s="15">
        <v>66.63</v>
      </c>
      <c r="K504" s="15">
        <v>104.44</v>
      </c>
      <c r="L504" s="15">
        <v>70.599999999999994</v>
      </c>
      <c r="M504" s="15">
        <v>74.16</v>
      </c>
      <c r="N504" s="15">
        <v>84.68</v>
      </c>
      <c r="O504" t="s">
        <v>3028</v>
      </c>
    </row>
    <row r="505" spans="1:15" x14ac:dyDescent="0.25">
      <c r="A505" s="10" t="s">
        <v>1407</v>
      </c>
      <c r="B505" s="15">
        <v>0</v>
      </c>
      <c r="C505" s="15">
        <v>0</v>
      </c>
      <c r="D505" s="15">
        <v>0</v>
      </c>
      <c r="E505" s="15">
        <v>0</v>
      </c>
      <c r="F505" s="15">
        <v>5.95</v>
      </c>
      <c r="G505" s="15">
        <v>61.17</v>
      </c>
      <c r="H505" s="15">
        <v>55.59</v>
      </c>
      <c r="I505" s="15">
        <v>159.96</v>
      </c>
      <c r="J505" s="15">
        <v>80.94</v>
      </c>
      <c r="K505" s="15">
        <v>80.94</v>
      </c>
      <c r="L505" s="15">
        <v>80.94</v>
      </c>
      <c r="M505" s="15">
        <v>80.94</v>
      </c>
      <c r="N505" s="15">
        <v>6.27</v>
      </c>
      <c r="O505" t="s">
        <v>3028</v>
      </c>
    </row>
    <row r="506" spans="1:15" x14ac:dyDescent="0.25">
      <c r="A506" s="10" t="s">
        <v>1409</v>
      </c>
      <c r="B506" s="15">
        <v>0</v>
      </c>
      <c r="C506" s="15">
        <v>0</v>
      </c>
      <c r="D506" s="15">
        <v>0</v>
      </c>
      <c r="E506" s="15">
        <v>0</v>
      </c>
      <c r="F506" s="15">
        <v>0</v>
      </c>
      <c r="G506" s="15">
        <v>0</v>
      </c>
      <c r="H506" s="15">
        <v>0</v>
      </c>
      <c r="I506" s="15">
        <v>0</v>
      </c>
      <c r="J506" s="15">
        <v>13.13</v>
      </c>
      <c r="K506" s="15">
        <v>0</v>
      </c>
      <c r="L506" s="15">
        <v>0</v>
      </c>
      <c r="M506" s="15">
        <v>0</v>
      </c>
      <c r="N506" s="15">
        <v>0</v>
      </c>
      <c r="O506" t="s">
        <v>3028</v>
      </c>
    </row>
    <row r="507" spans="1:15" x14ac:dyDescent="0.25">
      <c r="A507" s="10" t="s">
        <v>1411</v>
      </c>
      <c r="B507" s="15">
        <v>0</v>
      </c>
      <c r="C507" s="15">
        <v>0</v>
      </c>
      <c r="D507" s="15">
        <v>0</v>
      </c>
      <c r="E507" s="15">
        <v>0</v>
      </c>
      <c r="F507" s="15">
        <v>0</v>
      </c>
      <c r="G507" s="15">
        <v>0</v>
      </c>
      <c r="H507" s="15">
        <v>0</v>
      </c>
      <c r="I507" s="15">
        <v>0</v>
      </c>
      <c r="J507" s="15">
        <v>0</v>
      </c>
      <c r="K507" s="15">
        <v>0</v>
      </c>
      <c r="L507" s="15">
        <v>0</v>
      </c>
      <c r="M507" s="15">
        <v>11.3</v>
      </c>
      <c r="N507" s="15">
        <v>0</v>
      </c>
      <c r="O507" t="s">
        <v>3028</v>
      </c>
    </row>
    <row r="508" spans="1:15" x14ac:dyDescent="0.25">
      <c r="A508" s="10" t="s">
        <v>1413</v>
      </c>
      <c r="B508" s="15">
        <v>0</v>
      </c>
      <c r="C508" s="15">
        <v>0</v>
      </c>
      <c r="D508" s="15">
        <v>0</v>
      </c>
      <c r="E508" s="15">
        <v>0</v>
      </c>
      <c r="F508" s="15">
        <v>0</v>
      </c>
      <c r="G508" s="15">
        <v>0</v>
      </c>
      <c r="H508" s="15">
        <v>0</v>
      </c>
      <c r="I508" s="15">
        <v>0</v>
      </c>
      <c r="J508" s="15">
        <v>0</v>
      </c>
      <c r="K508" s="15">
        <v>0</v>
      </c>
      <c r="L508" s="15">
        <v>0</v>
      </c>
      <c r="M508" s="15">
        <v>4.2699999999999996</v>
      </c>
      <c r="N508" s="15">
        <v>0</v>
      </c>
      <c r="O508" t="s">
        <v>3028</v>
      </c>
    </row>
    <row r="509" spans="1:15" x14ac:dyDescent="0.25">
      <c r="A509" s="10" t="s">
        <v>1415</v>
      </c>
      <c r="B509" s="15">
        <v>0</v>
      </c>
      <c r="C509" s="15">
        <v>0</v>
      </c>
      <c r="D509" s="15">
        <v>0</v>
      </c>
      <c r="E509" s="15">
        <v>19.98</v>
      </c>
      <c r="F509" s="15">
        <v>0</v>
      </c>
      <c r="G509" s="15">
        <v>0</v>
      </c>
      <c r="H509" s="15">
        <v>0</v>
      </c>
      <c r="I509" s="15">
        <v>3.52</v>
      </c>
      <c r="J509" s="15">
        <v>0</v>
      </c>
      <c r="K509" s="15">
        <v>0</v>
      </c>
      <c r="L509" s="15">
        <v>0</v>
      </c>
      <c r="M509" s="15">
        <v>0</v>
      </c>
      <c r="N509" s="15">
        <v>0</v>
      </c>
      <c r="O509" t="s">
        <v>3028</v>
      </c>
    </row>
    <row r="510" spans="1:15" x14ac:dyDescent="0.25">
      <c r="A510" s="10" t="s">
        <v>1417</v>
      </c>
      <c r="B510" s="15">
        <v>0</v>
      </c>
      <c r="C510" s="15">
        <v>0</v>
      </c>
      <c r="D510" s="15">
        <v>0.98</v>
      </c>
      <c r="E510" s="15">
        <v>0</v>
      </c>
      <c r="F510" s="15">
        <v>0</v>
      </c>
      <c r="G510" s="15">
        <v>0</v>
      </c>
      <c r="H510" s="15">
        <v>0</v>
      </c>
      <c r="I510" s="15">
        <v>0</v>
      </c>
      <c r="J510" s="15">
        <v>0</v>
      </c>
      <c r="K510" s="15">
        <v>0</v>
      </c>
      <c r="L510" s="15">
        <v>0</v>
      </c>
      <c r="M510" s="15">
        <v>0</v>
      </c>
      <c r="N510" s="15">
        <v>0</v>
      </c>
      <c r="O510" t="s">
        <v>3028</v>
      </c>
    </row>
    <row r="511" spans="1:15" x14ac:dyDescent="0.25">
      <c r="A511" s="10" t="s">
        <v>1419</v>
      </c>
      <c r="B511" s="15">
        <v>2.57</v>
      </c>
      <c r="C511" s="15">
        <v>0.8</v>
      </c>
      <c r="D511" s="15">
        <v>0.8</v>
      </c>
      <c r="E511" s="15">
        <v>0.8</v>
      </c>
      <c r="F511" s="15">
        <v>2.78</v>
      </c>
      <c r="G511" s="15">
        <v>1.03</v>
      </c>
      <c r="H511" s="15">
        <v>0.8</v>
      </c>
      <c r="I511" s="15">
        <v>39.049999999999997</v>
      </c>
      <c r="J511" s="15">
        <v>16.18</v>
      </c>
      <c r="K511" s="15">
        <v>17.98</v>
      </c>
      <c r="L511" s="15">
        <v>14.91</v>
      </c>
      <c r="M511" s="15">
        <v>64.27</v>
      </c>
      <c r="N511" s="15">
        <v>15.63</v>
      </c>
      <c r="O511" t="s">
        <v>3028</v>
      </c>
    </row>
    <row r="512" spans="1:15" x14ac:dyDescent="0.25">
      <c r="A512" s="10" t="s">
        <v>1421</v>
      </c>
      <c r="B512" s="15">
        <v>0.32</v>
      </c>
      <c r="C512" s="15">
        <v>31.45</v>
      </c>
      <c r="D512" s="15">
        <v>0</v>
      </c>
      <c r="E512" s="15">
        <v>0</v>
      </c>
      <c r="F512" s="15">
        <v>0</v>
      </c>
      <c r="G512" s="15">
        <v>0</v>
      </c>
      <c r="H512" s="15">
        <v>0</v>
      </c>
      <c r="I512" s="15">
        <v>35.119999999999997</v>
      </c>
      <c r="J512" s="15">
        <v>3.18</v>
      </c>
      <c r="K512" s="15">
        <v>0</v>
      </c>
      <c r="L512" s="15">
        <v>0</v>
      </c>
      <c r="M512" s="15">
        <v>0</v>
      </c>
      <c r="N512" s="15">
        <v>6.33</v>
      </c>
      <c r="O512" t="s">
        <v>3028</v>
      </c>
    </row>
    <row r="513" spans="1:15" x14ac:dyDescent="0.25">
      <c r="A513" s="10" t="s">
        <v>1423</v>
      </c>
      <c r="B513" s="15">
        <v>0.64</v>
      </c>
      <c r="C513" s="15">
        <v>0</v>
      </c>
      <c r="D513" s="15">
        <v>0</v>
      </c>
      <c r="E513" s="15">
        <v>0.81</v>
      </c>
      <c r="F513" s="15">
        <v>0</v>
      </c>
      <c r="G513" s="15">
        <v>0</v>
      </c>
      <c r="H513" s="15">
        <v>0</v>
      </c>
      <c r="I513" s="15">
        <v>36.979999999999997</v>
      </c>
      <c r="J513" s="15">
        <v>57.07</v>
      </c>
      <c r="K513" s="15">
        <v>0</v>
      </c>
      <c r="L513" s="15">
        <v>6.9</v>
      </c>
      <c r="M513" s="15">
        <v>9.69</v>
      </c>
      <c r="N513" s="15">
        <v>6.71</v>
      </c>
      <c r="O513" t="s">
        <v>3028</v>
      </c>
    </row>
    <row r="514" spans="1:15" x14ac:dyDescent="0.25">
      <c r="A514" s="10" t="s">
        <v>1425</v>
      </c>
      <c r="B514" s="15">
        <v>0</v>
      </c>
      <c r="C514" s="15">
        <v>0</v>
      </c>
      <c r="D514" s="15">
        <v>0</v>
      </c>
      <c r="E514" s="15">
        <v>0</v>
      </c>
      <c r="F514" s="15">
        <v>0</v>
      </c>
      <c r="G514" s="15">
        <v>0</v>
      </c>
      <c r="H514" s="15">
        <v>0</v>
      </c>
      <c r="I514" s="15">
        <v>26.98</v>
      </c>
      <c r="J514" s="15">
        <v>0</v>
      </c>
      <c r="K514" s="15">
        <v>0</v>
      </c>
      <c r="L514" s="15">
        <v>1.22</v>
      </c>
      <c r="M514" s="15">
        <v>1.22</v>
      </c>
      <c r="N514" s="15">
        <v>1.7</v>
      </c>
      <c r="O514" t="s">
        <v>3028</v>
      </c>
    </row>
    <row r="515" spans="1:15" x14ac:dyDescent="0.25">
      <c r="A515" s="10" t="s">
        <v>1437</v>
      </c>
      <c r="B515" s="15">
        <v>0</v>
      </c>
      <c r="C515" s="15">
        <v>0</v>
      </c>
      <c r="D515" s="15">
        <v>0</v>
      </c>
      <c r="E515" s="15">
        <v>4.18</v>
      </c>
      <c r="F515" s="15">
        <v>0</v>
      </c>
      <c r="G515" s="15">
        <v>0</v>
      </c>
      <c r="H515" s="15">
        <v>0</v>
      </c>
      <c r="I515" s="15">
        <v>0</v>
      </c>
      <c r="J515" s="15">
        <v>0</v>
      </c>
      <c r="K515" s="15">
        <v>0</v>
      </c>
      <c r="L515" s="15">
        <v>0</v>
      </c>
      <c r="M515" s="15">
        <v>0</v>
      </c>
      <c r="N515" s="15">
        <v>0</v>
      </c>
      <c r="O515" t="s">
        <v>3028</v>
      </c>
    </row>
    <row r="516" spans="1:15" x14ac:dyDescent="0.25">
      <c r="A516" s="10" t="s">
        <v>1442</v>
      </c>
      <c r="B516" s="15">
        <v>17.11</v>
      </c>
      <c r="C516" s="15">
        <v>31.96</v>
      </c>
      <c r="D516" s="15">
        <v>14.04</v>
      </c>
      <c r="E516" s="15">
        <v>36.950000000000003</v>
      </c>
      <c r="F516" s="15">
        <v>19.22</v>
      </c>
      <c r="G516" s="15">
        <v>149.59</v>
      </c>
      <c r="H516" s="15">
        <v>0</v>
      </c>
      <c r="I516" s="15">
        <v>35.659999999999997</v>
      </c>
      <c r="J516" s="15">
        <v>46.64</v>
      </c>
      <c r="K516" s="15">
        <v>46.64</v>
      </c>
      <c r="L516" s="15">
        <v>47.75</v>
      </c>
      <c r="M516" s="15">
        <v>33.89</v>
      </c>
      <c r="N516" s="15">
        <v>41.67</v>
      </c>
      <c r="O516" t="s">
        <v>3028</v>
      </c>
    </row>
    <row r="517" spans="1:15" x14ac:dyDescent="0.25">
      <c r="A517" s="10" t="s">
        <v>1448</v>
      </c>
      <c r="B517" s="15">
        <v>33.92</v>
      </c>
      <c r="C517" s="15">
        <v>26.33</v>
      </c>
      <c r="D517" s="15">
        <v>32</v>
      </c>
      <c r="E517" s="15">
        <v>0</v>
      </c>
      <c r="F517" s="15">
        <v>27.4</v>
      </c>
      <c r="G517" s="15">
        <v>141.44</v>
      </c>
      <c r="H517" s="15">
        <v>0</v>
      </c>
      <c r="I517" s="15">
        <v>12.57</v>
      </c>
      <c r="J517" s="15">
        <v>41.3</v>
      </c>
      <c r="K517" s="15">
        <v>55.69</v>
      </c>
      <c r="L517" s="15">
        <v>54.2</v>
      </c>
      <c r="M517" s="15">
        <v>42.83</v>
      </c>
      <c r="N517" s="15">
        <v>41.41</v>
      </c>
      <c r="O517" t="s">
        <v>3028</v>
      </c>
    </row>
    <row r="518" spans="1:15" x14ac:dyDescent="0.25">
      <c r="A518" s="10" t="s">
        <v>1450</v>
      </c>
      <c r="B518" s="15">
        <v>0</v>
      </c>
      <c r="C518" s="15">
        <v>0</v>
      </c>
      <c r="D518" s="15">
        <v>0</v>
      </c>
      <c r="E518" s="15">
        <v>13.87</v>
      </c>
      <c r="F518" s="15">
        <v>0</v>
      </c>
      <c r="G518" s="15">
        <v>0</v>
      </c>
      <c r="H518" s="15">
        <v>0</v>
      </c>
      <c r="I518" s="15">
        <v>18.61</v>
      </c>
      <c r="J518" s="15">
        <v>0</v>
      </c>
      <c r="K518" s="15">
        <v>0</v>
      </c>
      <c r="L518" s="15">
        <v>0</v>
      </c>
      <c r="M518" s="15">
        <v>0</v>
      </c>
      <c r="N518" s="15">
        <v>0</v>
      </c>
      <c r="O518" t="s">
        <v>3028</v>
      </c>
    </row>
    <row r="519" spans="1:15" x14ac:dyDescent="0.25">
      <c r="A519" s="10" t="s">
        <v>1452</v>
      </c>
      <c r="B519" s="15">
        <v>0</v>
      </c>
      <c r="C519" s="15">
        <v>0</v>
      </c>
      <c r="D519" s="15">
        <v>5.55</v>
      </c>
      <c r="E519" s="15">
        <v>0</v>
      </c>
      <c r="F519" s="15">
        <v>0</v>
      </c>
      <c r="G519" s="15">
        <v>0</v>
      </c>
      <c r="H519" s="15">
        <v>0</v>
      </c>
      <c r="I519" s="15">
        <v>0</v>
      </c>
      <c r="J519" s="15">
        <v>0</v>
      </c>
      <c r="K519" s="15">
        <v>0</v>
      </c>
      <c r="L519" s="15">
        <v>0</v>
      </c>
      <c r="M519" s="15">
        <v>0</v>
      </c>
      <c r="N519" s="15">
        <v>0</v>
      </c>
      <c r="O519" t="s">
        <v>3028</v>
      </c>
    </row>
    <row r="520" spans="1:15" x14ac:dyDescent="0.25">
      <c r="A520" s="10" t="s">
        <v>1458</v>
      </c>
      <c r="B520" s="15">
        <v>0</v>
      </c>
      <c r="C520" s="15">
        <v>0</v>
      </c>
      <c r="D520" s="15">
        <v>0</v>
      </c>
      <c r="E520" s="15">
        <v>43.43</v>
      </c>
      <c r="F520" s="15">
        <v>64.12</v>
      </c>
      <c r="G520" s="15">
        <v>66.69</v>
      </c>
      <c r="H520" s="15">
        <v>64.12</v>
      </c>
      <c r="I520" s="15">
        <v>193.21</v>
      </c>
      <c r="J520" s="15">
        <v>101.85</v>
      </c>
      <c r="K520" s="15">
        <v>108.21</v>
      </c>
      <c r="L520" s="15">
        <v>117.89</v>
      </c>
      <c r="M520" s="15">
        <v>100.14</v>
      </c>
      <c r="N520" s="15">
        <v>33.47</v>
      </c>
      <c r="O520" t="s">
        <v>3028</v>
      </c>
    </row>
    <row r="521" spans="1:15" x14ac:dyDescent="0.25">
      <c r="A521" s="10" t="s">
        <v>1460</v>
      </c>
      <c r="B521" s="15">
        <v>0</v>
      </c>
      <c r="C521" s="15">
        <v>0</v>
      </c>
      <c r="D521" s="15">
        <v>0</v>
      </c>
      <c r="E521" s="15">
        <v>0</v>
      </c>
      <c r="F521" s="15">
        <v>0</v>
      </c>
      <c r="G521" s="15">
        <v>0</v>
      </c>
      <c r="H521" s="15">
        <v>0</v>
      </c>
      <c r="I521" s="15">
        <v>31.02</v>
      </c>
      <c r="J521" s="15">
        <v>0</v>
      </c>
      <c r="K521" s="15">
        <v>30.86</v>
      </c>
      <c r="L521" s="15">
        <v>0</v>
      </c>
      <c r="M521" s="15">
        <v>0</v>
      </c>
      <c r="N521" s="15">
        <v>0</v>
      </c>
      <c r="O521" t="s">
        <v>3028</v>
      </c>
    </row>
    <row r="522" spans="1:15" x14ac:dyDescent="0.25">
      <c r="A522" s="10" t="s">
        <v>1464</v>
      </c>
      <c r="B522" s="15">
        <v>3.54</v>
      </c>
      <c r="C522" s="15">
        <v>0.8</v>
      </c>
      <c r="D522" s="15">
        <v>0.8</v>
      </c>
      <c r="E522" s="15">
        <v>0.8</v>
      </c>
      <c r="F522" s="15">
        <v>0.8</v>
      </c>
      <c r="G522" s="15">
        <v>0.8</v>
      </c>
      <c r="H522" s="15">
        <v>0.8</v>
      </c>
      <c r="I522" s="15">
        <v>56.62</v>
      </c>
      <c r="J522" s="15">
        <v>80.39</v>
      </c>
      <c r="K522" s="15">
        <v>0</v>
      </c>
      <c r="L522" s="15">
        <v>9.57</v>
      </c>
      <c r="M522" s="15">
        <v>14.91</v>
      </c>
      <c r="N522" s="15">
        <v>16.649999999999999</v>
      </c>
      <c r="O522" t="s">
        <v>3028</v>
      </c>
    </row>
    <row r="523" spans="1:15" x14ac:dyDescent="0.25">
      <c r="A523" s="10" t="s">
        <v>1468</v>
      </c>
      <c r="B523" s="15">
        <v>0</v>
      </c>
      <c r="C523" s="15">
        <v>0</v>
      </c>
      <c r="D523" s="15">
        <v>0</v>
      </c>
      <c r="E523" s="15">
        <v>0</v>
      </c>
      <c r="F523" s="15">
        <v>0</v>
      </c>
      <c r="G523" s="15">
        <v>0</v>
      </c>
      <c r="H523" s="15">
        <v>0</v>
      </c>
      <c r="I523" s="15">
        <v>31.72</v>
      </c>
      <c r="J523" s="15">
        <v>0</v>
      </c>
      <c r="K523" s="15">
        <v>0</v>
      </c>
      <c r="L523" s="15">
        <v>0</v>
      </c>
      <c r="M523" s="15">
        <v>0</v>
      </c>
      <c r="N523" s="15">
        <v>0</v>
      </c>
      <c r="O523" t="s">
        <v>3028</v>
      </c>
    </row>
    <row r="524" spans="1:15" x14ac:dyDescent="0.25">
      <c r="A524" s="10" t="s">
        <v>1470</v>
      </c>
      <c r="B524" s="15">
        <v>0</v>
      </c>
      <c r="C524" s="15">
        <v>0</v>
      </c>
      <c r="D524" s="15">
        <v>0</v>
      </c>
      <c r="E524" s="15">
        <v>0</v>
      </c>
      <c r="F524" s="15">
        <v>0</v>
      </c>
      <c r="G524" s="15">
        <v>0</v>
      </c>
      <c r="H524" s="15">
        <v>0</v>
      </c>
      <c r="I524" s="15">
        <v>1.89</v>
      </c>
      <c r="J524" s="15">
        <v>0</v>
      </c>
      <c r="K524" s="15">
        <v>0</v>
      </c>
      <c r="L524" s="15">
        <v>0</v>
      </c>
      <c r="M524" s="15">
        <v>0</v>
      </c>
      <c r="N524" s="15">
        <v>0</v>
      </c>
      <c r="O524" t="s">
        <v>3028</v>
      </c>
    </row>
    <row r="525" spans="1:15" x14ac:dyDescent="0.25">
      <c r="A525" s="10" t="s">
        <v>1476</v>
      </c>
      <c r="B525" s="15">
        <v>0</v>
      </c>
      <c r="C525" s="15">
        <v>0</v>
      </c>
      <c r="D525" s="15">
        <v>0</v>
      </c>
      <c r="E525" s="15">
        <v>0</v>
      </c>
      <c r="F525" s="15">
        <v>0</v>
      </c>
      <c r="G525" s="15">
        <v>0</v>
      </c>
      <c r="H525" s="15">
        <v>0</v>
      </c>
      <c r="I525" s="15">
        <v>9.18</v>
      </c>
      <c r="J525" s="15">
        <v>0</v>
      </c>
      <c r="K525" s="15">
        <v>0</v>
      </c>
      <c r="L525" s="15">
        <v>0</v>
      </c>
      <c r="M525" s="15">
        <v>0</v>
      </c>
      <c r="N525" s="15">
        <v>0</v>
      </c>
      <c r="O525" t="s">
        <v>3028</v>
      </c>
    </row>
    <row r="526" spans="1:15" x14ac:dyDescent="0.25">
      <c r="A526" s="10" t="s">
        <v>1480</v>
      </c>
      <c r="B526" s="15">
        <v>0</v>
      </c>
      <c r="C526" s="15">
        <v>0</v>
      </c>
      <c r="D526" s="15">
        <v>0</v>
      </c>
      <c r="E526" s="15">
        <v>0</v>
      </c>
      <c r="F526" s="15">
        <v>0</v>
      </c>
      <c r="G526" s="15">
        <v>0</v>
      </c>
      <c r="H526" s="15">
        <v>0</v>
      </c>
      <c r="I526" s="15">
        <v>0</v>
      </c>
      <c r="J526" s="15">
        <v>0</v>
      </c>
      <c r="K526" s="15">
        <v>3.06</v>
      </c>
      <c r="L526" s="15">
        <v>0</v>
      </c>
      <c r="M526" s="15">
        <v>31.9</v>
      </c>
      <c r="N526" s="15">
        <v>0</v>
      </c>
      <c r="O526" t="s">
        <v>3028</v>
      </c>
    </row>
    <row r="527" spans="1:15" x14ac:dyDescent="0.25">
      <c r="A527" s="10" t="s">
        <v>1482</v>
      </c>
      <c r="B527" s="15">
        <v>0</v>
      </c>
      <c r="C527" s="15">
        <v>0</v>
      </c>
      <c r="D527" s="15">
        <v>0</v>
      </c>
      <c r="E527" s="15">
        <v>0</v>
      </c>
      <c r="F527" s="15">
        <v>0</v>
      </c>
      <c r="G527" s="15">
        <v>0</v>
      </c>
      <c r="H527" s="15">
        <v>0</v>
      </c>
      <c r="I527" s="15">
        <v>4.34</v>
      </c>
      <c r="J527" s="15">
        <v>0</v>
      </c>
      <c r="K527" s="15">
        <v>0</v>
      </c>
      <c r="L527" s="15">
        <v>50.36</v>
      </c>
      <c r="M527" s="15">
        <v>12.97</v>
      </c>
      <c r="N527" s="15">
        <v>0.79</v>
      </c>
      <c r="O527" t="s">
        <v>3028</v>
      </c>
    </row>
    <row r="528" spans="1:15" x14ac:dyDescent="0.25">
      <c r="A528" s="10" t="s">
        <v>1484</v>
      </c>
      <c r="B528" s="15">
        <v>14.91</v>
      </c>
      <c r="C528" s="15">
        <v>0</v>
      </c>
      <c r="D528" s="15">
        <v>29.88</v>
      </c>
      <c r="E528" s="15">
        <v>0</v>
      </c>
      <c r="F528" s="15">
        <v>0</v>
      </c>
      <c r="G528" s="15">
        <v>0</v>
      </c>
      <c r="H528" s="15">
        <v>0</v>
      </c>
      <c r="I528" s="15">
        <v>28.38</v>
      </c>
      <c r="J528" s="15">
        <v>0</v>
      </c>
      <c r="K528" s="15">
        <v>0</v>
      </c>
      <c r="L528" s="15">
        <v>0</v>
      </c>
      <c r="M528" s="15">
        <v>0</v>
      </c>
      <c r="N528" s="15">
        <v>0</v>
      </c>
      <c r="O528" t="s">
        <v>3028</v>
      </c>
    </row>
    <row r="529" spans="1:15" x14ac:dyDescent="0.25">
      <c r="A529" s="10" t="s">
        <v>1488</v>
      </c>
      <c r="B529" s="15">
        <v>0</v>
      </c>
      <c r="C529" s="15">
        <v>0</v>
      </c>
      <c r="D529" s="15">
        <v>0</v>
      </c>
      <c r="E529" s="15">
        <v>0.8</v>
      </c>
      <c r="F529" s="15">
        <v>0.8</v>
      </c>
      <c r="G529" s="15">
        <v>0.8</v>
      </c>
      <c r="H529" s="15">
        <v>0.8</v>
      </c>
      <c r="I529" s="15">
        <v>56.52</v>
      </c>
      <c r="J529" s="15">
        <v>63.78</v>
      </c>
      <c r="K529" s="15">
        <v>0</v>
      </c>
      <c r="L529" s="15">
        <v>14.91</v>
      </c>
      <c r="M529" s="15">
        <v>14.91</v>
      </c>
      <c r="N529" s="15">
        <v>17.87</v>
      </c>
      <c r="O529" t="s">
        <v>3028</v>
      </c>
    </row>
    <row r="530" spans="1:15" x14ac:dyDescent="0.25">
      <c r="A530" s="10" t="s">
        <v>1492</v>
      </c>
      <c r="B530" s="15">
        <v>0</v>
      </c>
      <c r="C530" s="15">
        <v>0</v>
      </c>
      <c r="D530" s="15">
        <v>0</v>
      </c>
      <c r="E530" s="15">
        <v>0</v>
      </c>
      <c r="F530" s="15">
        <v>0</v>
      </c>
      <c r="G530" s="15">
        <v>0</v>
      </c>
      <c r="H530" s="15">
        <v>29.76</v>
      </c>
      <c r="I530" s="15">
        <v>0</v>
      </c>
      <c r="J530" s="15">
        <v>0</v>
      </c>
      <c r="K530" s="15">
        <v>0</v>
      </c>
      <c r="L530" s="15">
        <v>0</v>
      </c>
      <c r="M530" s="15">
        <v>0</v>
      </c>
      <c r="N530" s="15">
        <v>0</v>
      </c>
      <c r="O530" t="s">
        <v>3028</v>
      </c>
    </row>
    <row r="531" spans="1:15" x14ac:dyDescent="0.25">
      <c r="A531" s="10" t="s">
        <v>1510</v>
      </c>
      <c r="B531" s="15">
        <v>84.48</v>
      </c>
      <c r="C531" s="15">
        <v>103.75</v>
      </c>
      <c r="D531" s="15">
        <v>95.82</v>
      </c>
      <c r="E531" s="15">
        <v>0</v>
      </c>
      <c r="F531" s="15">
        <v>0</v>
      </c>
      <c r="G531" s="15">
        <v>6.19</v>
      </c>
      <c r="H531" s="15">
        <v>15.24</v>
      </c>
      <c r="I531" s="15">
        <v>28.78</v>
      </c>
      <c r="J531" s="15">
        <v>74.569999999999993</v>
      </c>
      <c r="K531" s="15">
        <v>113.26</v>
      </c>
      <c r="L531" s="15">
        <v>91.4</v>
      </c>
      <c r="M531" s="15">
        <v>47.6</v>
      </c>
      <c r="N531" s="15">
        <v>54.14</v>
      </c>
      <c r="O531" t="s">
        <v>3028</v>
      </c>
    </row>
    <row r="532" spans="1:15" x14ac:dyDescent="0.25">
      <c r="A532" s="10" t="s">
        <v>1512</v>
      </c>
      <c r="B532" s="15">
        <v>0</v>
      </c>
      <c r="C532" s="15">
        <v>0</v>
      </c>
      <c r="D532" s="15">
        <v>0</v>
      </c>
      <c r="E532" s="15">
        <v>0</v>
      </c>
      <c r="F532" s="15">
        <v>0</v>
      </c>
      <c r="G532" s="15">
        <v>0</v>
      </c>
      <c r="H532" s="15">
        <v>0</v>
      </c>
      <c r="I532" s="15">
        <v>35.770000000000003</v>
      </c>
      <c r="J532" s="15">
        <v>20.420000000000002</v>
      </c>
      <c r="K532" s="15">
        <v>19.97</v>
      </c>
      <c r="L532" s="15">
        <v>2.46</v>
      </c>
      <c r="M532" s="15">
        <v>2.57</v>
      </c>
      <c r="N532" s="15">
        <v>7.15</v>
      </c>
      <c r="O532" t="s">
        <v>3028</v>
      </c>
    </row>
    <row r="533" spans="1:15" x14ac:dyDescent="0.25">
      <c r="A533" s="10" t="s">
        <v>1520</v>
      </c>
      <c r="B533" s="15">
        <v>4.3499999999999996</v>
      </c>
      <c r="C533" s="15">
        <v>0</v>
      </c>
      <c r="D533" s="15">
        <v>0</v>
      </c>
      <c r="E533" s="15">
        <v>0</v>
      </c>
      <c r="F533" s="15">
        <v>43.56</v>
      </c>
      <c r="G533" s="15">
        <v>0</v>
      </c>
      <c r="H533" s="15">
        <v>3.86</v>
      </c>
      <c r="I533" s="15">
        <v>35.74</v>
      </c>
      <c r="J533" s="15">
        <v>9.17</v>
      </c>
      <c r="K533" s="15">
        <v>0</v>
      </c>
      <c r="L533" s="15">
        <v>0</v>
      </c>
      <c r="M533" s="15">
        <v>28.25</v>
      </c>
      <c r="N533" s="15">
        <v>6.45</v>
      </c>
      <c r="O533" t="s">
        <v>3028</v>
      </c>
    </row>
    <row r="534" spans="1:15" x14ac:dyDescent="0.25">
      <c r="A534" s="10" t="s">
        <v>1526</v>
      </c>
      <c r="B534" s="15">
        <v>0</v>
      </c>
      <c r="C534" s="15">
        <v>0</v>
      </c>
      <c r="D534" s="15">
        <v>0</v>
      </c>
      <c r="E534" s="15">
        <v>0</v>
      </c>
      <c r="F534" s="15">
        <v>0</v>
      </c>
      <c r="G534" s="15">
        <v>0</v>
      </c>
      <c r="H534" s="15">
        <v>0</v>
      </c>
      <c r="I534" s="15">
        <v>9.36</v>
      </c>
      <c r="J534" s="15">
        <v>0</v>
      </c>
      <c r="K534" s="15">
        <v>0</v>
      </c>
      <c r="L534" s="15">
        <v>0</v>
      </c>
      <c r="M534" s="15">
        <v>0</v>
      </c>
      <c r="N534" s="15">
        <v>0</v>
      </c>
      <c r="O534" t="s">
        <v>3028</v>
      </c>
    </row>
    <row r="535" spans="1:15" x14ac:dyDescent="0.25">
      <c r="A535" s="10" t="s">
        <v>1546</v>
      </c>
      <c r="B535" s="15">
        <v>1685.21</v>
      </c>
      <c r="C535" s="15">
        <v>1892.09</v>
      </c>
      <c r="D535" s="15">
        <v>2509.63</v>
      </c>
      <c r="E535" s="15">
        <v>751.99</v>
      </c>
      <c r="F535" s="15">
        <v>1955.88</v>
      </c>
      <c r="G535" s="15">
        <v>1427.15</v>
      </c>
      <c r="H535" s="15">
        <v>1997.08</v>
      </c>
      <c r="I535" s="15">
        <v>2826.02</v>
      </c>
      <c r="J535" s="15">
        <v>1162.8800000000001</v>
      </c>
      <c r="K535" s="15">
        <v>2406.36</v>
      </c>
      <c r="L535" s="15">
        <v>1633.56</v>
      </c>
      <c r="M535" s="15">
        <v>1565.05</v>
      </c>
      <c r="N535" s="15">
        <v>1908.05</v>
      </c>
      <c r="O535" t="s">
        <v>3028</v>
      </c>
    </row>
    <row r="536" spans="1:15" x14ac:dyDescent="0.25">
      <c r="A536" s="10" t="s">
        <v>1548</v>
      </c>
      <c r="B536" s="15">
        <v>0</v>
      </c>
      <c r="C536" s="15">
        <v>0</v>
      </c>
      <c r="D536" s="15">
        <v>0</v>
      </c>
      <c r="E536" s="15">
        <v>0</v>
      </c>
      <c r="F536" s="15">
        <v>0</v>
      </c>
      <c r="G536" s="15">
        <v>0</v>
      </c>
      <c r="H536" s="15">
        <v>0</v>
      </c>
      <c r="I536" s="15">
        <v>0</v>
      </c>
      <c r="J536" s="15">
        <v>0</v>
      </c>
      <c r="K536" s="15">
        <v>0</v>
      </c>
      <c r="L536" s="15">
        <v>48.14</v>
      </c>
      <c r="M536" s="15">
        <v>0</v>
      </c>
      <c r="N536" s="15">
        <v>0</v>
      </c>
      <c r="O536" t="s">
        <v>3028</v>
      </c>
    </row>
    <row r="537" spans="1:15" x14ac:dyDescent="0.25">
      <c r="A537" s="10" t="s">
        <v>1552</v>
      </c>
      <c r="B537" s="15">
        <v>8639.9500000000007</v>
      </c>
      <c r="C537" s="15">
        <v>950.1</v>
      </c>
      <c r="D537" s="15">
        <v>4640.6000000000004</v>
      </c>
      <c r="E537" s="15">
        <v>4640.6000000000004</v>
      </c>
      <c r="F537" s="15">
        <v>4640.6000000000004</v>
      </c>
      <c r="G537" s="15">
        <v>4640.6000000000004</v>
      </c>
      <c r="H537" s="15">
        <v>4640.6000000000004</v>
      </c>
      <c r="I537" s="15">
        <v>5531.76</v>
      </c>
      <c r="J537" s="15">
        <v>11610.37</v>
      </c>
      <c r="K537" s="15">
        <v>0</v>
      </c>
      <c r="L537" s="15">
        <v>0</v>
      </c>
      <c r="M537" s="15">
        <v>0</v>
      </c>
      <c r="N537" s="15">
        <v>3420.58</v>
      </c>
      <c r="O537" t="s">
        <v>3028</v>
      </c>
    </row>
    <row r="538" spans="1:15" x14ac:dyDescent="0.25">
      <c r="A538" s="10" t="s">
        <v>1554</v>
      </c>
      <c r="B538" s="15">
        <v>0</v>
      </c>
      <c r="C538" s="15">
        <v>0</v>
      </c>
      <c r="D538" s="15">
        <v>5.43</v>
      </c>
      <c r="E538" s="15">
        <v>2.2999999999999998</v>
      </c>
      <c r="F538" s="15">
        <v>0</v>
      </c>
      <c r="G538" s="15">
        <v>0</v>
      </c>
      <c r="H538" s="15">
        <v>0</v>
      </c>
      <c r="I538" s="15">
        <v>0</v>
      </c>
      <c r="J538" s="15">
        <v>0</v>
      </c>
      <c r="K538" s="15">
        <v>0</v>
      </c>
      <c r="L538" s="15">
        <v>0</v>
      </c>
      <c r="M538" s="15">
        <v>0</v>
      </c>
      <c r="N538" s="15">
        <v>0</v>
      </c>
      <c r="O538" t="s">
        <v>3028</v>
      </c>
    </row>
    <row r="539" spans="1:15" x14ac:dyDescent="0.25">
      <c r="A539" s="10" t="s">
        <v>1556</v>
      </c>
      <c r="B539" s="15">
        <v>1955.88</v>
      </c>
      <c r="C539" s="15">
        <v>1892.09</v>
      </c>
      <c r="D539" s="15">
        <v>1717.72</v>
      </c>
      <c r="E539" s="15">
        <v>1345.72</v>
      </c>
      <c r="F539" s="15">
        <v>1461.5</v>
      </c>
      <c r="G539" s="15">
        <v>1887.18</v>
      </c>
      <c r="H539" s="15">
        <v>1830.84</v>
      </c>
      <c r="I539" s="15">
        <v>2862.24</v>
      </c>
      <c r="J539" s="15">
        <v>1162.8800000000001</v>
      </c>
      <c r="K539" s="15">
        <v>2949.29</v>
      </c>
      <c r="L539" s="15">
        <v>1379.61</v>
      </c>
      <c r="M539" s="15">
        <v>1615.32</v>
      </c>
      <c r="N539" s="15">
        <v>1919.8</v>
      </c>
      <c r="O539" t="s">
        <v>3028</v>
      </c>
    </row>
    <row r="540" spans="1:15" x14ac:dyDescent="0.25">
      <c r="A540" s="10" t="s">
        <v>1558</v>
      </c>
      <c r="B540" s="15">
        <v>8512.6</v>
      </c>
      <c r="C540" s="15">
        <v>8512.6</v>
      </c>
      <c r="D540" s="15">
        <v>8512.6</v>
      </c>
      <c r="E540" s="15">
        <v>8512.6</v>
      </c>
      <c r="F540" s="15">
        <v>8512.6</v>
      </c>
      <c r="G540" s="15">
        <v>8512.6</v>
      </c>
      <c r="H540" s="15">
        <v>8512.6</v>
      </c>
      <c r="I540" s="15">
        <v>9403.77</v>
      </c>
      <c r="J540" s="15">
        <v>12505.63</v>
      </c>
      <c r="K540" s="15">
        <v>8216.51</v>
      </c>
      <c r="L540" s="15">
        <v>9646.51</v>
      </c>
      <c r="M540" s="15">
        <v>9646.51</v>
      </c>
      <c r="N540" s="15">
        <v>9646.51</v>
      </c>
      <c r="O540" t="s">
        <v>3028</v>
      </c>
    </row>
    <row r="541" spans="1:15" x14ac:dyDescent="0.25">
      <c r="A541" s="10" t="s">
        <v>1560</v>
      </c>
      <c r="B541" s="15">
        <v>539.32000000000005</v>
      </c>
      <c r="C541" s="15">
        <v>422.18</v>
      </c>
      <c r="D541" s="15">
        <v>411.14</v>
      </c>
      <c r="E541" s="15">
        <v>461.2</v>
      </c>
      <c r="F541" s="15">
        <v>432.72</v>
      </c>
      <c r="G541" s="15">
        <v>426.92</v>
      </c>
      <c r="H541" s="15">
        <v>467.41</v>
      </c>
      <c r="I541" s="15">
        <v>1429.79</v>
      </c>
      <c r="J541" s="15">
        <v>86.09</v>
      </c>
      <c r="K541" s="15">
        <v>573.51</v>
      </c>
      <c r="L541" s="15">
        <v>505.01</v>
      </c>
      <c r="M541" s="15">
        <v>608.08000000000004</v>
      </c>
      <c r="N541" s="15">
        <v>544.69000000000005</v>
      </c>
      <c r="O541" t="s">
        <v>3028</v>
      </c>
    </row>
    <row r="542" spans="1:15" x14ac:dyDescent="0.25">
      <c r="A542" s="10" t="s">
        <v>1562</v>
      </c>
      <c r="B542" s="15">
        <v>0</v>
      </c>
      <c r="C542" s="15">
        <v>0</v>
      </c>
      <c r="D542" s="15">
        <v>0</v>
      </c>
      <c r="E542" s="15">
        <v>9.02</v>
      </c>
      <c r="F542" s="15">
        <v>0</v>
      </c>
      <c r="G542" s="15">
        <v>0</v>
      </c>
      <c r="H542" s="15">
        <v>0</v>
      </c>
      <c r="I542" s="15">
        <v>16.37</v>
      </c>
      <c r="J542" s="15">
        <v>0</v>
      </c>
      <c r="K542" s="15">
        <v>0</v>
      </c>
      <c r="L542" s="15">
        <v>0</v>
      </c>
      <c r="M542" s="15">
        <v>0</v>
      </c>
      <c r="N542" s="15">
        <v>0</v>
      </c>
      <c r="O542" t="s">
        <v>3028</v>
      </c>
    </row>
    <row r="543" spans="1:15" x14ac:dyDescent="0.25">
      <c r="A543" s="10" t="s">
        <v>1568</v>
      </c>
      <c r="B543" s="15">
        <v>34.950000000000003</v>
      </c>
      <c r="C543" s="15">
        <v>35.15</v>
      </c>
      <c r="D543" s="15">
        <v>14.34</v>
      </c>
      <c r="E543" s="15">
        <v>8.52</v>
      </c>
      <c r="F543" s="15">
        <v>3.04</v>
      </c>
      <c r="G543" s="15">
        <v>5.77</v>
      </c>
      <c r="H543" s="15">
        <v>21.27</v>
      </c>
      <c r="I543" s="15">
        <v>90.39</v>
      </c>
      <c r="J543" s="15">
        <v>143.06</v>
      </c>
      <c r="K543" s="15">
        <v>0</v>
      </c>
      <c r="L543" s="15">
        <v>30.87</v>
      </c>
      <c r="M543" s="15">
        <v>26.88</v>
      </c>
      <c r="N543" s="15">
        <v>29.3</v>
      </c>
      <c r="O543" t="s">
        <v>3028</v>
      </c>
    </row>
    <row r="544" spans="1:15" x14ac:dyDescent="0.25">
      <c r="A544" s="10" t="s">
        <v>1570</v>
      </c>
      <c r="B544" s="15">
        <v>0</v>
      </c>
      <c r="C544" s="15">
        <v>0</v>
      </c>
      <c r="D544" s="15">
        <v>0</v>
      </c>
      <c r="E544" s="15">
        <v>0</v>
      </c>
      <c r="F544" s="15">
        <v>0</v>
      </c>
      <c r="G544" s="15">
        <v>0</v>
      </c>
      <c r="H544" s="15">
        <v>0</v>
      </c>
      <c r="I544" s="15">
        <v>0</v>
      </c>
      <c r="J544" s="15">
        <v>2.69</v>
      </c>
      <c r="K544" s="15">
        <v>0</v>
      </c>
      <c r="L544" s="15">
        <v>0</v>
      </c>
      <c r="M544" s="15">
        <v>0</v>
      </c>
      <c r="N544" s="15">
        <v>0</v>
      </c>
      <c r="O544" t="s">
        <v>3028</v>
      </c>
    </row>
    <row r="545" spans="1:15" x14ac:dyDescent="0.25">
      <c r="A545" s="10" t="s">
        <v>1572</v>
      </c>
      <c r="B545" s="15">
        <v>0</v>
      </c>
      <c r="C545" s="15">
        <v>80.66</v>
      </c>
      <c r="D545" s="15">
        <v>186.69</v>
      </c>
      <c r="E545" s="15">
        <v>151.51</v>
      </c>
      <c r="F545" s="15">
        <v>377.29</v>
      </c>
      <c r="G545" s="15">
        <v>0</v>
      </c>
      <c r="H545" s="15">
        <v>115.73</v>
      </c>
      <c r="I545" s="15">
        <v>305.22000000000003</v>
      </c>
      <c r="J545" s="15">
        <v>160.24</v>
      </c>
      <c r="K545" s="15">
        <v>166.81</v>
      </c>
      <c r="L545" s="15">
        <v>270.69</v>
      </c>
      <c r="M545" s="15">
        <v>219.54</v>
      </c>
      <c r="N545" s="15">
        <v>162.52000000000001</v>
      </c>
      <c r="O545" t="s">
        <v>3028</v>
      </c>
    </row>
    <row r="546" spans="1:15" x14ac:dyDescent="0.25">
      <c r="A546" s="10" t="s">
        <v>1574</v>
      </c>
      <c r="B546" s="15">
        <v>89.1</v>
      </c>
      <c r="C546" s="15">
        <v>44.54</v>
      </c>
      <c r="D546" s="15">
        <v>91.46</v>
      </c>
      <c r="E546" s="15">
        <v>64.84</v>
      </c>
      <c r="F546" s="15">
        <v>62.39</v>
      </c>
      <c r="G546" s="15">
        <v>63.31</v>
      </c>
      <c r="H546" s="15">
        <v>54.84</v>
      </c>
      <c r="I546" s="15">
        <v>179.68</v>
      </c>
      <c r="J546" s="15">
        <v>70.77</v>
      </c>
      <c r="K546" s="15">
        <v>97.12</v>
      </c>
      <c r="L546" s="15">
        <v>69.48</v>
      </c>
      <c r="M546" s="15">
        <v>145.71</v>
      </c>
      <c r="N546" s="15">
        <v>112.24</v>
      </c>
      <c r="O546" t="s">
        <v>3028</v>
      </c>
    </row>
    <row r="547" spans="1:15" x14ac:dyDescent="0.25">
      <c r="A547" s="10" t="s">
        <v>1576</v>
      </c>
      <c r="B547" s="15">
        <v>0</v>
      </c>
      <c r="C547" s="15">
        <v>0</v>
      </c>
      <c r="D547" s="15">
        <v>0</v>
      </c>
      <c r="E547" s="15">
        <v>18.38</v>
      </c>
      <c r="F547" s="15">
        <v>0</v>
      </c>
      <c r="G547" s="15">
        <v>0</v>
      </c>
      <c r="H547" s="15">
        <v>0</v>
      </c>
      <c r="I547" s="15">
        <v>26.58</v>
      </c>
      <c r="J547" s="15">
        <v>0</v>
      </c>
      <c r="K547" s="15">
        <v>8.8800000000000008</v>
      </c>
      <c r="L547" s="15">
        <v>0</v>
      </c>
      <c r="M547" s="15">
        <v>0</v>
      </c>
      <c r="N547" s="15">
        <v>0</v>
      </c>
      <c r="O547" t="s">
        <v>3028</v>
      </c>
    </row>
    <row r="548" spans="1:15" x14ac:dyDescent="0.25">
      <c r="A548" s="10" t="s">
        <v>1578</v>
      </c>
      <c r="B548" s="15">
        <v>81.650000000000006</v>
      </c>
      <c r="C548" s="15">
        <v>51.61</v>
      </c>
      <c r="D548" s="15">
        <v>84.48</v>
      </c>
      <c r="E548" s="15">
        <v>52.76</v>
      </c>
      <c r="F548" s="15">
        <v>60.81</v>
      </c>
      <c r="G548" s="15">
        <v>57.06</v>
      </c>
      <c r="H548" s="15">
        <v>91.01</v>
      </c>
      <c r="I548" s="15">
        <v>231.65</v>
      </c>
      <c r="J548" s="15">
        <v>208</v>
      </c>
      <c r="K548" s="15">
        <v>0</v>
      </c>
      <c r="L548" s="15">
        <v>70.150000000000006</v>
      </c>
      <c r="M548" s="15">
        <v>147.56</v>
      </c>
      <c r="N548" s="15">
        <v>83.39</v>
      </c>
      <c r="O548" t="s">
        <v>3028</v>
      </c>
    </row>
    <row r="549" spans="1:15" x14ac:dyDescent="0.25">
      <c r="A549" s="10" t="s">
        <v>1582</v>
      </c>
      <c r="B549" s="15">
        <v>51.02</v>
      </c>
      <c r="C549" s="15">
        <v>30.15</v>
      </c>
      <c r="D549" s="15">
        <v>44.12</v>
      </c>
      <c r="E549" s="15">
        <v>34.770000000000003</v>
      </c>
      <c r="F549" s="15">
        <v>128.78</v>
      </c>
      <c r="G549" s="15">
        <v>0</v>
      </c>
      <c r="H549" s="15">
        <v>24.81</v>
      </c>
      <c r="I549" s="15">
        <v>98.23</v>
      </c>
      <c r="J549" s="15">
        <v>39.049999999999997</v>
      </c>
      <c r="K549" s="15">
        <v>40.090000000000003</v>
      </c>
      <c r="L549" s="15">
        <v>44.93</v>
      </c>
      <c r="M549" s="15">
        <v>45.84</v>
      </c>
      <c r="N549" s="15">
        <v>42.63</v>
      </c>
      <c r="O549" t="s">
        <v>3028</v>
      </c>
    </row>
    <row r="550" spans="1:15" x14ac:dyDescent="0.25">
      <c r="A550" s="10" t="s">
        <v>1584</v>
      </c>
      <c r="B550" s="15">
        <v>7.53</v>
      </c>
      <c r="C550" s="15">
        <v>9.3699999999999992</v>
      </c>
      <c r="D550" s="15">
        <v>10.74</v>
      </c>
      <c r="E550" s="15">
        <v>0</v>
      </c>
      <c r="F550" s="15">
        <v>0</v>
      </c>
      <c r="G550" s="15">
        <v>43.2</v>
      </c>
      <c r="H550" s="15">
        <v>0</v>
      </c>
      <c r="I550" s="15">
        <v>4.8499999999999996</v>
      </c>
      <c r="J550" s="15">
        <v>2.91</v>
      </c>
      <c r="K550" s="15">
        <v>0</v>
      </c>
      <c r="L550" s="15">
        <v>0</v>
      </c>
      <c r="M550" s="15">
        <v>0</v>
      </c>
      <c r="N550" s="15">
        <v>0</v>
      </c>
      <c r="O550" t="s">
        <v>3028</v>
      </c>
    </row>
    <row r="551" spans="1:15" x14ac:dyDescent="0.25">
      <c r="A551" s="10" t="s">
        <v>1588</v>
      </c>
      <c r="B551" s="15">
        <v>0</v>
      </c>
      <c r="C551" s="15">
        <v>0</v>
      </c>
      <c r="D551" s="15">
        <v>0</v>
      </c>
      <c r="E551" s="15">
        <v>0</v>
      </c>
      <c r="F551" s="15">
        <v>0</v>
      </c>
      <c r="G551" s="15">
        <v>0</v>
      </c>
      <c r="H551" s="15">
        <v>0</v>
      </c>
      <c r="I551" s="15">
        <v>0</v>
      </c>
      <c r="J551" s="15">
        <v>8.17</v>
      </c>
      <c r="K551" s="15">
        <v>0</v>
      </c>
      <c r="L551" s="15">
        <v>0</v>
      </c>
      <c r="M551" s="15">
        <v>0</v>
      </c>
      <c r="N551" s="15">
        <v>5.0199999999999996</v>
      </c>
      <c r="O551" t="s">
        <v>3028</v>
      </c>
    </row>
    <row r="552" spans="1:15" x14ac:dyDescent="0.25">
      <c r="A552" s="10" t="s">
        <v>1590</v>
      </c>
      <c r="B552" s="15">
        <v>0</v>
      </c>
      <c r="C552" s="15">
        <v>0</v>
      </c>
      <c r="D552" s="15">
        <v>0</v>
      </c>
      <c r="E552" s="15">
        <v>0</v>
      </c>
      <c r="F552" s="15">
        <v>0</v>
      </c>
      <c r="G552" s="15">
        <v>0</v>
      </c>
      <c r="H552" s="15">
        <v>0</v>
      </c>
      <c r="I552" s="15">
        <v>0</v>
      </c>
      <c r="J552" s="15">
        <v>0</v>
      </c>
      <c r="K552" s="15">
        <v>2.88</v>
      </c>
      <c r="L552" s="15">
        <v>0</v>
      </c>
      <c r="M552" s="15">
        <v>17.47</v>
      </c>
      <c r="N552" s="15">
        <v>0</v>
      </c>
      <c r="O552" t="s">
        <v>3028</v>
      </c>
    </row>
    <row r="553" spans="1:15" x14ac:dyDescent="0.25">
      <c r="A553" s="10" t="s">
        <v>1592</v>
      </c>
      <c r="B553" s="15">
        <v>33.35</v>
      </c>
      <c r="C553" s="15">
        <v>9.42</v>
      </c>
      <c r="D553" s="15">
        <v>0</v>
      </c>
      <c r="E553" s="15">
        <v>0</v>
      </c>
      <c r="F553" s="15">
        <v>0</v>
      </c>
      <c r="G553" s="15">
        <v>63.68</v>
      </c>
      <c r="H553" s="15">
        <v>0</v>
      </c>
      <c r="I553" s="15">
        <v>25.05</v>
      </c>
      <c r="J553" s="15">
        <v>8.91</v>
      </c>
      <c r="K553" s="15">
        <v>10.55</v>
      </c>
      <c r="L553" s="15">
        <v>24.04</v>
      </c>
      <c r="M553" s="15">
        <v>11.81</v>
      </c>
      <c r="N553" s="15">
        <v>10.66</v>
      </c>
      <c r="O553" t="s">
        <v>3028</v>
      </c>
    </row>
    <row r="554" spans="1:15" x14ac:dyDescent="0.25">
      <c r="A554" s="10" t="s">
        <v>1594</v>
      </c>
      <c r="B554" s="15">
        <v>4588.46</v>
      </c>
      <c r="C554" s="15">
        <v>7253.18</v>
      </c>
      <c r="D554" s="15">
        <v>1859.84</v>
      </c>
      <c r="E554" s="15">
        <v>4588.46</v>
      </c>
      <c r="F554" s="15">
        <v>4588.46</v>
      </c>
      <c r="G554" s="15">
        <v>7253.18</v>
      </c>
      <c r="H554" s="15">
        <v>1859.84</v>
      </c>
      <c r="I554" s="15">
        <v>5331.1</v>
      </c>
      <c r="J554" s="15">
        <v>5320.36</v>
      </c>
      <c r="K554" s="15">
        <v>5320.36</v>
      </c>
      <c r="L554" s="15">
        <v>5320.36</v>
      </c>
      <c r="M554" s="15">
        <v>5320.36</v>
      </c>
      <c r="N554" s="15">
        <v>5320.36</v>
      </c>
      <c r="O554" t="s">
        <v>3028</v>
      </c>
    </row>
    <row r="555" spans="1:15" x14ac:dyDescent="0.25">
      <c r="A555" s="10" t="s">
        <v>1596</v>
      </c>
      <c r="B555" s="15">
        <v>236.55</v>
      </c>
      <c r="C555" s="15">
        <v>99.38</v>
      </c>
      <c r="D555" s="15">
        <v>160.72</v>
      </c>
      <c r="E555" s="15">
        <v>109.4</v>
      </c>
      <c r="F555" s="15">
        <v>131.01</v>
      </c>
      <c r="G555" s="15">
        <v>289.18</v>
      </c>
      <c r="H555" s="15">
        <v>779.16</v>
      </c>
      <c r="I555" s="15">
        <v>117.61</v>
      </c>
      <c r="J555" s="15">
        <v>149.82</v>
      </c>
      <c r="K555" s="15">
        <v>140</v>
      </c>
      <c r="L555" s="15">
        <v>251.23</v>
      </c>
      <c r="M555" s="15">
        <v>178.57</v>
      </c>
      <c r="N555" s="15">
        <v>193.92</v>
      </c>
      <c r="O555" t="s">
        <v>3028</v>
      </c>
    </row>
    <row r="556" spans="1:15" x14ac:dyDescent="0.25">
      <c r="A556" s="10" t="s">
        <v>1598</v>
      </c>
      <c r="B556" s="15">
        <v>0</v>
      </c>
      <c r="C556" s="15">
        <v>0</v>
      </c>
      <c r="D556" s="15">
        <v>0</v>
      </c>
      <c r="E556" s="15">
        <v>0</v>
      </c>
      <c r="F556" s="15">
        <v>0</v>
      </c>
      <c r="G556" s="15">
        <v>0</v>
      </c>
      <c r="H556" s="15">
        <v>0</v>
      </c>
      <c r="I556" s="15">
        <v>18.55</v>
      </c>
      <c r="J556" s="15">
        <v>0</v>
      </c>
      <c r="K556" s="15">
        <v>0</v>
      </c>
      <c r="L556" s="15">
        <v>0</v>
      </c>
      <c r="M556" s="15">
        <v>2.7</v>
      </c>
      <c r="N556" s="15">
        <v>0</v>
      </c>
      <c r="O556" t="s">
        <v>3028</v>
      </c>
    </row>
    <row r="557" spans="1:15" x14ac:dyDescent="0.25">
      <c r="A557" s="10" t="s">
        <v>1600</v>
      </c>
      <c r="B557" s="15">
        <v>345.44</v>
      </c>
      <c r="C557" s="15">
        <v>0</v>
      </c>
      <c r="D557" s="15">
        <v>27.83</v>
      </c>
      <c r="E557" s="15">
        <v>107.7</v>
      </c>
      <c r="F557" s="15">
        <v>114.68</v>
      </c>
      <c r="G557" s="15">
        <v>528.89</v>
      </c>
      <c r="H557" s="15">
        <v>894.66</v>
      </c>
      <c r="I557" s="15">
        <v>0</v>
      </c>
      <c r="J557" s="15">
        <v>130.77000000000001</v>
      </c>
      <c r="K557" s="15">
        <v>219.16</v>
      </c>
      <c r="L557" s="15">
        <v>203.43</v>
      </c>
      <c r="M557" s="15">
        <v>703.67</v>
      </c>
      <c r="N557" s="15">
        <v>181.21</v>
      </c>
      <c r="O557" t="s">
        <v>3028</v>
      </c>
    </row>
    <row r="558" spans="1:15" x14ac:dyDescent="0.25">
      <c r="A558" s="10" t="s">
        <v>1605</v>
      </c>
      <c r="B558" s="15">
        <v>0</v>
      </c>
      <c r="C558" s="15">
        <v>0</v>
      </c>
      <c r="D558" s="15">
        <v>0</v>
      </c>
      <c r="E558" s="15">
        <v>0</v>
      </c>
      <c r="F558" s="15">
        <v>0</v>
      </c>
      <c r="G558" s="15">
        <v>0</v>
      </c>
      <c r="H558" s="15">
        <v>0</v>
      </c>
      <c r="I558" s="15">
        <v>23.43</v>
      </c>
      <c r="J558" s="15">
        <v>0.93</v>
      </c>
      <c r="K558" s="15">
        <v>45.07</v>
      </c>
      <c r="L558" s="15">
        <v>0</v>
      </c>
      <c r="M558" s="15">
        <v>0.43</v>
      </c>
      <c r="N558" s="15">
        <v>0</v>
      </c>
      <c r="O558" t="s">
        <v>3028</v>
      </c>
    </row>
    <row r="559" spans="1:15" x14ac:dyDescent="0.25">
      <c r="A559" s="10" t="s">
        <v>1607</v>
      </c>
      <c r="B559" s="15">
        <v>256.77</v>
      </c>
      <c r="C559" s="15">
        <v>265.97000000000003</v>
      </c>
      <c r="D559" s="15">
        <v>929.85</v>
      </c>
      <c r="E559" s="15">
        <v>0</v>
      </c>
      <c r="F559" s="15">
        <v>229.15</v>
      </c>
      <c r="G559" s="15">
        <v>319.8</v>
      </c>
      <c r="H559" s="15">
        <v>251.14</v>
      </c>
      <c r="I559" s="15">
        <v>595.42999999999995</v>
      </c>
      <c r="J559" s="15">
        <v>353.28</v>
      </c>
      <c r="K559" s="15">
        <v>363.95</v>
      </c>
      <c r="L559" s="15">
        <v>357.36</v>
      </c>
      <c r="M559" s="15">
        <v>450.81</v>
      </c>
      <c r="N559" s="15">
        <v>363.05</v>
      </c>
      <c r="O559" t="s">
        <v>3028</v>
      </c>
    </row>
    <row r="560" spans="1:15" x14ac:dyDescent="0.25">
      <c r="A560" s="10" t="s">
        <v>1609</v>
      </c>
      <c r="B560" s="15">
        <v>1.1499999999999999</v>
      </c>
      <c r="C560" s="15">
        <v>4.6100000000000003</v>
      </c>
      <c r="D560" s="15">
        <v>3.9</v>
      </c>
      <c r="E560" s="15">
        <v>0</v>
      </c>
      <c r="F560" s="15">
        <v>16.95</v>
      </c>
      <c r="G560" s="15">
        <v>57.32</v>
      </c>
      <c r="H560" s="15">
        <v>0</v>
      </c>
      <c r="I560" s="15">
        <v>12.92</v>
      </c>
      <c r="J560" s="15">
        <v>15.7</v>
      </c>
      <c r="K560" s="15">
        <v>17.8</v>
      </c>
      <c r="L560" s="15">
        <v>15.36</v>
      </c>
      <c r="M560" s="15">
        <v>18.350000000000001</v>
      </c>
      <c r="N560" s="15">
        <v>18.239999999999998</v>
      </c>
      <c r="O560" t="s">
        <v>3028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9"/>
  <dimension ref="A1:O26"/>
  <sheetViews>
    <sheetView workbookViewId="0">
      <selection activeCell="G10" sqref="G10"/>
    </sheetView>
  </sheetViews>
  <sheetFormatPr defaultRowHeight="15" x14ac:dyDescent="0.25"/>
  <cols>
    <col min="1" max="1" width="10.5" style="10" bestFit="1" customWidth="1"/>
    <col min="2" max="2" width="12.625" style="10" bestFit="1" customWidth="1"/>
    <col min="3" max="14" width="10.875" style="15" customWidth="1"/>
    <col min="15" max="15" width="10.875" customWidth="1"/>
  </cols>
  <sheetData>
    <row r="1" spans="1:15" ht="47.85" customHeight="1" x14ac:dyDescent="0.25">
      <c r="A1" s="35" t="s">
        <v>34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</row>
    <row r="2" spans="1:15" ht="43.5" customHeight="1" x14ac:dyDescent="0.25">
      <c r="A2" s="12" t="s">
        <v>72</v>
      </c>
      <c r="B2" s="12" t="s">
        <v>63</v>
      </c>
      <c r="C2" s="14" t="str">
        <f>CONCATENATE("JANEIRO",CHAR(10),"TOTAL: ",ROUND(SUM(C3:C1048576),2))</f>
        <v>JANEIRO
TOTAL: 9058,1</v>
      </c>
      <c r="D2" s="14" t="str">
        <f>CONCATENATE("FEVEREIRO",CHAR(10),"TOTAL: ",ROUND(SUM(D3:D1048576),2))</f>
        <v>FEVEREIRO
TOTAL: 10959,6</v>
      </c>
      <c r="E2" s="14" t="str">
        <f>CONCATENATE("MARÇO",CHAR(10),"TOTAL: ",ROUND(SUM(E3:E1048576),2))</f>
        <v>MARÇO
TOTAL: 9440,26</v>
      </c>
      <c r="F2" s="14" t="str">
        <f>CONCATENATE("ABRIL",CHAR(10),"TOTAL: ",ROUND(SUM(F3:F1048576),2))</f>
        <v>ABRIL
TOTAL: 9677,53</v>
      </c>
      <c r="G2" s="14" t="str">
        <f>CONCATENATE("MAIO",CHAR(10),"TOTAL: ",ROUND(SUM(G3:G1048576),2))</f>
        <v>MAIO
TOTAL: 11547,81</v>
      </c>
      <c r="H2" s="14" t="str">
        <f>CONCATENATE("JUNHO",CHAR(10),"TOTAL: ",ROUND(SUM(H3:H1048576),2))</f>
        <v>JUNHO
TOTAL: 14330,28</v>
      </c>
      <c r="I2" s="14" t="str">
        <f>CONCATENATE("JULHO",CHAR(10),"TOTAL: ",ROUND(SUM(I3:I1048576),2))</f>
        <v>JULHO
TOTAL: 15164,7</v>
      </c>
      <c r="J2" s="14" t="str">
        <f>CONCATENATE("AGOSTO",CHAR(10),"TOTAL: ",ROUND(SUM(J3:J1048576),2))</f>
        <v>AGOSTO
TOTAL: 13687,96</v>
      </c>
      <c r="K2" s="14" t="str">
        <f>CONCATENATE("SETEMBRO",CHAR(10),"TOTAL: ",ROUND(SUM(K3:K1048576),2))</f>
        <v>SETEMBRO
TOTAL: 13182,45</v>
      </c>
      <c r="L2" s="14" t="str">
        <f>CONCATENATE("OUTUBRO",CHAR(10),"TOTAL: ",ROUND(SUM(L3:L1048576),2))</f>
        <v>OUTUBRO
TOTAL: 16990,11</v>
      </c>
      <c r="M2" s="14" t="str">
        <f>CONCATENATE("NOVEMBRO",CHAR(10),"TOTAL: ",ROUND(SUM(M3:M1048576),2))</f>
        <v>NOVEMBRO
TOTAL: 13203,86</v>
      </c>
      <c r="N2" s="14" t="str">
        <f>CONCATENATE("DEZEMBRO",CHAR(10),"TOTAL: ",ROUND(SUM(N3:N1048576),2))</f>
        <v>DEZEMBRO
TOTAL: 11964,79</v>
      </c>
      <c r="O2" s="14" t="str">
        <f>CONCATENATE("DEC. TERCEIRO",CHAR(10),"TOTAL: ",ROUND(SUM(O3:O1048576),2))</f>
        <v>DEC. TERCEIRO
TOTAL: 0</v>
      </c>
    </row>
    <row r="3" spans="1:15" x14ac:dyDescent="0.25">
      <c r="A3" s="10" t="s">
        <v>161</v>
      </c>
      <c r="B3" s="10" t="s">
        <v>163</v>
      </c>
      <c r="C3" s="15">
        <v>1389.41</v>
      </c>
      <c r="D3" s="15">
        <v>1387.77</v>
      </c>
      <c r="E3" s="15">
        <v>1372.74</v>
      </c>
      <c r="F3" s="15">
        <v>1378.08</v>
      </c>
      <c r="G3" s="15">
        <v>1493.59</v>
      </c>
      <c r="H3" s="15">
        <v>1377.47</v>
      </c>
      <c r="I3" s="15">
        <v>3326.44</v>
      </c>
      <c r="J3" s="15">
        <v>891.2</v>
      </c>
      <c r="K3" s="15">
        <v>1494.1</v>
      </c>
      <c r="L3" s="15">
        <v>1533.72</v>
      </c>
      <c r="M3" s="15">
        <v>1799.57</v>
      </c>
      <c r="N3" s="15">
        <v>1552.86</v>
      </c>
      <c r="O3" t="s">
        <v>3028</v>
      </c>
    </row>
    <row r="4" spans="1:15" x14ac:dyDescent="0.25">
      <c r="A4" s="10" t="s">
        <v>166</v>
      </c>
      <c r="B4" s="10" t="s">
        <v>75</v>
      </c>
      <c r="C4" s="15">
        <v>577.52</v>
      </c>
      <c r="D4" s="15">
        <v>641.89</v>
      </c>
      <c r="E4" s="15">
        <v>615.55999999999995</v>
      </c>
      <c r="F4" s="15">
        <v>577.41</v>
      </c>
      <c r="G4" s="15">
        <v>1150.6500000000001</v>
      </c>
      <c r="H4" s="15">
        <v>189.45</v>
      </c>
      <c r="I4" s="15">
        <v>755.31</v>
      </c>
      <c r="J4" s="15">
        <v>627.25</v>
      </c>
      <c r="K4" s="15">
        <v>672.58</v>
      </c>
      <c r="L4" s="15">
        <v>628.34</v>
      </c>
      <c r="M4" s="15">
        <v>696.43</v>
      </c>
      <c r="N4" s="15">
        <v>643.61</v>
      </c>
      <c r="O4" t="s">
        <v>3028</v>
      </c>
    </row>
    <row r="5" spans="1:15" x14ac:dyDescent="0.25">
      <c r="A5" s="10" t="s">
        <v>218</v>
      </c>
      <c r="B5" s="10" t="s">
        <v>75</v>
      </c>
      <c r="C5" s="15">
        <v>880</v>
      </c>
      <c r="D5" s="15">
        <v>880</v>
      </c>
      <c r="E5" s="15">
        <v>880</v>
      </c>
      <c r="F5" s="15">
        <v>880</v>
      </c>
      <c r="G5" s="15">
        <v>880</v>
      </c>
      <c r="H5" s="15">
        <v>880</v>
      </c>
      <c r="I5" s="15">
        <v>880</v>
      </c>
      <c r="J5" s="15">
        <v>880</v>
      </c>
      <c r="K5" s="15">
        <v>880</v>
      </c>
      <c r="L5" s="15">
        <v>880</v>
      </c>
      <c r="M5" s="15">
        <v>880</v>
      </c>
      <c r="N5" s="15">
        <v>880</v>
      </c>
      <c r="O5" t="s">
        <v>3028</v>
      </c>
    </row>
    <row r="6" spans="1:15" x14ac:dyDescent="0.25">
      <c r="A6" s="10" t="s">
        <v>334</v>
      </c>
      <c r="B6" s="10" t="s">
        <v>75</v>
      </c>
      <c r="C6" s="15">
        <v>742.49</v>
      </c>
      <c r="D6" s="15">
        <v>2087.86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269.86</v>
      </c>
      <c r="O6" t="s">
        <v>3028</v>
      </c>
    </row>
    <row r="7" spans="1:15" x14ac:dyDescent="0.25">
      <c r="A7" s="10" t="s">
        <v>444</v>
      </c>
      <c r="B7" s="10" t="s">
        <v>75</v>
      </c>
      <c r="C7" s="15">
        <v>0</v>
      </c>
      <c r="D7" s="15">
        <v>0</v>
      </c>
      <c r="E7" s="15">
        <v>0</v>
      </c>
      <c r="F7" s="15">
        <v>685.99</v>
      </c>
      <c r="G7" s="15">
        <v>744.75</v>
      </c>
      <c r="H7" s="15">
        <v>690.57</v>
      </c>
      <c r="I7" s="15">
        <v>464.28</v>
      </c>
      <c r="J7" s="15">
        <v>758.94</v>
      </c>
      <c r="K7" s="15">
        <v>917.93</v>
      </c>
      <c r="L7" s="15">
        <v>1592.01</v>
      </c>
      <c r="M7" s="15">
        <v>640.79999999999995</v>
      </c>
      <c r="N7" s="15">
        <v>0</v>
      </c>
      <c r="O7" t="s">
        <v>3028</v>
      </c>
    </row>
    <row r="8" spans="1:15" x14ac:dyDescent="0.25">
      <c r="A8" s="10" t="s">
        <v>444</v>
      </c>
      <c r="B8" s="10" t="s">
        <v>75</v>
      </c>
      <c r="C8" s="15">
        <v>695.9</v>
      </c>
      <c r="D8" s="15">
        <v>690.36</v>
      </c>
      <c r="E8" s="15">
        <v>690.12</v>
      </c>
      <c r="F8" s="15">
        <v>691.44</v>
      </c>
      <c r="G8" s="15">
        <v>744.75</v>
      </c>
      <c r="H8" s="15">
        <v>690.57</v>
      </c>
      <c r="I8" s="15">
        <v>464.29</v>
      </c>
      <c r="J8" s="15">
        <v>758.94</v>
      </c>
      <c r="K8" s="15">
        <v>917.93</v>
      </c>
      <c r="L8" s="15">
        <v>1592.01</v>
      </c>
      <c r="M8" s="15">
        <v>640.79999999999995</v>
      </c>
      <c r="N8" s="15">
        <v>772.62</v>
      </c>
      <c r="O8" t="s">
        <v>3028</v>
      </c>
    </row>
    <row r="9" spans="1:15" x14ac:dyDescent="0.25">
      <c r="A9" s="10" t="s">
        <v>496</v>
      </c>
      <c r="B9" s="10" t="s">
        <v>75</v>
      </c>
      <c r="C9" s="15">
        <v>705.39</v>
      </c>
      <c r="D9" s="15">
        <v>715.76</v>
      </c>
      <c r="E9" s="15">
        <v>762.19</v>
      </c>
      <c r="F9" s="15">
        <v>1151.9100000000001</v>
      </c>
      <c r="G9" s="15">
        <v>393.18</v>
      </c>
      <c r="H9" s="15">
        <v>2682.8</v>
      </c>
      <c r="I9" s="15">
        <v>0</v>
      </c>
      <c r="J9" s="15">
        <v>240.18</v>
      </c>
      <c r="K9" s="15">
        <v>0</v>
      </c>
      <c r="L9" s="15">
        <v>0</v>
      </c>
      <c r="M9" s="15">
        <v>0</v>
      </c>
      <c r="N9" s="15">
        <v>511.36</v>
      </c>
      <c r="O9" t="s">
        <v>3028</v>
      </c>
    </row>
    <row r="10" spans="1:15" x14ac:dyDescent="0.25">
      <c r="A10" s="10" t="s">
        <v>688</v>
      </c>
      <c r="B10" s="10" t="s">
        <v>690</v>
      </c>
      <c r="C10" s="15">
        <v>763.51</v>
      </c>
      <c r="D10" s="15">
        <v>763.99</v>
      </c>
      <c r="E10" s="15">
        <v>755.42</v>
      </c>
      <c r="F10" s="15">
        <v>781.31</v>
      </c>
      <c r="G10" s="15">
        <v>861.49</v>
      </c>
      <c r="H10" s="15">
        <v>788.55</v>
      </c>
      <c r="I10" s="15">
        <v>1198.56</v>
      </c>
      <c r="J10" s="15">
        <v>1401.53</v>
      </c>
      <c r="K10" s="15">
        <v>693.89</v>
      </c>
      <c r="L10" s="15">
        <v>988.66</v>
      </c>
      <c r="M10" s="15">
        <v>1002.32</v>
      </c>
      <c r="N10" s="15">
        <v>852.93</v>
      </c>
      <c r="O10" t="s">
        <v>3028</v>
      </c>
    </row>
    <row r="11" spans="1:15" x14ac:dyDescent="0.25">
      <c r="A11" s="10" t="s">
        <v>715</v>
      </c>
      <c r="B11" s="10" t="s">
        <v>717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484.61</v>
      </c>
      <c r="I11" s="15">
        <v>624.51</v>
      </c>
      <c r="J11" s="15">
        <v>529.89</v>
      </c>
      <c r="K11" s="15">
        <v>514.75</v>
      </c>
      <c r="L11" s="15">
        <v>658.47</v>
      </c>
      <c r="M11" s="15">
        <v>634.83000000000004</v>
      </c>
      <c r="N11" s="15">
        <v>577.99</v>
      </c>
      <c r="O11" t="s">
        <v>3028</v>
      </c>
    </row>
    <row r="12" spans="1:15" x14ac:dyDescent="0.25">
      <c r="A12" s="10" t="s">
        <v>784</v>
      </c>
      <c r="B12" s="10" t="s">
        <v>75</v>
      </c>
      <c r="C12" s="15">
        <v>307.37</v>
      </c>
      <c r="D12" s="15">
        <v>324.68</v>
      </c>
      <c r="E12" s="15">
        <v>315.85000000000002</v>
      </c>
      <c r="F12" s="15">
        <v>317.5</v>
      </c>
      <c r="G12" s="15">
        <v>698.19</v>
      </c>
      <c r="H12" s="15">
        <v>52.7</v>
      </c>
      <c r="I12" s="15">
        <v>391.41</v>
      </c>
      <c r="J12" s="15">
        <v>321.58999999999997</v>
      </c>
      <c r="K12" s="15">
        <v>317.69</v>
      </c>
      <c r="L12" s="15">
        <v>317.64999999999998</v>
      </c>
      <c r="M12" s="15">
        <v>381.79</v>
      </c>
      <c r="N12" s="15">
        <v>333.57</v>
      </c>
      <c r="O12" t="s">
        <v>3028</v>
      </c>
    </row>
    <row r="13" spans="1:15" x14ac:dyDescent="0.25">
      <c r="A13" s="10" t="s">
        <v>800</v>
      </c>
      <c r="B13" s="10" t="s">
        <v>802</v>
      </c>
      <c r="C13" s="15">
        <v>0</v>
      </c>
      <c r="D13" s="15">
        <v>0</v>
      </c>
      <c r="E13" s="15">
        <v>0</v>
      </c>
      <c r="F13" s="15">
        <v>0</v>
      </c>
      <c r="G13" s="15">
        <v>968</v>
      </c>
      <c r="H13" s="15">
        <v>968</v>
      </c>
      <c r="I13" s="15">
        <v>968</v>
      </c>
      <c r="J13" s="15">
        <v>968</v>
      </c>
      <c r="K13" s="15">
        <v>968</v>
      </c>
      <c r="L13" s="15">
        <v>968</v>
      </c>
      <c r="M13" s="15">
        <v>968</v>
      </c>
      <c r="N13" s="15">
        <v>0</v>
      </c>
      <c r="O13" t="s">
        <v>3028</v>
      </c>
    </row>
    <row r="14" spans="1:15" x14ac:dyDescent="0.25">
      <c r="A14" s="10" t="s">
        <v>825</v>
      </c>
      <c r="B14" s="10" t="s">
        <v>827</v>
      </c>
      <c r="C14" s="15">
        <v>471.26</v>
      </c>
      <c r="D14" s="15">
        <v>483.58</v>
      </c>
      <c r="E14" s="15">
        <v>503.12</v>
      </c>
      <c r="F14" s="15">
        <v>498.34</v>
      </c>
      <c r="G14" s="15">
        <v>505.52</v>
      </c>
      <c r="H14" s="15">
        <v>504.86</v>
      </c>
      <c r="I14" s="15">
        <v>490.49</v>
      </c>
      <c r="J14" s="15">
        <v>484.15</v>
      </c>
      <c r="K14" s="15">
        <v>587.87</v>
      </c>
      <c r="L14" s="15">
        <v>1357.18</v>
      </c>
      <c r="M14" s="15">
        <v>50.33</v>
      </c>
      <c r="N14" s="15">
        <v>552.07000000000005</v>
      </c>
      <c r="O14" t="s">
        <v>3028</v>
      </c>
    </row>
    <row r="15" spans="1:15" x14ac:dyDescent="0.25">
      <c r="A15" s="10" t="s">
        <v>834</v>
      </c>
      <c r="B15" s="10" t="s">
        <v>75</v>
      </c>
      <c r="C15" s="15">
        <v>359.62</v>
      </c>
      <c r="D15" s="15">
        <v>360.66</v>
      </c>
      <c r="E15" s="15">
        <v>361.16</v>
      </c>
      <c r="F15" s="15">
        <v>359.73</v>
      </c>
      <c r="G15" s="15">
        <v>363.95</v>
      </c>
      <c r="H15" s="15">
        <v>360.81</v>
      </c>
      <c r="I15" s="15">
        <v>359.37</v>
      </c>
      <c r="J15" s="15">
        <v>527.14</v>
      </c>
      <c r="K15" s="15">
        <v>388.79</v>
      </c>
      <c r="L15" s="15">
        <v>397.01</v>
      </c>
      <c r="M15" s="15">
        <v>395.02</v>
      </c>
      <c r="N15" s="15">
        <v>395.26</v>
      </c>
      <c r="O15" t="s">
        <v>3028</v>
      </c>
    </row>
    <row r="16" spans="1:15" x14ac:dyDescent="0.25">
      <c r="A16" s="10" t="s">
        <v>948</v>
      </c>
      <c r="B16" s="10" t="s">
        <v>75</v>
      </c>
      <c r="C16" s="15">
        <v>0</v>
      </c>
      <c r="D16" s="15">
        <v>0</v>
      </c>
      <c r="E16" s="15">
        <v>0</v>
      </c>
      <c r="F16" s="15">
        <v>522.34</v>
      </c>
      <c r="G16" s="15">
        <v>408.69</v>
      </c>
      <c r="H16" s="15">
        <v>421.77</v>
      </c>
      <c r="I16" s="15">
        <v>573.4</v>
      </c>
      <c r="J16" s="15">
        <v>466.25</v>
      </c>
      <c r="K16" s="15">
        <v>271.66000000000003</v>
      </c>
      <c r="L16" s="15">
        <v>272.43</v>
      </c>
      <c r="M16" s="15">
        <v>275.7</v>
      </c>
      <c r="N16" s="15">
        <v>279</v>
      </c>
      <c r="O16" t="s">
        <v>3028</v>
      </c>
    </row>
    <row r="17" spans="1:15" x14ac:dyDescent="0.25">
      <c r="A17" s="10" t="s">
        <v>948</v>
      </c>
      <c r="B17" s="10" t="s">
        <v>75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255.62</v>
      </c>
      <c r="I17" s="15">
        <v>347.52</v>
      </c>
      <c r="J17" s="15">
        <v>282.57</v>
      </c>
      <c r="K17" s="15">
        <v>271.66000000000003</v>
      </c>
      <c r="L17" s="15">
        <v>272.43</v>
      </c>
      <c r="M17" s="15">
        <v>275.7</v>
      </c>
      <c r="N17" s="15">
        <v>279</v>
      </c>
      <c r="O17" t="s">
        <v>3028</v>
      </c>
    </row>
    <row r="18" spans="1:15" x14ac:dyDescent="0.25">
      <c r="A18" s="10" t="s">
        <v>1034</v>
      </c>
      <c r="B18" s="10" t="s">
        <v>75</v>
      </c>
      <c r="C18" s="15">
        <v>443.54</v>
      </c>
      <c r="D18" s="15">
        <v>438.79</v>
      </c>
      <c r="E18" s="15">
        <v>438.17</v>
      </c>
      <c r="F18" s="15">
        <v>443.03</v>
      </c>
      <c r="G18" s="15">
        <v>443.2</v>
      </c>
      <c r="H18" s="15">
        <v>440.98</v>
      </c>
      <c r="I18" s="15">
        <v>729.25</v>
      </c>
      <c r="J18" s="15">
        <v>1170.69</v>
      </c>
      <c r="K18" s="15">
        <v>573.33000000000004</v>
      </c>
      <c r="L18" s="15">
        <v>662.44</v>
      </c>
      <c r="M18" s="15">
        <v>665.13</v>
      </c>
      <c r="N18" s="15">
        <v>902.87</v>
      </c>
      <c r="O18" t="s">
        <v>3028</v>
      </c>
    </row>
    <row r="19" spans="1:15" x14ac:dyDescent="0.25">
      <c r="A19" s="10" t="s">
        <v>1042</v>
      </c>
      <c r="B19" s="10" t="s">
        <v>1044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713.75</v>
      </c>
      <c r="J19" s="15">
        <v>585.26</v>
      </c>
      <c r="K19" s="15">
        <v>388.92</v>
      </c>
      <c r="L19" s="15">
        <v>381.99</v>
      </c>
      <c r="M19" s="15">
        <v>400.2</v>
      </c>
      <c r="N19" s="15">
        <v>433.94</v>
      </c>
      <c r="O19" t="s">
        <v>3028</v>
      </c>
    </row>
    <row r="20" spans="1:15" x14ac:dyDescent="0.25">
      <c r="A20" s="10" t="s">
        <v>1053</v>
      </c>
      <c r="B20" s="10" t="s">
        <v>75</v>
      </c>
      <c r="C20" s="15">
        <v>406.95</v>
      </c>
      <c r="D20" s="15">
        <v>401.49</v>
      </c>
      <c r="E20" s="15">
        <v>0</v>
      </c>
      <c r="F20" s="15">
        <v>0</v>
      </c>
      <c r="G20" s="15">
        <v>0</v>
      </c>
      <c r="H20" s="15">
        <v>374.25</v>
      </c>
      <c r="I20" s="15">
        <v>507.6</v>
      </c>
      <c r="J20" s="15">
        <v>470.08</v>
      </c>
      <c r="K20" s="15">
        <v>452.57</v>
      </c>
      <c r="L20" s="15">
        <v>464.84</v>
      </c>
      <c r="M20" s="15">
        <v>639.85</v>
      </c>
      <c r="N20" s="15">
        <v>328.22</v>
      </c>
      <c r="O20" t="s">
        <v>3028</v>
      </c>
    </row>
    <row r="21" spans="1:15" x14ac:dyDescent="0.25">
      <c r="A21" s="10" t="s">
        <v>1155</v>
      </c>
      <c r="B21" s="10" t="s">
        <v>75</v>
      </c>
      <c r="C21" s="15">
        <v>437.35</v>
      </c>
      <c r="D21" s="15">
        <v>379.7</v>
      </c>
      <c r="E21" s="15">
        <v>667.21</v>
      </c>
      <c r="F21" s="15">
        <v>212.83</v>
      </c>
      <c r="G21" s="15">
        <v>417.09</v>
      </c>
      <c r="H21" s="15">
        <v>429.07</v>
      </c>
      <c r="I21" s="15">
        <v>622.38</v>
      </c>
      <c r="J21" s="15">
        <v>431.59</v>
      </c>
      <c r="K21" s="15">
        <v>525.6</v>
      </c>
      <c r="L21" s="15">
        <v>406.77</v>
      </c>
      <c r="M21" s="15">
        <v>408.64</v>
      </c>
      <c r="N21" s="15">
        <v>439.95</v>
      </c>
      <c r="O21" t="s">
        <v>3028</v>
      </c>
    </row>
    <row r="22" spans="1:15" x14ac:dyDescent="0.25">
      <c r="A22" s="10" t="s">
        <v>1187</v>
      </c>
      <c r="B22" s="10" t="s">
        <v>75</v>
      </c>
      <c r="C22" s="15">
        <v>449.81</v>
      </c>
      <c r="D22" s="15">
        <v>445.17</v>
      </c>
      <c r="E22" s="15">
        <v>995.51</v>
      </c>
      <c r="F22" s="15">
        <v>92.76</v>
      </c>
      <c r="G22" s="15">
        <v>397.48</v>
      </c>
      <c r="H22" s="15">
        <v>450.93</v>
      </c>
      <c r="I22" s="15">
        <v>585.19000000000005</v>
      </c>
      <c r="J22" s="15">
        <v>491.91</v>
      </c>
      <c r="K22" s="15">
        <v>495.55</v>
      </c>
      <c r="L22" s="15">
        <v>459.51</v>
      </c>
      <c r="M22" s="15">
        <v>472.79</v>
      </c>
      <c r="N22" s="15">
        <v>391.97</v>
      </c>
      <c r="O22" t="s">
        <v>3028</v>
      </c>
    </row>
    <row r="23" spans="1:15" x14ac:dyDescent="0.25">
      <c r="A23" s="10" t="s">
        <v>1308</v>
      </c>
      <c r="B23" s="10" t="s">
        <v>75</v>
      </c>
      <c r="C23" s="15">
        <v>427.98</v>
      </c>
      <c r="D23" s="15">
        <v>418.24</v>
      </c>
      <c r="E23" s="15">
        <v>418.03</v>
      </c>
      <c r="F23" s="15">
        <v>421.15</v>
      </c>
      <c r="G23" s="15">
        <v>418.03</v>
      </c>
      <c r="H23" s="15">
        <v>418.03</v>
      </c>
      <c r="I23" s="15">
        <v>624.53</v>
      </c>
      <c r="J23" s="15">
        <v>672.81</v>
      </c>
      <c r="K23" s="15">
        <v>578.29999999999995</v>
      </c>
      <c r="L23" s="15">
        <v>1488.27</v>
      </c>
      <c r="M23" s="15">
        <v>255.53</v>
      </c>
      <c r="N23" s="15">
        <v>0</v>
      </c>
      <c r="O23" t="s">
        <v>3028</v>
      </c>
    </row>
    <row r="24" spans="1:15" x14ac:dyDescent="0.25">
      <c r="A24" s="10" t="s">
        <v>1348</v>
      </c>
      <c r="B24" s="10" t="s">
        <v>1350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398.89</v>
      </c>
      <c r="M24" s="15">
        <v>414.87</v>
      </c>
      <c r="N24" s="15">
        <v>378.14</v>
      </c>
      <c r="O24" t="s">
        <v>3028</v>
      </c>
    </row>
    <row r="25" spans="1:15" x14ac:dyDescent="0.25">
      <c r="A25" s="10" t="s">
        <v>1437</v>
      </c>
      <c r="B25" s="10" t="s">
        <v>1439</v>
      </c>
      <c r="C25" s="15">
        <v>0</v>
      </c>
      <c r="D25" s="15">
        <v>0</v>
      </c>
      <c r="E25" s="15">
        <v>0</v>
      </c>
      <c r="F25" s="15">
        <v>0</v>
      </c>
      <c r="G25" s="15">
        <v>0</v>
      </c>
      <c r="H25" s="15">
        <v>0</v>
      </c>
      <c r="I25" s="15">
        <v>0</v>
      </c>
      <c r="J25" s="15">
        <v>0</v>
      </c>
      <c r="K25" s="15">
        <v>544.9</v>
      </c>
      <c r="L25" s="15">
        <v>543.05999999999995</v>
      </c>
      <c r="M25" s="15">
        <v>543.15</v>
      </c>
      <c r="N25" s="15">
        <v>525.52</v>
      </c>
      <c r="O25" t="s">
        <v>3028</v>
      </c>
    </row>
    <row r="26" spans="1:15" x14ac:dyDescent="0.25">
      <c r="A26" s="10" t="s">
        <v>1600</v>
      </c>
      <c r="B26" s="10" t="s">
        <v>1602</v>
      </c>
      <c r="C26" s="15">
        <v>0</v>
      </c>
      <c r="D26" s="15">
        <v>539.66</v>
      </c>
      <c r="E26" s="15">
        <v>665.18</v>
      </c>
      <c r="F26" s="15">
        <v>663.71</v>
      </c>
      <c r="G26" s="15">
        <v>659.25</v>
      </c>
      <c r="H26" s="15">
        <v>1869.24</v>
      </c>
      <c r="I26" s="15">
        <v>538.41999999999996</v>
      </c>
      <c r="J26" s="15">
        <v>727.99</v>
      </c>
      <c r="K26" s="15">
        <v>726.43</v>
      </c>
      <c r="L26" s="15">
        <v>726.43</v>
      </c>
      <c r="M26" s="15">
        <v>762.41</v>
      </c>
      <c r="N26" s="15">
        <v>664.05</v>
      </c>
      <c r="O26" t="s">
        <v>3028</v>
      </c>
    </row>
  </sheetData>
  <mergeCells count="1">
    <mergeCell ref="A1:O1"/>
  </mergeCells>
  <pageMargins left="0.511811024" right="0.511811024" top="0.78740157499999996" bottom="0.78740157499999996" header="0.31496062000000002" footer="0.31496062000000002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5"/>
  <dimension ref="A1:G28"/>
  <sheetViews>
    <sheetView tabSelected="1" workbookViewId="0">
      <selection activeCell="A2" sqref="A2"/>
    </sheetView>
  </sheetViews>
  <sheetFormatPr defaultRowHeight="15" x14ac:dyDescent="0.25"/>
  <cols>
    <col min="1" max="1" width="10.5" style="10" bestFit="1" customWidth="1"/>
    <col min="2" max="3" width="11.875" style="10" customWidth="1"/>
    <col min="4" max="4" width="41.625" style="9" customWidth="1"/>
    <col min="5" max="5" width="9.375" style="9" customWidth="1"/>
  </cols>
  <sheetData>
    <row r="1" spans="1:7" ht="47.85" customHeight="1" x14ac:dyDescent="0.25">
      <c r="A1" s="28" t="s">
        <v>84</v>
      </c>
      <c r="B1" s="29"/>
      <c r="C1" s="29"/>
      <c r="D1" s="29"/>
      <c r="E1" s="29"/>
      <c r="F1" s="29"/>
      <c r="G1" s="29"/>
    </row>
    <row r="2" spans="1:7" ht="24" x14ac:dyDescent="0.25">
      <c r="A2" s="12" t="s">
        <v>72</v>
      </c>
      <c r="B2" s="12" t="s">
        <v>63</v>
      </c>
      <c r="C2" s="12" t="s">
        <v>64</v>
      </c>
      <c r="D2" s="12" t="s">
        <v>23</v>
      </c>
      <c r="E2" s="12" t="s">
        <v>65</v>
      </c>
    </row>
    <row r="3" spans="1:7" x14ac:dyDescent="0.25">
      <c r="A3" s="10" t="s">
        <v>161</v>
      </c>
      <c r="B3" s="10" t="s">
        <v>163</v>
      </c>
      <c r="C3" s="10" t="s">
        <v>164</v>
      </c>
      <c r="D3" s="9" t="s">
        <v>165</v>
      </c>
      <c r="E3" s="9">
        <v>4</v>
      </c>
      <c r="F3" t="s">
        <v>3028</v>
      </c>
    </row>
    <row r="4" spans="1:7" x14ac:dyDescent="0.25">
      <c r="A4" s="10" t="s">
        <v>166</v>
      </c>
      <c r="B4" s="10" t="s">
        <v>3028</v>
      </c>
      <c r="C4" s="10" t="s">
        <v>168</v>
      </c>
      <c r="D4" s="9" t="s">
        <v>169</v>
      </c>
      <c r="E4" s="9">
        <v>4</v>
      </c>
      <c r="F4" t="s">
        <v>3028</v>
      </c>
    </row>
    <row r="5" spans="1:7" x14ac:dyDescent="0.25">
      <c r="A5" s="10" t="s">
        <v>218</v>
      </c>
      <c r="B5" s="10" t="s">
        <v>3028</v>
      </c>
      <c r="C5" s="10" t="s">
        <v>220</v>
      </c>
      <c r="D5" s="9" t="s">
        <v>221</v>
      </c>
      <c r="E5" s="9">
        <v>4</v>
      </c>
      <c r="F5" t="s">
        <v>3028</v>
      </c>
    </row>
    <row r="6" spans="1:7" x14ac:dyDescent="0.25">
      <c r="A6" s="10" t="s">
        <v>334</v>
      </c>
      <c r="B6" s="10" t="s">
        <v>3028</v>
      </c>
      <c r="C6" s="10" t="s">
        <v>336</v>
      </c>
      <c r="D6" s="9" t="s">
        <v>337</v>
      </c>
      <c r="E6" s="9">
        <v>4</v>
      </c>
      <c r="F6" t="s">
        <v>3028</v>
      </c>
    </row>
    <row r="7" spans="1:7" x14ac:dyDescent="0.25">
      <c r="A7" s="10" t="s">
        <v>444</v>
      </c>
      <c r="B7" s="10" t="s">
        <v>3028</v>
      </c>
      <c r="C7" s="10" t="s">
        <v>446</v>
      </c>
      <c r="D7" s="9" t="s">
        <v>447</v>
      </c>
      <c r="E7" s="9">
        <v>4</v>
      </c>
      <c r="F7" t="s">
        <v>3028</v>
      </c>
    </row>
    <row r="8" spans="1:7" x14ac:dyDescent="0.25">
      <c r="A8" s="10" t="s">
        <v>444</v>
      </c>
      <c r="B8" s="10" t="s">
        <v>3028</v>
      </c>
      <c r="C8" s="10" t="s">
        <v>448</v>
      </c>
      <c r="D8" s="9" t="s">
        <v>449</v>
      </c>
      <c r="E8" s="9">
        <v>4</v>
      </c>
      <c r="F8" t="s">
        <v>3028</v>
      </c>
    </row>
    <row r="9" spans="1:7" x14ac:dyDescent="0.25">
      <c r="A9" s="10" t="s">
        <v>496</v>
      </c>
      <c r="B9" s="10" t="s">
        <v>3028</v>
      </c>
      <c r="C9" s="10" t="s">
        <v>498</v>
      </c>
      <c r="D9" s="9" t="s">
        <v>499</v>
      </c>
      <c r="E9" s="9">
        <v>4</v>
      </c>
      <c r="F9" t="s">
        <v>3028</v>
      </c>
    </row>
    <row r="10" spans="1:7" x14ac:dyDescent="0.25">
      <c r="A10" s="10" t="s">
        <v>688</v>
      </c>
      <c r="B10" s="10" t="s">
        <v>690</v>
      </c>
      <c r="C10" s="10" t="s">
        <v>691</v>
      </c>
      <c r="D10" s="9" t="s">
        <v>692</v>
      </c>
      <c r="E10" s="9">
        <v>4</v>
      </c>
      <c r="F10" t="s">
        <v>3028</v>
      </c>
    </row>
    <row r="11" spans="1:7" x14ac:dyDescent="0.25">
      <c r="A11" s="10" t="s">
        <v>715</v>
      </c>
      <c r="B11" s="10" t="s">
        <v>717</v>
      </c>
      <c r="C11" s="10" t="s">
        <v>718</v>
      </c>
      <c r="D11" s="9" t="s">
        <v>719</v>
      </c>
      <c r="E11" s="9">
        <v>4</v>
      </c>
      <c r="F11" t="s">
        <v>3028</v>
      </c>
    </row>
    <row r="12" spans="1:7" x14ac:dyDescent="0.25">
      <c r="A12" s="10" t="s">
        <v>784</v>
      </c>
      <c r="B12" s="10" t="s">
        <v>3028</v>
      </c>
      <c r="C12" s="10" t="s">
        <v>786</v>
      </c>
      <c r="D12" s="9" t="s">
        <v>787</v>
      </c>
      <c r="E12" s="9">
        <v>4</v>
      </c>
      <c r="F12" t="s">
        <v>3028</v>
      </c>
    </row>
    <row r="13" spans="1:7" x14ac:dyDescent="0.25">
      <c r="A13" s="10" t="s">
        <v>800</v>
      </c>
      <c r="B13" s="10" t="s">
        <v>802</v>
      </c>
      <c r="C13" s="10" t="s">
        <v>803</v>
      </c>
      <c r="D13" s="9" t="s">
        <v>804</v>
      </c>
      <c r="E13" s="9">
        <v>4</v>
      </c>
      <c r="F13" t="s">
        <v>3028</v>
      </c>
    </row>
    <row r="14" spans="1:7" x14ac:dyDescent="0.25">
      <c r="A14" s="10" t="s">
        <v>825</v>
      </c>
      <c r="B14" s="10" t="s">
        <v>827</v>
      </c>
      <c r="C14" s="10" t="s">
        <v>828</v>
      </c>
      <c r="D14" s="9" t="s">
        <v>829</v>
      </c>
      <c r="E14" s="9">
        <v>4</v>
      </c>
      <c r="F14" t="s">
        <v>3028</v>
      </c>
    </row>
    <row r="15" spans="1:7" x14ac:dyDescent="0.25">
      <c r="A15" s="10" t="s">
        <v>834</v>
      </c>
      <c r="B15" s="10" t="s">
        <v>3028</v>
      </c>
      <c r="C15" s="10" t="s">
        <v>836</v>
      </c>
      <c r="D15" s="9" t="s">
        <v>837</v>
      </c>
      <c r="E15" s="9">
        <v>4</v>
      </c>
      <c r="F15" t="s">
        <v>3028</v>
      </c>
    </row>
    <row r="16" spans="1:7" x14ac:dyDescent="0.25">
      <c r="A16" s="10" t="s">
        <v>948</v>
      </c>
      <c r="B16" s="10" t="s">
        <v>3028</v>
      </c>
      <c r="C16" s="10" t="s">
        <v>950</v>
      </c>
      <c r="D16" s="9" t="s">
        <v>951</v>
      </c>
      <c r="E16" s="9">
        <v>4</v>
      </c>
      <c r="F16" t="s">
        <v>3028</v>
      </c>
    </row>
    <row r="17" spans="1:6" x14ac:dyDescent="0.25">
      <c r="A17" s="10" t="s">
        <v>948</v>
      </c>
      <c r="B17" s="10" t="s">
        <v>3028</v>
      </c>
      <c r="C17" s="10" t="s">
        <v>952</v>
      </c>
      <c r="D17" s="9" t="s">
        <v>953</v>
      </c>
      <c r="E17" s="9">
        <v>4</v>
      </c>
      <c r="F17" t="s">
        <v>3028</v>
      </c>
    </row>
    <row r="18" spans="1:6" x14ac:dyDescent="0.25">
      <c r="A18" s="10" t="s">
        <v>1034</v>
      </c>
      <c r="B18" s="10" t="s">
        <v>3028</v>
      </c>
      <c r="C18" s="10" t="s">
        <v>1036</v>
      </c>
      <c r="D18" s="9" t="s">
        <v>1037</v>
      </c>
      <c r="E18" s="9">
        <v>4</v>
      </c>
      <c r="F18" t="s">
        <v>3028</v>
      </c>
    </row>
    <row r="19" spans="1:6" x14ac:dyDescent="0.25">
      <c r="A19" s="10" t="s">
        <v>1042</v>
      </c>
      <c r="B19" s="10" t="s">
        <v>1044</v>
      </c>
      <c r="C19" s="10" t="s">
        <v>1045</v>
      </c>
      <c r="D19" s="9" t="s">
        <v>1046</v>
      </c>
      <c r="E19" s="9">
        <v>4</v>
      </c>
      <c r="F19" t="s">
        <v>3028</v>
      </c>
    </row>
    <row r="20" spans="1:6" x14ac:dyDescent="0.25">
      <c r="A20" s="10" t="s">
        <v>1053</v>
      </c>
      <c r="B20" s="10" t="s">
        <v>3028</v>
      </c>
      <c r="C20" s="10" t="s">
        <v>1055</v>
      </c>
      <c r="D20" s="9" t="s">
        <v>1056</v>
      </c>
      <c r="E20" s="9">
        <v>4</v>
      </c>
      <c r="F20" t="s">
        <v>3028</v>
      </c>
    </row>
    <row r="21" spans="1:6" x14ac:dyDescent="0.25">
      <c r="A21" s="10" t="s">
        <v>1155</v>
      </c>
      <c r="B21" s="10" t="s">
        <v>3028</v>
      </c>
      <c r="C21" s="10" t="s">
        <v>1157</v>
      </c>
      <c r="D21" s="9" t="s">
        <v>1158</v>
      </c>
      <c r="E21" s="9">
        <v>4</v>
      </c>
      <c r="F21" t="s">
        <v>3028</v>
      </c>
    </row>
    <row r="22" spans="1:6" x14ac:dyDescent="0.25">
      <c r="A22" s="10" t="s">
        <v>1187</v>
      </c>
      <c r="B22" s="10" t="s">
        <v>3028</v>
      </c>
      <c r="C22" s="10" t="s">
        <v>1189</v>
      </c>
      <c r="D22" s="9" t="s">
        <v>1190</v>
      </c>
      <c r="E22" s="9">
        <v>4</v>
      </c>
      <c r="F22" t="s">
        <v>3028</v>
      </c>
    </row>
    <row r="23" spans="1:6" x14ac:dyDescent="0.25">
      <c r="A23" s="10" t="s">
        <v>1308</v>
      </c>
      <c r="B23" s="10" t="s">
        <v>3028</v>
      </c>
      <c r="C23" s="10" t="s">
        <v>1310</v>
      </c>
      <c r="D23" s="9" t="s">
        <v>1311</v>
      </c>
      <c r="E23" s="9">
        <v>4</v>
      </c>
      <c r="F23" t="s">
        <v>3028</v>
      </c>
    </row>
    <row r="24" spans="1:6" x14ac:dyDescent="0.25">
      <c r="A24" s="10" t="s">
        <v>1348</v>
      </c>
      <c r="B24" s="10" t="s">
        <v>1350</v>
      </c>
      <c r="C24" s="10" t="s">
        <v>1351</v>
      </c>
      <c r="D24" s="9" t="s">
        <v>1352</v>
      </c>
      <c r="E24" s="9">
        <v>10</v>
      </c>
      <c r="F24" t="s">
        <v>3028</v>
      </c>
    </row>
    <row r="25" spans="1:6" x14ac:dyDescent="0.25">
      <c r="A25" s="10" t="s">
        <v>1437</v>
      </c>
      <c r="B25" s="10" t="s">
        <v>1439</v>
      </c>
      <c r="C25" s="10" t="s">
        <v>1440</v>
      </c>
      <c r="D25" s="9" t="s">
        <v>1441</v>
      </c>
      <c r="E25" s="9">
        <v>3</v>
      </c>
      <c r="F25" t="s">
        <v>3028</v>
      </c>
    </row>
    <row r="26" spans="1:6" x14ac:dyDescent="0.25">
      <c r="A26" s="10" t="s">
        <v>1600</v>
      </c>
      <c r="B26" s="10" t="s">
        <v>1602</v>
      </c>
      <c r="C26" s="10" t="s">
        <v>1603</v>
      </c>
      <c r="D26" s="9" t="s">
        <v>1604</v>
      </c>
      <c r="E26" s="9">
        <v>4</v>
      </c>
      <c r="F26" t="s">
        <v>3028</v>
      </c>
    </row>
    <row r="27" spans="1:6" x14ac:dyDescent="0.25">
      <c r="A27" s="10" t="s">
        <v>334</v>
      </c>
      <c r="B27" s="10" t="s">
        <v>3028</v>
      </c>
      <c r="C27" s="10" t="s">
        <v>336</v>
      </c>
      <c r="D27" s="9" t="s">
        <v>337</v>
      </c>
      <c r="E27" s="9">
        <v>4</v>
      </c>
      <c r="F27" t="s">
        <v>3028</v>
      </c>
    </row>
    <row r="28" spans="1:6" x14ac:dyDescent="0.25">
      <c r="A28" s="10" t="s">
        <v>496</v>
      </c>
      <c r="B28" s="10" t="s">
        <v>3028</v>
      </c>
      <c r="C28" s="10" t="s">
        <v>498</v>
      </c>
      <c r="D28" s="9" t="s">
        <v>499</v>
      </c>
      <c r="E28" s="9">
        <v>4</v>
      </c>
      <c r="F28" t="s">
        <v>3028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8"/>
  <dimension ref="A1:O304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5" ht="47.85" customHeight="1" x14ac:dyDescent="0.25">
      <c r="A1" s="27" t="s">
        <v>33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102378,6</v>
      </c>
      <c r="C2" s="14" t="str">
        <f>CONCATENATE("FEVEREIRO",CHAR(10),"TOTAL: ",ROUND(SUM(C3:C1048576),2))</f>
        <v>FEVEREIRO
TOTAL: 99913,93</v>
      </c>
      <c r="D2" s="14" t="str">
        <f>CONCATENATE("MARÇO",CHAR(10),"TOTAL: ",ROUND(SUM(D3:D1048576),2))</f>
        <v>MARÇO
TOTAL: 102757,78</v>
      </c>
      <c r="E2" s="14" t="str">
        <f>CONCATENATE("ABRIL",CHAR(10),"TOTAL: ",ROUND(SUM(E3:E1048576),2))</f>
        <v>ABRIL
TOTAL: 110720,56</v>
      </c>
      <c r="F2" s="14" t="str">
        <f>CONCATENATE("MAIO",CHAR(10),"TOTAL: ",ROUND(SUM(F3:F1048576),2))</f>
        <v>MAIO
TOTAL: 119252,11</v>
      </c>
      <c r="G2" s="14" t="str">
        <f>CONCATENATE("JUNHO",CHAR(10),"TOTAL: ",ROUND(SUM(G3:G1048576),2))</f>
        <v>JUNHO
TOTAL: 112806,05</v>
      </c>
      <c r="H2" s="14" t="str">
        <f>CONCATENATE("JULHO",CHAR(10),"TOTAL: ",ROUND(SUM(H3:H1048576),2))</f>
        <v>JULHO
TOTAL: 101241,06</v>
      </c>
      <c r="I2" s="14" t="str">
        <f>CONCATENATE("AGOSTO",CHAR(10),"TOTAL: ",ROUND(SUM(I3:I1048576),2))</f>
        <v>AGOSTO
TOTAL: 130248,33</v>
      </c>
      <c r="J2" s="14" t="str">
        <f>CONCATENATE("SETEMBRO",CHAR(10),"TOTAL: ",ROUND(SUM(J3:J1048576),2))</f>
        <v>SETEMBRO
TOTAL: 105222,45</v>
      </c>
      <c r="K2" s="14" t="str">
        <f>CONCATENATE("OUTUBRO",CHAR(10),"TOTAL: ",ROUND(SUM(K3:K1048576),2))</f>
        <v>OUTUBRO
TOTAL: 95174,18</v>
      </c>
      <c r="L2" s="14" t="str">
        <f>CONCATENATE("NOVEMBRO",CHAR(10),"TOTAL: ",ROUND(SUM(L3:L1048576),2))</f>
        <v>NOVEMBRO
TOTAL: 95932,54</v>
      </c>
      <c r="M2" s="14" t="str">
        <f>CONCATENATE("DEZEMBRO",CHAR(10),"TOTAL: ",ROUND(SUM(M3:M1048576),2))</f>
        <v>DEZEMBRO
TOTAL: 95553,36</v>
      </c>
      <c r="N2" s="14" t="str">
        <f>CONCATENATE("DEC. TERCEIRO",CHAR(10),"TOTAL: ",ROUND(SUM(N3:N1048576),2))</f>
        <v>DEC. TERCEIRO
TOTAL: 104843,27</v>
      </c>
    </row>
    <row r="3" spans="1:15" x14ac:dyDescent="0.25">
      <c r="A3" s="10" t="s">
        <v>93</v>
      </c>
      <c r="B3" s="15">
        <v>0</v>
      </c>
      <c r="C3" s="15">
        <v>0</v>
      </c>
      <c r="D3" s="15">
        <v>189.59</v>
      </c>
      <c r="E3" s="15">
        <v>189.59</v>
      </c>
      <c r="F3" s="15">
        <v>189.59</v>
      </c>
      <c r="G3" s="15">
        <v>379.18</v>
      </c>
      <c r="H3" s="15">
        <v>189.59</v>
      </c>
      <c r="I3" s="15">
        <v>379.18</v>
      </c>
      <c r="J3" s="15">
        <v>189.59</v>
      </c>
      <c r="K3" s="15">
        <v>189.59</v>
      </c>
      <c r="L3" s="15">
        <v>189.59</v>
      </c>
      <c r="M3" s="15">
        <v>189.59</v>
      </c>
      <c r="N3" s="15">
        <v>189.59</v>
      </c>
      <c r="O3" t="s">
        <v>3028</v>
      </c>
    </row>
    <row r="4" spans="1:15" x14ac:dyDescent="0.25">
      <c r="A4" s="10" t="s">
        <v>95</v>
      </c>
      <c r="B4" s="15">
        <v>189.59</v>
      </c>
      <c r="C4" s="15">
        <v>189.59</v>
      </c>
      <c r="D4" s="15">
        <v>379.18</v>
      </c>
      <c r="E4" s="15">
        <v>189.59</v>
      </c>
      <c r="F4" s="15">
        <v>189.59</v>
      </c>
      <c r="G4" s="15">
        <v>189.59</v>
      </c>
      <c r="H4" s="15">
        <v>189.59</v>
      </c>
      <c r="I4" s="15">
        <v>189.59</v>
      </c>
      <c r="J4" s="15">
        <v>189.59</v>
      </c>
      <c r="K4" s="15">
        <v>189.59</v>
      </c>
      <c r="L4" s="15">
        <v>189.59</v>
      </c>
      <c r="M4" s="15">
        <v>189.59</v>
      </c>
      <c r="N4" s="15">
        <v>189.59</v>
      </c>
      <c r="O4" t="s">
        <v>3028</v>
      </c>
    </row>
    <row r="5" spans="1:15" x14ac:dyDescent="0.25">
      <c r="A5" s="10" t="s">
        <v>105</v>
      </c>
      <c r="B5" s="15">
        <v>189.59</v>
      </c>
      <c r="C5" s="15">
        <v>189.59</v>
      </c>
      <c r="D5" s="15">
        <v>189.59</v>
      </c>
      <c r="E5" s="15">
        <v>379.18</v>
      </c>
      <c r="F5" s="15">
        <v>379.18</v>
      </c>
      <c r="G5" s="15">
        <v>189.59</v>
      </c>
      <c r="H5" s="15">
        <v>189.59</v>
      </c>
      <c r="I5" s="15">
        <v>189.59</v>
      </c>
      <c r="J5" s="15">
        <v>189.59</v>
      </c>
      <c r="K5" s="15">
        <v>189.59</v>
      </c>
      <c r="L5" s="15">
        <v>189.59</v>
      </c>
      <c r="M5" s="15">
        <v>189.59</v>
      </c>
      <c r="N5" s="15">
        <v>189.59</v>
      </c>
      <c r="O5" t="s">
        <v>3028</v>
      </c>
    </row>
    <row r="6" spans="1:15" x14ac:dyDescent="0.25">
      <c r="A6" s="10" t="s">
        <v>107</v>
      </c>
      <c r="B6" s="15">
        <v>0</v>
      </c>
      <c r="C6" s="15">
        <v>0</v>
      </c>
      <c r="D6" s="15">
        <v>0</v>
      </c>
      <c r="E6" s="15">
        <v>0</v>
      </c>
      <c r="F6" s="15">
        <v>0</v>
      </c>
      <c r="G6" s="15">
        <v>0</v>
      </c>
      <c r="H6" s="15">
        <v>0</v>
      </c>
      <c r="I6" s="15">
        <v>0</v>
      </c>
      <c r="J6" s="15">
        <v>758.36</v>
      </c>
      <c r="K6" s="15">
        <v>758.36</v>
      </c>
      <c r="L6" s="15">
        <v>758.36</v>
      </c>
      <c r="M6" s="15">
        <v>758.36</v>
      </c>
      <c r="N6" s="15">
        <v>758.36</v>
      </c>
      <c r="O6" t="s">
        <v>3028</v>
      </c>
    </row>
    <row r="7" spans="1:15" x14ac:dyDescent="0.25">
      <c r="A7" s="10" t="s">
        <v>109</v>
      </c>
      <c r="B7" s="15">
        <v>189.59</v>
      </c>
      <c r="C7" s="15">
        <v>189.59</v>
      </c>
      <c r="D7" s="15">
        <v>189.59</v>
      </c>
      <c r="E7" s="15">
        <v>189.59</v>
      </c>
      <c r="F7" s="15">
        <v>379.18</v>
      </c>
      <c r="G7" s="15">
        <v>189.59</v>
      </c>
      <c r="H7" s="15">
        <v>189.59</v>
      </c>
      <c r="I7" s="15">
        <v>379.18</v>
      </c>
      <c r="J7" s="15">
        <v>189.59</v>
      </c>
      <c r="K7" s="15">
        <v>189.59</v>
      </c>
      <c r="L7" s="15">
        <v>189.59</v>
      </c>
      <c r="M7" s="15">
        <v>189.59</v>
      </c>
      <c r="N7" s="15">
        <v>189.59</v>
      </c>
      <c r="O7" t="s">
        <v>3028</v>
      </c>
    </row>
    <row r="8" spans="1:15" x14ac:dyDescent="0.25">
      <c r="A8" s="10" t="s">
        <v>113</v>
      </c>
      <c r="B8" s="15">
        <v>379.18</v>
      </c>
      <c r="C8" s="15">
        <v>379.18</v>
      </c>
      <c r="D8" s="15">
        <v>379.18</v>
      </c>
      <c r="E8" s="15">
        <v>379.18</v>
      </c>
      <c r="F8" s="15">
        <v>758.36</v>
      </c>
      <c r="G8" s="15">
        <v>379.18</v>
      </c>
      <c r="H8" s="15">
        <v>379.18</v>
      </c>
      <c r="I8" s="15">
        <v>758.36</v>
      </c>
      <c r="J8" s="15">
        <v>379.18</v>
      </c>
      <c r="K8" s="15">
        <v>379.18</v>
      </c>
      <c r="L8" s="15">
        <v>379.18</v>
      </c>
      <c r="M8" s="15">
        <v>379.18</v>
      </c>
      <c r="N8" s="15">
        <v>379.18</v>
      </c>
      <c r="O8" t="s">
        <v>3028</v>
      </c>
    </row>
    <row r="9" spans="1:15" x14ac:dyDescent="0.25">
      <c r="A9" s="10" t="s">
        <v>121</v>
      </c>
      <c r="B9" s="15">
        <v>189.59</v>
      </c>
      <c r="C9" s="15">
        <v>189.59</v>
      </c>
      <c r="D9" s="15">
        <v>189.59</v>
      </c>
      <c r="E9" s="15">
        <v>189.59</v>
      </c>
      <c r="F9" s="15">
        <v>189.59</v>
      </c>
      <c r="G9" s="15">
        <v>379.18</v>
      </c>
      <c r="H9" s="15">
        <v>189.59</v>
      </c>
      <c r="I9" s="15">
        <v>379.18</v>
      </c>
      <c r="J9" s="15">
        <v>189.59</v>
      </c>
      <c r="K9" s="15">
        <v>189.59</v>
      </c>
      <c r="L9" s="15">
        <v>189.59</v>
      </c>
      <c r="M9" s="15">
        <v>189.59</v>
      </c>
      <c r="N9" s="15">
        <v>189.59</v>
      </c>
      <c r="O9" t="s">
        <v>3028</v>
      </c>
    </row>
    <row r="10" spans="1:15" x14ac:dyDescent="0.25">
      <c r="A10" s="10" t="s">
        <v>137</v>
      </c>
      <c r="B10" s="15">
        <v>379.18</v>
      </c>
      <c r="C10" s="15">
        <v>379.18</v>
      </c>
      <c r="D10" s="15">
        <v>379.18</v>
      </c>
      <c r="E10" s="15">
        <v>379.18</v>
      </c>
      <c r="F10" s="15">
        <v>379.18</v>
      </c>
      <c r="G10" s="15">
        <v>379.18</v>
      </c>
      <c r="H10" s="15">
        <v>379.18</v>
      </c>
      <c r="I10" s="15">
        <v>379.18</v>
      </c>
      <c r="J10" s="15">
        <v>379.18</v>
      </c>
      <c r="K10" s="15">
        <v>379.18</v>
      </c>
      <c r="L10" s="15">
        <v>379.18</v>
      </c>
      <c r="M10" s="15">
        <v>758.36</v>
      </c>
      <c r="N10" s="15">
        <v>379.18</v>
      </c>
      <c r="O10" t="s">
        <v>3028</v>
      </c>
    </row>
    <row r="11" spans="1:15" x14ac:dyDescent="0.25">
      <c r="A11" s="10" t="s">
        <v>145</v>
      </c>
      <c r="B11" s="15">
        <v>379.18</v>
      </c>
      <c r="C11" s="15">
        <v>189.59</v>
      </c>
      <c r="D11" s="15">
        <v>189.59</v>
      </c>
      <c r="E11" s="15">
        <v>189.59</v>
      </c>
      <c r="F11" s="15">
        <v>189.59</v>
      </c>
      <c r="G11" s="15">
        <v>189.59</v>
      </c>
      <c r="H11" s="15">
        <v>189.59</v>
      </c>
      <c r="I11" s="15">
        <v>189.59</v>
      </c>
      <c r="J11" s="15">
        <v>189.59</v>
      </c>
      <c r="K11" s="15">
        <v>189.59</v>
      </c>
      <c r="L11" s="15">
        <v>189.59</v>
      </c>
      <c r="M11" s="15">
        <v>379.18</v>
      </c>
      <c r="N11" s="15">
        <v>189.59</v>
      </c>
      <c r="O11" t="s">
        <v>3028</v>
      </c>
    </row>
    <row r="12" spans="1:15" x14ac:dyDescent="0.25">
      <c r="A12" s="10" t="s">
        <v>147</v>
      </c>
      <c r="B12" s="15">
        <v>189.59</v>
      </c>
      <c r="C12" s="15">
        <v>189.59</v>
      </c>
      <c r="D12" s="15">
        <v>189.59</v>
      </c>
      <c r="E12" s="15">
        <v>379.18</v>
      </c>
      <c r="F12" s="15">
        <v>379.18</v>
      </c>
      <c r="G12" s="15">
        <v>189.59</v>
      </c>
      <c r="H12" s="15">
        <v>189.59</v>
      </c>
      <c r="I12" s="15">
        <v>189.59</v>
      </c>
      <c r="J12" s="15">
        <v>189.59</v>
      </c>
      <c r="K12" s="15">
        <v>189.59</v>
      </c>
      <c r="L12" s="15">
        <v>189.59</v>
      </c>
      <c r="M12" s="15">
        <v>189.59</v>
      </c>
      <c r="N12" s="15">
        <v>189.59</v>
      </c>
      <c r="O12" t="s">
        <v>3028</v>
      </c>
    </row>
    <row r="13" spans="1:15" x14ac:dyDescent="0.25">
      <c r="A13" s="10" t="s">
        <v>149</v>
      </c>
      <c r="B13" s="15">
        <v>189.59</v>
      </c>
      <c r="C13" s="15">
        <v>189.59</v>
      </c>
      <c r="D13" s="15">
        <v>189.59</v>
      </c>
      <c r="E13" s="15">
        <v>379.18</v>
      </c>
      <c r="F13" s="15">
        <v>379.18</v>
      </c>
      <c r="G13" s="15">
        <v>189.59</v>
      </c>
      <c r="H13" s="15">
        <v>189.59</v>
      </c>
      <c r="I13" s="15">
        <v>189.59</v>
      </c>
      <c r="J13" s="15">
        <v>189.59</v>
      </c>
      <c r="K13" s="15">
        <v>189.59</v>
      </c>
      <c r="L13" s="15">
        <v>189.59</v>
      </c>
      <c r="M13" s="15">
        <v>189.59</v>
      </c>
      <c r="N13" s="15">
        <v>189.59</v>
      </c>
      <c r="O13" t="s">
        <v>3028</v>
      </c>
    </row>
    <row r="14" spans="1:15" x14ac:dyDescent="0.25">
      <c r="A14" s="10" t="s">
        <v>151</v>
      </c>
      <c r="B14" s="15">
        <v>189.59</v>
      </c>
      <c r="C14" s="15">
        <v>189.59</v>
      </c>
      <c r="D14" s="15">
        <v>189.59</v>
      </c>
      <c r="E14" s="15">
        <v>379.18</v>
      </c>
      <c r="F14" s="15">
        <v>379.18</v>
      </c>
      <c r="G14" s="15">
        <v>189.59</v>
      </c>
      <c r="H14" s="15">
        <v>189.59</v>
      </c>
      <c r="I14" s="15">
        <v>189.59</v>
      </c>
      <c r="J14" s="15">
        <v>189.59</v>
      </c>
      <c r="K14" s="15">
        <v>189.59</v>
      </c>
      <c r="L14" s="15">
        <v>189.59</v>
      </c>
      <c r="M14" s="15">
        <v>189.59</v>
      </c>
      <c r="N14" s="15">
        <v>189.59</v>
      </c>
      <c r="O14" t="s">
        <v>3028</v>
      </c>
    </row>
    <row r="15" spans="1:15" x14ac:dyDescent="0.25">
      <c r="A15" s="10" t="s">
        <v>161</v>
      </c>
      <c r="B15" s="15">
        <v>189.59</v>
      </c>
      <c r="C15" s="15">
        <v>189.59</v>
      </c>
      <c r="D15" s="15">
        <v>189.59</v>
      </c>
      <c r="E15" s="15">
        <v>189.59</v>
      </c>
      <c r="F15" s="15">
        <v>189.59</v>
      </c>
      <c r="G15" s="15">
        <v>189.59</v>
      </c>
      <c r="H15" s="15">
        <v>189.59</v>
      </c>
      <c r="I15" s="15">
        <v>379.18</v>
      </c>
      <c r="J15" s="15">
        <v>189.59</v>
      </c>
      <c r="K15" s="15">
        <v>189.59</v>
      </c>
      <c r="L15" s="15">
        <v>189.59</v>
      </c>
      <c r="M15" s="15">
        <v>189.59</v>
      </c>
      <c r="N15" s="15">
        <v>189.59</v>
      </c>
      <c r="O15" t="s">
        <v>3028</v>
      </c>
    </row>
    <row r="16" spans="1:15" x14ac:dyDescent="0.25">
      <c r="A16" s="10" t="s">
        <v>166</v>
      </c>
      <c r="B16" s="15">
        <v>568.77</v>
      </c>
      <c r="C16" s="15">
        <v>568.77</v>
      </c>
      <c r="D16" s="15">
        <v>568.77</v>
      </c>
      <c r="E16" s="15">
        <v>568.77</v>
      </c>
      <c r="F16" s="15">
        <v>568.77</v>
      </c>
      <c r="G16" s="15">
        <v>1137.54</v>
      </c>
      <c r="H16" s="15">
        <v>568.77</v>
      </c>
      <c r="I16" s="15">
        <v>1137.54</v>
      </c>
      <c r="J16" s="15">
        <v>568.77</v>
      </c>
      <c r="K16" s="15">
        <v>568.77</v>
      </c>
      <c r="L16" s="15">
        <v>568.77</v>
      </c>
      <c r="M16" s="15">
        <v>568.77</v>
      </c>
      <c r="N16" s="15">
        <v>568.77</v>
      </c>
      <c r="O16" t="s">
        <v>3028</v>
      </c>
    </row>
    <row r="17" spans="1:15" x14ac:dyDescent="0.25">
      <c r="A17" s="10" t="s">
        <v>172</v>
      </c>
      <c r="B17" s="15">
        <v>0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568.77</v>
      </c>
      <c r="J17" s="15">
        <v>568.77</v>
      </c>
      <c r="K17" s="15">
        <v>568.77</v>
      </c>
      <c r="L17" s="15">
        <v>568.77</v>
      </c>
      <c r="M17" s="15">
        <v>568.77</v>
      </c>
      <c r="N17" s="15">
        <v>568.77</v>
      </c>
      <c r="O17" t="s">
        <v>3028</v>
      </c>
    </row>
    <row r="18" spans="1:15" x14ac:dyDescent="0.25">
      <c r="A18" s="10" t="s">
        <v>176</v>
      </c>
      <c r="B18" s="15">
        <v>568.77</v>
      </c>
      <c r="C18" s="15">
        <v>568.77</v>
      </c>
      <c r="D18" s="15">
        <v>568.77</v>
      </c>
      <c r="E18" s="15">
        <v>1137.54</v>
      </c>
      <c r="F18" s="15">
        <v>1137.54</v>
      </c>
      <c r="G18" s="15">
        <v>568.77</v>
      </c>
      <c r="H18" s="15">
        <v>568.77</v>
      </c>
      <c r="I18" s="15">
        <v>568.77</v>
      </c>
      <c r="J18" s="15">
        <v>568.77</v>
      </c>
      <c r="K18" s="15">
        <v>568.77</v>
      </c>
      <c r="L18" s="15">
        <v>568.77</v>
      </c>
      <c r="M18" s="15">
        <v>568.77</v>
      </c>
      <c r="N18" s="15">
        <v>568.77</v>
      </c>
      <c r="O18" t="s">
        <v>3028</v>
      </c>
    </row>
    <row r="19" spans="1:15" x14ac:dyDescent="0.25">
      <c r="A19" s="10" t="s">
        <v>178</v>
      </c>
      <c r="B19" s="15">
        <v>379.18</v>
      </c>
      <c r="C19" s="15">
        <v>379.18</v>
      </c>
      <c r="D19" s="15">
        <v>758.36</v>
      </c>
      <c r="E19" s="15">
        <v>758.36</v>
      </c>
      <c r="F19" s="15">
        <v>758.36</v>
      </c>
      <c r="G19" s="15">
        <v>379.18</v>
      </c>
      <c r="H19" s="15">
        <v>379.18</v>
      </c>
      <c r="I19" s="15">
        <v>379.18</v>
      </c>
      <c r="J19" s="15">
        <v>379.18</v>
      </c>
      <c r="K19" s="15">
        <v>379.18</v>
      </c>
      <c r="L19" s="15">
        <v>379.18</v>
      </c>
      <c r="M19" s="15">
        <v>379.18</v>
      </c>
      <c r="N19" s="15">
        <v>379.18</v>
      </c>
      <c r="O19" t="s">
        <v>3028</v>
      </c>
    </row>
    <row r="20" spans="1:15" x14ac:dyDescent="0.25">
      <c r="A20" s="10" t="s">
        <v>182</v>
      </c>
      <c r="B20" s="15">
        <v>758.36</v>
      </c>
      <c r="C20" s="15">
        <v>758.36</v>
      </c>
      <c r="D20" s="15">
        <v>758.36</v>
      </c>
      <c r="E20" s="15">
        <v>758.36</v>
      </c>
      <c r="F20" s="15">
        <v>568.77</v>
      </c>
      <c r="G20" s="15">
        <v>568.77</v>
      </c>
      <c r="H20" s="15">
        <v>568.77</v>
      </c>
      <c r="I20" s="15">
        <v>1137.54</v>
      </c>
      <c r="J20" s="15">
        <v>568.77</v>
      </c>
      <c r="K20" s="15">
        <v>568.77</v>
      </c>
      <c r="L20" s="15">
        <v>568.77</v>
      </c>
      <c r="M20" s="15">
        <v>568.77</v>
      </c>
      <c r="N20" s="15">
        <v>568.77</v>
      </c>
      <c r="O20" t="s">
        <v>3028</v>
      </c>
    </row>
    <row r="21" spans="1:15" x14ac:dyDescent="0.25">
      <c r="A21" s="10" t="s">
        <v>184</v>
      </c>
      <c r="B21" s="15">
        <v>189.59</v>
      </c>
      <c r="C21" s="15">
        <v>189.59</v>
      </c>
      <c r="D21" s="15">
        <v>189.59</v>
      </c>
      <c r="E21" s="15">
        <v>189.59</v>
      </c>
      <c r="F21" s="15">
        <v>189.59</v>
      </c>
      <c r="G21" s="15">
        <v>379.18</v>
      </c>
      <c r="H21" s="15">
        <v>189.59</v>
      </c>
      <c r="I21" s="15">
        <v>379.18</v>
      </c>
      <c r="J21" s="15">
        <v>189.59</v>
      </c>
      <c r="K21" s="15">
        <v>189.59</v>
      </c>
      <c r="L21" s="15">
        <v>189.59</v>
      </c>
      <c r="M21" s="15">
        <v>189.59</v>
      </c>
      <c r="N21" s="15">
        <v>189.59</v>
      </c>
      <c r="O21" t="s">
        <v>3028</v>
      </c>
    </row>
    <row r="22" spans="1:15" x14ac:dyDescent="0.25">
      <c r="A22" s="10" t="s">
        <v>186</v>
      </c>
      <c r="B22" s="15">
        <v>568.77</v>
      </c>
      <c r="C22" s="15">
        <v>568.77</v>
      </c>
      <c r="D22" s="15">
        <v>1137.54</v>
      </c>
      <c r="E22" s="15">
        <v>568.77</v>
      </c>
      <c r="F22" s="15">
        <v>568.77</v>
      </c>
      <c r="G22" s="15">
        <v>568.77</v>
      </c>
      <c r="H22" s="15">
        <v>568.77</v>
      </c>
      <c r="I22" s="15">
        <v>568.77</v>
      </c>
      <c r="J22" s="15">
        <v>568.77</v>
      </c>
      <c r="K22" s="15">
        <v>568.77</v>
      </c>
      <c r="L22" s="15">
        <v>568.77</v>
      </c>
      <c r="M22" s="15">
        <v>568.77</v>
      </c>
      <c r="N22" s="15">
        <v>568.77</v>
      </c>
      <c r="O22" t="s">
        <v>3028</v>
      </c>
    </row>
    <row r="23" spans="1:15" x14ac:dyDescent="0.25">
      <c r="A23" s="10" t="s">
        <v>190</v>
      </c>
      <c r="B23" s="15">
        <v>568.77</v>
      </c>
      <c r="C23" s="15">
        <v>568.77</v>
      </c>
      <c r="D23" s="15">
        <v>568.77</v>
      </c>
      <c r="E23" s="15">
        <v>568.77</v>
      </c>
      <c r="F23" s="15">
        <v>568.77</v>
      </c>
      <c r="G23" s="15">
        <v>568.77</v>
      </c>
      <c r="H23" s="15">
        <v>1137.54</v>
      </c>
      <c r="I23" s="15">
        <v>1137.54</v>
      </c>
      <c r="J23" s="15">
        <v>568.77</v>
      </c>
      <c r="K23" s="15">
        <v>568.77</v>
      </c>
      <c r="L23" s="15">
        <v>568.77</v>
      </c>
      <c r="M23" s="15">
        <v>568.77</v>
      </c>
      <c r="N23" s="15">
        <v>568.77</v>
      </c>
      <c r="O23" t="s">
        <v>3028</v>
      </c>
    </row>
    <row r="24" spans="1:15" x14ac:dyDescent="0.25">
      <c r="A24" s="10" t="s">
        <v>196</v>
      </c>
      <c r="B24" s="15">
        <v>189.59</v>
      </c>
      <c r="C24" s="15">
        <v>189.59</v>
      </c>
      <c r="D24" s="15">
        <v>189.59</v>
      </c>
      <c r="E24" s="15">
        <v>189.59</v>
      </c>
      <c r="F24" s="15">
        <v>189.59</v>
      </c>
      <c r="G24" s="15">
        <v>189.59</v>
      </c>
      <c r="H24" s="15">
        <v>189.59</v>
      </c>
      <c r="I24" s="15">
        <v>189.59</v>
      </c>
      <c r="J24" s="15">
        <v>189.59</v>
      </c>
      <c r="K24" s="15">
        <v>189.59</v>
      </c>
      <c r="L24" s="15">
        <v>189.59</v>
      </c>
      <c r="M24" s="15">
        <v>189.59</v>
      </c>
      <c r="N24" s="15">
        <v>189.59</v>
      </c>
      <c r="O24" t="s">
        <v>3028</v>
      </c>
    </row>
    <row r="25" spans="1:15" x14ac:dyDescent="0.25">
      <c r="A25" s="10" t="s">
        <v>202</v>
      </c>
      <c r="B25" s="15">
        <v>568.77</v>
      </c>
      <c r="C25" s="15">
        <v>568.77</v>
      </c>
      <c r="D25" s="15">
        <v>568.77</v>
      </c>
      <c r="E25" s="15">
        <v>568.77</v>
      </c>
      <c r="F25" s="15">
        <v>568.77</v>
      </c>
      <c r="G25" s="15">
        <v>568.77</v>
      </c>
      <c r="H25" s="15">
        <v>568.77</v>
      </c>
      <c r="I25" s="15">
        <v>568.77</v>
      </c>
      <c r="J25" s="15">
        <v>1137.54</v>
      </c>
      <c r="K25" s="15">
        <v>568.77</v>
      </c>
      <c r="L25" s="15">
        <v>568.77</v>
      </c>
      <c r="M25" s="15">
        <v>568.77</v>
      </c>
      <c r="N25" s="15">
        <v>568.77</v>
      </c>
      <c r="O25" t="s">
        <v>3028</v>
      </c>
    </row>
    <row r="26" spans="1:15" x14ac:dyDescent="0.25">
      <c r="A26" s="10" t="s">
        <v>208</v>
      </c>
      <c r="B26" s="15">
        <v>568.77</v>
      </c>
      <c r="C26" s="15">
        <v>568.77</v>
      </c>
      <c r="D26" s="15">
        <v>568.77</v>
      </c>
      <c r="E26" s="15">
        <v>568.77</v>
      </c>
      <c r="F26" s="15">
        <v>568.77</v>
      </c>
      <c r="G26" s="15">
        <v>568.77</v>
      </c>
      <c r="H26" s="15">
        <v>0</v>
      </c>
      <c r="I26" s="15">
        <v>0</v>
      </c>
      <c r="J26" s="15">
        <v>568.77</v>
      </c>
      <c r="K26" s="15">
        <v>0</v>
      </c>
      <c r="L26" s="15">
        <v>0</v>
      </c>
      <c r="M26" s="15">
        <v>0</v>
      </c>
      <c r="N26" s="15">
        <v>568.77</v>
      </c>
      <c r="O26" t="s">
        <v>3028</v>
      </c>
    </row>
    <row r="27" spans="1:15" x14ac:dyDescent="0.25">
      <c r="A27" s="10" t="s">
        <v>212</v>
      </c>
      <c r="B27" s="15">
        <v>379.18</v>
      </c>
      <c r="C27" s="15">
        <v>379.18</v>
      </c>
      <c r="D27" s="15">
        <v>758.36</v>
      </c>
      <c r="E27" s="15">
        <v>379.18</v>
      </c>
      <c r="F27" s="15">
        <v>758.36</v>
      </c>
      <c r="G27" s="15">
        <v>379.18</v>
      </c>
      <c r="H27" s="15">
        <v>379.18</v>
      </c>
      <c r="I27" s="15">
        <v>379.18</v>
      </c>
      <c r="J27" s="15">
        <v>379.18</v>
      </c>
      <c r="K27" s="15">
        <v>379.18</v>
      </c>
      <c r="L27" s="15">
        <v>379.18</v>
      </c>
      <c r="M27" s="15">
        <v>379.18</v>
      </c>
      <c r="N27" s="15">
        <v>379.18</v>
      </c>
      <c r="O27" t="s">
        <v>3028</v>
      </c>
    </row>
    <row r="28" spans="1:15" x14ac:dyDescent="0.25">
      <c r="A28" s="10" t="s">
        <v>218</v>
      </c>
      <c r="B28" s="15">
        <v>189.59</v>
      </c>
      <c r="C28" s="15">
        <v>189.59</v>
      </c>
      <c r="D28" s="15">
        <v>189.59</v>
      </c>
      <c r="E28" s="15">
        <v>189.59</v>
      </c>
      <c r="F28" s="15">
        <v>189.59</v>
      </c>
      <c r="G28" s="15">
        <v>189.59</v>
      </c>
      <c r="H28" s="15">
        <v>189.59</v>
      </c>
      <c r="I28" s="15">
        <v>189.59</v>
      </c>
      <c r="J28" s="15">
        <v>189.59</v>
      </c>
      <c r="K28" s="15">
        <v>379.18</v>
      </c>
      <c r="L28" s="15">
        <v>189.59</v>
      </c>
      <c r="M28" s="15">
        <v>189.59</v>
      </c>
      <c r="N28" s="15">
        <v>189.59</v>
      </c>
      <c r="O28" t="s">
        <v>3028</v>
      </c>
    </row>
    <row r="29" spans="1:15" x14ac:dyDescent="0.25">
      <c r="A29" s="10" t="s">
        <v>228</v>
      </c>
      <c r="B29" s="15">
        <v>189.59</v>
      </c>
      <c r="C29" s="15">
        <v>189.59</v>
      </c>
      <c r="D29" s="15">
        <v>189.59</v>
      </c>
      <c r="E29" s="15">
        <v>189.59</v>
      </c>
      <c r="F29" s="15">
        <v>189.59</v>
      </c>
      <c r="G29" s="15">
        <v>189.59</v>
      </c>
      <c r="H29" s="15">
        <v>189.59</v>
      </c>
      <c r="I29" s="15">
        <v>189.59</v>
      </c>
      <c r="J29" s="15">
        <v>189.59</v>
      </c>
      <c r="K29" s="15">
        <v>189.59</v>
      </c>
      <c r="L29" s="15">
        <v>189.59</v>
      </c>
      <c r="M29" s="15">
        <v>379.18</v>
      </c>
      <c r="N29" s="15">
        <v>189.59</v>
      </c>
      <c r="O29" t="s">
        <v>3028</v>
      </c>
    </row>
    <row r="30" spans="1:15" x14ac:dyDescent="0.25">
      <c r="A30" s="10" t="s">
        <v>232</v>
      </c>
      <c r="B30" s="15">
        <v>189.59</v>
      </c>
      <c r="C30" s="15">
        <v>189.59</v>
      </c>
      <c r="D30" s="15">
        <v>189.59</v>
      </c>
      <c r="E30" s="15">
        <v>189.59</v>
      </c>
      <c r="F30" s="15">
        <v>379.18</v>
      </c>
      <c r="G30" s="15">
        <v>189.59</v>
      </c>
      <c r="H30" s="15">
        <v>189.59</v>
      </c>
      <c r="I30" s="15">
        <v>379.18</v>
      </c>
      <c r="J30" s="15">
        <v>189.59</v>
      </c>
      <c r="K30" s="15">
        <v>189.59</v>
      </c>
      <c r="L30" s="15">
        <v>189.59</v>
      </c>
      <c r="M30" s="15">
        <v>189.59</v>
      </c>
      <c r="N30" s="15">
        <v>189.59</v>
      </c>
      <c r="O30" t="s">
        <v>3028</v>
      </c>
    </row>
    <row r="31" spans="1:15" x14ac:dyDescent="0.25">
      <c r="A31" s="10" t="s">
        <v>236</v>
      </c>
      <c r="B31" s="15">
        <v>189.59</v>
      </c>
      <c r="C31" s="15">
        <v>189.59</v>
      </c>
      <c r="D31" s="15">
        <v>189.59</v>
      </c>
      <c r="E31" s="15">
        <v>189.59</v>
      </c>
      <c r="F31" s="15">
        <v>189.59</v>
      </c>
      <c r="G31" s="15">
        <v>379.18</v>
      </c>
      <c r="H31" s="15">
        <v>189.59</v>
      </c>
      <c r="I31" s="15">
        <v>379.18</v>
      </c>
      <c r="J31" s="15">
        <v>189.59</v>
      </c>
      <c r="K31" s="15">
        <v>189.59</v>
      </c>
      <c r="L31" s="15">
        <v>189.59</v>
      </c>
      <c r="M31" s="15">
        <v>0</v>
      </c>
      <c r="N31" s="15">
        <v>189.59</v>
      </c>
      <c r="O31" t="s">
        <v>3028</v>
      </c>
    </row>
    <row r="32" spans="1:15" x14ac:dyDescent="0.25">
      <c r="A32" s="10" t="s">
        <v>240</v>
      </c>
      <c r="B32" s="15">
        <v>379.18</v>
      </c>
      <c r="C32" s="15">
        <v>379.18</v>
      </c>
      <c r="D32" s="15">
        <v>379.18</v>
      </c>
      <c r="E32" s="15">
        <v>379.18</v>
      </c>
      <c r="F32" s="15">
        <v>379.18</v>
      </c>
      <c r="G32" s="15">
        <v>758.36</v>
      </c>
      <c r="H32" s="15">
        <v>379.18</v>
      </c>
      <c r="I32" s="15">
        <v>758.36</v>
      </c>
      <c r="J32" s="15">
        <v>379.18</v>
      </c>
      <c r="K32" s="15">
        <v>379.18</v>
      </c>
      <c r="L32" s="15">
        <v>379.18</v>
      </c>
      <c r="M32" s="15">
        <v>379.18</v>
      </c>
      <c r="N32" s="15">
        <v>379.18</v>
      </c>
      <c r="O32" t="s">
        <v>3028</v>
      </c>
    </row>
    <row r="33" spans="1:15" x14ac:dyDescent="0.25">
      <c r="A33" s="10" t="s">
        <v>246</v>
      </c>
      <c r="B33" s="15">
        <v>568.77</v>
      </c>
      <c r="C33" s="15">
        <v>568.77</v>
      </c>
      <c r="D33" s="15">
        <v>568.77</v>
      </c>
      <c r="E33" s="15">
        <v>568.77</v>
      </c>
      <c r="F33" s="15">
        <v>568.77</v>
      </c>
      <c r="G33" s="15">
        <v>568.77</v>
      </c>
      <c r="H33" s="15">
        <v>568.77</v>
      </c>
      <c r="I33" s="15">
        <v>568.77</v>
      </c>
      <c r="J33" s="15">
        <v>568.77</v>
      </c>
      <c r="K33" s="15">
        <v>568.77</v>
      </c>
      <c r="L33" s="15">
        <v>568.77</v>
      </c>
      <c r="M33" s="15">
        <v>568.77</v>
      </c>
      <c r="N33" s="15">
        <v>568.77</v>
      </c>
      <c r="O33" t="s">
        <v>3028</v>
      </c>
    </row>
    <row r="34" spans="1:15" x14ac:dyDescent="0.25">
      <c r="A34" s="10" t="s">
        <v>250</v>
      </c>
      <c r="B34" s="15">
        <v>379.18</v>
      </c>
      <c r="C34" s="15">
        <v>379.18</v>
      </c>
      <c r="D34" s="15">
        <v>379.18</v>
      </c>
      <c r="E34" s="15">
        <v>758.36</v>
      </c>
      <c r="F34" s="15">
        <v>758.36</v>
      </c>
      <c r="G34" s="15">
        <v>379.18</v>
      </c>
      <c r="H34" s="15">
        <v>379.18</v>
      </c>
      <c r="I34" s="15">
        <v>379.18</v>
      </c>
      <c r="J34" s="15">
        <v>379.18</v>
      </c>
      <c r="K34" s="15">
        <v>379.18</v>
      </c>
      <c r="L34" s="15">
        <v>379.18</v>
      </c>
      <c r="M34" s="15">
        <v>379.18</v>
      </c>
      <c r="N34" s="15">
        <v>379.18</v>
      </c>
      <c r="O34" t="s">
        <v>3028</v>
      </c>
    </row>
    <row r="35" spans="1:15" x14ac:dyDescent="0.25">
      <c r="A35" s="10" t="s">
        <v>256</v>
      </c>
      <c r="B35" s="15">
        <v>189.59</v>
      </c>
      <c r="C35" s="15">
        <v>189.59</v>
      </c>
      <c r="D35" s="15">
        <v>189.59</v>
      </c>
      <c r="E35" s="15">
        <v>189.59</v>
      </c>
      <c r="F35" s="15">
        <v>189.59</v>
      </c>
      <c r="G35" s="15">
        <v>379.18</v>
      </c>
      <c r="H35" s="15">
        <v>189.59</v>
      </c>
      <c r="I35" s="15">
        <v>379.18</v>
      </c>
      <c r="J35" s="15">
        <v>189.59</v>
      </c>
      <c r="K35" s="15">
        <v>189.59</v>
      </c>
      <c r="L35" s="15">
        <v>189.59</v>
      </c>
      <c r="M35" s="15">
        <v>189.59</v>
      </c>
      <c r="N35" s="15">
        <v>189.59</v>
      </c>
      <c r="O35" t="s">
        <v>3028</v>
      </c>
    </row>
    <row r="36" spans="1:15" x14ac:dyDescent="0.25">
      <c r="A36" s="10" t="s">
        <v>258</v>
      </c>
      <c r="B36" s="15">
        <v>0</v>
      </c>
      <c r="C36" s="15">
        <v>0</v>
      </c>
      <c r="D36" s="15">
        <v>0</v>
      </c>
      <c r="E36" s="15">
        <v>0</v>
      </c>
      <c r="F36" s="15">
        <v>379.18</v>
      </c>
      <c r="G36" s="15">
        <v>379.18</v>
      </c>
      <c r="H36" s="15">
        <v>379.18</v>
      </c>
      <c r="I36" s="15">
        <v>379.18</v>
      </c>
      <c r="J36" s="15">
        <v>379.18</v>
      </c>
      <c r="K36" s="15">
        <v>379.18</v>
      </c>
      <c r="L36" s="15">
        <v>379.18</v>
      </c>
      <c r="M36" s="15">
        <v>0</v>
      </c>
      <c r="N36" s="15">
        <v>379.18</v>
      </c>
      <c r="O36" t="s">
        <v>3028</v>
      </c>
    </row>
    <row r="37" spans="1:15" x14ac:dyDescent="0.25">
      <c r="A37" s="10" t="s">
        <v>264</v>
      </c>
      <c r="B37" s="15">
        <v>189.59</v>
      </c>
      <c r="C37" s="15">
        <v>189.59</v>
      </c>
      <c r="D37" s="15">
        <v>379.18</v>
      </c>
      <c r="E37" s="15">
        <v>189.59</v>
      </c>
      <c r="F37" s="15">
        <v>379.18</v>
      </c>
      <c r="G37" s="15">
        <v>189.59</v>
      </c>
      <c r="H37" s="15">
        <v>189.59</v>
      </c>
      <c r="I37" s="15">
        <v>189.59</v>
      </c>
      <c r="J37" s="15">
        <v>189.59</v>
      </c>
      <c r="K37" s="15">
        <v>189.59</v>
      </c>
      <c r="L37" s="15">
        <v>189.59</v>
      </c>
      <c r="M37" s="15">
        <v>189.59</v>
      </c>
      <c r="N37" s="15">
        <v>189.59</v>
      </c>
      <c r="O37" t="s">
        <v>3028</v>
      </c>
    </row>
    <row r="38" spans="1:15" x14ac:dyDescent="0.25">
      <c r="A38" s="10" t="s">
        <v>270</v>
      </c>
      <c r="B38" s="15">
        <v>189.59</v>
      </c>
      <c r="C38" s="15">
        <v>189.59</v>
      </c>
      <c r="D38" s="15">
        <v>189.59</v>
      </c>
      <c r="E38" s="15">
        <v>189.59</v>
      </c>
      <c r="F38" s="15">
        <v>189.59</v>
      </c>
      <c r="G38" s="15">
        <v>189.59</v>
      </c>
      <c r="H38" s="15">
        <v>379.18</v>
      </c>
      <c r="I38" s="15">
        <v>189.59</v>
      </c>
      <c r="J38" s="15">
        <v>189.59</v>
      </c>
      <c r="K38" s="15">
        <v>189.59</v>
      </c>
      <c r="L38" s="15">
        <v>189.59</v>
      </c>
      <c r="M38" s="15">
        <v>189.59</v>
      </c>
      <c r="N38" s="15">
        <v>189.59</v>
      </c>
      <c r="O38" t="s">
        <v>3028</v>
      </c>
    </row>
    <row r="39" spans="1:15" x14ac:dyDescent="0.25">
      <c r="A39" s="10" t="s">
        <v>272</v>
      </c>
      <c r="B39" s="15">
        <v>189.59</v>
      </c>
      <c r="C39" s="15">
        <v>189.59</v>
      </c>
      <c r="D39" s="15">
        <v>189.59</v>
      </c>
      <c r="E39" s="15">
        <v>189.59</v>
      </c>
      <c r="F39" s="15">
        <v>189.59</v>
      </c>
      <c r="G39" s="15">
        <v>189.59</v>
      </c>
      <c r="H39" s="15">
        <v>189.59</v>
      </c>
      <c r="I39" s="15">
        <v>189.59</v>
      </c>
      <c r="J39" s="15">
        <v>189.59</v>
      </c>
      <c r="K39" s="15">
        <v>189.59</v>
      </c>
      <c r="L39" s="15">
        <v>189.59</v>
      </c>
      <c r="M39" s="15">
        <v>379.18</v>
      </c>
      <c r="N39" s="15">
        <v>189.59</v>
      </c>
      <c r="O39" t="s">
        <v>3028</v>
      </c>
    </row>
    <row r="40" spans="1:15" x14ac:dyDescent="0.25">
      <c r="A40" s="10" t="s">
        <v>278</v>
      </c>
      <c r="B40" s="15">
        <v>568.77</v>
      </c>
      <c r="C40" s="15">
        <v>568.77</v>
      </c>
      <c r="D40" s="15">
        <v>568.77</v>
      </c>
      <c r="E40" s="15">
        <v>568.77</v>
      </c>
      <c r="F40" s="15">
        <v>568.77</v>
      </c>
      <c r="G40" s="15">
        <v>1137.54</v>
      </c>
      <c r="H40" s="15">
        <v>568.77</v>
      </c>
      <c r="I40" s="15">
        <v>1137.54</v>
      </c>
      <c r="J40" s="15">
        <v>568.77</v>
      </c>
      <c r="K40" s="15">
        <v>568.77</v>
      </c>
      <c r="L40" s="15">
        <v>568.77</v>
      </c>
      <c r="M40" s="15">
        <v>568.77</v>
      </c>
      <c r="N40" s="15">
        <v>568.77</v>
      </c>
      <c r="O40" t="s">
        <v>3028</v>
      </c>
    </row>
    <row r="41" spans="1:15" x14ac:dyDescent="0.25">
      <c r="A41" s="10" t="s">
        <v>282</v>
      </c>
      <c r="B41" s="15">
        <v>379.18</v>
      </c>
      <c r="C41" s="15">
        <v>379.18</v>
      </c>
      <c r="D41" s="15">
        <v>379.18</v>
      </c>
      <c r="E41" s="15">
        <v>379.18</v>
      </c>
      <c r="F41" s="15">
        <v>379.18</v>
      </c>
      <c r="G41" s="15">
        <v>758.36</v>
      </c>
      <c r="H41" s="15">
        <v>379.18</v>
      </c>
      <c r="I41" s="15">
        <v>758.36</v>
      </c>
      <c r="J41" s="15">
        <v>379.18</v>
      </c>
      <c r="K41" s="15">
        <v>379.18</v>
      </c>
      <c r="L41" s="15">
        <v>379.18</v>
      </c>
      <c r="M41" s="15">
        <v>379.18</v>
      </c>
      <c r="N41" s="15">
        <v>379.18</v>
      </c>
      <c r="O41" t="s">
        <v>3028</v>
      </c>
    </row>
    <row r="42" spans="1:15" x14ac:dyDescent="0.25">
      <c r="A42" s="10" t="s">
        <v>286</v>
      </c>
      <c r="B42" s="15">
        <v>189.59</v>
      </c>
      <c r="C42" s="15">
        <v>189.59</v>
      </c>
      <c r="D42" s="15">
        <v>189.59</v>
      </c>
      <c r="E42" s="15">
        <v>189.59</v>
      </c>
      <c r="F42" s="15">
        <v>379.18</v>
      </c>
      <c r="G42" s="15">
        <v>189.59</v>
      </c>
      <c r="H42" s="15">
        <v>189.59</v>
      </c>
      <c r="I42" s="15">
        <v>379.18</v>
      </c>
      <c r="J42" s="15">
        <v>189.59</v>
      </c>
      <c r="K42" s="15">
        <v>189.59</v>
      </c>
      <c r="L42" s="15">
        <v>189.59</v>
      </c>
      <c r="M42" s="15">
        <v>189.59</v>
      </c>
      <c r="N42" s="15">
        <v>189.59</v>
      </c>
      <c r="O42" t="s">
        <v>3028</v>
      </c>
    </row>
    <row r="43" spans="1:15" x14ac:dyDescent="0.25">
      <c r="A43" s="10" t="s">
        <v>294</v>
      </c>
      <c r="B43" s="15">
        <v>189.59</v>
      </c>
      <c r="C43" s="15">
        <v>189.59</v>
      </c>
      <c r="D43" s="15">
        <v>189.59</v>
      </c>
      <c r="E43" s="15">
        <v>189.59</v>
      </c>
      <c r="F43" s="15">
        <v>189.59</v>
      </c>
      <c r="G43" s="15">
        <v>189.59</v>
      </c>
      <c r="H43" s="15">
        <v>189.59</v>
      </c>
      <c r="I43" s="15">
        <v>379.18</v>
      </c>
      <c r="J43" s="15">
        <v>189.59</v>
      </c>
      <c r="K43" s="15">
        <v>189.59</v>
      </c>
      <c r="L43" s="15">
        <v>189.59</v>
      </c>
      <c r="M43" s="15">
        <v>189.59</v>
      </c>
      <c r="N43" s="15">
        <v>189.59</v>
      </c>
      <c r="O43" t="s">
        <v>3028</v>
      </c>
    </row>
    <row r="44" spans="1:15" x14ac:dyDescent="0.25">
      <c r="A44" s="10" t="s">
        <v>298</v>
      </c>
      <c r="B44" s="15">
        <v>189.59</v>
      </c>
      <c r="C44" s="15">
        <v>189.59</v>
      </c>
      <c r="D44" s="15">
        <v>189.59</v>
      </c>
      <c r="E44" s="15">
        <v>379.18</v>
      </c>
      <c r="F44" s="15">
        <v>379.18</v>
      </c>
      <c r="G44" s="15">
        <v>189.59</v>
      </c>
      <c r="H44" s="15">
        <v>189.59</v>
      </c>
      <c r="I44" s="15">
        <v>189.59</v>
      </c>
      <c r="J44" s="15">
        <v>189.59</v>
      </c>
      <c r="K44" s="15">
        <v>189.59</v>
      </c>
      <c r="L44" s="15">
        <v>189.59</v>
      </c>
      <c r="M44" s="15">
        <v>189.59</v>
      </c>
      <c r="N44" s="15">
        <v>189.59</v>
      </c>
      <c r="O44" t="s">
        <v>3028</v>
      </c>
    </row>
    <row r="45" spans="1:15" x14ac:dyDescent="0.25">
      <c r="A45" s="10" t="s">
        <v>300</v>
      </c>
      <c r="B45" s="15">
        <v>379.18</v>
      </c>
      <c r="C45" s="15">
        <v>379.18</v>
      </c>
      <c r="D45" s="15">
        <v>379.18</v>
      </c>
      <c r="E45" s="15">
        <v>758.36</v>
      </c>
      <c r="F45" s="15">
        <v>379.18</v>
      </c>
      <c r="G45" s="15">
        <v>379.18</v>
      </c>
      <c r="H45" s="15">
        <v>379.18</v>
      </c>
      <c r="I45" s="15">
        <v>379.18</v>
      </c>
      <c r="J45" s="15">
        <v>379.18</v>
      </c>
      <c r="K45" s="15">
        <v>379.18</v>
      </c>
      <c r="L45" s="15">
        <v>379.18</v>
      </c>
      <c r="M45" s="15">
        <v>379.18</v>
      </c>
      <c r="N45" s="15">
        <v>379.18</v>
      </c>
      <c r="O45" t="s">
        <v>3028</v>
      </c>
    </row>
    <row r="46" spans="1:15" x14ac:dyDescent="0.25">
      <c r="A46" s="10" t="s">
        <v>302</v>
      </c>
      <c r="B46" s="15">
        <v>379.18</v>
      </c>
      <c r="C46" s="15">
        <v>189.59</v>
      </c>
      <c r="D46" s="15">
        <v>189.59</v>
      </c>
      <c r="E46" s="15">
        <v>189.59</v>
      </c>
      <c r="F46" s="15">
        <v>189.59</v>
      </c>
      <c r="G46" s="15">
        <v>189.59</v>
      </c>
      <c r="H46" s="15">
        <v>189.59</v>
      </c>
      <c r="I46" s="15">
        <v>189.59</v>
      </c>
      <c r="J46" s="15">
        <v>189.59</v>
      </c>
      <c r="K46" s="15">
        <v>189.59</v>
      </c>
      <c r="L46" s="15">
        <v>189.59</v>
      </c>
      <c r="M46" s="15">
        <v>379.18</v>
      </c>
      <c r="N46" s="15">
        <v>189.59</v>
      </c>
      <c r="O46" t="s">
        <v>3028</v>
      </c>
    </row>
    <row r="47" spans="1:15" x14ac:dyDescent="0.25">
      <c r="A47" s="10" t="s">
        <v>308</v>
      </c>
      <c r="B47" s="15">
        <v>379.18</v>
      </c>
      <c r="C47" s="15">
        <v>379.18</v>
      </c>
      <c r="D47" s="15">
        <v>758.36</v>
      </c>
      <c r="E47" s="15">
        <v>379.18</v>
      </c>
      <c r="F47" s="15">
        <v>379.18</v>
      </c>
      <c r="G47" s="15">
        <v>379.18</v>
      </c>
      <c r="H47" s="15">
        <v>379.18</v>
      </c>
      <c r="I47" s="15">
        <v>379.18</v>
      </c>
      <c r="J47" s="15">
        <v>379.18</v>
      </c>
      <c r="K47" s="15">
        <v>379.18</v>
      </c>
      <c r="L47" s="15">
        <v>379.18</v>
      </c>
      <c r="M47" s="15">
        <v>379.18</v>
      </c>
      <c r="N47" s="15">
        <v>379.18</v>
      </c>
      <c r="O47" t="s">
        <v>3028</v>
      </c>
    </row>
    <row r="48" spans="1:15" x14ac:dyDescent="0.25">
      <c r="A48" s="10" t="s">
        <v>312</v>
      </c>
      <c r="B48" s="15">
        <v>189.59</v>
      </c>
      <c r="C48" s="15">
        <v>189.59</v>
      </c>
      <c r="D48" s="15">
        <v>189.59</v>
      </c>
      <c r="E48" s="15">
        <v>379.18</v>
      </c>
      <c r="F48" s="15">
        <v>189.59</v>
      </c>
      <c r="G48" s="15">
        <v>189.59</v>
      </c>
      <c r="H48" s="15">
        <v>189.59</v>
      </c>
      <c r="I48" s="15">
        <v>189.59</v>
      </c>
      <c r="J48" s="15">
        <v>379.18</v>
      </c>
      <c r="K48" s="15">
        <v>189.59</v>
      </c>
      <c r="L48" s="15">
        <v>189.59</v>
      </c>
      <c r="M48" s="15">
        <v>189.59</v>
      </c>
      <c r="N48" s="15">
        <v>189.59</v>
      </c>
      <c r="O48" t="s">
        <v>3028</v>
      </c>
    </row>
    <row r="49" spans="1:15" x14ac:dyDescent="0.25">
      <c r="A49" s="10" t="s">
        <v>314</v>
      </c>
      <c r="B49" s="15">
        <v>189.59</v>
      </c>
      <c r="C49" s="15">
        <v>189.59</v>
      </c>
      <c r="D49" s="15">
        <v>379.18</v>
      </c>
      <c r="E49" s="15">
        <v>189.59</v>
      </c>
      <c r="F49" s="15">
        <v>379.18</v>
      </c>
      <c r="G49" s="15">
        <v>189.59</v>
      </c>
      <c r="H49" s="15">
        <v>189.59</v>
      </c>
      <c r="I49" s="15">
        <v>189.59</v>
      </c>
      <c r="J49" s="15">
        <v>189.59</v>
      </c>
      <c r="K49" s="15">
        <v>189.59</v>
      </c>
      <c r="L49" s="15">
        <v>189.59</v>
      </c>
      <c r="M49" s="15">
        <v>189.59</v>
      </c>
      <c r="N49" s="15">
        <v>189.59</v>
      </c>
      <c r="O49" t="s">
        <v>3028</v>
      </c>
    </row>
    <row r="50" spans="1:15" x14ac:dyDescent="0.25">
      <c r="A50" s="10" t="s">
        <v>318</v>
      </c>
      <c r="B50" s="15">
        <v>0</v>
      </c>
      <c r="C50" s="15">
        <v>0</v>
      </c>
      <c r="D50" s="15">
        <v>0</v>
      </c>
      <c r="E50" s="15">
        <v>568.77</v>
      </c>
      <c r="F50" s="15">
        <v>568.77</v>
      </c>
      <c r="G50" s="15">
        <v>568.77</v>
      </c>
      <c r="H50" s="15">
        <v>568.77</v>
      </c>
      <c r="I50" s="15">
        <v>568.77</v>
      </c>
      <c r="J50" s="15">
        <v>568.77</v>
      </c>
      <c r="K50" s="15">
        <v>0</v>
      </c>
      <c r="L50" s="15">
        <v>0</v>
      </c>
      <c r="M50" s="15">
        <v>0</v>
      </c>
      <c r="N50" s="15">
        <v>568.77</v>
      </c>
      <c r="O50" t="s">
        <v>3028</v>
      </c>
    </row>
    <row r="51" spans="1:15" x14ac:dyDescent="0.25">
      <c r="A51" s="10" t="s">
        <v>320</v>
      </c>
      <c r="B51" s="15">
        <v>189.59</v>
      </c>
      <c r="C51" s="15">
        <v>189.59</v>
      </c>
      <c r="D51" s="15">
        <v>189.59</v>
      </c>
      <c r="E51" s="15">
        <v>189.59</v>
      </c>
      <c r="F51" s="15">
        <v>189.59</v>
      </c>
      <c r="G51" s="15">
        <v>189.59</v>
      </c>
      <c r="H51" s="15">
        <v>189.59</v>
      </c>
      <c r="I51" s="15">
        <v>379.18</v>
      </c>
      <c r="J51" s="15">
        <v>189.59</v>
      </c>
      <c r="K51" s="15">
        <v>189.59</v>
      </c>
      <c r="L51" s="15">
        <v>0</v>
      </c>
      <c r="M51" s="15">
        <v>0</v>
      </c>
      <c r="N51" s="15">
        <v>189.59</v>
      </c>
      <c r="O51" t="s">
        <v>3028</v>
      </c>
    </row>
    <row r="52" spans="1:15" x14ac:dyDescent="0.25">
      <c r="A52" s="10" t="s">
        <v>322</v>
      </c>
      <c r="B52" s="15">
        <v>379.18</v>
      </c>
      <c r="C52" s="15">
        <v>379.18</v>
      </c>
      <c r="D52" s="15">
        <v>379.18</v>
      </c>
      <c r="E52" s="15">
        <v>379.18</v>
      </c>
      <c r="F52" s="15">
        <v>379.18</v>
      </c>
      <c r="G52" s="15">
        <v>379.18</v>
      </c>
      <c r="H52" s="15">
        <v>379.18</v>
      </c>
      <c r="I52" s="15">
        <v>379.18</v>
      </c>
      <c r="J52" s="15">
        <v>379.18</v>
      </c>
      <c r="K52" s="15">
        <v>379.18</v>
      </c>
      <c r="L52" s="15">
        <v>379.18</v>
      </c>
      <c r="M52" s="15">
        <v>758.36</v>
      </c>
      <c r="N52" s="15">
        <v>379.18</v>
      </c>
      <c r="O52" t="s">
        <v>3028</v>
      </c>
    </row>
    <row r="53" spans="1:15" x14ac:dyDescent="0.25">
      <c r="A53" s="10" t="s">
        <v>324</v>
      </c>
      <c r="B53" s="15">
        <v>568.77</v>
      </c>
      <c r="C53" s="15">
        <v>568.77</v>
      </c>
      <c r="D53" s="15">
        <v>568.77</v>
      </c>
      <c r="E53" s="15">
        <v>568.77</v>
      </c>
      <c r="F53" s="15">
        <v>568.77</v>
      </c>
      <c r="G53" s="15">
        <v>1137.54</v>
      </c>
      <c r="H53" s="15">
        <v>568.77</v>
      </c>
      <c r="I53" s="15">
        <v>1137.54</v>
      </c>
      <c r="J53" s="15">
        <v>568.77</v>
      </c>
      <c r="K53" s="15">
        <v>568.77</v>
      </c>
      <c r="L53" s="15">
        <v>568.77</v>
      </c>
      <c r="M53" s="15">
        <v>568.77</v>
      </c>
      <c r="N53" s="15">
        <v>568.77</v>
      </c>
      <c r="O53" t="s">
        <v>3028</v>
      </c>
    </row>
    <row r="54" spans="1:15" x14ac:dyDescent="0.25">
      <c r="A54" s="10" t="s">
        <v>326</v>
      </c>
      <c r="B54" s="15">
        <v>189.59</v>
      </c>
      <c r="C54" s="15">
        <v>189.59</v>
      </c>
      <c r="D54" s="15">
        <v>379.18</v>
      </c>
      <c r="E54" s="15">
        <v>189.59</v>
      </c>
      <c r="F54" s="15">
        <v>379.18</v>
      </c>
      <c r="G54" s="15">
        <v>189.59</v>
      </c>
      <c r="H54" s="15">
        <v>189.59</v>
      </c>
      <c r="I54" s="15">
        <v>189.59</v>
      </c>
      <c r="J54" s="15">
        <v>189.59</v>
      </c>
      <c r="K54" s="15">
        <v>189.59</v>
      </c>
      <c r="L54" s="15">
        <v>189.59</v>
      </c>
      <c r="M54" s="15">
        <v>189.59</v>
      </c>
      <c r="N54" s="15">
        <v>189.59</v>
      </c>
      <c r="O54" t="s">
        <v>3028</v>
      </c>
    </row>
    <row r="55" spans="1:15" x14ac:dyDescent="0.25">
      <c r="A55" s="10" t="s">
        <v>332</v>
      </c>
      <c r="B55" s="15">
        <v>379.18</v>
      </c>
      <c r="C55" s="15">
        <v>379.18</v>
      </c>
      <c r="D55" s="15">
        <v>379.18</v>
      </c>
      <c r="E55" s="15">
        <v>379.18</v>
      </c>
      <c r="F55" s="15">
        <v>379.18</v>
      </c>
      <c r="G55" s="15">
        <v>758.36</v>
      </c>
      <c r="H55" s="15">
        <v>379.18</v>
      </c>
      <c r="I55" s="15">
        <v>758.36</v>
      </c>
      <c r="J55" s="15">
        <v>379.18</v>
      </c>
      <c r="K55" s="15">
        <v>379.18</v>
      </c>
      <c r="L55" s="15">
        <v>379.18</v>
      </c>
      <c r="M55" s="15">
        <v>379.18</v>
      </c>
      <c r="N55" s="15">
        <v>379.18</v>
      </c>
      <c r="O55" t="s">
        <v>3028</v>
      </c>
    </row>
    <row r="56" spans="1:15" x14ac:dyDescent="0.25">
      <c r="A56" s="10" t="s">
        <v>334</v>
      </c>
      <c r="B56" s="15">
        <v>568.77</v>
      </c>
      <c r="C56" s="15">
        <v>568.77</v>
      </c>
      <c r="D56" s="15">
        <v>568.77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568.77</v>
      </c>
      <c r="O56" t="s">
        <v>3028</v>
      </c>
    </row>
    <row r="57" spans="1:15" x14ac:dyDescent="0.25">
      <c r="A57" s="10" t="s">
        <v>338</v>
      </c>
      <c r="B57" s="15">
        <v>189.59</v>
      </c>
      <c r="C57" s="15">
        <v>189.59</v>
      </c>
      <c r="D57" s="15">
        <v>379.18</v>
      </c>
      <c r="E57" s="15">
        <v>189.59</v>
      </c>
      <c r="F57" s="15">
        <v>189.59</v>
      </c>
      <c r="G57" s="15">
        <v>379.18</v>
      </c>
      <c r="H57" s="15">
        <v>189.59</v>
      </c>
      <c r="I57" s="15">
        <v>379.18</v>
      </c>
      <c r="J57" s="15">
        <v>189.59</v>
      </c>
      <c r="K57" s="15">
        <v>189.59</v>
      </c>
      <c r="L57" s="15">
        <v>189.59</v>
      </c>
      <c r="M57" s="15">
        <v>189.59</v>
      </c>
      <c r="N57" s="15">
        <v>189.59</v>
      </c>
      <c r="O57" t="s">
        <v>3028</v>
      </c>
    </row>
    <row r="58" spans="1:15" x14ac:dyDescent="0.25">
      <c r="A58" s="10" t="s">
        <v>342</v>
      </c>
      <c r="B58" s="15">
        <v>189.59</v>
      </c>
      <c r="C58" s="15">
        <v>189.59</v>
      </c>
      <c r="D58" s="15">
        <v>189.59</v>
      </c>
      <c r="E58" s="15">
        <v>189.59</v>
      </c>
      <c r="F58" s="15">
        <v>189.59</v>
      </c>
      <c r="G58" s="15">
        <v>189.59</v>
      </c>
      <c r="H58" s="15">
        <v>189.59</v>
      </c>
      <c r="I58" s="15">
        <v>189.59</v>
      </c>
      <c r="J58" s="15">
        <v>379.18</v>
      </c>
      <c r="K58" s="15">
        <v>189.59</v>
      </c>
      <c r="L58" s="15">
        <v>189.59</v>
      </c>
      <c r="M58" s="15">
        <v>189.59</v>
      </c>
      <c r="N58" s="15">
        <v>189.59</v>
      </c>
      <c r="O58" t="s">
        <v>3028</v>
      </c>
    </row>
    <row r="59" spans="1:15" x14ac:dyDescent="0.25">
      <c r="A59" s="10" t="s">
        <v>344</v>
      </c>
      <c r="B59" s="15">
        <v>758.36</v>
      </c>
      <c r="C59" s="15">
        <v>758.36</v>
      </c>
      <c r="D59" s="15">
        <v>758.36</v>
      </c>
      <c r="E59" s="15">
        <v>758.36</v>
      </c>
      <c r="F59" s="15">
        <v>758.36</v>
      </c>
      <c r="G59" s="15">
        <v>1516.72</v>
      </c>
      <c r="H59" s="15">
        <v>758.36</v>
      </c>
      <c r="I59" s="15">
        <v>1516.72</v>
      </c>
      <c r="J59" s="15">
        <v>758.36</v>
      </c>
      <c r="K59" s="15">
        <v>758.36</v>
      </c>
      <c r="L59" s="15">
        <v>758.36</v>
      </c>
      <c r="M59" s="15">
        <v>758.36</v>
      </c>
      <c r="N59" s="15">
        <v>758.36</v>
      </c>
      <c r="O59" t="s">
        <v>3028</v>
      </c>
    </row>
    <row r="60" spans="1:15" x14ac:dyDescent="0.25">
      <c r="A60" s="10" t="s">
        <v>348</v>
      </c>
      <c r="B60" s="15">
        <v>568.77</v>
      </c>
      <c r="C60" s="15">
        <v>568.77</v>
      </c>
      <c r="D60" s="15">
        <v>1137.54</v>
      </c>
      <c r="E60" s="15">
        <v>568.77</v>
      </c>
      <c r="F60" s="15">
        <v>1137.54</v>
      </c>
      <c r="G60" s="15">
        <v>568.77</v>
      </c>
      <c r="H60" s="15">
        <v>568.77</v>
      </c>
      <c r="I60" s="15">
        <v>568.77</v>
      </c>
      <c r="J60" s="15">
        <v>568.77</v>
      </c>
      <c r="K60" s="15">
        <v>568.77</v>
      </c>
      <c r="L60" s="15">
        <v>568.77</v>
      </c>
      <c r="M60" s="15">
        <v>568.77</v>
      </c>
      <c r="N60" s="15">
        <v>568.77</v>
      </c>
      <c r="O60" t="s">
        <v>3028</v>
      </c>
    </row>
    <row r="61" spans="1:15" x14ac:dyDescent="0.25">
      <c r="A61" s="10" t="s">
        <v>350</v>
      </c>
      <c r="B61" s="15">
        <v>568.77</v>
      </c>
      <c r="C61" s="15">
        <v>568.77</v>
      </c>
      <c r="D61" s="15">
        <v>568.77</v>
      </c>
      <c r="E61" s="15">
        <v>1137.54</v>
      </c>
      <c r="F61" s="15">
        <v>568.77</v>
      </c>
      <c r="G61" s="15">
        <v>568.77</v>
      </c>
      <c r="H61" s="15">
        <v>568.77</v>
      </c>
      <c r="I61" s="15">
        <v>568.77</v>
      </c>
      <c r="J61" s="15">
        <v>1137.54</v>
      </c>
      <c r="K61" s="15">
        <v>568.77</v>
      </c>
      <c r="L61" s="15">
        <v>568.77</v>
      </c>
      <c r="M61" s="15">
        <v>568.77</v>
      </c>
      <c r="N61" s="15">
        <v>568.77</v>
      </c>
      <c r="O61" t="s">
        <v>3028</v>
      </c>
    </row>
    <row r="62" spans="1:15" x14ac:dyDescent="0.25">
      <c r="A62" s="10" t="s">
        <v>352</v>
      </c>
      <c r="B62" s="15">
        <v>189.59</v>
      </c>
      <c r="C62" s="15">
        <v>189.59</v>
      </c>
      <c r="D62" s="15">
        <v>189.59</v>
      </c>
      <c r="E62" s="15">
        <v>189.59</v>
      </c>
      <c r="F62" s="15">
        <v>189.59</v>
      </c>
      <c r="G62" s="15">
        <v>379.18</v>
      </c>
      <c r="H62" s="15">
        <v>189.59</v>
      </c>
      <c r="I62" s="15">
        <v>379.18</v>
      </c>
      <c r="J62" s="15">
        <v>189.59</v>
      </c>
      <c r="K62" s="15">
        <v>189.59</v>
      </c>
      <c r="L62" s="15">
        <v>189.59</v>
      </c>
      <c r="M62" s="15">
        <v>189.59</v>
      </c>
      <c r="N62" s="15">
        <v>189.59</v>
      </c>
      <c r="O62" t="s">
        <v>3028</v>
      </c>
    </row>
    <row r="63" spans="1:15" x14ac:dyDescent="0.25">
      <c r="A63" s="10" t="s">
        <v>356</v>
      </c>
      <c r="B63" s="15">
        <v>189.59</v>
      </c>
      <c r="C63" s="15">
        <v>189.59</v>
      </c>
      <c r="D63" s="15">
        <v>189.59</v>
      </c>
      <c r="E63" s="15">
        <v>189.59</v>
      </c>
      <c r="F63" s="15">
        <v>189.59</v>
      </c>
      <c r="G63" s="15">
        <v>189.59</v>
      </c>
      <c r="H63" s="15">
        <v>189.59</v>
      </c>
      <c r="I63" s="15">
        <v>189.59</v>
      </c>
      <c r="J63" s="15">
        <v>379.18</v>
      </c>
      <c r="K63" s="15">
        <v>189.59</v>
      </c>
      <c r="L63" s="15">
        <v>189.59</v>
      </c>
      <c r="M63" s="15">
        <v>189.59</v>
      </c>
      <c r="N63" s="15">
        <v>189.59</v>
      </c>
      <c r="O63" t="s">
        <v>3028</v>
      </c>
    </row>
    <row r="64" spans="1:15" x14ac:dyDescent="0.25">
      <c r="A64" s="10" t="s">
        <v>360</v>
      </c>
      <c r="B64" s="15">
        <v>568.77</v>
      </c>
      <c r="C64" s="15">
        <v>568.77</v>
      </c>
      <c r="D64" s="15">
        <v>1137.54</v>
      </c>
      <c r="E64" s="15">
        <v>568.77</v>
      </c>
      <c r="F64" s="15">
        <v>1137.54</v>
      </c>
      <c r="G64" s="15">
        <v>568.77</v>
      </c>
      <c r="H64" s="15">
        <v>568.77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568.77</v>
      </c>
      <c r="O64" t="s">
        <v>3028</v>
      </c>
    </row>
    <row r="65" spans="1:15" x14ac:dyDescent="0.25">
      <c r="A65" s="10" t="s">
        <v>364</v>
      </c>
      <c r="B65" s="15">
        <v>568.77</v>
      </c>
      <c r="C65" s="15">
        <v>568.77</v>
      </c>
      <c r="D65" s="15">
        <v>568.77</v>
      </c>
      <c r="E65" s="15">
        <v>568.77</v>
      </c>
      <c r="F65" s="15">
        <v>568.77</v>
      </c>
      <c r="G65" s="15">
        <v>568.77</v>
      </c>
      <c r="H65" s="15">
        <v>1137.54</v>
      </c>
      <c r="I65" s="15">
        <v>1137.54</v>
      </c>
      <c r="J65" s="15">
        <v>568.77</v>
      </c>
      <c r="K65" s="15">
        <v>568.77</v>
      </c>
      <c r="L65" s="15">
        <v>568.77</v>
      </c>
      <c r="M65" s="15">
        <v>568.77</v>
      </c>
      <c r="N65" s="15">
        <v>568.77</v>
      </c>
      <c r="O65" t="s">
        <v>3028</v>
      </c>
    </row>
    <row r="66" spans="1:15" x14ac:dyDescent="0.25">
      <c r="A66" s="10" t="s">
        <v>374</v>
      </c>
      <c r="B66" s="15">
        <v>1137.54</v>
      </c>
      <c r="C66" s="15">
        <v>568.77</v>
      </c>
      <c r="D66" s="15">
        <v>568.77</v>
      </c>
      <c r="E66" s="15">
        <v>568.77</v>
      </c>
      <c r="F66" s="15">
        <v>568.77</v>
      </c>
      <c r="G66" s="15">
        <v>568.77</v>
      </c>
      <c r="H66" s="15">
        <v>568.77</v>
      </c>
      <c r="I66" s="15">
        <v>568.77</v>
      </c>
      <c r="J66" s="15">
        <v>568.77</v>
      </c>
      <c r="K66" s="15">
        <v>568.77</v>
      </c>
      <c r="L66" s="15">
        <v>568.77</v>
      </c>
      <c r="M66" s="15">
        <v>1137.54</v>
      </c>
      <c r="N66" s="15">
        <v>568.77</v>
      </c>
      <c r="O66" t="s">
        <v>3028</v>
      </c>
    </row>
    <row r="67" spans="1:15" x14ac:dyDescent="0.25">
      <c r="A67" s="10" t="s">
        <v>376</v>
      </c>
      <c r="B67" s="15">
        <v>568.77</v>
      </c>
      <c r="C67" s="15">
        <v>568.77</v>
      </c>
      <c r="D67" s="15">
        <v>568.77</v>
      </c>
      <c r="E67" s="15">
        <v>0</v>
      </c>
      <c r="F67" s="15">
        <v>0</v>
      </c>
      <c r="G67" s="15">
        <v>0</v>
      </c>
      <c r="H67" s="15">
        <v>0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568.77</v>
      </c>
      <c r="O67" t="s">
        <v>3028</v>
      </c>
    </row>
    <row r="68" spans="1:15" x14ac:dyDescent="0.25">
      <c r="A68" s="10" t="s">
        <v>380</v>
      </c>
      <c r="B68" s="15">
        <v>189.59</v>
      </c>
      <c r="C68" s="15">
        <v>189.59</v>
      </c>
      <c r="D68" s="15">
        <v>379.18</v>
      </c>
      <c r="E68" s="15">
        <v>189.59</v>
      </c>
      <c r="F68" s="15">
        <v>189.59</v>
      </c>
      <c r="G68" s="15">
        <v>189.59</v>
      </c>
      <c r="H68" s="15">
        <v>189.59</v>
      </c>
      <c r="I68" s="15">
        <v>189.59</v>
      </c>
      <c r="J68" s="15">
        <v>189.59</v>
      </c>
      <c r="K68" s="15">
        <v>189.59</v>
      </c>
      <c r="L68" s="15">
        <v>189.59</v>
      </c>
      <c r="M68" s="15">
        <v>189.59</v>
      </c>
      <c r="N68" s="15">
        <v>189.59</v>
      </c>
      <c r="O68" t="s">
        <v>3028</v>
      </c>
    </row>
    <row r="69" spans="1:15" x14ac:dyDescent="0.25">
      <c r="A69" s="10" t="s">
        <v>382</v>
      </c>
      <c r="B69" s="15">
        <v>379.18</v>
      </c>
      <c r="C69" s="15">
        <v>379.18</v>
      </c>
      <c r="D69" s="15">
        <v>379.18</v>
      </c>
      <c r="E69" s="15">
        <v>758.36</v>
      </c>
      <c r="F69" s="15">
        <v>758.36</v>
      </c>
      <c r="G69" s="15">
        <v>379.18</v>
      </c>
      <c r="H69" s="15">
        <v>379.18</v>
      </c>
      <c r="I69" s="15">
        <v>379.18</v>
      </c>
      <c r="J69" s="15">
        <v>379.18</v>
      </c>
      <c r="K69" s="15">
        <v>379.18</v>
      </c>
      <c r="L69" s="15">
        <v>379.18</v>
      </c>
      <c r="M69" s="15">
        <v>379.18</v>
      </c>
      <c r="N69" s="15">
        <v>379.18</v>
      </c>
      <c r="O69" t="s">
        <v>3028</v>
      </c>
    </row>
    <row r="70" spans="1:15" x14ac:dyDescent="0.25">
      <c r="A70" s="10" t="s">
        <v>384</v>
      </c>
      <c r="B70" s="15">
        <v>189.59</v>
      </c>
      <c r="C70" s="15">
        <v>189.59</v>
      </c>
      <c r="D70" s="15">
        <v>379.18</v>
      </c>
      <c r="E70" s="15">
        <v>189.59</v>
      </c>
      <c r="F70" s="15">
        <v>189.59</v>
      </c>
      <c r="G70" s="15">
        <v>189.59</v>
      </c>
      <c r="H70" s="15">
        <v>189.59</v>
      </c>
      <c r="I70" s="15">
        <v>189.59</v>
      </c>
      <c r="J70" s="15">
        <v>189.59</v>
      </c>
      <c r="K70" s="15">
        <v>189.59</v>
      </c>
      <c r="L70" s="15">
        <v>189.59</v>
      </c>
      <c r="M70" s="15">
        <v>189.59</v>
      </c>
      <c r="N70" s="15">
        <v>189.59</v>
      </c>
      <c r="O70" t="s">
        <v>3028</v>
      </c>
    </row>
    <row r="71" spans="1:15" x14ac:dyDescent="0.25">
      <c r="A71" s="10" t="s">
        <v>392</v>
      </c>
      <c r="B71" s="15">
        <v>568.77</v>
      </c>
      <c r="C71" s="15">
        <v>568.77</v>
      </c>
      <c r="D71" s="15">
        <v>568.77</v>
      </c>
      <c r="E71" s="15">
        <v>568.77</v>
      </c>
      <c r="F71" s="15">
        <v>568.77</v>
      </c>
      <c r="G71" s="15">
        <v>568.77</v>
      </c>
      <c r="H71" s="15">
        <v>568.77</v>
      </c>
      <c r="I71" s="15">
        <v>568.77</v>
      </c>
      <c r="J71" s="15">
        <v>568.77</v>
      </c>
      <c r="K71" s="15">
        <v>1137.54</v>
      </c>
      <c r="L71" s="15">
        <v>568.77</v>
      </c>
      <c r="M71" s="15">
        <v>568.77</v>
      </c>
      <c r="N71" s="15">
        <v>568.77</v>
      </c>
      <c r="O71" t="s">
        <v>3028</v>
      </c>
    </row>
    <row r="72" spans="1:15" x14ac:dyDescent="0.25">
      <c r="A72" s="10" t="s">
        <v>394</v>
      </c>
      <c r="B72" s="15">
        <v>189.59</v>
      </c>
      <c r="C72" s="15">
        <v>189.59</v>
      </c>
      <c r="D72" s="15">
        <v>189.59</v>
      </c>
      <c r="E72" s="15">
        <v>379.18</v>
      </c>
      <c r="F72" s="15">
        <v>379.18</v>
      </c>
      <c r="G72" s="15">
        <v>189.59</v>
      </c>
      <c r="H72" s="15">
        <v>189.59</v>
      </c>
      <c r="I72" s="15">
        <v>189.59</v>
      </c>
      <c r="J72" s="15">
        <v>189.59</v>
      </c>
      <c r="K72" s="15">
        <v>189.59</v>
      </c>
      <c r="L72" s="15">
        <v>189.59</v>
      </c>
      <c r="M72" s="15">
        <v>189.59</v>
      </c>
      <c r="N72" s="15">
        <v>189.59</v>
      </c>
      <c r="O72" t="s">
        <v>3028</v>
      </c>
    </row>
    <row r="73" spans="1:15" x14ac:dyDescent="0.25">
      <c r="A73" s="10" t="s">
        <v>398</v>
      </c>
      <c r="B73" s="15">
        <v>189.59</v>
      </c>
      <c r="C73" s="15">
        <v>189.59</v>
      </c>
      <c r="D73" s="15">
        <v>189.59</v>
      </c>
      <c r="E73" s="15">
        <v>189.59</v>
      </c>
      <c r="F73" s="15">
        <v>189.59</v>
      </c>
      <c r="G73" s="15">
        <v>189.59</v>
      </c>
      <c r="H73" s="15">
        <v>379.18</v>
      </c>
      <c r="I73" s="15">
        <v>379.18</v>
      </c>
      <c r="J73" s="15">
        <v>189.59</v>
      </c>
      <c r="K73" s="15">
        <v>189.59</v>
      </c>
      <c r="L73" s="15">
        <v>189.59</v>
      </c>
      <c r="M73" s="15">
        <v>189.59</v>
      </c>
      <c r="N73" s="15">
        <v>189.59</v>
      </c>
      <c r="O73" t="s">
        <v>3028</v>
      </c>
    </row>
    <row r="74" spans="1:15" x14ac:dyDescent="0.25">
      <c r="A74" s="10" t="s">
        <v>402</v>
      </c>
      <c r="B74" s="15">
        <v>189.59</v>
      </c>
      <c r="C74" s="15">
        <v>0</v>
      </c>
      <c r="D74" s="15">
        <v>0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189.59</v>
      </c>
      <c r="O74" t="s">
        <v>3028</v>
      </c>
    </row>
    <row r="75" spans="1:15" x14ac:dyDescent="0.25">
      <c r="A75" s="10" t="s">
        <v>404</v>
      </c>
      <c r="B75" s="15">
        <v>568.77</v>
      </c>
      <c r="C75" s="15">
        <v>568.77</v>
      </c>
      <c r="D75" s="15">
        <v>568.77</v>
      </c>
      <c r="E75" s="15">
        <v>568.77</v>
      </c>
      <c r="F75" s="15">
        <v>568.77</v>
      </c>
      <c r="G75" s="15">
        <v>568.77</v>
      </c>
      <c r="H75" s="15">
        <v>568.77</v>
      </c>
      <c r="I75" s="15">
        <v>568.77</v>
      </c>
      <c r="J75" s="15">
        <v>1137.54</v>
      </c>
      <c r="K75" s="15">
        <v>568.77</v>
      </c>
      <c r="L75" s="15">
        <v>568.77</v>
      </c>
      <c r="M75" s="15">
        <v>568.77</v>
      </c>
      <c r="N75" s="15">
        <v>568.77</v>
      </c>
      <c r="O75" t="s">
        <v>3028</v>
      </c>
    </row>
    <row r="76" spans="1:15" x14ac:dyDescent="0.25">
      <c r="A76" s="10" t="s">
        <v>406</v>
      </c>
      <c r="B76" s="15">
        <v>189.59</v>
      </c>
      <c r="C76" s="15">
        <v>189.59</v>
      </c>
      <c r="D76" s="15">
        <v>189.59</v>
      </c>
      <c r="E76" s="15">
        <v>189.59</v>
      </c>
      <c r="F76" s="15">
        <v>189.59</v>
      </c>
      <c r="G76" s="15">
        <v>189.59</v>
      </c>
      <c r="H76" s="15">
        <v>379.18</v>
      </c>
      <c r="I76" s="15">
        <v>379.18</v>
      </c>
      <c r="J76" s="15">
        <v>189.59</v>
      </c>
      <c r="K76" s="15">
        <v>189.59</v>
      </c>
      <c r="L76" s="15">
        <v>189.59</v>
      </c>
      <c r="M76" s="15">
        <v>189.59</v>
      </c>
      <c r="N76" s="15">
        <v>189.59</v>
      </c>
      <c r="O76" t="s">
        <v>3028</v>
      </c>
    </row>
    <row r="77" spans="1:15" x14ac:dyDescent="0.25">
      <c r="A77" s="10" t="s">
        <v>408</v>
      </c>
      <c r="B77" s="15">
        <v>568.77</v>
      </c>
      <c r="C77" s="15">
        <v>568.77</v>
      </c>
      <c r="D77" s="15">
        <v>568.77</v>
      </c>
      <c r="E77" s="15">
        <v>568.77</v>
      </c>
      <c r="F77" s="15">
        <v>568.77</v>
      </c>
      <c r="G77" s="15">
        <v>568.77</v>
      </c>
      <c r="H77" s="15">
        <v>568.77</v>
      </c>
      <c r="I77" s="15">
        <v>1137.54</v>
      </c>
      <c r="J77" s="15">
        <v>568.77</v>
      </c>
      <c r="K77" s="15">
        <v>568.77</v>
      </c>
      <c r="L77" s="15">
        <v>568.77</v>
      </c>
      <c r="M77" s="15">
        <v>568.77</v>
      </c>
      <c r="N77" s="15">
        <v>568.77</v>
      </c>
      <c r="O77" t="s">
        <v>3028</v>
      </c>
    </row>
    <row r="78" spans="1:15" x14ac:dyDescent="0.25">
      <c r="A78" s="10" t="s">
        <v>410</v>
      </c>
      <c r="B78" s="15">
        <v>379.18</v>
      </c>
      <c r="C78" s="15">
        <v>379.18</v>
      </c>
      <c r="D78" s="15">
        <v>379.18</v>
      </c>
      <c r="E78" s="15">
        <v>379.18</v>
      </c>
      <c r="F78" s="15">
        <v>379.18</v>
      </c>
      <c r="G78" s="15">
        <v>758.36</v>
      </c>
      <c r="H78" s="15">
        <v>379.18</v>
      </c>
      <c r="I78" s="15">
        <v>758.36</v>
      </c>
      <c r="J78" s="15">
        <v>379.18</v>
      </c>
      <c r="K78" s="15">
        <v>379.18</v>
      </c>
      <c r="L78" s="15">
        <v>379.18</v>
      </c>
      <c r="M78" s="15">
        <v>379.18</v>
      </c>
      <c r="N78" s="15">
        <v>379.18</v>
      </c>
      <c r="O78" t="s">
        <v>3028</v>
      </c>
    </row>
    <row r="79" spans="1:15" x14ac:dyDescent="0.25">
      <c r="A79" s="10" t="s">
        <v>412</v>
      </c>
      <c r="B79" s="15">
        <v>379.18</v>
      </c>
      <c r="C79" s="15">
        <v>379.18</v>
      </c>
      <c r="D79" s="15">
        <v>379.18</v>
      </c>
      <c r="E79" s="15">
        <v>379.18</v>
      </c>
      <c r="F79" s="15">
        <v>379.18</v>
      </c>
      <c r="G79" s="15">
        <v>379.18</v>
      </c>
      <c r="H79" s="15">
        <v>758.36</v>
      </c>
      <c r="I79" s="15">
        <v>758.36</v>
      </c>
      <c r="J79" s="15">
        <v>379.18</v>
      </c>
      <c r="K79" s="15">
        <v>379.18</v>
      </c>
      <c r="L79" s="15">
        <v>379.18</v>
      </c>
      <c r="M79" s="15">
        <v>379.18</v>
      </c>
      <c r="N79" s="15">
        <v>379.18</v>
      </c>
      <c r="O79" t="s">
        <v>3028</v>
      </c>
    </row>
    <row r="80" spans="1:15" x14ac:dyDescent="0.25">
      <c r="A80" s="10" t="s">
        <v>414</v>
      </c>
      <c r="B80" s="15">
        <v>568.77</v>
      </c>
      <c r="C80" s="15">
        <v>1137.54</v>
      </c>
      <c r="D80" s="15">
        <v>568.77</v>
      </c>
      <c r="E80" s="15">
        <v>568.77</v>
      </c>
      <c r="F80" s="15">
        <v>568.77</v>
      </c>
      <c r="G80" s="15">
        <v>568.77</v>
      </c>
      <c r="H80" s="15">
        <v>568.77</v>
      </c>
      <c r="I80" s="15">
        <v>568.77</v>
      </c>
      <c r="J80" s="15">
        <v>568.77</v>
      </c>
      <c r="K80" s="15">
        <v>568.77</v>
      </c>
      <c r="L80" s="15">
        <v>568.77</v>
      </c>
      <c r="M80" s="15">
        <v>568.77</v>
      </c>
      <c r="N80" s="15">
        <v>568.77</v>
      </c>
      <c r="O80" t="s">
        <v>3028</v>
      </c>
    </row>
    <row r="81" spans="1:15" x14ac:dyDescent="0.25">
      <c r="A81" s="10" t="s">
        <v>418</v>
      </c>
      <c r="B81" s="15">
        <v>189.59</v>
      </c>
      <c r="C81" s="15">
        <v>189.59</v>
      </c>
      <c r="D81" s="15">
        <v>189.59</v>
      </c>
      <c r="E81" s="15">
        <v>189.59</v>
      </c>
      <c r="F81" s="15">
        <v>189.59</v>
      </c>
      <c r="G81" s="15">
        <v>189.59</v>
      </c>
      <c r="H81" s="15">
        <v>189.59</v>
      </c>
      <c r="I81" s="15">
        <v>189.59</v>
      </c>
      <c r="J81" s="15">
        <v>189.59</v>
      </c>
      <c r="K81" s="15">
        <v>189.59</v>
      </c>
      <c r="L81" s="15">
        <v>189.59</v>
      </c>
      <c r="M81" s="15">
        <v>189.59</v>
      </c>
      <c r="N81" s="15">
        <v>189.59</v>
      </c>
      <c r="O81" t="s">
        <v>3028</v>
      </c>
    </row>
    <row r="82" spans="1:15" x14ac:dyDescent="0.25">
      <c r="A82" s="10" t="s">
        <v>422</v>
      </c>
      <c r="B82" s="15">
        <v>379.18</v>
      </c>
      <c r="C82" s="15">
        <v>379.18</v>
      </c>
      <c r="D82" s="15">
        <v>379.18</v>
      </c>
      <c r="E82" s="15">
        <v>379.18</v>
      </c>
      <c r="F82" s="15">
        <v>379.18</v>
      </c>
      <c r="G82" s="15">
        <v>379.18</v>
      </c>
      <c r="H82" s="15">
        <v>379.18</v>
      </c>
      <c r="I82" s="15">
        <v>379.18</v>
      </c>
      <c r="J82" s="15">
        <v>379.18</v>
      </c>
      <c r="K82" s="15">
        <v>379.18</v>
      </c>
      <c r="L82" s="15">
        <v>758.36</v>
      </c>
      <c r="M82" s="15">
        <v>379.18</v>
      </c>
      <c r="N82" s="15">
        <v>379.18</v>
      </c>
      <c r="O82" t="s">
        <v>3028</v>
      </c>
    </row>
    <row r="83" spans="1:15" x14ac:dyDescent="0.25">
      <c r="A83" s="10" t="s">
        <v>426</v>
      </c>
      <c r="B83" s="15">
        <v>568.77</v>
      </c>
      <c r="C83" s="15">
        <v>1137.54</v>
      </c>
      <c r="D83" s="15">
        <v>568.77</v>
      </c>
      <c r="E83" s="15">
        <v>568.77</v>
      </c>
      <c r="F83" s="15">
        <v>568.77</v>
      </c>
      <c r="G83" s="15">
        <v>568.77</v>
      </c>
      <c r="H83" s="15">
        <v>568.77</v>
      </c>
      <c r="I83" s="15">
        <v>568.77</v>
      </c>
      <c r="J83" s="15">
        <v>568.77</v>
      </c>
      <c r="K83" s="15">
        <v>568.77</v>
      </c>
      <c r="L83" s="15">
        <v>568.77</v>
      </c>
      <c r="M83" s="15">
        <v>568.77</v>
      </c>
      <c r="N83" s="15">
        <v>568.77</v>
      </c>
      <c r="O83" t="s">
        <v>3028</v>
      </c>
    </row>
    <row r="84" spans="1:15" x14ac:dyDescent="0.25">
      <c r="A84" s="10" t="s">
        <v>430</v>
      </c>
      <c r="B84" s="15">
        <v>379.18</v>
      </c>
      <c r="C84" s="15">
        <v>379.18</v>
      </c>
      <c r="D84" s="15">
        <v>379.18</v>
      </c>
      <c r="E84" s="15">
        <v>379.18</v>
      </c>
      <c r="F84" s="15">
        <v>379.18</v>
      </c>
      <c r="G84" s="15">
        <v>758.36</v>
      </c>
      <c r="H84" s="15">
        <v>379.18</v>
      </c>
      <c r="I84" s="15">
        <v>758.36</v>
      </c>
      <c r="J84" s="15">
        <v>379.18</v>
      </c>
      <c r="K84" s="15">
        <v>379.18</v>
      </c>
      <c r="L84" s="15">
        <v>379.18</v>
      </c>
      <c r="M84" s="15">
        <v>379.18</v>
      </c>
      <c r="N84" s="15">
        <v>379.18</v>
      </c>
      <c r="O84" t="s">
        <v>3028</v>
      </c>
    </row>
    <row r="85" spans="1:15" x14ac:dyDescent="0.25">
      <c r="A85" s="10" t="s">
        <v>432</v>
      </c>
      <c r="B85" s="15">
        <v>568.77</v>
      </c>
      <c r="C85" s="15">
        <v>568.77</v>
      </c>
      <c r="D85" s="15">
        <v>568.77</v>
      </c>
      <c r="E85" s="15">
        <v>568.77</v>
      </c>
      <c r="F85" s="15">
        <v>568.77</v>
      </c>
      <c r="G85" s="15">
        <v>568.77</v>
      </c>
      <c r="H85" s="15">
        <v>568.77</v>
      </c>
      <c r="I85" s="15">
        <v>568.77</v>
      </c>
      <c r="J85" s="15">
        <v>1137.54</v>
      </c>
      <c r="K85" s="15">
        <v>568.77</v>
      </c>
      <c r="L85" s="15">
        <v>568.77</v>
      </c>
      <c r="M85" s="15">
        <v>568.77</v>
      </c>
      <c r="N85" s="15">
        <v>568.77</v>
      </c>
      <c r="O85" t="s">
        <v>3028</v>
      </c>
    </row>
    <row r="86" spans="1:15" x14ac:dyDescent="0.25">
      <c r="A86" s="10" t="s">
        <v>434</v>
      </c>
      <c r="B86" s="15">
        <v>0</v>
      </c>
      <c r="C86" s="15">
        <v>0</v>
      </c>
      <c r="D86" s="15">
        <v>0</v>
      </c>
      <c r="E86" s="15">
        <v>0</v>
      </c>
      <c r="F86" s="15">
        <v>0</v>
      </c>
      <c r="G86" s="15">
        <v>0</v>
      </c>
      <c r="H86" s="15">
        <v>568.77</v>
      </c>
      <c r="I86" s="15">
        <v>568.77</v>
      </c>
      <c r="J86" s="15">
        <v>568.77</v>
      </c>
      <c r="K86" s="15">
        <v>568.77</v>
      </c>
      <c r="L86" s="15">
        <v>568.77</v>
      </c>
      <c r="M86" s="15">
        <v>568.77</v>
      </c>
      <c r="N86" s="15">
        <v>568.77</v>
      </c>
      <c r="O86" t="s">
        <v>3028</v>
      </c>
    </row>
    <row r="87" spans="1:15" x14ac:dyDescent="0.25">
      <c r="A87" s="10" t="s">
        <v>438</v>
      </c>
      <c r="B87" s="15">
        <v>379.18</v>
      </c>
      <c r="C87" s="15">
        <v>379.18</v>
      </c>
      <c r="D87" s="15">
        <v>379.18</v>
      </c>
      <c r="E87" s="15">
        <v>379.18</v>
      </c>
      <c r="F87" s="15">
        <v>379.18</v>
      </c>
      <c r="G87" s="15">
        <v>379.18</v>
      </c>
      <c r="H87" s="15">
        <v>379.18</v>
      </c>
      <c r="I87" s="15">
        <v>379.18</v>
      </c>
      <c r="J87" s="15">
        <v>758.36</v>
      </c>
      <c r="K87" s="15">
        <v>379.18</v>
      </c>
      <c r="L87" s="15">
        <v>379.18</v>
      </c>
      <c r="M87" s="15">
        <v>379.18</v>
      </c>
      <c r="N87" s="15">
        <v>379.18</v>
      </c>
      <c r="O87" t="s">
        <v>3028</v>
      </c>
    </row>
    <row r="88" spans="1:15" x14ac:dyDescent="0.25">
      <c r="A88" s="10" t="s">
        <v>440</v>
      </c>
      <c r="B88" s="15">
        <v>379.18</v>
      </c>
      <c r="C88" s="15">
        <v>379.18</v>
      </c>
      <c r="D88" s="15">
        <v>379.18</v>
      </c>
      <c r="E88" s="15">
        <v>379.18</v>
      </c>
      <c r="F88" s="15">
        <v>379.18</v>
      </c>
      <c r="G88" s="15">
        <v>379.18</v>
      </c>
      <c r="H88" s="15">
        <v>379.18</v>
      </c>
      <c r="I88" s="15">
        <v>379.18</v>
      </c>
      <c r="J88" s="15">
        <v>379.18</v>
      </c>
      <c r="K88" s="15">
        <v>379.18</v>
      </c>
      <c r="L88" s="15">
        <v>379.18</v>
      </c>
      <c r="M88" s="15">
        <v>379.18</v>
      </c>
      <c r="N88" s="15">
        <v>379.18</v>
      </c>
      <c r="O88" t="s">
        <v>3028</v>
      </c>
    </row>
    <row r="89" spans="1:15" x14ac:dyDescent="0.25">
      <c r="A89" s="10" t="s">
        <v>442</v>
      </c>
      <c r="B89" s="15">
        <v>568.77</v>
      </c>
      <c r="C89" s="15">
        <v>568.77</v>
      </c>
      <c r="D89" s="15">
        <v>568.77</v>
      </c>
      <c r="E89" s="15">
        <v>568.77</v>
      </c>
      <c r="F89" s="15">
        <v>1137.54</v>
      </c>
      <c r="G89" s="15">
        <v>568.77</v>
      </c>
      <c r="H89" s="15">
        <v>568.77</v>
      </c>
      <c r="I89" s="15">
        <v>1137.54</v>
      </c>
      <c r="J89" s="15">
        <v>568.77</v>
      </c>
      <c r="K89" s="15">
        <v>568.77</v>
      </c>
      <c r="L89" s="15">
        <v>568.77</v>
      </c>
      <c r="M89" s="15">
        <v>568.77</v>
      </c>
      <c r="N89" s="15">
        <v>568.77</v>
      </c>
      <c r="O89" t="s">
        <v>3028</v>
      </c>
    </row>
    <row r="90" spans="1:15" x14ac:dyDescent="0.25">
      <c r="A90" s="10" t="s">
        <v>444</v>
      </c>
      <c r="B90" s="15">
        <v>379.18</v>
      </c>
      <c r="C90" s="15">
        <v>379.18</v>
      </c>
      <c r="D90" s="15">
        <v>379.18</v>
      </c>
      <c r="E90" s="15">
        <v>379.18</v>
      </c>
      <c r="F90" s="15">
        <v>379.18</v>
      </c>
      <c r="G90" s="15">
        <v>379.18</v>
      </c>
      <c r="H90" s="15">
        <v>379.18</v>
      </c>
      <c r="I90" s="15">
        <v>379.18</v>
      </c>
      <c r="J90" s="15">
        <v>379.18</v>
      </c>
      <c r="K90" s="15">
        <v>379.18</v>
      </c>
      <c r="L90" s="15">
        <v>758.36</v>
      </c>
      <c r="M90" s="15">
        <v>379.18</v>
      </c>
      <c r="N90" s="15">
        <v>379.18</v>
      </c>
      <c r="O90" t="s">
        <v>3028</v>
      </c>
    </row>
    <row r="91" spans="1:15" x14ac:dyDescent="0.25">
      <c r="A91" s="10" t="s">
        <v>454</v>
      </c>
      <c r="B91" s="15">
        <v>189.59</v>
      </c>
      <c r="C91" s="15">
        <v>189.59</v>
      </c>
      <c r="D91" s="15">
        <v>189.59</v>
      </c>
      <c r="E91" s="15">
        <v>189.59</v>
      </c>
      <c r="F91" s="15">
        <v>379.18</v>
      </c>
      <c r="G91" s="15">
        <v>189.59</v>
      </c>
      <c r="H91" s="15">
        <v>189.59</v>
      </c>
      <c r="I91" s="15">
        <v>379.18</v>
      </c>
      <c r="J91" s="15">
        <v>189.59</v>
      </c>
      <c r="K91" s="15">
        <v>189.59</v>
      </c>
      <c r="L91" s="15">
        <v>189.59</v>
      </c>
      <c r="M91" s="15">
        <v>189.59</v>
      </c>
      <c r="N91" s="15">
        <v>189.59</v>
      </c>
      <c r="O91" t="s">
        <v>3028</v>
      </c>
    </row>
    <row r="92" spans="1:15" x14ac:dyDescent="0.25">
      <c r="A92" s="10" t="s">
        <v>456</v>
      </c>
      <c r="B92" s="15">
        <v>189.59</v>
      </c>
      <c r="C92" s="15">
        <v>189.59</v>
      </c>
      <c r="D92" s="15">
        <v>189.59</v>
      </c>
      <c r="E92" s="15">
        <v>189.59</v>
      </c>
      <c r="F92" s="15">
        <v>189.59</v>
      </c>
      <c r="G92" s="15">
        <v>189.59</v>
      </c>
      <c r="H92" s="15">
        <v>189.59</v>
      </c>
      <c r="I92" s="15">
        <v>189.59</v>
      </c>
      <c r="J92" s="15">
        <v>379.18</v>
      </c>
      <c r="K92" s="15">
        <v>189.59</v>
      </c>
      <c r="L92" s="15">
        <v>189.59</v>
      </c>
      <c r="M92" s="15">
        <v>189.59</v>
      </c>
      <c r="N92" s="15">
        <v>189.59</v>
      </c>
      <c r="O92" t="s">
        <v>3028</v>
      </c>
    </row>
    <row r="93" spans="1:15" x14ac:dyDescent="0.25">
      <c r="A93" s="10" t="s">
        <v>458</v>
      </c>
      <c r="B93" s="15">
        <v>568.77</v>
      </c>
      <c r="C93" s="15">
        <v>568.77</v>
      </c>
      <c r="D93" s="15">
        <v>568.77</v>
      </c>
      <c r="E93" s="15">
        <v>568.77</v>
      </c>
      <c r="F93" s="15">
        <v>568.77</v>
      </c>
      <c r="G93" s="15">
        <v>1137.54</v>
      </c>
      <c r="H93" s="15">
        <v>568.77</v>
      </c>
      <c r="I93" s="15">
        <v>1137.54</v>
      </c>
      <c r="J93" s="15">
        <v>568.77</v>
      </c>
      <c r="K93" s="15">
        <v>0</v>
      </c>
      <c r="L93" s="15">
        <v>568.77</v>
      </c>
      <c r="M93" s="15">
        <v>568.77</v>
      </c>
      <c r="N93" s="15">
        <v>568.77</v>
      </c>
      <c r="O93" t="s">
        <v>3028</v>
      </c>
    </row>
    <row r="94" spans="1:15" x14ac:dyDescent="0.25">
      <c r="A94" s="10" t="s">
        <v>460</v>
      </c>
      <c r="B94" s="15">
        <v>189.59</v>
      </c>
      <c r="C94" s="15">
        <v>189.59</v>
      </c>
      <c r="D94" s="15">
        <v>379.18</v>
      </c>
      <c r="E94" s="15">
        <v>189.59</v>
      </c>
      <c r="F94" s="15">
        <v>379.18</v>
      </c>
      <c r="G94" s="15">
        <v>189.59</v>
      </c>
      <c r="H94" s="15">
        <v>189.59</v>
      </c>
      <c r="I94" s="15">
        <v>189.59</v>
      </c>
      <c r="J94" s="15">
        <v>189.59</v>
      </c>
      <c r="K94" s="15">
        <v>189.59</v>
      </c>
      <c r="L94" s="15">
        <v>189.59</v>
      </c>
      <c r="M94" s="15">
        <v>189.59</v>
      </c>
      <c r="N94" s="15">
        <v>189.59</v>
      </c>
      <c r="O94" t="s">
        <v>3028</v>
      </c>
    </row>
    <row r="95" spans="1:15" x14ac:dyDescent="0.25">
      <c r="A95" s="10" t="s">
        <v>462</v>
      </c>
      <c r="B95" s="15">
        <v>379.18</v>
      </c>
      <c r="C95" s="15">
        <v>379.18</v>
      </c>
      <c r="D95" s="15">
        <v>379.18</v>
      </c>
      <c r="E95" s="15">
        <v>379.18</v>
      </c>
      <c r="F95" s="15">
        <v>379.18</v>
      </c>
      <c r="G95" s="15">
        <v>758.36</v>
      </c>
      <c r="H95" s="15">
        <v>379.18</v>
      </c>
      <c r="I95" s="15">
        <v>379.18</v>
      </c>
      <c r="J95" s="15">
        <v>379.18</v>
      </c>
      <c r="K95" s="15">
        <v>379.18</v>
      </c>
      <c r="L95" s="15">
        <v>379.18</v>
      </c>
      <c r="M95" s="15">
        <v>379.18</v>
      </c>
      <c r="N95" s="15">
        <v>379.18</v>
      </c>
      <c r="O95" t="s">
        <v>3028</v>
      </c>
    </row>
    <row r="96" spans="1:15" x14ac:dyDescent="0.25">
      <c r="A96" s="10" t="s">
        <v>464</v>
      </c>
      <c r="B96" s="15">
        <v>568.77</v>
      </c>
      <c r="C96" s="15">
        <v>0</v>
      </c>
      <c r="D96" s="15">
        <v>0</v>
      </c>
      <c r="E96" s="15">
        <v>0</v>
      </c>
      <c r="F96" s="15">
        <v>568.77</v>
      </c>
      <c r="G96" s="15">
        <v>568.77</v>
      </c>
      <c r="H96" s="15">
        <v>1137.54</v>
      </c>
      <c r="I96" s="15">
        <v>568.77</v>
      </c>
      <c r="J96" s="15">
        <v>568.77</v>
      </c>
      <c r="K96" s="15">
        <v>568.77</v>
      </c>
      <c r="L96" s="15">
        <v>568.77</v>
      </c>
      <c r="M96" s="15">
        <v>568.77</v>
      </c>
      <c r="N96" s="15">
        <v>568.77</v>
      </c>
      <c r="O96" t="s">
        <v>3028</v>
      </c>
    </row>
    <row r="97" spans="1:15" x14ac:dyDescent="0.25">
      <c r="A97" s="10" t="s">
        <v>466</v>
      </c>
      <c r="B97" s="15">
        <v>568.77</v>
      </c>
      <c r="C97" s="15">
        <v>568.77</v>
      </c>
      <c r="D97" s="15">
        <v>568.77</v>
      </c>
      <c r="E97" s="15">
        <v>568.77</v>
      </c>
      <c r="F97" s="15">
        <v>568.77</v>
      </c>
      <c r="G97" s="15">
        <v>1137.54</v>
      </c>
      <c r="H97" s="15">
        <v>568.77</v>
      </c>
      <c r="I97" s="15">
        <v>1137.54</v>
      </c>
      <c r="J97" s="15">
        <v>568.77</v>
      </c>
      <c r="K97" s="15">
        <v>568.77</v>
      </c>
      <c r="L97" s="15">
        <v>568.77</v>
      </c>
      <c r="M97" s="15">
        <v>568.77</v>
      </c>
      <c r="N97" s="15">
        <v>568.77</v>
      </c>
      <c r="O97" t="s">
        <v>3028</v>
      </c>
    </row>
    <row r="98" spans="1:15" x14ac:dyDescent="0.25">
      <c r="A98" s="10" t="s">
        <v>468</v>
      </c>
      <c r="B98" s="15">
        <v>189.59</v>
      </c>
      <c r="C98" s="15">
        <v>189.59</v>
      </c>
      <c r="D98" s="15">
        <v>189.59</v>
      </c>
      <c r="E98" s="15">
        <v>189.59</v>
      </c>
      <c r="F98" s="15">
        <v>189.59</v>
      </c>
      <c r="G98" s="15">
        <v>189.59</v>
      </c>
      <c r="H98" s="15">
        <v>379.18</v>
      </c>
      <c r="I98" s="15">
        <v>379.18</v>
      </c>
      <c r="J98" s="15">
        <v>189.59</v>
      </c>
      <c r="K98" s="15">
        <v>189.59</v>
      </c>
      <c r="L98" s="15">
        <v>189.59</v>
      </c>
      <c r="M98" s="15">
        <v>189.59</v>
      </c>
      <c r="N98" s="15">
        <v>189.59</v>
      </c>
      <c r="O98" t="s">
        <v>3028</v>
      </c>
    </row>
    <row r="99" spans="1:15" x14ac:dyDescent="0.25">
      <c r="A99" s="10" t="s">
        <v>470</v>
      </c>
      <c r="B99" s="15">
        <v>379.18</v>
      </c>
      <c r="C99" s="15">
        <v>379.18</v>
      </c>
      <c r="D99" s="15">
        <v>379.18</v>
      </c>
      <c r="E99" s="15">
        <v>379.18</v>
      </c>
      <c r="F99" s="15">
        <v>379.18</v>
      </c>
      <c r="G99" s="15">
        <v>758.36</v>
      </c>
      <c r="H99" s="15">
        <v>379.18</v>
      </c>
      <c r="I99" s="15">
        <v>758.36</v>
      </c>
      <c r="J99" s="15">
        <v>379.18</v>
      </c>
      <c r="K99" s="15">
        <v>379.18</v>
      </c>
      <c r="L99" s="15">
        <v>379.18</v>
      </c>
      <c r="M99" s="15">
        <v>379.18</v>
      </c>
      <c r="N99" s="15">
        <v>379.18</v>
      </c>
      <c r="O99" t="s">
        <v>3028</v>
      </c>
    </row>
    <row r="100" spans="1:15" x14ac:dyDescent="0.25">
      <c r="A100" s="10" t="s">
        <v>472</v>
      </c>
      <c r="B100" s="15">
        <v>189.59</v>
      </c>
      <c r="C100" s="15">
        <v>189.59</v>
      </c>
      <c r="D100" s="15">
        <v>189.59</v>
      </c>
      <c r="E100" s="15">
        <v>189.59</v>
      </c>
      <c r="F100" s="15">
        <v>379.18</v>
      </c>
      <c r="G100" s="15">
        <v>189.59</v>
      </c>
      <c r="H100" s="15">
        <v>189.59</v>
      </c>
      <c r="I100" s="15">
        <v>189.59</v>
      </c>
      <c r="J100" s="15">
        <v>189.59</v>
      </c>
      <c r="K100" s="15">
        <v>189.59</v>
      </c>
      <c r="L100" s="15">
        <v>189.59</v>
      </c>
      <c r="M100" s="15">
        <v>189.59</v>
      </c>
      <c r="N100" s="15">
        <v>189.59</v>
      </c>
      <c r="O100" t="s">
        <v>3028</v>
      </c>
    </row>
    <row r="101" spans="1:15" x14ac:dyDescent="0.25">
      <c r="A101" s="10" t="s">
        <v>474</v>
      </c>
      <c r="B101" s="15">
        <v>379.18</v>
      </c>
      <c r="C101" s="15">
        <v>379.18</v>
      </c>
      <c r="D101" s="15">
        <v>379.18</v>
      </c>
      <c r="E101" s="15">
        <v>758.36</v>
      </c>
      <c r="F101" s="15">
        <v>758.36</v>
      </c>
      <c r="G101" s="15">
        <v>379.18</v>
      </c>
      <c r="H101" s="15">
        <v>379.18</v>
      </c>
      <c r="I101" s="15">
        <v>379.18</v>
      </c>
      <c r="J101" s="15">
        <v>379.18</v>
      </c>
      <c r="K101" s="15">
        <v>379.18</v>
      </c>
      <c r="L101" s="15">
        <v>379.18</v>
      </c>
      <c r="M101" s="15">
        <v>379.18</v>
      </c>
      <c r="N101" s="15">
        <v>379.18</v>
      </c>
      <c r="O101" t="s">
        <v>3028</v>
      </c>
    </row>
    <row r="102" spans="1:15" x14ac:dyDescent="0.25">
      <c r="A102" s="10" t="s">
        <v>478</v>
      </c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G102" s="15">
        <v>0</v>
      </c>
      <c r="H102" s="15">
        <v>0</v>
      </c>
      <c r="I102" s="15">
        <v>568.77</v>
      </c>
      <c r="J102" s="15">
        <v>568.77</v>
      </c>
      <c r="K102" s="15">
        <v>568.77</v>
      </c>
      <c r="L102" s="15">
        <v>568.77</v>
      </c>
      <c r="M102" s="15">
        <v>568.77</v>
      </c>
      <c r="N102" s="15">
        <v>568.77</v>
      </c>
      <c r="O102" t="s">
        <v>3028</v>
      </c>
    </row>
    <row r="103" spans="1:15" x14ac:dyDescent="0.25">
      <c r="A103" s="10" t="s">
        <v>480</v>
      </c>
      <c r="B103" s="15">
        <v>379.18</v>
      </c>
      <c r="C103" s="15">
        <v>379.18</v>
      </c>
      <c r="D103" s="15">
        <v>0</v>
      </c>
      <c r="E103" s="15">
        <v>0</v>
      </c>
      <c r="F103" s="15">
        <v>0</v>
      </c>
      <c r="G103" s="15">
        <v>0</v>
      </c>
      <c r="H103" s="15">
        <v>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379.18</v>
      </c>
      <c r="O103" t="s">
        <v>3028</v>
      </c>
    </row>
    <row r="104" spans="1:15" x14ac:dyDescent="0.25">
      <c r="A104" s="10" t="s">
        <v>494</v>
      </c>
      <c r="B104" s="15">
        <v>379.18</v>
      </c>
      <c r="C104" s="15">
        <v>379.18</v>
      </c>
      <c r="D104" s="15">
        <v>758.36</v>
      </c>
      <c r="E104" s="15">
        <v>379.18</v>
      </c>
      <c r="F104" s="15">
        <v>379.18</v>
      </c>
      <c r="G104" s="15">
        <v>758.36</v>
      </c>
      <c r="H104" s="15">
        <v>379.18</v>
      </c>
      <c r="I104" s="15">
        <v>758.36</v>
      </c>
      <c r="J104" s="15">
        <v>379.18</v>
      </c>
      <c r="K104" s="15">
        <v>379.18</v>
      </c>
      <c r="L104" s="15">
        <v>379.18</v>
      </c>
      <c r="M104" s="15">
        <v>379.18</v>
      </c>
      <c r="N104" s="15">
        <v>379.18</v>
      </c>
      <c r="O104" t="s">
        <v>3028</v>
      </c>
    </row>
    <row r="105" spans="1:15" x14ac:dyDescent="0.25">
      <c r="A105" s="10" t="s">
        <v>496</v>
      </c>
      <c r="B105" s="15">
        <v>379.18</v>
      </c>
      <c r="C105" s="15">
        <v>379.18</v>
      </c>
      <c r="D105" s="15">
        <v>379.18</v>
      </c>
      <c r="E105" s="15">
        <v>379.18</v>
      </c>
      <c r="F105" s="15">
        <v>758.36</v>
      </c>
      <c r="G105" s="15">
        <v>379.18</v>
      </c>
      <c r="H105" s="15">
        <v>379.18</v>
      </c>
      <c r="I105" s="15">
        <v>0</v>
      </c>
      <c r="J105" s="15">
        <v>758.36</v>
      </c>
      <c r="K105" s="15">
        <v>0</v>
      </c>
      <c r="L105" s="15">
        <v>0</v>
      </c>
      <c r="M105" s="15">
        <v>0</v>
      </c>
      <c r="N105" s="15">
        <v>379.18</v>
      </c>
      <c r="O105" t="s">
        <v>3028</v>
      </c>
    </row>
    <row r="106" spans="1:15" x14ac:dyDescent="0.25">
      <c r="A106" s="10" t="s">
        <v>502</v>
      </c>
      <c r="B106" s="15">
        <v>189.59</v>
      </c>
      <c r="C106" s="15">
        <v>189.59</v>
      </c>
      <c r="D106" s="15">
        <v>189.59</v>
      </c>
      <c r="E106" s="15">
        <v>189.59</v>
      </c>
      <c r="F106" s="15">
        <v>189.59</v>
      </c>
      <c r="G106" s="15">
        <v>189.59</v>
      </c>
      <c r="H106" s="15">
        <v>189.59</v>
      </c>
      <c r="I106" s="15">
        <v>189.59</v>
      </c>
      <c r="J106" s="15">
        <v>189.59</v>
      </c>
      <c r="K106" s="15">
        <v>189.59</v>
      </c>
      <c r="L106" s="15">
        <v>189.59</v>
      </c>
      <c r="M106" s="15">
        <v>0</v>
      </c>
      <c r="N106" s="15">
        <v>189.59</v>
      </c>
      <c r="O106" t="s">
        <v>3028</v>
      </c>
    </row>
    <row r="107" spans="1:15" x14ac:dyDescent="0.25">
      <c r="A107" s="10" t="s">
        <v>506</v>
      </c>
      <c r="B107" s="15">
        <v>568.77</v>
      </c>
      <c r="C107" s="15">
        <v>568.77</v>
      </c>
      <c r="D107" s="15">
        <v>568.77</v>
      </c>
      <c r="E107" s="15">
        <v>1137.54</v>
      </c>
      <c r="F107" s="15">
        <v>1137.54</v>
      </c>
      <c r="G107" s="15">
        <v>568.77</v>
      </c>
      <c r="H107" s="15">
        <v>568.77</v>
      </c>
      <c r="I107" s="15">
        <v>568.77</v>
      </c>
      <c r="J107" s="15">
        <v>568.77</v>
      </c>
      <c r="K107" s="15">
        <v>568.77</v>
      </c>
      <c r="L107" s="15">
        <v>568.77</v>
      </c>
      <c r="M107" s="15">
        <v>568.77</v>
      </c>
      <c r="N107" s="15">
        <v>568.77</v>
      </c>
      <c r="O107" t="s">
        <v>3028</v>
      </c>
    </row>
    <row r="108" spans="1:15" x14ac:dyDescent="0.25">
      <c r="A108" s="10" t="s">
        <v>510</v>
      </c>
      <c r="B108" s="15">
        <v>379.18</v>
      </c>
      <c r="C108" s="15">
        <v>379.18</v>
      </c>
      <c r="D108" s="15">
        <v>379.18</v>
      </c>
      <c r="E108" s="15">
        <v>379.18</v>
      </c>
      <c r="F108" s="15">
        <v>379.18</v>
      </c>
      <c r="G108" s="15">
        <v>758.36</v>
      </c>
      <c r="H108" s="15">
        <v>379.18</v>
      </c>
      <c r="I108" s="15">
        <v>758.36</v>
      </c>
      <c r="J108" s="15">
        <v>379.18</v>
      </c>
      <c r="K108" s="15">
        <v>379.18</v>
      </c>
      <c r="L108" s="15">
        <v>379.18</v>
      </c>
      <c r="M108" s="15">
        <v>379.18</v>
      </c>
      <c r="N108" s="15">
        <v>379.18</v>
      </c>
      <c r="O108" t="s">
        <v>3028</v>
      </c>
    </row>
    <row r="109" spans="1:15" x14ac:dyDescent="0.25">
      <c r="A109" s="10" t="s">
        <v>85</v>
      </c>
      <c r="B109" s="15">
        <v>189.59</v>
      </c>
      <c r="C109" s="15">
        <v>189.59</v>
      </c>
      <c r="D109" s="15">
        <v>189.59</v>
      </c>
      <c r="E109" s="15">
        <v>189.59</v>
      </c>
      <c r="F109" s="15">
        <v>189.59</v>
      </c>
      <c r="G109" s="15">
        <v>189.59</v>
      </c>
      <c r="H109" s="15">
        <v>189.59</v>
      </c>
      <c r="I109" s="15">
        <v>379.18</v>
      </c>
      <c r="J109" s="15">
        <v>189.59</v>
      </c>
      <c r="K109" s="15">
        <v>189.59</v>
      </c>
      <c r="L109" s="15">
        <v>189.59</v>
      </c>
      <c r="M109" s="15">
        <v>189.59</v>
      </c>
      <c r="N109" s="15">
        <v>189.59</v>
      </c>
      <c r="O109" t="s">
        <v>3028</v>
      </c>
    </row>
    <row r="110" spans="1:15" x14ac:dyDescent="0.25">
      <c r="A110" s="10" t="s">
        <v>512</v>
      </c>
      <c r="B110" s="15">
        <v>189.59</v>
      </c>
      <c r="C110" s="15">
        <v>189.59</v>
      </c>
      <c r="D110" s="15">
        <v>189.59</v>
      </c>
      <c r="E110" s="15">
        <v>189.59</v>
      </c>
      <c r="F110" s="15">
        <v>189.59</v>
      </c>
      <c r="G110" s="15">
        <v>189.59</v>
      </c>
      <c r="H110" s="15">
        <v>189.59</v>
      </c>
      <c r="I110" s="15">
        <v>189.59</v>
      </c>
      <c r="J110" s="15">
        <v>189.59</v>
      </c>
      <c r="K110" s="15">
        <v>379.18</v>
      </c>
      <c r="L110" s="15">
        <v>189.59</v>
      </c>
      <c r="M110" s="15">
        <v>189.59</v>
      </c>
      <c r="N110" s="15">
        <v>189.59</v>
      </c>
      <c r="O110" t="s">
        <v>3028</v>
      </c>
    </row>
    <row r="111" spans="1:15" x14ac:dyDescent="0.25">
      <c r="A111" s="10" t="s">
        <v>514</v>
      </c>
      <c r="B111" s="15">
        <v>568.77</v>
      </c>
      <c r="C111" s="15">
        <v>568.77</v>
      </c>
      <c r="D111" s="15">
        <v>568.77</v>
      </c>
      <c r="E111" s="15">
        <v>568.77</v>
      </c>
      <c r="F111" s="15">
        <v>568.77</v>
      </c>
      <c r="G111" s="15">
        <v>568.77</v>
      </c>
      <c r="H111" s="15">
        <v>568.77</v>
      </c>
      <c r="I111" s="15">
        <v>568.77</v>
      </c>
      <c r="J111" s="15">
        <v>568.77</v>
      </c>
      <c r="K111" s="15">
        <v>1137.54</v>
      </c>
      <c r="L111" s="15">
        <v>568.77</v>
      </c>
      <c r="M111" s="15">
        <v>568.77</v>
      </c>
      <c r="N111" s="15">
        <v>568.77</v>
      </c>
      <c r="O111" t="s">
        <v>3028</v>
      </c>
    </row>
    <row r="112" spans="1:15" x14ac:dyDescent="0.25">
      <c r="A112" s="10" t="s">
        <v>516</v>
      </c>
      <c r="B112" s="15">
        <v>379.18</v>
      </c>
      <c r="C112" s="15">
        <v>379.18</v>
      </c>
      <c r="D112" s="15">
        <v>0</v>
      </c>
      <c r="E112" s="15">
        <v>0</v>
      </c>
      <c r="F112" s="15">
        <v>0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379.18</v>
      </c>
      <c r="O112" t="s">
        <v>3028</v>
      </c>
    </row>
    <row r="113" spans="1:15" x14ac:dyDescent="0.25">
      <c r="A113" s="10" t="s">
        <v>518</v>
      </c>
      <c r="B113" s="15">
        <v>189.59</v>
      </c>
      <c r="C113" s="15">
        <v>189.59</v>
      </c>
      <c r="D113" s="15">
        <v>189.59</v>
      </c>
      <c r="E113" s="15">
        <v>189.59</v>
      </c>
      <c r="F113" s="15">
        <v>189.59</v>
      </c>
      <c r="G113" s="15">
        <v>189.59</v>
      </c>
      <c r="H113" s="15">
        <v>189.59</v>
      </c>
      <c r="I113" s="15">
        <v>189.59</v>
      </c>
      <c r="J113" s="15">
        <v>189.59</v>
      </c>
      <c r="K113" s="15">
        <v>189.59</v>
      </c>
      <c r="L113" s="15">
        <v>189.59</v>
      </c>
      <c r="M113" s="15">
        <v>189.59</v>
      </c>
      <c r="N113" s="15">
        <v>189.59</v>
      </c>
      <c r="O113" t="s">
        <v>3028</v>
      </c>
    </row>
    <row r="114" spans="1:15" x14ac:dyDescent="0.25">
      <c r="A114" s="10" t="s">
        <v>522</v>
      </c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G114" s="15">
        <v>0</v>
      </c>
      <c r="H114" s="15">
        <v>0</v>
      </c>
      <c r="I114" s="15">
        <v>379.18</v>
      </c>
      <c r="J114" s="15">
        <v>379.18</v>
      </c>
      <c r="K114" s="15">
        <v>379.18</v>
      </c>
      <c r="L114" s="15">
        <v>379.18</v>
      </c>
      <c r="M114" s="15">
        <v>0</v>
      </c>
      <c r="N114" s="15">
        <v>379.18</v>
      </c>
      <c r="O114" t="s">
        <v>3028</v>
      </c>
    </row>
    <row r="115" spans="1:15" x14ac:dyDescent="0.25">
      <c r="A115" s="10" t="s">
        <v>526</v>
      </c>
      <c r="B115" s="15">
        <v>379.18</v>
      </c>
      <c r="C115" s="15">
        <v>379.18</v>
      </c>
      <c r="D115" s="15">
        <v>379.18</v>
      </c>
      <c r="E115" s="15">
        <v>379.18</v>
      </c>
      <c r="F115" s="15">
        <v>379.18</v>
      </c>
      <c r="G115" s="15">
        <v>379.18</v>
      </c>
      <c r="H115" s="15">
        <v>379.18</v>
      </c>
      <c r="I115" s="15">
        <v>379.18</v>
      </c>
      <c r="J115" s="15">
        <v>379.18</v>
      </c>
      <c r="K115" s="15">
        <v>379.18</v>
      </c>
      <c r="L115" s="15">
        <v>379.18</v>
      </c>
      <c r="M115" s="15">
        <v>379.18</v>
      </c>
      <c r="N115" s="15">
        <v>379.18</v>
      </c>
      <c r="O115" t="s">
        <v>3028</v>
      </c>
    </row>
    <row r="116" spans="1:15" x14ac:dyDescent="0.25">
      <c r="A116" s="10" t="s">
        <v>530</v>
      </c>
      <c r="B116" s="15">
        <v>189.59</v>
      </c>
      <c r="C116" s="15">
        <v>189.59</v>
      </c>
      <c r="D116" s="15">
        <v>189.59</v>
      </c>
      <c r="E116" s="15">
        <v>379.18</v>
      </c>
      <c r="F116" s="15">
        <v>379.18</v>
      </c>
      <c r="G116" s="15">
        <v>189.59</v>
      </c>
      <c r="H116" s="15">
        <v>189.59</v>
      </c>
      <c r="I116" s="15">
        <v>189.59</v>
      </c>
      <c r="J116" s="15">
        <v>189.59</v>
      </c>
      <c r="K116" s="15">
        <v>189.59</v>
      </c>
      <c r="L116" s="15">
        <v>189.59</v>
      </c>
      <c r="M116" s="15">
        <v>189.59</v>
      </c>
      <c r="N116" s="15">
        <v>189.59</v>
      </c>
      <c r="O116" t="s">
        <v>3028</v>
      </c>
    </row>
    <row r="117" spans="1:15" x14ac:dyDescent="0.25">
      <c r="A117" s="10" t="s">
        <v>532</v>
      </c>
      <c r="B117" s="15">
        <v>189.59</v>
      </c>
      <c r="C117" s="15">
        <v>379.18</v>
      </c>
      <c r="D117" s="15">
        <v>189.59</v>
      </c>
      <c r="E117" s="15">
        <v>189.59</v>
      </c>
      <c r="F117" s="15">
        <v>189.59</v>
      </c>
      <c r="G117" s="15">
        <v>189.59</v>
      </c>
      <c r="H117" s="15">
        <v>189.59</v>
      </c>
      <c r="I117" s="15">
        <v>189.59</v>
      </c>
      <c r="J117" s="15">
        <v>189.59</v>
      </c>
      <c r="K117" s="15">
        <v>189.59</v>
      </c>
      <c r="L117" s="15">
        <v>189.59</v>
      </c>
      <c r="M117" s="15">
        <v>189.59</v>
      </c>
      <c r="N117" s="15">
        <v>189.59</v>
      </c>
      <c r="O117" t="s">
        <v>3028</v>
      </c>
    </row>
    <row r="118" spans="1:15" x14ac:dyDescent="0.25">
      <c r="A118" s="10" t="s">
        <v>536</v>
      </c>
      <c r="B118" s="15">
        <v>189.59</v>
      </c>
      <c r="C118" s="15">
        <v>189.59</v>
      </c>
      <c r="D118" s="15">
        <v>189.59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189.59</v>
      </c>
      <c r="O118" t="s">
        <v>3028</v>
      </c>
    </row>
    <row r="119" spans="1:15" x14ac:dyDescent="0.25">
      <c r="A119" s="10" t="s">
        <v>542</v>
      </c>
      <c r="B119" s="15">
        <v>189.59</v>
      </c>
      <c r="C119" s="15">
        <v>189.59</v>
      </c>
      <c r="D119" s="15">
        <v>379.18</v>
      </c>
      <c r="E119" s="15">
        <v>189.59</v>
      </c>
      <c r="F119" s="15">
        <v>379.18</v>
      </c>
      <c r="G119" s="15">
        <v>189.59</v>
      </c>
      <c r="H119" s="15">
        <v>189.59</v>
      </c>
      <c r="I119" s="15">
        <v>189.59</v>
      </c>
      <c r="J119" s="15">
        <v>189.59</v>
      </c>
      <c r="K119" s="15">
        <v>189.59</v>
      </c>
      <c r="L119" s="15">
        <v>189.59</v>
      </c>
      <c r="M119" s="15">
        <v>189.59</v>
      </c>
      <c r="N119" s="15">
        <v>189.59</v>
      </c>
      <c r="O119" t="s">
        <v>3028</v>
      </c>
    </row>
    <row r="120" spans="1:15" x14ac:dyDescent="0.25">
      <c r="A120" s="10" t="s">
        <v>546</v>
      </c>
      <c r="B120" s="15">
        <v>189.59</v>
      </c>
      <c r="C120" s="15">
        <v>189.59</v>
      </c>
      <c r="D120" s="15">
        <v>189.59</v>
      </c>
      <c r="E120" s="15">
        <v>379.18</v>
      </c>
      <c r="F120" s="15">
        <v>379.18</v>
      </c>
      <c r="G120" s="15">
        <v>189.59</v>
      </c>
      <c r="H120" s="15">
        <v>189.59</v>
      </c>
      <c r="I120" s="15">
        <v>189.59</v>
      </c>
      <c r="J120" s="15">
        <v>189.59</v>
      </c>
      <c r="K120" s="15">
        <v>189.59</v>
      </c>
      <c r="L120" s="15">
        <v>189.59</v>
      </c>
      <c r="M120" s="15">
        <v>189.59</v>
      </c>
      <c r="N120" s="15">
        <v>189.59</v>
      </c>
      <c r="O120" t="s">
        <v>3028</v>
      </c>
    </row>
    <row r="121" spans="1:15" x14ac:dyDescent="0.25">
      <c r="A121" s="10" t="s">
        <v>548</v>
      </c>
      <c r="B121" s="15">
        <v>568.77</v>
      </c>
      <c r="C121" s="15">
        <v>1137.54</v>
      </c>
      <c r="D121" s="15">
        <v>0</v>
      </c>
      <c r="E121" s="15">
        <v>568.77</v>
      </c>
      <c r="F121" s="15">
        <v>568.77</v>
      </c>
      <c r="G121" s="15">
        <v>568.77</v>
      </c>
      <c r="H121" s="15">
        <v>0</v>
      </c>
      <c r="I121" s="15">
        <v>0</v>
      </c>
      <c r="J121" s="15">
        <v>568.77</v>
      </c>
      <c r="K121" s="15">
        <v>0</v>
      </c>
      <c r="L121" s="15">
        <v>0</v>
      </c>
      <c r="M121" s="15">
        <v>0</v>
      </c>
      <c r="N121" s="15">
        <v>568.77</v>
      </c>
      <c r="O121" t="s">
        <v>3028</v>
      </c>
    </row>
    <row r="122" spans="1:15" x14ac:dyDescent="0.25">
      <c r="A122" s="10" t="s">
        <v>552</v>
      </c>
      <c r="B122" s="15">
        <v>189.59</v>
      </c>
      <c r="C122" s="15">
        <v>189.59</v>
      </c>
      <c r="D122" s="15">
        <v>189.59</v>
      </c>
      <c r="E122" s="15">
        <v>189.59</v>
      </c>
      <c r="F122" s="15">
        <v>189.59</v>
      </c>
      <c r="G122" s="15">
        <v>189.59</v>
      </c>
      <c r="H122" s="15">
        <v>189.59</v>
      </c>
      <c r="I122" s="15">
        <v>189.59</v>
      </c>
      <c r="J122" s="15">
        <v>379.18</v>
      </c>
      <c r="K122" s="15">
        <v>189.59</v>
      </c>
      <c r="L122" s="15">
        <v>189.59</v>
      </c>
      <c r="M122" s="15">
        <v>189.59</v>
      </c>
      <c r="N122" s="15">
        <v>189.59</v>
      </c>
      <c r="O122" t="s">
        <v>3028</v>
      </c>
    </row>
    <row r="123" spans="1:15" x14ac:dyDescent="0.25">
      <c r="A123" s="10" t="s">
        <v>556</v>
      </c>
      <c r="B123" s="15">
        <v>189.59</v>
      </c>
      <c r="C123" s="15">
        <v>189.59</v>
      </c>
      <c r="D123" s="15">
        <v>189.59</v>
      </c>
      <c r="E123" s="15">
        <v>189.59</v>
      </c>
      <c r="F123" s="15">
        <v>189.59</v>
      </c>
      <c r="G123" s="15">
        <v>189.59</v>
      </c>
      <c r="H123" s="15">
        <v>189.59</v>
      </c>
      <c r="I123" s="15">
        <v>189.59</v>
      </c>
      <c r="J123" s="15">
        <v>189.59</v>
      </c>
      <c r="K123" s="15">
        <v>189.59</v>
      </c>
      <c r="L123" s="15">
        <v>379.18</v>
      </c>
      <c r="M123" s="15">
        <v>189.59</v>
      </c>
      <c r="N123" s="15">
        <v>189.59</v>
      </c>
      <c r="O123" t="s">
        <v>3028</v>
      </c>
    </row>
    <row r="124" spans="1:15" x14ac:dyDescent="0.25">
      <c r="A124" s="10" t="s">
        <v>562</v>
      </c>
      <c r="B124" s="15">
        <v>379.18</v>
      </c>
      <c r="C124" s="15">
        <v>379.18</v>
      </c>
      <c r="D124" s="15">
        <v>379.18</v>
      </c>
      <c r="E124" s="15">
        <v>379.18</v>
      </c>
      <c r="F124" s="15">
        <v>379.18</v>
      </c>
      <c r="G124" s="15">
        <v>379.18</v>
      </c>
      <c r="H124" s="15">
        <v>379.18</v>
      </c>
      <c r="I124" s="15">
        <v>758.36</v>
      </c>
      <c r="J124" s="15">
        <v>379.18</v>
      </c>
      <c r="K124" s="15">
        <v>379.18</v>
      </c>
      <c r="L124" s="15">
        <v>379.18</v>
      </c>
      <c r="M124" s="15">
        <v>379.18</v>
      </c>
      <c r="N124" s="15">
        <v>379.18</v>
      </c>
      <c r="O124" t="s">
        <v>3028</v>
      </c>
    </row>
    <row r="125" spans="1:15" x14ac:dyDescent="0.25">
      <c r="A125" s="10" t="s">
        <v>564</v>
      </c>
      <c r="B125" s="15">
        <v>189.59</v>
      </c>
      <c r="C125" s="15">
        <v>189.59</v>
      </c>
      <c r="D125" s="15">
        <v>189.59</v>
      </c>
      <c r="E125" s="15">
        <v>379.18</v>
      </c>
      <c r="F125" s="15">
        <v>379.18</v>
      </c>
      <c r="G125" s="15">
        <v>189.59</v>
      </c>
      <c r="H125" s="15">
        <v>189.59</v>
      </c>
      <c r="I125" s="15">
        <v>189.59</v>
      </c>
      <c r="J125" s="15">
        <v>189.59</v>
      </c>
      <c r="K125" s="15">
        <v>189.59</v>
      </c>
      <c r="L125" s="15">
        <v>189.59</v>
      </c>
      <c r="M125" s="15">
        <v>189.59</v>
      </c>
      <c r="N125" s="15">
        <v>189.59</v>
      </c>
      <c r="O125" t="s">
        <v>3028</v>
      </c>
    </row>
    <row r="126" spans="1:15" x14ac:dyDescent="0.25">
      <c r="A126" s="10" t="s">
        <v>568</v>
      </c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G126" s="15">
        <v>0</v>
      </c>
      <c r="H126" s="15">
        <v>0</v>
      </c>
      <c r="I126" s="15">
        <v>0</v>
      </c>
      <c r="J126" s="15">
        <v>758.36</v>
      </c>
      <c r="K126" s="15">
        <v>758.36</v>
      </c>
      <c r="L126" s="15">
        <v>758.36</v>
      </c>
      <c r="M126" s="15">
        <v>758.36</v>
      </c>
      <c r="N126" s="15">
        <v>758.36</v>
      </c>
      <c r="O126" t="s">
        <v>3028</v>
      </c>
    </row>
    <row r="127" spans="1:15" x14ac:dyDescent="0.25">
      <c r="A127" s="10" t="s">
        <v>586</v>
      </c>
      <c r="B127" s="15">
        <v>0</v>
      </c>
      <c r="C127" s="15">
        <v>0</v>
      </c>
      <c r="D127" s="15">
        <v>0</v>
      </c>
      <c r="E127" s="15">
        <v>379.18</v>
      </c>
      <c r="F127" s="15">
        <v>379.18</v>
      </c>
      <c r="G127" s="15">
        <v>379.18</v>
      </c>
      <c r="H127" s="15">
        <v>379.18</v>
      </c>
      <c r="I127" s="15">
        <v>379.18</v>
      </c>
      <c r="J127" s="15">
        <v>379.18</v>
      </c>
      <c r="K127" s="15">
        <v>379.18</v>
      </c>
      <c r="L127" s="15">
        <v>379.18</v>
      </c>
      <c r="M127" s="15">
        <v>379.18</v>
      </c>
      <c r="N127" s="15">
        <v>379.18</v>
      </c>
      <c r="O127" t="s">
        <v>3028</v>
      </c>
    </row>
    <row r="128" spans="1:15" x14ac:dyDescent="0.25">
      <c r="A128" s="10" t="s">
        <v>588</v>
      </c>
      <c r="B128" s="15">
        <v>758.36</v>
      </c>
      <c r="C128" s="15">
        <v>379.18</v>
      </c>
      <c r="D128" s="15">
        <v>379.18</v>
      </c>
      <c r="E128" s="15">
        <v>379.18</v>
      </c>
      <c r="F128" s="15">
        <v>379.18</v>
      </c>
      <c r="G128" s="15">
        <v>379.18</v>
      </c>
      <c r="H128" s="15">
        <v>758.36</v>
      </c>
      <c r="I128" s="15">
        <v>758.36</v>
      </c>
      <c r="J128" s="15">
        <v>379.18</v>
      </c>
      <c r="K128" s="15">
        <v>379.18</v>
      </c>
      <c r="L128" s="15">
        <v>379.18</v>
      </c>
      <c r="M128" s="15">
        <v>379.18</v>
      </c>
      <c r="N128" s="15">
        <v>379.18</v>
      </c>
      <c r="O128" t="s">
        <v>3028</v>
      </c>
    </row>
    <row r="129" spans="1:15" x14ac:dyDescent="0.25">
      <c r="A129" s="10" t="s">
        <v>596</v>
      </c>
      <c r="B129" s="15">
        <v>379.18</v>
      </c>
      <c r="C129" s="15">
        <v>379.18</v>
      </c>
      <c r="D129" s="15">
        <v>379.18</v>
      </c>
      <c r="E129" s="15">
        <v>379.18</v>
      </c>
      <c r="F129" s="15">
        <v>379.18</v>
      </c>
      <c r="G129" s="15">
        <v>758.36</v>
      </c>
      <c r="H129" s="15">
        <v>379.18</v>
      </c>
      <c r="I129" s="15">
        <v>758.36</v>
      </c>
      <c r="J129" s="15">
        <v>379.18</v>
      </c>
      <c r="K129" s="15">
        <v>379.18</v>
      </c>
      <c r="L129" s="15">
        <v>379.18</v>
      </c>
      <c r="M129" s="15">
        <v>379.18</v>
      </c>
      <c r="N129" s="15">
        <v>379.18</v>
      </c>
      <c r="O129" t="s">
        <v>3028</v>
      </c>
    </row>
    <row r="130" spans="1:15" x14ac:dyDescent="0.25">
      <c r="A130" s="10" t="s">
        <v>598</v>
      </c>
      <c r="B130" s="15">
        <v>189.59</v>
      </c>
      <c r="C130" s="15">
        <v>189.59</v>
      </c>
      <c r="D130" s="15">
        <v>189.59</v>
      </c>
      <c r="E130" s="15">
        <v>189.59</v>
      </c>
      <c r="F130" s="15">
        <v>189.59</v>
      </c>
      <c r="G130" s="15">
        <v>189.59</v>
      </c>
      <c r="H130" s="15">
        <v>189.59</v>
      </c>
      <c r="I130" s="15">
        <v>189.59</v>
      </c>
      <c r="J130" s="15">
        <v>189.59</v>
      </c>
      <c r="K130" s="15">
        <v>379.18</v>
      </c>
      <c r="L130" s="15">
        <v>189.59</v>
      </c>
      <c r="M130" s="15">
        <v>189.59</v>
      </c>
      <c r="N130" s="15">
        <v>189.59</v>
      </c>
      <c r="O130" t="s">
        <v>3028</v>
      </c>
    </row>
    <row r="131" spans="1:15" x14ac:dyDescent="0.25">
      <c r="A131" s="10" t="s">
        <v>600</v>
      </c>
      <c r="B131" s="15">
        <v>568.77</v>
      </c>
      <c r="C131" s="15">
        <v>568.77</v>
      </c>
      <c r="D131" s="15">
        <v>568.77</v>
      </c>
      <c r="E131" s="15">
        <v>568.77</v>
      </c>
      <c r="F131" s="15">
        <v>568.77</v>
      </c>
      <c r="G131" s="15">
        <v>1137.54</v>
      </c>
      <c r="H131" s="15">
        <v>568.77</v>
      </c>
      <c r="I131" s="15">
        <v>1137.54</v>
      </c>
      <c r="J131" s="15">
        <v>568.77</v>
      </c>
      <c r="K131" s="15">
        <v>568.77</v>
      </c>
      <c r="L131" s="15">
        <v>568.77</v>
      </c>
      <c r="M131" s="15">
        <v>568.77</v>
      </c>
      <c r="N131" s="15">
        <v>568.77</v>
      </c>
      <c r="O131" t="s">
        <v>3028</v>
      </c>
    </row>
    <row r="132" spans="1:15" x14ac:dyDescent="0.25">
      <c r="A132" s="10" t="s">
        <v>612</v>
      </c>
      <c r="B132" s="15">
        <v>379.18</v>
      </c>
      <c r="C132" s="15">
        <v>379.18</v>
      </c>
      <c r="D132" s="15">
        <v>379.18</v>
      </c>
      <c r="E132" s="15">
        <v>758.36</v>
      </c>
      <c r="F132" s="15">
        <v>758.36</v>
      </c>
      <c r="G132" s="15">
        <v>379.18</v>
      </c>
      <c r="H132" s="15">
        <v>379.18</v>
      </c>
      <c r="I132" s="15">
        <v>379.18</v>
      </c>
      <c r="J132" s="15">
        <v>379.18</v>
      </c>
      <c r="K132" s="15">
        <v>379.18</v>
      </c>
      <c r="L132" s="15">
        <v>379.18</v>
      </c>
      <c r="M132" s="15">
        <v>379.18</v>
      </c>
      <c r="N132" s="15">
        <v>379.18</v>
      </c>
      <c r="O132" t="s">
        <v>3028</v>
      </c>
    </row>
    <row r="133" spans="1:15" x14ac:dyDescent="0.25">
      <c r="A133" s="10" t="s">
        <v>616</v>
      </c>
      <c r="B133" s="15">
        <v>189.59</v>
      </c>
      <c r="C133" s="15">
        <v>189.59</v>
      </c>
      <c r="D133" s="15">
        <v>189.59</v>
      </c>
      <c r="E133" s="15">
        <v>189.59</v>
      </c>
      <c r="F133" s="15">
        <v>189.59</v>
      </c>
      <c r="G133" s="15">
        <v>379.18</v>
      </c>
      <c r="H133" s="15">
        <v>189.59</v>
      </c>
      <c r="I133" s="15">
        <v>189.59</v>
      </c>
      <c r="J133" s="15">
        <v>379.18</v>
      </c>
      <c r="K133" s="15">
        <v>0</v>
      </c>
      <c r="L133" s="15">
        <v>0</v>
      </c>
      <c r="M133" s="15">
        <v>0</v>
      </c>
      <c r="N133" s="15">
        <v>189.59</v>
      </c>
      <c r="O133" t="s">
        <v>3028</v>
      </c>
    </row>
    <row r="134" spans="1:15" x14ac:dyDescent="0.25">
      <c r="A134" s="10" t="s">
        <v>618</v>
      </c>
      <c r="B134" s="15">
        <v>189.59</v>
      </c>
      <c r="C134" s="15">
        <v>189.59</v>
      </c>
      <c r="D134" s="15">
        <v>189.59</v>
      </c>
      <c r="E134" s="15">
        <v>189.59</v>
      </c>
      <c r="F134" s="15">
        <v>189.59</v>
      </c>
      <c r="G134" s="15">
        <v>189.59</v>
      </c>
      <c r="H134" s="15">
        <v>189.59</v>
      </c>
      <c r="I134" s="15">
        <v>189.59</v>
      </c>
      <c r="J134" s="15">
        <v>189.59</v>
      </c>
      <c r="K134" s="15">
        <v>189.59</v>
      </c>
      <c r="L134" s="15">
        <v>189.59</v>
      </c>
      <c r="M134" s="15">
        <v>379.18</v>
      </c>
      <c r="N134" s="15">
        <v>189.59</v>
      </c>
      <c r="O134" t="s">
        <v>3028</v>
      </c>
    </row>
    <row r="135" spans="1:15" x14ac:dyDescent="0.25">
      <c r="A135" s="10" t="s">
        <v>622</v>
      </c>
      <c r="B135" s="15">
        <v>189.59</v>
      </c>
      <c r="C135" s="15">
        <v>189.59</v>
      </c>
      <c r="D135" s="15">
        <v>189.59</v>
      </c>
      <c r="E135" s="15">
        <v>379.18</v>
      </c>
      <c r="F135" s="15">
        <v>379.18</v>
      </c>
      <c r="G135" s="15">
        <v>189.59</v>
      </c>
      <c r="H135" s="15">
        <v>189.59</v>
      </c>
      <c r="I135" s="15">
        <v>189.59</v>
      </c>
      <c r="J135" s="15">
        <v>189.59</v>
      </c>
      <c r="K135" s="15">
        <v>189.59</v>
      </c>
      <c r="L135" s="15">
        <v>189.59</v>
      </c>
      <c r="M135" s="15">
        <v>189.59</v>
      </c>
      <c r="N135" s="15">
        <v>189.59</v>
      </c>
      <c r="O135" t="s">
        <v>3028</v>
      </c>
    </row>
    <row r="136" spans="1:15" x14ac:dyDescent="0.25">
      <c r="A136" s="10" t="s">
        <v>624</v>
      </c>
      <c r="B136" s="15">
        <v>189.59</v>
      </c>
      <c r="C136" s="15">
        <v>189.59</v>
      </c>
      <c r="D136" s="15">
        <v>189.59</v>
      </c>
      <c r="E136" s="15">
        <v>189.59</v>
      </c>
      <c r="F136" s="15">
        <v>189.59</v>
      </c>
      <c r="G136" s="15">
        <v>189.59</v>
      </c>
      <c r="H136" s="15">
        <v>189.59</v>
      </c>
      <c r="I136" s="15">
        <v>379.18</v>
      </c>
      <c r="J136" s="15">
        <v>189.59</v>
      </c>
      <c r="K136" s="15">
        <v>189.59</v>
      </c>
      <c r="L136" s="15">
        <v>189.59</v>
      </c>
      <c r="M136" s="15">
        <v>189.59</v>
      </c>
      <c r="N136" s="15">
        <v>189.59</v>
      </c>
      <c r="O136" t="s">
        <v>3028</v>
      </c>
    </row>
    <row r="137" spans="1:15" x14ac:dyDescent="0.25">
      <c r="A137" s="10" t="s">
        <v>628</v>
      </c>
      <c r="B137" s="15">
        <v>189.59</v>
      </c>
      <c r="C137" s="15">
        <v>189.59</v>
      </c>
      <c r="D137" s="15">
        <v>189.59</v>
      </c>
      <c r="E137" s="15">
        <v>189.59</v>
      </c>
      <c r="F137" s="15">
        <v>0</v>
      </c>
      <c r="G137" s="15">
        <v>0</v>
      </c>
      <c r="H137" s="15">
        <v>0</v>
      </c>
      <c r="I137" s="15">
        <v>0</v>
      </c>
      <c r="J137" s="15">
        <v>0</v>
      </c>
      <c r="K137" s="15">
        <v>0</v>
      </c>
      <c r="L137" s="15">
        <v>0</v>
      </c>
      <c r="M137" s="15">
        <v>0</v>
      </c>
      <c r="N137" s="15">
        <v>189.59</v>
      </c>
      <c r="O137" t="s">
        <v>3028</v>
      </c>
    </row>
    <row r="138" spans="1:15" x14ac:dyDescent="0.25">
      <c r="A138" s="10" t="s">
        <v>634</v>
      </c>
      <c r="B138" s="15">
        <v>568.77</v>
      </c>
      <c r="C138" s="15">
        <v>568.77</v>
      </c>
      <c r="D138" s="15">
        <v>568.77</v>
      </c>
      <c r="E138" s="15">
        <v>568.77</v>
      </c>
      <c r="F138" s="15">
        <v>568.77</v>
      </c>
      <c r="G138" s="15">
        <v>1137.54</v>
      </c>
      <c r="H138" s="15">
        <v>568.77</v>
      </c>
      <c r="I138" s="15">
        <v>1137.54</v>
      </c>
      <c r="J138" s="15">
        <v>568.77</v>
      </c>
      <c r="K138" s="15">
        <v>568.77</v>
      </c>
      <c r="L138" s="15">
        <v>568.77</v>
      </c>
      <c r="M138" s="15">
        <v>568.77</v>
      </c>
      <c r="N138" s="15">
        <v>568.77</v>
      </c>
      <c r="O138" t="s">
        <v>3028</v>
      </c>
    </row>
    <row r="139" spans="1:15" x14ac:dyDescent="0.25">
      <c r="A139" s="10" t="s">
        <v>636</v>
      </c>
      <c r="B139" s="15">
        <v>379.18</v>
      </c>
      <c r="C139" s="15">
        <v>379.18</v>
      </c>
      <c r="D139" s="15">
        <v>379.18</v>
      </c>
      <c r="E139" s="15">
        <v>758.36</v>
      </c>
      <c r="F139" s="15">
        <v>758.36</v>
      </c>
      <c r="G139" s="15">
        <v>379.18</v>
      </c>
      <c r="H139" s="15">
        <v>379.18</v>
      </c>
      <c r="I139" s="15">
        <v>379.18</v>
      </c>
      <c r="J139" s="15">
        <v>379.18</v>
      </c>
      <c r="K139" s="15">
        <v>379.18</v>
      </c>
      <c r="L139" s="15">
        <v>379.18</v>
      </c>
      <c r="M139" s="15">
        <v>379.18</v>
      </c>
      <c r="N139" s="15">
        <v>379.18</v>
      </c>
      <c r="O139" t="s">
        <v>3028</v>
      </c>
    </row>
    <row r="140" spans="1:15" x14ac:dyDescent="0.25">
      <c r="A140" s="10" t="s">
        <v>638</v>
      </c>
      <c r="B140" s="15">
        <v>379.18</v>
      </c>
      <c r="C140" s="15">
        <v>379.18</v>
      </c>
      <c r="D140" s="15">
        <v>758.36</v>
      </c>
      <c r="E140" s="15">
        <v>758.36</v>
      </c>
      <c r="F140" s="15">
        <v>758.36</v>
      </c>
      <c r="G140" s="15">
        <v>379.18</v>
      </c>
      <c r="H140" s="15">
        <v>379.18</v>
      </c>
      <c r="I140" s="15">
        <v>379.18</v>
      </c>
      <c r="J140" s="15">
        <v>379.18</v>
      </c>
      <c r="K140" s="15">
        <v>379.18</v>
      </c>
      <c r="L140" s="15">
        <v>379.18</v>
      </c>
      <c r="M140" s="15">
        <v>379.18</v>
      </c>
      <c r="N140" s="15">
        <v>379.18</v>
      </c>
      <c r="O140" t="s">
        <v>3028</v>
      </c>
    </row>
    <row r="141" spans="1:15" x14ac:dyDescent="0.25">
      <c r="A141" s="10" t="s">
        <v>646</v>
      </c>
      <c r="B141" s="15">
        <v>568.77</v>
      </c>
      <c r="C141" s="15">
        <v>568.77</v>
      </c>
      <c r="D141" s="15">
        <v>568.77</v>
      </c>
      <c r="E141" s="15">
        <v>568.77</v>
      </c>
      <c r="F141" s="15">
        <v>1137.54</v>
      </c>
      <c r="G141" s="15">
        <v>568.77</v>
      </c>
      <c r="H141" s="15">
        <v>568.77</v>
      </c>
      <c r="I141" s="15">
        <v>1137.54</v>
      </c>
      <c r="J141" s="15">
        <v>568.77</v>
      </c>
      <c r="K141" s="15">
        <v>568.77</v>
      </c>
      <c r="L141" s="15">
        <v>568.77</v>
      </c>
      <c r="M141" s="15">
        <v>1137.54</v>
      </c>
      <c r="N141" s="15">
        <v>568.77</v>
      </c>
      <c r="O141" t="s">
        <v>3028</v>
      </c>
    </row>
    <row r="142" spans="1:15" x14ac:dyDescent="0.25">
      <c r="A142" s="10" t="s">
        <v>650</v>
      </c>
      <c r="B142" s="15">
        <v>568.77</v>
      </c>
      <c r="C142" s="15">
        <v>568.77</v>
      </c>
      <c r="D142" s="15">
        <v>568.77</v>
      </c>
      <c r="E142" s="15">
        <v>568.77</v>
      </c>
      <c r="F142" s="15">
        <v>568.77</v>
      </c>
      <c r="G142" s="15">
        <v>568.77</v>
      </c>
      <c r="H142" s="15">
        <v>1137.54</v>
      </c>
      <c r="I142" s="15">
        <v>1137.54</v>
      </c>
      <c r="J142" s="15">
        <v>568.77</v>
      </c>
      <c r="K142" s="15">
        <v>568.77</v>
      </c>
      <c r="L142" s="15">
        <v>568.77</v>
      </c>
      <c r="M142" s="15">
        <v>568.77</v>
      </c>
      <c r="N142" s="15">
        <v>568.77</v>
      </c>
      <c r="O142" t="s">
        <v>3028</v>
      </c>
    </row>
    <row r="143" spans="1:15" x14ac:dyDescent="0.25">
      <c r="A143" s="10" t="s">
        <v>652</v>
      </c>
      <c r="B143" s="15">
        <v>0</v>
      </c>
      <c r="C143" s="15">
        <v>0</v>
      </c>
      <c r="D143" s="15">
        <v>0</v>
      </c>
      <c r="E143" s="15">
        <v>379.18</v>
      </c>
      <c r="F143" s="15">
        <v>758.36</v>
      </c>
      <c r="G143" s="15">
        <v>379.18</v>
      </c>
      <c r="H143" s="15">
        <v>379.18</v>
      </c>
      <c r="I143" s="15">
        <v>379.18</v>
      </c>
      <c r="J143" s="15">
        <v>379.18</v>
      </c>
      <c r="K143" s="15">
        <v>379.18</v>
      </c>
      <c r="L143" s="15">
        <v>379.18</v>
      </c>
      <c r="M143" s="15">
        <v>379.18</v>
      </c>
      <c r="N143" s="15">
        <v>379.18</v>
      </c>
      <c r="O143" t="s">
        <v>3028</v>
      </c>
    </row>
    <row r="144" spans="1:15" x14ac:dyDescent="0.25">
      <c r="A144" s="10" t="s">
        <v>656</v>
      </c>
      <c r="B144" s="15">
        <v>568.77</v>
      </c>
      <c r="C144" s="15">
        <v>568.77</v>
      </c>
      <c r="D144" s="15">
        <v>568.77</v>
      </c>
      <c r="E144" s="15">
        <v>1137.54</v>
      </c>
      <c r="F144" s="15">
        <v>1137.54</v>
      </c>
      <c r="G144" s="15">
        <v>568.77</v>
      </c>
      <c r="H144" s="15">
        <v>568.77</v>
      </c>
      <c r="I144" s="15">
        <v>568.77</v>
      </c>
      <c r="J144" s="15">
        <v>568.77</v>
      </c>
      <c r="K144" s="15">
        <v>568.77</v>
      </c>
      <c r="L144" s="15">
        <v>568.77</v>
      </c>
      <c r="M144" s="15">
        <v>568.77</v>
      </c>
      <c r="N144" s="15">
        <v>568.77</v>
      </c>
      <c r="O144" t="s">
        <v>3028</v>
      </c>
    </row>
    <row r="145" spans="1:15" x14ac:dyDescent="0.25">
      <c r="A145" s="10" t="s">
        <v>658</v>
      </c>
      <c r="B145" s="15">
        <v>758.36</v>
      </c>
      <c r="C145" s="15">
        <v>758.36</v>
      </c>
      <c r="D145" s="15">
        <v>1516.72</v>
      </c>
      <c r="E145" s="15">
        <v>758.36</v>
      </c>
      <c r="F145" s="15">
        <v>758.36</v>
      </c>
      <c r="G145" s="15">
        <v>758.36</v>
      </c>
      <c r="H145" s="15">
        <v>758.36</v>
      </c>
      <c r="I145" s="15">
        <v>758.36</v>
      </c>
      <c r="J145" s="15">
        <v>758.36</v>
      </c>
      <c r="K145" s="15">
        <v>758.36</v>
      </c>
      <c r="L145" s="15">
        <v>758.36</v>
      </c>
      <c r="M145" s="15">
        <v>758.36</v>
      </c>
      <c r="N145" s="15">
        <v>758.36</v>
      </c>
      <c r="O145" t="s">
        <v>3028</v>
      </c>
    </row>
    <row r="146" spans="1:15" x14ac:dyDescent="0.25">
      <c r="A146" s="10" t="s">
        <v>660</v>
      </c>
      <c r="B146" s="15">
        <v>379.18</v>
      </c>
      <c r="C146" s="15">
        <v>379.18</v>
      </c>
      <c r="D146" s="15">
        <v>379.18</v>
      </c>
      <c r="E146" s="15">
        <v>758.36</v>
      </c>
      <c r="F146" s="15">
        <v>758.36</v>
      </c>
      <c r="G146" s="15">
        <v>379.18</v>
      </c>
      <c r="H146" s="15">
        <v>379.18</v>
      </c>
      <c r="I146" s="15">
        <v>379.18</v>
      </c>
      <c r="J146" s="15">
        <v>379.18</v>
      </c>
      <c r="K146" s="15">
        <v>379.18</v>
      </c>
      <c r="L146" s="15">
        <v>379.18</v>
      </c>
      <c r="M146" s="15">
        <v>379.18</v>
      </c>
      <c r="N146" s="15">
        <v>379.18</v>
      </c>
      <c r="O146" t="s">
        <v>3028</v>
      </c>
    </row>
    <row r="147" spans="1:15" x14ac:dyDescent="0.25">
      <c r="A147" s="10" t="s">
        <v>666</v>
      </c>
      <c r="B147" s="15">
        <v>189.59</v>
      </c>
      <c r="C147" s="15">
        <v>189.59</v>
      </c>
      <c r="D147" s="15">
        <v>189.59</v>
      </c>
      <c r="E147" s="15">
        <v>189.59</v>
      </c>
      <c r="F147" s="15">
        <v>189.59</v>
      </c>
      <c r="G147" s="15">
        <v>189.59</v>
      </c>
      <c r="H147" s="15">
        <v>189.59</v>
      </c>
      <c r="I147" s="15">
        <v>189.59</v>
      </c>
      <c r="J147" s="15">
        <v>189.59</v>
      </c>
      <c r="K147" s="15">
        <v>189.59</v>
      </c>
      <c r="L147" s="15">
        <v>189.59</v>
      </c>
      <c r="M147" s="15">
        <v>379.18</v>
      </c>
      <c r="N147" s="15">
        <v>189.59</v>
      </c>
      <c r="O147" t="s">
        <v>3028</v>
      </c>
    </row>
    <row r="148" spans="1:15" x14ac:dyDescent="0.25">
      <c r="A148" s="10" t="s">
        <v>670</v>
      </c>
      <c r="B148" s="15">
        <v>568.77</v>
      </c>
      <c r="C148" s="15">
        <v>568.77</v>
      </c>
      <c r="D148" s="15">
        <v>568.77</v>
      </c>
      <c r="E148" s="15">
        <v>568.77</v>
      </c>
      <c r="F148" s="15">
        <v>568.77</v>
      </c>
      <c r="G148" s="15">
        <v>568.77</v>
      </c>
      <c r="H148" s="15">
        <v>1137.54</v>
      </c>
      <c r="I148" s="15">
        <v>568.77</v>
      </c>
      <c r="J148" s="15">
        <v>568.77</v>
      </c>
      <c r="K148" s="15">
        <v>568.77</v>
      </c>
      <c r="L148" s="15">
        <v>568.77</v>
      </c>
      <c r="M148" s="15">
        <v>568.77</v>
      </c>
      <c r="N148" s="15">
        <v>568.77</v>
      </c>
      <c r="O148" t="s">
        <v>3028</v>
      </c>
    </row>
    <row r="149" spans="1:15" x14ac:dyDescent="0.25">
      <c r="A149" s="10" t="s">
        <v>672</v>
      </c>
      <c r="B149" s="15">
        <v>189.59</v>
      </c>
      <c r="C149" s="15">
        <v>189.59</v>
      </c>
      <c r="D149" s="15">
        <v>189.59</v>
      </c>
      <c r="E149" s="15">
        <v>189.59</v>
      </c>
      <c r="F149" s="15">
        <v>189.59</v>
      </c>
      <c r="G149" s="15">
        <v>379.18</v>
      </c>
      <c r="H149" s="15">
        <v>189.59</v>
      </c>
      <c r="I149" s="15">
        <v>379.18</v>
      </c>
      <c r="J149" s="15">
        <v>189.59</v>
      </c>
      <c r="K149" s="15">
        <v>189.59</v>
      </c>
      <c r="L149" s="15">
        <v>189.59</v>
      </c>
      <c r="M149" s="15">
        <v>189.59</v>
      </c>
      <c r="N149" s="15">
        <v>189.59</v>
      </c>
      <c r="O149" t="s">
        <v>3028</v>
      </c>
    </row>
    <row r="150" spans="1:15" x14ac:dyDescent="0.25">
      <c r="A150" s="10" t="s">
        <v>676</v>
      </c>
      <c r="B150" s="15">
        <v>189.59</v>
      </c>
      <c r="C150" s="15">
        <v>189.59</v>
      </c>
      <c r="D150" s="15">
        <v>0</v>
      </c>
      <c r="E150" s="15">
        <v>0</v>
      </c>
      <c r="F150" s="15">
        <v>0</v>
      </c>
      <c r="G150" s="15">
        <v>0</v>
      </c>
      <c r="H150" s="15">
        <v>0</v>
      </c>
      <c r="I150" s="15">
        <v>0</v>
      </c>
      <c r="J150" s="15">
        <v>379.18</v>
      </c>
      <c r="K150" s="15">
        <v>189.59</v>
      </c>
      <c r="L150" s="15">
        <v>189.59</v>
      </c>
      <c r="M150" s="15">
        <v>189.59</v>
      </c>
      <c r="N150" s="15">
        <v>189.59</v>
      </c>
      <c r="O150" t="s">
        <v>3028</v>
      </c>
    </row>
    <row r="151" spans="1:15" x14ac:dyDescent="0.25">
      <c r="A151" s="10" t="s">
        <v>678</v>
      </c>
      <c r="B151" s="15">
        <v>568.77</v>
      </c>
      <c r="C151" s="15">
        <v>568.77</v>
      </c>
      <c r="D151" s="15">
        <v>1137.54</v>
      </c>
      <c r="E151" s="15">
        <v>568.77</v>
      </c>
      <c r="F151" s="15">
        <v>568.77</v>
      </c>
      <c r="G151" s="15">
        <v>568.77</v>
      </c>
      <c r="H151" s="15">
        <v>568.77</v>
      </c>
      <c r="I151" s="15">
        <v>568.77</v>
      </c>
      <c r="J151" s="15">
        <v>568.77</v>
      </c>
      <c r="K151" s="15">
        <v>568.77</v>
      </c>
      <c r="L151" s="15">
        <v>568.77</v>
      </c>
      <c r="M151" s="15">
        <v>1137.54</v>
      </c>
      <c r="N151" s="15">
        <v>568.77</v>
      </c>
      <c r="O151" t="s">
        <v>3028</v>
      </c>
    </row>
    <row r="152" spans="1:15" x14ac:dyDescent="0.25">
      <c r="A152" s="10" t="s">
        <v>680</v>
      </c>
      <c r="B152" s="15">
        <v>758.36</v>
      </c>
      <c r="C152" s="15">
        <v>379.18</v>
      </c>
      <c r="D152" s="15">
        <v>379.18</v>
      </c>
      <c r="E152" s="15">
        <v>379.18</v>
      </c>
      <c r="F152" s="15">
        <v>379.18</v>
      </c>
      <c r="G152" s="15">
        <v>379.18</v>
      </c>
      <c r="H152" s="15">
        <v>379.18</v>
      </c>
      <c r="I152" s="15">
        <v>379.18</v>
      </c>
      <c r="J152" s="15">
        <v>379.18</v>
      </c>
      <c r="K152" s="15">
        <v>379.18</v>
      </c>
      <c r="L152" s="15">
        <v>379.18</v>
      </c>
      <c r="M152" s="15">
        <v>379.18</v>
      </c>
      <c r="N152" s="15">
        <v>379.18</v>
      </c>
      <c r="O152" t="s">
        <v>3028</v>
      </c>
    </row>
    <row r="153" spans="1:15" x14ac:dyDescent="0.25">
      <c r="A153" s="10" t="s">
        <v>682</v>
      </c>
      <c r="B153" s="15">
        <v>758.36</v>
      </c>
      <c r="C153" s="15">
        <v>758.36</v>
      </c>
      <c r="D153" s="15">
        <v>758.36</v>
      </c>
      <c r="E153" s="15">
        <v>758.36</v>
      </c>
      <c r="F153" s="15">
        <v>758.36</v>
      </c>
      <c r="G153" s="15">
        <v>758.36</v>
      </c>
      <c r="H153" s="15">
        <v>758.36</v>
      </c>
      <c r="I153" s="15">
        <v>758.36</v>
      </c>
      <c r="J153" s="15">
        <v>758.36</v>
      </c>
      <c r="K153" s="15">
        <v>758.36</v>
      </c>
      <c r="L153" s="15">
        <v>1516.72</v>
      </c>
      <c r="M153" s="15">
        <v>758.36</v>
      </c>
      <c r="N153" s="15">
        <v>758.36</v>
      </c>
      <c r="O153" t="s">
        <v>3028</v>
      </c>
    </row>
    <row r="154" spans="1:15" x14ac:dyDescent="0.25">
      <c r="A154" s="10" t="s">
        <v>686</v>
      </c>
      <c r="B154" s="15">
        <v>379.18</v>
      </c>
      <c r="C154" s="15">
        <v>379.18</v>
      </c>
      <c r="D154" s="15">
        <v>379.18</v>
      </c>
      <c r="E154" s="15">
        <v>379.18</v>
      </c>
      <c r="F154" s="15">
        <v>758.36</v>
      </c>
      <c r="G154" s="15">
        <v>379.18</v>
      </c>
      <c r="H154" s="15">
        <v>379.18</v>
      </c>
      <c r="I154" s="15">
        <v>758.36</v>
      </c>
      <c r="J154" s="15">
        <v>379.18</v>
      </c>
      <c r="K154" s="15">
        <v>379.18</v>
      </c>
      <c r="L154" s="15">
        <v>379.18</v>
      </c>
      <c r="M154" s="15">
        <v>379.18</v>
      </c>
      <c r="N154" s="15">
        <v>379.18</v>
      </c>
      <c r="O154" t="s">
        <v>3028</v>
      </c>
    </row>
    <row r="155" spans="1:15" x14ac:dyDescent="0.25">
      <c r="A155" s="10" t="s">
        <v>688</v>
      </c>
      <c r="B155" s="15">
        <v>379.18</v>
      </c>
      <c r="C155" s="15">
        <v>379.18</v>
      </c>
      <c r="D155" s="15">
        <v>379.18</v>
      </c>
      <c r="E155" s="15">
        <v>379.18</v>
      </c>
      <c r="F155" s="15">
        <v>379.18</v>
      </c>
      <c r="G155" s="15">
        <v>379.18</v>
      </c>
      <c r="H155" s="15">
        <v>379.18</v>
      </c>
      <c r="I155" s="15">
        <v>379.18</v>
      </c>
      <c r="J155" s="15">
        <v>758.36</v>
      </c>
      <c r="K155" s="15">
        <v>379.18</v>
      </c>
      <c r="L155" s="15">
        <v>379.18</v>
      </c>
      <c r="M155" s="15">
        <v>379.18</v>
      </c>
      <c r="N155" s="15">
        <v>379.18</v>
      </c>
      <c r="O155" t="s">
        <v>3028</v>
      </c>
    </row>
    <row r="156" spans="1:15" x14ac:dyDescent="0.25">
      <c r="A156" s="10" t="s">
        <v>693</v>
      </c>
      <c r="B156" s="15">
        <v>379.18</v>
      </c>
      <c r="C156" s="15">
        <v>379.18</v>
      </c>
      <c r="D156" s="15">
        <v>379.18</v>
      </c>
      <c r="E156" s="15">
        <v>379.18</v>
      </c>
      <c r="F156" s="15">
        <v>379.18</v>
      </c>
      <c r="G156" s="15">
        <v>758.36</v>
      </c>
      <c r="H156" s="15">
        <v>379.18</v>
      </c>
      <c r="I156" s="15">
        <v>379.18</v>
      </c>
      <c r="J156" s="15">
        <v>379.18</v>
      </c>
      <c r="K156" s="15">
        <v>379.18</v>
      </c>
      <c r="L156" s="15">
        <v>379.18</v>
      </c>
      <c r="M156" s="15">
        <v>379.18</v>
      </c>
      <c r="N156" s="15">
        <v>379.18</v>
      </c>
      <c r="O156" t="s">
        <v>3028</v>
      </c>
    </row>
    <row r="157" spans="1:15" x14ac:dyDescent="0.25">
      <c r="A157" s="10" t="s">
        <v>695</v>
      </c>
      <c r="B157" s="15">
        <v>758.36</v>
      </c>
      <c r="C157" s="15">
        <v>758.36</v>
      </c>
      <c r="D157" s="15">
        <v>0</v>
      </c>
      <c r="E157" s="15">
        <v>0</v>
      </c>
      <c r="F157" s="15">
        <v>0</v>
      </c>
      <c r="G157" s="15">
        <v>0</v>
      </c>
      <c r="H157" s="15">
        <v>0</v>
      </c>
      <c r="I157" s="15">
        <v>0</v>
      </c>
      <c r="J157" s="15">
        <v>0</v>
      </c>
      <c r="K157" s="15">
        <v>0</v>
      </c>
      <c r="L157" s="15">
        <v>0</v>
      </c>
      <c r="M157" s="15">
        <v>0</v>
      </c>
      <c r="N157" s="15">
        <v>758.36</v>
      </c>
      <c r="O157" t="s">
        <v>3028</v>
      </c>
    </row>
    <row r="158" spans="1:15" x14ac:dyDescent="0.25">
      <c r="A158" s="10" t="s">
        <v>697</v>
      </c>
      <c r="B158" s="15">
        <v>379.18</v>
      </c>
      <c r="C158" s="15">
        <v>379.18</v>
      </c>
      <c r="D158" s="15">
        <v>379.18</v>
      </c>
      <c r="E158" s="15">
        <v>379.18</v>
      </c>
      <c r="F158" s="15">
        <v>379.18</v>
      </c>
      <c r="G158" s="15">
        <v>379.18</v>
      </c>
      <c r="H158" s="15">
        <v>758.36</v>
      </c>
      <c r="I158" s="15">
        <v>758.36</v>
      </c>
      <c r="J158" s="15">
        <v>379.18</v>
      </c>
      <c r="K158" s="15">
        <v>379.18</v>
      </c>
      <c r="L158" s="15">
        <v>379.18</v>
      </c>
      <c r="M158" s="15">
        <v>758.36</v>
      </c>
      <c r="N158" s="15">
        <v>379.18</v>
      </c>
      <c r="O158" t="s">
        <v>3028</v>
      </c>
    </row>
    <row r="159" spans="1:15" x14ac:dyDescent="0.25">
      <c r="A159" s="10" t="s">
        <v>699</v>
      </c>
      <c r="B159" s="15">
        <v>379.18</v>
      </c>
      <c r="C159" s="15">
        <v>379.18</v>
      </c>
      <c r="D159" s="15">
        <v>379.18</v>
      </c>
      <c r="E159" s="15">
        <v>379.18</v>
      </c>
      <c r="F159" s="15">
        <v>379.18</v>
      </c>
      <c r="G159" s="15">
        <v>758.36</v>
      </c>
      <c r="H159" s="15">
        <v>379.18</v>
      </c>
      <c r="I159" s="15">
        <v>758.36</v>
      </c>
      <c r="J159" s="15">
        <v>379.18</v>
      </c>
      <c r="K159" s="15">
        <v>379.18</v>
      </c>
      <c r="L159" s="15">
        <v>379.18</v>
      </c>
      <c r="M159" s="15">
        <v>379.18</v>
      </c>
      <c r="N159" s="15">
        <v>379.18</v>
      </c>
      <c r="O159" t="s">
        <v>3028</v>
      </c>
    </row>
    <row r="160" spans="1:15" x14ac:dyDescent="0.25">
      <c r="A160" s="10" t="s">
        <v>701</v>
      </c>
      <c r="B160" s="15">
        <v>379.18</v>
      </c>
      <c r="C160" s="15">
        <v>379.18</v>
      </c>
      <c r="D160" s="15">
        <v>379.18</v>
      </c>
      <c r="E160" s="15">
        <v>0</v>
      </c>
      <c r="F160" s="15">
        <v>0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379.18</v>
      </c>
      <c r="O160" t="s">
        <v>3028</v>
      </c>
    </row>
    <row r="161" spans="1:15" x14ac:dyDescent="0.25">
      <c r="A161" s="10" t="s">
        <v>703</v>
      </c>
      <c r="B161" s="15">
        <v>379.18</v>
      </c>
      <c r="C161" s="15">
        <v>379.18</v>
      </c>
      <c r="D161" s="15">
        <v>379.18</v>
      </c>
      <c r="E161" s="15">
        <v>379.18</v>
      </c>
      <c r="F161" s="15">
        <v>379.18</v>
      </c>
      <c r="G161" s="15">
        <v>379.18</v>
      </c>
      <c r="H161" s="15">
        <v>758.36</v>
      </c>
      <c r="I161" s="15">
        <v>758.36</v>
      </c>
      <c r="J161" s="15">
        <v>379.18</v>
      </c>
      <c r="K161" s="15">
        <v>379.18</v>
      </c>
      <c r="L161" s="15">
        <v>379.18</v>
      </c>
      <c r="M161" s="15">
        <v>379.18</v>
      </c>
      <c r="N161" s="15">
        <v>379.18</v>
      </c>
      <c r="O161" t="s">
        <v>3028</v>
      </c>
    </row>
    <row r="162" spans="1:15" x14ac:dyDescent="0.25">
      <c r="A162" s="10" t="s">
        <v>711</v>
      </c>
      <c r="B162" s="15">
        <v>379.18</v>
      </c>
      <c r="C162" s="15">
        <v>379.18</v>
      </c>
      <c r="D162" s="15">
        <v>758.36</v>
      </c>
      <c r="E162" s="15">
        <v>379.18</v>
      </c>
      <c r="F162" s="15">
        <v>758.36</v>
      </c>
      <c r="G162" s="15">
        <v>379.18</v>
      </c>
      <c r="H162" s="15">
        <v>379.18</v>
      </c>
      <c r="I162" s="15">
        <v>379.18</v>
      </c>
      <c r="J162" s="15">
        <v>379.18</v>
      </c>
      <c r="K162" s="15">
        <v>379.18</v>
      </c>
      <c r="L162" s="15">
        <v>379.18</v>
      </c>
      <c r="M162" s="15">
        <v>379.18</v>
      </c>
      <c r="N162" s="15">
        <v>379.18</v>
      </c>
      <c r="O162" t="s">
        <v>3028</v>
      </c>
    </row>
    <row r="163" spans="1:15" x14ac:dyDescent="0.25">
      <c r="A163" s="10" t="s">
        <v>713</v>
      </c>
      <c r="B163" s="15">
        <v>379.18</v>
      </c>
      <c r="C163" s="15">
        <v>379.18</v>
      </c>
      <c r="D163" s="15">
        <v>379.18</v>
      </c>
      <c r="E163" s="15">
        <v>379.18</v>
      </c>
      <c r="F163" s="15">
        <v>379.18</v>
      </c>
      <c r="G163" s="15">
        <v>758.36</v>
      </c>
      <c r="H163" s="15">
        <v>379.18</v>
      </c>
      <c r="I163" s="15">
        <v>758.36</v>
      </c>
      <c r="J163" s="15">
        <v>379.18</v>
      </c>
      <c r="K163" s="15">
        <v>379.18</v>
      </c>
      <c r="L163" s="15">
        <v>379.18</v>
      </c>
      <c r="M163" s="15">
        <v>379.18</v>
      </c>
      <c r="N163" s="15">
        <v>379.18</v>
      </c>
      <c r="O163" t="s">
        <v>3028</v>
      </c>
    </row>
    <row r="164" spans="1:15" x14ac:dyDescent="0.25">
      <c r="A164" s="10" t="s">
        <v>715</v>
      </c>
      <c r="B164" s="15">
        <v>568.77</v>
      </c>
      <c r="C164" s="15">
        <v>568.77</v>
      </c>
      <c r="D164" s="15">
        <v>568.77</v>
      </c>
      <c r="E164" s="15">
        <v>1137.54</v>
      </c>
      <c r="F164" s="15">
        <v>1137.54</v>
      </c>
      <c r="G164" s="15">
        <v>568.77</v>
      </c>
      <c r="H164" s="15">
        <v>568.77</v>
      </c>
      <c r="I164" s="15">
        <v>568.77</v>
      </c>
      <c r="J164" s="15">
        <v>568.77</v>
      </c>
      <c r="K164" s="15">
        <v>568.77</v>
      </c>
      <c r="L164" s="15">
        <v>568.77</v>
      </c>
      <c r="M164" s="15">
        <v>568.77</v>
      </c>
      <c r="N164" s="15">
        <v>568.77</v>
      </c>
      <c r="O164" t="s">
        <v>3028</v>
      </c>
    </row>
    <row r="165" spans="1:15" x14ac:dyDescent="0.25">
      <c r="A165" s="10" t="s">
        <v>722</v>
      </c>
      <c r="B165" s="15">
        <v>189.59</v>
      </c>
      <c r="C165" s="15">
        <v>189.59</v>
      </c>
      <c r="D165" s="15">
        <v>189.59</v>
      </c>
      <c r="E165" s="15">
        <v>379.18</v>
      </c>
      <c r="F165" s="15">
        <v>379.18</v>
      </c>
      <c r="G165" s="15">
        <v>189.59</v>
      </c>
      <c r="H165" s="15">
        <v>189.59</v>
      </c>
      <c r="I165" s="15">
        <v>189.59</v>
      </c>
      <c r="J165" s="15">
        <v>189.59</v>
      </c>
      <c r="K165" s="15">
        <v>189.59</v>
      </c>
      <c r="L165" s="15">
        <v>189.59</v>
      </c>
      <c r="M165" s="15">
        <v>189.59</v>
      </c>
      <c r="N165" s="15">
        <v>189.59</v>
      </c>
      <c r="O165" t="s">
        <v>3028</v>
      </c>
    </row>
    <row r="166" spans="1:15" x14ac:dyDescent="0.25">
      <c r="A166" s="10" t="s">
        <v>724</v>
      </c>
      <c r="B166" s="15">
        <v>189.59</v>
      </c>
      <c r="C166" s="15">
        <v>189.59</v>
      </c>
      <c r="D166" s="15">
        <v>189.59</v>
      </c>
      <c r="E166" s="15">
        <v>189.59</v>
      </c>
      <c r="F166" s="15">
        <v>189.59</v>
      </c>
      <c r="G166" s="15">
        <v>189.59</v>
      </c>
      <c r="H166" s="15">
        <v>189.59</v>
      </c>
      <c r="I166" s="15">
        <v>189.59</v>
      </c>
      <c r="J166" s="15">
        <v>189.59</v>
      </c>
      <c r="K166" s="15">
        <v>379.18</v>
      </c>
      <c r="L166" s="15">
        <v>189.59</v>
      </c>
      <c r="M166" s="15">
        <v>189.59</v>
      </c>
      <c r="N166" s="15">
        <v>189.59</v>
      </c>
      <c r="O166" t="s">
        <v>3028</v>
      </c>
    </row>
    <row r="167" spans="1:15" x14ac:dyDescent="0.25">
      <c r="A167" s="10" t="s">
        <v>730</v>
      </c>
      <c r="B167" s="15">
        <v>379.18</v>
      </c>
      <c r="C167" s="15">
        <v>379.18</v>
      </c>
      <c r="D167" s="15">
        <v>379.18</v>
      </c>
      <c r="E167" s="15">
        <v>379.18</v>
      </c>
      <c r="F167" s="15">
        <v>379.18</v>
      </c>
      <c r="G167" s="15">
        <v>379.18</v>
      </c>
      <c r="H167" s="15">
        <v>379.18</v>
      </c>
      <c r="I167" s="15">
        <v>758.36</v>
      </c>
      <c r="J167" s="15">
        <v>379.18</v>
      </c>
      <c r="K167" s="15">
        <v>379.18</v>
      </c>
      <c r="L167" s="15">
        <v>379.18</v>
      </c>
      <c r="M167" s="15">
        <v>379.18</v>
      </c>
      <c r="N167" s="15">
        <v>379.18</v>
      </c>
      <c r="O167" t="s">
        <v>3028</v>
      </c>
    </row>
    <row r="168" spans="1:15" x14ac:dyDescent="0.25">
      <c r="A168" s="10" t="s">
        <v>732</v>
      </c>
      <c r="B168" s="15">
        <v>379.18</v>
      </c>
      <c r="C168" s="15">
        <v>379.18</v>
      </c>
      <c r="D168" s="15">
        <v>379.18</v>
      </c>
      <c r="E168" s="15">
        <v>379.18</v>
      </c>
      <c r="F168" s="15">
        <v>379.18</v>
      </c>
      <c r="G168" s="15">
        <v>379.18</v>
      </c>
      <c r="H168" s="15">
        <v>758.36</v>
      </c>
      <c r="I168" s="15">
        <v>758.36</v>
      </c>
      <c r="J168" s="15">
        <v>379.18</v>
      </c>
      <c r="K168" s="15">
        <v>379.18</v>
      </c>
      <c r="L168" s="15">
        <v>379.18</v>
      </c>
      <c r="M168" s="15">
        <v>379.18</v>
      </c>
      <c r="N168" s="15">
        <v>379.18</v>
      </c>
      <c r="O168" t="s">
        <v>3028</v>
      </c>
    </row>
    <row r="169" spans="1:15" x14ac:dyDescent="0.25">
      <c r="A169" s="10" t="s">
        <v>734</v>
      </c>
      <c r="B169" s="15">
        <v>379.18</v>
      </c>
      <c r="C169" s="15">
        <v>379.18</v>
      </c>
      <c r="D169" s="15">
        <v>379.18</v>
      </c>
      <c r="E169" s="15">
        <v>379.18</v>
      </c>
      <c r="F169" s="15">
        <v>379.18</v>
      </c>
      <c r="G169" s="15">
        <v>758.36</v>
      </c>
      <c r="H169" s="15">
        <v>379.18</v>
      </c>
      <c r="I169" s="15">
        <v>758.36</v>
      </c>
      <c r="J169" s="15">
        <v>379.18</v>
      </c>
      <c r="K169" s="15">
        <v>379.18</v>
      </c>
      <c r="L169" s="15">
        <v>379.18</v>
      </c>
      <c r="M169" s="15">
        <v>379.18</v>
      </c>
      <c r="N169" s="15">
        <v>379.18</v>
      </c>
      <c r="O169" t="s">
        <v>3028</v>
      </c>
    </row>
    <row r="170" spans="1:15" x14ac:dyDescent="0.25">
      <c r="A170" s="10" t="s">
        <v>740</v>
      </c>
      <c r="B170" s="15">
        <v>379.18</v>
      </c>
      <c r="C170" s="15">
        <v>379.18</v>
      </c>
      <c r="D170" s="15">
        <v>379.18</v>
      </c>
      <c r="E170" s="15">
        <v>758.36</v>
      </c>
      <c r="F170" s="15">
        <v>758.36</v>
      </c>
      <c r="G170" s="15">
        <v>379.18</v>
      </c>
      <c r="H170" s="15">
        <v>379.18</v>
      </c>
      <c r="I170" s="15">
        <v>379.18</v>
      </c>
      <c r="J170" s="15">
        <v>379.18</v>
      </c>
      <c r="K170" s="15">
        <v>379.18</v>
      </c>
      <c r="L170" s="15">
        <v>379.18</v>
      </c>
      <c r="M170" s="15">
        <v>379.18</v>
      </c>
      <c r="N170" s="15">
        <v>379.18</v>
      </c>
      <c r="O170" t="s">
        <v>3028</v>
      </c>
    </row>
    <row r="171" spans="1:15" x14ac:dyDescent="0.25">
      <c r="A171" s="10" t="s">
        <v>744</v>
      </c>
      <c r="B171" s="15">
        <v>379.18</v>
      </c>
      <c r="C171" s="15">
        <v>379.18</v>
      </c>
      <c r="D171" s="15">
        <v>379.18</v>
      </c>
      <c r="E171" s="15">
        <v>379.18</v>
      </c>
      <c r="F171" s="15">
        <v>379.18</v>
      </c>
      <c r="G171" s="15">
        <v>758.36</v>
      </c>
      <c r="H171" s="15">
        <v>0</v>
      </c>
      <c r="I171" s="15">
        <v>758.36</v>
      </c>
      <c r="J171" s="15">
        <v>379.18</v>
      </c>
      <c r="K171" s="15">
        <v>379.18</v>
      </c>
      <c r="L171" s="15">
        <v>379.18</v>
      </c>
      <c r="M171" s="15">
        <v>379.18</v>
      </c>
      <c r="N171" s="15">
        <v>379.18</v>
      </c>
      <c r="O171" t="s">
        <v>3028</v>
      </c>
    </row>
    <row r="172" spans="1:15" x14ac:dyDescent="0.25">
      <c r="A172" s="10" t="s">
        <v>746</v>
      </c>
      <c r="B172" s="15">
        <v>1516.72</v>
      </c>
      <c r="C172" s="15">
        <v>758.36</v>
      </c>
      <c r="D172" s="15">
        <v>758.36</v>
      </c>
      <c r="E172" s="15">
        <v>758.36</v>
      </c>
      <c r="F172" s="15">
        <v>758.36</v>
      </c>
      <c r="G172" s="15">
        <v>1516.72</v>
      </c>
      <c r="H172" s="15">
        <v>758.36</v>
      </c>
      <c r="I172" s="15">
        <v>1516.72</v>
      </c>
      <c r="J172" s="15">
        <v>758.36</v>
      </c>
      <c r="K172" s="15">
        <v>758.36</v>
      </c>
      <c r="L172" s="15">
        <v>1516.72</v>
      </c>
      <c r="M172" s="15">
        <v>758.36</v>
      </c>
      <c r="N172" s="15">
        <v>758.36</v>
      </c>
      <c r="O172" t="s">
        <v>3028</v>
      </c>
    </row>
    <row r="173" spans="1:15" x14ac:dyDescent="0.25">
      <c r="A173" s="10" t="s">
        <v>750</v>
      </c>
      <c r="B173" s="15">
        <v>379.18</v>
      </c>
      <c r="C173" s="15">
        <v>379.18</v>
      </c>
      <c r="D173" s="15">
        <v>379.18</v>
      </c>
      <c r="E173" s="15">
        <v>379.18</v>
      </c>
      <c r="F173" s="15">
        <v>379.18</v>
      </c>
      <c r="G173" s="15">
        <v>0</v>
      </c>
      <c r="H173" s="15">
        <v>0</v>
      </c>
      <c r="I173" s="15">
        <v>0</v>
      </c>
      <c r="J173" s="15">
        <v>0</v>
      </c>
      <c r="K173" s="15">
        <v>0</v>
      </c>
      <c r="L173" s="15">
        <v>0</v>
      </c>
      <c r="M173" s="15">
        <v>0</v>
      </c>
      <c r="N173" s="15">
        <v>379.18</v>
      </c>
      <c r="O173" t="s">
        <v>3028</v>
      </c>
    </row>
    <row r="174" spans="1:15" x14ac:dyDescent="0.25">
      <c r="A174" s="10" t="s">
        <v>752</v>
      </c>
      <c r="B174" s="15">
        <v>189.59</v>
      </c>
      <c r="C174" s="15">
        <v>189.59</v>
      </c>
      <c r="D174" s="15">
        <v>189.59</v>
      </c>
      <c r="E174" s="15">
        <v>189.59</v>
      </c>
      <c r="F174" s="15">
        <v>189.59</v>
      </c>
      <c r="G174" s="15">
        <v>189.59</v>
      </c>
      <c r="H174" s="15">
        <v>379.18</v>
      </c>
      <c r="I174" s="15">
        <v>379.18</v>
      </c>
      <c r="J174" s="15">
        <v>189.59</v>
      </c>
      <c r="K174" s="15">
        <v>189.59</v>
      </c>
      <c r="L174" s="15">
        <v>189.59</v>
      </c>
      <c r="M174" s="15">
        <v>189.59</v>
      </c>
      <c r="N174" s="15">
        <v>189.59</v>
      </c>
      <c r="O174" t="s">
        <v>3028</v>
      </c>
    </row>
    <row r="175" spans="1:15" x14ac:dyDescent="0.25">
      <c r="A175" s="10" t="s">
        <v>754</v>
      </c>
      <c r="B175" s="15">
        <v>568.77</v>
      </c>
      <c r="C175" s="15">
        <v>568.77</v>
      </c>
      <c r="D175" s="15">
        <v>568.77</v>
      </c>
      <c r="E175" s="15">
        <v>568.77</v>
      </c>
      <c r="F175" s="15">
        <v>568.77</v>
      </c>
      <c r="G175" s="15">
        <v>568.77</v>
      </c>
      <c r="H175" s="15">
        <v>1137.54</v>
      </c>
      <c r="I175" s="15">
        <v>1137.54</v>
      </c>
      <c r="J175" s="15">
        <v>568.77</v>
      </c>
      <c r="K175" s="15">
        <v>568.77</v>
      </c>
      <c r="L175" s="15">
        <v>568.77</v>
      </c>
      <c r="M175" s="15">
        <v>568.77</v>
      </c>
      <c r="N175" s="15">
        <v>568.77</v>
      </c>
      <c r="O175" t="s">
        <v>3028</v>
      </c>
    </row>
    <row r="176" spans="1:15" x14ac:dyDescent="0.25">
      <c r="A176" s="10" t="s">
        <v>756</v>
      </c>
      <c r="B176" s="15">
        <v>189.59</v>
      </c>
      <c r="C176" s="15">
        <v>189.59</v>
      </c>
      <c r="D176" s="15">
        <v>189.59</v>
      </c>
      <c r="E176" s="15">
        <v>189.59</v>
      </c>
      <c r="F176" s="15">
        <v>189.59</v>
      </c>
      <c r="G176" s="15">
        <v>379.18</v>
      </c>
      <c r="H176" s="15">
        <v>189.59</v>
      </c>
      <c r="I176" s="15">
        <v>379.18</v>
      </c>
      <c r="J176" s="15">
        <v>189.59</v>
      </c>
      <c r="K176" s="15">
        <v>189.59</v>
      </c>
      <c r="L176" s="15">
        <v>189.59</v>
      </c>
      <c r="M176" s="15">
        <v>189.59</v>
      </c>
      <c r="N176" s="15">
        <v>189.59</v>
      </c>
      <c r="O176" t="s">
        <v>3028</v>
      </c>
    </row>
    <row r="177" spans="1:15" x14ac:dyDescent="0.25">
      <c r="A177" s="10" t="s">
        <v>760</v>
      </c>
      <c r="B177" s="15">
        <v>189.59</v>
      </c>
      <c r="C177" s="15">
        <v>189.59</v>
      </c>
      <c r="D177" s="15">
        <v>189.59</v>
      </c>
      <c r="E177" s="15">
        <v>189.59</v>
      </c>
      <c r="F177" s="15">
        <v>189.59</v>
      </c>
      <c r="G177" s="15">
        <v>189.59</v>
      </c>
      <c r="H177" s="15">
        <v>189.59</v>
      </c>
      <c r="I177" s="15">
        <v>189.59</v>
      </c>
      <c r="J177" s="15">
        <v>189.59</v>
      </c>
      <c r="K177" s="15">
        <v>189.59</v>
      </c>
      <c r="L177" s="15">
        <v>379.18</v>
      </c>
      <c r="M177" s="15">
        <v>189.59</v>
      </c>
      <c r="N177" s="15">
        <v>189.59</v>
      </c>
      <c r="O177" t="s">
        <v>3028</v>
      </c>
    </row>
    <row r="178" spans="1:15" x14ac:dyDescent="0.25">
      <c r="A178" s="10" t="s">
        <v>762</v>
      </c>
      <c r="B178" s="15">
        <v>189.59</v>
      </c>
      <c r="C178" s="15">
        <v>189.59</v>
      </c>
      <c r="D178" s="15">
        <v>189.59</v>
      </c>
      <c r="E178" s="15">
        <v>189.59</v>
      </c>
      <c r="F178" s="15">
        <v>189.59</v>
      </c>
      <c r="G178" s="15">
        <v>379.18</v>
      </c>
      <c r="H178" s="15">
        <v>189.59</v>
      </c>
      <c r="I178" s="15">
        <v>189.59</v>
      </c>
      <c r="J178" s="15">
        <v>189.59</v>
      </c>
      <c r="K178" s="15">
        <v>189.59</v>
      </c>
      <c r="L178" s="15">
        <v>189.59</v>
      </c>
      <c r="M178" s="15">
        <v>0</v>
      </c>
      <c r="N178" s="15">
        <v>189.59</v>
      </c>
      <c r="O178" t="s">
        <v>3028</v>
      </c>
    </row>
    <row r="179" spans="1:15" x14ac:dyDescent="0.25">
      <c r="A179" s="10" t="s">
        <v>766</v>
      </c>
      <c r="B179" s="15">
        <v>568.77</v>
      </c>
      <c r="C179" s="15">
        <v>568.77</v>
      </c>
      <c r="D179" s="15">
        <v>568.77</v>
      </c>
      <c r="E179" s="15">
        <v>1137.54</v>
      </c>
      <c r="F179" s="15">
        <v>1137.54</v>
      </c>
      <c r="G179" s="15">
        <v>568.77</v>
      </c>
      <c r="H179" s="15">
        <v>568.77</v>
      </c>
      <c r="I179" s="15">
        <v>568.77</v>
      </c>
      <c r="J179" s="15">
        <v>568.77</v>
      </c>
      <c r="K179" s="15">
        <v>568.77</v>
      </c>
      <c r="L179" s="15">
        <v>568.77</v>
      </c>
      <c r="M179" s="15">
        <v>568.77</v>
      </c>
      <c r="N179" s="15">
        <v>568.77</v>
      </c>
      <c r="O179" t="s">
        <v>3028</v>
      </c>
    </row>
    <row r="180" spans="1:15" x14ac:dyDescent="0.25">
      <c r="A180" s="10" t="s">
        <v>770</v>
      </c>
      <c r="B180" s="15">
        <v>1137.54</v>
      </c>
      <c r="C180" s="15">
        <v>568.77</v>
      </c>
      <c r="D180" s="15">
        <v>568.77</v>
      </c>
      <c r="E180" s="15">
        <v>568.77</v>
      </c>
      <c r="F180" s="15">
        <v>568.77</v>
      </c>
      <c r="G180" s="15">
        <v>1137.54</v>
      </c>
      <c r="H180" s="15">
        <v>568.77</v>
      </c>
      <c r="I180" s="15">
        <v>1137.54</v>
      </c>
      <c r="J180" s="15">
        <v>568.77</v>
      </c>
      <c r="K180" s="15">
        <v>568.77</v>
      </c>
      <c r="L180" s="15">
        <v>568.77</v>
      </c>
      <c r="M180" s="15">
        <v>568.77</v>
      </c>
      <c r="N180" s="15">
        <v>568.77</v>
      </c>
      <c r="O180" t="s">
        <v>3028</v>
      </c>
    </row>
    <row r="181" spans="1:15" x14ac:dyDescent="0.25">
      <c r="A181" s="10" t="s">
        <v>774</v>
      </c>
      <c r="B181" s="15">
        <v>189.59</v>
      </c>
      <c r="C181" s="15">
        <v>189.59</v>
      </c>
      <c r="D181" s="15">
        <v>189.59</v>
      </c>
      <c r="E181" s="15">
        <v>189.59</v>
      </c>
      <c r="F181" s="15">
        <v>189.59</v>
      </c>
      <c r="G181" s="15">
        <v>379.18</v>
      </c>
      <c r="H181" s="15">
        <v>189.59</v>
      </c>
      <c r="I181" s="15">
        <v>379.18</v>
      </c>
      <c r="J181" s="15">
        <v>189.59</v>
      </c>
      <c r="K181" s="15">
        <v>189.59</v>
      </c>
      <c r="L181" s="15">
        <v>189.59</v>
      </c>
      <c r="M181" s="15">
        <v>189.59</v>
      </c>
      <c r="N181" s="15">
        <v>189.59</v>
      </c>
      <c r="O181" t="s">
        <v>3028</v>
      </c>
    </row>
    <row r="182" spans="1:15" x14ac:dyDescent="0.25">
      <c r="A182" s="10" t="s">
        <v>776</v>
      </c>
      <c r="B182" s="15">
        <v>189.59</v>
      </c>
      <c r="C182" s="15">
        <v>189.59</v>
      </c>
      <c r="D182" s="15">
        <v>379.18</v>
      </c>
      <c r="E182" s="15">
        <v>189.59</v>
      </c>
      <c r="F182" s="15">
        <v>379.18</v>
      </c>
      <c r="G182" s="15">
        <v>189.59</v>
      </c>
      <c r="H182" s="15">
        <v>189.59</v>
      </c>
      <c r="I182" s="15">
        <v>189.59</v>
      </c>
      <c r="J182" s="15">
        <v>189.59</v>
      </c>
      <c r="K182" s="15">
        <v>189.59</v>
      </c>
      <c r="L182" s="15">
        <v>189.59</v>
      </c>
      <c r="M182" s="15">
        <v>189.59</v>
      </c>
      <c r="N182" s="15">
        <v>189.59</v>
      </c>
      <c r="O182" t="s">
        <v>3028</v>
      </c>
    </row>
    <row r="183" spans="1:15" x14ac:dyDescent="0.25">
      <c r="A183" s="10" t="s">
        <v>790</v>
      </c>
      <c r="B183" s="15">
        <v>189.59</v>
      </c>
      <c r="C183" s="15">
        <v>189.59</v>
      </c>
      <c r="D183" s="15">
        <v>189.59</v>
      </c>
      <c r="E183" s="15">
        <v>379.18</v>
      </c>
      <c r="F183" s="15">
        <v>379.18</v>
      </c>
      <c r="G183" s="15">
        <v>189.59</v>
      </c>
      <c r="H183" s="15">
        <v>189.59</v>
      </c>
      <c r="I183" s="15">
        <v>189.59</v>
      </c>
      <c r="J183" s="15">
        <v>189.59</v>
      </c>
      <c r="K183" s="15">
        <v>189.59</v>
      </c>
      <c r="L183" s="15">
        <v>189.59</v>
      </c>
      <c r="M183" s="15">
        <v>189.59</v>
      </c>
      <c r="N183" s="15">
        <v>189.59</v>
      </c>
      <c r="O183" t="s">
        <v>3028</v>
      </c>
    </row>
    <row r="184" spans="1:15" x14ac:dyDescent="0.25">
      <c r="A184" s="10" t="s">
        <v>792</v>
      </c>
      <c r="B184" s="15">
        <v>758.36</v>
      </c>
      <c r="C184" s="15">
        <v>758.36</v>
      </c>
      <c r="D184" s="15">
        <v>758.36</v>
      </c>
      <c r="E184" s="15">
        <v>1516.72</v>
      </c>
      <c r="F184" s="15">
        <v>1516.72</v>
      </c>
      <c r="G184" s="15">
        <v>758.36</v>
      </c>
      <c r="H184" s="15">
        <v>758.36</v>
      </c>
      <c r="I184" s="15">
        <v>758.36</v>
      </c>
      <c r="J184" s="15">
        <v>758.36</v>
      </c>
      <c r="K184" s="15">
        <v>758.36</v>
      </c>
      <c r="L184" s="15">
        <v>758.36</v>
      </c>
      <c r="M184" s="15">
        <v>758.36</v>
      </c>
      <c r="N184" s="15">
        <v>758.36</v>
      </c>
      <c r="O184" t="s">
        <v>3028</v>
      </c>
    </row>
    <row r="185" spans="1:15" x14ac:dyDescent="0.25">
      <c r="A185" s="10" t="s">
        <v>794</v>
      </c>
      <c r="B185" s="15">
        <v>379.18</v>
      </c>
      <c r="C185" s="15">
        <v>379.18</v>
      </c>
      <c r="D185" s="15">
        <v>379.18</v>
      </c>
      <c r="E185" s="15">
        <v>379.18</v>
      </c>
      <c r="F185" s="15">
        <v>379.18</v>
      </c>
      <c r="G185" s="15">
        <v>379.18</v>
      </c>
      <c r="H185" s="15">
        <v>379.18</v>
      </c>
      <c r="I185" s="15">
        <v>758.36</v>
      </c>
      <c r="J185" s="15">
        <v>379.18</v>
      </c>
      <c r="K185" s="15">
        <v>379.18</v>
      </c>
      <c r="L185" s="15">
        <v>379.18</v>
      </c>
      <c r="M185" s="15">
        <v>379.18</v>
      </c>
      <c r="N185" s="15">
        <v>379.18</v>
      </c>
      <c r="O185" t="s">
        <v>3028</v>
      </c>
    </row>
    <row r="186" spans="1:15" x14ac:dyDescent="0.25">
      <c r="A186" s="10" t="s">
        <v>798</v>
      </c>
      <c r="B186" s="15">
        <v>568.77</v>
      </c>
      <c r="C186" s="15">
        <v>568.77</v>
      </c>
      <c r="D186" s="15">
        <v>568.77</v>
      </c>
      <c r="E186" s="15">
        <v>568.77</v>
      </c>
      <c r="F186" s="15">
        <v>568.77</v>
      </c>
      <c r="G186" s="15">
        <v>568.77</v>
      </c>
      <c r="H186" s="15">
        <v>568.77</v>
      </c>
      <c r="I186" s="15">
        <v>568.77</v>
      </c>
      <c r="J186" s="15">
        <v>1137.54</v>
      </c>
      <c r="K186" s="15">
        <v>568.77</v>
      </c>
      <c r="L186" s="15">
        <v>568.77</v>
      </c>
      <c r="M186" s="15">
        <v>568.77</v>
      </c>
      <c r="N186" s="15">
        <v>568.77</v>
      </c>
      <c r="O186" t="s">
        <v>3028</v>
      </c>
    </row>
    <row r="187" spans="1:15" x14ac:dyDescent="0.25">
      <c r="A187" s="10" t="s">
        <v>800</v>
      </c>
      <c r="B187" s="15">
        <v>0</v>
      </c>
      <c r="C187" s="15">
        <v>0</v>
      </c>
      <c r="D187" s="15">
        <v>0</v>
      </c>
      <c r="E187" s="15">
        <v>379.18</v>
      </c>
      <c r="F187" s="15">
        <v>379.18</v>
      </c>
      <c r="G187" s="15">
        <v>379.18</v>
      </c>
      <c r="H187" s="15">
        <v>379.18</v>
      </c>
      <c r="I187" s="15">
        <v>379.18</v>
      </c>
      <c r="J187" s="15">
        <v>379.18</v>
      </c>
      <c r="K187" s="15">
        <v>379.18</v>
      </c>
      <c r="L187" s="15">
        <v>379.18</v>
      </c>
      <c r="M187" s="15">
        <v>379.18</v>
      </c>
      <c r="N187" s="15">
        <v>379.18</v>
      </c>
      <c r="O187" t="s">
        <v>3028</v>
      </c>
    </row>
    <row r="188" spans="1:15" x14ac:dyDescent="0.25">
      <c r="A188" s="10" t="s">
        <v>813</v>
      </c>
      <c r="B188" s="15">
        <v>0</v>
      </c>
      <c r="C188" s="15">
        <v>0</v>
      </c>
      <c r="D188" s="15">
        <v>0</v>
      </c>
      <c r="E188" s="15">
        <v>0</v>
      </c>
      <c r="F188" s="15">
        <v>0</v>
      </c>
      <c r="G188" s="15">
        <v>0</v>
      </c>
      <c r="H188" s="15">
        <v>0</v>
      </c>
      <c r="I188" s="15">
        <v>379.18</v>
      </c>
      <c r="J188" s="15">
        <v>189.59</v>
      </c>
      <c r="K188" s="15">
        <v>189.59</v>
      </c>
      <c r="L188" s="15">
        <v>189.59</v>
      </c>
      <c r="M188" s="15">
        <v>189.59</v>
      </c>
      <c r="N188" s="15">
        <v>189.59</v>
      </c>
      <c r="O188" t="s">
        <v>3028</v>
      </c>
    </row>
    <row r="189" spans="1:15" x14ac:dyDescent="0.25">
      <c r="A189" s="10" t="s">
        <v>821</v>
      </c>
      <c r="B189" s="15">
        <v>189.59</v>
      </c>
      <c r="C189" s="15">
        <v>189.59</v>
      </c>
      <c r="D189" s="15">
        <v>189.59</v>
      </c>
      <c r="E189" s="15">
        <v>189.59</v>
      </c>
      <c r="F189" s="15">
        <v>379.18</v>
      </c>
      <c r="G189" s="15">
        <v>189.59</v>
      </c>
      <c r="H189" s="15">
        <v>189.59</v>
      </c>
      <c r="I189" s="15">
        <v>379.18</v>
      </c>
      <c r="J189" s="15">
        <v>189.59</v>
      </c>
      <c r="K189" s="15">
        <v>189.59</v>
      </c>
      <c r="L189" s="15">
        <v>189.59</v>
      </c>
      <c r="M189" s="15">
        <v>189.59</v>
      </c>
      <c r="N189" s="15">
        <v>189.59</v>
      </c>
      <c r="O189" t="s">
        <v>3028</v>
      </c>
    </row>
    <row r="190" spans="1:15" x14ac:dyDescent="0.25">
      <c r="A190" s="10" t="s">
        <v>825</v>
      </c>
      <c r="B190" s="15">
        <v>758.36</v>
      </c>
      <c r="C190" s="15">
        <v>379.18</v>
      </c>
      <c r="D190" s="15">
        <v>379.18</v>
      </c>
      <c r="E190" s="15">
        <v>379.18</v>
      </c>
      <c r="F190" s="15">
        <v>379.18</v>
      </c>
      <c r="G190" s="15">
        <v>379.18</v>
      </c>
      <c r="H190" s="15">
        <v>379.18</v>
      </c>
      <c r="I190" s="15">
        <v>379.18</v>
      </c>
      <c r="J190" s="15">
        <v>379.18</v>
      </c>
      <c r="K190" s="15">
        <v>379.18</v>
      </c>
      <c r="L190" s="15">
        <v>758.36</v>
      </c>
      <c r="M190" s="15">
        <v>379.18</v>
      </c>
      <c r="N190" s="15">
        <v>379.18</v>
      </c>
      <c r="O190" t="s">
        <v>3028</v>
      </c>
    </row>
    <row r="191" spans="1:15" x14ac:dyDescent="0.25">
      <c r="A191" s="10" t="s">
        <v>830</v>
      </c>
      <c r="B191" s="15">
        <v>0</v>
      </c>
      <c r="C191" s="15">
        <v>189.59</v>
      </c>
      <c r="D191" s="15">
        <v>189.59</v>
      </c>
      <c r="E191" s="15">
        <v>379.18</v>
      </c>
      <c r="F191" s="15">
        <v>379.18</v>
      </c>
      <c r="G191" s="15">
        <v>189.59</v>
      </c>
      <c r="H191" s="15">
        <v>189.59</v>
      </c>
      <c r="I191" s="15">
        <v>189.59</v>
      </c>
      <c r="J191" s="15">
        <v>189.59</v>
      </c>
      <c r="K191" s="15">
        <v>189.59</v>
      </c>
      <c r="L191" s="15">
        <v>189.59</v>
      </c>
      <c r="M191" s="15">
        <v>189.59</v>
      </c>
      <c r="N191" s="15">
        <v>189.59</v>
      </c>
      <c r="O191" t="s">
        <v>3028</v>
      </c>
    </row>
    <row r="192" spans="1:15" x14ac:dyDescent="0.25">
      <c r="A192" s="10" t="s">
        <v>838</v>
      </c>
      <c r="B192" s="15">
        <v>758.36</v>
      </c>
      <c r="C192" s="15">
        <v>758.36</v>
      </c>
      <c r="D192" s="15">
        <v>568.77</v>
      </c>
      <c r="E192" s="15">
        <v>568.77</v>
      </c>
      <c r="F192" s="15">
        <v>1137.54</v>
      </c>
      <c r="G192" s="15">
        <v>568.77</v>
      </c>
      <c r="H192" s="15">
        <v>568.77</v>
      </c>
      <c r="I192" s="15">
        <v>1137.54</v>
      </c>
      <c r="J192" s="15">
        <v>568.77</v>
      </c>
      <c r="K192" s="15">
        <v>568.77</v>
      </c>
      <c r="L192" s="15">
        <v>568.77</v>
      </c>
      <c r="M192" s="15">
        <v>568.77</v>
      </c>
      <c r="N192" s="15">
        <v>568.77</v>
      </c>
      <c r="O192" t="s">
        <v>3028</v>
      </c>
    </row>
    <row r="193" spans="1:15" x14ac:dyDescent="0.25">
      <c r="A193" s="10" t="s">
        <v>846</v>
      </c>
      <c r="B193" s="15">
        <v>379.18</v>
      </c>
      <c r="C193" s="15">
        <v>379.18</v>
      </c>
      <c r="D193" s="15">
        <v>379.18</v>
      </c>
      <c r="E193" s="15">
        <v>379.18</v>
      </c>
      <c r="F193" s="15">
        <v>379.18</v>
      </c>
      <c r="G193" s="15">
        <v>758.36</v>
      </c>
      <c r="H193" s="15">
        <v>379.18</v>
      </c>
      <c r="I193" s="15">
        <v>758.36</v>
      </c>
      <c r="J193" s="15">
        <v>379.18</v>
      </c>
      <c r="K193" s="15">
        <v>379.18</v>
      </c>
      <c r="L193" s="15">
        <v>379.18</v>
      </c>
      <c r="M193" s="15">
        <v>379.18</v>
      </c>
      <c r="N193" s="15">
        <v>379.18</v>
      </c>
      <c r="O193" t="s">
        <v>3028</v>
      </c>
    </row>
    <row r="194" spans="1:15" x14ac:dyDescent="0.25">
      <c r="A194" s="10" t="s">
        <v>848</v>
      </c>
      <c r="B194" s="15">
        <v>379.18</v>
      </c>
      <c r="C194" s="15">
        <v>379.18</v>
      </c>
      <c r="D194" s="15">
        <v>379.18</v>
      </c>
      <c r="E194" s="15">
        <v>379.18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379.18</v>
      </c>
      <c r="O194" t="s">
        <v>3028</v>
      </c>
    </row>
    <row r="195" spans="1:15" x14ac:dyDescent="0.25">
      <c r="A195" s="10" t="s">
        <v>852</v>
      </c>
      <c r="B195" s="15">
        <v>379.18</v>
      </c>
      <c r="C195" s="15">
        <v>379.18</v>
      </c>
      <c r="D195" s="15">
        <v>379.18</v>
      </c>
      <c r="E195" s="15">
        <v>379.18</v>
      </c>
      <c r="F195" s="15">
        <v>379.18</v>
      </c>
      <c r="G195" s="15">
        <v>379.18</v>
      </c>
      <c r="H195" s="15">
        <v>758.36</v>
      </c>
      <c r="I195" s="15">
        <v>758.36</v>
      </c>
      <c r="J195" s="15">
        <v>379.18</v>
      </c>
      <c r="K195" s="15">
        <v>379.18</v>
      </c>
      <c r="L195" s="15">
        <v>379.18</v>
      </c>
      <c r="M195" s="15">
        <v>379.18</v>
      </c>
      <c r="N195" s="15">
        <v>379.18</v>
      </c>
      <c r="O195" t="s">
        <v>3028</v>
      </c>
    </row>
    <row r="196" spans="1:15" x14ac:dyDescent="0.25">
      <c r="A196" s="10" t="s">
        <v>854</v>
      </c>
      <c r="B196" s="15">
        <v>568.77</v>
      </c>
      <c r="C196" s="15">
        <v>568.77</v>
      </c>
      <c r="D196" s="15">
        <v>568.77</v>
      </c>
      <c r="E196" s="15">
        <v>0</v>
      </c>
      <c r="F196" s="15">
        <v>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>
        <v>568.77</v>
      </c>
      <c r="O196" t="s">
        <v>3028</v>
      </c>
    </row>
    <row r="197" spans="1:15" x14ac:dyDescent="0.25">
      <c r="A197" s="10" t="s">
        <v>856</v>
      </c>
      <c r="B197" s="15">
        <v>379.18</v>
      </c>
      <c r="C197" s="15">
        <v>379.18</v>
      </c>
      <c r="D197" s="15">
        <v>379.18</v>
      </c>
      <c r="E197" s="15">
        <v>379.18</v>
      </c>
      <c r="F197" s="15">
        <v>379.18</v>
      </c>
      <c r="G197" s="15">
        <v>379.18</v>
      </c>
      <c r="H197" s="15">
        <v>379.18</v>
      </c>
      <c r="I197" s="15">
        <v>379.18</v>
      </c>
      <c r="J197" s="15">
        <v>379.18</v>
      </c>
      <c r="K197" s="15">
        <v>379.18</v>
      </c>
      <c r="L197" s="15">
        <v>379.18</v>
      </c>
      <c r="M197" s="15">
        <v>379.18</v>
      </c>
      <c r="N197" s="15">
        <v>379.18</v>
      </c>
      <c r="O197" t="s">
        <v>3028</v>
      </c>
    </row>
    <row r="198" spans="1:15" x14ac:dyDescent="0.25">
      <c r="A198" s="10" t="s">
        <v>858</v>
      </c>
      <c r="B198" s="15">
        <v>189.59</v>
      </c>
      <c r="C198" s="15">
        <v>189.59</v>
      </c>
      <c r="D198" s="15">
        <v>189.59</v>
      </c>
      <c r="E198" s="15">
        <v>0</v>
      </c>
      <c r="F198" s="15">
        <v>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189.59</v>
      </c>
      <c r="O198" t="s">
        <v>3028</v>
      </c>
    </row>
    <row r="199" spans="1:15" x14ac:dyDescent="0.25">
      <c r="A199" s="10" t="s">
        <v>860</v>
      </c>
      <c r="B199" s="15">
        <v>379.18</v>
      </c>
      <c r="C199" s="15">
        <v>379.18</v>
      </c>
      <c r="D199" s="15">
        <v>379.18</v>
      </c>
      <c r="E199" s="15">
        <v>379.18</v>
      </c>
      <c r="F199" s="15">
        <v>379.18</v>
      </c>
      <c r="G199" s="15">
        <v>379.18</v>
      </c>
      <c r="H199" s="15">
        <v>758.36</v>
      </c>
      <c r="I199" s="15">
        <v>758.36</v>
      </c>
      <c r="J199" s="15">
        <v>379.18</v>
      </c>
      <c r="K199" s="15">
        <v>379.18</v>
      </c>
      <c r="L199" s="15">
        <v>379.18</v>
      </c>
      <c r="M199" s="15">
        <v>379.18</v>
      </c>
      <c r="N199" s="15">
        <v>379.18</v>
      </c>
      <c r="O199" t="s">
        <v>3028</v>
      </c>
    </row>
    <row r="200" spans="1:15" x14ac:dyDescent="0.25">
      <c r="A200" s="10" t="s">
        <v>864</v>
      </c>
      <c r="B200" s="15">
        <v>0</v>
      </c>
      <c r="C200" s="15">
        <v>379.18</v>
      </c>
      <c r="D200" s="15">
        <v>379.18</v>
      </c>
      <c r="E200" s="15">
        <v>379.18</v>
      </c>
      <c r="F200" s="15">
        <v>379.18</v>
      </c>
      <c r="G200" s="15">
        <v>379.18</v>
      </c>
      <c r="H200" s="15">
        <v>379.18</v>
      </c>
      <c r="I200" s="15">
        <v>379.18</v>
      </c>
      <c r="J200" s="15">
        <v>379.18</v>
      </c>
      <c r="K200" s="15">
        <v>379.18</v>
      </c>
      <c r="L200" s="15">
        <v>379.18</v>
      </c>
      <c r="M200" s="15">
        <v>379.18</v>
      </c>
      <c r="N200" s="15">
        <v>379.18</v>
      </c>
      <c r="O200" t="s">
        <v>3028</v>
      </c>
    </row>
    <row r="201" spans="1:15" x14ac:dyDescent="0.25">
      <c r="A201" s="10" t="s">
        <v>866</v>
      </c>
      <c r="B201" s="15">
        <v>189.59</v>
      </c>
      <c r="C201" s="15">
        <v>189.59</v>
      </c>
      <c r="D201" s="15">
        <v>189.59</v>
      </c>
      <c r="E201" s="15">
        <v>379.18</v>
      </c>
      <c r="F201" s="15">
        <v>379.18</v>
      </c>
      <c r="G201" s="15">
        <v>189.59</v>
      </c>
      <c r="H201" s="15">
        <v>189.59</v>
      </c>
      <c r="I201" s="15">
        <v>189.59</v>
      </c>
      <c r="J201" s="15">
        <v>189.59</v>
      </c>
      <c r="K201" s="15">
        <v>189.59</v>
      </c>
      <c r="L201" s="15">
        <v>189.59</v>
      </c>
      <c r="M201" s="15">
        <v>189.59</v>
      </c>
      <c r="N201" s="15">
        <v>189.59</v>
      </c>
      <c r="O201" t="s">
        <v>3028</v>
      </c>
    </row>
    <row r="202" spans="1:15" x14ac:dyDescent="0.25">
      <c r="A202" s="10" t="s">
        <v>870</v>
      </c>
      <c r="B202" s="15">
        <v>189.59</v>
      </c>
      <c r="C202" s="15">
        <v>189.59</v>
      </c>
      <c r="D202" s="15">
        <v>189.59</v>
      </c>
      <c r="E202" s="15">
        <v>189.59</v>
      </c>
      <c r="F202" s="15">
        <v>189.59</v>
      </c>
      <c r="G202" s="15">
        <v>189.59</v>
      </c>
      <c r="H202" s="15">
        <v>189.59</v>
      </c>
      <c r="I202" s="15">
        <v>189.59</v>
      </c>
      <c r="J202" s="15">
        <v>189.59</v>
      </c>
      <c r="K202" s="15">
        <v>189.59</v>
      </c>
      <c r="L202" s="15">
        <v>189.59</v>
      </c>
      <c r="M202" s="15">
        <v>379.18</v>
      </c>
      <c r="N202" s="15">
        <v>189.59</v>
      </c>
      <c r="O202" t="s">
        <v>3028</v>
      </c>
    </row>
    <row r="203" spans="1:15" x14ac:dyDescent="0.25">
      <c r="A203" s="10" t="s">
        <v>884</v>
      </c>
      <c r="B203" s="15">
        <v>568.77</v>
      </c>
      <c r="C203" s="15">
        <v>568.77</v>
      </c>
      <c r="D203" s="15">
        <v>568.77</v>
      </c>
      <c r="E203" s="15">
        <v>568.77</v>
      </c>
      <c r="F203" s="15">
        <v>568.77</v>
      </c>
      <c r="G203" s="15">
        <v>1137.54</v>
      </c>
      <c r="H203" s="15">
        <v>568.77</v>
      </c>
      <c r="I203" s="15">
        <v>1137.54</v>
      </c>
      <c r="J203" s="15">
        <v>568.77</v>
      </c>
      <c r="K203" s="15">
        <v>568.77</v>
      </c>
      <c r="L203" s="15">
        <v>568.77</v>
      </c>
      <c r="M203" s="15">
        <v>568.77</v>
      </c>
      <c r="N203" s="15">
        <v>568.77</v>
      </c>
      <c r="O203" t="s">
        <v>3028</v>
      </c>
    </row>
    <row r="204" spans="1:15" x14ac:dyDescent="0.25">
      <c r="A204" s="10" t="s">
        <v>892</v>
      </c>
      <c r="B204" s="15">
        <v>758.36</v>
      </c>
      <c r="C204" s="15">
        <v>758.36</v>
      </c>
      <c r="D204" s="15">
        <v>758.36</v>
      </c>
      <c r="E204" s="15">
        <v>758.36</v>
      </c>
      <c r="F204" s="15">
        <v>1516.72</v>
      </c>
      <c r="G204" s="15">
        <v>758.36</v>
      </c>
      <c r="H204" s="15">
        <v>758.36</v>
      </c>
      <c r="I204" s="15">
        <v>1516.72</v>
      </c>
      <c r="J204" s="15">
        <v>758.36</v>
      </c>
      <c r="K204" s="15">
        <v>758.36</v>
      </c>
      <c r="L204" s="15">
        <v>758.36</v>
      </c>
      <c r="M204" s="15">
        <v>758.36</v>
      </c>
      <c r="N204" s="15">
        <v>758.36</v>
      </c>
      <c r="O204" t="s">
        <v>3028</v>
      </c>
    </row>
    <row r="205" spans="1:15" x14ac:dyDescent="0.25">
      <c r="A205" s="10" t="s">
        <v>902</v>
      </c>
      <c r="B205" s="15">
        <v>0</v>
      </c>
      <c r="C205" s="15">
        <v>0</v>
      </c>
      <c r="D205" s="15">
        <v>189.59</v>
      </c>
      <c r="E205" s="15">
        <v>189.59</v>
      </c>
      <c r="F205" s="15">
        <v>189.59</v>
      </c>
      <c r="G205" s="15">
        <v>189.59</v>
      </c>
      <c r="H205" s="15">
        <v>189.59</v>
      </c>
      <c r="I205" s="15">
        <v>189.59</v>
      </c>
      <c r="J205" s="15">
        <v>189.59</v>
      </c>
      <c r="K205" s="15">
        <v>189.59</v>
      </c>
      <c r="L205" s="15">
        <v>189.59</v>
      </c>
      <c r="M205" s="15">
        <v>189.59</v>
      </c>
      <c r="N205" s="15">
        <v>189.59</v>
      </c>
      <c r="O205" t="s">
        <v>3028</v>
      </c>
    </row>
    <row r="206" spans="1:15" x14ac:dyDescent="0.25">
      <c r="A206" s="10" t="s">
        <v>912</v>
      </c>
      <c r="B206" s="15">
        <v>1137.54</v>
      </c>
      <c r="C206" s="15">
        <v>568.77</v>
      </c>
      <c r="D206" s="15">
        <v>568.77</v>
      </c>
      <c r="E206" s="15">
        <v>568.77</v>
      </c>
      <c r="F206" s="15">
        <v>568.77</v>
      </c>
      <c r="G206" s="15">
        <v>568.77</v>
      </c>
      <c r="H206" s="15">
        <v>568.77</v>
      </c>
      <c r="I206" s="15">
        <v>568.77</v>
      </c>
      <c r="J206" s="15">
        <v>568.77</v>
      </c>
      <c r="K206" s="15">
        <v>568.77</v>
      </c>
      <c r="L206" s="15">
        <v>568.77</v>
      </c>
      <c r="M206" s="15">
        <v>568.77</v>
      </c>
      <c r="N206" s="15">
        <v>568.77</v>
      </c>
      <c r="O206" t="s">
        <v>3028</v>
      </c>
    </row>
    <row r="207" spans="1:15" x14ac:dyDescent="0.25">
      <c r="A207" s="10" t="s">
        <v>914</v>
      </c>
      <c r="B207" s="15">
        <v>379.18</v>
      </c>
      <c r="C207" s="15">
        <v>379.18</v>
      </c>
      <c r="D207" s="15">
        <v>379.18</v>
      </c>
      <c r="E207" s="15">
        <v>758.36</v>
      </c>
      <c r="F207" s="15">
        <v>758.36</v>
      </c>
      <c r="G207" s="15">
        <v>379.18</v>
      </c>
      <c r="H207" s="15">
        <v>379.18</v>
      </c>
      <c r="I207" s="15">
        <v>379.18</v>
      </c>
      <c r="J207" s="15">
        <v>379.18</v>
      </c>
      <c r="K207" s="15">
        <v>379.18</v>
      </c>
      <c r="L207" s="15">
        <v>379.18</v>
      </c>
      <c r="M207" s="15">
        <v>379.18</v>
      </c>
      <c r="N207" s="15">
        <v>379.18</v>
      </c>
      <c r="O207" t="s">
        <v>3028</v>
      </c>
    </row>
    <row r="208" spans="1:15" x14ac:dyDescent="0.25">
      <c r="A208" s="10" t="s">
        <v>916</v>
      </c>
      <c r="B208" s="15">
        <v>189.59</v>
      </c>
      <c r="C208" s="15">
        <v>189.59</v>
      </c>
      <c r="D208" s="15">
        <v>189.59</v>
      </c>
      <c r="E208" s="15">
        <v>379.18</v>
      </c>
      <c r="F208" s="15">
        <v>189.59</v>
      </c>
      <c r="G208" s="15">
        <v>189.59</v>
      </c>
      <c r="H208" s="15">
        <v>189.59</v>
      </c>
      <c r="I208" s="15">
        <v>189.59</v>
      </c>
      <c r="J208" s="15">
        <v>189.59</v>
      </c>
      <c r="K208" s="15">
        <v>189.59</v>
      </c>
      <c r="L208" s="15">
        <v>189.59</v>
      </c>
      <c r="M208" s="15">
        <v>189.59</v>
      </c>
      <c r="N208" s="15">
        <v>189.59</v>
      </c>
      <c r="O208" t="s">
        <v>3028</v>
      </c>
    </row>
    <row r="209" spans="1:15" x14ac:dyDescent="0.25">
      <c r="A209" s="10" t="s">
        <v>918</v>
      </c>
      <c r="B209" s="15">
        <v>189.59</v>
      </c>
      <c r="C209" s="15">
        <v>189.59</v>
      </c>
      <c r="D209" s="15">
        <v>189.59</v>
      </c>
      <c r="E209" s="15">
        <v>0</v>
      </c>
      <c r="F209" s="15">
        <v>0</v>
      </c>
      <c r="G209" s="15">
        <v>0</v>
      </c>
      <c r="H209" s="15">
        <v>0</v>
      </c>
      <c r="I209" s="15">
        <v>0</v>
      </c>
      <c r="J209" s="15">
        <v>0</v>
      </c>
      <c r="K209" s="15">
        <v>0</v>
      </c>
      <c r="L209" s="15">
        <v>0</v>
      </c>
      <c r="M209" s="15">
        <v>0</v>
      </c>
      <c r="N209" s="15">
        <v>189.59</v>
      </c>
      <c r="O209" t="s">
        <v>3028</v>
      </c>
    </row>
    <row r="210" spans="1:15" x14ac:dyDescent="0.25">
      <c r="A210" s="10" t="s">
        <v>928</v>
      </c>
      <c r="B210" s="15">
        <v>379.18</v>
      </c>
      <c r="C210" s="15">
        <v>379.18</v>
      </c>
      <c r="D210" s="15">
        <v>379.18</v>
      </c>
      <c r="E210" s="15">
        <v>758.36</v>
      </c>
      <c r="F210" s="15">
        <v>758.36</v>
      </c>
      <c r="G210" s="15">
        <v>379.18</v>
      </c>
      <c r="H210" s="15">
        <v>379.18</v>
      </c>
      <c r="I210" s="15">
        <v>379.18</v>
      </c>
      <c r="J210" s="15">
        <v>379.18</v>
      </c>
      <c r="K210" s="15">
        <v>379.18</v>
      </c>
      <c r="L210" s="15">
        <v>379.18</v>
      </c>
      <c r="M210" s="15">
        <v>379.18</v>
      </c>
      <c r="N210" s="15">
        <v>379.18</v>
      </c>
      <c r="O210" t="s">
        <v>3028</v>
      </c>
    </row>
    <row r="211" spans="1:15" x14ac:dyDescent="0.25">
      <c r="A211" s="10" t="s">
        <v>930</v>
      </c>
      <c r="B211" s="15">
        <v>189.59</v>
      </c>
      <c r="C211" s="15">
        <v>189.59</v>
      </c>
      <c r="D211" s="15">
        <v>189.59</v>
      </c>
      <c r="E211" s="15">
        <v>189.59</v>
      </c>
      <c r="F211" s="15">
        <v>189.59</v>
      </c>
      <c r="G211" s="15">
        <v>189.59</v>
      </c>
      <c r="H211" s="15">
        <v>189.59</v>
      </c>
      <c r="I211" s="15">
        <v>189.59</v>
      </c>
      <c r="J211" s="15">
        <v>189.59</v>
      </c>
      <c r="K211" s="15">
        <v>379.18</v>
      </c>
      <c r="L211" s="15">
        <v>189.59</v>
      </c>
      <c r="M211" s="15">
        <v>189.59</v>
      </c>
      <c r="N211" s="15">
        <v>189.59</v>
      </c>
      <c r="O211" t="s">
        <v>3028</v>
      </c>
    </row>
    <row r="212" spans="1:15" x14ac:dyDescent="0.25">
      <c r="A212" s="10" t="s">
        <v>936</v>
      </c>
      <c r="B212" s="15">
        <v>189.59</v>
      </c>
      <c r="C212" s="15">
        <v>189.59</v>
      </c>
      <c r="D212" s="15">
        <v>189.59</v>
      </c>
      <c r="E212" s="15">
        <v>379.18</v>
      </c>
      <c r="F212" s="15">
        <v>379.18</v>
      </c>
      <c r="G212" s="15">
        <v>189.59</v>
      </c>
      <c r="H212" s="15">
        <v>189.59</v>
      </c>
      <c r="I212" s="15">
        <v>189.59</v>
      </c>
      <c r="J212" s="15">
        <v>189.59</v>
      </c>
      <c r="K212" s="15">
        <v>189.59</v>
      </c>
      <c r="L212" s="15">
        <v>189.59</v>
      </c>
      <c r="M212" s="15">
        <v>189.59</v>
      </c>
      <c r="N212" s="15">
        <v>189.59</v>
      </c>
      <c r="O212" t="s">
        <v>3028</v>
      </c>
    </row>
    <row r="213" spans="1:15" x14ac:dyDescent="0.25">
      <c r="A213" s="10" t="s">
        <v>942</v>
      </c>
      <c r="B213" s="15">
        <v>568.77</v>
      </c>
      <c r="C213" s="15">
        <v>568.77</v>
      </c>
      <c r="D213" s="15">
        <v>568.77</v>
      </c>
      <c r="E213" s="15">
        <v>1137.54</v>
      </c>
      <c r="F213" s="15">
        <v>1137.54</v>
      </c>
      <c r="G213" s="15">
        <v>568.77</v>
      </c>
      <c r="H213" s="15">
        <v>568.77</v>
      </c>
      <c r="I213" s="15">
        <v>568.77</v>
      </c>
      <c r="J213" s="15">
        <v>0</v>
      </c>
      <c r="K213" s="15">
        <v>0</v>
      </c>
      <c r="L213" s="15">
        <v>0</v>
      </c>
      <c r="M213" s="15">
        <v>0</v>
      </c>
      <c r="N213" s="15">
        <v>568.77</v>
      </c>
      <c r="O213" t="s">
        <v>3028</v>
      </c>
    </row>
    <row r="214" spans="1:15" x14ac:dyDescent="0.25">
      <c r="A214" s="10" t="s">
        <v>946</v>
      </c>
      <c r="B214" s="15">
        <v>189.59</v>
      </c>
      <c r="C214" s="15">
        <v>189.59</v>
      </c>
      <c r="D214" s="15">
        <v>189.59</v>
      </c>
      <c r="E214" s="15">
        <v>379.18</v>
      </c>
      <c r="F214" s="15">
        <v>0</v>
      </c>
      <c r="G214" s="15">
        <v>189.59</v>
      </c>
      <c r="H214" s="15">
        <v>189.59</v>
      </c>
      <c r="I214" s="15">
        <v>189.59</v>
      </c>
      <c r="J214" s="15">
        <v>189.59</v>
      </c>
      <c r="K214" s="15">
        <v>189.59</v>
      </c>
      <c r="L214" s="15">
        <v>189.59</v>
      </c>
      <c r="M214" s="15">
        <v>189.59</v>
      </c>
      <c r="N214" s="15">
        <v>189.59</v>
      </c>
      <c r="O214" t="s">
        <v>3028</v>
      </c>
    </row>
    <row r="215" spans="1:15" x14ac:dyDescent="0.25">
      <c r="A215" s="10" t="s">
        <v>958</v>
      </c>
      <c r="B215" s="15">
        <v>379.18</v>
      </c>
      <c r="C215" s="15">
        <v>379.18</v>
      </c>
      <c r="D215" s="15">
        <v>379.18</v>
      </c>
      <c r="E215" s="15">
        <v>379.18</v>
      </c>
      <c r="F215" s="15">
        <v>0</v>
      </c>
      <c r="G215" s="15">
        <v>0</v>
      </c>
      <c r="H215" s="15">
        <v>0</v>
      </c>
      <c r="I215" s="15">
        <v>0</v>
      </c>
      <c r="J215" s="15">
        <v>0</v>
      </c>
      <c r="K215" s="15">
        <v>0</v>
      </c>
      <c r="L215" s="15">
        <v>0</v>
      </c>
      <c r="M215" s="15">
        <v>0</v>
      </c>
      <c r="N215" s="15">
        <v>379.18</v>
      </c>
      <c r="O215" t="s">
        <v>3028</v>
      </c>
    </row>
    <row r="216" spans="1:15" x14ac:dyDescent="0.25">
      <c r="A216" s="10" t="s">
        <v>968</v>
      </c>
      <c r="B216" s="15">
        <v>189.59</v>
      </c>
      <c r="C216" s="15">
        <v>189.59</v>
      </c>
      <c r="D216" s="15">
        <v>189.59</v>
      </c>
      <c r="E216" s="15">
        <v>189.59</v>
      </c>
      <c r="F216" s="15">
        <v>189.59</v>
      </c>
      <c r="G216" s="15">
        <v>379.18</v>
      </c>
      <c r="H216" s="15">
        <v>189.59</v>
      </c>
      <c r="I216" s="15">
        <v>379.18</v>
      </c>
      <c r="J216" s="15">
        <v>189.59</v>
      </c>
      <c r="K216" s="15">
        <v>189.59</v>
      </c>
      <c r="L216" s="15">
        <v>189.59</v>
      </c>
      <c r="M216" s="15">
        <v>189.59</v>
      </c>
      <c r="N216" s="15">
        <v>189.59</v>
      </c>
      <c r="O216" t="s">
        <v>3028</v>
      </c>
    </row>
    <row r="217" spans="1:15" x14ac:dyDescent="0.25">
      <c r="A217" s="10" t="s">
        <v>970</v>
      </c>
      <c r="B217" s="15">
        <v>189.59</v>
      </c>
      <c r="C217" s="15">
        <v>189.59</v>
      </c>
      <c r="D217" s="15">
        <v>189.59</v>
      </c>
      <c r="E217" s="15">
        <v>189.59</v>
      </c>
      <c r="F217" s="15">
        <v>189.59</v>
      </c>
      <c r="G217" s="15">
        <v>379.18</v>
      </c>
      <c r="H217" s="15">
        <v>189.59</v>
      </c>
      <c r="I217" s="15">
        <v>379.18</v>
      </c>
      <c r="J217" s="15">
        <v>189.59</v>
      </c>
      <c r="K217" s="15">
        <v>189.59</v>
      </c>
      <c r="L217" s="15">
        <v>189.59</v>
      </c>
      <c r="M217" s="15">
        <v>189.59</v>
      </c>
      <c r="N217" s="15">
        <v>189.59</v>
      </c>
      <c r="O217" t="s">
        <v>3028</v>
      </c>
    </row>
    <row r="218" spans="1:15" x14ac:dyDescent="0.25">
      <c r="A218" s="10" t="s">
        <v>972</v>
      </c>
      <c r="B218" s="15">
        <v>0</v>
      </c>
      <c r="C218" s="15">
        <v>0</v>
      </c>
      <c r="D218" s="15">
        <v>0</v>
      </c>
      <c r="E218" s="15">
        <v>189.59</v>
      </c>
      <c r="F218" s="15">
        <v>189.59</v>
      </c>
      <c r="G218" s="15">
        <v>189.59</v>
      </c>
      <c r="H218" s="15">
        <v>189.59</v>
      </c>
      <c r="I218" s="15">
        <v>189.59</v>
      </c>
      <c r="J218" s="15">
        <v>189.59</v>
      </c>
      <c r="K218" s="15">
        <v>189.59</v>
      </c>
      <c r="L218" s="15">
        <v>189.59</v>
      </c>
      <c r="M218" s="15">
        <v>189.59</v>
      </c>
      <c r="N218" s="15">
        <v>189.59</v>
      </c>
      <c r="O218" t="s">
        <v>3028</v>
      </c>
    </row>
    <row r="219" spans="1:15" x14ac:dyDescent="0.25">
      <c r="A219" s="10" t="s">
        <v>974</v>
      </c>
      <c r="B219" s="15">
        <v>379.18</v>
      </c>
      <c r="C219" s="15">
        <v>379.18</v>
      </c>
      <c r="D219" s="15">
        <v>379.18</v>
      </c>
      <c r="E219" s="15">
        <v>379.18</v>
      </c>
      <c r="F219" s="15">
        <v>758.36</v>
      </c>
      <c r="G219" s="15">
        <v>379.18</v>
      </c>
      <c r="H219" s="15">
        <v>379.18</v>
      </c>
      <c r="I219" s="15">
        <v>758.36</v>
      </c>
      <c r="J219" s="15">
        <v>379.18</v>
      </c>
      <c r="K219" s="15">
        <v>379.18</v>
      </c>
      <c r="L219" s="15">
        <v>379.18</v>
      </c>
      <c r="M219" s="15">
        <v>379.18</v>
      </c>
      <c r="N219" s="15">
        <v>379.18</v>
      </c>
      <c r="O219" t="s">
        <v>3028</v>
      </c>
    </row>
    <row r="220" spans="1:15" x14ac:dyDescent="0.25">
      <c r="A220" s="10" t="s">
        <v>984</v>
      </c>
      <c r="B220" s="15">
        <v>189.59</v>
      </c>
      <c r="C220" s="15">
        <v>189.59</v>
      </c>
      <c r="D220" s="15">
        <v>189.59</v>
      </c>
      <c r="E220" s="15">
        <v>0</v>
      </c>
      <c r="F220" s="15">
        <v>0</v>
      </c>
      <c r="G220" s="15">
        <v>0</v>
      </c>
      <c r="H220" s="15">
        <v>0</v>
      </c>
      <c r="I220" s="15">
        <v>0</v>
      </c>
      <c r="J220" s="15">
        <v>0</v>
      </c>
      <c r="K220" s="15">
        <v>0</v>
      </c>
      <c r="L220" s="15">
        <v>0</v>
      </c>
      <c r="M220" s="15">
        <v>0</v>
      </c>
      <c r="N220" s="15">
        <v>189.59</v>
      </c>
      <c r="O220" t="s">
        <v>3028</v>
      </c>
    </row>
    <row r="221" spans="1:15" x14ac:dyDescent="0.25">
      <c r="A221" s="10" t="s">
        <v>988</v>
      </c>
      <c r="B221" s="15">
        <v>0</v>
      </c>
      <c r="C221" s="15">
        <v>189.59</v>
      </c>
      <c r="D221" s="15">
        <v>189.59</v>
      </c>
      <c r="E221" s="15">
        <v>189.59</v>
      </c>
      <c r="F221" s="15">
        <v>189.59</v>
      </c>
      <c r="G221" s="15">
        <v>189.59</v>
      </c>
      <c r="H221" s="15">
        <v>189.59</v>
      </c>
      <c r="I221" s="15">
        <v>189.59</v>
      </c>
      <c r="J221" s="15">
        <v>189.59</v>
      </c>
      <c r="K221" s="15">
        <v>189.59</v>
      </c>
      <c r="L221" s="15">
        <v>189.59</v>
      </c>
      <c r="M221" s="15">
        <v>189.59</v>
      </c>
      <c r="N221" s="15">
        <v>189.59</v>
      </c>
      <c r="O221" t="s">
        <v>3028</v>
      </c>
    </row>
    <row r="222" spans="1:15" x14ac:dyDescent="0.25">
      <c r="A222" s="10" t="s">
        <v>992</v>
      </c>
      <c r="B222" s="15">
        <v>379.18</v>
      </c>
      <c r="C222" s="15">
        <v>379.18</v>
      </c>
      <c r="D222" s="15">
        <v>379.18</v>
      </c>
      <c r="E222" s="15">
        <v>0</v>
      </c>
      <c r="F222" s="15">
        <v>0</v>
      </c>
      <c r="G222" s="15">
        <v>0</v>
      </c>
      <c r="H222" s="15">
        <v>0</v>
      </c>
      <c r="I222" s="15">
        <v>0</v>
      </c>
      <c r="J222" s="15">
        <v>0</v>
      </c>
      <c r="K222" s="15">
        <v>0</v>
      </c>
      <c r="L222" s="15">
        <v>0</v>
      </c>
      <c r="M222" s="15">
        <v>0</v>
      </c>
      <c r="N222" s="15">
        <v>379.18</v>
      </c>
      <c r="O222" t="s">
        <v>3028</v>
      </c>
    </row>
    <row r="223" spans="1:15" x14ac:dyDescent="0.25">
      <c r="A223" s="10" t="s">
        <v>996</v>
      </c>
      <c r="B223" s="15">
        <v>379.18</v>
      </c>
      <c r="C223" s="15">
        <v>379.18</v>
      </c>
      <c r="D223" s="15">
        <v>379.18</v>
      </c>
      <c r="E223" s="15">
        <v>758.36</v>
      </c>
      <c r="F223" s="15">
        <v>758.36</v>
      </c>
      <c r="G223" s="15">
        <v>379.18</v>
      </c>
      <c r="H223" s="15">
        <v>379.18</v>
      </c>
      <c r="I223" s="15">
        <v>379.18</v>
      </c>
      <c r="J223" s="15">
        <v>379.18</v>
      </c>
      <c r="K223" s="15">
        <v>379.18</v>
      </c>
      <c r="L223" s="15">
        <v>379.18</v>
      </c>
      <c r="M223" s="15">
        <v>379.18</v>
      </c>
      <c r="N223" s="15">
        <v>379.18</v>
      </c>
      <c r="O223" t="s">
        <v>3028</v>
      </c>
    </row>
    <row r="224" spans="1:15" x14ac:dyDescent="0.25">
      <c r="A224" s="10" t="s">
        <v>998</v>
      </c>
      <c r="B224" s="15">
        <v>379.18</v>
      </c>
      <c r="C224" s="15">
        <v>379.18</v>
      </c>
      <c r="D224" s="15">
        <v>379.18</v>
      </c>
      <c r="E224" s="15">
        <v>379.18</v>
      </c>
      <c r="F224" s="15">
        <v>379.18</v>
      </c>
      <c r="G224" s="15">
        <v>758.36</v>
      </c>
      <c r="H224" s="15">
        <v>379.18</v>
      </c>
      <c r="I224" s="15">
        <v>758.36</v>
      </c>
      <c r="J224" s="15">
        <v>379.18</v>
      </c>
      <c r="K224" s="15">
        <v>379.18</v>
      </c>
      <c r="L224" s="15">
        <v>379.18</v>
      </c>
      <c r="M224" s="15">
        <v>379.18</v>
      </c>
      <c r="N224" s="15">
        <v>379.18</v>
      </c>
      <c r="O224" t="s">
        <v>3028</v>
      </c>
    </row>
    <row r="225" spans="1:15" x14ac:dyDescent="0.25">
      <c r="A225" s="10" t="s">
        <v>1002</v>
      </c>
      <c r="B225" s="15">
        <v>379.18</v>
      </c>
      <c r="C225" s="15">
        <v>379.18</v>
      </c>
      <c r="D225" s="15">
        <v>379.18</v>
      </c>
      <c r="E225" s="15">
        <v>379.18</v>
      </c>
      <c r="F225" s="15">
        <v>758.36</v>
      </c>
      <c r="G225" s="15">
        <v>379.18</v>
      </c>
      <c r="H225" s="15">
        <v>379.18</v>
      </c>
      <c r="I225" s="15">
        <v>758.36</v>
      </c>
      <c r="J225" s="15">
        <v>379.18</v>
      </c>
      <c r="K225" s="15">
        <v>379.18</v>
      </c>
      <c r="L225" s="15">
        <v>379.18</v>
      </c>
      <c r="M225" s="15">
        <v>379.18</v>
      </c>
      <c r="N225" s="15">
        <v>379.18</v>
      </c>
      <c r="O225" t="s">
        <v>3028</v>
      </c>
    </row>
    <row r="226" spans="1:15" x14ac:dyDescent="0.25">
      <c r="A226" s="10" t="s">
        <v>1004</v>
      </c>
      <c r="B226" s="15">
        <v>189.59</v>
      </c>
      <c r="C226" s="15">
        <v>189.59</v>
      </c>
      <c r="D226" s="15">
        <v>189.59</v>
      </c>
      <c r="E226" s="15">
        <v>379.18</v>
      </c>
      <c r="F226" s="15">
        <v>379.18</v>
      </c>
      <c r="G226" s="15">
        <v>189.59</v>
      </c>
      <c r="H226" s="15">
        <v>189.59</v>
      </c>
      <c r="I226" s="15">
        <v>189.59</v>
      </c>
      <c r="J226" s="15">
        <v>189.59</v>
      </c>
      <c r="K226" s="15">
        <v>189.59</v>
      </c>
      <c r="L226" s="15">
        <v>189.59</v>
      </c>
      <c r="M226" s="15">
        <v>189.59</v>
      </c>
      <c r="N226" s="15">
        <v>189.59</v>
      </c>
      <c r="O226" t="s">
        <v>3028</v>
      </c>
    </row>
    <row r="227" spans="1:15" x14ac:dyDescent="0.25">
      <c r="A227" s="10" t="s">
        <v>1010</v>
      </c>
      <c r="B227" s="15">
        <v>568.77</v>
      </c>
      <c r="C227" s="15">
        <v>568.77</v>
      </c>
      <c r="D227" s="15">
        <v>568.77</v>
      </c>
      <c r="E227" s="15">
        <v>568.77</v>
      </c>
      <c r="F227" s="15">
        <v>568.77</v>
      </c>
      <c r="G227" s="15">
        <v>1137.54</v>
      </c>
      <c r="H227" s="15">
        <v>568.77</v>
      </c>
      <c r="I227" s="15">
        <v>1137.54</v>
      </c>
      <c r="J227" s="15">
        <v>568.77</v>
      </c>
      <c r="K227" s="15">
        <v>568.77</v>
      </c>
      <c r="L227" s="15">
        <v>568.77</v>
      </c>
      <c r="M227" s="15">
        <v>568.77</v>
      </c>
      <c r="N227" s="15">
        <v>568.77</v>
      </c>
      <c r="O227" t="s">
        <v>3028</v>
      </c>
    </row>
    <row r="228" spans="1:15" x14ac:dyDescent="0.25">
      <c r="A228" s="10" t="s">
        <v>1018</v>
      </c>
      <c r="B228" s="15">
        <v>568.77</v>
      </c>
      <c r="C228" s="15">
        <v>568.77</v>
      </c>
      <c r="D228" s="15">
        <v>568.77</v>
      </c>
      <c r="E228" s="15">
        <v>1137.54</v>
      </c>
      <c r="F228" s="15">
        <v>1137.54</v>
      </c>
      <c r="G228" s="15">
        <v>568.77</v>
      </c>
      <c r="H228" s="15">
        <v>568.77</v>
      </c>
      <c r="I228" s="15">
        <v>568.77</v>
      </c>
      <c r="J228" s="15">
        <v>568.77</v>
      </c>
      <c r="K228" s="15">
        <v>568.77</v>
      </c>
      <c r="L228" s="15">
        <v>568.77</v>
      </c>
      <c r="M228" s="15">
        <v>568.77</v>
      </c>
      <c r="N228" s="15">
        <v>568.77</v>
      </c>
      <c r="O228" t="s">
        <v>3028</v>
      </c>
    </row>
    <row r="229" spans="1:15" x14ac:dyDescent="0.25">
      <c r="A229" s="10" t="s">
        <v>1026</v>
      </c>
      <c r="B229" s="15">
        <v>568.77</v>
      </c>
      <c r="C229" s="15">
        <v>568.77</v>
      </c>
      <c r="D229" s="15">
        <v>568.77</v>
      </c>
      <c r="E229" s="15">
        <v>568.77</v>
      </c>
      <c r="F229" s="15">
        <v>568.77</v>
      </c>
      <c r="G229" s="15">
        <v>568.77</v>
      </c>
      <c r="H229" s="15">
        <v>568.77</v>
      </c>
      <c r="I229" s="15">
        <v>568.77</v>
      </c>
      <c r="J229" s="15">
        <v>1137.54</v>
      </c>
      <c r="K229" s="15">
        <v>1137.54</v>
      </c>
      <c r="L229" s="15">
        <v>568.77</v>
      </c>
      <c r="M229" s="15">
        <v>568.77</v>
      </c>
      <c r="N229" s="15">
        <v>568.77</v>
      </c>
      <c r="O229" t="s">
        <v>3028</v>
      </c>
    </row>
    <row r="230" spans="1:15" x14ac:dyDescent="0.25">
      <c r="A230" s="10" t="s">
        <v>1030</v>
      </c>
      <c r="B230" s="15">
        <v>379.18</v>
      </c>
      <c r="C230" s="15">
        <v>379.18</v>
      </c>
      <c r="D230" s="15">
        <v>379.18</v>
      </c>
      <c r="E230" s="15">
        <v>379.18</v>
      </c>
      <c r="F230" s="15">
        <v>379.18</v>
      </c>
      <c r="G230" s="15">
        <v>379.18</v>
      </c>
      <c r="H230" s="15">
        <v>379.18</v>
      </c>
      <c r="I230" s="15">
        <v>379.18</v>
      </c>
      <c r="J230" s="15">
        <v>758.36</v>
      </c>
      <c r="K230" s="15">
        <v>379.18</v>
      </c>
      <c r="L230" s="15">
        <v>379.18</v>
      </c>
      <c r="M230" s="15">
        <v>379.18</v>
      </c>
      <c r="N230" s="15">
        <v>379.18</v>
      </c>
      <c r="O230" t="s">
        <v>3028</v>
      </c>
    </row>
    <row r="231" spans="1:15" x14ac:dyDescent="0.25">
      <c r="A231" s="10" t="s">
        <v>1032</v>
      </c>
      <c r="B231" s="15">
        <v>379.18</v>
      </c>
      <c r="C231" s="15">
        <v>379.18</v>
      </c>
      <c r="D231" s="15">
        <v>379.18</v>
      </c>
      <c r="E231" s="15">
        <v>758.36</v>
      </c>
      <c r="F231" s="15">
        <v>758.36</v>
      </c>
      <c r="G231" s="15">
        <v>379.18</v>
      </c>
      <c r="H231" s="15">
        <v>379.18</v>
      </c>
      <c r="I231" s="15">
        <v>379.18</v>
      </c>
      <c r="J231" s="15">
        <v>379.18</v>
      </c>
      <c r="K231" s="15">
        <v>379.18</v>
      </c>
      <c r="L231" s="15">
        <v>379.18</v>
      </c>
      <c r="M231" s="15">
        <v>379.18</v>
      </c>
      <c r="N231" s="15">
        <v>379.18</v>
      </c>
      <c r="O231" t="s">
        <v>3028</v>
      </c>
    </row>
    <row r="232" spans="1:15" x14ac:dyDescent="0.25">
      <c r="A232" s="10" t="s">
        <v>1034</v>
      </c>
      <c r="B232" s="15">
        <v>189.59</v>
      </c>
      <c r="C232" s="15">
        <v>189.59</v>
      </c>
      <c r="D232" s="15">
        <v>189.59</v>
      </c>
      <c r="E232" s="15">
        <v>189.59</v>
      </c>
      <c r="F232" s="15">
        <v>189.59</v>
      </c>
      <c r="G232" s="15">
        <v>189.59</v>
      </c>
      <c r="H232" s="15">
        <v>189.59</v>
      </c>
      <c r="I232" s="15">
        <v>189.59</v>
      </c>
      <c r="J232" s="15">
        <v>379.18</v>
      </c>
      <c r="K232" s="15">
        <v>189.59</v>
      </c>
      <c r="L232" s="15">
        <v>189.59</v>
      </c>
      <c r="M232" s="15">
        <v>189.59</v>
      </c>
      <c r="N232" s="15">
        <v>189.59</v>
      </c>
      <c r="O232" t="s">
        <v>3028</v>
      </c>
    </row>
    <row r="233" spans="1:15" x14ac:dyDescent="0.25">
      <c r="A233" s="10" t="s">
        <v>1038</v>
      </c>
      <c r="B233" s="15">
        <v>568.77</v>
      </c>
      <c r="C233" s="15">
        <v>568.77</v>
      </c>
      <c r="D233" s="15">
        <v>568.77</v>
      </c>
      <c r="E233" s="15">
        <v>568.77</v>
      </c>
      <c r="F233" s="15">
        <v>568.77</v>
      </c>
      <c r="G233" s="15">
        <v>568.77</v>
      </c>
      <c r="H233" s="15">
        <v>1137.54</v>
      </c>
      <c r="I233" s="15">
        <v>1137.54</v>
      </c>
      <c r="J233" s="15">
        <v>568.77</v>
      </c>
      <c r="K233" s="15">
        <v>568.77</v>
      </c>
      <c r="L233" s="15">
        <v>568.77</v>
      </c>
      <c r="M233" s="15">
        <v>568.77</v>
      </c>
      <c r="N233" s="15">
        <v>568.77</v>
      </c>
      <c r="O233" t="s">
        <v>3028</v>
      </c>
    </row>
    <row r="234" spans="1:15" x14ac:dyDescent="0.25">
      <c r="A234" s="10" t="s">
        <v>1040</v>
      </c>
      <c r="B234" s="15">
        <v>189.59</v>
      </c>
      <c r="C234" s="15">
        <v>189.59</v>
      </c>
      <c r="D234" s="15">
        <v>189.59</v>
      </c>
      <c r="E234" s="15">
        <v>189.59</v>
      </c>
      <c r="F234" s="15">
        <v>189.59</v>
      </c>
      <c r="G234" s="15">
        <v>189.59</v>
      </c>
      <c r="H234" s="15">
        <v>379.18</v>
      </c>
      <c r="I234" s="15">
        <v>379.18</v>
      </c>
      <c r="J234" s="15">
        <v>189.59</v>
      </c>
      <c r="K234" s="15">
        <v>189.59</v>
      </c>
      <c r="L234" s="15">
        <v>189.59</v>
      </c>
      <c r="M234" s="15">
        <v>189.59</v>
      </c>
      <c r="N234" s="15">
        <v>189.59</v>
      </c>
      <c r="O234" t="s">
        <v>3028</v>
      </c>
    </row>
    <row r="235" spans="1:15" x14ac:dyDescent="0.25">
      <c r="A235" s="10" t="s">
        <v>1042</v>
      </c>
      <c r="B235" s="15">
        <v>189.59</v>
      </c>
      <c r="C235" s="15">
        <v>189.59</v>
      </c>
      <c r="D235" s="15">
        <v>189.59</v>
      </c>
      <c r="E235" s="15">
        <v>189.59</v>
      </c>
      <c r="F235" s="15">
        <v>379.18</v>
      </c>
      <c r="G235" s="15">
        <v>189.59</v>
      </c>
      <c r="H235" s="15">
        <v>189.59</v>
      </c>
      <c r="I235" s="15">
        <v>379.18</v>
      </c>
      <c r="J235" s="15">
        <v>189.59</v>
      </c>
      <c r="K235" s="15">
        <v>189.59</v>
      </c>
      <c r="L235" s="15">
        <v>189.59</v>
      </c>
      <c r="M235" s="15">
        <v>189.59</v>
      </c>
      <c r="N235" s="15">
        <v>189.59</v>
      </c>
      <c r="O235" t="s">
        <v>3028</v>
      </c>
    </row>
    <row r="236" spans="1:15" x14ac:dyDescent="0.25">
      <c r="A236" s="10" t="s">
        <v>1057</v>
      </c>
      <c r="B236" s="15">
        <v>189.59</v>
      </c>
      <c r="C236" s="15">
        <v>189.59</v>
      </c>
      <c r="D236" s="15">
        <v>379.18</v>
      </c>
      <c r="E236" s="15">
        <v>189.59</v>
      </c>
      <c r="F236" s="15">
        <v>379.18</v>
      </c>
      <c r="G236" s="15">
        <v>189.59</v>
      </c>
      <c r="H236" s="15">
        <v>189.59</v>
      </c>
      <c r="I236" s="15">
        <v>189.59</v>
      </c>
      <c r="J236" s="15">
        <v>189.59</v>
      </c>
      <c r="K236" s="15">
        <v>189.59</v>
      </c>
      <c r="L236" s="15">
        <v>189.59</v>
      </c>
      <c r="M236" s="15">
        <v>189.59</v>
      </c>
      <c r="N236" s="15">
        <v>189.59</v>
      </c>
      <c r="O236" t="s">
        <v>3028</v>
      </c>
    </row>
    <row r="237" spans="1:15" x14ac:dyDescent="0.25">
      <c r="A237" s="10" t="s">
        <v>1067</v>
      </c>
      <c r="B237" s="15">
        <v>379.18</v>
      </c>
      <c r="C237" s="15">
        <v>189.59</v>
      </c>
      <c r="D237" s="15">
        <v>189.59</v>
      </c>
      <c r="E237" s="15">
        <v>0</v>
      </c>
      <c r="F237" s="15">
        <v>0</v>
      </c>
      <c r="G237" s="15">
        <v>0</v>
      </c>
      <c r="H237" s="15">
        <v>0</v>
      </c>
      <c r="I237" s="15">
        <v>0</v>
      </c>
      <c r="J237" s="15">
        <v>0</v>
      </c>
      <c r="K237" s="15">
        <v>0</v>
      </c>
      <c r="L237" s="15">
        <v>0</v>
      </c>
      <c r="M237" s="15">
        <v>0</v>
      </c>
      <c r="N237" s="15">
        <v>189.59</v>
      </c>
      <c r="O237" t="s">
        <v>3028</v>
      </c>
    </row>
    <row r="238" spans="1:15" x14ac:dyDescent="0.25">
      <c r="A238" s="10" t="s">
        <v>1069</v>
      </c>
      <c r="B238" s="15">
        <v>189.59</v>
      </c>
      <c r="C238" s="15">
        <v>189.59</v>
      </c>
      <c r="D238" s="15">
        <v>189.59</v>
      </c>
      <c r="E238" s="15">
        <v>189.59</v>
      </c>
      <c r="F238" s="15">
        <v>189.59</v>
      </c>
      <c r="G238" s="15">
        <v>189.59</v>
      </c>
      <c r="H238" s="15">
        <v>189.59</v>
      </c>
      <c r="I238" s="15">
        <v>189.59</v>
      </c>
      <c r="J238" s="15">
        <v>189.59</v>
      </c>
      <c r="K238" s="15">
        <v>189.59</v>
      </c>
      <c r="L238" s="15">
        <v>379.18</v>
      </c>
      <c r="M238" s="15">
        <v>189.59</v>
      </c>
      <c r="N238" s="15">
        <v>189.59</v>
      </c>
      <c r="O238" t="s">
        <v>3028</v>
      </c>
    </row>
    <row r="239" spans="1:15" x14ac:dyDescent="0.25">
      <c r="A239" s="10" t="s">
        <v>1071</v>
      </c>
      <c r="B239" s="15">
        <v>189.59</v>
      </c>
      <c r="C239" s="15">
        <v>189.59</v>
      </c>
      <c r="D239" s="15">
        <v>189.59</v>
      </c>
      <c r="E239" s="15">
        <v>189.59</v>
      </c>
      <c r="F239" s="15">
        <v>189.59</v>
      </c>
      <c r="G239" s="15">
        <v>189.59</v>
      </c>
      <c r="H239" s="15">
        <v>189.59</v>
      </c>
      <c r="I239" s="15">
        <v>189.59</v>
      </c>
      <c r="J239" s="15">
        <v>189.59</v>
      </c>
      <c r="K239" s="15">
        <v>189.59</v>
      </c>
      <c r="L239" s="15">
        <v>189.59</v>
      </c>
      <c r="M239" s="15">
        <v>189.59</v>
      </c>
      <c r="N239" s="15">
        <v>189.59</v>
      </c>
      <c r="O239" t="s">
        <v>3028</v>
      </c>
    </row>
    <row r="240" spans="1:15" x14ac:dyDescent="0.25">
      <c r="A240" s="10" t="s">
        <v>1073</v>
      </c>
      <c r="B240" s="15">
        <v>0</v>
      </c>
      <c r="C240" s="15">
        <v>0</v>
      </c>
      <c r="D240" s="15">
        <v>0</v>
      </c>
      <c r="E240" s="15">
        <v>0</v>
      </c>
      <c r="F240" s="15">
        <v>189.59</v>
      </c>
      <c r="G240" s="15">
        <v>189.59</v>
      </c>
      <c r="H240" s="15">
        <v>189.59</v>
      </c>
      <c r="I240" s="15">
        <v>189.59</v>
      </c>
      <c r="J240" s="15">
        <v>379.18</v>
      </c>
      <c r="K240" s="15">
        <v>189.59</v>
      </c>
      <c r="L240" s="15">
        <v>189.59</v>
      </c>
      <c r="M240" s="15">
        <v>189.59</v>
      </c>
      <c r="N240" s="15">
        <v>189.59</v>
      </c>
      <c r="O240" t="s">
        <v>3028</v>
      </c>
    </row>
    <row r="241" spans="1:15" x14ac:dyDescent="0.25">
      <c r="A241" s="10" t="s">
        <v>1075</v>
      </c>
      <c r="B241" s="15">
        <v>189.59</v>
      </c>
      <c r="C241" s="15">
        <v>189.59</v>
      </c>
      <c r="D241" s="15">
        <v>189.59</v>
      </c>
      <c r="E241" s="15">
        <v>189.59</v>
      </c>
      <c r="F241" s="15">
        <v>189.59</v>
      </c>
      <c r="G241" s="15">
        <v>189.59</v>
      </c>
      <c r="H241" s="15">
        <v>189.59</v>
      </c>
      <c r="I241" s="15">
        <v>189.59</v>
      </c>
      <c r="J241" s="15">
        <v>189.59</v>
      </c>
      <c r="K241" s="15">
        <v>189.59</v>
      </c>
      <c r="L241" s="15">
        <v>189.59</v>
      </c>
      <c r="M241" s="15">
        <v>379.18</v>
      </c>
      <c r="N241" s="15">
        <v>189.59</v>
      </c>
      <c r="O241" t="s">
        <v>3028</v>
      </c>
    </row>
    <row r="242" spans="1:15" x14ac:dyDescent="0.25">
      <c r="A242" s="10" t="s">
        <v>1079</v>
      </c>
      <c r="B242" s="15">
        <v>189.59</v>
      </c>
      <c r="C242" s="15">
        <v>189.59</v>
      </c>
      <c r="D242" s="15">
        <v>189.59</v>
      </c>
      <c r="E242" s="15">
        <v>379.18</v>
      </c>
      <c r="F242" s="15">
        <v>379.18</v>
      </c>
      <c r="G242" s="15">
        <v>189.59</v>
      </c>
      <c r="H242" s="15">
        <v>189.59</v>
      </c>
      <c r="I242" s="15">
        <v>189.59</v>
      </c>
      <c r="J242" s="15">
        <v>189.59</v>
      </c>
      <c r="K242" s="15">
        <v>189.59</v>
      </c>
      <c r="L242" s="15">
        <v>189.59</v>
      </c>
      <c r="M242" s="15">
        <v>189.59</v>
      </c>
      <c r="N242" s="15">
        <v>189.59</v>
      </c>
      <c r="O242" t="s">
        <v>3028</v>
      </c>
    </row>
    <row r="243" spans="1:15" x14ac:dyDescent="0.25">
      <c r="A243" s="10" t="s">
        <v>1081</v>
      </c>
      <c r="B243" s="15">
        <v>189.59</v>
      </c>
      <c r="C243" s="15">
        <v>189.59</v>
      </c>
      <c r="D243" s="15">
        <v>189.59</v>
      </c>
      <c r="E243" s="15">
        <v>379.18</v>
      </c>
      <c r="F243" s="15">
        <v>379.18</v>
      </c>
      <c r="G243" s="15">
        <v>189.59</v>
      </c>
      <c r="H243" s="15">
        <v>189.59</v>
      </c>
      <c r="I243" s="15">
        <v>189.59</v>
      </c>
      <c r="J243" s="15">
        <v>379.18</v>
      </c>
      <c r="K243" s="15">
        <v>189.59</v>
      </c>
      <c r="L243" s="15">
        <v>189.59</v>
      </c>
      <c r="M243" s="15">
        <v>189.59</v>
      </c>
      <c r="N243" s="15">
        <v>189.59</v>
      </c>
      <c r="O243" t="s">
        <v>3028</v>
      </c>
    </row>
    <row r="244" spans="1:15" x14ac:dyDescent="0.25">
      <c r="A244" s="10" t="s">
        <v>1089</v>
      </c>
      <c r="B244" s="15">
        <v>189.59</v>
      </c>
      <c r="C244" s="15">
        <v>189.59</v>
      </c>
      <c r="D244" s="15">
        <v>189.59</v>
      </c>
      <c r="E244" s="15">
        <v>189.59</v>
      </c>
      <c r="F244" s="15">
        <v>379.18</v>
      </c>
      <c r="G244" s="15">
        <v>189.59</v>
      </c>
      <c r="H244" s="15">
        <v>189.59</v>
      </c>
      <c r="I244" s="15">
        <v>379.18</v>
      </c>
      <c r="J244" s="15">
        <v>189.59</v>
      </c>
      <c r="K244" s="15">
        <v>189.59</v>
      </c>
      <c r="L244" s="15">
        <v>189.59</v>
      </c>
      <c r="M244" s="15">
        <v>189.59</v>
      </c>
      <c r="N244" s="15">
        <v>189.59</v>
      </c>
      <c r="O244" t="s">
        <v>3028</v>
      </c>
    </row>
    <row r="245" spans="1:15" x14ac:dyDescent="0.25">
      <c r="A245" s="10" t="s">
        <v>1093</v>
      </c>
      <c r="B245" s="15">
        <v>379.18</v>
      </c>
      <c r="C245" s="15">
        <v>379.18</v>
      </c>
      <c r="D245" s="15">
        <v>379.18</v>
      </c>
      <c r="E245" s="15">
        <v>379.18</v>
      </c>
      <c r="F245" s="15">
        <v>379.18</v>
      </c>
      <c r="G245" s="15">
        <v>379.18</v>
      </c>
      <c r="H245" s="15">
        <v>379.18</v>
      </c>
      <c r="I245" s="15">
        <v>379.18</v>
      </c>
      <c r="J245" s="15">
        <v>758.36</v>
      </c>
      <c r="K245" s="15">
        <v>758.36</v>
      </c>
      <c r="L245" s="15">
        <v>379.18</v>
      </c>
      <c r="M245" s="15">
        <v>379.18</v>
      </c>
      <c r="N245" s="15">
        <v>379.18</v>
      </c>
      <c r="O245" t="s">
        <v>3028</v>
      </c>
    </row>
    <row r="246" spans="1:15" x14ac:dyDescent="0.25">
      <c r="A246" s="10" t="s">
        <v>1097</v>
      </c>
      <c r="B246" s="15">
        <v>379.18</v>
      </c>
      <c r="C246" s="15">
        <v>379.18</v>
      </c>
      <c r="D246" s="15">
        <v>379.18</v>
      </c>
      <c r="E246" s="15">
        <v>758.36</v>
      </c>
      <c r="F246" s="15">
        <v>0</v>
      </c>
      <c r="G246" s="15">
        <v>379.18</v>
      </c>
      <c r="H246" s="15">
        <v>379.18</v>
      </c>
      <c r="I246" s="15">
        <v>379.18</v>
      </c>
      <c r="J246" s="15">
        <v>379.18</v>
      </c>
      <c r="K246" s="15">
        <v>379.18</v>
      </c>
      <c r="L246" s="15">
        <v>379.18</v>
      </c>
      <c r="M246" s="15">
        <v>379.18</v>
      </c>
      <c r="N246" s="15">
        <v>379.18</v>
      </c>
      <c r="O246" t="s">
        <v>3028</v>
      </c>
    </row>
    <row r="247" spans="1:15" x14ac:dyDescent="0.25">
      <c r="A247" s="10" t="s">
        <v>1103</v>
      </c>
      <c r="B247" s="15">
        <v>758.36</v>
      </c>
      <c r="C247" s="15">
        <v>379.18</v>
      </c>
      <c r="D247" s="15">
        <v>379.18</v>
      </c>
      <c r="E247" s="15">
        <v>379.18</v>
      </c>
      <c r="F247" s="15">
        <v>379.18</v>
      </c>
      <c r="G247" s="15">
        <v>379.18</v>
      </c>
      <c r="H247" s="15">
        <v>379.18</v>
      </c>
      <c r="I247" s="15">
        <v>379.18</v>
      </c>
      <c r="J247" s="15">
        <v>379.18</v>
      </c>
      <c r="K247" s="15">
        <v>379.18</v>
      </c>
      <c r="L247" s="15">
        <v>379.18</v>
      </c>
      <c r="M247" s="15">
        <v>379.18</v>
      </c>
      <c r="N247" s="15">
        <v>379.18</v>
      </c>
      <c r="O247" t="s">
        <v>3028</v>
      </c>
    </row>
    <row r="248" spans="1:15" x14ac:dyDescent="0.25">
      <c r="A248" s="10" t="s">
        <v>1115</v>
      </c>
      <c r="B248" s="15">
        <v>189.59</v>
      </c>
      <c r="C248" s="15">
        <v>189.59</v>
      </c>
      <c r="D248" s="15">
        <v>189.59</v>
      </c>
      <c r="E248" s="15">
        <v>189.59</v>
      </c>
      <c r="F248" s="15">
        <v>189.59</v>
      </c>
      <c r="G248" s="15">
        <v>189.59</v>
      </c>
      <c r="H248" s="15">
        <v>189.59</v>
      </c>
      <c r="I248" s="15">
        <v>189.59</v>
      </c>
      <c r="J248" s="15">
        <v>379.18</v>
      </c>
      <c r="K248" s="15">
        <v>189.59</v>
      </c>
      <c r="L248" s="15">
        <v>189.59</v>
      </c>
      <c r="M248" s="15">
        <v>189.59</v>
      </c>
      <c r="N248" s="15">
        <v>189.59</v>
      </c>
      <c r="O248" t="s">
        <v>3028</v>
      </c>
    </row>
    <row r="249" spans="1:15" x14ac:dyDescent="0.25">
      <c r="A249" s="10" t="s">
        <v>1123</v>
      </c>
      <c r="B249" s="15">
        <v>189.59</v>
      </c>
      <c r="C249" s="15">
        <v>189.59</v>
      </c>
      <c r="D249" s="15">
        <v>189.59</v>
      </c>
      <c r="E249" s="15">
        <v>189.59</v>
      </c>
      <c r="F249" s="15">
        <v>189.59</v>
      </c>
      <c r="G249" s="15">
        <v>379.18</v>
      </c>
      <c r="H249" s="15">
        <v>189.59</v>
      </c>
      <c r="I249" s="15">
        <v>379.18</v>
      </c>
      <c r="J249" s="15">
        <v>189.59</v>
      </c>
      <c r="K249" s="15">
        <v>189.59</v>
      </c>
      <c r="L249" s="15">
        <v>189.59</v>
      </c>
      <c r="M249" s="15">
        <v>189.59</v>
      </c>
      <c r="N249" s="15">
        <v>189.59</v>
      </c>
      <c r="O249" t="s">
        <v>3028</v>
      </c>
    </row>
    <row r="250" spans="1:15" x14ac:dyDescent="0.25">
      <c r="A250" s="10" t="s">
        <v>1127</v>
      </c>
      <c r="B250" s="15">
        <v>379.18</v>
      </c>
      <c r="C250" s="15">
        <v>379.18</v>
      </c>
      <c r="D250" s="15">
        <v>379.18</v>
      </c>
      <c r="E250" s="15">
        <v>379.18</v>
      </c>
      <c r="F250" s="15">
        <v>379.18</v>
      </c>
      <c r="G250" s="15">
        <v>758.36</v>
      </c>
      <c r="H250" s="15">
        <v>379.18</v>
      </c>
      <c r="I250" s="15">
        <v>758.36</v>
      </c>
      <c r="J250" s="15">
        <v>379.18</v>
      </c>
      <c r="K250" s="15">
        <v>379.18</v>
      </c>
      <c r="L250" s="15">
        <v>379.18</v>
      </c>
      <c r="M250" s="15">
        <v>379.18</v>
      </c>
      <c r="N250" s="15">
        <v>379.18</v>
      </c>
      <c r="O250" t="s">
        <v>3028</v>
      </c>
    </row>
    <row r="251" spans="1:15" x14ac:dyDescent="0.25">
      <c r="A251" s="10" t="s">
        <v>1135</v>
      </c>
      <c r="B251" s="15">
        <v>189.59</v>
      </c>
      <c r="C251" s="15">
        <v>0</v>
      </c>
      <c r="D251" s="15">
        <v>0</v>
      </c>
      <c r="E251" s="15">
        <v>0</v>
      </c>
      <c r="F251" s="15">
        <v>0</v>
      </c>
      <c r="G251" s="15">
        <v>0</v>
      </c>
      <c r="H251" s="15">
        <v>0</v>
      </c>
      <c r="I251" s="15">
        <v>0</v>
      </c>
      <c r="J251" s="15">
        <v>0</v>
      </c>
      <c r="K251" s="15">
        <v>0</v>
      </c>
      <c r="L251" s="15">
        <v>0</v>
      </c>
      <c r="M251" s="15">
        <v>0</v>
      </c>
      <c r="N251" s="15">
        <v>189.59</v>
      </c>
      <c r="O251" t="s">
        <v>3028</v>
      </c>
    </row>
    <row r="252" spans="1:15" x14ac:dyDescent="0.25">
      <c r="A252" s="10" t="s">
        <v>1143</v>
      </c>
      <c r="B252" s="15">
        <v>189.59</v>
      </c>
      <c r="C252" s="15">
        <v>189.59</v>
      </c>
      <c r="D252" s="15">
        <v>189.59</v>
      </c>
      <c r="E252" s="15">
        <v>189.59</v>
      </c>
      <c r="F252" s="15">
        <v>189.59</v>
      </c>
      <c r="G252" s="15">
        <v>189.59</v>
      </c>
      <c r="H252" s="15">
        <v>379.18</v>
      </c>
      <c r="I252" s="15">
        <v>379.18</v>
      </c>
      <c r="J252" s="15">
        <v>189.59</v>
      </c>
      <c r="K252" s="15">
        <v>189.59</v>
      </c>
      <c r="L252" s="15">
        <v>189.59</v>
      </c>
      <c r="M252" s="15">
        <v>189.59</v>
      </c>
      <c r="N252" s="15">
        <v>189.59</v>
      </c>
      <c r="O252" t="s">
        <v>3028</v>
      </c>
    </row>
    <row r="253" spans="1:15" x14ac:dyDescent="0.25">
      <c r="A253" s="10" t="s">
        <v>1147</v>
      </c>
      <c r="B253" s="15">
        <v>189.59</v>
      </c>
      <c r="C253" s="15">
        <v>189.59</v>
      </c>
      <c r="D253" s="15">
        <v>189.59</v>
      </c>
      <c r="E253" s="15">
        <v>189.59</v>
      </c>
      <c r="F253" s="15">
        <v>189.59</v>
      </c>
      <c r="G253" s="15">
        <v>189.59</v>
      </c>
      <c r="H253" s="15">
        <v>189.59</v>
      </c>
      <c r="I253" s="15">
        <v>189.59</v>
      </c>
      <c r="J253" s="15">
        <v>189.59</v>
      </c>
      <c r="K253" s="15">
        <v>189.59</v>
      </c>
      <c r="L253" s="15">
        <v>189.59</v>
      </c>
      <c r="M253" s="15">
        <v>189.59</v>
      </c>
      <c r="N253" s="15">
        <v>189.59</v>
      </c>
      <c r="O253" t="s">
        <v>3028</v>
      </c>
    </row>
    <row r="254" spans="1:15" x14ac:dyDescent="0.25">
      <c r="A254" s="10" t="s">
        <v>1149</v>
      </c>
      <c r="B254" s="15">
        <v>189.59</v>
      </c>
      <c r="C254" s="15">
        <v>189.59</v>
      </c>
      <c r="D254" s="15">
        <v>189.59</v>
      </c>
      <c r="E254" s="15">
        <v>189.59</v>
      </c>
      <c r="F254" s="15">
        <v>379.18</v>
      </c>
      <c r="G254" s="15">
        <v>189.59</v>
      </c>
      <c r="H254" s="15">
        <v>189.59</v>
      </c>
      <c r="I254" s="15">
        <v>379.18</v>
      </c>
      <c r="J254" s="15">
        <v>189.59</v>
      </c>
      <c r="K254" s="15">
        <v>189.59</v>
      </c>
      <c r="L254" s="15">
        <v>189.59</v>
      </c>
      <c r="M254" s="15">
        <v>189.59</v>
      </c>
      <c r="N254" s="15">
        <v>189.59</v>
      </c>
      <c r="O254" t="s">
        <v>3028</v>
      </c>
    </row>
    <row r="255" spans="1:15" x14ac:dyDescent="0.25">
      <c r="A255" s="10" t="s">
        <v>1151</v>
      </c>
      <c r="B255" s="15">
        <v>189.59</v>
      </c>
      <c r="C255" s="15">
        <v>0</v>
      </c>
      <c r="D255" s="15">
        <v>0</v>
      </c>
      <c r="E255" s="15">
        <v>0</v>
      </c>
      <c r="F255" s="15">
        <v>0</v>
      </c>
      <c r="G255" s="15">
        <v>0</v>
      </c>
      <c r="H255" s="15">
        <v>0</v>
      </c>
      <c r="I255" s="15">
        <v>0</v>
      </c>
      <c r="J255" s="15">
        <v>0</v>
      </c>
      <c r="K255" s="15">
        <v>0</v>
      </c>
      <c r="L255" s="15">
        <v>0</v>
      </c>
      <c r="M255" s="15">
        <v>0</v>
      </c>
      <c r="N255" s="15">
        <v>189.59</v>
      </c>
      <c r="O255" t="s">
        <v>3028</v>
      </c>
    </row>
    <row r="256" spans="1:15" x14ac:dyDescent="0.25">
      <c r="A256" s="10" t="s">
        <v>1165</v>
      </c>
      <c r="B256" s="15">
        <v>189.59</v>
      </c>
      <c r="C256" s="15">
        <v>189.59</v>
      </c>
      <c r="D256" s="15">
        <v>189.59</v>
      </c>
      <c r="E256" s="15">
        <v>189.59</v>
      </c>
      <c r="F256" s="15">
        <v>189.59</v>
      </c>
      <c r="G256" s="15">
        <v>379.18</v>
      </c>
      <c r="H256" s="15">
        <v>189.59</v>
      </c>
      <c r="I256" s="15">
        <v>379.18</v>
      </c>
      <c r="J256" s="15">
        <v>189.59</v>
      </c>
      <c r="K256" s="15">
        <v>189.59</v>
      </c>
      <c r="L256" s="15">
        <v>189.59</v>
      </c>
      <c r="M256" s="15">
        <v>189.59</v>
      </c>
      <c r="N256" s="15">
        <v>189.59</v>
      </c>
      <c r="O256" t="s">
        <v>3028</v>
      </c>
    </row>
    <row r="257" spans="1:15" x14ac:dyDescent="0.25">
      <c r="A257" s="10" t="s">
        <v>1175</v>
      </c>
      <c r="B257" s="15">
        <v>568.77</v>
      </c>
      <c r="C257" s="15">
        <v>568.77</v>
      </c>
      <c r="D257" s="15">
        <v>568.77</v>
      </c>
      <c r="E257" s="15">
        <v>568.77</v>
      </c>
      <c r="F257" s="15">
        <v>568.77</v>
      </c>
      <c r="G257" s="15">
        <v>568.77</v>
      </c>
      <c r="H257" s="15">
        <v>1137.54</v>
      </c>
      <c r="I257" s="15">
        <v>1137.54</v>
      </c>
      <c r="J257" s="15">
        <v>568.77</v>
      </c>
      <c r="K257" s="15">
        <v>568.77</v>
      </c>
      <c r="L257" s="15">
        <v>568.77</v>
      </c>
      <c r="M257" s="15">
        <v>568.77</v>
      </c>
      <c r="N257" s="15">
        <v>568.77</v>
      </c>
      <c r="O257" t="s">
        <v>3028</v>
      </c>
    </row>
    <row r="258" spans="1:15" x14ac:dyDescent="0.25">
      <c r="A258" s="10" t="s">
        <v>1183</v>
      </c>
      <c r="B258" s="15">
        <v>189.59</v>
      </c>
      <c r="C258" s="15">
        <v>0</v>
      </c>
      <c r="D258" s="15">
        <v>0</v>
      </c>
      <c r="E258" s="15">
        <v>0</v>
      </c>
      <c r="F258" s="15">
        <v>0</v>
      </c>
      <c r="G258" s="15">
        <v>0</v>
      </c>
      <c r="H258" s="15">
        <v>0</v>
      </c>
      <c r="I258" s="15">
        <v>0</v>
      </c>
      <c r="J258" s="15">
        <v>0</v>
      </c>
      <c r="K258" s="15">
        <v>0</v>
      </c>
      <c r="L258" s="15">
        <v>0</v>
      </c>
      <c r="M258" s="15">
        <v>0</v>
      </c>
      <c r="N258" s="15">
        <v>189.59</v>
      </c>
      <c r="O258" t="s">
        <v>3028</v>
      </c>
    </row>
    <row r="259" spans="1:15" x14ac:dyDescent="0.25">
      <c r="A259" s="10" t="s">
        <v>1185</v>
      </c>
      <c r="B259" s="15">
        <v>189.59</v>
      </c>
      <c r="C259" s="15">
        <v>189.59</v>
      </c>
      <c r="D259" s="15">
        <v>189.59</v>
      </c>
      <c r="E259" s="15">
        <v>189.59</v>
      </c>
      <c r="F259" s="15">
        <v>189.59</v>
      </c>
      <c r="G259" s="15">
        <v>379.18</v>
      </c>
      <c r="H259" s="15">
        <v>189.59</v>
      </c>
      <c r="I259" s="15">
        <v>379.18</v>
      </c>
      <c r="J259" s="15">
        <v>189.59</v>
      </c>
      <c r="K259" s="15">
        <v>189.59</v>
      </c>
      <c r="L259" s="15">
        <v>189.59</v>
      </c>
      <c r="M259" s="15">
        <v>189.59</v>
      </c>
      <c r="N259" s="15">
        <v>189.59</v>
      </c>
      <c r="O259" t="s">
        <v>3028</v>
      </c>
    </row>
    <row r="260" spans="1:15" x14ac:dyDescent="0.25">
      <c r="A260" s="10" t="s">
        <v>1187</v>
      </c>
      <c r="B260" s="15">
        <v>568.77</v>
      </c>
      <c r="C260" s="15">
        <v>568.77</v>
      </c>
      <c r="D260" s="15">
        <v>568.77</v>
      </c>
      <c r="E260" s="15">
        <v>1137.54</v>
      </c>
      <c r="F260" s="15">
        <v>1137.54</v>
      </c>
      <c r="G260" s="15">
        <v>568.77</v>
      </c>
      <c r="H260" s="15">
        <v>568.77</v>
      </c>
      <c r="I260" s="15">
        <v>568.77</v>
      </c>
      <c r="J260" s="15">
        <v>568.77</v>
      </c>
      <c r="K260" s="15">
        <v>568.77</v>
      </c>
      <c r="L260" s="15">
        <v>568.77</v>
      </c>
      <c r="M260" s="15">
        <v>568.77</v>
      </c>
      <c r="N260" s="15">
        <v>568.77</v>
      </c>
      <c r="O260" t="s">
        <v>3028</v>
      </c>
    </row>
    <row r="261" spans="1:15" x14ac:dyDescent="0.25">
      <c r="A261" s="10" t="s">
        <v>1195</v>
      </c>
      <c r="B261" s="15">
        <v>189.59</v>
      </c>
      <c r="C261" s="15">
        <v>189.59</v>
      </c>
      <c r="D261" s="15">
        <v>189.59</v>
      </c>
      <c r="E261" s="15">
        <v>189.59</v>
      </c>
      <c r="F261" s="15">
        <v>189.59</v>
      </c>
      <c r="G261" s="15">
        <v>379.18</v>
      </c>
      <c r="H261" s="15">
        <v>189.59</v>
      </c>
      <c r="I261" s="15">
        <v>379.18</v>
      </c>
      <c r="J261" s="15">
        <v>189.59</v>
      </c>
      <c r="K261" s="15">
        <v>0</v>
      </c>
      <c r="L261" s="15">
        <v>0</v>
      </c>
      <c r="M261" s="15">
        <v>0</v>
      </c>
      <c r="N261" s="15">
        <v>189.59</v>
      </c>
      <c r="O261" t="s">
        <v>3028</v>
      </c>
    </row>
    <row r="262" spans="1:15" x14ac:dyDescent="0.25">
      <c r="A262" s="10" t="s">
        <v>1203</v>
      </c>
      <c r="B262" s="15">
        <v>379.18</v>
      </c>
      <c r="C262" s="15">
        <v>379.18</v>
      </c>
      <c r="D262" s="15">
        <v>379.18</v>
      </c>
      <c r="E262" s="15">
        <v>0</v>
      </c>
      <c r="F262" s="15">
        <v>0</v>
      </c>
      <c r="G262" s="15">
        <v>0</v>
      </c>
      <c r="H262" s="15">
        <v>0</v>
      </c>
      <c r="I262" s="15">
        <v>0</v>
      </c>
      <c r="J262" s="15">
        <v>0</v>
      </c>
      <c r="K262" s="15">
        <v>0</v>
      </c>
      <c r="L262" s="15">
        <v>0</v>
      </c>
      <c r="M262" s="15">
        <v>0</v>
      </c>
      <c r="N262" s="15">
        <v>379.18</v>
      </c>
      <c r="O262" t="s">
        <v>3028</v>
      </c>
    </row>
    <row r="263" spans="1:15" x14ac:dyDescent="0.25">
      <c r="A263" s="10" t="s">
        <v>1221</v>
      </c>
      <c r="B263" s="15">
        <v>189.59</v>
      </c>
      <c r="C263" s="15">
        <v>189.59</v>
      </c>
      <c r="D263" s="15">
        <v>189.59</v>
      </c>
      <c r="E263" s="15">
        <v>189.59</v>
      </c>
      <c r="F263" s="15">
        <v>189.59</v>
      </c>
      <c r="G263" s="15">
        <v>379.18</v>
      </c>
      <c r="H263" s="15">
        <v>189.59</v>
      </c>
      <c r="I263" s="15">
        <v>379.18</v>
      </c>
      <c r="J263" s="15">
        <v>189.59</v>
      </c>
      <c r="K263" s="15">
        <v>189.59</v>
      </c>
      <c r="L263" s="15">
        <v>189.59</v>
      </c>
      <c r="M263" s="15">
        <v>189.59</v>
      </c>
      <c r="N263" s="15">
        <v>189.59</v>
      </c>
      <c r="O263" t="s">
        <v>3028</v>
      </c>
    </row>
    <row r="264" spans="1:15" x14ac:dyDescent="0.25">
      <c r="A264" s="10" t="s">
        <v>1227</v>
      </c>
      <c r="B264" s="15">
        <v>379.18</v>
      </c>
      <c r="C264" s="15">
        <v>758.36</v>
      </c>
      <c r="D264" s="15">
        <v>379.18</v>
      </c>
      <c r="E264" s="15">
        <v>379.18</v>
      </c>
      <c r="F264" s="15">
        <v>379.18</v>
      </c>
      <c r="G264" s="15">
        <v>379.18</v>
      </c>
      <c r="H264" s="15">
        <v>379.18</v>
      </c>
      <c r="I264" s="15">
        <v>379.18</v>
      </c>
      <c r="J264" s="15">
        <v>379.18</v>
      </c>
      <c r="K264" s="15">
        <v>379.18</v>
      </c>
      <c r="L264" s="15">
        <v>379.18</v>
      </c>
      <c r="M264" s="15">
        <v>379.18</v>
      </c>
      <c r="N264" s="15">
        <v>379.18</v>
      </c>
      <c r="O264" t="s">
        <v>3028</v>
      </c>
    </row>
    <row r="265" spans="1:15" x14ac:dyDescent="0.25">
      <c r="A265" s="10" t="s">
        <v>1239</v>
      </c>
      <c r="B265" s="15">
        <v>189.59</v>
      </c>
      <c r="C265" s="15">
        <v>189.59</v>
      </c>
      <c r="D265" s="15">
        <v>189.59</v>
      </c>
      <c r="E265" s="15">
        <v>189.59</v>
      </c>
      <c r="F265" s="15">
        <v>189.59</v>
      </c>
      <c r="G265" s="15">
        <v>379.18</v>
      </c>
      <c r="H265" s="15">
        <v>189.59</v>
      </c>
      <c r="I265" s="15">
        <v>379.18</v>
      </c>
      <c r="J265" s="15">
        <v>189.59</v>
      </c>
      <c r="K265" s="15">
        <v>189.59</v>
      </c>
      <c r="L265" s="15">
        <v>189.59</v>
      </c>
      <c r="M265" s="15">
        <v>189.59</v>
      </c>
      <c r="N265" s="15">
        <v>189.59</v>
      </c>
      <c r="O265" t="s">
        <v>3028</v>
      </c>
    </row>
    <row r="266" spans="1:15" x14ac:dyDescent="0.25">
      <c r="A266" s="10" t="s">
        <v>1257</v>
      </c>
      <c r="B266" s="15">
        <v>189.59</v>
      </c>
      <c r="C266" s="15">
        <v>189.59</v>
      </c>
      <c r="D266" s="15">
        <v>189.59</v>
      </c>
      <c r="E266" s="15">
        <v>189.59</v>
      </c>
      <c r="F266" s="15">
        <v>189.59</v>
      </c>
      <c r="G266" s="15">
        <v>189.59</v>
      </c>
      <c r="H266" s="15">
        <v>189.59</v>
      </c>
      <c r="I266" s="15">
        <v>189.59</v>
      </c>
      <c r="J266" s="15">
        <v>189.59</v>
      </c>
      <c r="K266" s="15">
        <v>189.59</v>
      </c>
      <c r="L266" s="15">
        <v>379.18</v>
      </c>
      <c r="M266" s="15">
        <v>189.59</v>
      </c>
      <c r="N266" s="15">
        <v>189.59</v>
      </c>
      <c r="O266" t="s">
        <v>3028</v>
      </c>
    </row>
    <row r="267" spans="1:15" x14ac:dyDescent="0.25">
      <c r="A267" s="10" t="s">
        <v>1259</v>
      </c>
      <c r="B267" s="15">
        <v>0</v>
      </c>
      <c r="C267" s="15">
        <v>189.59</v>
      </c>
      <c r="D267" s="15">
        <v>189.59</v>
      </c>
      <c r="E267" s="15">
        <v>189.59</v>
      </c>
      <c r="F267" s="15">
        <v>189.59</v>
      </c>
      <c r="G267" s="15">
        <v>189.59</v>
      </c>
      <c r="H267" s="15">
        <v>189.59</v>
      </c>
      <c r="I267" s="15">
        <v>189.59</v>
      </c>
      <c r="J267" s="15">
        <v>189.59</v>
      </c>
      <c r="K267" s="15">
        <v>189.59</v>
      </c>
      <c r="L267" s="15">
        <v>189.59</v>
      </c>
      <c r="M267" s="15">
        <v>189.59</v>
      </c>
      <c r="N267" s="15">
        <v>189.59</v>
      </c>
      <c r="O267" t="s">
        <v>3028</v>
      </c>
    </row>
    <row r="268" spans="1:15" x14ac:dyDescent="0.25">
      <c r="A268" s="10" t="s">
        <v>1261</v>
      </c>
      <c r="B268" s="15">
        <v>189.59</v>
      </c>
      <c r="C268" s="15">
        <v>189.59</v>
      </c>
      <c r="D268" s="15">
        <v>189.59</v>
      </c>
      <c r="E268" s="15">
        <v>189.59</v>
      </c>
      <c r="F268" s="15">
        <v>189.59</v>
      </c>
      <c r="G268" s="15">
        <v>189.59</v>
      </c>
      <c r="H268" s="15">
        <v>189.59</v>
      </c>
      <c r="I268" s="15">
        <v>189.59</v>
      </c>
      <c r="J268" s="15">
        <v>189.59</v>
      </c>
      <c r="K268" s="15">
        <v>189.59</v>
      </c>
      <c r="L268" s="15">
        <v>189.59</v>
      </c>
      <c r="M268" s="15">
        <v>189.59</v>
      </c>
      <c r="N268" s="15">
        <v>189.59</v>
      </c>
      <c r="O268" t="s">
        <v>3028</v>
      </c>
    </row>
    <row r="269" spans="1:15" x14ac:dyDescent="0.25">
      <c r="A269" s="10" t="s">
        <v>1271</v>
      </c>
      <c r="B269" s="15">
        <v>379.18</v>
      </c>
      <c r="C269" s="15">
        <v>379.18</v>
      </c>
      <c r="D269" s="15">
        <v>379.18</v>
      </c>
      <c r="E269" s="15">
        <v>379.18</v>
      </c>
      <c r="F269" s="15">
        <v>379.18</v>
      </c>
      <c r="G269" s="15">
        <v>379.18</v>
      </c>
      <c r="H269" s="15">
        <v>379.18</v>
      </c>
      <c r="I269" s="15">
        <v>758.36</v>
      </c>
      <c r="J269" s="15">
        <v>379.18</v>
      </c>
      <c r="K269" s="15">
        <v>379.18</v>
      </c>
      <c r="L269" s="15">
        <v>379.18</v>
      </c>
      <c r="M269" s="15">
        <v>379.18</v>
      </c>
      <c r="N269" s="15">
        <v>379.18</v>
      </c>
      <c r="O269" t="s">
        <v>3028</v>
      </c>
    </row>
    <row r="270" spans="1:15" x14ac:dyDescent="0.25">
      <c r="A270" s="10" t="s">
        <v>1281</v>
      </c>
      <c r="B270" s="15">
        <v>379.18</v>
      </c>
      <c r="C270" s="15">
        <v>379.18</v>
      </c>
      <c r="D270" s="15">
        <v>379.18</v>
      </c>
      <c r="E270" s="15">
        <v>758.36</v>
      </c>
      <c r="F270" s="15">
        <v>758.36</v>
      </c>
      <c r="G270" s="15">
        <v>379.18</v>
      </c>
      <c r="H270" s="15">
        <v>379.18</v>
      </c>
      <c r="I270" s="15">
        <v>379.18</v>
      </c>
      <c r="J270" s="15">
        <v>379.18</v>
      </c>
      <c r="K270" s="15">
        <v>379.18</v>
      </c>
      <c r="L270" s="15">
        <v>379.18</v>
      </c>
      <c r="M270" s="15">
        <v>379.18</v>
      </c>
      <c r="N270" s="15">
        <v>379.18</v>
      </c>
      <c r="O270" t="s">
        <v>3028</v>
      </c>
    </row>
    <row r="271" spans="1:15" x14ac:dyDescent="0.25">
      <c r="A271" s="10" t="s">
        <v>92</v>
      </c>
      <c r="B271" s="15">
        <v>189.59</v>
      </c>
      <c r="C271" s="15">
        <v>189.59</v>
      </c>
      <c r="D271" s="15">
        <v>189.59</v>
      </c>
      <c r="E271" s="15">
        <v>189.59</v>
      </c>
      <c r="F271" s="15">
        <v>189.59</v>
      </c>
      <c r="G271" s="15">
        <v>189.59</v>
      </c>
      <c r="H271" s="15">
        <v>189.59</v>
      </c>
      <c r="I271" s="15">
        <v>189.59</v>
      </c>
      <c r="J271" s="15">
        <v>189.59</v>
      </c>
      <c r="K271" s="15">
        <v>189.59</v>
      </c>
      <c r="L271" s="15">
        <v>189.59</v>
      </c>
      <c r="M271" s="15">
        <v>189.59</v>
      </c>
      <c r="N271" s="15">
        <v>0</v>
      </c>
      <c r="O271" t="s">
        <v>3028</v>
      </c>
    </row>
    <row r="272" spans="1:15" x14ac:dyDescent="0.25">
      <c r="A272" s="10" t="s">
        <v>1312</v>
      </c>
      <c r="B272" s="15">
        <v>189.59</v>
      </c>
      <c r="C272" s="15">
        <v>189.59</v>
      </c>
      <c r="D272" s="15">
        <v>189.59</v>
      </c>
      <c r="E272" s="15">
        <v>189.59</v>
      </c>
      <c r="F272" s="15">
        <v>189.59</v>
      </c>
      <c r="G272" s="15">
        <v>379.18</v>
      </c>
      <c r="H272" s="15">
        <v>189.59</v>
      </c>
      <c r="I272" s="15">
        <v>189.59</v>
      </c>
      <c r="J272" s="15">
        <v>189.59</v>
      </c>
      <c r="K272" s="15">
        <v>189.59</v>
      </c>
      <c r="L272" s="15">
        <v>189.59</v>
      </c>
      <c r="M272" s="15">
        <v>189.59</v>
      </c>
      <c r="N272" s="15">
        <v>189.59</v>
      </c>
      <c r="O272" t="s">
        <v>3028</v>
      </c>
    </row>
    <row r="273" spans="1:15" x14ac:dyDescent="0.25">
      <c r="A273" s="10" t="s">
        <v>1320</v>
      </c>
      <c r="B273" s="15">
        <v>189.59</v>
      </c>
      <c r="C273" s="15">
        <v>189.59</v>
      </c>
      <c r="D273" s="15">
        <v>379.18</v>
      </c>
      <c r="E273" s="15">
        <v>0</v>
      </c>
      <c r="F273" s="15">
        <v>379.18</v>
      </c>
      <c r="G273" s="15">
        <v>189.59</v>
      </c>
      <c r="H273" s="15">
        <v>189.59</v>
      </c>
      <c r="I273" s="15">
        <v>189.59</v>
      </c>
      <c r="J273" s="15">
        <v>189.59</v>
      </c>
      <c r="K273" s="15">
        <v>189.59</v>
      </c>
      <c r="L273" s="15">
        <v>189.59</v>
      </c>
      <c r="M273" s="15">
        <v>189.59</v>
      </c>
      <c r="N273" s="15">
        <v>189.59</v>
      </c>
      <c r="O273" t="s">
        <v>3028</v>
      </c>
    </row>
    <row r="274" spans="1:15" x14ac:dyDescent="0.25">
      <c r="A274" s="10" t="s">
        <v>1328</v>
      </c>
      <c r="B274" s="15">
        <v>189.59</v>
      </c>
      <c r="C274" s="15">
        <v>189.59</v>
      </c>
      <c r="D274" s="15">
        <v>189.59</v>
      </c>
      <c r="E274" s="15">
        <v>189.59</v>
      </c>
      <c r="F274" s="15">
        <v>189.59</v>
      </c>
      <c r="G274" s="15">
        <v>189.59</v>
      </c>
      <c r="H274" s="15">
        <v>379.18</v>
      </c>
      <c r="I274" s="15">
        <v>189.59</v>
      </c>
      <c r="J274" s="15">
        <v>189.59</v>
      </c>
      <c r="K274" s="15">
        <v>189.59</v>
      </c>
      <c r="L274" s="15">
        <v>189.59</v>
      </c>
      <c r="M274" s="15">
        <v>189.59</v>
      </c>
      <c r="N274" s="15">
        <v>189.59</v>
      </c>
      <c r="O274" t="s">
        <v>3028</v>
      </c>
    </row>
    <row r="275" spans="1:15" x14ac:dyDescent="0.25">
      <c r="A275" s="10" t="s">
        <v>1363</v>
      </c>
      <c r="B275" s="15">
        <v>189.59</v>
      </c>
      <c r="C275" s="15">
        <v>189.59</v>
      </c>
      <c r="D275" s="15">
        <v>189.59</v>
      </c>
      <c r="E275" s="15">
        <v>189.59</v>
      </c>
      <c r="F275" s="15">
        <v>0</v>
      </c>
      <c r="G275" s="15">
        <v>0</v>
      </c>
      <c r="H275" s="15">
        <v>0</v>
      </c>
      <c r="I275" s="15">
        <v>0</v>
      </c>
      <c r="J275" s="15">
        <v>0</v>
      </c>
      <c r="K275" s="15">
        <v>0</v>
      </c>
      <c r="L275" s="15">
        <v>0</v>
      </c>
      <c r="M275" s="15">
        <v>0</v>
      </c>
      <c r="N275" s="15">
        <v>189.59</v>
      </c>
      <c r="O275" t="s">
        <v>3028</v>
      </c>
    </row>
    <row r="276" spans="1:15" x14ac:dyDescent="0.25">
      <c r="A276" s="10" t="s">
        <v>1381</v>
      </c>
      <c r="B276" s="15">
        <v>189.59</v>
      </c>
      <c r="C276" s="15">
        <v>189.59</v>
      </c>
      <c r="D276" s="15">
        <v>189.59</v>
      </c>
      <c r="E276" s="15">
        <v>379.18</v>
      </c>
      <c r="F276" s="15">
        <v>379.18</v>
      </c>
      <c r="G276" s="15">
        <v>189.59</v>
      </c>
      <c r="H276" s="15">
        <v>189.59</v>
      </c>
      <c r="I276" s="15">
        <v>189.59</v>
      </c>
      <c r="J276" s="15">
        <v>189.59</v>
      </c>
      <c r="K276" s="15">
        <v>189.59</v>
      </c>
      <c r="L276" s="15">
        <v>189.59</v>
      </c>
      <c r="M276" s="15">
        <v>189.59</v>
      </c>
      <c r="N276" s="15">
        <v>189.59</v>
      </c>
      <c r="O276" t="s">
        <v>3028</v>
      </c>
    </row>
    <row r="277" spans="1:15" x14ac:dyDescent="0.25">
      <c r="A277" s="10" t="s">
        <v>1395</v>
      </c>
      <c r="B277" s="15">
        <v>189.59</v>
      </c>
      <c r="C277" s="15">
        <v>189.59</v>
      </c>
      <c r="D277" s="15">
        <v>189.59</v>
      </c>
      <c r="E277" s="15">
        <v>379.18</v>
      </c>
      <c r="F277" s="15">
        <v>379.18</v>
      </c>
      <c r="G277" s="15">
        <v>189.59</v>
      </c>
      <c r="H277" s="15">
        <v>189.59</v>
      </c>
      <c r="I277" s="15">
        <v>189.59</v>
      </c>
      <c r="J277" s="15">
        <v>189.59</v>
      </c>
      <c r="K277" s="15">
        <v>189.59</v>
      </c>
      <c r="L277" s="15">
        <v>189.59</v>
      </c>
      <c r="M277" s="15">
        <v>189.59</v>
      </c>
      <c r="N277" s="15">
        <v>189.59</v>
      </c>
      <c r="O277" t="s">
        <v>3028</v>
      </c>
    </row>
    <row r="278" spans="1:15" x14ac:dyDescent="0.25">
      <c r="A278" s="10" t="s">
        <v>1397</v>
      </c>
      <c r="B278" s="15">
        <v>189.59</v>
      </c>
      <c r="C278" s="15">
        <v>379.18</v>
      </c>
      <c r="D278" s="15">
        <v>189.59</v>
      </c>
      <c r="E278" s="15">
        <v>189.59</v>
      </c>
      <c r="F278" s="15">
        <v>189.59</v>
      </c>
      <c r="G278" s="15">
        <v>189.59</v>
      </c>
      <c r="H278" s="15">
        <v>189.59</v>
      </c>
      <c r="I278" s="15">
        <v>189.59</v>
      </c>
      <c r="J278" s="15">
        <v>189.59</v>
      </c>
      <c r="K278" s="15">
        <v>379.18</v>
      </c>
      <c r="L278" s="15">
        <v>379.18</v>
      </c>
      <c r="M278" s="15">
        <v>379.18</v>
      </c>
      <c r="N278" s="15">
        <v>379.18</v>
      </c>
      <c r="O278" t="s">
        <v>3028</v>
      </c>
    </row>
    <row r="279" spans="1:15" x14ac:dyDescent="0.25">
      <c r="A279" s="10" t="s">
        <v>1415</v>
      </c>
      <c r="B279" s="15">
        <v>189.59</v>
      </c>
      <c r="C279" s="15">
        <v>189.59</v>
      </c>
      <c r="D279" s="15">
        <v>189.59</v>
      </c>
      <c r="E279" s="15">
        <v>379.18</v>
      </c>
      <c r="F279" s="15">
        <v>379.18</v>
      </c>
      <c r="G279" s="15">
        <v>189.59</v>
      </c>
      <c r="H279" s="15">
        <v>189.59</v>
      </c>
      <c r="I279" s="15">
        <v>189.59</v>
      </c>
      <c r="J279" s="15">
        <v>189.59</v>
      </c>
      <c r="K279" s="15">
        <v>189.59</v>
      </c>
      <c r="L279" s="15">
        <v>189.59</v>
      </c>
      <c r="M279" s="15">
        <v>189.59</v>
      </c>
      <c r="N279" s="15">
        <v>189.59</v>
      </c>
      <c r="O279" t="s">
        <v>3028</v>
      </c>
    </row>
    <row r="280" spans="1:15" x14ac:dyDescent="0.25">
      <c r="A280" s="10" t="s">
        <v>1437</v>
      </c>
      <c r="B280" s="15">
        <v>379.18</v>
      </c>
      <c r="C280" s="15">
        <v>379.18</v>
      </c>
      <c r="D280" s="15">
        <v>379.18</v>
      </c>
      <c r="E280" s="15">
        <v>758.36</v>
      </c>
      <c r="F280" s="15">
        <v>758.36</v>
      </c>
      <c r="G280" s="15">
        <v>379.18</v>
      </c>
      <c r="H280" s="15">
        <v>379.18</v>
      </c>
      <c r="I280" s="15">
        <v>379.18</v>
      </c>
      <c r="J280" s="15">
        <v>379.18</v>
      </c>
      <c r="K280" s="15">
        <v>379.18</v>
      </c>
      <c r="L280" s="15">
        <v>379.18</v>
      </c>
      <c r="M280" s="15">
        <v>379.18</v>
      </c>
      <c r="N280" s="15">
        <v>379.18</v>
      </c>
      <c r="O280" t="s">
        <v>3028</v>
      </c>
    </row>
    <row r="281" spans="1:15" x14ac:dyDescent="0.25">
      <c r="A281" s="10" t="s">
        <v>1446</v>
      </c>
      <c r="B281" s="15">
        <v>379.18</v>
      </c>
      <c r="C281" s="15">
        <v>379.18</v>
      </c>
      <c r="D281" s="15">
        <v>379.18</v>
      </c>
      <c r="E281" s="15">
        <v>0</v>
      </c>
      <c r="F281" s="15">
        <v>0</v>
      </c>
      <c r="G281" s="15">
        <v>0</v>
      </c>
      <c r="H281" s="15">
        <v>0</v>
      </c>
      <c r="I281" s="15">
        <v>0</v>
      </c>
      <c r="J281" s="15">
        <v>0</v>
      </c>
      <c r="K281" s="15">
        <v>0</v>
      </c>
      <c r="L281" s="15">
        <v>0</v>
      </c>
      <c r="M281" s="15">
        <v>0</v>
      </c>
      <c r="N281" s="15">
        <v>379.18</v>
      </c>
      <c r="O281" t="s">
        <v>3028</v>
      </c>
    </row>
    <row r="282" spans="1:15" x14ac:dyDescent="0.25">
      <c r="A282" s="10" t="s">
        <v>1494</v>
      </c>
      <c r="B282" s="15">
        <v>379.18</v>
      </c>
      <c r="C282" s="15">
        <v>379.18</v>
      </c>
      <c r="D282" s="15">
        <v>379.18</v>
      </c>
      <c r="E282" s="15">
        <v>379.18</v>
      </c>
      <c r="F282" s="15">
        <v>379.18</v>
      </c>
      <c r="G282" s="15">
        <v>758.36</v>
      </c>
      <c r="H282" s="15">
        <v>379.18</v>
      </c>
      <c r="I282" s="15">
        <v>758.36</v>
      </c>
      <c r="J282" s="15">
        <v>379.18</v>
      </c>
      <c r="K282" s="15">
        <v>379.18</v>
      </c>
      <c r="L282" s="15">
        <v>379.18</v>
      </c>
      <c r="M282" s="15">
        <v>379.18</v>
      </c>
      <c r="N282" s="15">
        <v>379.18</v>
      </c>
      <c r="O282" t="s">
        <v>3028</v>
      </c>
    </row>
    <row r="283" spans="1:15" x14ac:dyDescent="0.25">
      <c r="A283" s="10" t="s">
        <v>1500</v>
      </c>
      <c r="B283" s="15">
        <v>758.36</v>
      </c>
      <c r="C283" s="15">
        <v>758.36</v>
      </c>
      <c r="D283" s="15">
        <v>758.36</v>
      </c>
      <c r="E283" s="15">
        <v>758.36</v>
      </c>
      <c r="F283" s="15">
        <v>758.36</v>
      </c>
      <c r="G283" s="15">
        <v>758.36</v>
      </c>
      <c r="H283" s="15">
        <v>758.36</v>
      </c>
      <c r="I283" s="15">
        <v>758.36</v>
      </c>
      <c r="J283" s="15">
        <v>1516.72</v>
      </c>
      <c r="K283" s="15">
        <v>758.36</v>
      </c>
      <c r="L283" s="15">
        <v>758.36</v>
      </c>
      <c r="M283" s="15">
        <v>758.36</v>
      </c>
      <c r="N283" s="15">
        <v>758.36</v>
      </c>
      <c r="O283" t="s">
        <v>3028</v>
      </c>
    </row>
    <row r="284" spans="1:15" x14ac:dyDescent="0.25">
      <c r="A284" s="10" t="s">
        <v>1512</v>
      </c>
      <c r="B284" s="15">
        <v>379.18</v>
      </c>
      <c r="C284" s="15">
        <v>379.18</v>
      </c>
      <c r="D284" s="15">
        <v>379.18</v>
      </c>
      <c r="E284" s="15">
        <v>379.18</v>
      </c>
      <c r="F284" s="15">
        <v>379.18</v>
      </c>
      <c r="G284" s="15">
        <v>189.59</v>
      </c>
      <c r="H284" s="15">
        <v>189.59</v>
      </c>
      <c r="I284" s="15">
        <v>189.59</v>
      </c>
      <c r="J284" s="15">
        <v>189.59</v>
      </c>
      <c r="K284" s="15">
        <v>189.59</v>
      </c>
      <c r="L284" s="15">
        <v>189.59</v>
      </c>
      <c r="M284" s="15">
        <v>189.59</v>
      </c>
      <c r="N284" s="15">
        <v>189.59</v>
      </c>
      <c r="O284" t="s">
        <v>3028</v>
      </c>
    </row>
    <row r="285" spans="1:15" x14ac:dyDescent="0.25">
      <c r="A285" s="10" t="s">
        <v>1550</v>
      </c>
      <c r="B285" s="15">
        <v>379.18</v>
      </c>
      <c r="C285" s="15">
        <v>379.18</v>
      </c>
      <c r="D285" s="15">
        <v>379.18</v>
      </c>
      <c r="E285" s="15">
        <v>379.18</v>
      </c>
      <c r="F285" s="15">
        <v>379.18</v>
      </c>
      <c r="G285" s="15">
        <v>758.36</v>
      </c>
      <c r="H285" s="15">
        <v>379.18</v>
      </c>
      <c r="I285" s="15">
        <v>379.18</v>
      </c>
      <c r="J285" s="15">
        <v>379.18</v>
      </c>
      <c r="K285" s="15">
        <v>379.18</v>
      </c>
      <c r="L285" s="15">
        <v>379.18</v>
      </c>
      <c r="M285" s="15">
        <v>379.18</v>
      </c>
      <c r="N285" s="15">
        <v>379.18</v>
      </c>
      <c r="O285" t="s">
        <v>3028</v>
      </c>
    </row>
    <row r="286" spans="1:15" x14ac:dyDescent="0.25">
      <c r="A286" s="10" t="s">
        <v>1552</v>
      </c>
      <c r="B286" s="15">
        <v>758.36</v>
      </c>
      <c r="C286" s="15">
        <v>379.18</v>
      </c>
      <c r="D286" s="15">
        <v>379.18</v>
      </c>
      <c r="E286" s="15">
        <v>379.18</v>
      </c>
      <c r="F286" s="15">
        <v>379.18</v>
      </c>
      <c r="G286" s="15">
        <v>379.18</v>
      </c>
      <c r="H286" s="15">
        <v>379.18</v>
      </c>
      <c r="I286" s="15">
        <v>379.18</v>
      </c>
      <c r="J286" s="15">
        <v>379.18</v>
      </c>
      <c r="K286" s="15">
        <v>0</v>
      </c>
      <c r="L286" s="15">
        <v>0</v>
      </c>
      <c r="M286" s="15">
        <v>0</v>
      </c>
      <c r="N286" s="15">
        <v>379.18</v>
      </c>
      <c r="O286" t="s">
        <v>3028</v>
      </c>
    </row>
    <row r="287" spans="1:15" x14ac:dyDescent="0.25">
      <c r="A287" s="10" t="s">
        <v>1554</v>
      </c>
      <c r="B287" s="15">
        <v>379.18</v>
      </c>
      <c r="C287" s="15">
        <v>379.18</v>
      </c>
      <c r="D287" s="15">
        <v>379.18</v>
      </c>
      <c r="E287" s="15">
        <v>758.36</v>
      </c>
      <c r="F287" s="15">
        <v>758.36</v>
      </c>
      <c r="G287" s="15">
        <v>379.18</v>
      </c>
      <c r="H287" s="15">
        <v>379.18</v>
      </c>
      <c r="I287" s="15">
        <v>379.18</v>
      </c>
      <c r="J287" s="15">
        <v>379.18</v>
      </c>
      <c r="K287" s="15">
        <v>379.18</v>
      </c>
      <c r="L287" s="15">
        <v>379.18</v>
      </c>
      <c r="M287" s="15">
        <v>379.18</v>
      </c>
      <c r="N287" s="15">
        <v>379.18</v>
      </c>
      <c r="O287" t="s">
        <v>3028</v>
      </c>
    </row>
    <row r="288" spans="1:15" x14ac:dyDescent="0.25">
      <c r="A288" s="10" t="s">
        <v>1558</v>
      </c>
      <c r="B288" s="15">
        <v>189.59</v>
      </c>
      <c r="C288" s="15">
        <v>189.59</v>
      </c>
      <c r="D288" s="15">
        <v>189.59</v>
      </c>
      <c r="E288" s="15">
        <v>189.59</v>
      </c>
      <c r="F288" s="15">
        <v>189.59</v>
      </c>
      <c r="G288" s="15">
        <v>189.59</v>
      </c>
      <c r="H288" s="15">
        <v>189.59</v>
      </c>
      <c r="I288" s="15">
        <v>189.59</v>
      </c>
      <c r="J288" s="15">
        <v>379.18</v>
      </c>
      <c r="K288" s="15">
        <v>189.59</v>
      </c>
      <c r="L288" s="15">
        <v>189.59</v>
      </c>
      <c r="M288" s="15">
        <v>189.59</v>
      </c>
      <c r="N288" s="15">
        <v>189.59</v>
      </c>
      <c r="O288" t="s">
        <v>3028</v>
      </c>
    </row>
    <row r="289" spans="1:15" x14ac:dyDescent="0.25">
      <c r="A289" s="10" t="s">
        <v>1560</v>
      </c>
      <c r="B289" s="15">
        <v>379.18</v>
      </c>
      <c r="C289" s="15">
        <v>379.18</v>
      </c>
      <c r="D289" s="15">
        <v>379.18</v>
      </c>
      <c r="E289" s="15">
        <v>379.18</v>
      </c>
      <c r="F289" s="15">
        <v>379.18</v>
      </c>
      <c r="G289" s="15">
        <v>379.18</v>
      </c>
      <c r="H289" s="15">
        <v>379.18</v>
      </c>
      <c r="I289" s="15">
        <v>758.36</v>
      </c>
      <c r="J289" s="15">
        <v>379.18</v>
      </c>
      <c r="K289" s="15">
        <v>379.18</v>
      </c>
      <c r="L289" s="15">
        <v>379.18</v>
      </c>
      <c r="M289" s="15">
        <v>379.18</v>
      </c>
      <c r="N289" s="15">
        <v>379.18</v>
      </c>
      <c r="O289" t="s">
        <v>3028</v>
      </c>
    </row>
    <row r="290" spans="1:15" x14ac:dyDescent="0.25">
      <c r="A290" s="10" t="s">
        <v>1562</v>
      </c>
      <c r="B290" s="15">
        <v>189.59</v>
      </c>
      <c r="C290" s="15">
        <v>189.59</v>
      </c>
      <c r="D290" s="15">
        <v>189.59</v>
      </c>
      <c r="E290" s="15">
        <v>379.18</v>
      </c>
      <c r="F290" s="15">
        <v>379.18</v>
      </c>
      <c r="G290" s="15">
        <v>189.59</v>
      </c>
      <c r="H290" s="15">
        <v>189.59</v>
      </c>
      <c r="I290" s="15">
        <v>189.59</v>
      </c>
      <c r="J290" s="15">
        <v>189.59</v>
      </c>
      <c r="K290" s="15">
        <v>189.59</v>
      </c>
      <c r="L290" s="15">
        <v>189.59</v>
      </c>
      <c r="M290" s="15">
        <v>189.59</v>
      </c>
      <c r="N290" s="15">
        <v>189.59</v>
      </c>
      <c r="O290" t="s">
        <v>3028</v>
      </c>
    </row>
    <row r="291" spans="1:15" x14ac:dyDescent="0.25">
      <c r="A291" s="10" t="s">
        <v>1568</v>
      </c>
      <c r="B291" s="15">
        <v>758.36</v>
      </c>
      <c r="C291" s="15">
        <v>758.36</v>
      </c>
      <c r="D291" s="15">
        <v>758.36</v>
      </c>
      <c r="E291" s="15">
        <v>758.36</v>
      </c>
      <c r="F291" s="15">
        <v>758.36</v>
      </c>
      <c r="G291" s="15">
        <v>758.36</v>
      </c>
      <c r="H291" s="15">
        <v>758.36</v>
      </c>
      <c r="I291" s="15">
        <v>758.36</v>
      </c>
      <c r="J291" s="15">
        <v>1516.72</v>
      </c>
      <c r="K291" s="15">
        <v>758.36</v>
      </c>
      <c r="L291" s="15">
        <v>758.36</v>
      </c>
      <c r="M291" s="15">
        <v>758.36</v>
      </c>
      <c r="N291" s="15">
        <v>758.36</v>
      </c>
      <c r="O291" t="s">
        <v>3028</v>
      </c>
    </row>
    <row r="292" spans="1:15" x14ac:dyDescent="0.25">
      <c r="A292" s="10" t="s">
        <v>1570</v>
      </c>
      <c r="B292" s="15">
        <v>568.77</v>
      </c>
      <c r="C292" s="15">
        <v>568.77</v>
      </c>
      <c r="D292" s="15">
        <v>568.77</v>
      </c>
      <c r="E292" s="15">
        <v>568.77</v>
      </c>
      <c r="F292" s="15">
        <v>568.77</v>
      </c>
      <c r="G292" s="15">
        <v>568.77</v>
      </c>
      <c r="H292" s="15">
        <v>568.77</v>
      </c>
      <c r="I292" s="15">
        <v>568.77</v>
      </c>
      <c r="J292" s="15">
        <v>1137.54</v>
      </c>
      <c r="K292" s="15">
        <v>568.77</v>
      </c>
      <c r="L292" s="15">
        <v>568.77</v>
      </c>
      <c r="M292" s="15">
        <v>568.77</v>
      </c>
      <c r="N292" s="15">
        <v>568.77</v>
      </c>
      <c r="O292" t="s">
        <v>3028</v>
      </c>
    </row>
    <row r="293" spans="1:15" x14ac:dyDescent="0.25">
      <c r="A293" s="10" t="s">
        <v>1572</v>
      </c>
      <c r="B293" s="15">
        <v>568.77</v>
      </c>
      <c r="C293" s="15">
        <v>568.77</v>
      </c>
      <c r="D293" s="15">
        <v>568.77</v>
      </c>
      <c r="E293" s="15">
        <v>568.77</v>
      </c>
      <c r="F293" s="15">
        <v>1137.54</v>
      </c>
      <c r="G293" s="15">
        <v>568.77</v>
      </c>
      <c r="H293" s="15">
        <v>568.77</v>
      </c>
      <c r="I293" s="15">
        <v>1137.54</v>
      </c>
      <c r="J293" s="15">
        <v>568.77</v>
      </c>
      <c r="K293" s="15">
        <v>568.77</v>
      </c>
      <c r="L293" s="15">
        <v>568.77</v>
      </c>
      <c r="M293" s="15">
        <v>568.77</v>
      </c>
      <c r="N293" s="15">
        <v>568.77</v>
      </c>
      <c r="O293" t="s">
        <v>3028</v>
      </c>
    </row>
    <row r="294" spans="1:15" x14ac:dyDescent="0.25">
      <c r="A294" s="10" t="s">
        <v>1576</v>
      </c>
      <c r="B294" s="15">
        <v>189.59</v>
      </c>
      <c r="C294" s="15">
        <v>189.59</v>
      </c>
      <c r="D294" s="15">
        <v>189.59</v>
      </c>
      <c r="E294" s="15">
        <v>379.18</v>
      </c>
      <c r="F294" s="15">
        <v>379.18</v>
      </c>
      <c r="G294" s="15">
        <v>189.59</v>
      </c>
      <c r="H294" s="15">
        <v>189.59</v>
      </c>
      <c r="I294" s="15">
        <v>189.59</v>
      </c>
      <c r="J294" s="15">
        <v>189.59</v>
      </c>
      <c r="K294" s="15">
        <v>189.59</v>
      </c>
      <c r="L294" s="15">
        <v>189.59</v>
      </c>
      <c r="M294" s="15">
        <v>189.59</v>
      </c>
      <c r="N294" s="15">
        <v>189.59</v>
      </c>
      <c r="O294" t="s">
        <v>3028</v>
      </c>
    </row>
    <row r="295" spans="1:15" x14ac:dyDescent="0.25">
      <c r="A295" s="10" t="s">
        <v>1578</v>
      </c>
      <c r="B295" s="15">
        <v>189.59</v>
      </c>
      <c r="C295" s="15">
        <v>189.59</v>
      </c>
      <c r="D295" s="15">
        <v>189.59</v>
      </c>
      <c r="E295" s="15">
        <v>189.59</v>
      </c>
      <c r="F295" s="15">
        <v>189.59</v>
      </c>
      <c r="G295" s="15">
        <v>189.59</v>
      </c>
      <c r="H295" s="15">
        <v>189.59</v>
      </c>
      <c r="I295" s="15">
        <v>189.59</v>
      </c>
      <c r="J295" s="15">
        <v>379.18</v>
      </c>
      <c r="K295" s="15">
        <v>189.59</v>
      </c>
      <c r="L295" s="15">
        <v>189.59</v>
      </c>
      <c r="M295" s="15">
        <v>189.59</v>
      </c>
      <c r="N295" s="15">
        <v>189.59</v>
      </c>
      <c r="O295" t="s">
        <v>3028</v>
      </c>
    </row>
    <row r="296" spans="1:15" x14ac:dyDescent="0.25">
      <c r="A296" s="10" t="s">
        <v>1580</v>
      </c>
      <c r="B296" s="15">
        <v>0</v>
      </c>
      <c r="C296" s="15">
        <v>379.18</v>
      </c>
      <c r="D296" s="15">
        <v>0</v>
      </c>
      <c r="E296" s="15">
        <v>0</v>
      </c>
      <c r="F296" s="15">
        <v>0</v>
      </c>
      <c r="G296" s="15">
        <v>0</v>
      </c>
      <c r="H296" s="15">
        <v>0</v>
      </c>
      <c r="I296" s="15">
        <v>0</v>
      </c>
      <c r="J296" s="15">
        <v>0</v>
      </c>
      <c r="K296" s="15">
        <v>0</v>
      </c>
      <c r="L296" s="15">
        <v>0</v>
      </c>
      <c r="M296" s="15">
        <v>0</v>
      </c>
      <c r="N296" s="15">
        <v>379.18</v>
      </c>
      <c r="O296" t="s">
        <v>3028</v>
      </c>
    </row>
    <row r="297" spans="1:15" x14ac:dyDescent="0.25">
      <c r="A297" s="10" t="s">
        <v>1582</v>
      </c>
      <c r="B297" s="15">
        <v>568.77</v>
      </c>
      <c r="C297" s="15">
        <v>568.77</v>
      </c>
      <c r="D297" s="15">
        <v>568.77</v>
      </c>
      <c r="E297" s="15">
        <v>568.77</v>
      </c>
      <c r="F297" s="15">
        <v>1137.54</v>
      </c>
      <c r="G297" s="15">
        <v>568.77</v>
      </c>
      <c r="H297" s="15">
        <v>568.77</v>
      </c>
      <c r="I297" s="15">
        <v>1137.54</v>
      </c>
      <c r="J297" s="15">
        <v>568.77</v>
      </c>
      <c r="K297" s="15">
        <v>568.77</v>
      </c>
      <c r="L297" s="15">
        <v>568.77</v>
      </c>
      <c r="M297" s="15">
        <v>568.77</v>
      </c>
      <c r="N297" s="15">
        <v>568.77</v>
      </c>
      <c r="O297" t="s">
        <v>3028</v>
      </c>
    </row>
    <row r="298" spans="1:15" x14ac:dyDescent="0.25">
      <c r="A298" s="10" t="s">
        <v>1590</v>
      </c>
      <c r="B298" s="15">
        <v>189.59</v>
      </c>
      <c r="C298" s="15">
        <v>189.59</v>
      </c>
      <c r="D298" s="15">
        <v>189.59</v>
      </c>
      <c r="E298" s="15">
        <v>189.59</v>
      </c>
      <c r="F298" s="15">
        <v>189.59</v>
      </c>
      <c r="G298" s="15">
        <v>379.18</v>
      </c>
      <c r="H298" s="15">
        <v>189.59</v>
      </c>
      <c r="I298" s="15">
        <v>379.18</v>
      </c>
      <c r="J298" s="15">
        <v>189.59</v>
      </c>
      <c r="K298" s="15">
        <v>189.59</v>
      </c>
      <c r="L298" s="15">
        <v>189.59</v>
      </c>
      <c r="M298" s="15">
        <v>189.59</v>
      </c>
      <c r="N298" s="15">
        <v>189.59</v>
      </c>
      <c r="O298" t="s">
        <v>3028</v>
      </c>
    </row>
    <row r="299" spans="1:15" x14ac:dyDescent="0.25">
      <c r="A299" s="10" t="s">
        <v>1592</v>
      </c>
      <c r="B299" s="15">
        <v>758.36</v>
      </c>
      <c r="C299" s="15">
        <v>758.36</v>
      </c>
      <c r="D299" s="15">
        <v>758.36</v>
      </c>
      <c r="E299" s="15">
        <v>758.36</v>
      </c>
      <c r="F299" s="15">
        <v>758.36</v>
      </c>
      <c r="G299" s="15">
        <v>1516.72</v>
      </c>
      <c r="H299" s="15">
        <v>758.36</v>
      </c>
      <c r="I299" s="15">
        <v>1516.72</v>
      </c>
      <c r="J299" s="15">
        <v>758.36</v>
      </c>
      <c r="K299" s="15">
        <v>758.36</v>
      </c>
      <c r="L299" s="15">
        <v>758.36</v>
      </c>
      <c r="M299" s="15">
        <v>758.36</v>
      </c>
      <c r="N299" s="15">
        <v>758.36</v>
      </c>
      <c r="O299" t="s">
        <v>3028</v>
      </c>
    </row>
    <row r="300" spans="1:15" x14ac:dyDescent="0.25">
      <c r="A300" s="10" t="s">
        <v>1594</v>
      </c>
      <c r="B300" s="15">
        <v>568.77</v>
      </c>
      <c r="C300" s="15">
        <v>1137.54</v>
      </c>
      <c r="D300" s="15">
        <v>568.77</v>
      </c>
      <c r="E300" s="15">
        <v>568.77</v>
      </c>
      <c r="F300" s="15">
        <v>568.77</v>
      </c>
      <c r="G300" s="15">
        <v>1137.54</v>
      </c>
      <c r="H300" s="15">
        <v>568.77</v>
      </c>
      <c r="I300" s="15">
        <v>1137.54</v>
      </c>
      <c r="J300" s="15">
        <v>568.77</v>
      </c>
      <c r="K300" s="15">
        <v>568.77</v>
      </c>
      <c r="L300" s="15">
        <v>568.77</v>
      </c>
      <c r="M300" s="15">
        <v>568.77</v>
      </c>
      <c r="N300" s="15">
        <v>568.77</v>
      </c>
      <c r="O300" t="s">
        <v>3028</v>
      </c>
    </row>
    <row r="301" spans="1:15" x14ac:dyDescent="0.25">
      <c r="A301" s="10" t="s">
        <v>1596</v>
      </c>
      <c r="B301" s="15">
        <v>379.18</v>
      </c>
      <c r="C301" s="15">
        <v>379.18</v>
      </c>
      <c r="D301" s="15">
        <v>379.18</v>
      </c>
      <c r="E301" s="15">
        <v>379.18</v>
      </c>
      <c r="F301" s="15">
        <v>379.18</v>
      </c>
      <c r="G301" s="15">
        <v>379.18</v>
      </c>
      <c r="H301" s="15">
        <v>758.36</v>
      </c>
      <c r="I301" s="15">
        <v>758.36</v>
      </c>
      <c r="J301" s="15">
        <v>379.18</v>
      </c>
      <c r="K301" s="15">
        <v>379.18</v>
      </c>
      <c r="L301" s="15">
        <v>379.18</v>
      </c>
      <c r="M301" s="15">
        <v>379.18</v>
      </c>
      <c r="N301" s="15">
        <v>379.18</v>
      </c>
      <c r="O301" t="s">
        <v>3028</v>
      </c>
    </row>
    <row r="302" spans="1:15" x14ac:dyDescent="0.25">
      <c r="A302" s="10" t="s">
        <v>1600</v>
      </c>
      <c r="B302" s="15">
        <v>568.77</v>
      </c>
      <c r="C302" s="15">
        <v>0</v>
      </c>
      <c r="D302" s="15">
        <v>568.77</v>
      </c>
      <c r="E302" s="15">
        <v>568.77</v>
      </c>
      <c r="F302" s="15">
        <v>568.77</v>
      </c>
      <c r="G302" s="15">
        <v>568.77</v>
      </c>
      <c r="H302" s="15">
        <v>1137.54</v>
      </c>
      <c r="I302" s="15">
        <v>1137.54</v>
      </c>
      <c r="J302" s="15">
        <v>568.77</v>
      </c>
      <c r="K302" s="15">
        <v>568.77</v>
      </c>
      <c r="L302" s="15">
        <v>568.77</v>
      </c>
      <c r="M302" s="15">
        <v>568.77</v>
      </c>
      <c r="N302" s="15">
        <v>568.77</v>
      </c>
      <c r="O302" t="s">
        <v>3028</v>
      </c>
    </row>
    <row r="303" spans="1:15" x14ac:dyDescent="0.25">
      <c r="A303" s="10" t="s">
        <v>1607</v>
      </c>
      <c r="B303" s="15">
        <v>189.59</v>
      </c>
      <c r="C303" s="15">
        <v>189.59</v>
      </c>
      <c r="D303" s="15">
        <v>379.18</v>
      </c>
      <c r="E303" s="15">
        <v>189.59</v>
      </c>
      <c r="F303" s="15">
        <v>189.59</v>
      </c>
      <c r="G303" s="15">
        <v>189.59</v>
      </c>
      <c r="H303" s="15">
        <v>189.59</v>
      </c>
      <c r="I303" s="15">
        <v>189.59</v>
      </c>
      <c r="J303" s="15">
        <v>189.59</v>
      </c>
      <c r="K303" s="15">
        <v>189.59</v>
      </c>
      <c r="L303" s="15">
        <v>189.59</v>
      </c>
      <c r="M303" s="15">
        <v>189.59</v>
      </c>
      <c r="N303" s="15">
        <v>189.59</v>
      </c>
      <c r="O303" t="s">
        <v>3028</v>
      </c>
    </row>
    <row r="304" spans="1:15" x14ac:dyDescent="0.25">
      <c r="A304" s="10" t="s">
        <v>1613</v>
      </c>
      <c r="B304" s="15">
        <v>189.59</v>
      </c>
      <c r="C304" s="15">
        <v>189.59</v>
      </c>
      <c r="D304" s="15">
        <v>189.59</v>
      </c>
      <c r="E304" s="15">
        <v>189.59</v>
      </c>
      <c r="F304" s="15">
        <v>189.59</v>
      </c>
      <c r="G304" s="15">
        <v>189.59</v>
      </c>
      <c r="H304" s="15">
        <v>189.59</v>
      </c>
      <c r="I304" s="15">
        <v>189.59</v>
      </c>
      <c r="J304" s="15">
        <v>189.59</v>
      </c>
      <c r="K304" s="15">
        <v>189.59</v>
      </c>
      <c r="L304" s="15">
        <v>189.59</v>
      </c>
      <c r="M304" s="15">
        <v>189.59</v>
      </c>
      <c r="N304" s="15">
        <v>189.59</v>
      </c>
      <c r="O304" t="s">
        <v>3028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7"/>
  <dimension ref="A1:N2"/>
  <sheetViews>
    <sheetView workbookViewId="0">
      <selection activeCell="B2" sqref="B2:N2"/>
    </sheetView>
  </sheetViews>
  <sheetFormatPr defaultRowHeight="15" x14ac:dyDescent="0.25"/>
  <cols>
    <col min="1" max="1" width="10.5" style="10" bestFit="1" customWidth="1"/>
    <col min="2" max="14" width="11.625" style="15" customWidth="1"/>
  </cols>
  <sheetData>
    <row r="1" spans="1:14" ht="47.85" customHeight="1" x14ac:dyDescent="0.25">
      <c r="A1" s="27" t="s">
        <v>32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43.5" customHeight="1" x14ac:dyDescent="0.25">
      <c r="A2" s="4" t="s">
        <v>0</v>
      </c>
      <c r="B2" s="14" t="str">
        <f>CONCATENATE("JANEIRO",CHAR(10),"TOTAL: ",ROUND(SUM(B3:B1048576),2))</f>
        <v>JANEIRO
TOTAL: 0</v>
      </c>
      <c r="C2" s="14" t="str">
        <f>CONCATENATE("FEVEREIRO",CHAR(10),"TOTAL: ",ROUND(SUM(C3:C1048576),2))</f>
        <v>FEVEREIRO
TOTAL: 0</v>
      </c>
      <c r="D2" s="14" t="str">
        <f>CONCATENATE("MARÇO",CHAR(10),"TOTAL: ",ROUND(SUM(D3:D1048576),2))</f>
        <v>MARÇO
TOTAL: 0</v>
      </c>
      <c r="E2" s="14" t="str">
        <f>CONCATENATE("ABRIL",CHAR(10),"TOTAL: ",ROUND(SUM(E3:E1048576),2))</f>
        <v>ABRIL
TOTAL: 0</v>
      </c>
      <c r="F2" s="14" t="str">
        <f>CONCATENATE("MAIO",CHAR(10),"TOTAL: ",ROUND(SUM(F3:F1048576),2))</f>
        <v>MAIO
TOTAL: 0</v>
      </c>
      <c r="G2" s="14" t="str">
        <f>CONCATENATE("JUNHO",CHAR(10),"TOTAL: ",ROUND(SUM(G3:G1048576),2))</f>
        <v>JUNHO
TOTAL: 0</v>
      </c>
      <c r="H2" s="14" t="str">
        <f>CONCATENATE("JULHO",CHAR(10),"TOTAL: ",ROUND(SUM(H3:H1048576),2))</f>
        <v>JULHO
TOTAL: 0</v>
      </c>
      <c r="I2" s="14" t="str">
        <f>CONCATENATE("AGOSTO",CHAR(10),"TOTAL: ",ROUND(SUM(I3:I1048576),2))</f>
        <v>AGOSTO
TOTAL: 0</v>
      </c>
      <c r="J2" s="14" t="str">
        <f>CONCATENATE("SETEMBRO",CHAR(10),"TOTAL: ",ROUND(SUM(J3:J1048576),2))</f>
        <v>SETEMBRO
TOTAL: 0</v>
      </c>
      <c r="K2" s="14" t="str">
        <f>CONCATENATE("OUTUBRO",CHAR(10),"TOTAL: ",ROUND(SUM(K3:K1048576),2))</f>
        <v>OUTUBRO
TOTAL: 0</v>
      </c>
      <c r="L2" s="14" t="str">
        <f>CONCATENATE("NOVEMBRO",CHAR(10),"TOTAL: ",ROUND(SUM(L3:L1048576),2))</f>
        <v>NOVEMBRO
TOTAL: 0</v>
      </c>
      <c r="M2" s="14" t="str">
        <f>CONCATENATE("DEZEMBRO",CHAR(10),"TOTAL: ",ROUND(SUM(M3:M1048576),2))</f>
        <v>DEZEMBRO
TOTAL: 0</v>
      </c>
      <c r="N2" s="14" t="str">
        <f>CONCATENATE("DEC. TERCEIRO",CHAR(10),"TOTAL: ",ROUND(SUM(N3:N1048576),2))</f>
        <v>DEC. TERCEIRO
TOTAL: 0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6"/>
  <dimension ref="A1:O730"/>
  <sheetViews>
    <sheetView workbookViewId="0">
      <selection activeCell="F9" sqref="F9"/>
    </sheetView>
  </sheetViews>
  <sheetFormatPr defaultRowHeight="15" x14ac:dyDescent="0.25"/>
  <cols>
    <col min="1" max="1" width="12.625" style="10" bestFit="1" customWidth="1"/>
    <col min="2" max="14" width="11.625" style="15" customWidth="1"/>
  </cols>
  <sheetData>
    <row r="1" spans="1:15" ht="47.85" customHeight="1" x14ac:dyDescent="0.25">
      <c r="A1" s="30" t="s">
        <v>31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182930,74</v>
      </c>
      <c r="C2" s="14" t="str">
        <f>CONCATENATE("FEVEREIRO",CHAR(10),"TOTAL: ",ROUND(SUM(C3:C1048576),2))</f>
        <v>FEVEREIRO
TOTAL: 184997,31</v>
      </c>
      <c r="D2" s="14" t="str">
        <f>CONCATENATE("MARÇO",CHAR(10),"TOTAL: ",ROUND(SUM(D3:D1048576),2))</f>
        <v>MARÇO
TOTAL: 197686,83</v>
      </c>
      <c r="E2" s="14" t="str">
        <f>CONCATENATE("ABRIL",CHAR(10),"TOTAL: ",ROUND(SUM(E3:E1048576),2))</f>
        <v>ABRIL
TOTAL: 194914,41</v>
      </c>
      <c r="F2" s="14" t="str">
        <f>CONCATENATE("MAIO",CHAR(10),"TOTAL: ",ROUND(SUM(F3:F1048576),2))</f>
        <v>MAIO
TOTAL: 163999,25</v>
      </c>
      <c r="G2" s="14" t="str">
        <f>CONCATENATE("JUNHO",CHAR(10),"TOTAL: ",ROUND(SUM(G3:G1048576),2))</f>
        <v>JUNHO
TOTAL: 201778,28</v>
      </c>
      <c r="H2" s="14" t="str">
        <f>CONCATENATE("JULHO",CHAR(10),"TOTAL: ",ROUND(SUM(H3:H1048576),2))</f>
        <v>JULHO
TOTAL: 174863,47</v>
      </c>
      <c r="I2" s="14" t="str">
        <f>CONCATENATE("AGOSTO",CHAR(10),"TOTAL: ",ROUND(SUM(I3:I1048576),2))</f>
        <v>AGOSTO
TOTAL: 214256,09</v>
      </c>
      <c r="J2" s="14" t="str">
        <f>CONCATENATE("SETEMBRO",CHAR(10),"TOTAL: ",ROUND(SUM(J3:J1048576),2))</f>
        <v>SETEMBRO
TOTAL: 204332,53</v>
      </c>
      <c r="K2" s="14" t="str">
        <f>CONCATENATE("OUTUBRO",CHAR(10),"TOTAL: ",ROUND(SUM(K3:K1048576),2))</f>
        <v>OUTUBRO
TOTAL: 193398,1</v>
      </c>
      <c r="L2" s="14" t="str">
        <f>CONCATENATE("NOVEMBRO",CHAR(10),"TOTAL: ",ROUND(SUM(L3:L1048576),2))</f>
        <v>NOVEMBRO
TOTAL: 200101,46</v>
      </c>
      <c r="M2" s="14" t="str">
        <f>CONCATENATE("DEZEMBRO",CHAR(10),"TOTAL: ",ROUND(SUM(M3:M1048576),2))</f>
        <v>DEZEMBRO
TOTAL: 200852,61</v>
      </c>
      <c r="N2" s="14" t="str">
        <f>CONCATENATE("DEC. TERCEIRO",CHAR(10),"TOTAL: ",ROUND(SUM(N3:N1048576),2))</f>
        <v>DEC. TERCEIRO
TOTAL: 197984,38</v>
      </c>
    </row>
    <row r="3" spans="1:15" x14ac:dyDescent="0.25">
      <c r="A3" s="10" t="s">
        <v>93</v>
      </c>
      <c r="B3" s="15">
        <v>0</v>
      </c>
      <c r="C3" s="15">
        <v>0</v>
      </c>
      <c r="D3" s="15">
        <v>455.19</v>
      </c>
      <c r="E3" s="15">
        <v>455.19</v>
      </c>
      <c r="F3" s="15">
        <v>455.19</v>
      </c>
      <c r="G3" s="15">
        <v>575.65</v>
      </c>
      <c r="H3" s="15">
        <v>435.89</v>
      </c>
      <c r="I3" s="15">
        <v>570.88</v>
      </c>
      <c r="J3" s="15">
        <v>499.89</v>
      </c>
      <c r="K3" s="15">
        <v>499.89</v>
      </c>
      <c r="L3" s="15">
        <v>499.89</v>
      </c>
      <c r="M3" s="15">
        <v>499.89</v>
      </c>
      <c r="N3" s="15">
        <v>416.58</v>
      </c>
      <c r="O3" t="s">
        <v>3028</v>
      </c>
    </row>
    <row r="4" spans="1:15" x14ac:dyDescent="0.25">
      <c r="A4" s="10" t="s">
        <v>95</v>
      </c>
      <c r="B4" s="15">
        <v>303.45999999999998</v>
      </c>
      <c r="C4" s="15">
        <v>303.45999999999998</v>
      </c>
      <c r="D4" s="15">
        <v>422.39</v>
      </c>
      <c r="E4" s="15">
        <v>251.96</v>
      </c>
      <c r="F4" s="15">
        <v>365.95</v>
      </c>
      <c r="G4" s="15">
        <v>365.95</v>
      </c>
      <c r="H4" s="15">
        <v>365.95</v>
      </c>
      <c r="I4" s="15">
        <v>473.76</v>
      </c>
      <c r="J4" s="15">
        <v>401.89</v>
      </c>
      <c r="K4" s="15">
        <v>401.89</v>
      </c>
      <c r="L4" s="15">
        <v>401.89</v>
      </c>
      <c r="M4" s="15">
        <v>401.89</v>
      </c>
      <c r="N4" s="15">
        <v>401.89</v>
      </c>
      <c r="O4" t="s">
        <v>3028</v>
      </c>
    </row>
    <row r="5" spans="1:15" x14ac:dyDescent="0.25">
      <c r="A5" s="10" t="s">
        <v>97</v>
      </c>
      <c r="B5" s="15">
        <v>175.4</v>
      </c>
      <c r="C5" s="15">
        <v>187.77</v>
      </c>
      <c r="D5" s="15">
        <v>159.59</v>
      </c>
      <c r="E5" s="15">
        <v>372.08</v>
      </c>
      <c r="F5" s="15">
        <v>0</v>
      </c>
      <c r="G5" s="15">
        <v>169.31</v>
      </c>
      <c r="H5" s="15">
        <v>161.44999999999999</v>
      </c>
      <c r="I5" s="15">
        <v>298.27999999999997</v>
      </c>
      <c r="J5" s="15">
        <v>168.44</v>
      </c>
      <c r="K5" s="15">
        <v>174.38</v>
      </c>
      <c r="L5" s="15">
        <v>208.68</v>
      </c>
      <c r="M5" s="15">
        <v>174.36</v>
      </c>
      <c r="N5" s="15">
        <v>185.68</v>
      </c>
      <c r="O5" t="s">
        <v>3028</v>
      </c>
    </row>
    <row r="6" spans="1:15" x14ac:dyDescent="0.25">
      <c r="A6" s="10" t="s">
        <v>99</v>
      </c>
      <c r="B6" s="15">
        <v>205.74</v>
      </c>
      <c r="C6" s="15">
        <v>223.69</v>
      </c>
      <c r="D6" s="15">
        <v>189.67</v>
      </c>
      <c r="E6" s="15">
        <v>229.81</v>
      </c>
      <c r="F6" s="15">
        <v>179.54</v>
      </c>
      <c r="G6" s="15">
        <v>226.51</v>
      </c>
      <c r="H6" s="15">
        <v>316.35000000000002</v>
      </c>
      <c r="I6" s="15">
        <v>373.67</v>
      </c>
      <c r="J6" s="15">
        <v>377.97</v>
      </c>
      <c r="K6" s="15">
        <v>174.66</v>
      </c>
      <c r="L6" s="15">
        <v>230.28</v>
      </c>
      <c r="M6" s="15">
        <v>209.33</v>
      </c>
      <c r="N6" s="15">
        <v>230.96</v>
      </c>
      <c r="O6" t="s">
        <v>3028</v>
      </c>
    </row>
    <row r="7" spans="1:15" x14ac:dyDescent="0.25">
      <c r="A7" s="10" t="s">
        <v>101</v>
      </c>
      <c r="B7" s="15">
        <v>469.16</v>
      </c>
      <c r="C7" s="15">
        <v>450.03</v>
      </c>
      <c r="D7" s="15">
        <v>448.34</v>
      </c>
      <c r="E7" s="15">
        <v>500.93</v>
      </c>
      <c r="F7" s="15">
        <v>504.85</v>
      </c>
      <c r="G7" s="15">
        <v>454.93</v>
      </c>
      <c r="H7" s="15">
        <v>487.7</v>
      </c>
      <c r="I7" s="15">
        <v>570.88</v>
      </c>
      <c r="J7" s="15">
        <v>514.61</v>
      </c>
      <c r="K7" s="15">
        <v>691.76</v>
      </c>
      <c r="L7" s="15">
        <v>379.99</v>
      </c>
      <c r="M7" s="15">
        <v>545.19000000000005</v>
      </c>
      <c r="N7" s="15">
        <v>511.72</v>
      </c>
      <c r="O7" t="s">
        <v>3028</v>
      </c>
    </row>
    <row r="8" spans="1:15" x14ac:dyDescent="0.25">
      <c r="A8" s="10" t="s">
        <v>103</v>
      </c>
      <c r="B8" s="15">
        <v>150.24</v>
      </c>
      <c r="C8" s="15">
        <v>165.24</v>
      </c>
      <c r="D8" s="15">
        <v>146.88999999999999</v>
      </c>
      <c r="E8" s="15">
        <v>286.41000000000003</v>
      </c>
      <c r="F8" s="15">
        <v>17.93</v>
      </c>
      <c r="G8" s="15">
        <v>104</v>
      </c>
      <c r="H8" s="15">
        <v>201.59</v>
      </c>
      <c r="I8" s="15">
        <v>210.46</v>
      </c>
      <c r="J8" s="15">
        <v>231.38</v>
      </c>
      <c r="K8" s="15">
        <v>232.09</v>
      </c>
      <c r="L8" s="15">
        <v>229.11</v>
      </c>
      <c r="M8" s="15">
        <v>311.23</v>
      </c>
      <c r="N8" s="15">
        <v>221.65</v>
      </c>
      <c r="O8" t="s">
        <v>3028</v>
      </c>
    </row>
    <row r="9" spans="1:15" x14ac:dyDescent="0.25">
      <c r="A9" s="10" t="s">
        <v>105</v>
      </c>
      <c r="B9" s="15">
        <v>349.77</v>
      </c>
      <c r="C9" s="15">
        <v>336.4</v>
      </c>
      <c r="D9" s="15">
        <v>342.91</v>
      </c>
      <c r="E9" s="15">
        <v>703.77</v>
      </c>
      <c r="F9" s="15">
        <v>73.2</v>
      </c>
      <c r="G9" s="15">
        <v>289.31</v>
      </c>
      <c r="H9" s="15">
        <v>291.01</v>
      </c>
      <c r="I9" s="15">
        <v>393.82</v>
      </c>
      <c r="J9" s="15">
        <v>316.61</v>
      </c>
      <c r="K9" s="15">
        <v>316.22000000000003</v>
      </c>
      <c r="L9" s="15">
        <v>322.27999999999997</v>
      </c>
      <c r="M9" s="15">
        <v>325.17</v>
      </c>
      <c r="N9" s="15">
        <v>333.98</v>
      </c>
      <c r="O9" t="s">
        <v>3028</v>
      </c>
    </row>
    <row r="10" spans="1:15" x14ac:dyDescent="0.25">
      <c r="A10" s="10" t="s">
        <v>107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104</v>
      </c>
      <c r="K10" s="15">
        <v>175.88</v>
      </c>
      <c r="L10" s="15">
        <v>116.93</v>
      </c>
      <c r="M10" s="15">
        <v>208.55</v>
      </c>
      <c r="N10" s="15">
        <v>43.24</v>
      </c>
      <c r="O10" t="s">
        <v>3028</v>
      </c>
    </row>
    <row r="11" spans="1:15" x14ac:dyDescent="0.25">
      <c r="A11" s="10" t="s">
        <v>109</v>
      </c>
      <c r="B11" s="15">
        <v>570.88</v>
      </c>
      <c r="C11" s="15">
        <v>570.88</v>
      </c>
      <c r="D11" s="15">
        <v>570.88</v>
      </c>
      <c r="E11" s="15">
        <v>570.88</v>
      </c>
      <c r="F11" s="15">
        <v>570.88</v>
      </c>
      <c r="G11" s="15">
        <v>570.88</v>
      </c>
      <c r="H11" s="15">
        <v>570.88</v>
      </c>
      <c r="I11" s="15">
        <v>570.88</v>
      </c>
      <c r="J11" s="15">
        <v>570.88</v>
      </c>
      <c r="K11" s="15">
        <v>570.88</v>
      </c>
      <c r="L11" s="15">
        <v>570.88</v>
      </c>
      <c r="M11" s="15">
        <v>570.88</v>
      </c>
      <c r="N11" s="15">
        <v>570.88</v>
      </c>
      <c r="O11" t="s">
        <v>3028</v>
      </c>
    </row>
    <row r="12" spans="1:15" x14ac:dyDescent="0.25">
      <c r="A12" s="10" t="s">
        <v>111</v>
      </c>
      <c r="B12" s="15">
        <v>188.08</v>
      </c>
      <c r="C12" s="15">
        <v>180.66</v>
      </c>
      <c r="D12" s="15">
        <v>182.86</v>
      </c>
      <c r="E12" s="15">
        <v>190.99</v>
      </c>
      <c r="F12" s="15">
        <v>170.94</v>
      </c>
      <c r="G12" s="15">
        <v>165.91</v>
      </c>
      <c r="H12" s="15">
        <v>382.88</v>
      </c>
      <c r="I12" s="15">
        <v>169.87</v>
      </c>
      <c r="J12" s="15">
        <v>202</v>
      </c>
      <c r="K12" s="15">
        <v>197.26</v>
      </c>
      <c r="L12" s="15">
        <v>203.55</v>
      </c>
      <c r="M12" s="15">
        <v>212.54</v>
      </c>
      <c r="N12" s="15">
        <v>198.03</v>
      </c>
      <c r="O12" t="s">
        <v>3028</v>
      </c>
    </row>
    <row r="13" spans="1:15" x14ac:dyDescent="0.25">
      <c r="A13" s="10" t="s">
        <v>113</v>
      </c>
      <c r="B13" s="15">
        <v>215.44</v>
      </c>
      <c r="C13" s="15">
        <v>309.14999999999998</v>
      </c>
      <c r="D13" s="15">
        <v>233.17</v>
      </c>
      <c r="E13" s="15">
        <v>218.58</v>
      </c>
      <c r="F13" s="15">
        <v>398.27</v>
      </c>
      <c r="G13" s="15">
        <v>143.44999999999999</v>
      </c>
      <c r="H13" s="15">
        <v>5.49</v>
      </c>
      <c r="I13" s="15">
        <v>16.46</v>
      </c>
      <c r="J13" s="15">
        <v>203.58</v>
      </c>
      <c r="K13" s="15">
        <v>215.58</v>
      </c>
      <c r="L13" s="15">
        <v>294.38</v>
      </c>
      <c r="M13" s="15">
        <v>213.23</v>
      </c>
      <c r="N13" s="15">
        <v>191.89</v>
      </c>
      <c r="O13" t="s">
        <v>3028</v>
      </c>
    </row>
    <row r="14" spans="1:15" x14ac:dyDescent="0.25">
      <c r="A14" s="10" t="s">
        <v>115</v>
      </c>
      <c r="B14" s="15">
        <v>570.88</v>
      </c>
      <c r="C14" s="15">
        <v>570.88</v>
      </c>
      <c r="D14" s="15">
        <v>570.88</v>
      </c>
      <c r="E14" s="15">
        <v>570.88</v>
      </c>
      <c r="F14" s="15">
        <v>570.88</v>
      </c>
      <c r="G14" s="15">
        <v>570.88</v>
      </c>
      <c r="H14" s="15">
        <v>570.88</v>
      </c>
      <c r="I14" s="15">
        <v>570.88</v>
      </c>
      <c r="J14" s="15">
        <v>570.88</v>
      </c>
      <c r="K14" s="15">
        <v>570.88</v>
      </c>
      <c r="L14" s="15">
        <v>570.88</v>
      </c>
      <c r="M14" s="15">
        <v>570.88</v>
      </c>
      <c r="N14" s="15">
        <v>570.88</v>
      </c>
      <c r="O14" t="s">
        <v>3028</v>
      </c>
    </row>
    <row r="15" spans="1:15" x14ac:dyDescent="0.25">
      <c r="A15" s="10" t="s">
        <v>117</v>
      </c>
      <c r="B15" s="15">
        <v>156.54</v>
      </c>
      <c r="C15" s="15">
        <v>160.76</v>
      </c>
      <c r="D15" s="15">
        <v>158.6</v>
      </c>
      <c r="E15" s="15">
        <v>113.28</v>
      </c>
      <c r="F15" s="15">
        <v>109.87</v>
      </c>
      <c r="G15" s="15">
        <v>105.9</v>
      </c>
      <c r="H15" s="15">
        <v>120.01</v>
      </c>
      <c r="I15" s="15">
        <v>174.92</v>
      </c>
      <c r="J15" s="15">
        <v>146.22</v>
      </c>
      <c r="K15" s="15">
        <v>187.55</v>
      </c>
      <c r="L15" s="15">
        <v>206.23</v>
      </c>
      <c r="M15" s="15">
        <v>229.81</v>
      </c>
      <c r="N15" s="15">
        <v>169.67</v>
      </c>
      <c r="O15" t="s">
        <v>3028</v>
      </c>
    </row>
    <row r="16" spans="1:15" x14ac:dyDescent="0.25">
      <c r="A16" s="10" t="s">
        <v>119</v>
      </c>
      <c r="B16" s="15">
        <v>117.75</v>
      </c>
      <c r="C16" s="15">
        <v>154.63</v>
      </c>
      <c r="D16" s="15">
        <v>109.3</v>
      </c>
      <c r="E16" s="15">
        <v>121.23</v>
      </c>
      <c r="F16" s="15">
        <v>109.77</v>
      </c>
      <c r="G16" s="15">
        <v>118.37</v>
      </c>
      <c r="H16" s="15">
        <v>116.55</v>
      </c>
      <c r="I16" s="15">
        <v>173.77</v>
      </c>
      <c r="J16" s="15">
        <v>119.83</v>
      </c>
      <c r="K16" s="15">
        <v>120.81</v>
      </c>
      <c r="L16" s="15">
        <v>118.48</v>
      </c>
      <c r="M16" s="15">
        <v>120.43</v>
      </c>
      <c r="N16" s="15">
        <v>142.87</v>
      </c>
      <c r="O16" t="s">
        <v>3028</v>
      </c>
    </row>
    <row r="17" spans="1:15" x14ac:dyDescent="0.25">
      <c r="A17" s="10" t="s">
        <v>121</v>
      </c>
      <c r="B17" s="15">
        <v>407.83</v>
      </c>
      <c r="C17" s="15">
        <v>368.59</v>
      </c>
      <c r="D17" s="15">
        <v>366.31</v>
      </c>
      <c r="E17" s="15">
        <v>377.19</v>
      </c>
      <c r="F17" s="15">
        <v>395.68</v>
      </c>
      <c r="G17" s="15">
        <v>869.57</v>
      </c>
      <c r="H17" s="15">
        <v>63.95</v>
      </c>
      <c r="I17" s="15">
        <v>475.74</v>
      </c>
      <c r="J17" s="15">
        <v>478.19</v>
      </c>
      <c r="K17" s="15">
        <v>469.67</v>
      </c>
      <c r="L17" s="15">
        <v>409.45</v>
      </c>
      <c r="M17" s="15">
        <v>489.88</v>
      </c>
      <c r="N17" s="15">
        <v>430.87</v>
      </c>
      <c r="O17" t="s">
        <v>3028</v>
      </c>
    </row>
    <row r="18" spans="1:15" x14ac:dyDescent="0.25">
      <c r="A18" s="10" t="s">
        <v>123</v>
      </c>
      <c r="B18" s="15">
        <v>570.88</v>
      </c>
      <c r="C18" s="15">
        <v>570.88</v>
      </c>
      <c r="D18" s="15">
        <v>570.88</v>
      </c>
      <c r="E18" s="15">
        <v>570.88</v>
      </c>
      <c r="F18" s="15">
        <v>570.88</v>
      </c>
      <c r="G18" s="15">
        <v>570.88</v>
      </c>
      <c r="H18" s="15">
        <v>570.88</v>
      </c>
      <c r="I18" s="15">
        <v>0</v>
      </c>
      <c r="J18" s="15">
        <v>289.55</v>
      </c>
      <c r="K18" s="15">
        <v>0</v>
      </c>
      <c r="L18" s="15">
        <v>0</v>
      </c>
      <c r="M18" s="15">
        <v>0</v>
      </c>
      <c r="N18" s="15">
        <v>623.52</v>
      </c>
      <c r="O18" t="s">
        <v>3028</v>
      </c>
    </row>
    <row r="19" spans="1:15" x14ac:dyDescent="0.25">
      <c r="A19" s="10" t="s">
        <v>125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94.76</v>
      </c>
      <c r="I19" s="15">
        <v>165.46</v>
      </c>
      <c r="J19" s="15">
        <v>155.19999999999999</v>
      </c>
      <c r="K19" s="15">
        <v>144.03</v>
      </c>
      <c r="L19" s="15">
        <v>152.46</v>
      </c>
      <c r="M19" s="15">
        <v>119.3</v>
      </c>
      <c r="N19" s="15">
        <v>64.650000000000006</v>
      </c>
      <c r="O19" t="s">
        <v>3028</v>
      </c>
    </row>
    <row r="20" spans="1:15" x14ac:dyDescent="0.25">
      <c r="A20" s="10" t="s">
        <v>127</v>
      </c>
      <c r="B20" s="15">
        <v>343.55</v>
      </c>
      <c r="C20" s="15">
        <v>320.19</v>
      </c>
      <c r="D20" s="15">
        <v>346.48</v>
      </c>
      <c r="E20" s="15">
        <v>351.03</v>
      </c>
      <c r="F20" s="15">
        <v>294.05</v>
      </c>
      <c r="G20" s="15">
        <v>294.77</v>
      </c>
      <c r="H20" s="15">
        <v>298.44</v>
      </c>
      <c r="I20" s="15">
        <v>506.41</v>
      </c>
      <c r="J20" s="15">
        <v>646.83000000000004</v>
      </c>
      <c r="K20" s="15">
        <v>248</v>
      </c>
      <c r="L20" s="15">
        <v>431.7</v>
      </c>
      <c r="M20" s="15">
        <v>346.16</v>
      </c>
      <c r="N20" s="15">
        <v>384.53</v>
      </c>
      <c r="O20" t="s">
        <v>3028</v>
      </c>
    </row>
    <row r="21" spans="1:15" x14ac:dyDescent="0.25">
      <c r="A21" s="10" t="s">
        <v>129</v>
      </c>
      <c r="B21" s="15">
        <v>177.6</v>
      </c>
      <c r="C21" s="15">
        <v>176.6</v>
      </c>
      <c r="D21" s="15">
        <v>151.26</v>
      </c>
      <c r="E21" s="15">
        <v>168.75</v>
      </c>
      <c r="F21" s="15">
        <v>114.57</v>
      </c>
      <c r="G21" s="15">
        <v>310.61</v>
      </c>
      <c r="H21" s="15">
        <v>165.45</v>
      </c>
      <c r="I21" s="15">
        <v>167.5</v>
      </c>
      <c r="J21" s="15">
        <v>320.2</v>
      </c>
      <c r="K21" s="15">
        <v>338.51</v>
      </c>
      <c r="L21" s="15">
        <v>341.67</v>
      </c>
      <c r="M21" s="15">
        <v>317.52</v>
      </c>
      <c r="N21" s="15">
        <v>293.36</v>
      </c>
      <c r="O21" t="s">
        <v>3028</v>
      </c>
    </row>
    <row r="22" spans="1:15" x14ac:dyDescent="0.25">
      <c r="A22" s="10" t="s">
        <v>131</v>
      </c>
      <c r="B22" s="15">
        <v>225.97</v>
      </c>
      <c r="C22" s="15">
        <v>199.59</v>
      </c>
      <c r="D22" s="15">
        <v>200.72</v>
      </c>
      <c r="E22" s="15">
        <v>337.49</v>
      </c>
      <c r="F22" s="15">
        <v>132.96</v>
      </c>
      <c r="G22" s="15">
        <v>172.4</v>
      </c>
      <c r="H22" s="15">
        <v>175.91</v>
      </c>
      <c r="I22" s="15">
        <v>312.5</v>
      </c>
      <c r="J22" s="15">
        <v>198.39</v>
      </c>
      <c r="K22" s="15">
        <v>221.32</v>
      </c>
      <c r="L22" s="15">
        <v>221.72</v>
      </c>
      <c r="M22" s="15">
        <v>190.8</v>
      </c>
      <c r="N22" s="15">
        <v>209.71</v>
      </c>
      <c r="O22" t="s">
        <v>3028</v>
      </c>
    </row>
    <row r="23" spans="1:15" x14ac:dyDescent="0.25">
      <c r="A23" s="10" t="s">
        <v>133</v>
      </c>
      <c r="B23" s="15">
        <v>194.05</v>
      </c>
      <c r="C23" s="15">
        <v>189.19</v>
      </c>
      <c r="D23" s="15">
        <v>498.37</v>
      </c>
      <c r="E23" s="15">
        <v>28.44</v>
      </c>
      <c r="F23" s="15">
        <v>171.66</v>
      </c>
      <c r="G23" s="15">
        <v>192.1</v>
      </c>
      <c r="H23" s="15">
        <v>191.46</v>
      </c>
      <c r="I23" s="15">
        <v>303.49</v>
      </c>
      <c r="J23" s="15">
        <v>210.43</v>
      </c>
      <c r="K23" s="15">
        <v>197.77</v>
      </c>
      <c r="L23" s="15">
        <v>210.74</v>
      </c>
      <c r="M23" s="15">
        <v>209.75</v>
      </c>
      <c r="N23" s="15">
        <v>210.19</v>
      </c>
      <c r="O23" t="s">
        <v>3028</v>
      </c>
    </row>
    <row r="24" spans="1:15" x14ac:dyDescent="0.25">
      <c r="A24" s="10" t="s">
        <v>135</v>
      </c>
      <c r="B24" s="15">
        <v>181.58</v>
      </c>
      <c r="C24" s="15">
        <v>182.87</v>
      </c>
      <c r="D24" s="15">
        <v>198.28</v>
      </c>
      <c r="E24" s="15">
        <v>187.9</v>
      </c>
      <c r="F24" s="15">
        <v>187.62</v>
      </c>
      <c r="G24" s="15">
        <v>171.84</v>
      </c>
      <c r="H24" s="15">
        <v>204.55</v>
      </c>
      <c r="I24" s="15">
        <v>333.09</v>
      </c>
      <c r="J24" s="15">
        <v>374.08</v>
      </c>
      <c r="K24" s="15">
        <v>157.96</v>
      </c>
      <c r="L24" s="15">
        <v>285.76</v>
      </c>
      <c r="M24" s="15">
        <v>218.9</v>
      </c>
      <c r="N24" s="15">
        <v>209.17</v>
      </c>
      <c r="O24" t="s">
        <v>3028</v>
      </c>
    </row>
    <row r="25" spans="1:15" x14ac:dyDescent="0.25">
      <c r="A25" s="10" t="s">
        <v>137</v>
      </c>
      <c r="B25" s="15">
        <v>570.88</v>
      </c>
      <c r="C25" s="15">
        <v>570.88</v>
      </c>
      <c r="D25" s="15">
        <v>570.88</v>
      </c>
      <c r="E25" s="15">
        <v>570.88</v>
      </c>
      <c r="F25" s="15">
        <v>570.88</v>
      </c>
      <c r="G25" s="15">
        <v>570.88</v>
      </c>
      <c r="H25" s="15">
        <v>570.88</v>
      </c>
      <c r="I25" s="15">
        <v>570.88</v>
      </c>
      <c r="J25" s="15">
        <v>570.88</v>
      </c>
      <c r="K25" s="15">
        <v>570.88</v>
      </c>
      <c r="L25" s="15">
        <v>570.88</v>
      </c>
      <c r="M25" s="15">
        <v>1103.97</v>
      </c>
      <c r="N25" s="15">
        <v>570.88</v>
      </c>
      <c r="O25" t="s">
        <v>3028</v>
      </c>
    </row>
    <row r="26" spans="1:15" x14ac:dyDescent="0.25">
      <c r="A26" s="10" t="s">
        <v>139</v>
      </c>
      <c r="B26" s="15">
        <v>190.38</v>
      </c>
      <c r="C26" s="15">
        <v>315.99</v>
      </c>
      <c r="D26" s="15">
        <v>223.18</v>
      </c>
      <c r="E26" s="15">
        <v>206.4</v>
      </c>
      <c r="F26" s="15">
        <v>210.66</v>
      </c>
      <c r="G26" s="15">
        <v>203.97</v>
      </c>
      <c r="H26" s="15">
        <v>215.64</v>
      </c>
      <c r="I26" s="15">
        <v>335.11</v>
      </c>
      <c r="J26" s="15">
        <v>474.62</v>
      </c>
      <c r="K26" s="15">
        <v>116.17</v>
      </c>
      <c r="L26" s="15">
        <v>311.33</v>
      </c>
      <c r="M26" s="15">
        <v>228.34</v>
      </c>
      <c r="N26" s="15">
        <v>231.77</v>
      </c>
      <c r="O26" t="s">
        <v>3028</v>
      </c>
    </row>
    <row r="27" spans="1:15" x14ac:dyDescent="0.25">
      <c r="A27" s="10" t="s">
        <v>141</v>
      </c>
      <c r="B27" s="15">
        <v>160.80000000000001</v>
      </c>
      <c r="C27" s="15">
        <v>161.29</v>
      </c>
      <c r="D27" s="15">
        <v>161.75</v>
      </c>
      <c r="E27" s="15">
        <v>376.34</v>
      </c>
      <c r="F27" s="15">
        <v>3.17</v>
      </c>
      <c r="G27" s="15">
        <v>153.54</v>
      </c>
      <c r="H27" s="15">
        <v>157.22</v>
      </c>
      <c r="I27" s="15">
        <v>209.56</v>
      </c>
      <c r="J27" s="15">
        <v>570.88</v>
      </c>
      <c r="K27" s="15">
        <v>0</v>
      </c>
      <c r="L27" s="15">
        <v>0</v>
      </c>
      <c r="M27" s="15">
        <v>0</v>
      </c>
      <c r="N27" s="15">
        <v>162.9</v>
      </c>
      <c r="O27" t="s">
        <v>3028</v>
      </c>
    </row>
    <row r="28" spans="1:15" x14ac:dyDescent="0.25">
      <c r="A28" s="10" t="s">
        <v>143</v>
      </c>
      <c r="B28" s="15">
        <v>325.08999999999997</v>
      </c>
      <c r="C28" s="15">
        <v>319.72000000000003</v>
      </c>
      <c r="D28" s="15">
        <v>679.66</v>
      </c>
      <c r="E28" s="15">
        <v>71.7</v>
      </c>
      <c r="F28" s="15">
        <v>168.38</v>
      </c>
      <c r="G28" s="15">
        <v>305.04000000000002</v>
      </c>
      <c r="H28" s="15">
        <v>293.64</v>
      </c>
      <c r="I28" s="15">
        <v>395.39</v>
      </c>
      <c r="J28" s="15">
        <v>319.63</v>
      </c>
      <c r="K28" s="15">
        <v>319.57</v>
      </c>
      <c r="L28" s="15">
        <v>327.3</v>
      </c>
      <c r="M28" s="15">
        <v>324.61</v>
      </c>
      <c r="N28" s="15">
        <v>319.64</v>
      </c>
      <c r="O28" t="s">
        <v>3028</v>
      </c>
    </row>
    <row r="29" spans="1:15" x14ac:dyDescent="0.25">
      <c r="A29" s="10" t="s">
        <v>145</v>
      </c>
      <c r="B29" s="15">
        <v>109.41</v>
      </c>
      <c r="C29" s="15">
        <v>312.02</v>
      </c>
      <c r="D29" s="15">
        <v>351.82</v>
      </c>
      <c r="E29" s="15">
        <v>342.45</v>
      </c>
      <c r="F29" s="15">
        <v>340.42</v>
      </c>
      <c r="G29" s="15">
        <v>333.11</v>
      </c>
      <c r="H29" s="15">
        <v>331.73</v>
      </c>
      <c r="I29" s="15">
        <v>445.66</v>
      </c>
      <c r="J29" s="15">
        <v>375.96</v>
      </c>
      <c r="K29" s="15">
        <v>362.47</v>
      </c>
      <c r="L29" s="15">
        <v>381.54</v>
      </c>
      <c r="M29" s="15">
        <v>854.62</v>
      </c>
      <c r="N29" s="15">
        <v>370.51</v>
      </c>
      <c r="O29" t="s">
        <v>3028</v>
      </c>
    </row>
    <row r="30" spans="1:15" x14ac:dyDescent="0.25">
      <c r="A30" s="10" t="s">
        <v>147</v>
      </c>
      <c r="B30" s="15">
        <v>295.36</v>
      </c>
      <c r="C30" s="15">
        <v>304.31</v>
      </c>
      <c r="D30" s="15">
        <v>361.19</v>
      </c>
      <c r="E30" s="15">
        <v>507.43</v>
      </c>
      <c r="F30" s="15">
        <v>120.93</v>
      </c>
      <c r="G30" s="15">
        <v>299.72000000000003</v>
      </c>
      <c r="H30" s="15">
        <v>352.33</v>
      </c>
      <c r="I30" s="15">
        <v>456.09</v>
      </c>
      <c r="J30" s="15">
        <v>348.31</v>
      </c>
      <c r="K30" s="15">
        <v>224.01</v>
      </c>
      <c r="L30" s="15">
        <v>214.66</v>
      </c>
      <c r="M30" s="15">
        <v>325.14</v>
      </c>
      <c r="N30" s="15">
        <v>331.23</v>
      </c>
      <c r="O30" t="s">
        <v>3028</v>
      </c>
    </row>
    <row r="31" spans="1:15" x14ac:dyDescent="0.25">
      <c r="A31" s="10" t="s">
        <v>149</v>
      </c>
      <c r="B31" s="15">
        <v>210.29</v>
      </c>
      <c r="C31" s="15">
        <v>186.45</v>
      </c>
      <c r="D31" s="15">
        <v>191.78</v>
      </c>
      <c r="E31" s="15">
        <v>369.64</v>
      </c>
      <c r="F31" s="15">
        <v>133.27000000000001</v>
      </c>
      <c r="G31" s="15">
        <v>177.19</v>
      </c>
      <c r="H31" s="15">
        <v>160.55000000000001</v>
      </c>
      <c r="I31" s="15">
        <v>320.95</v>
      </c>
      <c r="J31" s="15">
        <v>192.46</v>
      </c>
      <c r="K31" s="15">
        <v>194.58</v>
      </c>
      <c r="L31" s="15">
        <v>187.84</v>
      </c>
      <c r="M31" s="15">
        <v>195.35</v>
      </c>
      <c r="N31" s="15">
        <v>199.22</v>
      </c>
      <c r="O31" t="s">
        <v>3028</v>
      </c>
    </row>
    <row r="32" spans="1:15" x14ac:dyDescent="0.25">
      <c r="A32" s="10" t="s">
        <v>151</v>
      </c>
      <c r="B32" s="15">
        <v>165.1</v>
      </c>
      <c r="C32" s="15">
        <v>175.18</v>
      </c>
      <c r="D32" s="15">
        <v>161.80000000000001</v>
      </c>
      <c r="E32" s="15">
        <v>316.82</v>
      </c>
      <c r="F32" s="15">
        <v>39.74</v>
      </c>
      <c r="G32" s="15">
        <v>104</v>
      </c>
      <c r="H32" s="15">
        <v>120.71</v>
      </c>
      <c r="I32" s="15">
        <v>401.84</v>
      </c>
      <c r="J32" s="15">
        <v>228.87</v>
      </c>
      <c r="K32" s="15">
        <v>295.12</v>
      </c>
      <c r="L32" s="15">
        <v>314.60000000000002</v>
      </c>
      <c r="M32" s="15">
        <v>320.89999999999998</v>
      </c>
      <c r="N32" s="15">
        <v>233.52</v>
      </c>
      <c r="O32" t="s">
        <v>3028</v>
      </c>
    </row>
    <row r="33" spans="1:15" x14ac:dyDescent="0.25">
      <c r="A33" s="10" t="s">
        <v>153</v>
      </c>
      <c r="B33" s="15">
        <v>109.87</v>
      </c>
      <c r="C33" s="15">
        <v>145.81</v>
      </c>
      <c r="D33" s="15">
        <v>147.58000000000001</v>
      </c>
      <c r="E33" s="15">
        <v>164.45</v>
      </c>
      <c r="F33" s="15">
        <v>158.65</v>
      </c>
      <c r="G33" s="15">
        <v>154.74</v>
      </c>
      <c r="H33" s="15">
        <v>164.79</v>
      </c>
      <c r="I33" s="15">
        <v>212.99</v>
      </c>
      <c r="J33" s="15">
        <v>220.47</v>
      </c>
      <c r="K33" s="15">
        <v>176.49</v>
      </c>
      <c r="L33" s="15">
        <v>177.9</v>
      </c>
      <c r="M33" s="15">
        <v>176.8</v>
      </c>
      <c r="N33" s="15">
        <v>179.67</v>
      </c>
      <c r="O33" t="s">
        <v>3028</v>
      </c>
    </row>
    <row r="34" spans="1:15" x14ac:dyDescent="0.25">
      <c r="A34" s="10" t="s">
        <v>155</v>
      </c>
      <c r="B34" s="15">
        <v>229.78</v>
      </c>
      <c r="C34" s="15">
        <v>339.99</v>
      </c>
      <c r="D34" s="15">
        <v>310.52</v>
      </c>
      <c r="E34" s="15">
        <v>203.44</v>
      </c>
      <c r="F34" s="15">
        <v>298.39999999999998</v>
      </c>
      <c r="G34" s="15">
        <v>310.38</v>
      </c>
      <c r="H34" s="15">
        <v>331.35</v>
      </c>
      <c r="I34" s="15">
        <v>411.88</v>
      </c>
      <c r="J34" s="15">
        <v>346.32</v>
      </c>
      <c r="K34" s="15">
        <v>317.08999999999997</v>
      </c>
      <c r="L34" s="15">
        <v>84.13</v>
      </c>
      <c r="M34" s="15">
        <v>545.25</v>
      </c>
      <c r="N34" s="15">
        <v>307.27999999999997</v>
      </c>
      <c r="O34" t="s">
        <v>3028</v>
      </c>
    </row>
    <row r="35" spans="1:15" x14ac:dyDescent="0.25">
      <c r="A35" s="10" t="s">
        <v>157</v>
      </c>
      <c r="B35" s="15">
        <v>570.88</v>
      </c>
      <c r="C35" s="15">
        <v>570.88</v>
      </c>
      <c r="D35" s="15">
        <v>570.88</v>
      </c>
      <c r="E35" s="15">
        <v>570.88</v>
      </c>
      <c r="F35" s="15">
        <v>570.88</v>
      </c>
      <c r="G35" s="15">
        <v>1141.76</v>
      </c>
      <c r="H35" s="15">
        <v>0</v>
      </c>
      <c r="I35" s="15">
        <v>570.88</v>
      </c>
      <c r="J35" s="15">
        <v>570.88</v>
      </c>
      <c r="K35" s="15">
        <v>570.88</v>
      </c>
      <c r="L35" s="15">
        <v>570.88</v>
      </c>
      <c r="M35" s="15">
        <v>570.88</v>
      </c>
      <c r="N35" s="15">
        <v>570.88</v>
      </c>
      <c r="O35" t="s">
        <v>3028</v>
      </c>
    </row>
    <row r="36" spans="1:15" x14ac:dyDescent="0.25">
      <c r="A36" s="10" t="s">
        <v>159</v>
      </c>
      <c r="B36" s="15">
        <v>339.5</v>
      </c>
      <c r="C36" s="15">
        <v>301.74</v>
      </c>
      <c r="D36" s="15">
        <v>779.15</v>
      </c>
      <c r="E36" s="15">
        <v>97.01</v>
      </c>
      <c r="F36" s="15">
        <v>184.41</v>
      </c>
      <c r="G36" s="15">
        <v>299</v>
      </c>
      <c r="H36" s="15">
        <v>309.5</v>
      </c>
      <c r="I36" s="15">
        <v>411.3</v>
      </c>
      <c r="J36" s="15">
        <v>332.52</v>
      </c>
      <c r="K36" s="15">
        <v>334.06</v>
      </c>
      <c r="L36" s="15">
        <v>335.16</v>
      </c>
      <c r="M36" s="15">
        <v>330.63</v>
      </c>
      <c r="N36" s="15">
        <v>335.64</v>
      </c>
      <c r="O36" t="s">
        <v>3028</v>
      </c>
    </row>
    <row r="37" spans="1:15" x14ac:dyDescent="0.25">
      <c r="A37" s="10" t="s">
        <v>161</v>
      </c>
      <c r="B37" s="15">
        <v>517.71</v>
      </c>
      <c r="C37" s="15">
        <v>522.09</v>
      </c>
      <c r="D37" s="15">
        <v>521.45000000000005</v>
      </c>
      <c r="E37" s="15">
        <v>515.58000000000004</v>
      </c>
      <c r="F37" s="15">
        <v>517.66</v>
      </c>
      <c r="G37" s="15">
        <v>563.29</v>
      </c>
      <c r="H37" s="15">
        <v>517.42999999999995</v>
      </c>
      <c r="I37" s="15">
        <v>663.22</v>
      </c>
      <c r="J37" s="15">
        <v>478.54</v>
      </c>
      <c r="K37" s="15">
        <v>563.51</v>
      </c>
      <c r="L37" s="15">
        <v>570.88</v>
      </c>
      <c r="M37" s="15">
        <v>570.88</v>
      </c>
      <c r="N37" s="15">
        <v>570.88</v>
      </c>
      <c r="O37" t="s">
        <v>3028</v>
      </c>
    </row>
    <row r="38" spans="1:15" x14ac:dyDescent="0.25">
      <c r="A38" s="10" t="s">
        <v>166</v>
      </c>
      <c r="B38" s="15">
        <v>364.71</v>
      </c>
      <c r="C38" s="15">
        <v>369.12</v>
      </c>
      <c r="D38" s="15">
        <v>410.62</v>
      </c>
      <c r="E38" s="15">
        <v>383.69</v>
      </c>
      <c r="F38" s="15">
        <v>358.73</v>
      </c>
      <c r="G38" s="15">
        <v>663.68</v>
      </c>
      <c r="H38" s="15">
        <v>179.54</v>
      </c>
      <c r="I38" s="15">
        <v>481.64</v>
      </c>
      <c r="J38" s="15">
        <v>392.27</v>
      </c>
      <c r="K38" s="15">
        <v>415.54</v>
      </c>
      <c r="L38" s="15">
        <v>397.78</v>
      </c>
      <c r="M38" s="15">
        <v>433.51</v>
      </c>
      <c r="N38" s="15">
        <v>398.75</v>
      </c>
      <c r="O38" t="s">
        <v>3028</v>
      </c>
    </row>
    <row r="39" spans="1:15" x14ac:dyDescent="0.25">
      <c r="A39" s="10" t="s">
        <v>170</v>
      </c>
      <c r="B39" s="15">
        <v>185.93</v>
      </c>
      <c r="C39" s="15">
        <v>202.38</v>
      </c>
      <c r="D39" s="15">
        <v>416.37</v>
      </c>
      <c r="E39" s="15">
        <v>100.85</v>
      </c>
      <c r="F39" s="15">
        <v>100.62</v>
      </c>
      <c r="G39" s="15">
        <v>195.24</v>
      </c>
      <c r="H39" s="15">
        <v>192.56</v>
      </c>
      <c r="I39" s="15">
        <v>335.7</v>
      </c>
      <c r="J39" s="15">
        <v>208.39</v>
      </c>
      <c r="K39" s="15">
        <v>213.21</v>
      </c>
      <c r="L39" s="15">
        <v>202.34</v>
      </c>
      <c r="M39" s="15">
        <v>205.03</v>
      </c>
      <c r="N39" s="15">
        <v>202.3</v>
      </c>
      <c r="O39" t="s">
        <v>3028</v>
      </c>
    </row>
    <row r="40" spans="1:15" x14ac:dyDescent="0.25">
      <c r="A40" s="10" t="s">
        <v>172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570.88</v>
      </c>
      <c r="J40" s="15">
        <v>570.88</v>
      </c>
      <c r="K40" s="15">
        <v>570.88</v>
      </c>
      <c r="L40" s="15">
        <v>570.88</v>
      </c>
      <c r="M40" s="15">
        <v>570.88</v>
      </c>
      <c r="N40" s="15">
        <v>570.88</v>
      </c>
      <c r="O40" t="s">
        <v>3028</v>
      </c>
    </row>
    <row r="41" spans="1:15" x14ac:dyDescent="0.25">
      <c r="A41" s="10" t="s">
        <v>174</v>
      </c>
      <c r="B41" s="15">
        <v>172.89</v>
      </c>
      <c r="C41" s="15">
        <v>210.73</v>
      </c>
      <c r="D41" s="15">
        <v>388.48</v>
      </c>
      <c r="E41" s="15">
        <v>30.8</v>
      </c>
      <c r="F41" s="15">
        <v>162.85</v>
      </c>
      <c r="G41" s="15">
        <v>167.1</v>
      </c>
      <c r="H41" s="15">
        <v>183.14</v>
      </c>
      <c r="I41" s="15">
        <v>312.77</v>
      </c>
      <c r="J41" s="15">
        <v>202</v>
      </c>
      <c r="K41" s="15">
        <v>180.39</v>
      </c>
      <c r="L41" s="15">
        <v>180.08</v>
      </c>
      <c r="M41" s="15">
        <v>197.47</v>
      </c>
      <c r="N41" s="15">
        <v>196.16</v>
      </c>
      <c r="O41" t="s">
        <v>3028</v>
      </c>
    </row>
    <row r="42" spans="1:15" x14ac:dyDescent="0.25">
      <c r="A42" s="10" t="s">
        <v>176</v>
      </c>
      <c r="B42" s="15">
        <v>324.95</v>
      </c>
      <c r="C42" s="15">
        <v>297.17</v>
      </c>
      <c r="D42" s="15">
        <v>296.79000000000002</v>
      </c>
      <c r="E42" s="15">
        <v>707.58</v>
      </c>
      <c r="F42" s="15">
        <v>45.49</v>
      </c>
      <c r="G42" s="15">
        <v>298.79000000000002</v>
      </c>
      <c r="H42" s="15">
        <v>301.16000000000003</v>
      </c>
      <c r="I42" s="15">
        <v>401.96</v>
      </c>
      <c r="J42" s="15">
        <v>326.45</v>
      </c>
      <c r="K42" s="15">
        <v>326.35000000000002</v>
      </c>
      <c r="L42" s="15">
        <v>328.61</v>
      </c>
      <c r="M42" s="15">
        <v>333.85</v>
      </c>
      <c r="N42" s="15">
        <v>327.79</v>
      </c>
      <c r="O42" t="s">
        <v>3028</v>
      </c>
    </row>
    <row r="43" spans="1:15" x14ac:dyDescent="0.25">
      <c r="A43" s="10" t="s">
        <v>178</v>
      </c>
      <c r="B43" s="15">
        <v>216.91</v>
      </c>
      <c r="C43" s="15">
        <v>303.31</v>
      </c>
      <c r="D43" s="15">
        <v>761.4</v>
      </c>
      <c r="E43" s="15">
        <v>214.09</v>
      </c>
      <c r="F43" s="15">
        <v>299.98</v>
      </c>
      <c r="G43" s="15">
        <v>388.81</v>
      </c>
      <c r="H43" s="15">
        <v>420.34</v>
      </c>
      <c r="I43" s="15">
        <v>482.7</v>
      </c>
      <c r="J43" s="15">
        <v>410.65</v>
      </c>
      <c r="K43" s="15">
        <v>412.83</v>
      </c>
      <c r="L43" s="15">
        <v>379.64</v>
      </c>
      <c r="M43" s="15">
        <v>368.35</v>
      </c>
      <c r="N43" s="15">
        <v>409.27</v>
      </c>
      <c r="O43" t="s">
        <v>3028</v>
      </c>
    </row>
    <row r="44" spans="1:15" x14ac:dyDescent="0.25">
      <c r="A44" s="10" t="s">
        <v>180</v>
      </c>
      <c r="B44" s="15">
        <v>158.61000000000001</v>
      </c>
      <c r="C44" s="15">
        <v>147.5</v>
      </c>
      <c r="D44" s="15">
        <v>115.27</v>
      </c>
      <c r="E44" s="15">
        <v>158.46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41.56</v>
      </c>
      <c r="O44" t="s">
        <v>3028</v>
      </c>
    </row>
    <row r="45" spans="1:15" x14ac:dyDescent="0.25">
      <c r="A45" s="10" t="s">
        <v>182</v>
      </c>
      <c r="B45" s="15">
        <v>176</v>
      </c>
      <c r="C45" s="15">
        <v>214.99</v>
      </c>
      <c r="D45" s="15">
        <v>200.27</v>
      </c>
      <c r="E45" s="15">
        <v>166.17</v>
      </c>
      <c r="F45" s="15">
        <v>170.44</v>
      </c>
      <c r="G45" s="15">
        <v>165.39</v>
      </c>
      <c r="H45" s="15">
        <v>167.86</v>
      </c>
      <c r="I45" s="15">
        <v>530.86</v>
      </c>
      <c r="J45" s="15">
        <v>5.44</v>
      </c>
      <c r="K45" s="15">
        <v>177.67</v>
      </c>
      <c r="L45" s="15">
        <v>202.76</v>
      </c>
      <c r="M45" s="15">
        <v>198.24</v>
      </c>
      <c r="N45" s="15">
        <v>194.14</v>
      </c>
      <c r="O45" t="s">
        <v>3028</v>
      </c>
    </row>
    <row r="46" spans="1:15" x14ac:dyDescent="0.25">
      <c r="A46" s="10" t="s">
        <v>184</v>
      </c>
      <c r="B46" s="15">
        <v>570.88</v>
      </c>
      <c r="C46" s="15">
        <v>570.88</v>
      </c>
      <c r="D46" s="15">
        <v>570.88</v>
      </c>
      <c r="E46" s="15">
        <v>570.88</v>
      </c>
      <c r="F46" s="15">
        <v>570.88</v>
      </c>
      <c r="G46" s="15">
        <v>682.35</v>
      </c>
      <c r="H46" s="15">
        <v>459.41</v>
      </c>
      <c r="I46" s="15">
        <v>570.88</v>
      </c>
      <c r="J46" s="15">
        <v>570.88</v>
      </c>
      <c r="K46" s="15">
        <v>570.88</v>
      </c>
      <c r="L46" s="15">
        <v>570.88</v>
      </c>
      <c r="M46" s="15">
        <v>570.88</v>
      </c>
      <c r="N46" s="15">
        <v>570.88</v>
      </c>
      <c r="O46" t="s">
        <v>3028</v>
      </c>
    </row>
    <row r="47" spans="1:15" x14ac:dyDescent="0.25">
      <c r="A47" s="10" t="s">
        <v>186</v>
      </c>
      <c r="B47" s="15">
        <v>397.74</v>
      </c>
      <c r="C47" s="15">
        <v>330.84</v>
      </c>
      <c r="D47" s="15">
        <v>506.23</v>
      </c>
      <c r="E47" s="15">
        <v>315.57</v>
      </c>
      <c r="F47" s="15">
        <v>405.93</v>
      </c>
      <c r="G47" s="15">
        <v>329.85</v>
      </c>
      <c r="H47" s="15">
        <v>362.2</v>
      </c>
      <c r="I47" s="15">
        <v>478.91</v>
      </c>
      <c r="J47" s="15">
        <v>431.7</v>
      </c>
      <c r="K47" s="15">
        <v>438.04</v>
      </c>
      <c r="L47" s="15">
        <v>466.29</v>
      </c>
      <c r="M47" s="15">
        <v>442.93</v>
      </c>
      <c r="N47" s="15">
        <v>410.83</v>
      </c>
      <c r="O47" t="s">
        <v>3028</v>
      </c>
    </row>
    <row r="48" spans="1:15" x14ac:dyDescent="0.25">
      <c r="A48" s="10" t="s">
        <v>188</v>
      </c>
      <c r="B48" s="15">
        <v>322.48</v>
      </c>
      <c r="C48" s="15">
        <v>321.51</v>
      </c>
      <c r="D48" s="15">
        <v>298.7</v>
      </c>
      <c r="E48" s="15">
        <v>319.45999999999998</v>
      </c>
      <c r="F48" s="15">
        <v>227.34</v>
      </c>
      <c r="G48" s="15">
        <v>692.85</v>
      </c>
      <c r="H48" s="15">
        <v>93.16</v>
      </c>
      <c r="I48" s="15">
        <v>350.13</v>
      </c>
      <c r="J48" s="15">
        <v>335.49</v>
      </c>
      <c r="K48" s="15">
        <v>319.42</v>
      </c>
      <c r="L48" s="15">
        <v>318.94</v>
      </c>
      <c r="M48" s="15">
        <v>327.44</v>
      </c>
      <c r="N48" s="15">
        <v>328.39</v>
      </c>
      <c r="O48" t="s">
        <v>3028</v>
      </c>
    </row>
    <row r="49" spans="1:15" x14ac:dyDescent="0.25">
      <c r="A49" s="10" t="s">
        <v>190</v>
      </c>
      <c r="B49" s="15">
        <v>351.54</v>
      </c>
      <c r="C49" s="15">
        <v>313.23</v>
      </c>
      <c r="D49" s="15">
        <v>287.33999999999997</v>
      </c>
      <c r="E49" s="15">
        <v>195.84</v>
      </c>
      <c r="F49" s="15">
        <v>199.26</v>
      </c>
      <c r="G49" s="15">
        <v>200.86</v>
      </c>
      <c r="H49" s="15">
        <v>596.27</v>
      </c>
      <c r="I49" s="15">
        <v>65.040000000000006</v>
      </c>
      <c r="J49" s="15">
        <v>224.42</v>
      </c>
      <c r="K49" s="15">
        <v>209.77</v>
      </c>
      <c r="L49" s="15">
        <v>211.07</v>
      </c>
      <c r="M49" s="15">
        <v>317.43</v>
      </c>
      <c r="N49" s="15">
        <v>286.85000000000002</v>
      </c>
      <c r="O49" t="s">
        <v>3028</v>
      </c>
    </row>
    <row r="50" spans="1:15" x14ac:dyDescent="0.25">
      <c r="A50" s="10" t="s">
        <v>192</v>
      </c>
      <c r="B50" s="15">
        <v>169.86</v>
      </c>
      <c r="C50" s="15">
        <v>172.29</v>
      </c>
      <c r="D50" s="15">
        <v>162.47999999999999</v>
      </c>
      <c r="E50" s="15">
        <v>114.44</v>
      </c>
      <c r="F50" s="15">
        <v>119.37</v>
      </c>
      <c r="G50" s="15">
        <v>290.74</v>
      </c>
      <c r="H50" s="15">
        <v>187.4</v>
      </c>
      <c r="I50" s="15">
        <v>156.19999999999999</v>
      </c>
      <c r="J50" s="15">
        <v>205.18</v>
      </c>
      <c r="K50" s="15">
        <v>302.63</v>
      </c>
      <c r="L50" s="15">
        <v>312.41000000000003</v>
      </c>
      <c r="M50" s="15">
        <v>221.92</v>
      </c>
      <c r="N50" s="15">
        <v>222.72</v>
      </c>
      <c r="O50" t="s">
        <v>3028</v>
      </c>
    </row>
    <row r="51" spans="1:15" x14ac:dyDescent="0.25">
      <c r="A51" s="10" t="s">
        <v>194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100.21</v>
      </c>
      <c r="K51" s="15">
        <v>160.77000000000001</v>
      </c>
      <c r="L51" s="15">
        <v>162.77000000000001</v>
      </c>
      <c r="M51" s="15">
        <v>161.94999999999999</v>
      </c>
      <c r="N51" s="15">
        <v>45.6</v>
      </c>
      <c r="O51" t="s">
        <v>3028</v>
      </c>
    </row>
    <row r="52" spans="1:15" x14ac:dyDescent="0.25">
      <c r="A52" s="10" t="s">
        <v>196</v>
      </c>
      <c r="B52" s="15">
        <v>108.02</v>
      </c>
      <c r="C52" s="15">
        <v>118.11</v>
      </c>
      <c r="D52" s="15">
        <v>141.28</v>
      </c>
      <c r="E52" s="15">
        <v>112.59</v>
      </c>
      <c r="F52" s="15">
        <v>109.65</v>
      </c>
      <c r="G52" s="15">
        <v>116.93</v>
      </c>
      <c r="H52" s="15">
        <v>110.4</v>
      </c>
      <c r="I52" s="15">
        <v>159.71</v>
      </c>
      <c r="J52" s="15">
        <v>119.28</v>
      </c>
      <c r="K52" s="15">
        <v>119.86</v>
      </c>
      <c r="L52" s="15">
        <v>293.97000000000003</v>
      </c>
      <c r="M52" s="15">
        <v>191.52</v>
      </c>
      <c r="N52" s="15">
        <v>187.84</v>
      </c>
      <c r="O52" t="s">
        <v>3028</v>
      </c>
    </row>
    <row r="53" spans="1:15" x14ac:dyDescent="0.25">
      <c r="A53" s="10" t="s">
        <v>198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77.08</v>
      </c>
      <c r="M53" s="15">
        <v>116.02</v>
      </c>
      <c r="N53" s="15">
        <v>19.3</v>
      </c>
      <c r="O53" t="s">
        <v>3028</v>
      </c>
    </row>
    <row r="54" spans="1:15" x14ac:dyDescent="0.25">
      <c r="A54" s="10" t="s">
        <v>200</v>
      </c>
      <c r="B54" s="15">
        <v>477.95</v>
      </c>
      <c r="C54" s="15">
        <v>462.59</v>
      </c>
      <c r="D54" s="15">
        <v>196.31</v>
      </c>
      <c r="E54" s="15">
        <v>470.27</v>
      </c>
      <c r="F54" s="15">
        <v>477.95</v>
      </c>
      <c r="G54" s="15">
        <v>461.41</v>
      </c>
      <c r="H54" s="15">
        <v>778.9</v>
      </c>
      <c r="I54" s="15">
        <v>279.85000000000002</v>
      </c>
      <c r="J54" s="15">
        <v>215.58</v>
      </c>
      <c r="K54" s="15">
        <v>524.88</v>
      </c>
      <c r="L54" s="15">
        <v>368.89</v>
      </c>
      <c r="M54" s="15">
        <v>505.52</v>
      </c>
      <c r="N54" s="15">
        <v>470.23</v>
      </c>
      <c r="O54" t="s">
        <v>3028</v>
      </c>
    </row>
    <row r="55" spans="1:15" x14ac:dyDescent="0.25">
      <c r="A55" s="10" t="s">
        <v>202</v>
      </c>
      <c r="B55" s="15">
        <v>344.94</v>
      </c>
      <c r="C55" s="15">
        <v>309.41000000000003</v>
      </c>
      <c r="D55" s="15">
        <v>230.38</v>
      </c>
      <c r="E55" s="15">
        <v>320.55</v>
      </c>
      <c r="F55" s="15">
        <v>306.88</v>
      </c>
      <c r="G55" s="15">
        <v>232.77</v>
      </c>
      <c r="H55" s="15">
        <v>344.17</v>
      </c>
      <c r="I55" s="15">
        <v>397.7</v>
      </c>
      <c r="J55" s="15">
        <v>817.19</v>
      </c>
      <c r="K55" s="15">
        <v>117.48</v>
      </c>
      <c r="L55" s="15">
        <v>213.5</v>
      </c>
      <c r="M55" s="15">
        <v>322.3</v>
      </c>
      <c r="N55" s="15">
        <v>338.93</v>
      </c>
      <c r="O55" t="s">
        <v>3028</v>
      </c>
    </row>
    <row r="56" spans="1:15" x14ac:dyDescent="0.25">
      <c r="A56" s="10" t="s">
        <v>204</v>
      </c>
      <c r="B56" s="15">
        <v>347.9</v>
      </c>
      <c r="C56" s="15">
        <v>360.52</v>
      </c>
      <c r="D56" s="15">
        <v>383.45</v>
      </c>
      <c r="E56" s="15">
        <v>369.96</v>
      </c>
      <c r="F56" s="15">
        <v>341.92</v>
      </c>
      <c r="G56" s="15">
        <v>342.97</v>
      </c>
      <c r="H56" s="15">
        <v>348.17</v>
      </c>
      <c r="I56" s="15">
        <v>643.47</v>
      </c>
      <c r="J56" s="15">
        <v>240.02</v>
      </c>
      <c r="K56" s="15">
        <v>380.88</v>
      </c>
      <c r="L56" s="15">
        <v>382.25</v>
      </c>
      <c r="M56" s="15">
        <v>383.44</v>
      </c>
      <c r="N56" s="15">
        <v>380.09</v>
      </c>
      <c r="O56" t="s">
        <v>3028</v>
      </c>
    </row>
    <row r="57" spans="1:15" x14ac:dyDescent="0.25">
      <c r="A57" s="10" t="s">
        <v>206</v>
      </c>
      <c r="B57" s="15">
        <v>0</v>
      </c>
      <c r="C57" s="15">
        <v>0</v>
      </c>
      <c r="D57" s="15">
        <v>0</v>
      </c>
      <c r="E57" s="15">
        <v>0</v>
      </c>
      <c r="F57" s="15">
        <v>570.88</v>
      </c>
      <c r="G57" s="15">
        <v>570.88</v>
      </c>
      <c r="H57" s="15">
        <v>570.88</v>
      </c>
      <c r="I57" s="15">
        <v>570.88</v>
      </c>
      <c r="J57" s="15">
        <v>570.88</v>
      </c>
      <c r="K57" s="15">
        <v>570.88</v>
      </c>
      <c r="L57" s="15">
        <v>570.88</v>
      </c>
      <c r="M57" s="15">
        <v>570.88</v>
      </c>
      <c r="N57" s="15">
        <v>570.88</v>
      </c>
      <c r="O57" t="s">
        <v>3028</v>
      </c>
    </row>
    <row r="58" spans="1:15" x14ac:dyDescent="0.25">
      <c r="A58" s="10" t="s">
        <v>208</v>
      </c>
      <c r="B58" s="15">
        <v>496.66</v>
      </c>
      <c r="C58" s="15">
        <v>496.94</v>
      </c>
      <c r="D58" s="15">
        <v>559.02</v>
      </c>
      <c r="E58" s="15">
        <v>495.81</v>
      </c>
      <c r="F58" s="15">
        <v>498.52</v>
      </c>
      <c r="G58" s="15">
        <v>570.88</v>
      </c>
      <c r="H58" s="15">
        <v>0</v>
      </c>
      <c r="I58" s="15">
        <v>0</v>
      </c>
      <c r="J58" s="15">
        <v>115.08</v>
      </c>
      <c r="K58" s="15">
        <v>0</v>
      </c>
      <c r="L58" s="15">
        <v>0</v>
      </c>
      <c r="M58" s="15">
        <v>0</v>
      </c>
      <c r="N58" s="15">
        <v>362.21</v>
      </c>
      <c r="O58" t="s">
        <v>3028</v>
      </c>
    </row>
    <row r="59" spans="1:15" x14ac:dyDescent="0.25">
      <c r="A59" s="10" t="s">
        <v>210</v>
      </c>
      <c r="B59" s="15">
        <v>172.57</v>
      </c>
      <c r="C59" s="15">
        <v>146.22</v>
      </c>
      <c r="D59" s="15">
        <v>120.61</v>
      </c>
      <c r="E59" s="15">
        <v>144.71</v>
      </c>
      <c r="F59" s="15">
        <v>110.92</v>
      </c>
      <c r="G59" s="15">
        <v>118.91</v>
      </c>
      <c r="H59" s="15">
        <v>121.83</v>
      </c>
      <c r="I59" s="15">
        <v>186.92</v>
      </c>
      <c r="J59" s="15">
        <v>183.04</v>
      </c>
      <c r="K59" s="15">
        <v>163.92</v>
      </c>
      <c r="L59" s="15">
        <v>182.26</v>
      </c>
      <c r="M59" s="15">
        <v>166.62</v>
      </c>
      <c r="N59" s="15">
        <v>159.22</v>
      </c>
      <c r="O59" t="s">
        <v>3028</v>
      </c>
    </row>
    <row r="60" spans="1:15" x14ac:dyDescent="0.25">
      <c r="A60" s="10" t="s">
        <v>212</v>
      </c>
      <c r="B60" s="15">
        <v>166.18</v>
      </c>
      <c r="C60" s="15">
        <v>183.86</v>
      </c>
      <c r="D60" s="15">
        <v>434.37</v>
      </c>
      <c r="E60" s="15">
        <v>104.79</v>
      </c>
      <c r="F60" s="15">
        <v>156.59</v>
      </c>
      <c r="G60" s="15">
        <v>168.84</v>
      </c>
      <c r="H60" s="15">
        <v>174.8</v>
      </c>
      <c r="I60" s="15">
        <v>184.97</v>
      </c>
      <c r="J60" s="15">
        <v>178.23</v>
      </c>
      <c r="K60" s="15">
        <v>215.86</v>
      </c>
      <c r="L60" s="15">
        <v>200.68</v>
      </c>
      <c r="M60" s="15">
        <v>194.14</v>
      </c>
      <c r="N60" s="15">
        <v>198.05</v>
      </c>
      <c r="O60" t="s">
        <v>3028</v>
      </c>
    </row>
    <row r="61" spans="1:15" x14ac:dyDescent="0.25">
      <c r="A61" s="10" t="s">
        <v>214</v>
      </c>
      <c r="B61" s="15">
        <v>0</v>
      </c>
      <c r="C61" s="15">
        <v>0</v>
      </c>
      <c r="D61" s="15">
        <v>101.77</v>
      </c>
      <c r="E61" s="15">
        <v>105.6</v>
      </c>
      <c r="F61" s="15">
        <v>115.67</v>
      </c>
      <c r="G61" s="15">
        <v>140.52000000000001</v>
      </c>
      <c r="H61" s="15">
        <v>145.16</v>
      </c>
      <c r="I61" s="15">
        <v>168.26</v>
      </c>
      <c r="J61" s="15">
        <v>120.29</v>
      </c>
      <c r="K61" s="15">
        <v>163.74</v>
      </c>
      <c r="L61" s="15">
        <v>116.4</v>
      </c>
      <c r="M61" s="15">
        <v>122.57</v>
      </c>
      <c r="N61" s="15">
        <v>105.92</v>
      </c>
      <c r="O61" t="s">
        <v>3028</v>
      </c>
    </row>
    <row r="62" spans="1:15" x14ac:dyDescent="0.25">
      <c r="A62" s="10" t="s">
        <v>216</v>
      </c>
      <c r="B62" s="15">
        <v>173.99</v>
      </c>
      <c r="C62" s="15">
        <v>177.1</v>
      </c>
      <c r="D62" s="15">
        <v>145.1</v>
      </c>
      <c r="E62" s="15">
        <v>121.17</v>
      </c>
      <c r="F62" s="15">
        <v>110.85</v>
      </c>
      <c r="G62" s="15">
        <v>228.85</v>
      </c>
      <c r="H62" s="15">
        <v>151.13999999999999</v>
      </c>
      <c r="I62" s="15">
        <v>220.59</v>
      </c>
      <c r="J62" s="15">
        <v>194.16</v>
      </c>
      <c r="K62" s="15">
        <v>222.19</v>
      </c>
      <c r="L62" s="15">
        <v>201.3</v>
      </c>
      <c r="M62" s="15">
        <v>286.02999999999997</v>
      </c>
      <c r="N62" s="15">
        <v>218.49</v>
      </c>
      <c r="O62" t="s">
        <v>3028</v>
      </c>
    </row>
    <row r="63" spans="1:15" x14ac:dyDescent="0.25">
      <c r="A63" s="10" t="s">
        <v>218</v>
      </c>
      <c r="B63" s="15">
        <v>303.45999999999998</v>
      </c>
      <c r="C63" s="15">
        <v>303.45999999999998</v>
      </c>
      <c r="D63" s="15">
        <v>303.45999999999998</v>
      </c>
      <c r="E63" s="15">
        <v>303.45999999999998</v>
      </c>
      <c r="F63" s="15">
        <v>365.95</v>
      </c>
      <c r="G63" s="15">
        <v>365.95</v>
      </c>
      <c r="H63" s="15">
        <v>365.95</v>
      </c>
      <c r="I63" s="15">
        <v>473.76</v>
      </c>
      <c r="J63" s="15">
        <v>401.89</v>
      </c>
      <c r="K63" s="15">
        <v>647.48</v>
      </c>
      <c r="L63" s="15">
        <v>290.25</v>
      </c>
      <c r="M63" s="15">
        <v>401.89</v>
      </c>
      <c r="N63" s="15">
        <v>401.89</v>
      </c>
      <c r="O63" t="s">
        <v>3028</v>
      </c>
    </row>
    <row r="64" spans="1:15" x14ac:dyDescent="0.25">
      <c r="A64" s="10" t="s">
        <v>222</v>
      </c>
      <c r="B64" s="15">
        <v>0</v>
      </c>
      <c r="C64" s="15">
        <v>0</v>
      </c>
      <c r="D64" s="15">
        <v>0</v>
      </c>
      <c r="E64" s="15">
        <v>59.66</v>
      </c>
      <c r="F64" s="15">
        <v>107.84</v>
      </c>
      <c r="G64" s="15">
        <v>119</v>
      </c>
      <c r="H64" s="15">
        <v>109.36</v>
      </c>
      <c r="I64" s="15">
        <v>172.99</v>
      </c>
      <c r="J64" s="15">
        <v>119.3</v>
      </c>
      <c r="K64" s="15">
        <v>120.21</v>
      </c>
      <c r="L64" s="15">
        <v>119.07</v>
      </c>
      <c r="M64" s="15">
        <v>146.79</v>
      </c>
      <c r="N64" s="15">
        <v>92.4</v>
      </c>
      <c r="O64" t="s">
        <v>3028</v>
      </c>
    </row>
    <row r="65" spans="1:15" x14ac:dyDescent="0.25">
      <c r="A65" s="10" t="s">
        <v>224</v>
      </c>
      <c r="B65" s="15">
        <v>154.63999999999999</v>
      </c>
      <c r="C65" s="15">
        <v>183.95</v>
      </c>
      <c r="D65" s="15">
        <v>118</v>
      </c>
      <c r="E65" s="15">
        <v>169.1</v>
      </c>
      <c r="F65" s="15">
        <v>155.85</v>
      </c>
      <c r="G65" s="15">
        <v>214.13</v>
      </c>
      <c r="H65" s="15">
        <v>152.30000000000001</v>
      </c>
      <c r="I65" s="15">
        <v>298.73</v>
      </c>
      <c r="J65" s="15">
        <v>193.45</v>
      </c>
      <c r="K65" s="15">
        <v>324.44</v>
      </c>
      <c r="L65" s="15">
        <v>232.81</v>
      </c>
      <c r="M65" s="15">
        <v>347.49</v>
      </c>
      <c r="N65" s="15">
        <v>286.51</v>
      </c>
      <c r="O65" t="s">
        <v>3028</v>
      </c>
    </row>
    <row r="66" spans="1:15" x14ac:dyDescent="0.25">
      <c r="A66" s="10" t="s">
        <v>226</v>
      </c>
      <c r="B66" s="15">
        <v>168.54</v>
      </c>
      <c r="C66" s="15">
        <v>178.01</v>
      </c>
      <c r="D66" s="15">
        <v>179.68</v>
      </c>
      <c r="E66" s="15">
        <v>209.26</v>
      </c>
      <c r="F66" s="15">
        <v>210.33</v>
      </c>
      <c r="G66" s="15">
        <v>212.74</v>
      </c>
      <c r="H66" s="15">
        <v>368.3</v>
      </c>
      <c r="I66" s="15">
        <v>235.87</v>
      </c>
      <c r="J66" s="15">
        <v>285.58</v>
      </c>
      <c r="K66" s="15">
        <v>227.2</v>
      </c>
      <c r="L66" s="15">
        <v>225.31</v>
      </c>
      <c r="M66" s="15">
        <v>288.31</v>
      </c>
      <c r="N66" s="15">
        <v>216.48</v>
      </c>
      <c r="O66" t="s">
        <v>3028</v>
      </c>
    </row>
    <row r="67" spans="1:15" x14ac:dyDescent="0.25">
      <c r="A67" s="10" t="s">
        <v>228</v>
      </c>
      <c r="B67" s="15">
        <v>570.88</v>
      </c>
      <c r="C67" s="15">
        <v>570.88</v>
      </c>
      <c r="D67" s="15">
        <v>570.88</v>
      </c>
      <c r="E67" s="15">
        <v>570.88</v>
      </c>
      <c r="F67" s="15">
        <v>570.88</v>
      </c>
      <c r="G67" s="15">
        <v>570.88</v>
      </c>
      <c r="H67" s="15">
        <v>570.88</v>
      </c>
      <c r="I67" s="15">
        <v>570.88</v>
      </c>
      <c r="J67" s="15">
        <v>570.88</v>
      </c>
      <c r="K67" s="15">
        <v>570.88</v>
      </c>
      <c r="L67" s="15">
        <v>570.88</v>
      </c>
      <c r="M67" s="15">
        <v>570.88</v>
      </c>
      <c r="N67" s="15">
        <v>570.88</v>
      </c>
      <c r="O67" t="s">
        <v>3028</v>
      </c>
    </row>
    <row r="68" spans="1:15" x14ac:dyDescent="0.25">
      <c r="A68" s="10" t="s">
        <v>230</v>
      </c>
      <c r="B68" s="15">
        <v>105.78</v>
      </c>
      <c r="C68" s="15">
        <v>107.96</v>
      </c>
      <c r="D68" s="15">
        <v>108.57</v>
      </c>
      <c r="E68" s="15">
        <v>205.99</v>
      </c>
      <c r="F68" s="15">
        <v>58.38</v>
      </c>
      <c r="G68" s="15">
        <v>107.38</v>
      </c>
      <c r="H68" s="15">
        <v>162.86000000000001</v>
      </c>
      <c r="I68" s="15">
        <v>223.42</v>
      </c>
      <c r="J68" s="15">
        <v>178.83</v>
      </c>
      <c r="K68" s="15">
        <v>178.12</v>
      </c>
      <c r="L68" s="15">
        <v>178.25</v>
      </c>
      <c r="M68" s="15">
        <v>179.06</v>
      </c>
      <c r="N68" s="15">
        <v>180.44</v>
      </c>
      <c r="O68" t="s">
        <v>3028</v>
      </c>
    </row>
    <row r="69" spans="1:15" x14ac:dyDescent="0.25">
      <c r="A69" s="10" t="s">
        <v>232</v>
      </c>
      <c r="B69" s="15">
        <v>294.67</v>
      </c>
      <c r="C69" s="15">
        <v>232.18</v>
      </c>
      <c r="D69" s="15">
        <v>296.89999999999998</v>
      </c>
      <c r="E69" s="15">
        <v>310.11</v>
      </c>
      <c r="F69" s="15">
        <v>526.01</v>
      </c>
      <c r="G69" s="15">
        <v>144.27000000000001</v>
      </c>
      <c r="H69" s="15">
        <v>364.93</v>
      </c>
      <c r="I69" s="15">
        <v>395.06</v>
      </c>
      <c r="J69" s="15">
        <v>316.55</v>
      </c>
      <c r="K69" s="15">
        <v>344</v>
      </c>
      <c r="L69" s="15">
        <v>389.05</v>
      </c>
      <c r="M69" s="15">
        <v>354.21</v>
      </c>
      <c r="N69" s="15">
        <v>333.21</v>
      </c>
      <c r="O69" t="s">
        <v>3028</v>
      </c>
    </row>
    <row r="70" spans="1:15" x14ac:dyDescent="0.25">
      <c r="A70" s="10" t="s">
        <v>234</v>
      </c>
      <c r="B70" s="15">
        <v>228.98</v>
      </c>
      <c r="C70" s="15">
        <v>232.76</v>
      </c>
      <c r="D70" s="15">
        <v>233.06</v>
      </c>
      <c r="E70" s="15">
        <v>192.86</v>
      </c>
      <c r="F70" s="15">
        <v>194.77</v>
      </c>
      <c r="G70" s="15">
        <v>209</v>
      </c>
      <c r="H70" s="15">
        <v>191.34</v>
      </c>
      <c r="I70" s="15">
        <v>505.76</v>
      </c>
      <c r="J70" s="15">
        <v>163.99</v>
      </c>
      <c r="K70" s="15">
        <v>334.81</v>
      </c>
      <c r="L70" s="15">
        <v>226.14</v>
      </c>
      <c r="M70" s="15">
        <v>302.05</v>
      </c>
      <c r="N70" s="15">
        <v>288.43</v>
      </c>
      <c r="O70" t="s">
        <v>3028</v>
      </c>
    </row>
    <row r="71" spans="1:15" x14ac:dyDescent="0.25">
      <c r="A71" s="10" t="s">
        <v>236</v>
      </c>
      <c r="B71" s="15">
        <v>226.13</v>
      </c>
      <c r="C71" s="15">
        <v>297.49</v>
      </c>
      <c r="D71" s="15">
        <v>229.04</v>
      </c>
      <c r="E71" s="15">
        <v>286.63</v>
      </c>
      <c r="F71" s="15">
        <v>194.58</v>
      </c>
      <c r="G71" s="15">
        <v>424.63</v>
      </c>
      <c r="H71" s="15">
        <v>160.97</v>
      </c>
      <c r="I71" s="15">
        <v>345.22</v>
      </c>
      <c r="J71" s="15">
        <v>226.44</v>
      </c>
      <c r="K71" s="15">
        <v>286.25</v>
      </c>
      <c r="L71" s="15">
        <v>536.79999999999995</v>
      </c>
      <c r="M71" s="15">
        <v>0</v>
      </c>
      <c r="N71" s="15">
        <v>287.22000000000003</v>
      </c>
      <c r="O71" t="s">
        <v>3028</v>
      </c>
    </row>
    <row r="72" spans="1:15" x14ac:dyDescent="0.25">
      <c r="A72" s="10" t="s">
        <v>238</v>
      </c>
      <c r="B72" s="15">
        <v>570.88</v>
      </c>
      <c r="C72" s="15">
        <v>570.88</v>
      </c>
      <c r="D72" s="15">
        <v>570.88</v>
      </c>
      <c r="E72" s="15">
        <v>570.88</v>
      </c>
      <c r="F72" s="15">
        <v>570.88</v>
      </c>
      <c r="G72" s="15">
        <v>570.88</v>
      </c>
      <c r="H72" s="15">
        <v>570.88</v>
      </c>
      <c r="I72" s="15">
        <v>570.88</v>
      </c>
      <c r="J72" s="15">
        <v>570.88</v>
      </c>
      <c r="K72" s="15">
        <v>570.88</v>
      </c>
      <c r="L72" s="15">
        <v>570.88</v>
      </c>
      <c r="M72" s="15">
        <v>570.88</v>
      </c>
      <c r="N72" s="15">
        <v>570.88</v>
      </c>
      <c r="O72" t="s">
        <v>3028</v>
      </c>
    </row>
    <row r="73" spans="1:15" x14ac:dyDescent="0.25">
      <c r="A73" s="10" t="s">
        <v>240</v>
      </c>
      <c r="B73" s="15">
        <v>185.18</v>
      </c>
      <c r="C73" s="15">
        <v>198.6</v>
      </c>
      <c r="D73" s="15">
        <v>184.22</v>
      </c>
      <c r="E73" s="15">
        <v>190.06</v>
      </c>
      <c r="F73" s="15">
        <v>185.19</v>
      </c>
      <c r="G73" s="15">
        <v>362.72</v>
      </c>
      <c r="H73" s="15">
        <v>153.87</v>
      </c>
      <c r="I73" s="15">
        <v>317.02</v>
      </c>
      <c r="J73" s="15">
        <v>215.36</v>
      </c>
      <c r="K73" s="15">
        <v>287.45</v>
      </c>
      <c r="L73" s="15">
        <v>198.97</v>
      </c>
      <c r="M73" s="15">
        <v>221.81</v>
      </c>
      <c r="N73" s="15">
        <v>209.72</v>
      </c>
      <c r="O73" t="s">
        <v>3028</v>
      </c>
    </row>
    <row r="74" spans="1:15" x14ac:dyDescent="0.25">
      <c r="A74" s="10" t="s">
        <v>242</v>
      </c>
      <c r="B74" s="15">
        <v>169.75</v>
      </c>
      <c r="C74" s="15">
        <v>165.65</v>
      </c>
      <c r="D74" s="15">
        <v>359.16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49.45</v>
      </c>
      <c r="O74" t="s">
        <v>3028</v>
      </c>
    </row>
    <row r="75" spans="1:15" x14ac:dyDescent="0.25">
      <c r="A75" s="10" t="s">
        <v>244</v>
      </c>
      <c r="B75" s="15">
        <v>214.79</v>
      </c>
      <c r="C75" s="15">
        <v>210.66</v>
      </c>
      <c r="D75" s="15">
        <v>180.36</v>
      </c>
      <c r="E75" s="15">
        <v>549.72</v>
      </c>
      <c r="F75" s="15">
        <v>7.01</v>
      </c>
      <c r="G75" s="15">
        <v>161.54</v>
      </c>
      <c r="H75" s="15">
        <v>166.26</v>
      </c>
      <c r="I75" s="15">
        <v>213.82</v>
      </c>
      <c r="J75" s="15">
        <v>179.54</v>
      </c>
      <c r="K75" s="15">
        <v>179.43</v>
      </c>
      <c r="L75" s="15">
        <v>196.55</v>
      </c>
      <c r="M75" s="15">
        <v>179.15</v>
      </c>
      <c r="N75" s="15">
        <v>192.04</v>
      </c>
      <c r="O75" t="s">
        <v>3028</v>
      </c>
    </row>
    <row r="76" spans="1:15" x14ac:dyDescent="0.25">
      <c r="A76" s="10" t="s">
        <v>246</v>
      </c>
      <c r="B76" s="15">
        <v>570.88</v>
      </c>
      <c r="C76" s="15">
        <v>570.88</v>
      </c>
      <c r="D76" s="15">
        <v>570.88</v>
      </c>
      <c r="E76" s="15">
        <v>570.88</v>
      </c>
      <c r="F76" s="15">
        <v>570.88</v>
      </c>
      <c r="G76" s="15">
        <v>570.88</v>
      </c>
      <c r="H76" s="15">
        <v>570.88</v>
      </c>
      <c r="I76" s="15">
        <v>570.88</v>
      </c>
      <c r="J76" s="15">
        <v>570.88</v>
      </c>
      <c r="K76" s="15">
        <v>570.88</v>
      </c>
      <c r="L76" s="15">
        <v>570.88</v>
      </c>
      <c r="M76" s="15">
        <v>570.88</v>
      </c>
      <c r="N76" s="15">
        <v>570.88</v>
      </c>
      <c r="O76" t="s">
        <v>3028</v>
      </c>
    </row>
    <row r="77" spans="1:15" x14ac:dyDescent="0.25">
      <c r="A77" s="10" t="s">
        <v>248</v>
      </c>
      <c r="B77" s="15">
        <v>121.68</v>
      </c>
      <c r="C77" s="15">
        <v>108.48</v>
      </c>
      <c r="D77" s="15">
        <v>105.46</v>
      </c>
      <c r="E77" s="15">
        <v>107.79</v>
      </c>
      <c r="F77" s="15">
        <v>108.3</v>
      </c>
      <c r="G77" s="15">
        <v>108.02</v>
      </c>
      <c r="H77" s="15">
        <v>107.15</v>
      </c>
      <c r="I77" s="15">
        <v>358.97</v>
      </c>
      <c r="J77" s="15">
        <v>4.68</v>
      </c>
      <c r="K77" s="15">
        <v>112.43</v>
      </c>
      <c r="L77" s="15">
        <v>222.91</v>
      </c>
      <c r="M77" s="15">
        <v>0</v>
      </c>
      <c r="N77" s="15">
        <v>121.27</v>
      </c>
      <c r="O77" t="s">
        <v>3028</v>
      </c>
    </row>
    <row r="78" spans="1:15" x14ac:dyDescent="0.25">
      <c r="A78" s="10" t="s">
        <v>250</v>
      </c>
      <c r="B78" s="15">
        <v>317.14999999999998</v>
      </c>
      <c r="C78" s="15">
        <v>333.39</v>
      </c>
      <c r="D78" s="15">
        <v>303.93</v>
      </c>
      <c r="E78" s="15">
        <v>696.09</v>
      </c>
      <c r="F78" s="15">
        <v>69.73</v>
      </c>
      <c r="G78" s="15">
        <v>287.81</v>
      </c>
      <c r="H78" s="15">
        <v>294.2</v>
      </c>
      <c r="I78" s="15">
        <v>375.45</v>
      </c>
      <c r="J78" s="15">
        <v>321.51</v>
      </c>
      <c r="K78" s="15">
        <v>352.63</v>
      </c>
      <c r="L78" s="15">
        <v>340.22</v>
      </c>
      <c r="M78" s="15">
        <v>343</v>
      </c>
      <c r="N78" s="15">
        <v>331.87</v>
      </c>
      <c r="O78" t="s">
        <v>3028</v>
      </c>
    </row>
    <row r="79" spans="1:15" x14ac:dyDescent="0.25">
      <c r="A79" s="10" t="s">
        <v>252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165.28</v>
      </c>
      <c r="J79" s="15">
        <v>215.58</v>
      </c>
      <c r="K79" s="15">
        <v>570.88</v>
      </c>
      <c r="L79" s="15">
        <v>526.99</v>
      </c>
      <c r="M79" s="15">
        <v>505.52</v>
      </c>
      <c r="N79" s="15">
        <v>166.84</v>
      </c>
      <c r="O79" t="s">
        <v>3028</v>
      </c>
    </row>
    <row r="80" spans="1:15" x14ac:dyDescent="0.25">
      <c r="A80" s="10" t="s">
        <v>254</v>
      </c>
      <c r="B80" s="15">
        <v>193.54</v>
      </c>
      <c r="C80" s="15">
        <v>361.19</v>
      </c>
      <c r="D80" s="15">
        <v>162.4</v>
      </c>
      <c r="E80" s="15">
        <v>191.28</v>
      </c>
      <c r="F80" s="15">
        <v>289.94</v>
      </c>
      <c r="G80" s="15">
        <v>188.68</v>
      </c>
      <c r="H80" s="15">
        <v>190.97</v>
      </c>
      <c r="I80" s="15">
        <v>324.95999999999998</v>
      </c>
      <c r="J80" s="15">
        <v>206.91</v>
      </c>
      <c r="K80" s="15">
        <v>229.7</v>
      </c>
      <c r="L80" s="15">
        <v>230.59</v>
      </c>
      <c r="M80" s="15">
        <v>309.7</v>
      </c>
      <c r="N80" s="15">
        <v>219.1</v>
      </c>
      <c r="O80" t="s">
        <v>3028</v>
      </c>
    </row>
    <row r="81" spans="1:15" x14ac:dyDescent="0.25">
      <c r="A81" s="10" t="s">
        <v>256</v>
      </c>
      <c r="B81" s="15">
        <v>487.66</v>
      </c>
      <c r="C81" s="15">
        <v>438.13</v>
      </c>
      <c r="D81" s="15">
        <v>322.41000000000003</v>
      </c>
      <c r="E81" s="15">
        <v>336.45</v>
      </c>
      <c r="F81" s="15">
        <v>361.02</v>
      </c>
      <c r="G81" s="15">
        <v>533.13</v>
      </c>
      <c r="H81" s="15">
        <v>278.35000000000002</v>
      </c>
      <c r="I81" s="15">
        <v>460.89</v>
      </c>
      <c r="J81" s="15">
        <v>359.4</v>
      </c>
      <c r="K81" s="15">
        <v>401.99</v>
      </c>
      <c r="L81" s="15">
        <v>370.71</v>
      </c>
      <c r="M81" s="15">
        <v>376.87</v>
      </c>
      <c r="N81" s="15">
        <v>392.12</v>
      </c>
      <c r="O81" t="s">
        <v>3028</v>
      </c>
    </row>
    <row r="82" spans="1:15" x14ac:dyDescent="0.25">
      <c r="A82" s="10" t="s">
        <v>258</v>
      </c>
      <c r="B82" s="15">
        <v>0</v>
      </c>
      <c r="C82" s="15">
        <v>0</v>
      </c>
      <c r="D82" s="15">
        <v>0</v>
      </c>
      <c r="E82" s="15">
        <v>0</v>
      </c>
      <c r="F82" s="15">
        <v>304.88</v>
      </c>
      <c r="G82" s="15">
        <v>536.21</v>
      </c>
      <c r="H82" s="15">
        <v>424.86</v>
      </c>
      <c r="I82" s="15">
        <v>570.88</v>
      </c>
      <c r="J82" s="15">
        <v>475.31</v>
      </c>
      <c r="K82" s="15">
        <v>570.88</v>
      </c>
      <c r="L82" s="15">
        <v>570.88</v>
      </c>
      <c r="M82" s="15">
        <v>0</v>
      </c>
      <c r="N82" s="15">
        <v>307.44</v>
      </c>
      <c r="O82" t="s">
        <v>3028</v>
      </c>
    </row>
    <row r="83" spans="1:15" x14ac:dyDescent="0.25">
      <c r="A83" s="10" t="s">
        <v>260</v>
      </c>
      <c r="B83" s="15">
        <v>570.88</v>
      </c>
      <c r="C83" s="15">
        <v>570.88</v>
      </c>
      <c r="D83" s="15">
        <v>570.88</v>
      </c>
      <c r="E83" s="15">
        <v>570.88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  <c r="N83" s="15">
        <v>313.23</v>
      </c>
      <c r="O83" t="s">
        <v>3028</v>
      </c>
    </row>
    <row r="84" spans="1:15" x14ac:dyDescent="0.25">
      <c r="A84" s="10" t="s">
        <v>262</v>
      </c>
      <c r="B84" s="15">
        <v>205.98</v>
      </c>
      <c r="C84" s="15">
        <v>227.28</v>
      </c>
      <c r="D84" s="15">
        <v>231.81</v>
      </c>
      <c r="E84" s="15">
        <v>212.44</v>
      </c>
      <c r="F84" s="15">
        <v>199.57</v>
      </c>
      <c r="G84" s="15">
        <v>194.28</v>
      </c>
      <c r="H84" s="15">
        <v>193.71</v>
      </c>
      <c r="I84" s="15">
        <v>334.06</v>
      </c>
      <c r="J84" s="15">
        <v>339.82</v>
      </c>
      <c r="K84" s="15">
        <v>296.92</v>
      </c>
      <c r="L84" s="15">
        <v>300.12</v>
      </c>
      <c r="M84" s="15">
        <v>324.06</v>
      </c>
      <c r="N84" s="15">
        <v>285.87</v>
      </c>
      <c r="O84" t="s">
        <v>3028</v>
      </c>
    </row>
    <row r="85" spans="1:15" x14ac:dyDescent="0.25">
      <c r="A85" s="10" t="s">
        <v>264</v>
      </c>
      <c r="B85" s="15">
        <v>311.57</v>
      </c>
      <c r="C85" s="15">
        <v>287.38</v>
      </c>
      <c r="D85" s="15">
        <v>668.38</v>
      </c>
      <c r="E85" s="15">
        <v>80.56</v>
      </c>
      <c r="F85" s="15">
        <v>166.57</v>
      </c>
      <c r="G85" s="15">
        <v>162.86000000000001</v>
      </c>
      <c r="H85" s="15">
        <v>390.95</v>
      </c>
      <c r="I85" s="15">
        <v>426.5</v>
      </c>
      <c r="J85" s="15">
        <v>332.34</v>
      </c>
      <c r="K85" s="15">
        <v>334.8</v>
      </c>
      <c r="L85" s="15">
        <v>324.74</v>
      </c>
      <c r="M85" s="15">
        <v>326.75</v>
      </c>
      <c r="N85" s="15">
        <v>320.58999999999997</v>
      </c>
      <c r="O85" t="s">
        <v>3028</v>
      </c>
    </row>
    <row r="86" spans="1:15" x14ac:dyDescent="0.25">
      <c r="A86" s="10" t="s">
        <v>266</v>
      </c>
      <c r="B86" s="15">
        <v>122.63</v>
      </c>
      <c r="C86" s="15">
        <v>151.88</v>
      </c>
      <c r="D86" s="15">
        <v>110.62</v>
      </c>
      <c r="E86" s="15">
        <v>112.15</v>
      </c>
      <c r="F86" s="15">
        <v>110.27</v>
      </c>
      <c r="G86" s="15">
        <v>109.72</v>
      </c>
      <c r="H86" s="15">
        <v>110.46</v>
      </c>
      <c r="I86" s="15">
        <v>169.3</v>
      </c>
      <c r="J86" s="15">
        <v>152.69</v>
      </c>
      <c r="K86" s="15">
        <v>117.32</v>
      </c>
      <c r="L86" s="15">
        <v>151.93</v>
      </c>
      <c r="M86" s="15">
        <v>150.02000000000001</v>
      </c>
      <c r="N86" s="15">
        <v>143.94</v>
      </c>
      <c r="O86" t="s">
        <v>3028</v>
      </c>
    </row>
    <row r="87" spans="1:15" x14ac:dyDescent="0.25">
      <c r="A87" s="10" t="s">
        <v>268</v>
      </c>
      <c r="B87" s="15">
        <v>252</v>
      </c>
      <c r="C87" s="15">
        <v>221.24</v>
      </c>
      <c r="D87" s="15">
        <v>297.89</v>
      </c>
      <c r="E87" s="15">
        <v>220.05</v>
      </c>
      <c r="F87" s="15">
        <v>302.69</v>
      </c>
      <c r="G87" s="15">
        <v>321.95999999999998</v>
      </c>
      <c r="H87" s="15">
        <v>229.51</v>
      </c>
      <c r="I87" s="15">
        <v>219.29</v>
      </c>
      <c r="J87" s="15">
        <v>333.76</v>
      </c>
      <c r="K87" s="15">
        <v>359.96</v>
      </c>
      <c r="L87" s="15">
        <v>632.67999999999995</v>
      </c>
      <c r="M87" s="15">
        <v>248.47</v>
      </c>
      <c r="N87" s="15">
        <v>337.24</v>
      </c>
      <c r="O87" t="s">
        <v>3028</v>
      </c>
    </row>
    <row r="88" spans="1:15" x14ac:dyDescent="0.25">
      <c r="A88" s="10" t="s">
        <v>270</v>
      </c>
      <c r="B88" s="15">
        <v>570.88</v>
      </c>
      <c r="C88" s="15">
        <v>570.88</v>
      </c>
      <c r="D88" s="15">
        <v>570.88</v>
      </c>
      <c r="E88" s="15">
        <v>570.88</v>
      </c>
      <c r="F88" s="15">
        <v>570.88</v>
      </c>
      <c r="G88" s="15">
        <v>570.88</v>
      </c>
      <c r="H88" s="15">
        <v>570.88</v>
      </c>
      <c r="I88" s="15">
        <v>570.88</v>
      </c>
      <c r="J88" s="15">
        <v>570.88</v>
      </c>
      <c r="K88" s="15">
        <v>570.88</v>
      </c>
      <c r="L88" s="15">
        <v>570.88</v>
      </c>
      <c r="M88" s="15">
        <v>570.88</v>
      </c>
      <c r="N88" s="15">
        <v>570.88</v>
      </c>
      <c r="O88" t="s">
        <v>3028</v>
      </c>
    </row>
    <row r="89" spans="1:15" x14ac:dyDescent="0.25">
      <c r="A89" s="10" t="s">
        <v>272</v>
      </c>
      <c r="B89" s="15">
        <v>570.88</v>
      </c>
      <c r="C89" s="15">
        <v>570.88</v>
      </c>
      <c r="D89" s="15">
        <v>570.88</v>
      </c>
      <c r="E89" s="15">
        <v>570.88</v>
      </c>
      <c r="F89" s="15">
        <v>570.88</v>
      </c>
      <c r="G89" s="15">
        <v>570.88</v>
      </c>
      <c r="H89" s="15">
        <v>570.88</v>
      </c>
      <c r="I89" s="15">
        <v>570.88</v>
      </c>
      <c r="J89" s="15">
        <v>570.88</v>
      </c>
      <c r="K89" s="15">
        <v>570.88</v>
      </c>
      <c r="L89" s="15">
        <v>570.88</v>
      </c>
      <c r="M89" s="15">
        <v>818.52</v>
      </c>
      <c r="N89" s="15">
        <v>570.88</v>
      </c>
      <c r="O89" t="s">
        <v>3028</v>
      </c>
    </row>
    <row r="90" spans="1:15" x14ac:dyDescent="0.25">
      <c r="A90" s="10" t="s">
        <v>274</v>
      </c>
      <c r="B90" s="15">
        <v>104.01</v>
      </c>
      <c r="C90" s="15">
        <v>104.12</v>
      </c>
      <c r="D90" s="15">
        <v>261.17</v>
      </c>
      <c r="E90" s="15">
        <v>11.74</v>
      </c>
      <c r="F90" s="15">
        <v>93.64</v>
      </c>
      <c r="G90" s="15">
        <v>104.24</v>
      </c>
      <c r="H90" s="15">
        <v>104.38</v>
      </c>
      <c r="I90" s="15">
        <v>104.07</v>
      </c>
      <c r="J90" s="15">
        <v>106.02</v>
      </c>
      <c r="K90" s="15">
        <v>140.77000000000001</v>
      </c>
      <c r="L90" s="15">
        <v>114.05</v>
      </c>
      <c r="M90" s="15">
        <v>114.18</v>
      </c>
      <c r="N90" s="15">
        <v>114.38</v>
      </c>
      <c r="O90" t="s">
        <v>3028</v>
      </c>
    </row>
    <row r="91" spans="1:15" x14ac:dyDescent="0.25">
      <c r="A91" s="10" t="s">
        <v>276</v>
      </c>
      <c r="B91" s="15">
        <v>0</v>
      </c>
      <c r="C91" s="15">
        <v>0</v>
      </c>
      <c r="D91" s="15">
        <v>148.91999999999999</v>
      </c>
      <c r="E91" s="15">
        <v>190.99</v>
      </c>
      <c r="F91" s="15">
        <v>191.59</v>
      </c>
      <c r="G91" s="15">
        <v>232.3</v>
      </c>
      <c r="H91" s="15">
        <v>194.8</v>
      </c>
      <c r="I91" s="15">
        <v>316.08</v>
      </c>
      <c r="J91" s="15">
        <v>231.5</v>
      </c>
      <c r="K91" s="15">
        <v>208.89</v>
      </c>
      <c r="L91" s="15">
        <v>209.04</v>
      </c>
      <c r="M91" s="15">
        <v>313.95</v>
      </c>
      <c r="N91" s="15">
        <v>184.03</v>
      </c>
      <c r="O91" t="s">
        <v>3028</v>
      </c>
    </row>
    <row r="92" spans="1:15" x14ac:dyDescent="0.25">
      <c r="A92" s="10" t="s">
        <v>278</v>
      </c>
      <c r="B92" s="15">
        <v>570.88</v>
      </c>
      <c r="C92" s="15">
        <v>570.88</v>
      </c>
      <c r="D92" s="15">
        <v>570.88</v>
      </c>
      <c r="E92" s="15">
        <v>570.88</v>
      </c>
      <c r="F92" s="15">
        <v>570.88</v>
      </c>
      <c r="G92" s="15">
        <v>1141.76</v>
      </c>
      <c r="H92" s="15">
        <v>0</v>
      </c>
      <c r="I92" s="15">
        <v>570.88</v>
      </c>
      <c r="J92" s="15">
        <v>570.88</v>
      </c>
      <c r="K92" s="15">
        <v>570.88</v>
      </c>
      <c r="L92" s="15">
        <v>570.88</v>
      </c>
      <c r="M92" s="15">
        <v>570.88</v>
      </c>
      <c r="N92" s="15">
        <v>570.88</v>
      </c>
      <c r="O92" t="s">
        <v>3028</v>
      </c>
    </row>
    <row r="93" spans="1:15" x14ac:dyDescent="0.25">
      <c r="A93" s="10" t="s">
        <v>280</v>
      </c>
      <c r="B93" s="15">
        <v>360.16</v>
      </c>
      <c r="C93" s="15">
        <v>429.87</v>
      </c>
      <c r="D93" s="15">
        <v>311.70999999999998</v>
      </c>
      <c r="E93" s="15">
        <v>310.79000000000002</v>
      </c>
      <c r="F93" s="15">
        <v>224.34</v>
      </c>
      <c r="G93" s="15">
        <v>220.58</v>
      </c>
      <c r="H93" s="15">
        <v>313.23</v>
      </c>
      <c r="I93" s="15">
        <v>335.1</v>
      </c>
      <c r="J93" s="15">
        <v>762.04</v>
      </c>
      <c r="K93" s="15">
        <v>174.11</v>
      </c>
      <c r="L93" s="15">
        <v>287.95999999999998</v>
      </c>
      <c r="M93" s="15">
        <v>463.87</v>
      </c>
      <c r="N93" s="15">
        <v>361.87</v>
      </c>
      <c r="O93" t="s">
        <v>3028</v>
      </c>
    </row>
    <row r="94" spans="1:15" x14ac:dyDescent="0.25">
      <c r="A94" s="10" t="s">
        <v>282</v>
      </c>
      <c r="B94" s="15">
        <v>160.91999999999999</v>
      </c>
      <c r="C94" s="15">
        <v>156.85</v>
      </c>
      <c r="D94" s="15">
        <v>155.46</v>
      </c>
      <c r="E94" s="15">
        <v>152.69999999999999</v>
      </c>
      <c r="F94" s="15">
        <v>157.78</v>
      </c>
      <c r="G94" s="15">
        <v>385.29</v>
      </c>
      <c r="H94" s="15">
        <v>138.02000000000001</v>
      </c>
      <c r="I94" s="15">
        <v>331.65</v>
      </c>
      <c r="J94" s="15">
        <v>227.86</v>
      </c>
      <c r="K94" s="15">
        <v>231.13</v>
      </c>
      <c r="L94" s="15">
        <v>230.73</v>
      </c>
      <c r="M94" s="15">
        <v>229.63</v>
      </c>
      <c r="N94" s="15">
        <v>198.97</v>
      </c>
      <c r="O94" t="s">
        <v>3028</v>
      </c>
    </row>
    <row r="95" spans="1:15" x14ac:dyDescent="0.25">
      <c r="A95" s="10" t="s">
        <v>284</v>
      </c>
      <c r="B95" s="15">
        <v>57.87</v>
      </c>
      <c r="C95" s="15">
        <v>570.88</v>
      </c>
      <c r="D95" s="15">
        <v>570.88</v>
      </c>
      <c r="E95" s="15">
        <v>570.88</v>
      </c>
      <c r="F95" s="15">
        <v>570.88</v>
      </c>
      <c r="G95" s="15">
        <v>570.88</v>
      </c>
      <c r="H95" s="15">
        <v>570.88</v>
      </c>
      <c r="I95" s="15">
        <v>570.88</v>
      </c>
      <c r="J95" s="15">
        <v>570.88</v>
      </c>
      <c r="K95" s="15">
        <v>570.88</v>
      </c>
      <c r="L95" s="15">
        <v>570.88</v>
      </c>
      <c r="M95" s="15">
        <v>570.88</v>
      </c>
      <c r="N95" s="15">
        <v>570.88</v>
      </c>
      <c r="O95" t="s">
        <v>3028</v>
      </c>
    </row>
    <row r="96" spans="1:15" x14ac:dyDescent="0.25">
      <c r="A96" s="10" t="s">
        <v>286</v>
      </c>
      <c r="B96" s="15">
        <v>170.01</v>
      </c>
      <c r="C96" s="15">
        <v>158.88</v>
      </c>
      <c r="D96" s="15">
        <v>181.3</v>
      </c>
      <c r="E96" s="15">
        <v>185.26</v>
      </c>
      <c r="F96" s="15">
        <v>359.08</v>
      </c>
      <c r="G96" s="15">
        <v>26.51</v>
      </c>
      <c r="H96" s="15">
        <v>114.79</v>
      </c>
      <c r="I96" s="15">
        <v>292.5</v>
      </c>
      <c r="J96" s="15">
        <v>176.82</v>
      </c>
      <c r="K96" s="15">
        <v>177.65</v>
      </c>
      <c r="L96" s="15">
        <v>170.32</v>
      </c>
      <c r="M96" s="15">
        <v>200.06</v>
      </c>
      <c r="N96" s="15">
        <v>182.48</v>
      </c>
      <c r="O96" t="s">
        <v>3028</v>
      </c>
    </row>
    <row r="97" spans="1:15" x14ac:dyDescent="0.25">
      <c r="A97" s="10" t="s">
        <v>288</v>
      </c>
      <c r="B97" s="15">
        <v>46.82</v>
      </c>
      <c r="C97" s="15">
        <v>121.24</v>
      </c>
      <c r="D97" s="15">
        <v>121.25</v>
      </c>
      <c r="E97" s="15">
        <v>121.16</v>
      </c>
      <c r="F97" s="15">
        <v>121.16</v>
      </c>
      <c r="G97" s="15">
        <v>121.16</v>
      </c>
      <c r="H97" s="15">
        <v>121.16</v>
      </c>
      <c r="I97" s="15">
        <v>165.99</v>
      </c>
      <c r="J97" s="15">
        <v>226.18</v>
      </c>
      <c r="K97" s="15">
        <v>198.58</v>
      </c>
      <c r="L97" s="15">
        <v>214.54</v>
      </c>
      <c r="M97" s="15">
        <v>365.55</v>
      </c>
      <c r="N97" s="15">
        <v>195.94</v>
      </c>
      <c r="O97" t="s">
        <v>3028</v>
      </c>
    </row>
    <row r="98" spans="1:15" x14ac:dyDescent="0.25">
      <c r="A98" s="10" t="s">
        <v>290</v>
      </c>
      <c r="B98" s="15">
        <v>207.49</v>
      </c>
      <c r="C98" s="15">
        <v>206.12</v>
      </c>
      <c r="D98" s="15">
        <v>559.13</v>
      </c>
      <c r="E98" s="15">
        <v>13.28</v>
      </c>
      <c r="F98" s="15">
        <v>171.63</v>
      </c>
      <c r="G98" s="15">
        <v>208.25</v>
      </c>
      <c r="H98" s="15">
        <v>476.44</v>
      </c>
      <c r="I98" s="15">
        <v>0</v>
      </c>
      <c r="J98" s="15">
        <v>50.75</v>
      </c>
      <c r="K98" s="15">
        <v>0</v>
      </c>
      <c r="L98" s="15">
        <v>0</v>
      </c>
      <c r="M98" s="15">
        <v>0</v>
      </c>
      <c r="N98" s="15">
        <v>128.84</v>
      </c>
      <c r="O98" t="s">
        <v>3028</v>
      </c>
    </row>
    <row r="99" spans="1:15" x14ac:dyDescent="0.25">
      <c r="A99" s="10" t="s">
        <v>292</v>
      </c>
      <c r="B99" s="15">
        <v>298.23</v>
      </c>
      <c r="C99" s="15">
        <v>392.9</v>
      </c>
      <c r="D99" s="15">
        <v>333.68</v>
      </c>
      <c r="E99" s="15">
        <v>655.92</v>
      </c>
      <c r="F99" s="15">
        <v>121.7</v>
      </c>
      <c r="G99" s="15">
        <v>162.61000000000001</v>
      </c>
      <c r="H99" s="15">
        <v>230.11</v>
      </c>
      <c r="I99" s="15">
        <v>300.14</v>
      </c>
      <c r="J99" s="15">
        <v>376.63</v>
      </c>
      <c r="K99" s="15">
        <v>392</v>
      </c>
      <c r="L99" s="15">
        <v>397.71</v>
      </c>
      <c r="M99" s="15">
        <v>434.01</v>
      </c>
      <c r="N99" s="15">
        <v>356.46</v>
      </c>
      <c r="O99" t="s">
        <v>3028</v>
      </c>
    </row>
    <row r="100" spans="1:15" x14ac:dyDescent="0.25">
      <c r="A100" s="10" t="s">
        <v>294</v>
      </c>
      <c r="B100" s="15">
        <v>521.87</v>
      </c>
      <c r="C100" s="15">
        <v>518.94000000000005</v>
      </c>
      <c r="D100" s="15">
        <v>510.87</v>
      </c>
      <c r="E100" s="15">
        <v>510.87</v>
      </c>
      <c r="F100" s="15">
        <v>518.53</v>
      </c>
      <c r="G100" s="15">
        <v>517.55999999999995</v>
      </c>
      <c r="H100" s="15">
        <v>513.1</v>
      </c>
      <c r="I100" s="15">
        <v>1092.17</v>
      </c>
      <c r="J100" s="15">
        <v>49.59</v>
      </c>
      <c r="K100" s="15">
        <v>563.29</v>
      </c>
      <c r="L100" s="15">
        <v>561.04</v>
      </c>
      <c r="M100" s="15">
        <v>564.51</v>
      </c>
      <c r="N100" s="15">
        <v>562.39</v>
      </c>
      <c r="O100" t="s">
        <v>3028</v>
      </c>
    </row>
    <row r="101" spans="1:15" x14ac:dyDescent="0.25">
      <c r="A101" s="10" t="s">
        <v>296</v>
      </c>
      <c r="B101" s="15">
        <v>165.01</v>
      </c>
      <c r="C101" s="15">
        <v>197.31</v>
      </c>
      <c r="D101" s="15">
        <v>570.41999999999996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57.51</v>
      </c>
      <c r="O101" t="s">
        <v>3028</v>
      </c>
    </row>
    <row r="102" spans="1:15" x14ac:dyDescent="0.25">
      <c r="A102" s="10" t="s">
        <v>298</v>
      </c>
      <c r="B102" s="15">
        <v>570.88</v>
      </c>
      <c r="C102" s="15">
        <v>570.88</v>
      </c>
      <c r="D102" s="15">
        <v>570.88</v>
      </c>
      <c r="E102" s="15">
        <v>570.88</v>
      </c>
      <c r="F102" s="15">
        <v>570.88</v>
      </c>
      <c r="G102" s="15">
        <v>513.16</v>
      </c>
      <c r="H102" s="15">
        <v>570.88</v>
      </c>
      <c r="I102" s="15">
        <v>570.88</v>
      </c>
      <c r="J102" s="15">
        <v>570.88</v>
      </c>
      <c r="K102" s="15">
        <v>570.88</v>
      </c>
      <c r="L102" s="15">
        <v>570.88</v>
      </c>
      <c r="M102" s="15">
        <v>570.88</v>
      </c>
      <c r="N102" s="15">
        <v>570.88</v>
      </c>
      <c r="O102" t="s">
        <v>3028</v>
      </c>
    </row>
    <row r="103" spans="1:15" x14ac:dyDescent="0.25">
      <c r="A103" s="10" t="s">
        <v>300</v>
      </c>
      <c r="B103" s="15">
        <v>570.88</v>
      </c>
      <c r="C103" s="15">
        <v>570.88</v>
      </c>
      <c r="D103" s="15">
        <v>570.88</v>
      </c>
      <c r="E103" s="15">
        <v>1141.76</v>
      </c>
      <c r="F103" s="15">
        <v>0</v>
      </c>
      <c r="G103" s="15">
        <v>570.88</v>
      </c>
      <c r="H103" s="15">
        <v>570.88</v>
      </c>
      <c r="I103" s="15">
        <v>570.88</v>
      </c>
      <c r="J103" s="15">
        <v>570.88</v>
      </c>
      <c r="K103" s="15">
        <v>570.88</v>
      </c>
      <c r="L103" s="15">
        <v>570.88</v>
      </c>
      <c r="M103" s="15">
        <v>570.88</v>
      </c>
      <c r="N103" s="15">
        <v>570.88</v>
      </c>
      <c r="O103" t="s">
        <v>3028</v>
      </c>
    </row>
    <row r="104" spans="1:15" x14ac:dyDescent="0.25">
      <c r="A104" s="10" t="s">
        <v>302</v>
      </c>
      <c r="B104" s="15">
        <v>57.87</v>
      </c>
      <c r="C104" s="15">
        <v>570.88</v>
      </c>
      <c r="D104" s="15">
        <v>570.88</v>
      </c>
      <c r="E104" s="15">
        <v>570.88</v>
      </c>
      <c r="F104" s="15">
        <v>570.88</v>
      </c>
      <c r="G104" s="15">
        <v>570.88</v>
      </c>
      <c r="H104" s="15">
        <v>570.88</v>
      </c>
      <c r="I104" s="15">
        <v>570.88</v>
      </c>
      <c r="J104" s="15">
        <v>570.88</v>
      </c>
      <c r="K104" s="15">
        <v>570.88</v>
      </c>
      <c r="L104" s="15">
        <v>570.88</v>
      </c>
      <c r="M104" s="15">
        <v>1141.76</v>
      </c>
      <c r="N104" s="15">
        <v>570.88</v>
      </c>
      <c r="O104" t="s">
        <v>3028</v>
      </c>
    </row>
    <row r="105" spans="1:15" x14ac:dyDescent="0.25">
      <c r="A105" s="10" t="s">
        <v>304</v>
      </c>
      <c r="B105" s="15">
        <v>108.69</v>
      </c>
      <c r="C105" s="15">
        <v>122.14</v>
      </c>
      <c r="D105" s="15">
        <v>154.25</v>
      </c>
      <c r="E105" s="15">
        <v>140.36000000000001</v>
      </c>
      <c r="F105" s="15">
        <v>111.43</v>
      </c>
      <c r="G105" s="15">
        <v>113.57</v>
      </c>
      <c r="H105" s="15">
        <v>114.97</v>
      </c>
      <c r="I105" s="15">
        <v>189.96</v>
      </c>
      <c r="J105" s="15">
        <v>227.97</v>
      </c>
      <c r="K105" s="15">
        <v>132.97999999999999</v>
      </c>
      <c r="L105" s="15">
        <v>150.46</v>
      </c>
      <c r="M105" s="15">
        <v>166.2</v>
      </c>
      <c r="N105" s="15">
        <v>150.62</v>
      </c>
      <c r="O105" t="s">
        <v>3028</v>
      </c>
    </row>
    <row r="106" spans="1:15" x14ac:dyDescent="0.25">
      <c r="A106" s="10" t="s">
        <v>306</v>
      </c>
      <c r="B106" s="15">
        <v>332.85</v>
      </c>
      <c r="C106" s="15">
        <v>327.38</v>
      </c>
      <c r="D106" s="15">
        <v>332</v>
      </c>
      <c r="E106" s="15">
        <v>339.01</v>
      </c>
      <c r="F106" s="15">
        <v>334.75</v>
      </c>
      <c r="G106" s="15">
        <v>378.82</v>
      </c>
      <c r="H106" s="15">
        <v>336.99</v>
      </c>
      <c r="I106" s="15">
        <v>452.64</v>
      </c>
      <c r="J106" s="15">
        <v>316.86</v>
      </c>
      <c r="K106" s="15">
        <v>416.81</v>
      </c>
      <c r="L106" s="15">
        <v>351.91</v>
      </c>
      <c r="M106" s="15">
        <v>363.56</v>
      </c>
      <c r="N106" s="15">
        <v>367.93</v>
      </c>
      <c r="O106" t="s">
        <v>3028</v>
      </c>
    </row>
    <row r="107" spans="1:15" x14ac:dyDescent="0.25">
      <c r="A107" s="10" t="s">
        <v>308</v>
      </c>
      <c r="B107" s="15">
        <v>337.76</v>
      </c>
      <c r="C107" s="15">
        <v>334.6</v>
      </c>
      <c r="D107" s="15">
        <v>520.11</v>
      </c>
      <c r="E107" s="15">
        <v>183.34</v>
      </c>
      <c r="F107" s="15">
        <v>232.59</v>
      </c>
      <c r="G107" s="15">
        <v>230.9</v>
      </c>
      <c r="H107" s="15">
        <v>229.74</v>
      </c>
      <c r="I107" s="15">
        <v>372.12</v>
      </c>
      <c r="J107" s="15">
        <v>289.63</v>
      </c>
      <c r="K107" s="15">
        <v>295.54000000000002</v>
      </c>
      <c r="L107" s="15">
        <v>288.23</v>
      </c>
      <c r="M107" s="15">
        <v>356.52</v>
      </c>
      <c r="N107" s="15">
        <v>324.58999999999997</v>
      </c>
      <c r="O107" t="s">
        <v>3028</v>
      </c>
    </row>
    <row r="108" spans="1:15" x14ac:dyDescent="0.25">
      <c r="A108" s="10" t="s">
        <v>310</v>
      </c>
      <c r="B108" s="15">
        <v>0</v>
      </c>
      <c r="C108" s="15">
        <v>0</v>
      </c>
      <c r="D108" s="15">
        <v>83.2</v>
      </c>
      <c r="E108" s="15">
        <v>104.37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76</v>
      </c>
      <c r="L108" s="15">
        <v>114.23</v>
      </c>
      <c r="M108" s="15">
        <v>114.59</v>
      </c>
      <c r="N108" s="15">
        <v>47.6</v>
      </c>
      <c r="O108" t="s">
        <v>3028</v>
      </c>
    </row>
    <row r="109" spans="1:15" x14ac:dyDescent="0.25">
      <c r="A109" s="10" t="s">
        <v>312</v>
      </c>
      <c r="B109" s="15">
        <v>570.88</v>
      </c>
      <c r="C109" s="15">
        <v>570.88</v>
      </c>
      <c r="D109" s="15">
        <v>570.88</v>
      </c>
      <c r="E109" s="15">
        <v>570.88</v>
      </c>
      <c r="F109" s="15">
        <v>570.88</v>
      </c>
      <c r="G109" s="15">
        <v>570.88</v>
      </c>
      <c r="H109" s="15">
        <v>570.88</v>
      </c>
      <c r="I109" s="15">
        <v>570.88</v>
      </c>
      <c r="J109" s="15">
        <v>570.88</v>
      </c>
      <c r="K109" s="15">
        <v>570.88</v>
      </c>
      <c r="L109" s="15">
        <v>570.88</v>
      </c>
      <c r="M109" s="15">
        <v>570.88</v>
      </c>
      <c r="N109" s="15">
        <v>570.88</v>
      </c>
      <c r="O109" t="s">
        <v>3028</v>
      </c>
    </row>
    <row r="110" spans="1:15" x14ac:dyDescent="0.25">
      <c r="A110" s="10" t="s">
        <v>314</v>
      </c>
      <c r="B110" s="15">
        <v>108.54</v>
      </c>
      <c r="C110" s="15">
        <v>108.85</v>
      </c>
      <c r="D110" s="15">
        <v>281.3</v>
      </c>
      <c r="E110" s="15">
        <v>10.63</v>
      </c>
      <c r="F110" s="15">
        <v>99.31</v>
      </c>
      <c r="G110" s="15">
        <v>114.23</v>
      </c>
      <c r="H110" s="15">
        <v>175.15</v>
      </c>
      <c r="I110" s="15">
        <v>227.83</v>
      </c>
      <c r="J110" s="15">
        <v>178.87</v>
      </c>
      <c r="K110" s="15">
        <v>178.91</v>
      </c>
      <c r="L110" s="15">
        <v>178.51</v>
      </c>
      <c r="M110" s="15">
        <v>178.6</v>
      </c>
      <c r="N110" s="15">
        <v>182.53</v>
      </c>
      <c r="O110" t="s">
        <v>3028</v>
      </c>
    </row>
    <row r="111" spans="1:15" x14ac:dyDescent="0.25">
      <c r="A111" s="10" t="s">
        <v>316</v>
      </c>
      <c r="B111" s="15">
        <v>119.25</v>
      </c>
      <c r="C111" s="15">
        <v>194.65</v>
      </c>
      <c r="D111" s="15">
        <v>165.84</v>
      </c>
      <c r="E111" s="15">
        <v>397.71</v>
      </c>
      <c r="F111" s="15">
        <v>58.5</v>
      </c>
      <c r="G111" s="15">
        <v>161.38</v>
      </c>
      <c r="H111" s="15">
        <v>163.75</v>
      </c>
      <c r="I111" s="15">
        <v>211.95</v>
      </c>
      <c r="J111" s="15">
        <v>180.02</v>
      </c>
      <c r="K111" s="15">
        <v>178.38</v>
      </c>
      <c r="L111" s="15">
        <v>179.3</v>
      </c>
      <c r="M111" s="15">
        <v>179.4</v>
      </c>
      <c r="N111" s="15">
        <v>183.92</v>
      </c>
      <c r="O111" t="s">
        <v>3028</v>
      </c>
    </row>
    <row r="112" spans="1:15" x14ac:dyDescent="0.25">
      <c r="A112" s="10" t="s">
        <v>318</v>
      </c>
      <c r="B112" s="15">
        <v>0</v>
      </c>
      <c r="C112" s="15">
        <v>0</v>
      </c>
      <c r="D112" s="15">
        <v>0</v>
      </c>
      <c r="E112" s="15">
        <v>563.70000000000005</v>
      </c>
      <c r="F112" s="15">
        <v>570.88</v>
      </c>
      <c r="G112" s="15">
        <v>570.88</v>
      </c>
      <c r="H112" s="15">
        <v>570.88</v>
      </c>
      <c r="I112" s="15">
        <v>570.88</v>
      </c>
      <c r="J112" s="15">
        <v>570.88</v>
      </c>
      <c r="K112" s="15">
        <v>0</v>
      </c>
      <c r="L112" s="15">
        <v>0</v>
      </c>
      <c r="M112" s="15">
        <v>0</v>
      </c>
      <c r="N112" s="15">
        <v>357.23</v>
      </c>
      <c r="O112" t="s">
        <v>3028</v>
      </c>
    </row>
    <row r="113" spans="1:15" x14ac:dyDescent="0.25">
      <c r="A113" s="10" t="s">
        <v>320</v>
      </c>
      <c r="B113" s="15">
        <v>316.45999999999998</v>
      </c>
      <c r="C113" s="15">
        <v>304.27999999999997</v>
      </c>
      <c r="D113" s="15">
        <v>304.27999999999997</v>
      </c>
      <c r="E113" s="15">
        <v>304.27999999999997</v>
      </c>
      <c r="F113" s="15">
        <v>304.27999999999997</v>
      </c>
      <c r="G113" s="15">
        <v>304.27999999999997</v>
      </c>
      <c r="H113" s="15">
        <v>304.27999999999997</v>
      </c>
      <c r="I113" s="15">
        <v>549.29</v>
      </c>
      <c r="J113" s="15">
        <v>291.70999999999998</v>
      </c>
      <c r="K113" s="15">
        <v>547.29</v>
      </c>
      <c r="L113" s="15">
        <v>0</v>
      </c>
      <c r="M113" s="15">
        <v>0</v>
      </c>
      <c r="N113" s="15">
        <v>307.52</v>
      </c>
      <c r="O113" t="s">
        <v>3028</v>
      </c>
    </row>
    <row r="114" spans="1:15" x14ac:dyDescent="0.25">
      <c r="A114" s="10" t="s">
        <v>322</v>
      </c>
      <c r="B114" s="15">
        <v>570.88</v>
      </c>
      <c r="C114" s="15">
        <v>570.88</v>
      </c>
      <c r="D114" s="15">
        <v>570.88</v>
      </c>
      <c r="E114" s="15">
        <v>570.88</v>
      </c>
      <c r="F114" s="15">
        <v>570.88</v>
      </c>
      <c r="G114" s="15">
        <v>570.88</v>
      </c>
      <c r="H114" s="15">
        <v>570.88</v>
      </c>
      <c r="I114" s="15">
        <v>570.88</v>
      </c>
      <c r="J114" s="15">
        <v>570.88</v>
      </c>
      <c r="K114" s="15">
        <v>570.88</v>
      </c>
      <c r="L114" s="15">
        <v>570.88</v>
      </c>
      <c r="M114" s="15">
        <v>1141.76</v>
      </c>
      <c r="N114" s="15">
        <v>570.88</v>
      </c>
      <c r="O114" t="s">
        <v>3028</v>
      </c>
    </row>
    <row r="115" spans="1:15" x14ac:dyDescent="0.25">
      <c r="A115" s="10" t="s">
        <v>324</v>
      </c>
      <c r="B115" s="15">
        <v>570.88</v>
      </c>
      <c r="C115" s="15">
        <v>570.88</v>
      </c>
      <c r="D115" s="15">
        <v>570.88</v>
      </c>
      <c r="E115" s="15">
        <v>570.88</v>
      </c>
      <c r="F115" s="15">
        <v>570.88</v>
      </c>
      <c r="G115" s="15">
        <v>1141.76</v>
      </c>
      <c r="H115" s="15">
        <v>0</v>
      </c>
      <c r="I115" s="15">
        <v>570.88</v>
      </c>
      <c r="J115" s="15">
        <v>570.88</v>
      </c>
      <c r="K115" s="15">
        <v>570.88</v>
      </c>
      <c r="L115" s="15">
        <v>570.88</v>
      </c>
      <c r="M115" s="15">
        <v>570.88</v>
      </c>
      <c r="N115" s="15">
        <v>570.88</v>
      </c>
      <c r="O115" t="s">
        <v>3028</v>
      </c>
    </row>
    <row r="116" spans="1:15" x14ac:dyDescent="0.25">
      <c r="A116" s="10" t="s">
        <v>326</v>
      </c>
      <c r="B116" s="15">
        <v>162.12</v>
      </c>
      <c r="C116" s="15">
        <v>166.37</v>
      </c>
      <c r="D116" s="15">
        <v>412.93</v>
      </c>
      <c r="E116" s="15">
        <v>18.16</v>
      </c>
      <c r="F116" s="15">
        <v>149.02000000000001</v>
      </c>
      <c r="G116" s="15">
        <v>165.94</v>
      </c>
      <c r="H116" s="15">
        <v>183.35</v>
      </c>
      <c r="I116" s="15">
        <v>215.47</v>
      </c>
      <c r="J116" s="15">
        <v>180.43</v>
      </c>
      <c r="K116" s="15">
        <v>186.56</v>
      </c>
      <c r="L116" s="15">
        <v>185.09</v>
      </c>
      <c r="M116" s="15">
        <v>185.35</v>
      </c>
      <c r="N116" s="15">
        <v>185.14</v>
      </c>
      <c r="O116" t="s">
        <v>3028</v>
      </c>
    </row>
    <row r="117" spans="1:15" x14ac:dyDescent="0.25">
      <c r="A117" s="10" t="s">
        <v>328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108.55</v>
      </c>
      <c r="L117" s="15">
        <v>118.64</v>
      </c>
      <c r="M117" s="15">
        <v>118.8</v>
      </c>
      <c r="N117" s="15">
        <v>29.47</v>
      </c>
      <c r="O117" t="s">
        <v>3028</v>
      </c>
    </row>
    <row r="118" spans="1:15" x14ac:dyDescent="0.25">
      <c r="A118" s="10" t="s">
        <v>330</v>
      </c>
      <c r="B118" s="15">
        <v>118.38</v>
      </c>
      <c r="C118" s="15">
        <v>107.1</v>
      </c>
      <c r="D118" s="15">
        <v>106.42</v>
      </c>
      <c r="E118" s="15">
        <v>270.2</v>
      </c>
      <c r="F118" s="15">
        <v>1.58</v>
      </c>
      <c r="G118" s="15">
        <v>106.3</v>
      </c>
      <c r="H118" s="15">
        <v>108.5</v>
      </c>
      <c r="I118" s="15">
        <v>154.69</v>
      </c>
      <c r="J118" s="15">
        <v>116.28</v>
      </c>
      <c r="K118" s="15">
        <v>119.11</v>
      </c>
      <c r="L118" s="15">
        <v>115.62</v>
      </c>
      <c r="M118" s="15">
        <v>116.7</v>
      </c>
      <c r="N118" s="15">
        <v>118.25</v>
      </c>
      <c r="O118" t="s">
        <v>3028</v>
      </c>
    </row>
    <row r="119" spans="1:15" x14ac:dyDescent="0.25">
      <c r="A119" s="10" t="s">
        <v>332</v>
      </c>
      <c r="B119" s="15">
        <v>343.57</v>
      </c>
      <c r="C119" s="15">
        <v>343.43</v>
      </c>
      <c r="D119" s="15">
        <v>372.48</v>
      </c>
      <c r="E119" s="15">
        <v>344.19</v>
      </c>
      <c r="F119" s="15">
        <v>340.99</v>
      </c>
      <c r="G119" s="15">
        <v>805.06</v>
      </c>
      <c r="H119" s="15">
        <v>45.83</v>
      </c>
      <c r="I119" s="15">
        <v>433.61</v>
      </c>
      <c r="J119" s="15">
        <v>364.45</v>
      </c>
      <c r="K119" s="15">
        <v>375.16</v>
      </c>
      <c r="L119" s="15">
        <v>371.89</v>
      </c>
      <c r="M119" s="15">
        <v>402.53</v>
      </c>
      <c r="N119" s="15">
        <v>380.12</v>
      </c>
      <c r="O119" t="s">
        <v>3028</v>
      </c>
    </row>
    <row r="120" spans="1:15" x14ac:dyDescent="0.25">
      <c r="A120" s="10" t="s">
        <v>334</v>
      </c>
      <c r="B120" s="15">
        <v>522.49</v>
      </c>
      <c r="C120" s="15">
        <v>463.82</v>
      </c>
      <c r="D120" s="15">
        <v>570.88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116.95</v>
      </c>
      <c r="O120" t="s">
        <v>3028</v>
      </c>
    </row>
    <row r="121" spans="1:15" x14ac:dyDescent="0.25">
      <c r="A121" s="10" t="s">
        <v>338</v>
      </c>
      <c r="B121" s="15">
        <v>570.88</v>
      </c>
      <c r="C121" s="15">
        <v>570.88</v>
      </c>
      <c r="D121" s="15">
        <v>1141.76</v>
      </c>
      <c r="E121" s="15">
        <v>0</v>
      </c>
      <c r="F121" s="15">
        <v>570.88</v>
      </c>
      <c r="G121" s="15">
        <v>570.88</v>
      </c>
      <c r="H121" s="15">
        <v>570.88</v>
      </c>
      <c r="I121" s="15">
        <v>570.88</v>
      </c>
      <c r="J121" s="15">
        <v>570.88</v>
      </c>
      <c r="K121" s="15">
        <v>570.88</v>
      </c>
      <c r="L121" s="15">
        <v>570.88</v>
      </c>
      <c r="M121" s="15">
        <v>570.88</v>
      </c>
      <c r="N121" s="15">
        <v>570.88</v>
      </c>
      <c r="O121" t="s">
        <v>3028</v>
      </c>
    </row>
    <row r="122" spans="1:15" x14ac:dyDescent="0.25">
      <c r="A122" s="10" t="s">
        <v>340</v>
      </c>
      <c r="B122" s="15">
        <v>122.2</v>
      </c>
      <c r="C122" s="15">
        <v>112.88</v>
      </c>
      <c r="D122" s="15">
        <v>113.34</v>
      </c>
      <c r="E122" s="15">
        <v>207.01</v>
      </c>
      <c r="F122" s="15">
        <v>57.02</v>
      </c>
      <c r="G122" s="15">
        <v>107.94</v>
      </c>
      <c r="H122" s="15">
        <v>183.52</v>
      </c>
      <c r="I122" s="15">
        <v>211.61</v>
      </c>
      <c r="J122" s="15">
        <v>177.78</v>
      </c>
      <c r="K122" s="15">
        <v>179.66</v>
      </c>
      <c r="L122" s="15">
        <v>182.01</v>
      </c>
      <c r="M122" s="15">
        <v>179.83</v>
      </c>
      <c r="N122" s="15">
        <v>184.7</v>
      </c>
      <c r="O122" t="s">
        <v>3028</v>
      </c>
    </row>
    <row r="123" spans="1:15" x14ac:dyDescent="0.25">
      <c r="A123" s="10" t="s">
        <v>342</v>
      </c>
      <c r="B123" s="15">
        <v>570.88</v>
      </c>
      <c r="C123" s="15">
        <v>570.88</v>
      </c>
      <c r="D123" s="15">
        <v>570.88</v>
      </c>
      <c r="E123" s="15">
        <v>570.88</v>
      </c>
      <c r="F123" s="15">
        <v>570.88</v>
      </c>
      <c r="G123" s="15">
        <v>570.88</v>
      </c>
      <c r="H123" s="15">
        <v>570.88</v>
      </c>
      <c r="I123" s="15">
        <v>570.88</v>
      </c>
      <c r="J123" s="15">
        <v>570.88</v>
      </c>
      <c r="K123" s="15">
        <v>570.88</v>
      </c>
      <c r="L123" s="15">
        <v>570.88</v>
      </c>
      <c r="M123" s="15">
        <v>316.76</v>
      </c>
      <c r="N123" s="15">
        <v>570.88</v>
      </c>
      <c r="O123" t="s">
        <v>3028</v>
      </c>
    </row>
    <row r="124" spans="1:15" x14ac:dyDescent="0.25">
      <c r="A124" s="10" t="s">
        <v>344</v>
      </c>
      <c r="B124" s="15">
        <v>435.28</v>
      </c>
      <c r="C124" s="15">
        <v>419.41</v>
      </c>
      <c r="D124" s="15">
        <v>382.31</v>
      </c>
      <c r="E124" s="15">
        <v>383.79</v>
      </c>
      <c r="F124" s="15">
        <v>384.74</v>
      </c>
      <c r="G124" s="15">
        <v>943.78</v>
      </c>
      <c r="H124" s="15">
        <v>58.66</v>
      </c>
      <c r="I124" s="15">
        <v>379.94</v>
      </c>
      <c r="J124" s="15">
        <v>570.88</v>
      </c>
      <c r="K124" s="15">
        <v>466.98</v>
      </c>
      <c r="L124" s="15">
        <v>454.65</v>
      </c>
      <c r="M124" s="15">
        <v>434.04</v>
      </c>
      <c r="N124" s="15">
        <v>440.76</v>
      </c>
      <c r="O124" t="s">
        <v>3028</v>
      </c>
    </row>
    <row r="125" spans="1:15" x14ac:dyDescent="0.25">
      <c r="A125" s="10" t="s">
        <v>346</v>
      </c>
      <c r="B125" s="15">
        <v>164.59</v>
      </c>
      <c r="C125" s="15">
        <v>163.30000000000001</v>
      </c>
      <c r="D125" s="15">
        <v>122.22</v>
      </c>
      <c r="E125" s="15">
        <v>309.88</v>
      </c>
      <c r="F125" s="15">
        <v>5.99</v>
      </c>
      <c r="G125" s="15">
        <v>107.43</v>
      </c>
      <c r="H125" s="15">
        <v>113.21</v>
      </c>
      <c r="I125" s="15">
        <v>188.01</v>
      </c>
      <c r="J125" s="15">
        <v>119.06</v>
      </c>
      <c r="K125" s="15">
        <v>152.12</v>
      </c>
      <c r="L125" s="15">
        <v>163.19999999999999</v>
      </c>
      <c r="M125" s="15">
        <v>151.06</v>
      </c>
      <c r="N125" s="15">
        <v>151.63999999999999</v>
      </c>
      <c r="O125" t="s">
        <v>3028</v>
      </c>
    </row>
    <row r="126" spans="1:15" x14ac:dyDescent="0.25">
      <c r="A126" s="10" t="s">
        <v>348</v>
      </c>
      <c r="B126" s="15">
        <v>447.72</v>
      </c>
      <c r="C126" s="15">
        <v>437.99</v>
      </c>
      <c r="D126" s="15">
        <v>928.8</v>
      </c>
      <c r="E126" s="15">
        <v>103.17</v>
      </c>
      <c r="F126" s="15">
        <v>273.51</v>
      </c>
      <c r="G126" s="15">
        <v>392.4</v>
      </c>
      <c r="H126" s="15">
        <v>405.99</v>
      </c>
      <c r="I126" s="15">
        <v>501.68</v>
      </c>
      <c r="J126" s="15">
        <v>423.88</v>
      </c>
      <c r="K126" s="15">
        <v>419.32</v>
      </c>
      <c r="L126" s="15">
        <v>428.72</v>
      </c>
      <c r="M126" s="15">
        <v>466.08</v>
      </c>
      <c r="N126" s="15">
        <v>436.43</v>
      </c>
      <c r="O126" t="s">
        <v>3028</v>
      </c>
    </row>
    <row r="127" spans="1:15" x14ac:dyDescent="0.25">
      <c r="A127" s="10" t="s">
        <v>350</v>
      </c>
      <c r="B127" s="15">
        <v>570.88</v>
      </c>
      <c r="C127" s="15">
        <v>570.88</v>
      </c>
      <c r="D127" s="15">
        <v>570.88</v>
      </c>
      <c r="E127" s="15">
        <v>1141.76</v>
      </c>
      <c r="F127" s="15">
        <v>0</v>
      </c>
      <c r="G127" s="15">
        <v>570.88</v>
      </c>
      <c r="H127" s="15">
        <v>570.88</v>
      </c>
      <c r="I127" s="15">
        <v>570.88</v>
      </c>
      <c r="J127" s="15">
        <v>570.88</v>
      </c>
      <c r="K127" s="15">
        <v>570.88</v>
      </c>
      <c r="L127" s="15">
        <v>570.88</v>
      </c>
      <c r="M127" s="15">
        <v>570.88</v>
      </c>
      <c r="N127" s="15">
        <v>570.88</v>
      </c>
      <c r="O127" t="s">
        <v>3028</v>
      </c>
    </row>
    <row r="128" spans="1:15" x14ac:dyDescent="0.25">
      <c r="A128" s="10" t="s">
        <v>352</v>
      </c>
      <c r="B128" s="15">
        <v>570.88</v>
      </c>
      <c r="C128" s="15">
        <v>570.88</v>
      </c>
      <c r="D128" s="15">
        <v>405.57</v>
      </c>
      <c r="E128" s="15">
        <v>570.88</v>
      </c>
      <c r="F128" s="15">
        <v>570.88</v>
      </c>
      <c r="G128" s="15">
        <v>854.82</v>
      </c>
      <c r="H128" s="15">
        <v>121.63</v>
      </c>
      <c r="I128" s="15">
        <v>570.88</v>
      </c>
      <c r="J128" s="15">
        <v>570.88</v>
      </c>
      <c r="K128" s="15">
        <v>570.88</v>
      </c>
      <c r="L128" s="15">
        <v>528.41</v>
      </c>
      <c r="M128" s="15">
        <v>570.88</v>
      </c>
      <c r="N128" s="15">
        <v>570.88</v>
      </c>
      <c r="O128" t="s">
        <v>3028</v>
      </c>
    </row>
    <row r="129" spans="1:15" x14ac:dyDescent="0.25">
      <c r="A129" s="10" t="s">
        <v>354</v>
      </c>
      <c r="B129" s="15">
        <v>104</v>
      </c>
      <c r="C129" s="15">
        <v>104</v>
      </c>
      <c r="D129" s="15">
        <v>104</v>
      </c>
      <c r="E129" s="15">
        <v>104.01</v>
      </c>
      <c r="F129" s="15">
        <v>104.01</v>
      </c>
      <c r="G129" s="15">
        <v>104.24</v>
      </c>
      <c r="H129" s="15">
        <v>118.13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  <c r="N129" s="15">
        <v>60.68</v>
      </c>
      <c r="O129" t="s">
        <v>3028</v>
      </c>
    </row>
    <row r="130" spans="1:15" x14ac:dyDescent="0.25">
      <c r="A130" s="10" t="s">
        <v>356</v>
      </c>
      <c r="B130" s="15">
        <v>302.69</v>
      </c>
      <c r="C130" s="15">
        <v>209.11</v>
      </c>
      <c r="D130" s="15">
        <v>311.27</v>
      </c>
      <c r="E130" s="15">
        <v>220.61</v>
      </c>
      <c r="F130" s="15">
        <v>192.23</v>
      </c>
      <c r="G130" s="15">
        <v>191.85</v>
      </c>
      <c r="H130" s="15">
        <v>196.82</v>
      </c>
      <c r="I130" s="15">
        <v>368.94</v>
      </c>
      <c r="J130" s="15">
        <v>613.1</v>
      </c>
      <c r="K130" s="15">
        <v>11.54</v>
      </c>
      <c r="L130" s="15">
        <v>198.64</v>
      </c>
      <c r="M130" s="15">
        <v>225.57</v>
      </c>
      <c r="N130" s="15">
        <v>232.21</v>
      </c>
      <c r="O130" t="s">
        <v>3028</v>
      </c>
    </row>
    <row r="131" spans="1:15" x14ac:dyDescent="0.25">
      <c r="A131" s="10" t="s">
        <v>358</v>
      </c>
      <c r="B131" s="15">
        <v>291.31</v>
      </c>
      <c r="C131" s="15">
        <v>360.96</v>
      </c>
      <c r="D131" s="15">
        <v>292.26</v>
      </c>
      <c r="E131" s="15">
        <v>221.15</v>
      </c>
      <c r="F131" s="15">
        <v>199.16</v>
      </c>
      <c r="G131" s="15">
        <v>187.69</v>
      </c>
      <c r="H131" s="15">
        <v>195.74</v>
      </c>
      <c r="I131" s="15">
        <v>214.42</v>
      </c>
      <c r="J131" s="15">
        <v>222.44</v>
      </c>
      <c r="K131" s="15">
        <v>298.73</v>
      </c>
      <c r="L131" s="15">
        <v>659</v>
      </c>
      <c r="M131" s="15">
        <v>61.92</v>
      </c>
      <c r="N131" s="15">
        <v>292.77</v>
      </c>
      <c r="O131" t="s">
        <v>3028</v>
      </c>
    </row>
    <row r="132" spans="1:15" x14ac:dyDescent="0.25">
      <c r="A132" s="10" t="s">
        <v>360</v>
      </c>
      <c r="B132" s="15">
        <v>197.2</v>
      </c>
      <c r="C132" s="15">
        <v>223.24</v>
      </c>
      <c r="D132" s="15">
        <v>430.05</v>
      </c>
      <c r="E132" s="15">
        <v>75.91</v>
      </c>
      <c r="F132" s="15">
        <v>172.61</v>
      </c>
      <c r="G132" s="15">
        <v>165.63</v>
      </c>
      <c r="H132" s="15">
        <v>345.17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108.82</v>
      </c>
      <c r="O132" t="s">
        <v>3028</v>
      </c>
    </row>
    <row r="133" spans="1:15" x14ac:dyDescent="0.25">
      <c r="A133" s="10" t="s">
        <v>362</v>
      </c>
      <c r="B133" s="15">
        <v>110.34</v>
      </c>
      <c r="C133" s="15">
        <v>114.33</v>
      </c>
      <c r="D133" s="15">
        <v>118.5</v>
      </c>
      <c r="E133" s="15">
        <v>113.25</v>
      </c>
      <c r="F133" s="15">
        <v>104.45</v>
      </c>
      <c r="G133" s="15">
        <v>104.61</v>
      </c>
      <c r="H133" s="15">
        <v>104.25</v>
      </c>
      <c r="I133" s="15">
        <v>104.78</v>
      </c>
      <c r="J133" s="15">
        <v>104.94</v>
      </c>
      <c r="K133" s="15">
        <v>142.04</v>
      </c>
      <c r="L133" s="15">
        <v>119.9</v>
      </c>
      <c r="M133" s="15">
        <v>191.19</v>
      </c>
      <c r="N133" s="15">
        <v>118.85</v>
      </c>
      <c r="O133" t="s">
        <v>3028</v>
      </c>
    </row>
    <row r="134" spans="1:15" x14ac:dyDescent="0.25">
      <c r="A134" s="10" t="s">
        <v>364</v>
      </c>
      <c r="B134" s="15">
        <v>351.94</v>
      </c>
      <c r="C134" s="15">
        <v>233.23</v>
      </c>
      <c r="D134" s="15">
        <v>288.01</v>
      </c>
      <c r="E134" s="15">
        <v>292.89</v>
      </c>
      <c r="F134" s="15">
        <v>218.97</v>
      </c>
      <c r="G134" s="15">
        <v>233.09</v>
      </c>
      <c r="H134" s="15">
        <v>714.27</v>
      </c>
      <c r="I134" s="15">
        <v>154.12</v>
      </c>
      <c r="J134" s="15">
        <v>232.9</v>
      </c>
      <c r="K134" s="15">
        <v>341.04</v>
      </c>
      <c r="L134" s="15">
        <v>294.12</v>
      </c>
      <c r="M134" s="15">
        <v>350.18</v>
      </c>
      <c r="N134" s="15">
        <v>322.42</v>
      </c>
      <c r="O134" t="s">
        <v>3028</v>
      </c>
    </row>
    <row r="135" spans="1:15" x14ac:dyDescent="0.25">
      <c r="A135" s="10" t="s">
        <v>368</v>
      </c>
      <c r="B135" s="15">
        <v>160.43</v>
      </c>
      <c r="C135" s="15">
        <v>161.82</v>
      </c>
      <c r="D135" s="15">
        <v>161.04</v>
      </c>
      <c r="E135" s="15">
        <v>374.67</v>
      </c>
      <c r="F135" s="15">
        <v>1.06</v>
      </c>
      <c r="G135" s="15">
        <v>159.49</v>
      </c>
      <c r="H135" s="15">
        <v>159.4</v>
      </c>
      <c r="I135" s="15">
        <v>206.51</v>
      </c>
      <c r="J135" s="15">
        <v>174.53</v>
      </c>
      <c r="K135" s="15">
        <v>174.73</v>
      </c>
      <c r="L135" s="15">
        <v>174.43</v>
      </c>
      <c r="M135" s="15">
        <v>174.8</v>
      </c>
      <c r="N135" s="15">
        <v>175.59</v>
      </c>
      <c r="O135" t="s">
        <v>3028</v>
      </c>
    </row>
    <row r="136" spans="1:15" x14ac:dyDescent="0.25">
      <c r="A136" s="10" t="s">
        <v>370</v>
      </c>
      <c r="B136" s="15">
        <v>118.96</v>
      </c>
      <c r="C136" s="15">
        <v>119.21</v>
      </c>
      <c r="D136" s="15">
        <v>109.05</v>
      </c>
      <c r="E136" s="15">
        <v>285.73</v>
      </c>
      <c r="F136" s="15">
        <v>2.78</v>
      </c>
      <c r="G136" s="15">
        <v>107.01</v>
      </c>
      <c r="H136" s="15">
        <v>163.74</v>
      </c>
      <c r="I136" s="15">
        <v>209.57</v>
      </c>
      <c r="J136" s="15">
        <v>179.63</v>
      </c>
      <c r="K136" s="15">
        <v>183.14</v>
      </c>
      <c r="L136" s="15">
        <v>196.49</v>
      </c>
      <c r="M136" s="15">
        <v>179.34</v>
      </c>
      <c r="N136" s="15">
        <v>184.23</v>
      </c>
      <c r="O136" t="s">
        <v>3028</v>
      </c>
    </row>
    <row r="137" spans="1:15" x14ac:dyDescent="0.25">
      <c r="A137" s="10" t="s">
        <v>372</v>
      </c>
      <c r="B137" s="15">
        <v>304.2</v>
      </c>
      <c r="C137" s="15">
        <v>289.27999999999997</v>
      </c>
      <c r="D137" s="15">
        <v>289.68</v>
      </c>
      <c r="E137" s="15">
        <v>705.72</v>
      </c>
      <c r="F137" s="15">
        <v>41.38</v>
      </c>
      <c r="G137" s="15">
        <v>292.27999999999997</v>
      </c>
      <c r="H137" s="15">
        <v>311.77999999999997</v>
      </c>
      <c r="I137" s="15">
        <v>394.29</v>
      </c>
      <c r="J137" s="15">
        <v>318.05</v>
      </c>
      <c r="K137" s="15">
        <v>330.72</v>
      </c>
      <c r="L137" s="15">
        <v>322.54000000000002</v>
      </c>
      <c r="M137" s="15">
        <v>327.07</v>
      </c>
      <c r="N137" s="15">
        <v>324.37</v>
      </c>
      <c r="O137" t="s">
        <v>3028</v>
      </c>
    </row>
    <row r="138" spans="1:15" x14ac:dyDescent="0.25">
      <c r="A138" s="10" t="s">
        <v>374</v>
      </c>
      <c r="B138" s="15">
        <v>57.87</v>
      </c>
      <c r="C138" s="15">
        <v>570.88</v>
      </c>
      <c r="D138" s="15">
        <v>570.88</v>
      </c>
      <c r="E138" s="15">
        <v>570.88</v>
      </c>
      <c r="F138" s="15">
        <v>570.88</v>
      </c>
      <c r="G138" s="15">
        <v>570.88</v>
      </c>
      <c r="H138" s="15">
        <v>570.88</v>
      </c>
      <c r="I138" s="15">
        <v>570.88</v>
      </c>
      <c r="J138" s="15">
        <v>570.88</v>
      </c>
      <c r="K138" s="15">
        <v>570.88</v>
      </c>
      <c r="L138" s="15">
        <v>570.88</v>
      </c>
      <c r="M138" s="15">
        <v>1138.45</v>
      </c>
      <c r="N138" s="15">
        <v>570.88</v>
      </c>
      <c r="O138" t="s">
        <v>3028</v>
      </c>
    </row>
    <row r="139" spans="1:15" x14ac:dyDescent="0.25">
      <c r="A139" s="10" t="s">
        <v>376</v>
      </c>
      <c r="B139" s="15">
        <v>551.29</v>
      </c>
      <c r="C139" s="15">
        <v>535.41999999999996</v>
      </c>
      <c r="D139" s="15">
        <v>570.88</v>
      </c>
      <c r="E139" s="15">
        <v>0</v>
      </c>
      <c r="F139" s="15">
        <v>0</v>
      </c>
      <c r="G139" s="15">
        <v>0</v>
      </c>
      <c r="H139" s="15">
        <v>0</v>
      </c>
      <c r="I139" s="15">
        <v>0</v>
      </c>
      <c r="J139" s="15">
        <v>0</v>
      </c>
      <c r="K139" s="15">
        <v>0</v>
      </c>
      <c r="L139" s="15">
        <v>0</v>
      </c>
      <c r="M139" s="15">
        <v>0</v>
      </c>
      <c r="N139" s="15">
        <v>143.09</v>
      </c>
      <c r="O139" t="s">
        <v>3028</v>
      </c>
    </row>
    <row r="140" spans="1:15" x14ac:dyDescent="0.25">
      <c r="A140" s="10" t="s">
        <v>378</v>
      </c>
      <c r="B140" s="15">
        <v>104</v>
      </c>
      <c r="C140" s="15">
        <v>104</v>
      </c>
      <c r="D140" s="15">
        <v>104.09</v>
      </c>
      <c r="E140" s="15">
        <v>104.01</v>
      </c>
      <c r="F140" s="15">
        <v>104.11</v>
      </c>
      <c r="G140" s="15">
        <v>260.24</v>
      </c>
      <c r="H140" s="15">
        <v>8.17</v>
      </c>
      <c r="I140" s="15">
        <v>97.07</v>
      </c>
      <c r="J140" s="15">
        <v>104.28</v>
      </c>
      <c r="K140" s="15">
        <v>145.30000000000001</v>
      </c>
      <c r="L140" s="15">
        <v>114.17</v>
      </c>
      <c r="M140" s="15">
        <v>114.46</v>
      </c>
      <c r="N140" s="15">
        <v>114.59</v>
      </c>
      <c r="O140" t="s">
        <v>3028</v>
      </c>
    </row>
    <row r="141" spans="1:15" x14ac:dyDescent="0.25">
      <c r="A141" s="10" t="s">
        <v>380</v>
      </c>
      <c r="B141" s="15">
        <v>570.88</v>
      </c>
      <c r="C141" s="15">
        <v>489.24</v>
      </c>
      <c r="D141" s="15">
        <v>1005.05</v>
      </c>
      <c r="E141" s="15">
        <v>108.74</v>
      </c>
      <c r="F141" s="15">
        <v>553.4</v>
      </c>
      <c r="G141" s="15">
        <v>523.20000000000005</v>
      </c>
      <c r="H141" s="15">
        <v>481.7</v>
      </c>
      <c r="I141" s="15">
        <v>570.88</v>
      </c>
      <c r="J141" s="15">
        <v>541.26</v>
      </c>
      <c r="K141" s="15">
        <v>542.58000000000004</v>
      </c>
      <c r="L141" s="15">
        <v>539.52</v>
      </c>
      <c r="M141" s="15">
        <v>570.88</v>
      </c>
      <c r="N141" s="15">
        <v>561.24</v>
      </c>
      <c r="O141" t="s">
        <v>3028</v>
      </c>
    </row>
    <row r="142" spans="1:15" x14ac:dyDescent="0.25">
      <c r="A142" s="10" t="s">
        <v>382</v>
      </c>
      <c r="B142" s="15">
        <v>359.93</v>
      </c>
      <c r="C142" s="15">
        <v>417.48</v>
      </c>
      <c r="D142" s="15">
        <v>393.88</v>
      </c>
      <c r="E142" s="15">
        <v>669.83</v>
      </c>
      <c r="F142" s="15">
        <v>213.2</v>
      </c>
      <c r="G142" s="15">
        <v>364.87</v>
      </c>
      <c r="H142" s="15">
        <v>367.52</v>
      </c>
      <c r="I142" s="15">
        <v>490.99</v>
      </c>
      <c r="J142" s="15">
        <v>397.92</v>
      </c>
      <c r="K142" s="15">
        <v>408.67</v>
      </c>
      <c r="L142" s="15">
        <v>404.75</v>
      </c>
      <c r="M142" s="15">
        <v>417.37</v>
      </c>
      <c r="N142" s="15">
        <v>403.8</v>
      </c>
      <c r="O142" t="s">
        <v>3028</v>
      </c>
    </row>
    <row r="143" spans="1:15" x14ac:dyDescent="0.25">
      <c r="A143" s="10" t="s">
        <v>384</v>
      </c>
      <c r="B143" s="15">
        <v>570.88</v>
      </c>
      <c r="C143" s="15">
        <v>445.92</v>
      </c>
      <c r="D143" s="15">
        <v>609.16</v>
      </c>
      <c r="E143" s="15">
        <v>420.62</v>
      </c>
      <c r="F143" s="15">
        <v>563.48</v>
      </c>
      <c r="G143" s="15">
        <v>490.81</v>
      </c>
      <c r="H143" s="15">
        <v>503.29</v>
      </c>
      <c r="I143" s="15">
        <v>570.88</v>
      </c>
      <c r="J143" s="15">
        <v>570.88</v>
      </c>
      <c r="K143" s="15">
        <v>570.88</v>
      </c>
      <c r="L143" s="15">
        <v>570.88</v>
      </c>
      <c r="M143" s="15">
        <v>570.88</v>
      </c>
      <c r="N143" s="15">
        <v>570.88</v>
      </c>
      <c r="O143" t="s">
        <v>3028</v>
      </c>
    </row>
    <row r="144" spans="1:15" x14ac:dyDescent="0.25">
      <c r="A144" s="10" t="s">
        <v>386</v>
      </c>
      <c r="B144" s="15">
        <v>159.99</v>
      </c>
      <c r="C144" s="15">
        <v>0</v>
      </c>
      <c r="D144" s="15">
        <v>0</v>
      </c>
      <c r="E144" s="15">
        <v>0</v>
      </c>
      <c r="F144" s="15">
        <v>0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8.66</v>
      </c>
      <c r="O144" t="s">
        <v>3028</v>
      </c>
    </row>
    <row r="145" spans="1:15" x14ac:dyDescent="0.25">
      <c r="A145" s="10" t="s">
        <v>388</v>
      </c>
      <c r="B145" s="15">
        <v>295.02999999999997</v>
      </c>
      <c r="C145" s="15">
        <v>300.79000000000002</v>
      </c>
      <c r="D145" s="15">
        <v>300.72000000000003</v>
      </c>
      <c r="E145" s="15">
        <v>701.94</v>
      </c>
      <c r="F145" s="15">
        <v>8.9600000000000009</v>
      </c>
      <c r="G145" s="15">
        <v>295</v>
      </c>
      <c r="H145" s="15">
        <v>304.51</v>
      </c>
      <c r="I145" s="15">
        <v>383.34</v>
      </c>
      <c r="J145" s="15">
        <v>320.7</v>
      </c>
      <c r="K145" s="15">
        <v>327.26</v>
      </c>
      <c r="L145" s="15">
        <v>320.5</v>
      </c>
      <c r="M145" s="15">
        <v>323.24</v>
      </c>
      <c r="N145" s="15">
        <v>326.70999999999998</v>
      </c>
      <c r="O145" t="s">
        <v>3028</v>
      </c>
    </row>
    <row r="146" spans="1:15" x14ac:dyDescent="0.25">
      <c r="A146" s="10" t="s">
        <v>390</v>
      </c>
      <c r="B146" s="15">
        <v>115.37</v>
      </c>
      <c r="C146" s="15">
        <v>115.75</v>
      </c>
      <c r="D146" s="15">
        <v>112.61</v>
      </c>
      <c r="E146" s="15">
        <v>106.09</v>
      </c>
      <c r="F146" s="15">
        <v>106.34</v>
      </c>
      <c r="G146" s="15">
        <v>105.35</v>
      </c>
      <c r="H146" s="15">
        <v>107.13</v>
      </c>
      <c r="I146" s="15">
        <v>155.97999999999999</v>
      </c>
      <c r="J146" s="15">
        <v>117.06</v>
      </c>
      <c r="K146" s="15">
        <v>117.27</v>
      </c>
      <c r="L146" s="15">
        <v>210.88</v>
      </c>
      <c r="M146" s="15">
        <v>108.42</v>
      </c>
      <c r="N146" s="15">
        <v>119.03</v>
      </c>
      <c r="O146" t="s">
        <v>3028</v>
      </c>
    </row>
    <row r="147" spans="1:15" x14ac:dyDescent="0.25">
      <c r="A147" s="10" t="s">
        <v>392</v>
      </c>
      <c r="B147" s="15">
        <v>407.81</v>
      </c>
      <c r="C147" s="15">
        <v>323.89</v>
      </c>
      <c r="D147" s="15">
        <v>351.54</v>
      </c>
      <c r="E147" s="15">
        <v>339.28</v>
      </c>
      <c r="F147" s="15">
        <v>298.69</v>
      </c>
      <c r="G147" s="15">
        <v>366.04</v>
      </c>
      <c r="H147" s="15">
        <v>312.75</v>
      </c>
      <c r="I147" s="15">
        <v>446.97</v>
      </c>
      <c r="J147" s="15">
        <v>468.77</v>
      </c>
      <c r="K147" s="15">
        <v>667.62</v>
      </c>
      <c r="L147" s="15">
        <v>242.67</v>
      </c>
      <c r="M147" s="15">
        <v>343.88</v>
      </c>
      <c r="N147" s="15">
        <v>377.76</v>
      </c>
      <c r="O147" t="s">
        <v>3028</v>
      </c>
    </row>
    <row r="148" spans="1:15" x14ac:dyDescent="0.25">
      <c r="A148" s="10" t="s">
        <v>394</v>
      </c>
      <c r="B148" s="15">
        <v>184.73</v>
      </c>
      <c r="C148" s="15">
        <v>166.48</v>
      </c>
      <c r="D148" s="15">
        <v>180.14</v>
      </c>
      <c r="E148" s="15">
        <v>543.14</v>
      </c>
      <c r="F148" s="15">
        <v>28.32</v>
      </c>
      <c r="G148" s="15">
        <v>161.6</v>
      </c>
      <c r="H148" s="15">
        <v>166.09</v>
      </c>
      <c r="I148" s="15">
        <v>212.07</v>
      </c>
      <c r="J148" s="15">
        <v>179.61</v>
      </c>
      <c r="K148" s="15">
        <v>202.16</v>
      </c>
      <c r="L148" s="15">
        <v>179.56</v>
      </c>
      <c r="M148" s="15">
        <v>179.14</v>
      </c>
      <c r="N148" s="15">
        <v>187.16</v>
      </c>
      <c r="O148" t="s">
        <v>3028</v>
      </c>
    </row>
    <row r="149" spans="1:15" x14ac:dyDescent="0.25">
      <c r="A149" s="10" t="s">
        <v>396</v>
      </c>
      <c r="B149" s="15">
        <v>570.88</v>
      </c>
      <c r="C149" s="15">
        <v>510.81</v>
      </c>
      <c r="D149" s="15">
        <v>501.24</v>
      </c>
      <c r="E149" s="15">
        <v>498.37</v>
      </c>
      <c r="F149" s="15">
        <v>499.62</v>
      </c>
      <c r="G149" s="15">
        <v>570.88</v>
      </c>
      <c r="H149" s="15">
        <v>498.17</v>
      </c>
      <c r="I149" s="15">
        <v>570.88</v>
      </c>
      <c r="J149" s="15">
        <v>570.88</v>
      </c>
      <c r="K149" s="15">
        <v>560.65</v>
      </c>
      <c r="L149" s="15">
        <v>759.2</v>
      </c>
      <c r="M149" s="15">
        <v>382.56</v>
      </c>
      <c r="N149" s="15">
        <v>570.88</v>
      </c>
      <c r="O149" t="s">
        <v>3028</v>
      </c>
    </row>
    <row r="150" spans="1:15" x14ac:dyDescent="0.25">
      <c r="A150" s="10" t="s">
        <v>398</v>
      </c>
      <c r="B150" s="15">
        <v>570.88</v>
      </c>
      <c r="C150" s="15">
        <v>570.88</v>
      </c>
      <c r="D150" s="15">
        <v>570.88</v>
      </c>
      <c r="E150" s="15">
        <v>570.88</v>
      </c>
      <c r="F150" s="15">
        <v>570.88</v>
      </c>
      <c r="G150" s="15">
        <v>570.88</v>
      </c>
      <c r="H150" s="15">
        <v>570.88</v>
      </c>
      <c r="I150" s="15">
        <v>570.88</v>
      </c>
      <c r="J150" s="15">
        <v>570.88</v>
      </c>
      <c r="K150" s="15">
        <v>570.88</v>
      </c>
      <c r="L150" s="15">
        <v>570.88</v>
      </c>
      <c r="M150" s="15">
        <v>570.88</v>
      </c>
      <c r="N150" s="15">
        <v>570.88</v>
      </c>
      <c r="O150" t="s">
        <v>3028</v>
      </c>
    </row>
    <row r="151" spans="1:15" x14ac:dyDescent="0.25">
      <c r="A151" s="10" t="s">
        <v>400</v>
      </c>
      <c r="B151" s="15">
        <v>189.39</v>
      </c>
      <c r="C151" s="15">
        <v>189.39</v>
      </c>
      <c r="D151" s="15">
        <v>189.39</v>
      </c>
      <c r="E151" s="15">
        <v>372.11</v>
      </c>
      <c r="F151" s="15">
        <v>117.79</v>
      </c>
      <c r="G151" s="15">
        <v>189.39</v>
      </c>
      <c r="H151" s="15">
        <v>189.95</v>
      </c>
      <c r="I151" s="15">
        <v>299.74</v>
      </c>
      <c r="J151" s="15">
        <v>208.54</v>
      </c>
      <c r="K151" s="15">
        <v>207.99</v>
      </c>
      <c r="L151" s="15">
        <v>207.99</v>
      </c>
      <c r="M151" s="15">
        <v>208.14</v>
      </c>
      <c r="N151" s="15">
        <v>208.1</v>
      </c>
      <c r="O151" t="s">
        <v>3028</v>
      </c>
    </row>
    <row r="152" spans="1:15" x14ac:dyDescent="0.25">
      <c r="A152" s="10" t="s">
        <v>402</v>
      </c>
      <c r="B152" s="15">
        <v>73.069999999999993</v>
      </c>
      <c r="C152" s="15">
        <v>102.81</v>
      </c>
      <c r="D152" s="15">
        <v>0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18.03</v>
      </c>
      <c r="O152" t="s">
        <v>3028</v>
      </c>
    </row>
    <row r="153" spans="1:15" x14ac:dyDescent="0.25">
      <c r="A153" s="10" t="s">
        <v>404</v>
      </c>
      <c r="B153" s="15">
        <v>570.88</v>
      </c>
      <c r="C153" s="15">
        <v>570.88</v>
      </c>
      <c r="D153" s="15">
        <v>570.88</v>
      </c>
      <c r="E153" s="15">
        <v>570.88</v>
      </c>
      <c r="F153" s="15">
        <v>570.88</v>
      </c>
      <c r="G153" s="15">
        <v>570.88</v>
      </c>
      <c r="H153" s="15">
        <v>570.88</v>
      </c>
      <c r="I153" s="15">
        <v>570.88</v>
      </c>
      <c r="J153" s="15">
        <v>570.88</v>
      </c>
      <c r="K153" s="15">
        <v>570.88</v>
      </c>
      <c r="L153" s="15">
        <v>570.88</v>
      </c>
      <c r="M153" s="15">
        <v>570.88</v>
      </c>
      <c r="N153" s="15">
        <v>570.88</v>
      </c>
      <c r="O153" t="s">
        <v>3028</v>
      </c>
    </row>
    <row r="154" spans="1:15" x14ac:dyDescent="0.25">
      <c r="A154" s="10" t="s">
        <v>406</v>
      </c>
      <c r="B154" s="15">
        <v>393.06</v>
      </c>
      <c r="C154" s="15">
        <v>331.06</v>
      </c>
      <c r="D154" s="15">
        <v>305.94</v>
      </c>
      <c r="E154" s="15">
        <v>337.54</v>
      </c>
      <c r="F154" s="15">
        <v>389.77</v>
      </c>
      <c r="G154" s="15">
        <v>377.88</v>
      </c>
      <c r="H154" s="15">
        <v>783.58</v>
      </c>
      <c r="I154" s="15">
        <v>135.93</v>
      </c>
      <c r="J154" s="15">
        <v>347.84</v>
      </c>
      <c r="K154" s="15">
        <v>355.77</v>
      </c>
      <c r="L154" s="15">
        <v>439.83</v>
      </c>
      <c r="M154" s="15">
        <v>395.2</v>
      </c>
      <c r="N154" s="15">
        <v>386.29</v>
      </c>
      <c r="O154" t="s">
        <v>3028</v>
      </c>
    </row>
    <row r="155" spans="1:15" x14ac:dyDescent="0.25">
      <c r="A155" s="10" t="s">
        <v>408</v>
      </c>
      <c r="B155" s="15">
        <v>441.46</v>
      </c>
      <c r="C155" s="15">
        <v>446.27</v>
      </c>
      <c r="D155" s="15">
        <v>477.29</v>
      </c>
      <c r="E155" s="15">
        <v>436.83</v>
      </c>
      <c r="F155" s="15">
        <v>439.49</v>
      </c>
      <c r="G155" s="15">
        <v>433.14</v>
      </c>
      <c r="H155" s="15">
        <v>443.84</v>
      </c>
      <c r="I155" s="15">
        <v>1080.56</v>
      </c>
      <c r="J155" s="15">
        <v>61.2</v>
      </c>
      <c r="K155" s="15">
        <v>455.75</v>
      </c>
      <c r="L155" s="15">
        <v>471.28</v>
      </c>
      <c r="M155" s="15">
        <v>467.92</v>
      </c>
      <c r="N155" s="15">
        <v>478.89</v>
      </c>
      <c r="O155" t="s">
        <v>3028</v>
      </c>
    </row>
    <row r="156" spans="1:15" x14ac:dyDescent="0.25">
      <c r="A156" s="10" t="s">
        <v>410</v>
      </c>
      <c r="B156" s="15">
        <v>520.24</v>
      </c>
      <c r="C156" s="15">
        <v>467.05</v>
      </c>
      <c r="D156" s="15">
        <v>455.29</v>
      </c>
      <c r="E156" s="15">
        <v>452.04</v>
      </c>
      <c r="F156" s="15">
        <v>465.85</v>
      </c>
      <c r="G156" s="15">
        <v>1040.45</v>
      </c>
      <c r="H156" s="15">
        <v>0</v>
      </c>
      <c r="I156" s="15">
        <v>570.88</v>
      </c>
      <c r="J156" s="15">
        <v>505.39</v>
      </c>
      <c r="K156" s="15">
        <v>510.28</v>
      </c>
      <c r="L156" s="15">
        <v>570.88</v>
      </c>
      <c r="M156" s="15">
        <v>553.49</v>
      </c>
      <c r="N156" s="15">
        <v>520.9</v>
      </c>
      <c r="O156" t="s">
        <v>3028</v>
      </c>
    </row>
    <row r="157" spans="1:15" x14ac:dyDescent="0.25">
      <c r="A157" s="10" t="s">
        <v>412</v>
      </c>
      <c r="B157" s="15">
        <v>231.53</v>
      </c>
      <c r="C157" s="15">
        <v>225.88</v>
      </c>
      <c r="D157" s="15">
        <v>226.75</v>
      </c>
      <c r="E157" s="15">
        <v>229</v>
      </c>
      <c r="F157" s="15">
        <v>189.54</v>
      </c>
      <c r="G157" s="15">
        <v>189.73</v>
      </c>
      <c r="H157" s="15">
        <v>390.02</v>
      </c>
      <c r="I157" s="15">
        <v>265.91000000000003</v>
      </c>
      <c r="J157" s="15">
        <v>208.44</v>
      </c>
      <c r="K157" s="15">
        <v>208.71</v>
      </c>
      <c r="L157" s="15">
        <v>230.79</v>
      </c>
      <c r="M157" s="15">
        <v>205.21</v>
      </c>
      <c r="N157" s="15">
        <v>223.56</v>
      </c>
      <c r="O157" t="s">
        <v>3028</v>
      </c>
    </row>
    <row r="158" spans="1:15" x14ac:dyDescent="0.25">
      <c r="A158" s="10" t="s">
        <v>414</v>
      </c>
      <c r="B158" s="15">
        <v>570.88</v>
      </c>
      <c r="C158" s="15">
        <v>738.65</v>
      </c>
      <c r="D158" s="15">
        <v>403.11</v>
      </c>
      <c r="E158" s="15">
        <v>570.88</v>
      </c>
      <c r="F158" s="15">
        <v>570.88</v>
      </c>
      <c r="G158" s="15">
        <v>570.88</v>
      </c>
      <c r="H158" s="15">
        <v>570.88</v>
      </c>
      <c r="I158" s="15">
        <v>570.88</v>
      </c>
      <c r="J158" s="15">
        <v>570.88</v>
      </c>
      <c r="K158" s="15">
        <v>570.88</v>
      </c>
      <c r="L158" s="15">
        <v>570.88</v>
      </c>
      <c r="M158" s="15">
        <v>570.88</v>
      </c>
      <c r="N158" s="15">
        <v>570.88</v>
      </c>
      <c r="O158" t="s">
        <v>3028</v>
      </c>
    </row>
    <row r="159" spans="1:15" x14ac:dyDescent="0.25">
      <c r="A159" s="10" t="s">
        <v>416</v>
      </c>
      <c r="B159" s="15">
        <v>570.88</v>
      </c>
      <c r="C159" s="15">
        <v>570.88</v>
      </c>
      <c r="D159" s="15">
        <v>570.88</v>
      </c>
      <c r="E159" s="15">
        <v>477.09</v>
      </c>
      <c r="F159" s="15">
        <v>570.88</v>
      </c>
      <c r="G159" s="15">
        <v>307.39999999999998</v>
      </c>
      <c r="H159" s="15">
        <v>570.88</v>
      </c>
      <c r="I159" s="15">
        <v>570.88</v>
      </c>
      <c r="J159" s="15">
        <v>570.88</v>
      </c>
      <c r="K159" s="15">
        <v>496.72</v>
      </c>
      <c r="L159" s="15">
        <v>570.88</v>
      </c>
      <c r="M159" s="15">
        <v>570.88</v>
      </c>
      <c r="N159" s="15">
        <v>570.88</v>
      </c>
      <c r="O159" t="s">
        <v>3028</v>
      </c>
    </row>
    <row r="160" spans="1:15" x14ac:dyDescent="0.25">
      <c r="A160" s="10" t="s">
        <v>418</v>
      </c>
      <c r="B160" s="15">
        <v>570.88</v>
      </c>
      <c r="C160" s="15">
        <v>570.88</v>
      </c>
      <c r="D160" s="15">
        <v>570.88</v>
      </c>
      <c r="E160" s="15">
        <v>570.88</v>
      </c>
      <c r="F160" s="15">
        <v>570.88</v>
      </c>
      <c r="G160" s="15">
        <v>570.88</v>
      </c>
      <c r="H160" s="15">
        <v>570.88</v>
      </c>
      <c r="I160" s="15">
        <v>570.88</v>
      </c>
      <c r="J160" s="15">
        <v>570.88</v>
      </c>
      <c r="K160" s="15">
        <v>570.88</v>
      </c>
      <c r="L160" s="15">
        <v>570.88</v>
      </c>
      <c r="M160" s="15">
        <v>570.88</v>
      </c>
      <c r="N160" s="15">
        <v>570.88</v>
      </c>
      <c r="O160" t="s">
        <v>3028</v>
      </c>
    </row>
    <row r="161" spans="1:15" x14ac:dyDescent="0.25">
      <c r="A161" s="10" t="s">
        <v>420</v>
      </c>
      <c r="B161" s="15">
        <v>177.85</v>
      </c>
      <c r="C161" s="15">
        <v>178.08</v>
      </c>
      <c r="D161" s="15">
        <v>151.27000000000001</v>
      </c>
      <c r="E161" s="15">
        <v>140.13</v>
      </c>
      <c r="F161" s="15">
        <v>114.42</v>
      </c>
      <c r="G161" s="15">
        <v>114.11</v>
      </c>
      <c r="H161" s="15">
        <v>124.09</v>
      </c>
      <c r="I161" s="15">
        <v>150.25</v>
      </c>
      <c r="J161" s="15">
        <v>146.88</v>
      </c>
      <c r="K161" s="15">
        <v>160.07</v>
      </c>
      <c r="L161" s="15">
        <v>188.77</v>
      </c>
      <c r="M161" s="15">
        <v>178.13</v>
      </c>
      <c r="N161" s="15">
        <v>165.08</v>
      </c>
      <c r="O161" t="s">
        <v>3028</v>
      </c>
    </row>
    <row r="162" spans="1:15" x14ac:dyDescent="0.25">
      <c r="A162" s="10" t="s">
        <v>422</v>
      </c>
      <c r="B162" s="15">
        <v>287.51</v>
      </c>
      <c r="C162" s="15">
        <v>230.45</v>
      </c>
      <c r="D162" s="15">
        <v>230.45</v>
      </c>
      <c r="E162" s="15">
        <v>230.45</v>
      </c>
      <c r="F162" s="15">
        <v>230.45</v>
      </c>
      <c r="G162" s="15">
        <v>230.45</v>
      </c>
      <c r="H162" s="15">
        <v>230.45</v>
      </c>
      <c r="I162" s="15">
        <v>364.64</v>
      </c>
      <c r="J162" s="15">
        <v>344.02</v>
      </c>
      <c r="K162" s="15">
        <v>309.32</v>
      </c>
      <c r="L162" s="15">
        <v>382</v>
      </c>
      <c r="M162" s="15">
        <v>309.32</v>
      </c>
      <c r="N162" s="15">
        <v>312.74</v>
      </c>
      <c r="O162" t="s">
        <v>3028</v>
      </c>
    </row>
    <row r="163" spans="1:15" x14ac:dyDescent="0.25">
      <c r="A163" s="10" t="s">
        <v>424</v>
      </c>
      <c r="B163" s="15">
        <v>104</v>
      </c>
      <c r="C163" s="15">
        <v>48.85</v>
      </c>
      <c r="D163" s="15">
        <v>104.72</v>
      </c>
      <c r="E163" s="15">
        <v>104.69</v>
      </c>
      <c r="F163" s="15">
        <v>104.27</v>
      </c>
      <c r="G163" s="15">
        <v>117.66</v>
      </c>
      <c r="H163" s="15">
        <v>104.45</v>
      </c>
      <c r="I163" s="15">
        <v>104</v>
      </c>
      <c r="J163" s="15">
        <v>104.33</v>
      </c>
      <c r="K163" s="15">
        <v>141.04</v>
      </c>
      <c r="L163" s="15">
        <v>114.52</v>
      </c>
      <c r="M163" s="15">
        <v>288.58999999999997</v>
      </c>
      <c r="N163" s="15">
        <v>106.17</v>
      </c>
      <c r="O163" t="s">
        <v>3028</v>
      </c>
    </row>
    <row r="164" spans="1:15" x14ac:dyDescent="0.25">
      <c r="A164" s="10" t="s">
        <v>426</v>
      </c>
      <c r="B164" s="15">
        <v>570.88</v>
      </c>
      <c r="C164" s="15">
        <v>570.88</v>
      </c>
      <c r="D164" s="15">
        <v>570.88</v>
      </c>
      <c r="E164" s="15">
        <v>570.88</v>
      </c>
      <c r="F164" s="15">
        <v>570.88</v>
      </c>
      <c r="G164" s="15">
        <v>570.88</v>
      </c>
      <c r="H164" s="15">
        <v>570.88</v>
      </c>
      <c r="I164" s="15">
        <v>570.88</v>
      </c>
      <c r="J164" s="15">
        <v>570.88</v>
      </c>
      <c r="K164" s="15">
        <v>570.88</v>
      </c>
      <c r="L164" s="15">
        <v>570.88</v>
      </c>
      <c r="M164" s="15">
        <v>570.88</v>
      </c>
      <c r="N164" s="15">
        <v>570.88</v>
      </c>
      <c r="O164" t="s">
        <v>3028</v>
      </c>
    </row>
    <row r="165" spans="1:15" x14ac:dyDescent="0.25">
      <c r="A165" s="10" t="s">
        <v>428</v>
      </c>
      <c r="B165" s="15">
        <v>0</v>
      </c>
      <c r="C165" s="15">
        <v>0</v>
      </c>
      <c r="D165" s="15">
        <v>0</v>
      </c>
      <c r="E165" s="15">
        <v>0</v>
      </c>
      <c r="F165" s="15">
        <v>0</v>
      </c>
      <c r="G165" s="15">
        <v>0</v>
      </c>
      <c r="H165" s="15">
        <v>0</v>
      </c>
      <c r="I165" s="15">
        <v>0</v>
      </c>
      <c r="J165" s="15">
        <v>0</v>
      </c>
      <c r="K165" s="15">
        <v>0</v>
      </c>
      <c r="L165" s="15">
        <v>570.88</v>
      </c>
      <c r="M165" s="15">
        <v>570.88</v>
      </c>
      <c r="N165" s="15">
        <v>299.64999999999998</v>
      </c>
      <c r="O165" t="s">
        <v>3028</v>
      </c>
    </row>
    <row r="166" spans="1:15" x14ac:dyDescent="0.25">
      <c r="A166" s="10" t="s">
        <v>430</v>
      </c>
      <c r="B166" s="15">
        <v>570.88</v>
      </c>
      <c r="C166" s="15">
        <v>0.64</v>
      </c>
      <c r="D166" s="15">
        <v>570.88</v>
      </c>
      <c r="E166" s="15">
        <v>570.88</v>
      </c>
      <c r="F166" s="15">
        <v>570.88</v>
      </c>
      <c r="G166" s="15">
        <v>1050.1600000000001</v>
      </c>
      <c r="H166" s="15">
        <v>91.6</v>
      </c>
      <c r="I166" s="15">
        <v>570.88</v>
      </c>
      <c r="J166" s="15">
        <v>570.88</v>
      </c>
      <c r="K166" s="15">
        <v>570.88</v>
      </c>
      <c r="L166" s="15">
        <v>570.88</v>
      </c>
      <c r="M166" s="15">
        <v>570.88</v>
      </c>
      <c r="N166" s="15">
        <v>570.88</v>
      </c>
      <c r="O166" t="s">
        <v>3028</v>
      </c>
    </row>
    <row r="167" spans="1:15" x14ac:dyDescent="0.25">
      <c r="A167" s="10" t="s">
        <v>432</v>
      </c>
      <c r="B167" s="15">
        <v>365.48</v>
      </c>
      <c r="C167" s="15">
        <v>349.28</v>
      </c>
      <c r="D167" s="15">
        <v>363.36</v>
      </c>
      <c r="E167" s="15">
        <v>355.33</v>
      </c>
      <c r="F167" s="15">
        <v>350.19</v>
      </c>
      <c r="G167" s="15">
        <v>359.75</v>
      </c>
      <c r="H167" s="15">
        <v>348.33</v>
      </c>
      <c r="I167" s="15">
        <v>505.73</v>
      </c>
      <c r="J167" s="15">
        <v>570.88</v>
      </c>
      <c r="K167" s="15">
        <v>403.79</v>
      </c>
      <c r="L167" s="15">
        <v>387.49</v>
      </c>
      <c r="M167" s="15">
        <v>383.15</v>
      </c>
      <c r="N167" s="15">
        <v>397.49</v>
      </c>
      <c r="O167" t="s">
        <v>3028</v>
      </c>
    </row>
    <row r="168" spans="1:15" x14ac:dyDescent="0.25">
      <c r="A168" s="10" t="s">
        <v>434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223.74</v>
      </c>
      <c r="I168" s="15">
        <v>570.88</v>
      </c>
      <c r="J168" s="15">
        <v>477.4</v>
      </c>
      <c r="K168" s="15">
        <v>500.13</v>
      </c>
      <c r="L168" s="15">
        <v>492.91</v>
      </c>
      <c r="M168" s="15">
        <v>521.26</v>
      </c>
      <c r="N168" s="15">
        <v>205.93</v>
      </c>
      <c r="O168" t="s">
        <v>3028</v>
      </c>
    </row>
    <row r="169" spans="1:15" x14ac:dyDescent="0.25">
      <c r="A169" s="10" t="s">
        <v>436</v>
      </c>
      <c r="B169" s="15">
        <v>179.6</v>
      </c>
      <c r="C169" s="15">
        <v>163.58000000000001</v>
      </c>
      <c r="D169" s="15">
        <v>160.04</v>
      </c>
      <c r="E169" s="15">
        <v>381.29</v>
      </c>
      <c r="F169" s="15">
        <v>2.4</v>
      </c>
      <c r="G169" s="15">
        <v>159.79</v>
      </c>
      <c r="H169" s="15">
        <v>162.4</v>
      </c>
      <c r="I169" s="15">
        <v>223.89</v>
      </c>
      <c r="J169" s="15">
        <v>194.11</v>
      </c>
      <c r="K169" s="15">
        <v>194.46</v>
      </c>
      <c r="L169" s="15">
        <v>195.06</v>
      </c>
      <c r="M169" s="15">
        <v>213.82</v>
      </c>
      <c r="N169" s="15">
        <v>187.32</v>
      </c>
      <c r="O169" t="s">
        <v>3028</v>
      </c>
    </row>
    <row r="170" spans="1:15" x14ac:dyDescent="0.25">
      <c r="A170" s="10" t="s">
        <v>438</v>
      </c>
      <c r="B170" s="15">
        <v>396.3</v>
      </c>
      <c r="C170" s="15">
        <v>395.45</v>
      </c>
      <c r="D170" s="15">
        <v>398.72</v>
      </c>
      <c r="E170" s="15">
        <v>404.9</v>
      </c>
      <c r="F170" s="15">
        <v>409.42</v>
      </c>
      <c r="G170" s="15">
        <v>406.25</v>
      </c>
      <c r="H170" s="15">
        <v>396.35</v>
      </c>
      <c r="I170" s="15">
        <v>517.04999999999995</v>
      </c>
      <c r="J170" s="15">
        <v>556.75</v>
      </c>
      <c r="K170" s="15">
        <v>427.29</v>
      </c>
      <c r="L170" s="15">
        <v>435.65</v>
      </c>
      <c r="M170" s="15">
        <v>434.28</v>
      </c>
      <c r="N170" s="15">
        <v>438.64</v>
      </c>
      <c r="O170" t="s">
        <v>3028</v>
      </c>
    </row>
    <row r="171" spans="1:15" x14ac:dyDescent="0.25">
      <c r="A171" s="10" t="s">
        <v>440</v>
      </c>
      <c r="B171" s="15">
        <v>57.87</v>
      </c>
      <c r="C171" s="15">
        <v>570.88</v>
      </c>
      <c r="D171" s="15">
        <v>570.88</v>
      </c>
      <c r="E171" s="15">
        <v>570.88</v>
      </c>
      <c r="F171" s="15">
        <v>570.88</v>
      </c>
      <c r="G171" s="15">
        <v>570.88</v>
      </c>
      <c r="H171" s="15">
        <v>570.88</v>
      </c>
      <c r="I171" s="15">
        <v>570.88</v>
      </c>
      <c r="J171" s="15">
        <v>570.88</v>
      </c>
      <c r="K171" s="15">
        <v>570.88</v>
      </c>
      <c r="L171" s="15">
        <v>570.88</v>
      </c>
      <c r="M171" s="15">
        <v>570.88</v>
      </c>
      <c r="N171" s="15">
        <v>570.88</v>
      </c>
      <c r="O171" t="s">
        <v>3028</v>
      </c>
    </row>
    <row r="172" spans="1:15" x14ac:dyDescent="0.25">
      <c r="A172" s="10" t="s">
        <v>442</v>
      </c>
      <c r="B172" s="15">
        <v>163.08000000000001</v>
      </c>
      <c r="C172" s="15">
        <v>204.22</v>
      </c>
      <c r="D172" s="15">
        <v>163.98</v>
      </c>
      <c r="E172" s="15">
        <v>164.27</v>
      </c>
      <c r="F172" s="15">
        <v>265.89</v>
      </c>
      <c r="G172" s="15">
        <v>128.16</v>
      </c>
      <c r="H172" s="15">
        <v>162.86000000000001</v>
      </c>
      <c r="I172" s="15">
        <v>290.95</v>
      </c>
      <c r="J172" s="15">
        <v>176.17</v>
      </c>
      <c r="K172" s="15">
        <v>180.45</v>
      </c>
      <c r="L172" s="15">
        <v>184.5</v>
      </c>
      <c r="M172" s="15">
        <v>200.52</v>
      </c>
      <c r="N172" s="15">
        <v>187.02</v>
      </c>
      <c r="O172" t="s">
        <v>3028</v>
      </c>
    </row>
    <row r="173" spans="1:15" x14ac:dyDescent="0.25">
      <c r="A173" s="10" t="s">
        <v>444</v>
      </c>
      <c r="B173" s="15">
        <v>426.29</v>
      </c>
      <c r="C173" s="15">
        <v>435.06</v>
      </c>
      <c r="D173" s="15">
        <v>431.42</v>
      </c>
      <c r="E173" s="15">
        <v>431.26</v>
      </c>
      <c r="F173" s="15">
        <v>432.13</v>
      </c>
      <c r="G173" s="15">
        <v>460.24</v>
      </c>
      <c r="H173" s="15">
        <v>430.34</v>
      </c>
      <c r="I173" s="15">
        <v>570.88</v>
      </c>
      <c r="J173" s="15">
        <v>476.55</v>
      </c>
      <c r="K173" s="15">
        <v>470.32</v>
      </c>
      <c r="L173" s="15">
        <v>828.79</v>
      </c>
      <c r="M173" s="15">
        <v>299.06</v>
      </c>
      <c r="N173" s="15">
        <v>485.55</v>
      </c>
      <c r="O173" t="s">
        <v>3028</v>
      </c>
    </row>
    <row r="174" spans="1:15" x14ac:dyDescent="0.25">
      <c r="A174" s="10" t="s">
        <v>450</v>
      </c>
      <c r="B174" s="15">
        <v>116.42</v>
      </c>
      <c r="C174" s="15">
        <v>122.43</v>
      </c>
      <c r="D174" s="15">
        <v>107.43</v>
      </c>
      <c r="E174" s="15">
        <v>108</v>
      </c>
      <c r="F174" s="15">
        <v>118.17</v>
      </c>
      <c r="G174" s="15">
        <v>280.60000000000002</v>
      </c>
      <c r="H174" s="15">
        <v>21.01</v>
      </c>
      <c r="I174" s="15">
        <v>154.19999999999999</v>
      </c>
      <c r="J174" s="15">
        <v>118.13</v>
      </c>
      <c r="K174" s="15">
        <v>160.13</v>
      </c>
      <c r="L174" s="15">
        <v>152.43</v>
      </c>
      <c r="M174" s="15">
        <v>151.9</v>
      </c>
      <c r="N174" s="15">
        <v>143.22999999999999</v>
      </c>
      <c r="O174" t="s">
        <v>3028</v>
      </c>
    </row>
    <row r="175" spans="1:15" x14ac:dyDescent="0.25">
      <c r="A175" s="10" t="s">
        <v>452</v>
      </c>
      <c r="B175" s="15">
        <v>0</v>
      </c>
      <c r="C175" s="15">
        <v>0</v>
      </c>
      <c r="D175" s="15">
        <v>0</v>
      </c>
      <c r="E175" s="15">
        <v>198.17</v>
      </c>
      <c r="F175" s="15">
        <v>428.77</v>
      </c>
      <c r="G175" s="15">
        <v>429.1</v>
      </c>
      <c r="H175" s="15">
        <v>428.24</v>
      </c>
      <c r="I175" s="15">
        <v>570.88</v>
      </c>
      <c r="J175" s="15">
        <v>523.49</v>
      </c>
      <c r="K175" s="15">
        <v>473.59</v>
      </c>
      <c r="L175" s="15">
        <v>471.09</v>
      </c>
      <c r="M175" s="15">
        <v>469.67</v>
      </c>
      <c r="N175" s="15">
        <v>361.41</v>
      </c>
      <c r="O175" t="s">
        <v>3028</v>
      </c>
    </row>
    <row r="176" spans="1:15" x14ac:dyDescent="0.25">
      <c r="A176" s="10" t="s">
        <v>454</v>
      </c>
      <c r="B176" s="15">
        <v>107.95</v>
      </c>
      <c r="C176" s="15">
        <v>107.26</v>
      </c>
      <c r="D176" s="15">
        <v>108.53</v>
      </c>
      <c r="E176" s="15">
        <v>108.07</v>
      </c>
      <c r="F176" s="15">
        <v>212.23</v>
      </c>
      <c r="G176" s="15">
        <v>81.97</v>
      </c>
      <c r="H176" s="15">
        <v>156.88999999999999</v>
      </c>
      <c r="I176" s="15">
        <v>192.56</v>
      </c>
      <c r="J176" s="15">
        <v>163.82</v>
      </c>
      <c r="K176" s="15">
        <v>166.36</v>
      </c>
      <c r="L176" s="15">
        <v>159.47</v>
      </c>
      <c r="M176" s="15">
        <v>167.22</v>
      </c>
      <c r="N176" s="15">
        <v>151.65</v>
      </c>
      <c r="O176" t="s">
        <v>3028</v>
      </c>
    </row>
    <row r="177" spans="1:15" x14ac:dyDescent="0.25">
      <c r="A177" s="10" t="s">
        <v>456</v>
      </c>
      <c r="B177" s="15">
        <v>537.72</v>
      </c>
      <c r="C177" s="15">
        <v>529.08000000000004</v>
      </c>
      <c r="D177" s="15">
        <v>511.96</v>
      </c>
      <c r="E177" s="15">
        <v>514.71</v>
      </c>
      <c r="F177" s="15">
        <v>511.64</v>
      </c>
      <c r="G177" s="15">
        <v>561.14</v>
      </c>
      <c r="H177" s="15">
        <v>501.66</v>
      </c>
      <c r="I177" s="15">
        <v>570.88</v>
      </c>
      <c r="J177" s="15">
        <v>1118.58</v>
      </c>
      <c r="K177" s="15">
        <v>0</v>
      </c>
      <c r="L177" s="15">
        <v>560.36</v>
      </c>
      <c r="M177" s="15">
        <v>570.88</v>
      </c>
      <c r="N177" s="15">
        <v>570.88</v>
      </c>
      <c r="O177" t="s">
        <v>3028</v>
      </c>
    </row>
    <row r="178" spans="1:15" x14ac:dyDescent="0.25">
      <c r="A178" s="10" t="s">
        <v>458</v>
      </c>
      <c r="B178" s="15">
        <v>570.88</v>
      </c>
      <c r="C178" s="15">
        <v>570.88</v>
      </c>
      <c r="D178" s="15">
        <v>570.88</v>
      </c>
      <c r="E178" s="15">
        <v>570.88</v>
      </c>
      <c r="F178" s="15">
        <v>570.88</v>
      </c>
      <c r="G178" s="15">
        <v>1059.94</v>
      </c>
      <c r="H178" s="15">
        <v>81.819999999999993</v>
      </c>
      <c r="I178" s="15">
        <v>570.88</v>
      </c>
      <c r="J178" s="15">
        <v>373.93</v>
      </c>
      <c r="K178" s="15">
        <v>0</v>
      </c>
      <c r="L178" s="15">
        <v>0</v>
      </c>
      <c r="M178" s="15">
        <v>0</v>
      </c>
      <c r="N178" s="15">
        <v>545.41</v>
      </c>
      <c r="O178" t="s">
        <v>3028</v>
      </c>
    </row>
    <row r="179" spans="1:15" x14ac:dyDescent="0.25">
      <c r="A179" s="10" t="s">
        <v>460</v>
      </c>
      <c r="B179" s="15">
        <v>204.71</v>
      </c>
      <c r="C179" s="15">
        <v>222.29</v>
      </c>
      <c r="D179" s="15">
        <v>582.41999999999996</v>
      </c>
      <c r="E179" s="15">
        <v>33.700000000000003</v>
      </c>
      <c r="F179" s="15">
        <v>185.11</v>
      </c>
      <c r="G179" s="15">
        <v>223.32</v>
      </c>
      <c r="H179" s="15">
        <v>411.33</v>
      </c>
      <c r="I179" s="15">
        <v>422.28</v>
      </c>
      <c r="J179" s="15">
        <v>358.49</v>
      </c>
      <c r="K179" s="15">
        <v>374.67</v>
      </c>
      <c r="L179" s="15">
        <v>361.04</v>
      </c>
      <c r="M179" s="15">
        <v>414.15</v>
      </c>
      <c r="N179" s="15">
        <v>375.18</v>
      </c>
      <c r="O179" t="s">
        <v>3028</v>
      </c>
    </row>
    <row r="180" spans="1:15" x14ac:dyDescent="0.25">
      <c r="A180" s="10" t="s">
        <v>462</v>
      </c>
      <c r="B180" s="15">
        <v>105.09</v>
      </c>
      <c r="C180" s="15">
        <v>104.06</v>
      </c>
      <c r="D180" s="15">
        <v>105.19</v>
      </c>
      <c r="E180" s="15">
        <v>105.5</v>
      </c>
      <c r="F180" s="15">
        <v>105.34</v>
      </c>
      <c r="G180" s="15">
        <v>176.98</v>
      </c>
      <c r="H180" s="15">
        <v>86.93</v>
      </c>
      <c r="I180" s="15">
        <v>107.98</v>
      </c>
      <c r="J180" s="15">
        <v>144.49</v>
      </c>
      <c r="K180" s="15">
        <v>173.71</v>
      </c>
      <c r="L180" s="15">
        <v>158.13999999999999</v>
      </c>
      <c r="M180" s="15">
        <v>158.66999999999999</v>
      </c>
      <c r="N180" s="15">
        <v>157.9</v>
      </c>
      <c r="O180" t="s">
        <v>3028</v>
      </c>
    </row>
    <row r="181" spans="1:15" x14ac:dyDescent="0.25">
      <c r="A181" s="10" t="s">
        <v>464</v>
      </c>
      <c r="B181" s="15">
        <v>425.34</v>
      </c>
      <c r="C181" s="15">
        <v>0</v>
      </c>
      <c r="D181" s="15">
        <v>0</v>
      </c>
      <c r="E181" s="15">
        <v>0</v>
      </c>
      <c r="F181" s="15">
        <v>303.97000000000003</v>
      </c>
      <c r="G181" s="15">
        <v>323.14</v>
      </c>
      <c r="H181" s="15">
        <v>814.84</v>
      </c>
      <c r="I181" s="15">
        <v>74.31</v>
      </c>
      <c r="J181" s="15">
        <v>324.26</v>
      </c>
      <c r="K181" s="15">
        <v>446.18</v>
      </c>
      <c r="L181" s="15">
        <v>434.34</v>
      </c>
      <c r="M181" s="15">
        <v>425.45</v>
      </c>
      <c r="N181" s="15">
        <v>384.98</v>
      </c>
      <c r="O181" t="s">
        <v>3028</v>
      </c>
    </row>
    <row r="182" spans="1:15" x14ac:dyDescent="0.25">
      <c r="A182" s="10" t="s">
        <v>466</v>
      </c>
      <c r="B182" s="15">
        <v>290.45999999999998</v>
      </c>
      <c r="C182" s="15">
        <v>322.7</v>
      </c>
      <c r="D182" s="15">
        <v>315.54000000000002</v>
      </c>
      <c r="E182" s="15">
        <v>324.19</v>
      </c>
      <c r="F182" s="15">
        <v>299.17</v>
      </c>
      <c r="G182" s="15">
        <v>510.94</v>
      </c>
      <c r="H182" s="15">
        <v>281.60000000000002</v>
      </c>
      <c r="I182" s="15">
        <v>400.6</v>
      </c>
      <c r="J182" s="15">
        <v>371.04</v>
      </c>
      <c r="K182" s="15">
        <v>323.14</v>
      </c>
      <c r="L182" s="15">
        <v>320.06</v>
      </c>
      <c r="M182" s="15">
        <v>323.52</v>
      </c>
      <c r="N182" s="15">
        <v>337.81</v>
      </c>
      <c r="O182" t="s">
        <v>3028</v>
      </c>
    </row>
    <row r="183" spans="1:15" x14ac:dyDescent="0.25">
      <c r="A183" s="10" t="s">
        <v>468</v>
      </c>
      <c r="B183" s="15">
        <v>478.24</v>
      </c>
      <c r="C183" s="15">
        <v>537.57000000000005</v>
      </c>
      <c r="D183" s="15">
        <v>501.89</v>
      </c>
      <c r="E183" s="15">
        <v>526.09</v>
      </c>
      <c r="F183" s="15">
        <v>556.33000000000004</v>
      </c>
      <c r="G183" s="15">
        <v>570.88</v>
      </c>
      <c r="H183" s="15">
        <v>941.36</v>
      </c>
      <c r="I183" s="15">
        <v>146.31</v>
      </c>
      <c r="J183" s="15">
        <v>547.75</v>
      </c>
      <c r="K183" s="15">
        <v>509.41</v>
      </c>
      <c r="L183" s="15">
        <v>541.25</v>
      </c>
      <c r="M183" s="15">
        <v>535.57000000000005</v>
      </c>
      <c r="N183" s="15">
        <v>566.94000000000005</v>
      </c>
      <c r="O183" t="s">
        <v>3028</v>
      </c>
    </row>
    <row r="184" spans="1:15" x14ac:dyDescent="0.25">
      <c r="A184" s="10" t="s">
        <v>470</v>
      </c>
      <c r="B184" s="15">
        <v>570.88</v>
      </c>
      <c r="C184" s="15">
        <v>570.88</v>
      </c>
      <c r="D184" s="15">
        <v>570.88</v>
      </c>
      <c r="E184" s="15">
        <v>567.89</v>
      </c>
      <c r="F184" s="15">
        <v>570.88</v>
      </c>
      <c r="G184" s="15">
        <v>1141.76</v>
      </c>
      <c r="H184" s="15">
        <v>0</v>
      </c>
      <c r="I184" s="15">
        <v>570.88</v>
      </c>
      <c r="J184" s="15">
        <v>570.88</v>
      </c>
      <c r="K184" s="15">
        <v>570.88</v>
      </c>
      <c r="L184" s="15">
        <v>570.88</v>
      </c>
      <c r="M184" s="15">
        <v>570.88</v>
      </c>
      <c r="N184" s="15">
        <v>570.88</v>
      </c>
      <c r="O184" t="s">
        <v>3028</v>
      </c>
    </row>
    <row r="185" spans="1:15" x14ac:dyDescent="0.25">
      <c r="A185" s="10" t="s">
        <v>472</v>
      </c>
      <c r="B185" s="15">
        <v>570.88</v>
      </c>
      <c r="C185" s="15">
        <v>570.88</v>
      </c>
      <c r="D185" s="15">
        <v>570.88</v>
      </c>
      <c r="E185" s="15">
        <v>570.88</v>
      </c>
      <c r="F185" s="15">
        <v>570.88</v>
      </c>
      <c r="G185" s="15">
        <v>570.88</v>
      </c>
      <c r="H185" s="15">
        <v>570.88</v>
      </c>
      <c r="I185" s="15">
        <v>570.88</v>
      </c>
      <c r="J185" s="15">
        <v>570.88</v>
      </c>
      <c r="K185" s="15">
        <v>570.88</v>
      </c>
      <c r="L185" s="15">
        <v>570.88</v>
      </c>
      <c r="M185" s="15">
        <v>570.88</v>
      </c>
      <c r="N185" s="15">
        <v>570.88</v>
      </c>
      <c r="O185" t="s">
        <v>3028</v>
      </c>
    </row>
    <row r="186" spans="1:15" x14ac:dyDescent="0.25">
      <c r="A186" s="10" t="s">
        <v>474</v>
      </c>
      <c r="B186" s="15">
        <v>317.99</v>
      </c>
      <c r="C186" s="15">
        <v>327.45999999999998</v>
      </c>
      <c r="D186" s="15">
        <v>364.37</v>
      </c>
      <c r="E186" s="15">
        <v>802.87</v>
      </c>
      <c r="F186" s="15">
        <v>16.16</v>
      </c>
      <c r="G186" s="15">
        <v>331.06</v>
      </c>
      <c r="H186" s="15">
        <v>316.17</v>
      </c>
      <c r="I186" s="15">
        <v>416.01</v>
      </c>
      <c r="J186" s="15">
        <v>352.61</v>
      </c>
      <c r="K186" s="15">
        <v>356.67</v>
      </c>
      <c r="L186" s="15">
        <v>415.69</v>
      </c>
      <c r="M186" s="15">
        <v>348.88</v>
      </c>
      <c r="N186" s="15">
        <v>367.06</v>
      </c>
      <c r="O186" t="s">
        <v>3028</v>
      </c>
    </row>
    <row r="187" spans="1:15" x14ac:dyDescent="0.25">
      <c r="A187" s="10" t="s">
        <v>476</v>
      </c>
      <c r="B187" s="15">
        <v>108.76</v>
      </c>
      <c r="C187" s="15">
        <v>163</v>
      </c>
      <c r="D187" s="15">
        <v>111.38</v>
      </c>
      <c r="E187" s="15">
        <v>282.02999999999997</v>
      </c>
      <c r="F187" s="15">
        <v>2.64</v>
      </c>
      <c r="G187" s="15">
        <v>106.76</v>
      </c>
      <c r="H187" s="15">
        <v>108.34</v>
      </c>
      <c r="I187" s="15">
        <v>157.80000000000001</v>
      </c>
      <c r="J187" s="15">
        <v>119.52</v>
      </c>
      <c r="K187" s="15">
        <v>121.27</v>
      </c>
      <c r="L187" s="15">
        <v>118.58</v>
      </c>
      <c r="M187" s="15">
        <v>121.16</v>
      </c>
      <c r="N187" s="15">
        <v>122.92</v>
      </c>
      <c r="O187" t="s">
        <v>3028</v>
      </c>
    </row>
    <row r="188" spans="1:15" x14ac:dyDescent="0.25">
      <c r="A188" s="10" t="s">
        <v>478</v>
      </c>
      <c r="B188" s="15">
        <v>0</v>
      </c>
      <c r="C188" s="15">
        <v>0</v>
      </c>
      <c r="D188" s="15">
        <v>0</v>
      </c>
      <c r="E188" s="15">
        <v>0</v>
      </c>
      <c r="F188" s="15">
        <v>0</v>
      </c>
      <c r="G188" s="15">
        <v>0</v>
      </c>
      <c r="H188" s="15">
        <v>0</v>
      </c>
      <c r="I188" s="15">
        <v>570.88</v>
      </c>
      <c r="J188" s="15">
        <v>570.88</v>
      </c>
      <c r="K188" s="15">
        <v>570.88</v>
      </c>
      <c r="L188" s="15">
        <v>570.88</v>
      </c>
      <c r="M188" s="15">
        <v>570.88</v>
      </c>
      <c r="N188" s="15">
        <v>429.99</v>
      </c>
      <c r="O188" t="s">
        <v>3028</v>
      </c>
    </row>
    <row r="189" spans="1:15" x14ac:dyDescent="0.25">
      <c r="A189" s="10" t="s">
        <v>480</v>
      </c>
      <c r="B189" s="15">
        <v>104</v>
      </c>
      <c r="C189" s="15">
        <v>143.62</v>
      </c>
      <c r="D189" s="15">
        <v>0</v>
      </c>
      <c r="E189" s="15">
        <v>0</v>
      </c>
      <c r="F189" s="15">
        <v>0</v>
      </c>
      <c r="G189" s="15">
        <v>0</v>
      </c>
      <c r="H189" s="15">
        <v>0</v>
      </c>
      <c r="I189" s="15">
        <v>0</v>
      </c>
      <c r="J189" s="15">
        <v>0</v>
      </c>
      <c r="K189" s="15">
        <v>0</v>
      </c>
      <c r="L189" s="15">
        <v>0</v>
      </c>
      <c r="M189" s="15">
        <v>0</v>
      </c>
      <c r="N189" s="15">
        <v>17.420000000000002</v>
      </c>
      <c r="O189" t="s">
        <v>3028</v>
      </c>
    </row>
    <row r="190" spans="1:15" x14ac:dyDescent="0.25">
      <c r="A190" s="10" t="s">
        <v>482</v>
      </c>
      <c r="B190" s="15">
        <v>104.03</v>
      </c>
      <c r="C190" s="15">
        <v>104.13</v>
      </c>
      <c r="D190" s="15">
        <v>105.36</v>
      </c>
      <c r="E190" s="15">
        <v>112.73</v>
      </c>
      <c r="F190" s="15">
        <v>110.71</v>
      </c>
      <c r="G190" s="15">
        <v>152.16999999999999</v>
      </c>
      <c r="H190" s="15">
        <v>157.57</v>
      </c>
      <c r="I190" s="15">
        <v>0</v>
      </c>
      <c r="J190" s="15">
        <v>0</v>
      </c>
      <c r="K190" s="15">
        <v>0</v>
      </c>
      <c r="L190" s="15">
        <v>102.6</v>
      </c>
      <c r="M190" s="15">
        <v>168.99</v>
      </c>
      <c r="N190" s="15">
        <v>93.52</v>
      </c>
      <c r="O190" t="s">
        <v>3028</v>
      </c>
    </row>
    <row r="191" spans="1:15" x14ac:dyDescent="0.25">
      <c r="A191" s="10" t="s">
        <v>484</v>
      </c>
      <c r="B191" s="15">
        <v>96.51</v>
      </c>
      <c r="C191" s="15">
        <v>213.79</v>
      </c>
      <c r="D191" s="15">
        <v>0</v>
      </c>
      <c r="E191" s="15">
        <v>0</v>
      </c>
      <c r="F191" s="15">
        <v>0</v>
      </c>
      <c r="G191" s="15">
        <v>0</v>
      </c>
      <c r="H191" s="15">
        <v>0</v>
      </c>
      <c r="I191" s="15">
        <v>0</v>
      </c>
      <c r="J191" s="15">
        <v>0</v>
      </c>
      <c r="K191" s="15">
        <v>0</v>
      </c>
      <c r="L191" s="15">
        <v>0</v>
      </c>
      <c r="M191" s="15">
        <v>0</v>
      </c>
      <c r="N191" s="15">
        <v>36.26</v>
      </c>
      <c r="O191" t="s">
        <v>3028</v>
      </c>
    </row>
    <row r="192" spans="1:15" x14ac:dyDescent="0.25">
      <c r="A192" s="10" t="s">
        <v>486</v>
      </c>
      <c r="B192" s="15">
        <v>0</v>
      </c>
      <c r="C192" s="15">
        <v>0</v>
      </c>
      <c r="D192" s="15">
        <v>0</v>
      </c>
      <c r="E192" s="15">
        <v>0</v>
      </c>
      <c r="F192" s="15">
        <v>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191.57</v>
      </c>
      <c r="M192" s="15">
        <v>570.88</v>
      </c>
      <c r="N192" s="15">
        <v>65.63</v>
      </c>
      <c r="O192" t="s">
        <v>3028</v>
      </c>
    </row>
    <row r="193" spans="1:15" x14ac:dyDescent="0.25">
      <c r="A193" s="10" t="s">
        <v>488</v>
      </c>
      <c r="B193" s="15">
        <v>144.55000000000001</v>
      </c>
      <c r="C193" s="15">
        <v>143.66999999999999</v>
      </c>
      <c r="D193" s="15">
        <v>342.73</v>
      </c>
      <c r="E193" s="15">
        <v>16.21</v>
      </c>
      <c r="F193" s="15">
        <v>141.85</v>
      </c>
      <c r="G193" s="15">
        <v>163.5</v>
      </c>
      <c r="H193" s="15">
        <v>144.74</v>
      </c>
      <c r="I193" s="15">
        <v>35.85</v>
      </c>
      <c r="J193" s="15">
        <v>75.75</v>
      </c>
      <c r="K193" s="15">
        <v>165.3</v>
      </c>
      <c r="L193" s="15">
        <v>156.08000000000001</v>
      </c>
      <c r="M193" s="15">
        <v>159.27000000000001</v>
      </c>
      <c r="N193" s="15">
        <v>147.32</v>
      </c>
      <c r="O193" t="s">
        <v>3028</v>
      </c>
    </row>
    <row r="194" spans="1:15" x14ac:dyDescent="0.25">
      <c r="A194" s="10" t="s">
        <v>490</v>
      </c>
      <c r="B194" s="15">
        <v>0</v>
      </c>
      <c r="C194" s="15">
        <v>0</v>
      </c>
      <c r="D194" s="15">
        <v>58.93</v>
      </c>
      <c r="E194" s="15">
        <v>104.36</v>
      </c>
      <c r="F194" s="15">
        <v>104.12</v>
      </c>
      <c r="G194" s="15">
        <v>104.44</v>
      </c>
      <c r="H194" s="15">
        <v>104.11</v>
      </c>
      <c r="I194" s="15">
        <v>104.52</v>
      </c>
      <c r="J194" s="15">
        <v>104.83</v>
      </c>
      <c r="K194" s="15">
        <v>140.56</v>
      </c>
      <c r="L194" s="15">
        <v>114.14</v>
      </c>
      <c r="M194" s="15">
        <v>114.12</v>
      </c>
      <c r="N194" s="15">
        <v>95.32</v>
      </c>
      <c r="O194" t="s">
        <v>3028</v>
      </c>
    </row>
    <row r="195" spans="1:15" x14ac:dyDescent="0.25">
      <c r="A195" s="10" t="s">
        <v>492</v>
      </c>
      <c r="B195" s="15">
        <v>570.88</v>
      </c>
      <c r="C195" s="15">
        <v>570.88</v>
      </c>
      <c r="D195" s="15">
        <v>570.88</v>
      </c>
      <c r="E195" s="15">
        <v>570.88</v>
      </c>
      <c r="F195" s="15">
        <v>570.88</v>
      </c>
      <c r="G195" s="15">
        <v>570.88</v>
      </c>
      <c r="H195" s="15">
        <v>570.88</v>
      </c>
      <c r="I195" s="15">
        <v>570.88</v>
      </c>
      <c r="J195" s="15">
        <v>570.88</v>
      </c>
      <c r="K195" s="15">
        <v>570.88</v>
      </c>
      <c r="L195" s="15">
        <v>570.88</v>
      </c>
      <c r="M195" s="15">
        <v>570.88</v>
      </c>
      <c r="N195" s="15">
        <v>570.88</v>
      </c>
      <c r="O195" t="s">
        <v>3028</v>
      </c>
    </row>
    <row r="196" spans="1:15" x14ac:dyDescent="0.25">
      <c r="A196" s="10" t="s">
        <v>494</v>
      </c>
      <c r="B196" s="15">
        <v>570.88</v>
      </c>
      <c r="C196" s="15">
        <v>570.88</v>
      </c>
      <c r="D196" s="15">
        <v>1141.76</v>
      </c>
      <c r="E196" s="15">
        <v>0</v>
      </c>
      <c r="F196" s="15">
        <v>570.88</v>
      </c>
      <c r="G196" s="15">
        <v>1141.76</v>
      </c>
      <c r="H196" s="15">
        <v>0</v>
      </c>
      <c r="I196" s="15">
        <v>570.88</v>
      </c>
      <c r="J196" s="15">
        <v>570.88</v>
      </c>
      <c r="K196" s="15">
        <v>570.88</v>
      </c>
      <c r="L196" s="15">
        <v>570.88</v>
      </c>
      <c r="M196" s="15">
        <v>378.25</v>
      </c>
      <c r="N196" s="15">
        <v>570.88</v>
      </c>
      <c r="O196" t="s">
        <v>3028</v>
      </c>
    </row>
    <row r="197" spans="1:15" x14ac:dyDescent="0.25">
      <c r="A197" s="10" t="s">
        <v>496</v>
      </c>
      <c r="B197" s="15">
        <v>395.2</v>
      </c>
      <c r="C197" s="15">
        <v>348.73</v>
      </c>
      <c r="D197" s="15">
        <v>353.85</v>
      </c>
      <c r="E197" s="15">
        <v>376.84</v>
      </c>
      <c r="F197" s="15">
        <v>546.6</v>
      </c>
      <c r="G197" s="15">
        <v>221.91</v>
      </c>
      <c r="H197" s="15">
        <v>570.88</v>
      </c>
      <c r="I197" s="15">
        <v>0</v>
      </c>
      <c r="J197" s="15">
        <v>78.459999999999994</v>
      </c>
      <c r="K197" s="15">
        <v>0</v>
      </c>
      <c r="L197" s="15">
        <v>0</v>
      </c>
      <c r="M197" s="15">
        <v>0</v>
      </c>
      <c r="N197" s="15">
        <v>200.37</v>
      </c>
      <c r="O197" t="s">
        <v>3028</v>
      </c>
    </row>
    <row r="198" spans="1:15" x14ac:dyDescent="0.25">
      <c r="A198" s="10" t="s">
        <v>500</v>
      </c>
      <c r="B198" s="15">
        <v>0</v>
      </c>
      <c r="C198" s="15">
        <v>0</v>
      </c>
      <c r="D198" s="15">
        <v>0</v>
      </c>
      <c r="E198" s="15">
        <v>182.37</v>
      </c>
      <c r="F198" s="15">
        <v>404.43</v>
      </c>
      <c r="G198" s="15">
        <v>168.24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52.78</v>
      </c>
      <c r="O198" t="s">
        <v>3028</v>
      </c>
    </row>
    <row r="199" spans="1:15" x14ac:dyDescent="0.25">
      <c r="A199" s="10" t="s">
        <v>502</v>
      </c>
      <c r="B199" s="15">
        <v>570.88</v>
      </c>
      <c r="C199" s="15">
        <v>570.88</v>
      </c>
      <c r="D199" s="15">
        <v>570.88</v>
      </c>
      <c r="E199" s="15">
        <v>570.88</v>
      </c>
      <c r="F199" s="15">
        <v>570.88</v>
      </c>
      <c r="G199" s="15">
        <v>570.88</v>
      </c>
      <c r="H199" s="15">
        <v>570.88</v>
      </c>
      <c r="I199" s="15">
        <v>570.88</v>
      </c>
      <c r="J199" s="15">
        <v>570.88</v>
      </c>
      <c r="K199" s="15">
        <v>570.88</v>
      </c>
      <c r="L199" s="15">
        <v>297.62</v>
      </c>
      <c r="M199" s="15">
        <v>0</v>
      </c>
      <c r="N199" s="15">
        <v>570.88</v>
      </c>
      <c r="O199" t="s">
        <v>3028</v>
      </c>
    </row>
    <row r="200" spans="1:15" x14ac:dyDescent="0.25">
      <c r="A200" s="10" t="s">
        <v>504</v>
      </c>
      <c r="B200" s="15">
        <v>0</v>
      </c>
      <c r="C200" s="15">
        <v>0</v>
      </c>
      <c r="D200" s="15">
        <v>0</v>
      </c>
      <c r="E200" s="15">
        <v>0</v>
      </c>
      <c r="F200" s="15">
        <v>0</v>
      </c>
      <c r="G200" s="15">
        <v>0</v>
      </c>
      <c r="H200" s="15">
        <v>0</v>
      </c>
      <c r="I200" s="15">
        <v>0</v>
      </c>
      <c r="J200" s="15">
        <v>0</v>
      </c>
      <c r="K200" s="15">
        <v>107.04</v>
      </c>
      <c r="L200" s="15">
        <v>114.62</v>
      </c>
      <c r="M200" s="15">
        <v>115.63</v>
      </c>
      <c r="N200" s="15">
        <v>28.74</v>
      </c>
      <c r="O200" t="s">
        <v>3028</v>
      </c>
    </row>
    <row r="201" spans="1:15" x14ac:dyDescent="0.25">
      <c r="A201" s="10" t="s">
        <v>506</v>
      </c>
      <c r="B201" s="15">
        <v>294.24</v>
      </c>
      <c r="C201" s="15">
        <v>310.13</v>
      </c>
      <c r="D201" s="15">
        <v>327.95</v>
      </c>
      <c r="E201" s="15">
        <v>673.62</v>
      </c>
      <c r="F201" s="15">
        <v>48.87</v>
      </c>
      <c r="G201" s="15">
        <v>288.63</v>
      </c>
      <c r="H201" s="15">
        <v>293.93</v>
      </c>
      <c r="I201" s="15">
        <v>377.15</v>
      </c>
      <c r="J201" s="15">
        <v>323.89</v>
      </c>
      <c r="K201" s="15">
        <v>351.91</v>
      </c>
      <c r="L201" s="15">
        <v>332.73</v>
      </c>
      <c r="M201" s="15">
        <v>327.27999999999997</v>
      </c>
      <c r="N201" s="15">
        <v>326.75</v>
      </c>
      <c r="O201" t="s">
        <v>3028</v>
      </c>
    </row>
    <row r="202" spans="1:15" x14ac:dyDescent="0.25">
      <c r="A202" s="10" t="s">
        <v>508</v>
      </c>
      <c r="B202" s="15">
        <v>0</v>
      </c>
      <c r="C202" s="15">
        <v>0</v>
      </c>
      <c r="D202" s="15">
        <v>0</v>
      </c>
      <c r="E202" s="15">
        <v>0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114</v>
      </c>
      <c r="M202" s="15">
        <v>114</v>
      </c>
      <c r="N202" s="15">
        <v>19</v>
      </c>
      <c r="O202" t="s">
        <v>3028</v>
      </c>
    </row>
    <row r="203" spans="1:15" x14ac:dyDescent="0.25">
      <c r="A203" s="10" t="s">
        <v>510</v>
      </c>
      <c r="B203" s="15">
        <v>211.74</v>
      </c>
      <c r="C203" s="15">
        <v>175.5</v>
      </c>
      <c r="D203" s="15">
        <v>175.41</v>
      </c>
      <c r="E203" s="15">
        <v>180.15</v>
      </c>
      <c r="F203" s="15">
        <v>158.96</v>
      </c>
      <c r="G203" s="15">
        <v>416.46</v>
      </c>
      <c r="H203" s="15">
        <v>65.31</v>
      </c>
      <c r="I203" s="15">
        <v>208.28</v>
      </c>
      <c r="J203" s="15">
        <v>175.04</v>
      </c>
      <c r="K203" s="15">
        <v>183.49</v>
      </c>
      <c r="L203" s="15">
        <v>180.97</v>
      </c>
      <c r="M203" s="15">
        <v>174.57</v>
      </c>
      <c r="N203" s="15">
        <v>187.73</v>
      </c>
      <c r="O203" t="s">
        <v>3028</v>
      </c>
    </row>
    <row r="204" spans="1:15" x14ac:dyDescent="0.25">
      <c r="A204" s="10" t="s">
        <v>85</v>
      </c>
      <c r="B204" s="15">
        <v>570.88</v>
      </c>
      <c r="C204" s="15">
        <v>570.88</v>
      </c>
      <c r="D204" s="15">
        <v>570.88</v>
      </c>
      <c r="E204" s="15">
        <v>570.88</v>
      </c>
      <c r="F204" s="15">
        <v>570.88</v>
      </c>
      <c r="G204" s="15">
        <v>570.88</v>
      </c>
      <c r="H204" s="15">
        <v>570.88</v>
      </c>
      <c r="I204" s="15">
        <v>570.88</v>
      </c>
      <c r="J204" s="15">
        <v>570.88</v>
      </c>
      <c r="K204" s="15">
        <v>570.88</v>
      </c>
      <c r="L204" s="15">
        <v>570.88</v>
      </c>
      <c r="M204" s="15">
        <v>570.88</v>
      </c>
      <c r="N204" s="15">
        <v>570.88</v>
      </c>
      <c r="O204" t="s">
        <v>3028</v>
      </c>
    </row>
    <row r="205" spans="1:15" x14ac:dyDescent="0.25">
      <c r="A205" s="10" t="s">
        <v>512</v>
      </c>
      <c r="B205" s="15">
        <v>570.88</v>
      </c>
      <c r="C205" s="15">
        <v>570.88</v>
      </c>
      <c r="D205" s="15">
        <v>570.88</v>
      </c>
      <c r="E205" s="15">
        <v>570.88</v>
      </c>
      <c r="F205" s="15">
        <v>570.88</v>
      </c>
      <c r="G205" s="15">
        <v>570.88</v>
      </c>
      <c r="H205" s="15">
        <v>570.88</v>
      </c>
      <c r="I205" s="15">
        <v>570.88</v>
      </c>
      <c r="J205" s="15">
        <v>570.88</v>
      </c>
      <c r="K205" s="15">
        <v>570.88</v>
      </c>
      <c r="L205" s="15">
        <v>570.88</v>
      </c>
      <c r="M205" s="15">
        <v>570.88</v>
      </c>
      <c r="N205" s="15">
        <v>570.88</v>
      </c>
      <c r="O205" t="s">
        <v>3028</v>
      </c>
    </row>
    <row r="206" spans="1:15" x14ac:dyDescent="0.25">
      <c r="A206" s="10" t="s">
        <v>514</v>
      </c>
      <c r="B206" s="15">
        <v>570.88</v>
      </c>
      <c r="C206" s="15">
        <v>532.26</v>
      </c>
      <c r="D206" s="15">
        <v>531.42999999999995</v>
      </c>
      <c r="E206" s="15">
        <v>495.11</v>
      </c>
      <c r="F206" s="15">
        <v>488.88</v>
      </c>
      <c r="G206" s="15">
        <v>570.88</v>
      </c>
      <c r="H206" s="15">
        <v>533.65</v>
      </c>
      <c r="I206" s="15">
        <v>570.88</v>
      </c>
      <c r="J206" s="15">
        <v>570.88</v>
      </c>
      <c r="K206" s="15">
        <v>1122.3599999999999</v>
      </c>
      <c r="L206" s="15">
        <v>19.399999999999999</v>
      </c>
      <c r="M206" s="15">
        <v>537.05999999999995</v>
      </c>
      <c r="N206" s="15">
        <v>570.88</v>
      </c>
      <c r="O206" t="s">
        <v>3028</v>
      </c>
    </row>
    <row r="207" spans="1:15" x14ac:dyDescent="0.25">
      <c r="A207" s="10" t="s">
        <v>516</v>
      </c>
      <c r="B207" s="15">
        <v>70.599999999999994</v>
      </c>
      <c r="C207" s="15">
        <v>163.52000000000001</v>
      </c>
      <c r="D207" s="15">
        <v>143.11000000000001</v>
      </c>
      <c r="E207" s="15">
        <v>0</v>
      </c>
      <c r="F207" s="15">
        <v>0</v>
      </c>
      <c r="G207" s="15">
        <v>0</v>
      </c>
      <c r="H207" s="15">
        <v>0</v>
      </c>
      <c r="I207" s="15">
        <v>0</v>
      </c>
      <c r="J207" s="15">
        <v>0</v>
      </c>
      <c r="K207" s="15">
        <v>0</v>
      </c>
      <c r="L207" s="15">
        <v>0</v>
      </c>
      <c r="M207" s="15">
        <v>0</v>
      </c>
      <c r="N207" s="15">
        <v>31.65</v>
      </c>
      <c r="O207" t="s">
        <v>3028</v>
      </c>
    </row>
    <row r="208" spans="1:15" x14ac:dyDescent="0.25">
      <c r="A208" s="10" t="s">
        <v>518</v>
      </c>
      <c r="B208" s="15">
        <v>118.42</v>
      </c>
      <c r="C208" s="15">
        <v>109.18</v>
      </c>
      <c r="D208" s="15">
        <v>110.16</v>
      </c>
      <c r="E208" s="15">
        <v>117.04</v>
      </c>
      <c r="F208" s="15">
        <v>112.87</v>
      </c>
      <c r="G208" s="15">
        <v>149.07</v>
      </c>
      <c r="H208" s="15">
        <v>115.17</v>
      </c>
      <c r="I208" s="15">
        <v>177.85</v>
      </c>
      <c r="J208" s="15">
        <v>119.73</v>
      </c>
      <c r="K208" s="15">
        <v>148.22</v>
      </c>
      <c r="L208" s="15">
        <v>122.82</v>
      </c>
      <c r="M208" s="15">
        <v>121.82</v>
      </c>
      <c r="N208" s="15">
        <v>143.22</v>
      </c>
      <c r="O208" t="s">
        <v>3028</v>
      </c>
    </row>
    <row r="209" spans="1:15" x14ac:dyDescent="0.25">
      <c r="A209" s="10" t="s">
        <v>520</v>
      </c>
      <c r="B209" s="15">
        <v>429.5</v>
      </c>
      <c r="C209" s="15">
        <v>419.49</v>
      </c>
      <c r="D209" s="15">
        <v>460.23</v>
      </c>
      <c r="E209" s="15">
        <v>440.25</v>
      </c>
      <c r="F209" s="15">
        <v>411.19</v>
      </c>
      <c r="G209" s="15">
        <v>881.13</v>
      </c>
      <c r="H209" s="15">
        <v>102.54</v>
      </c>
      <c r="I209" s="15">
        <v>402.77</v>
      </c>
      <c r="J209" s="15">
        <v>425.37</v>
      </c>
      <c r="K209" s="15">
        <v>426.52</v>
      </c>
      <c r="L209" s="15">
        <v>431.13</v>
      </c>
      <c r="M209" s="15">
        <v>486.99</v>
      </c>
      <c r="N209" s="15">
        <v>441.86</v>
      </c>
      <c r="O209" t="s">
        <v>3028</v>
      </c>
    </row>
    <row r="210" spans="1:15" x14ac:dyDescent="0.25">
      <c r="A210" s="10" t="s">
        <v>522</v>
      </c>
      <c r="B210" s="15">
        <v>0</v>
      </c>
      <c r="C210" s="15">
        <v>0</v>
      </c>
      <c r="D210" s="15">
        <v>0</v>
      </c>
      <c r="E210" s="15">
        <v>0</v>
      </c>
      <c r="F210" s="15">
        <v>0</v>
      </c>
      <c r="G210" s="15">
        <v>0</v>
      </c>
      <c r="H210" s="15">
        <v>0</v>
      </c>
      <c r="I210" s="15">
        <v>312.77999999999997</v>
      </c>
      <c r="J210" s="15">
        <v>418.62</v>
      </c>
      <c r="K210" s="15">
        <v>410.15</v>
      </c>
      <c r="L210" s="15">
        <v>56.7</v>
      </c>
      <c r="M210" s="15">
        <v>0</v>
      </c>
      <c r="N210" s="15">
        <v>75.209999999999994</v>
      </c>
      <c r="O210" t="s">
        <v>3028</v>
      </c>
    </row>
    <row r="211" spans="1:15" x14ac:dyDescent="0.25">
      <c r="A211" s="10" t="s">
        <v>524</v>
      </c>
      <c r="B211" s="15">
        <v>180.62</v>
      </c>
      <c r="C211" s="15">
        <v>175.27</v>
      </c>
      <c r="D211" s="15">
        <v>174.76</v>
      </c>
      <c r="E211" s="15">
        <v>178.96</v>
      </c>
      <c r="F211" s="15">
        <v>178.55</v>
      </c>
      <c r="G211" s="15">
        <v>176.32</v>
      </c>
      <c r="H211" s="15">
        <v>178.7</v>
      </c>
      <c r="I211" s="15">
        <v>228.56</v>
      </c>
      <c r="J211" s="15">
        <v>193.78</v>
      </c>
      <c r="K211" s="15">
        <v>194.11</v>
      </c>
      <c r="L211" s="15">
        <v>205.28</v>
      </c>
      <c r="M211" s="15">
        <v>197.47</v>
      </c>
      <c r="N211" s="15">
        <v>196.18</v>
      </c>
      <c r="O211" t="s">
        <v>3028</v>
      </c>
    </row>
    <row r="212" spans="1:15" x14ac:dyDescent="0.25">
      <c r="A212" s="10" t="s">
        <v>526</v>
      </c>
      <c r="B212" s="15">
        <v>185.32</v>
      </c>
      <c r="C212" s="15">
        <v>358.99</v>
      </c>
      <c r="D212" s="15">
        <v>375.4</v>
      </c>
      <c r="E212" s="15">
        <v>355.45</v>
      </c>
      <c r="F212" s="15">
        <v>370.72</v>
      </c>
      <c r="G212" s="15">
        <v>416.76</v>
      </c>
      <c r="H212" s="15">
        <v>373.51</v>
      </c>
      <c r="I212" s="15">
        <v>465.44</v>
      </c>
      <c r="J212" s="15">
        <v>400.54</v>
      </c>
      <c r="K212" s="15">
        <v>470.73</v>
      </c>
      <c r="L212" s="15">
        <v>451.31</v>
      </c>
      <c r="M212" s="15">
        <v>425.31</v>
      </c>
      <c r="N212" s="15">
        <v>423.27</v>
      </c>
      <c r="O212" t="s">
        <v>3028</v>
      </c>
    </row>
    <row r="213" spans="1:15" x14ac:dyDescent="0.25">
      <c r="A213" s="10" t="s">
        <v>528</v>
      </c>
      <c r="B213" s="15">
        <v>570.88</v>
      </c>
      <c r="C213" s="15">
        <v>570.88</v>
      </c>
      <c r="D213" s="15">
        <v>570.88</v>
      </c>
      <c r="E213" s="15">
        <v>570.88</v>
      </c>
      <c r="F213" s="15">
        <v>570.88</v>
      </c>
      <c r="G213" s="15">
        <v>570.88</v>
      </c>
      <c r="H213" s="15">
        <v>570.88</v>
      </c>
      <c r="I213" s="15">
        <v>570.88</v>
      </c>
      <c r="J213" s="15">
        <v>570.88</v>
      </c>
      <c r="K213" s="15">
        <v>570.88</v>
      </c>
      <c r="L213" s="15">
        <v>570.88</v>
      </c>
      <c r="M213" s="15">
        <v>570.88</v>
      </c>
      <c r="N213" s="15">
        <v>570.88</v>
      </c>
      <c r="O213" t="s">
        <v>3028</v>
      </c>
    </row>
    <row r="214" spans="1:15" x14ac:dyDescent="0.25">
      <c r="A214" s="10" t="s">
        <v>530</v>
      </c>
      <c r="B214" s="15">
        <v>311.83</v>
      </c>
      <c r="C214" s="15">
        <v>291.11</v>
      </c>
      <c r="D214" s="15">
        <v>293.22000000000003</v>
      </c>
      <c r="E214" s="15">
        <v>507.2</v>
      </c>
      <c r="F214" s="15">
        <v>159.80000000000001</v>
      </c>
      <c r="G214" s="15">
        <v>296.49</v>
      </c>
      <c r="H214" s="15">
        <v>299.79000000000002</v>
      </c>
      <c r="I214" s="15">
        <v>403.99</v>
      </c>
      <c r="J214" s="15">
        <v>326.43</v>
      </c>
      <c r="K214" s="15">
        <v>331.91</v>
      </c>
      <c r="L214" s="15">
        <v>325.16000000000003</v>
      </c>
      <c r="M214" s="15">
        <v>333.75</v>
      </c>
      <c r="N214" s="15">
        <v>325.48</v>
      </c>
      <c r="O214" t="s">
        <v>3028</v>
      </c>
    </row>
    <row r="215" spans="1:15" x14ac:dyDescent="0.25">
      <c r="A215" s="10" t="s">
        <v>532</v>
      </c>
      <c r="B215" s="15">
        <v>352.97</v>
      </c>
      <c r="C215" s="15">
        <v>751.62</v>
      </c>
      <c r="D215" s="15">
        <v>169.19</v>
      </c>
      <c r="E215" s="15">
        <v>387.8</v>
      </c>
      <c r="F215" s="15">
        <v>416.63</v>
      </c>
      <c r="G215" s="15">
        <v>368.16</v>
      </c>
      <c r="H215" s="15">
        <v>376.93</v>
      </c>
      <c r="I215" s="15">
        <v>475.39</v>
      </c>
      <c r="J215" s="15">
        <v>399.52</v>
      </c>
      <c r="K215" s="15">
        <v>414.11</v>
      </c>
      <c r="L215" s="15">
        <v>418.34</v>
      </c>
      <c r="M215" s="15">
        <v>448.56</v>
      </c>
      <c r="N215" s="15">
        <v>419.03</v>
      </c>
      <c r="O215" t="s">
        <v>3028</v>
      </c>
    </row>
    <row r="216" spans="1:15" x14ac:dyDescent="0.25">
      <c r="A216" s="10" t="s">
        <v>534</v>
      </c>
      <c r="B216" s="15">
        <v>537.84</v>
      </c>
      <c r="C216" s="15">
        <v>507.01</v>
      </c>
      <c r="D216" s="15">
        <v>511.76</v>
      </c>
      <c r="E216" s="15">
        <v>500.97</v>
      </c>
      <c r="F216" s="15">
        <v>501.72</v>
      </c>
      <c r="G216" s="15">
        <v>499.4</v>
      </c>
      <c r="H216" s="15">
        <v>497.25</v>
      </c>
      <c r="I216" s="15">
        <v>570.88</v>
      </c>
      <c r="J216" s="15">
        <v>588.77</v>
      </c>
      <c r="K216" s="15">
        <v>535.36</v>
      </c>
      <c r="L216" s="15">
        <v>570.88</v>
      </c>
      <c r="M216" s="15">
        <v>568.41999999999996</v>
      </c>
      <c r="N216" s="15">
        <v>558.54999999999995</v>
      </c>
      <c r="O216" t="s">
        <v>3028</v>
      </c>
    </row>
    <row r="217" spans="1:15" x14ac:dyDescent="0.25">
      <c r="A217" s="10" t="s">
        <v>536</v>
      </c>
      <c r="B217" s="15">
        <v>169.62</v>
      </c>
      <c r="C217" s="15">
        <v>165.13</v>
      </c>
      <c r="D217" s="15">
        <v>307.41000000000003</v>
      </c>
      <c r="E217" s="15">
        <v>0</v>
      </c>
      <c r="F217" s="15">
        <v>0</v>
      </c>
      <c r="G217" s="15">
        <v>0</v>
      </c>
      <c r="H217" s="15">
        <v>0</v>
      </c>
      <c r="I217" s="15">
        <v>0</v>
      </c>
      <c r="J217" s="15">
        <v>0</v>
      </c>
      <c r="K217" s="15">
        <v>0</v>
      </c>
      <c r="L217" s="15">
        <v>0</v>
      </c>
      <c r="M217" s="15">
        <v>0</v>
      </c>
      <c r="N217" s="15">
        <v>48.96</v>
      </c>
      <c r="O217" t="s">
        <v>3028</v>
      </c>
    </row>
    <row r="218" spans="1:15" x14ac:dyDescent="0.25">
      <c r="A218" s="10" t="s">
        <v>538</v>
      </c>
      <c r="B218" s="15">
        <v>0</v>
      </c>
      <c r="C218" s="15">
        <v>0</v>
      </c>
      <c r="D218" s="15">
        <v>0</v>
      </c>
      <c r="E218" s="15">
        <v>0</v>
      </c>
      <c r="F218" s="15">
        <v>0</v>
      </c>
      <c r="G218" s="15">
        <v>0</v>
      </c>
      <c r="H218" s="15">
        <v>0</v>
      </c>
      <c r="I218" s="15">
        <v>69.33</v>
      </c>
      <c r="J218" s="15">
        <v>104.01</v>
      </c>
      <c r="K218" s="15">
        <v>0</v>
      </c>
      <c r="L218" s="15">
        <v>0</v>
      </c>
      <c r="M218" s="15">
        <v>0</v>
      </c>
      <c r="N218" s="15">
        <v>19</v>
      </c>
      <c r="O218" t="s">
        <v>3028</v>
      </c>
    </row>
    <row r="219" spans="1:15" x14ac:dyDescent="0.25">
      <c r="A219" s="10" t="s">
        <v>540</v>
      </c>
      <c r="B219" s="15">
        <v>104.15</v>
      </c>
      <c r="C219" s="15">
        <v>104.26</v>
      </c>
      <c r="D219" s="15">
        <v>154.97999999999999</v>
      </c>
      <c r="E219" s="15">
        <v>6.97</v>
      </c>
      <c r="F219" s="15">
        <v>0</v>
      </c>
      <c r="G219" s="15">
        <v>0</v>
      </c>
      <c r="H219" s="15">
        <v>0</v>
      </c>
      <c r="I219" s="15">
        <v>0</v>
      </c>
      <c r="J219" s="15">
        <v>0</v>
      </c>
      <c r="K219" s="15">
        <v>0</v>
      </c>
      <c r="L219" s="15">
        <v>0</v>
      </c>
      <c r="M219" s="15">
        <v>0</v>
      </c>
      <c r="N219" s="15">
        <v>26.26</v>
      </c>
      <c r="O219" t="s">
        <v>3028</v>
      </c>
    </row>
    <row r="220" spans="1:15" x14ac:dyDescent="0.25">
      <c r="A220" s="10" t="s">
        <v>542</v>
      </c>
      <c r="B220" s="15">
        <v>188.56</v>
      </c>
      <c r="C220" s="15">
        <v>212.7</v>
      </c>
      <c r="D220" s="15">
        <v>564.5</v>
      </c>
      <c r="E220" s="15">
        <v>30.55</v>
      </c>
      <c r="F220" s="15">
        <v>189.52</v>
      </c>
      <c r="G220" s="15">
        <v>212.92</v>
      </c>
      <c r="H220" s="15">
        <v>211.88</v>
      </c>
      <c r="I220" s="15">
        <v>334.48</v>
      </c>
      <c r="J220" s="15">
        <v>230.72</v>
      </c>
      <c r="K220" s="15">
        <v>231.43</v>
      </c>
      <c r="L220" s="15">
        <v>231.16</v>
      </c>
      <c r="M220" s="15">
        <v>231.97</v>
      </c>
      <c r="N220" s="15">
        <v>232.14</v>
      </c>
      <c r="O220" t="s">
        <v>3028</v>
      </c>
    </row>
    <row r="221" spans="1:15" x14ac:dyDescent="0.25">
      <c r="A221" s="10" t="s">
        <v>544</v>
      </c>
      <c r="B221" s="15">
        <v>346.49</v>
      </c>
      <c r="C221" s="15">
        <v>341.72</v>
      </c>
      <c r="D221" s="15">
        <v>342.64</v>
      </c>
      <c r="E221" s="15">
        <v>315.57</v>
      </c>
      <c r="F221" s="15">
        <v>676.04</v>
      </c>
      <c r="G221" s="15">
        <v>91.43</v>
      </c>
      <c r="H221" s="15">
        <v>314.45</v>
      </c>
      <c r="I221" s="15">
        <v>314.45</v>
      </c>
      <c r="J221" s="15">
        <v>314.45</v>
      </c>
      <c r="K221" s="15">
        <v>375.48</v>
      </c>
      <c r="L221" s="15">
        <v>350.51</v>
      </c>
      <c r="M221" s="15">
        <v>347.69</v>
      </c>
      <c r="N221" s="15">
        <v>352.93</v>
      </c>
      <c r="O221" t="s">
        <v>3028</v>
      </c>
    </row>
    <row r="222" spans="1:15" x14ac:dyDescent="0.25">
      <c r="A222" s="10" t="s">
        <v>546</v>
      </c>
      <c r="B222" s="15">
        <v>373.43</v>
      </c>
      <c r="C222" s="15">
        <v>221.02</v>
      </c>
      <c r="D222" s="15">
        <v>288.45999999999998</v>
      </c>
      <c r="E222" s="15">
        <v>526.72</v>
      </c>
      <c r="F222" s="15">
        <v>164.51</v>
      </c>
      <c r="G222" s="15">
        <v>201.27</v>
      </c>
      <c r="H222" s="15">
        <v>226.1</v>
      </c>
      <c r="I222" s="15">
        <v>221.77</v>
      </c>
      <c r="J222" s="15">
        <v>286.11</v>
      </c>
      <c r="K222" s="15">
        <v>327.97</v>
      </c>
      <c r="L222" s="15">
        <v>227.59</v>
      </c>
      <c r="M222" s="15">
        <v>299.39</v>
      </c>
      <c r="N222" s="15">
        <v>298.49</v>
      </c>
      <c r="O222" t="s">
        <v>3028</v>
      </c>
    </row>
    <row r="223" spans="1:15" x14ac:dyDescent="0.25">
      <c r="A223" s="10" t="s">
        <v>548</v>
      </c>
      <c r="B223" s="15">
        <v>303.87</v>
      </c>
      <c r="C223" s="15">
        <v>716.63</v>
      </c>
      <c r="D223" s="15">
        <v>0</v>
      </c>
      <c r="E223" s="15">
        <v>426.63</v>
      </c>
      <c r="F223" s="15">
        <v>305.39</v>
      </c>
      <c r="G223" s="15">
        <v>386.7</v>
      </c>
      <c r="H223" s="15">
        <v>0</v>
      </c>
      <c r="I223" s="15">
        <v>0</v>
      </c>
      <c r="J223" s="15">
        <v>27.6</v>
      </c>
      <c r="K223" s="15">
        <v>0</v>
      </c>
      <c r="L223" s="15">
        <v>0</v>
      </c>
      <c r="M223" s="15">
        <v>0</v>
      </c>
      <c r="N223" s="15">
        <v>121.61</v>
      </c>
      <c r="O223" t="s">
        <v>3028</v>
      </c>
    </row>
    <row r="224" spans="1:15" x14ac:dyDescent="0.25">
      <c r="A224" s="10" t="s">
        <v>550</v>
      </c>
      <c r="B224" s="15">
        <v>365.5</v>
      </c>
      <c r="C224" s="15">
        <v>290.75</v>
      </c>
      <c r="D224" s="15">
        <v>214.16</v>
      </c>
      <c r="E224" s="15">
        <v>301.25</v>
      </c>
      <c r="F224" s="15">
        <v>214.16</v>
      </c>
      <c r="G224" s="15">
        <v>215.55</v>
      </c>
      <c r="H224" s="15">
        <v>220.45</v>
      </c>
      <c r="I224" s="15">
        <v>753.82</v>
      </c>
      <c r="J224" s="15">
        <v>9.3000000000000007</v>
      </c>
      <c r="K224" s="15">
        <v>287.52999999999997</v>
      </c>
      <c r="L224" s="15">
        <v>296.35000000000002</v>
      </c>
      <c r="M224" s="15">
        <v>287.48</v>
      </c>
      <c r="N224" s="15">
        <v>305.42</v>
      </c>
      <c r="O224" t="s">
        <v>3028</v>
      </c>
    </row>
    <row r="225" spans="1:15" x14ac:dyDescent="0.25">
      <c r="A225" s="10" t="s">
        <v>552</v>
      </c>
      <c r="B225" s="15">
        <v>331.59</v>
      </c>
      <c r="C225" s="15">
        <v>312.2</v>
      </c>
      <c r="D225" s="15">
        <v>312.41000000000003</v>
      </c>
      <c r="E225" s="15">
        <v>312.64999999999998</v>
      </c>
      <c r="F225" s="15">
        <v>313.29000000000002</v>
      </c>
      <c r="G225" s="15">
        <v>312.82</v>
      </c>
      <c r="H225" s="15">
        <v>312.2</v>
      </c>
      <c r="I225" s="15">
        <v>405.58</v>
      </c>
      <c r="J225" s="15">
        <v>442.33</v>
      </c>
      <c r="K225" s="15">
        <v>342.86</v>
      </c>
      <c r="L225" s="15">
        <v>342.86</v>
      </c>
      <c r="M225" s="15">
        <v>343.42</v>
      </c>
      <c r="N225" s="15">
        <v>345.61</v>
      </c>
      <c r="O225" t="s">
        <v>3028</v>
      </c>
    </row>
    <row r="226" spans="1:15" x14ac:dyDescent="0.25">
      <c r="A226" s="10" t="s">
        <v>554</v>
      </c>
      <c r="B226" s="15">
        <v>324.75</v>
      </c>
      <c r="C226" s="15">
        <v>292.17</v>
      </c>
      <c r="D226" s="15">
        <v>310.73</v>
      </c>
      <c r="E226" s="15">
        <v>696.52</v>
      </c>
      <c r="F226" s="15">
        <v>46.35</v>
      </c>
      <c r="G226" s="15">
        <v>289.24</v>
      </c>
      <c r="H226" s="15">
        <v>298.06</v>
      </c>
      <c r="I226" s="15">
        <v>399.05</v>
      </c>
      <c r="J226" s="15">
        <v>320.74</v>
      </c>
      <c r="K226" s="15">
        <v>324.32</v>
      </c>
      <c r="L226" s="15">
        <v>327.57</v>
      </c>
      <c r="M226" s="15">
        <v>329.6</v>
      </c>
      <c r="N226" s="15">
        <v>325.25</v>
      </c>
      <c r="O226" t="s">
        <v>3028</v>
      </c>
    </row>
    <row r="227" spans="1:15" x14ac:dyDescent="0.25">
      <c r="A227" s="10" t="s">
        <v>556</v>
      </c>
      <c r="B227" s="15">
        <v>395.18</v>
      </c>
      <c r="C227" s="15">
        <v>320.63</v>
      </c>
      <c r="D227" s="15">
        <v>290.60000000000002</v>
      </c>
      <c r="E227" s="15">
        <v>208.02</v>
      </c>
      <c r="F227" s="15">
        <v>298.14</v>
      </c>
      <c r="G227" s="15">
        <v>293.45999999999998</v>
      </c>
      <c r="H227" s="15">
        <v>314.98</v>
      </c>
      <c r="I227" s="15">
        <v>396.07</v>
      </c>
      <c r="J227" s="15">
        <v>319.02</v>
      </c>
      <c r="K227" s="15">
        <v>319.26</v>
      </c>
      <c r="L227" s="15">
        <v>524.82000000000005</v>
      </c>
      <c r="M227" s="15">
        <v>163.04</v>
      </c>
      <c r="N227" s="15">
        <v>320.77999999999997</v>
      </c>
      <c r="O227" t="s">
        <v>3028</v>
      </c>
    </row>
    <row r="228" spans="1:15" x14ac:dyDescent="0.25">
      <c r="A228" s="10" t="s">
        <v>558</v>
      </c>
      <c r="B228" s="15">
        <v>100.63</v>
      </c>
      <c r="C228" s="15">
        <v>97.12</v>
      </c>
      <c r="D228" s="15">
        <v>99.37</v>
      </c>
      <c r="E228" s="15">
        <v>104.75</v>
      </c>
      <c r="F228" s="15">
        <v>95.57</v>
      </c>
      <c r="G228" s="15">
        <v>105.49</v>
      </c>
      <c r="H228" s="15">
        <v>104.58</v>
      </c>
      <c r="I228" s="15">
        <v>104.09</v>
      </c>
      <c r="J228" s="15">
        <v>105.25</v>
      </c>
      <c r="K228" s="15">
        <v>141.9</v>
      </c>
      <c r="L228" s="15">
        <v>114.14</v>
      </c>
      <c r="M228" s="15">
        <v>288.88</v>
      </c>
      <c r="N228" s="15">
        <v>114.73</v>
      </c>
      <c r="O228" t="s">
        <v>3028</v>
      </c>
    </row>
    <row r="229" spans="1:15" x14ac:dyDescent="0.25">
      <c r="A229" s="10" t="s">
        <v>560</v>
      </c>
      <c r="B229" s="15">
        <v>570.88</v>
      </c>
      <c r="C229" s="15">
        <v>570.88</v>
      </c>
      <c r="D229" s="15">
        <v>570.88</v>
      </c>
      <c r="E229" s="15">
        <v>570.88</v>
      </c>
      <c r="F229" s="15">
        <v>570.88</v>
      </c>
      <c r="G229" s="15">
        <v>570.88</v>
      </c>
      <c r="H229" s="15">
        <v>570.88</v>
      </c>
      <c r="I229" s="15">
        <v>570.88</v>
      </c>
      <c r="J229" s="15">
        <v>570.88</v>
      </c>
      <c r="K229" s="15">
        <v>570.88</v>
      </c>
      <c r="L229" s="15">
        <v>647.5</v>
      </c>
      <c r="M229" s="15">
        <v>494.26</v>
      </c>
      <c r="N229" s="15">
        <v>570.88</v>
      </c>
      <c r="O229" t="s">
        <v>3028</v>
      </c>
    </row>
    <row r="230" spans="1:15" x14ac:dyDescent="0.25">
      <c r="A230" s="10" t="s">
        <v>562</v>
      </c>
      <c r="B230" s="15">
        <v>304.2</v>
      </c>
      <c r="C230" s="15">
        <v>304.2</v>
      </c>
      <c r="D230" s="15">
        <v>304.2</v>
      </c>
      <c r="E230" s="15">
        <v>304.2</v>
      </c>
      <c r="F230" s="15">
        <v>304.2</v>
      </c>
      <c r="G230" s="15">
        <v>304.2</v>
      </c>
      <c r="H230" s="15">
        <v>304.2</v>
      </c>
      <c r="I230" s="15">
        <v>468.05</v>
      </c>
      <c r="J230" s="15">
        <v>334.07</v>
      </c>
      <c r="K230" s="15">
        <v>334.07</v>
      </c>
      <c r="L230" s="15">
        <v>334.07</v>
      </c>
      <c r="M230" s="15">
        <v>334.07</v>
      </c>
      <c r="N230" s="15">
        <v>334.07</v>
      </c>
      <c r="O230" t="s">
        <v>3028</v>
      </c>
    </row>
    <row r="231" spans="1:15" x14ac:dyDescent="0.25">
      <c r="A231" s="10" t="s">
        <v>564</v>
      </c>
      <c r="B231" s="15">
        <v>164.53</v>
      </c>
      <c r="C231" s="15">
        <v>183.32</v>
      </c>
      <c r="D231" s="15">
        <v>163.03</v>
      </c>
      <c r="E231" s="15">
        <v>321.81</v>
      </c>
      <c r="F231" s="15">
        <v>55.6</v>
      </c>
      <c r="G231" s="15">
        <v>186.29</v>
      </c>
      <c r="H231" s="15">
        <v>163.78</v>
      </c>
      <c r="I231" s="15">
        <v>227.85</v>
      </c>
      <c r="J231" s="15">
        <v>175.72</v>
      </c>
      <c r="K231" s="15">
        <v>175.76</v>
      </c>
      <c r="L231" s="15">
        <v>178.04</v>
      </c>
      <c r="M231" s="15">
        <v>175.49</v>
      </c>
      <c r="N231" s="15">
        <v>184.51</v>
      </c>
      <c r="O231" t="s">
        <v>3028</v>
      </c>
    </row>
    <row r="232" spans="1:15" x14ac:dyDescent="0.25">
      <c r="A232" s="10" t="s">
        <v>566</v>
      </c>
      <c r="B232" s="15">
        <v>570.88</v>
      </c>
      <c r="C232" s="15">
        <v>0</v>
      </c>
      <c r="D232" s="15">
        <v>0</v>
      </c>
      <c r="E232" s="15">
        <v>0</v>
      </c>
      <c r="F232" s="15">
        <v>0</v>
      </c>
      <c r="G232" s="15">
        <v>0</v>
      </c>
      <c r="H232" s="15">
        <v>0</v>
      </c>
      <c r="I232" s="15">
        <v>0</v>
      </c>
      <c r="J232" s="15">
        <v>0</v>
      </c>
      <c r="K232" s="15">
        <v>0</v>
      </c>
      <c r="L232" s="15">
        <v>0</v>
      </c>
      <c r="M232" s="15">
        <v>0</v>
      </c>
      <c r="N232" s="15">
        <v>48.1</v>
      </c>
      <c r="O232" t="s">
        <v>3028</v>
      </c>
    </row>
    <row r="233" spans="1:15" x14ac:dyDescent="0.25">
      <c r="A233" s="10" t="s">
        <v>568</v>
      </c>
      <c r="B233" s="15">
        <v>0</v>
      </c>
      <c r="C233" s="15">
        <v>0</v>
      </c>
      <c r="D233" s="15">
        <v>0</v>
      </c>
      <c r="E233" s="15">
        <v>0</v>
      </c>
      <c r="F233" s="15">
        <v>0</v>
      </c>
      <c r="G233" s="15">
        <v>0</v>
      </c>
      <c r="H233" s="15">
        <v>0</v>
      </c>
      <c r="I233" s="15">
        <v>0</v>
      </c>
      <c r="J233" s="15">
        <v>570.88</v>
      </c>
      <c r="K233" s="15">
        <v>570.88</v>
      </c>
      <c r="L233" s="15">
        <v>570.88</v>
      </c>
      <c r="M233" s="15">
        <v>570.88</v>
      </c>
      <c r="N233" s="15">
        <v>570.88</v>
      </c>
      <c r="O233" t="s">
        <v>3028</v>
      </c>
    </row>
    <row r="234" spans="1:15" x14ac:dyDescent="0.25">
      <c r="A234" s="10" t="s">
        <v>570</v>
      </c>
      <c r="B234" s="15">
        <v>124.47</v>
      </c>
      <c r="C234" s="15">
        <v>191.57</v>
      </c>
      <c r="D234" s="15">
        <v>200.95</v>
      </c>
      <c r="E234" s="15">
        <v>163</v>
      </c>
      <c r="F234" s="15">
        <v>183.17</v>
      </c>
      <c r="G234" s="15">
        <v>375.8</v>
      </c>
      <c r="H234" s="15">
        <v>123.03</v>
      </c>
      <c r="I234" s="15">
        <v>226.98</v>
      </c>
      <c r="J234" s="15">
        <v>218.12</v>
      </c>
      <c r="K234" s="15">
        <v>178.51</v>
      </c>
      <c r="L234" s="15">
        <v>191.37</v>
      </c>
      <c r="M234" s="15">
        <v>225.44</v>
      </c>
      <c r="N234" s="15">
        <v>195.09</v>
      </c>
      <c r="O234" t="s">
        <v>3028</v>
      </c>
    </row>
    <row r="235" spans="1:15" x14ac:dyDescent="0.25">
      <c r="A235" s="10" t="s">
        <v>574</v>
      </c>
      <c r="B235" s="15">
        <v>0</v>
      </c>
      <c r="C235" s="15">
        <v>0</v>
      </c>
      <c r="D235" s="15">
        <v>0</v>
      </c>
      <c r="E235" s="15">
        <v>0</v>
      </c>
      <c r="F235" s="15">
        <v>0</v>
      </c>
      <c r="G235" s="15">
        <v>0</v>
      </c>
      <c r="H235" s="15">
        <v>0</v>
      </c>
      <c r="I235" s="15">
        <v>0</v>
      </c>
      <c r="J235" s="15">
        <v>0</v>
      </c>
      <c r="K235" s="15">
        <v>0</v>
      </c>
      <c r="L235" s="15">
        <v>0</v>
      </c>
      <c r="M235" s="15">
        <v>107.99</v>
      </c>
      <c r="N235" s="15">
        <v>12.27</v>
      </c>
      <c r="O235" t="s">
        <v>3028</v>
      </c>
    </row>
    <row r="236" spans="1:15" x14ac:dyDescent="0.25">
      <c r="A236" s="10" t="s">
        <v>576</v>
      </c>
      <c r="B236" s="15">
        <v>570.88</v>
      </c>
      <c r="C236" s="15">
        <v>518.97</v>
      </c>
      <c r="D236" s="15">
        <v>524.02</v>
      </c>
      <c r="E236" s="15">
        <v>502.41</v>
      </c>
      <c r="F236" s="15">
        <v>499.36</v>
      </c>
      <c r="G236" s="15">
        <v>495.47</v>
      </c>
      <c r="H236" s="15">
        <v>496.71</v>
      </c>
      <c r="I236" s="15">
        <v>570.88</v>
      </c>
      <c r="J236" s="15">
        <v>543.6</v>
      </c>
      <c r="K236" s="15">
        <v>552.29</v>
      </c>
      <c r="L236" s="15">
        <v>553.41</v>
      </c>
      <c r="M236" s="15">
        <v>923.57</v>
      </c>
      <c r="N236" s="15">
        <v>566.42999999999995</v>
      </c>
      <c r="O236" t="s">
        <v>3028</v>
      </c>
    </row>
    <row r="237" spans="1:15" x14ac:dyDescent="0.25">
      <c r="A237" s="10" t="s">
        <v>586</v>
      </c>
      <c r="B237" s="15">
        <v>0</v>
      </c>
      <c r="C237" s="15">
        <v>0</v>
      </c>
      <c r="D237" s="15">
        <v>0</v>
      </c>
      <c r="E237" s="15">
        <v>570.88</v>
      </c>
      <c r="F237" s="15">
        <v>570.88</v>
      </c>
      <c r="G237" s="15">
        <v>570.88</v>
      </c>
      <c r="H237" s="15">
        <v>570.88</v>
      </c>
      <c r="I237" s="15">
        <v>570.88</v>
      </c>
      <c r="J237" s="15">
        <v>445.4</v>
      </c>
      <c r="K237" s="15">
        <v>570.88</v>
      </c>
      <c r="L237" s="15">
        <v>570.88</v>
      </c>
      <c r="M237" s="15">
        <v>570.88</v>
      </c>
      <c r="N237" s="15">
        <v>523.89</v>
      </c>
      <c r="O237" t="s">
        <v>3028</v>
      </c>
    </row>
    <row r="238" spans="1:15" x14ac:dyDescent="0.25">
      <c r="A238" s="10" t="s">
        <v>588</v>
      </c>
      <c r="B238" s="15">
        <v>570.88</v>
      </c>
      <c r="C238" s="15">
        <v>570.88</v>
      </c>
      <c r="D238" s="15">
        <v>570.88</v>
      </c>
      <c r="E238" s="15">
        <v>570.88</v>
      </c>
      <c r="F238" s="15">
        <v>570.88</v>
      </c>
      <c r="G238" s="15">
        <v>570.88</v>
      </c>
      <c r="H238" s="15">
        <v>570.88</v>
      </c>
      <c r="I238" s="15">
        <v>570.88</v>
      </c>
      <c r="J238" s="15">
        <v>570.88</v>
      </c>
      <c r="K238" s="15">
        <v>570.88</v>
      </c>
      <c r="L238" s="15">
        <v>570.88</v>
      </c>
      <c r="M238" s="15">
        <v>570.88</v>
      </c>
      <c r="N238" s="15">
        <v>570.88</v>
      </c>
      <c r="O238" t="s">
        <v>3028</v>
      </c>
    </row>
    <row r="239" spans="1:15" x14ac:dyDescent="0.25">
      <c r="A239" s="10" t="s">
        <v>590</v>
      </c>
      <c r="B239" s="15">
        <v>63.49</v>
      </c>
      <c r="C239" s="15">
        <v>109.51</v>
      </c>
      <c r="D239" s="15">
        <v>107.42</v>
      </c>
      <c r="E239" s="15">
        <v>108.18</v>
      </c>
      <c r="F239" s="15">
        <v>108.62</v>
      </c>
      <c r="G239" s="15">
        <v>109.62</v>
      </c>
      <c r="H239" s="15">
        <v>112.37</v>
      </c>
      <c r="I239" s="15">
        <v>159.15</v>
      </c>
      <c r="J239" s="15">
        <v>120.1</v>
      </c>
      <c r="K239" s="15">
        <v>122.31</v>
      </c>
      <c r="L239" s="15">
        <v>121.58</v>
      </c>
      <c r="M239" s="15">
        <v>144.69</v>
      </c>
      <c r="N239" s="15">
        <v>120.76</v>
      </c>
      <c r="O239" t="s">
        <v>3028</v>
      </c>
    </row>
    <row r="240" spans="1:15" x14ac:dyDescent="0.25">
      <c r="A240" s="10" t="s">
        <v>592</v>
      </c>
      <c r="B240" s="15">
        <v>570.88</v>
      </c>
      <c r="C240" s="15">
        <v>570.88</v>
      </c>
      <c r="D240" s="15">
        <v>570.88</v>
      </c>
      <c r="E240" s="15">
        <v>570.88</v>
      </c>
      <c r="F240" s="15">
        <v>570.88</v>
      </c>
      <c r="G240" s="15">
        <v>570.88</v>
      </c>
      <c r="H240" s="15">
        <v>1141.76</v>
      </c>
      <c r="I240" s="15">
        <v>0</v>
      </c>
      <c r="J240" s="15">
        <v>570.88</v>
      </c>
      <c r="K240" s="15">
        <v>570.88</v>
      </c>
      <c r="L240" s="15">
        <v>570.88</v>
      </c>
      <c r="M240" s="15">
        <v>570.88</v>
      </c>
      <c r="N240" s="15">
        <v>570.88</v>
      </c>
      <c r="O240" t="s">
        <v>3028</v>
      </c>
    </row>
    <row r="241" spans="1:15" x14ac:dyDescent="0.25">
      <c r="A241" s="10" t="s">
        <v>594</v>
      </c>
      <c r="B241" s="15">
        <v>570.88</v>
      </c>
      <c r="C241" s="15">
        <v>570.88</v>
      </c>
      <c r="D241" s="15">
        <v>570.88</v>
      </c>
      <c r="E241" s="15">
        <v>570.88</v>
      </c>
      <c r="F241" s="15">
        <v>570.88</v>
      </c>
      <c r="G241" s="15">
        <v>570.88</v>
      </c>
      <c r="H241" s="15">
        <v>570.88</v>
      </c>
      <c r="I241" s="15">
        <v>570.88</v>
      </c>
      <c r="J241" s="15">
        <v>1141.76</v>
      </c>
      <c r="K241" s="15">
        <v>0</v>
      </c>
      <c r="L241" s="15">
        <v>570.88</v>
      </c>
      <c r="M241" s="15">
        <v>570.88</v>
      </c>
      <c r="N241" s="15">
        <v>570.88</v>
      </c>
      <c r="O241" t="s">
        <v>3028</v>
      </c>
    </row>
    <row r="242" spans="1:15" x14ac:dyDescent="0.25">
      <c r="A242" s="10" t="s">
        <v>596</v>
      </c>
      <c r="B242" s="15">
        <v>570.88</v>
      </c>
      <c r="C242" s="15">
        <v>570.88</v>
      </c>
      <c r="D242" s="15">
        <v>570.88</v>
      </c>
      <c r="E242" s="15">
        <v>570.88</v>
      </c>
      <c r="F242" s="15">
        <v>570.88</v>
      </c>
      <c r="G242" s="15">
        <v>1141.76</v>
      </c>
      <c r="H242" s="15">
        <v>0</v>
      </c>
      <c r="I242" s="15">
        <v>570.88</v>
      </c>
      <c r="J242" s="15">
        <v>570.88</v>
      </c>
      <c r="K242" s="15">
        <v>570.88</v>
      </c>
      <c r="L242" s="15">
        <v>570.88</v>
      </c>
      <c r="M242" s="15">
        <v>570.88</v>
      </c>
      <c r="N242" s="15">
        <v>570.88</v>
      </c>
      <c r="O242" t="s">
        <v>3028</v>
      </c>
    </row>
    <row r="243" spans="1:15" x14ac:dyDescent="0.25">
      <c r="A243" s="10" t="s">
        <v>598</v>
      </c>
      <c r="B243" s="15">
        <v>297.43</v>
      </c>
      <c r="C243" s="15">
        <v>196.63</v>
      </c>
      <c r="D243" s="15">
        <v>194.39</v>
      </c>
      <c r="E243" s="15">
        <v>190.34</v>
      </c>
      <c r="F243" s="15">
        <v>190.26</v>
      </c>
      <c r="G243" s="15">
        <v>189.76</v>
      </c>
      <c r="H243" s="15">
        <v>189.58</v>
      </c>
      <c r="I243" s="15">
        <v>90.77</v>
      </c>
      <c r="J243" s="15">
        <v>152.52000000000001</v>
      </c>
      <c r="K243" s="15">
        <v>417.43</v>
      </c>
      <c r="L243" s="15">
        <v>131.41999999999999</v>
      </c>
      <c r="M243" s="15">
        <v>210.18</v>
      </c>
      <c r="N243" s="15">
        <v>197.03</v>
      </c>
      <c r="O243" t="s">
        <v>3028</v>
      </c>
    </row>
    <row r="244" spans="1:15" x14ac:dyDescent="0.25">
      <c r="A244" s="10" t="s">
        <v>600</v>
      </c>
      <c r="B244" s="15">
        <v>160.11000000000001</v>
      </c>
      <c r="C244" s="15">
        <v>159.49</v>
      </c>
      <c r="D244" s="15">
        <v>159.13</v>
      </c>
      <c r="E244" s="15">
        <v>159.72</v>
      </c>
      <c r="F244" s="15">
        <v>159.16</v>
      </c>
      <c r="G244" s="15">
        <v>352.04</v>
      </c>
      <c r="H244" s="15">
        <v>36.89</v>
      </c>
      <c r="I244" s="15">
        <v>212.98</v>
      </c>
      <c r="J244" s="15">
        <v>174.82</v>
      </c>
      <c r="K244" s="15">
        <v>176.23</v>
      </c>
      <c r="L244" s="15">
        <v>174.75</v>
      </c>
      <c r="M244" s="15">
        <v>174.48</v>
      </c>
      <c r="N244" s="15">
        <v>176.6</v>
      </c>
      <c r="O244" t="s">
        <v>3028</v>
      </c>
    </row>
    <row r="245" spans="1:15" x14ac:dyDescent="0.25">
      <c r="A245" s="10" t="s">
        <v>602</v>
      </c>
      <c r="B245" s="15">
        <v>220.62</v>
      </c>
      <c r="C245" s="15">
        <v>110.76</v>
      </c>
      <c r="D245" s="15">
        <v>145.32</v>
      </c>
      <c r="E245" s="15">
        <v>122.53</v>
      </c>
      <c r="F245" s="15">
        <v>111.27</v>
      </c>
      <c r="G245" s="15">
        <v>140.53</v>
      </c>
      <c r="H245" s="15">
        <v>110.76</v>
      </c>
      <c r="I245" s="15">
        <v>162.88</v>
      </c>
      <c r="J245" s="15">
        <v>154.29</v>
      </c>
      <c r="K245" s="15">
        <v>122.2</v>
      </c>
      <c r="L245" s="15">
        <v>141.22</v>
      </c>
      <c r="M245" s="15">
        <v>166.27</v>
      </c>
      <c r="N245" s="15">
        <v>154.46</v>
      </c>
      <c r="O245" t="s">
        <v>3028</v>
      </c>
    </row>
    <row r="246" spans="1:15" x14ac:dyDescent="0.25">
      <c r="A246" s="10" t="s">
        <v>604</v>
      </c>
      <c r="B246" s="15">
        <v>104</v>
      </c>
      <c r="C246" s="15">
        <v>104.1</v>
      </c>
      <c r="D246" s="15">
        <v>104</v>
      </c>
      <c r="E246" s="15">
        <v>261.55</v>
      </c>
      <c r="F246" s="15">
        <v>0.01</v>
      </c>
      <c r="G246" s="15">
        <v>104.23</v>
      </c>
      <c r="H246" s="15">
        <v>104.25</v>
      </c>
      <c r="I246" s="15">
        <v>104</v>
      </c>
      <c r="J246" s="15">
        <v>104.02</v>
      </c>
      <c r="K246" s="15">
        <v>140.44</v>
      </c>
      <c r="L246" s="15">
        <v>114</v>
      </c>
      <c r="M246" s="15">
        <v>114.28</v>
      </c>
      <c r="N246" s="15">
        <v>114.17</v>
      </c>
      <c r="O246" t="s">
        <v>3028</v>
      </c>
    </row>
    <row r="247" spans="1:15" x14ac:dyDescent="0.25">
      <c r="A247" s="10" t="s">
        <v>606</v>
      </c>
      <c r="B247" s="15">
        <v>0</v>
      </c>
      <c r="C247" s="15">
        <v>423.83</v>
      </c>
      <c r="D247" s="15">
        <v>506.25</v>
      </c>
      <c r="E247" s="15">
        <v>529.01</v>
      </c>
      <c r="F247" s="15">
        <v>481.69</v>
      </c>
      <c r="G247" s="15">
        <v>501.3</v>
      </c>
      <c r="H247" s="15">
        <v>492.93</v>
      </c>
      <c r="I247" s="15">
        <v>514.34</v>
      </c>
      <c r="J247" s="15">
        <v>493.35</v>
      </c>
      <c r="K247" s="15">
        <v>570.88</v>
      </c>
      <c r="L247" s="15">
        <v>570.88</v>
      </c>
      <c r="M247" s="15">
        <v>547.69000000000005</v>
      </c>
      <c r="N247" s="15">
        <v>501.36</v>
      </c>
      <c r="O247" t="s">
        <v>3028</v>
      </c>
    </row>
    <row r="248" spans="1:15" x14ac:dyDescent="0.25">
      <c r="A248" s="10" t="s">
        <v>608</v>
      </c>
      <c r="B248" s="15">
        <v>0</v>
      </c>
      <c r="C248" s="15">
        <v>0</v>
      </c>
      <c r="D248" s="15">
        <v>0</v>
      </c>
      <c r="E248" s="15">
        <v>0</v>
      </c>
      <c r="F248" s="15">
        <v>0</v>
      </c>
      <c r="G248" s="15">
        <v>0</v>
      </c>
      <c r="H248" s="15">
        <v>0</v>
      </c>
      <c r="I248" s="15">
        <v>0</v>
      </c>
      <c r="J248" s="15">
        <v>76.260000000000005</v>
      </c>
      <c r="K248" s="15">
        <v>121.98</v>
      </c>
      <c r="L248" s="15">
        <v>114.01</v>
      </c>
      <c r="M248" s="15">
        <v>114.01</v>
      </c>
      <c r="N248" s="15">
        <v>38.049999999999997</v>
      </c>
      <c r="O248" t="s">
        <v>3028</v>
      </c>
    </row>
    <row r="249" spans="1:15" x14ac:dyDescent="0.25">
      <c r="A249" s="10" t="s">
        <v>610</v>
      </c>
      <c r="B249" s="15">
        <v>0</v>
      </c>
      <c r="C249" s="15">
        <v>0</v>
      </c>
      <c r="D249" s="15">
        <v>0</v>
      </c>
      <c r="E249" s="15">
        <v>226.36</v>
      </c>
      <c r="F249" s="15">
        <v>343.62</v>
      </c>
      <c r="G249" s="15">
        <v>395.81</v>
      </c>
      <c r="H249" s="15">
        <v>411.33</v>
      </c>
      <c r="I249" s="15">
        <v>562.12</v>
      </c>
      <c r="J249" s="15">
        <v>443.92</v>
      </c>
      <c r="K249" s="15">
        <v>416.58</v>
      </c>
      <c r="L249" s="15">
        <v>433.32</v>
      </c>
      <c r="M249" s="15">
        <v>439.05</v>
      </c>
      <c r="N249" s="15">
        <v>319.57</v>
      </c>
      <c r="O249" t="s">
        <v>3028</v>
      </c>
    </row>
    <row r="250" spans="1:15" x14ac:dyDescent="0.25">
      <c r="A250" s="10" t="s">
        <v>612</v>
      </c>
      <c r="B250" s="15">
        <v>212.84</v>
      </c>
      <c r="C250" s="15">
        <v>304.2</v>
      </c>
      <c r="D250" s="15">
        <v>305.69</v>
      </c>
      <c r="E250" s="15">
        <v>526.95000000000005</v>
      </c>
      <c r="F250" s="15">
        <v>150.91</v>
      </c>
      <c r="G250" s="15">
        <v>304.2</v>
      </c>
      <c r="H250" s="15">
        <v>304.2</v>
      </c>
      <c r="I250" s="15">
        <v>409.05</v>
      </c>
      <c r="J250" s="15">
        <v>334.07</v>
      </c>
      <c r="K250" s="15">
        <v>334.07</v>
      </c>
      <c r="L250" s="15">
        <v>334.07</v>
      </c>
      <c r="M250" s="15">
        <v>337.72</v>
      </c>
      <c r="N250" s="15">
        <v>338.25</v>
      </c>
      <c r="O250" t="s">
        <v>3028</v>
      </c>
    </row>
    <row r="251" spans="1:15" x14ac:dyDescent="0.25">
      <c r="A251" s="10" t="s">
        <v>614</v>
      </c>
      <c r="B251" s="15">
        <v>389.33</v>
      </c>
      <c r="C251" s="15">
        <v>376.59</v>
      </c>
      <c r="D251" s="15">
        <v>376.59</v>
      </c>
      <c r="E251" s="15">
        <v>376.59</v>
      </c>
      <c r="F251" s="15">
        <v>377.28</v>
      </c>
      <c r="G251" s="15">
        <v>376.59</v>
      </c>
      <c r="H251" s="15">
        <v>376.59</v>
      </c>
      <c r="I251" s="15">
        <v>487.53</v>
      </c>
      <c r="J251" s="15">
        <v>413.57</v>
      </c>
      <c r="K251" s="15">
        <v>674.13</v>
      </c>
      <c r="L251" s="15">
        <v>299.16000000000003</v>
      </c>
      <c r="M251" s="15">
        <v>413.57</v>
      </c>
      <c r="N251" s="15">
        <v>414.87</v>
      </c>
      <c r="O251" t="s">
        <v>3028</v>
      </c>
    </row>
    <row r="252" spans="1:15" x14ac:dyDescent="0.25">
      <c r="A252" s="10" t="s">
        <v>616</v>
      </c>
      <c r="B252" s="15">
        <v>570.88</v>
      </c>
      <c r="C252" s="15">
        <v>570.88</v>
      </c>
      <c r="D252" s="15">
        <v>570.88</v>
      </c>
      <c r="E252" s="15">
        <v>570.88</v>
      </c>
      <c r="F252" s="15">
        <v>570.88</v>
      </c>
      <c r="G252" s="15">
        <v>570.88</v>
      </c>
      <c r="H252" s="15">
        <v>570.88</v>
      </c>
      <c r="I252" s="15">
        <v>570.88</v>
      </c>
      <c r="J252" s="15">
        <v>420.38</v>
      </c>
      <c r="K252" s="15">
        <v>0</v>
      </c>
      <c r="L252" s="15">
        <v>0</v>
      </c>
      <c r="M252" s="15">
        <v>0</v>
      </c>
      <c r="N252" s="15">
        <v>621.21</v>
      </c>
      <c r="O252" t="s">
        <v>3028</v>
      </c>
    </row>
    <row r="253" spans="1:15" x14ac:dyDescent="0.25">
      <c r="A253" s="10" t="s">
        <v>618</v>
      </c>
      <c r="B253" s="15">
        <v>38.81</v>
      </c>
      <c r="C253" s="15">
        <v>292.35000000000002</v>
      </c>
      <c r="D253" s="15">
        <v>229.8</v>
      </c>
      <c r="E253" s="15">
        <v>309.44</v>
      </c>
      <c r="F253" s="15">
        <v>227.71</v>
      </c>
      <c r="G253" s="15">
        <v>228.63</v>
      </c>
      <c r="H253" s="15">
        <v>228.81</v>
      </c>
      <c r="I253" s="15">
        <v>372.82</v>
      </c>
      <c r="J253" s="15">
        <v>290.8</v>
      </c>
      <c r="K253" s="15">
        <v>294.7</v>
      </c>
      <c r="L253" s="15">
        <v>293.83999999999997</v>
      </c>
      <c r="M253" s="15">
        <v>748.73</v>
      </c>
      <c r="N253" s="15">
        <v>309.29000000000002</v>
      </c>
      <c r="O253" t="s">
        <v>3028</v>
      </c>
    </row>
    <row r="254" spans="1:15" x14ac:dyDescent="0.25">
      <c r="A254" s="10" t="s">
        <v>620</v>
      </c>
      <c r="B254" s="15">
        <v>150.58000000000001</v>
      </c>
      <c r="C254" s="15">
        <v>162.22</v>
      </c>
      <c r="D254" s="15">
        <v>148.91999999999999</v>
      </c>
      <c r="E254" s="15">
        <v>222.22</v>
      </c>
      <c r="F254" s="15">
        <v>57.6</v>
      </c>
      <c r="G254" s="15">
        <v>108.13</v>
      </c>
      <c r="H254" s="15">
        <v>108.39</v>
      </c>
      <c r="I254" s="15">
        <v>162.52000000000001</v>
      </c>
      <c r="J254" s="15">
        <v>120.93</v>
      </c>
      <c r="K254" s="15">
        <v>122.5</v>
      </c>
      <c r="L254" s="15">
        <v>148.72999999999999</v>
      </c>
      <c r="M254" s="15">
        <v>147.24</v>
      </c>
      <c r="N254" s="15">
        <v>146.06</v>
      </c>
      <c r="O254" t="s">
        <v>3028</v>
      </c>
    </row>
    <row r="255" spans="1:15" x14ac:dyDescent="0.25">
      <c r="A255" s="10" t="s">
        <v>622</v>
      </c>
      <c r="B255" s="15">
        <v>315.94</v>
      </c>
      <c r="C255" s="15">
        <v>318.37</v>
      </c>
      <c r="D255" s="15">
        <v>342.88</v>
      </c>
      <c r="E255" s="15">
        <v>739.35</v>
      </c>
      <c r="F255" s="15">
        <v>26.78</v>
      </c>
      <c r="G255" s="15">
        <v>308.66000000000003</v>
      </c>
      <c r="H255" s="15">
        <v>312.39</v>
      </c>
      <c r="I255" s="15">
        <v>398.56</v>
      </c>
      <c r="J255" s="15">
        <v>376.57</v>
      </c>
      <c r="K255" s="15">
        <v>339.49</v>
      </c>
      <c r="L255" s="15">
        <v>345.35</v>
      </c>
      <c r="M255" s="15">
        <v>346.88</v>
      </c>
      <c r="N255" s="15">
        <v>350.54</v>
      </c>
      <c r="O255" t="s">
        <v>3028</v>
      </c>
    </row>
    <row r="256" spans="1:15" x14ac:dyDescent="0.25">
      <c r="A256" s="10" t="s">
        <v>624</v>
      </c>
      <c r="B256" s="15">
        <v>570.88</v>
      </c>
      <c r="C256" s="15">
        <v>402.03</v>
      </c>
      <c r="D256" s="15">
        <v>501.68</v>
      </c>
      <c r="E256" s="15">
        <v>426.44</v>
      </c>
      <c r="F256" s="15">
        <v>459.77</v>
      </c>
      <c r="G256" s="15">
        <v>527.9</v>
      </c>
      <c r="H256" s="15">
        <v>370.44</v>
      </c>
      <c r="I256" s="15">
        <v>1097.08</v>
      </c>
      <c r="J256" s="15">
        <v>44.68</v>
      </c>
      <c r="K256" s="15">
        <v>400.98</v>
      </c>
      <c r="L256" s="15">
        <v>541.53</v>
      </c>
      <c r="M256" s="15">
        <v>434.91</v>
      </c>
      <c r="N256" s="15">
        <v>516.86</v>
      </c>
      <c r="O256" t="s">
        <v>3028</v>
      </c>
    </row>
    <row r="257" spans="1:15" x14ac:dyDescent="0.25">
      <c r="A257" s="10" t="s">
        <v>626</v>
      </c>
      <c r="B257" s="15">
        <v>311.83</v>
      </c>
      <c r="C257" s="15">
        <v>428.97</v>
      </c>
      <c r="D257" s="15">
        <v>0</v>
      </c>
      <c r="E257" s="15">
        <v>0</v>
      </c>
      <c r="F257" s="15">
        <v>0</v>
      </c>
      <c r="G257" s="15">
        <v>0</v>
      </c>
      <c r="H257" s="15">
        <v>0</v>
      </c>
      <c r="I257" s="15">
        <v>0</v>
      </c>
      <c r="J257" s="15">
        <v>0</v>
      </c>
      <c r="K257" s="15">
        <v>0</v>
      </c>
      <c r="L257" s="15">
        <v>0</v>
      </c>
      <c r="M257" s="15">
        <v>0</v>
      </c>
      <c r="N257" s="15">
        <v>34.700000000000003</v>
      </c>
      <c r="O257" t="s">
        <v>3028</v>
      </c>
    </row>
    <row r="258" spans="1:15" x14ac:dyDescent="0.25">
      <c r="A258" s="10" t="s">
        <v>628</v>
      </c>
      <c r="B258" s="15">
        <v>335.92</v>
      </c>
      <c r="C258" s="15">
        <v>324.8</v>
      </c>
      <c r="D258" s="15">
        <v>289.85000000000002</v>
      </c>
      <c r="E258" s="15">
        <v>570.88</v>
      </c>
      <c r="F258" s="15">
        <v>0</v>
      </c>
      <c r="G258" s="15">
        <v>0</v>
      </c>
      <c r="H258" s="15">
        <v>0</v>
      </c>
      <c r="I258" s="15">
        <v>0</v>
      </c>
      <c r="J258" s="15">
        <v>0</v>
      </c>
      <c r="K258" s="15">
        <v>0</v>
      </c>
      <c r="L258" s="15">
        <v>0</v>
      </c>
      <c r="M258" s="15">
        <v>0</v>
      </c>
      <c r="N258" s="15">
        <v>93.93</v>
      </c>
      <c r="O258" t="s">
        <v>3028</v>
      </c>
    </row>
    <row r="259" spans="1:15" x14ac:dyDescent="0.25">
      <c r="A259" s="10" t="s">
        <v>630</v>
      </c>
      <c r="B259" s="15">
        <v>123.58</v>
      </c>
      <c r="C259" s="15">
        <v>122.88</v>
      </c>
      <c r="D259" s="15">
        <v>167.26</v>
      </c>
      <c r="E259" s="15">
        <v>157.21</v>
      </c>
      <c r="F259" s="15">
        <v>121.43</v>
      </c>
      <c r="G259" s="15">
        <v>88.15</v>
      </c>
      <c r="H259" s="15">
        <v>59.38</v>
      </c>
      <c r="I259" s="15">
        <v>25.1</v>
      </c>
      <c r="J259" s="15">
        <v>0</v>
      </c>
      <c r="K259" s="15">
        <v>0</v>
      </c>
      <c r="L259" s="15">
        <v>0</v>
      </c>
      <c r="M259" s="15">
        <v>0</v>
      </c>
      <c r="N259" s="15">
        <v>78.599999999999994</v>
      </c>
      <c r="O259" t="s">
        <v>3028</v>
      </c>
    </row>
    <row r="260" spans="1:15" x14ac:dyDescent="0.25">
      <c r="A260" s="10" t="s">
        <v>632</v>
      </c>
      <c r="B260" s="15">
        <v>0</v>
      </c>
      <c r="C260" s="15">
        <v>0</v>
      </c>
      <c r="D260" s="15">
        <v>0</v>
      </c>
      <c r="E260" s="15">
        <v>0</v>
      </c>
      <c r="F260" s="15">
        <v>0</v>
      </c>
      <c r="G260" s="15">
        <v>0</v>
      </c>
      <c r="H260" s="15">
        <v>0</v>
      </c>
      <c r="I260" s="15">
        <v>115.62</v>
      </c>
      <c r="J260" s="15">
        <v>152.53</v>
      </c>
      <c r="K260" s="15">
        <v>179.84</v>
      </c>
      <c r="L260" s="15">
        <v>163.66999999999999</v>
      </c>
      <c r="M260" s="15">
        <v>159.76</v>
      </c>
      <c r="N260" s="15">
        <v>58.26</v>
      </c>
      <c r="O260" t="s">
        <v>3028</v>
      </c>
    </row>
    <row r="261" spans="1:15" x14ac:dyDescent="0.25">
      <c r="A261" s="10" t="s">
        <v>634</v>
      </c>
      <c r="B261" s="15">
        <v>198.58</v>
      </c>
      <c r="C261" s="15">
        <v>189.37</v>
      </c>
      <c r="D261" s="15">
        <v>189.37</v>
      </c>
      <c r="E261" s="15">
        <v>190.99</v>
      </c>
      <c r="F261" s="15">
        <v>190.29</v>
      </c>
      <c r="G261" s="15">
        <v>344.01</v>
      </c>
      <c r="H261" s="15">
        <v>162.63</v>
      </c>
      <c r="I261" s="15">
        <v>309.77</v>
      </c>
      <c r="J261" s="15">
        <v>207.97</v>
      </c>
      <c r="K261" s="15">
        <v>207.97</v>
      </c>
      <c r="L261" s="15">
        <v>208.92</v>
      </c>
      <c r="M261" s="15">
        <v>208.02</v>
      </c>
      <c r="N261" s="15">
        <v>209.31</v>
      </c>
      <c r="O261" t="s">
        <v>3028</v>
      </c>
    </row>
    <row r="262" spans="1:15" x14ac:dyDescent="0.25">
      <c r="A262" s="10" t="s">
        <v>636</v>
      </c>
      <c r="B262" s="15">
        <v>560.35</v>
      </c>
      <c r="C262" s="15">
        <v>517.91</v>
      </c>
      <c r="D262" s="15">
        <v>511.66</v>
      </c>
      <c r="E262" s="15">
        <v>1068.51</v>
      </c>
      <c r="F262" s="15">
        <v>0</v>
      </c>
      <c r="G262" s="15">
        <v>496.99</v>
      </c>
      <c r="H262" s="15">
        <v>499.83</v>
      </c>
      <c r="I262" s="15">
        <v>570.88</v>
      </c>
      <c r="J262" s="15">
        <v>555.36</v>
      </c>
      <c r="K262" s="15">
        <v>547.85</v>
      </c>
      <c r="L262" s="15">
        <v>553.14</v>
      </c>
      <c r="M262" s="15">
        <v>570.88</v>
      </c>
      <c r="N262" s="15">
        <v>565.97</v>
      </c>
      <c r="O262" t="s">
        <v>3028</v>
      </c>
    </row>
    <row r="263" spans="1:15" x14ac:dyDescent="0.25">
      <c r="A263" s="10" t="s">
        <v>638</v>
      </c>
      <c r="B263" s="15">
        <v>364.42</v>
      </c>
      <c r="C263" s="15">
        <v>340.15</v>
      </c>
      <c r="D263" s="15">
        <v>436.38</v>
      </c>
      <c r="E263" s="15">
        <v>411.97</v>
      </c>
      <c r="F263" s="15">
        <v>190.11</v>
      </c>
      <c r="G263" s="15">
        <v>342.11</v>
      </c>
      <c r="H263" s="15">
        <v>355.27</v>
      </c>
      <c r="I263" s="15">
        <v>450.55</v>
      </c>
      <c r="J263" s="15">
        <v>409.7</v>
      </c>
      <c r="K263" s="15">
        <v>383.68</v>
      </c>
      <c r="L263" s="15">
        <v>375.29</v>
      </c>
      <c r="M263" s="15">
        <v>380.38</v>
      </c>
      <c r="N263" s="15">
        <v>372.25</v>
      </c>
      <c r="O263" t="s">
        <v>3028</v>
      </c>
    </row>
    <row r="264" spans="1:15" x14ac:dyDescent="0.25">
      <c r="A264" s="10" t="s">
        <v>640</v>
      </c>
      <c r="B264" s="15">
        <v>184.79</v>
      </c>
      <c r="C264" s="15">
        <v>178.41</v>
      </c>
      <c r="D264" s="15">
        <v>183.52</v>
      </c>
      <c r="E264" s="15">
        <v>183.89</v>
      </c>
      <c r="F264" s="15">
        <v>182.63</v>
      </c>
      <c r="G264" s="15">
        <v>183.7</v>
      </c>
      <c r="H264" s="15">
        <v>212.96</v>
      </c>
      <c r="I264" s="15">
        <v>182.33</v>
      </c>
      <c r="J264" s="15">
        <v>182.58</v>
      </c>
      <c r="K264" s="15">
        <v>213.9</v>
      </c>
      <c r="L264" s="15">
        <v>200.65</v>
      </c>
      <c r="M264" s="15">
        <v>538.83000000000004</v>
      </c>
      <c r="N264" s="15">
        <v>202.46</v>
      </c>
      <c r="O264" t="s">
        <v>3028</v>
      </c>
    </row>
    <row r="265" spans="1:15" x14ac:dyDescent="0.25">
      <c r="A265" s="10" t="s">
        <v>642</v>
      </c>
      <c r="B265" s="15">
        <v>158.97</v>
      </c>
      <c r="C265" s="15">
        <v>159.84</v>
      </c>
      <c r="D265" s="15">
        <v>161.47999999999999</v>
      </c>
      <c r="E265" s="15">
        <v>386.76</v>
      </c>
      <c r="F265" s="15">
        <v>0.78</v>
      </c>
      <c r="G265" s="15">
        <v>158.96</v>
      </c>
      <c r="H265" s="15">
        <v>159.15</v>
      </c>
      <c r="I265" s="15">
        <v>206.01</v>
      </c>
      <c r="J265" s="15">
        <v>194</v>
      </c>
      <c r="K265" s="15">
        <v>176.02</v>
      </c>
      <c r="L265" s="15">
        <v>174.72</v>
      </c>
      <c r="M265" s="15">
        <v>174.7</v>
      </c>
      <c r="N265" s="15">
        <v>176.83</v>
      </c>
      <c r="O265" t="s">
        <v>3028</v>
      </c>
    </row>
    <row r="266" spans="1:15" x14ac:dyDescent="0.25">
      <c r="A266" s="10" t="s">
        <v>644</v>
      </c>
      <c r="B266" s="15">
        <v>570.88</v>
      </c>
      <c r="C266" s="15">
        <v>570.88</v>
      </c>
      <c r="D266" s="15">
        <v>570.88</v>
      </c>
      <c r="E266" s="15">
        <v>570.88</v>
      </c>
      <c r="F266" s="15">
        <v>570.88</v>
      </c>
      <c r="G266" s="15">
        <v>570.88</v>
      </c>
      <c r="H266" s="15">
        <v>570.88</v>
      </c>
      <c r="I266" s="15">
        <v>570.88</v>
      </c>
      <c r="J266" s="15">
        <v>1141.76</v>
      </c>
      <c r="K266" s="15">
        <v>0</v>
      </c>
      <c r="L266" s="15">
        <v>570.88</v>
      </c>
      <c r="M266" s="15">
        <v>570.88</v>
      </c>
      <c r="N266" s="15">
        <v>570.88</v>
      </c>
      <c r="O266" t="s">
        <v>3028</v>
      </c>
    </row>
    <row r="267" spans="1:15" x14ac:dyDescent="0.25">
      <c r="A267" s="10" t="s">
        <v>646</v>
      </c>
      <c r="B267" s="15">
        <v>570.88</v>
      </c>
      <c r="C267" s="15">
        <v>570.88</v>
      </c>
      <c r="D267" s="15">
        <v>570.88</v>
      </c>
      <c r="E267" s="15">
        <v>570.88</v>
      </c>
      <c r="F267" s="15">
        <v>1095.48</v>
      </c>
      <c r="G267" s="15">
        <v>46.28</v>
      </c>
      <c r="H267" s="15">
        <v>570.88</v>
      </c>
      <c r="I267" s="15">
        <v>570.88</v>
      </c>
      <c r="J267" s="15">
        <v>570.88</v>
      </c>
      <c r="K267" s="15">
        <v>570.88</v>
      </c>
      <c r="L267" s="15">
        <v>570.88</v>
      </c>
      <c r="M267" s="15">
        <v>570.88</v>
      </c>
      <c r="N267" s="15">
        <v>570.88</v>
      </c>
      <c r="O267" t="s">
        <v>3028</v>
      </c>
    </row>
    <row r="268" spans="1:15" x14ac:dyDescent="0.25">
      <c r="A268" s="10" t="s">
        <v>648</v>
      </c>
      <c r="B268" s="15">
        <v>141.47</v>
      </c>
      <c r="C268" s="15">
        <v>0</v>
      </c>
      <c r="D268" s="15">
        <v>0</v>
      </c>
      <c r="E268" s="15">
        <v>0</v>
      </c>
      <c r="F268" s="15">
        <v>0</v>
      </c>
      <c r="G268" s="15">
        <v>0</v>
      </c>
      <c r="H268" s="15">
        <v>0</v>
      </c>
      <c r="I268" s="15">
        <v>0</v>
      </c>
      <c r="J268" s="15">
        <v>0</v>
      </c>
      <c r="K268" s="15">
        <v>0</v>
      </c>
      <c r="L268" s="15">
        <v>0</v>
      </c>
      <c r="M268" s="15">
        <v>0</v>
      </c>
      <c r="N268" s="15">
        <v>8.66</v>
      </c>
      <c r="O268" t="s">
        <v>3028</v>
      </c>
    </row>
    <row r="269" spans="1:15" x14ac:dyDescent="0.25">
      <c r="A269" s="10" t="s">
        <v>650</v>
      </c>
      <c r="B269" s="15">
        <v>570.88</v>
      </c>
      <c r="C269" s="15">
        <v>570.88</v>
      </c>
      <c r="D269" s="15">
        <v>570.88</v>
      </c>
      <c r="E269" s="15">
        <v>570.88</v>
      </c>
      <c r="F269" s="15">
        <v>570.88</v>
      </c>
      <c r="G269" s="15">
        <v>570.88</v>
      </c>
      <c r="H269" s="15">
        <v>677.96</v>
      </c>
      <c r="I269" s="15">
        <v>463.8</v>
      </c>
      <c r="J269" s="15">
        <v>570.88</v>
      </c>
      <c r="K269" s="15">
        <v>570.88</v>
      </c>
      <c r="L269" s="15">
        <v>570.88</v>
      </c>
      <c r="M269" s="15">
        <v>570.88</v>
      </c>
      <c r="N269" s="15">
        <v>570.88</v>
      </c>
      <c r="O269" t="s">
        <v>3028</v>
      </c>
    </row>
    <row r="270" spans="1:15" x14ac:dyDescent="0.25">
      <c r="A270" s="10" t="s">
        <v>652</v>
      </c>
      <c r="B270" s="15">
        <v>0</v>
      </c>
      <c r="C270" s="15">
        <v>0</v>
      </c>
      <c r="D270" s="15">
        <v>0</v>
      </c>
      <c r="E270" s="15">
        <v>180.51</v>
      </c>
      <c r="F270" s="15">
        <v>329.12</v>
      </c>
      <c r="G270" s="15">
        <v>196.25</v>
      </c>
      <c r="H270" s="15">
        <v>201.53</v>
      </c>
      <c r="I270" s="15">
        <v>320.04000000000002</v>
      </c>
      <c r="J270" s="15">
        <v>209.81</v>
      </c>
      <c r="K270" s="15">
        <v>207.33</v>
      </c>
      <c r="L270" s="15">
        <v>220.31</v>
      </c>
      <c r="M270" s="15">
        <v>219.81</v>
      </c>
      <c r="N270" s="15">
        <v>178.6</v>
      </c>
      <c r="O270" t="s">
        <v>3028</v>
      </c>
    </row>
    <row r="271" spans="1:15" x14ac:dyDescent="0.25">
      <c r="A271" s="10" t="s">
        <v>654</v>
      </c>
      <c r="B271" s="15">
        <v>570.88</v>
      </c>
      <c r="C271" s="15">
        <v>570.88</v>
      </c>
      <c r="D271" s="15">
        <v>570.88</v>
      </c>
      <c r="E271" s="15">
        <v>570.88</v>
      </c>
      <c r="F271" s="15">
        <v>570.88</v>
      </c>
      <c r="G271" s="15">
        <v>570.88</v>
      </c>
      <c r="H271" s="15">
        <v>570.88</v>
      </c>
      <c r="I271" s="15">
        <v>570.88</v>
      </c>
      <c r="J271" s="15">
        <v>570.88</v>
      </c>
      <c r="K271" s="15">
        <v>570.88</v>
      </c>
      <c r="L271" s="15">
        <v>570.88</v>
      </c>
      <c r="M271" s="15">
        <v>570.88</v>
      </c>
      <c r="N271" s="15">
        <v>570.88</v>
      </c>
      <c r="O271" t="s">
        <v>3028</v>
      </c>
    </row>
    <row r="272" spans="1:15" x14ac:dyDescent="0.25">
      <c r="A272" s="10" t="s">
        <v>656</v>
      </c>
      <c r="B272" s="15">
        <v>305.29000000000002</v>
      </c>
      <c r="C272" s="15">
        <v>315.97000000000003</v>
      </c>
      <c r="D272" s="15">
        <v>288.27999999999997</v>
      </c>
      <c r="E272" s="15">
        <v>505.62</v>
      </c>
      <c r="F272" s="15">
        <v>167.26</v>
      </c>
      <c r="G272" s="15">
        <v>290.68</v>
      </c>
      <c r="H272" s="15">
        <v>300.45999999999998</v>
      </c>
      <c r="I272" s="15">
        <v>392.9</v>
      </c>
      <c r="J272" s="15">
        <v>314.77</v>
      </c>
      <c r="K272" s="15">
        <v>320.64999999999998</v>
      </c>
      <c r="L272" s="15">
        <v>325.17</v>
      </c>
      <c r="M272" s="15">
        <v>320.83</v>
      </c>
      <c r="N272" s="15">
        <v>322.52</v>
      </c>
      <c r="O272" t="s">
        <v>3028</v>
      </c>
    </row>
    <row r="273" spans="1:15" x14ac:dyDescent="0.25">
      <c r="A273" s="10" t="s">
        <v>658</v>
      </c>
      <c r="B273" s="15">
        <v>570.88</v>
      </c>
      <c r="C273" s="15">
        <v>570.88</v>
      </c>
      <c r="D273" s="15">
        <v>1141.76</v>
      </c>
      <c r="E273" s="15">
        <v>0</v>
      </c>
      <c r="F273" s="15">
        <v>570.88</v>
      </c>
      <c r="G273" s="15">
        <v>570.88</v>
      </c>
      <c r="H273" s="15">
        <v>570.88</v>
      </c>
      <c r="I273" s="15">
        <v>570.88</v>
      </c>
      <c r="J273" s="15">
        <v>570.88</v>
      </c>
      <c r="K273" s="15">
        <v>570.88</v>
      </c>
      <c r="L273" s="15">
        <v>570.88</v>
      </c>
      <c r="M273" s="15">
        <v>570.88</v>
      </c>
      <c r="N273" s="15">
        <v>570.88</v>
      </c>
      <c r="O273" t="s">
        <v>3028</v>
      </c>
    </row>
    <row r="274" spans="1:15" x14ac:dyDescent="0.25">
      <c r="A274" s="10" t="s">
        <v>660</v>
      </c>
      <c r="B274" s="15">
        <v>350.14</v>
      </c>
      <c r="C274" s="15">
        <v>326.16000000000003</v>
      </c>
      <c r="D274" s="15">
        <v>346.93</v>
      </c>
      <c r="E274" s="15">
        <v>802.72</v>
      </c>
      <c r="F274" s="15">
        <v>68.930000000000007</v>
      </c>
      <c r="G274" s="15">
        <v>347.92</v>
      </c>
      <c r="H274" s="15">
        <v>360.68</v>
      </c>
      <c r="I274" s="15">
        <v>457.03</v>
      </c>
      <c r="J274" s="15">
        <v>381.86</v>
      </c>
      <c r="K274" s="15">
        <v>386.43</v>
      </c>
      <c r="L274" s="15">
        <v>375.28</v>
      </c>
      <c r="M274" s="15">
        <v>410.34</v>
      </c>
      <c r="N274" s="15">
        <v>379.94</v>
      </c>
      <c r="O274" t="s">
        <v>3028</v>
      </c>
    </row>
    <row r="275" spans="1:15" x14ac:dyDescent="0.25">
      <c r="A275" s="10" t="s">
        <v>662</v>
      </c>
      <c r="B275" s="15">
        <v>149.75</v>
      </c>
      <c r="C275" s="15">
        <v>146.49</v>
      </c>
      <c r="D275" s="15">
        <v>102.75</v>
      </c>
      <c r="E275" s="15">
        <v>274.32</v>
      </c>
      <c r="F275" s="15">
        <v>0</v>
      </c>
      <c r="G275" s="15">
        <v>106.84</v>
      </c>
      <c r="H275" s="15">
        <v>108.03</v>
      </c>
      <c r="I275" s="15">
        <v>184.04</v>
      </c>
      <c r="J275" s="15">
        <v>118.64</v>
      </c>
      <c r="K275" s="15">
        <v>177.14</v>
      </c>
      <c r="L275" s="15">
        <v>206.62</v>
      </c>
      <c r="M275" s="15">
        <v>0</v>
      </c>
      <c r="N275" s="15">
        <v>119.15</v>
      </c>
      <c r="O275" t="s">
        <v>3028</v>
      </c>
    </row>
    <row r="276" spans="1:15" x14ac:dyDescent="0.25">
      <c r="A276" s="10" t="s">
        <v>664</v>
      </c>
      <c r="B276" s="15">
        <v>0</v>
      </c>
      <c r="C276" s="15">
        <v>0</v>
      </c>
      <c r="D276" s="15">
        <v>0</v>
      </c>
      <c r="E276" s="15">
        <v>0</v>
      </c>
      <c r="F276" s="15">
        <v>0</v>
      </c>
      <c r="G276" s="15">
        <v>570.88</v>
      </c>
      <c r="H276" s="15">
        <v>570.88</v>
      </c>
      <c r="I276" s="15">
        <v>570.88</v>
      </c>
      <c r="J276" s="15">
        <v>151.65</v>
      </c>
      <c r="K276" s="15">
        <v>0</v>
      </c>
      <c r="L276" s="15">
        <v>0</v>
      </c>
      <c r="M276" s="15">
        <v>0</v>
      </c>
      <c r="N276" s="15">
        <v>227.47</v>
      </c>
      <c r="O276" t="s">
        <v>3028</v>
      </c>
    </row>
    <row r="277" spans="1:15" x14ac:dyDescent="0.25">
      <c r="A277" s="10" t="s">
        <v>666</v>
      </c>
      <c r="B277" s="15">
        <v>404.31</v>
      </c>
      <c r="C277" s="15">
        <v>356.49</v>
      </c>
      <c r="D277" s="15">
        <v>436.84</v>
      </c>
      <c r="E277" s="15">
        <v>361.4</v>
      </c>
      <c r="F277" s="15">
        <v>363.74</v>
      </c>
      <c r="G277" s="15">
        <v>371.21</v>
      </c>
      <c r="H277" s="15">
        <v>363.27</v>
      </c>
      <c r="I277" s="15">
        <v>349.74</v>
      </c>
      <c r="J277" s="15">
        <v>346.18</v>
      </c>
      <c r="K277" s="15">
        <v>427.61</v>
      </c>
      <c r="L277" s="15">
        <v>400.73</v>
      </c>
      <c r="M277" s="15">
        <v>640.54999999999995</v>
      </c>
      <c r="N277" s="15">
        <v>400.56</v>
      </c>
      <c r="O277" t="s">
        <v>3028</v>
      </c>
    </row>
    <row r="278" spans="1:15" x14ac:dyDescent="0.25">
      <c r="A278" s="10" t="s">
        <v>668</v>
      </c>
      <c r="B278" s="15">
        <v>570.88</v>
      </c>
      <c r="C278" s="15">
        <v>570.88</v>
      </c>
      <c r="D278" s="15">
        <v>570.88</v>
      </c>
      <c r="E278" s="15">
        <v>570.88</v>
      </c>
      <c r="F278" s="15">
        <v>570.88</v>
      </c>
      <c r="G278" s="15">
        <v>570.88</v>
      </c>
      <c r="H278" s="15">
        <v>570.88</v>
      </c>
      <c r="I278" s="15">
        <v>570.88</v>
      </c>
      <c r="J278" s="15">
        <v>570.88</v>
      </c>
      <c r="K278" s="15">
        <v>570.88</v>
      </c>
      <c r="L278" s="15">
        <v>0</v>
      </c>
      <c r="M278" s="15">
        <v>0</v>
      </c>
      <c r="N278" s="15">
        <v>570.88</v>
      </c>
      <c r="O278" t="s">
        <v>3028</v>
      </c>
    </row>
    <row r="279" spans="1:15" x14ac:dyDescent="0.25">
      <c r="A279" s="10" t="s">
        <v>670</v>
      </c>
      <c r="B279" s="15">
        <v>57.87</v>
      </c>
      <c r="C279" s="15">
        <v>570.88</v>
      </c>
      <c r="D279" s="15">
        <v>570.88</v>
      </c>
      <c r="E279" s="15">
        <v>570.88</v>
      </c>
      <c r="F279" s="15">
        <v>570.88</v>
      </c>
      <c r="G279" s="15">
        <v>570.88</v>
      </c>
      <c r="H279" s="15">
        <v>570.88</v>
      </c>
      <c r="I279" s="15">
        <v>570.88</v>
      </c>
      <c r="J279" s="15">
        <v>570.88</v>
      </c>
      <c r="K279" s="15">
        <v>570.88</v>
      </c>
      <c r="L279" s="15">
        <v>570.88</v>
      </c>
      <c r="M279" s="15">
        <v>570.88</v>
      </c>
      <c r="N279" s="15">
        <v>570.88</v>
      </c>
      <c r="O279" t="s">
        <v>3028</v>
      </c>
    </row>
    <row r="280" spans="1:15" x14ac:dyDescent="0.25">
      <c r="A280" s="10" t="s">
        <v>672</v>
      </c>
      <c r="B280" s="15">
        <v>567.45000000000005</v>
      </c>
      <c r="C280" s="15">
        <v>546.11</v>
      </c>
      <c r="D280" s="15">
        <v>546.11</v>
      </c>
      <c r="E280" s="15">
        <v>546.11</v>
      </c>
      <c r="F280" s="15">
        <v>549.59</v>
      </c>
      <c r="G280" s="15">
        <v>1045.46</v>
      </c>
      <c r="H280" s="15">
        <v>71.53</v>
      </c>
      <c r="I280" s="15">
        <v>570.88</v>
      </c>
      <c r="J280" s="15">
        <v>570.88</v>
      </c>
      <c r="K280" s="15">
        <v>570.88</v>
      </c>
      <c r="L280" s="15">
        <v>570.88</v>
      </c>
      <c r="M280" s="15">
        <v>570.88</v>
      </c>
      <c r="N280" s="15">
        <v>570.88</v>
      </c>
      <c r="O280" t="s">
        <v>3028</v>
      </c>
    </row>
    <row r="281" spans="1:15" x14ac:dyDescent="0.25">
      <c r="A281" s="10" t="s">
        <v>674</v>
      </c>
      <c r="B281" s="15">
        <v>0</v>
      </c>
      <c r="C281" s="15">
        <v>0</v>
      </c>
      <c r="D281" s="15">
        <v>0</v>
      </c>
      <c r="E281" s="15">
        <v>0</v>
      </c>
      <c r="F281" s="15">
        <v>0</v>
      </c>
      <c r="G281" s="15">
        <v>0</v>
      </c>
      <c r="H281" s="15">
        <v>144.34</v>
      </c>
      <c r="I281" s="15">
        <v>165.93</v>
      </c>
      <c r="J281" s="15">
        <v>182.56</v>
      </c>
      <c r="K281" s="15">
        <v>215.5</v>
      </c>
      <c r="L281" s="15">
        <v>192.45</v>
      </c>
      <c r="M281" s="15">
        <v>188.16</v>
      </c>
      <c r="N281" s="15">
        <v>84.35</v>
      </c>
      <c r="O281" t="s">
        <v>3028</v>
      </c>
    </row>
    <row r="282" spans="1:15" x14ac:dyDescent="0.25">
      <c r="A282" s="10" t="s">
        <v>676</v>
      </c>
      <c r="B282" s="15">
        <v>392.31</v>
      </c>
      <c r="C282" s="15">
        <v>354.76</v>
      </c>
      <c r="D282" s="15">
        <v>0</v>
      </c>
      <c r="E282" s="15">
        <v>0</v>
      </c>
      <c r="F282" s="15">
        <v>0</v>
      </c>
      <c r="G282" s="15">
        <v>0</v>
      </c>
      <c r="H282" s="15">
        <v>0</v>
      </c>
      <c r="I282" s="15">
        <v>0</v>
      </c>
      <c r="J282" s="15">
        <v>638.57000000000005</v>
      </c>
      <c r="K282" s="15">
        <v>213.5</v>
      </c>
      <c r="L282" s="15">
        <v>433.54</v>
      </c>
      <c r="M282" s="15">
        <v>389.01</v>
      </c>
      <c r="N282" s="15">
        <v>149.68</v>
      </c>
      <c r="O282" t="s">
        <v>3028</v>
      </c>
    </row>
    <row r="283" spans="1:15" x14ac:dyDescent="0.25">
      <c r="A283" s="10" t="s">
        <v>678</v>
      </c>
      <c r="B283" s="15">
        <v>570.88</v>
      </c>
      <c r="C283" s="15">
        <v>570.88</v>
      </c>
      <c r="D283" s="15">
        <v>1141.76</v>
      </c>
      <c r="E283" s="15">
        <v>0</v>
      </c>
      <c r="F283" s="15">
        <v>570.88</v>
      </c>
      <c r="G283" s="15">
        <v>570.88</v>
      </c>
      <c r="H283" s="15">
        <v>570.88</v>
      </c>
      <c r="I283" s="15">
        <v>570.88</v>
      </c>
      <c r="J283" s="15">
        <v>570.88</v>
      </c>
      <c r="K283" s="15">
        <v>570.88</v>
      </c>
      <c r="L283" s="15">
        <v>570.88</v>
      </c>
      <c r="M283" s="15">
        <v>570.88</v>
      </c>
      <c r="N283" s="15">
        <v>570.88</v>
      </c>
      <c r="O283" t="s">
        <v>3028</v>
      </c>
    </row>
    <row r="284" spans="1:15" x14ac:dyDescent="0.25">
      <c r="A284" s="10" t="s">
        <v>680</v>
      </c>
      <c r="B284" s="15">
        <v>1141.76</v>
      </c>
      <c r="C284" s="15">
        <v>0</v>
      </c>
      <c r="D284" s="15">
        <v>570.88</v>
      </c>
      <c r="E284" s="15">
        <v>570.88</v>
      </c>
      <c r="F284" s="15">
        <v>570.88</v>
      </c>
      <c r="G284" s="15">
        <v>570.88</v>
      </c>
      <c r="H284" s="15">
        <v>570.88</v>
      </c>
      <c r="I284" s="15">
        <v>570.88</v>
      </c>
      <c r="J284" s="15">
        <v>570.88</v>
      </c>
      <c r="K284" s="15">
        <v>570.88</v>
      </c>
      <c r="L284" s="15">
        <v>570.88</v>
      </c>
      <c r="M284" s="15">
        <v>570.88</v>
      </c>
      <c r="N284" s="15">
        <v>570.88</v>
      </c>
      <c r="O284" t="s">
        <v>3028</v>
      </c>
    </row>
    <row r="285" spans="1:15" x14ac:dyDescent="0.25">
      <c r="A285" s="10" t="s">
        <v>682</v>
      </c>
      <c r="B285" s="15">
        <v>471.61</v>
      </c>
      <c r="C285" s="15">
        <v>570.88</v>
      </c>
      <c r="D285" s="15">
        <v>570.88</v>
      </c>
      <c r="E285" s="15">
        <v>570.88</v>
      </c>
      <c r="F285" s="15">
        <v>570.88</v>
      </c>
      <c r="G285" s="15">
        <v>570.88</v>
      </c>
      <c r="H285" s="15">
        <v>570.88</v>
      </c>
      <c r="I285" s="15">
        <v>570.88</v>
      </c>
      <c r="J285" s="15">
        <v>570.88</v>
      </c>
      <c r="K285" s="15">
        <v>570.88</v>
      </c>
      <c r="L285" s="15">
        <v>570.88</v>
      </c>
      <c r="M285" s="15">
        <v>570.88</v>
      </c>
      <c r="N285" s="15">
        <v>570.88</v>
      </c>
      <c r="O285" t="s">
        <v>3028</v>
      </c>
    </row>
    <row r="286" spans="1:15" x14ac:dyDescent="0.25">
      <c r="A286" s="10" t="s">
        <v>684</v>
      </c>
      <c r="B286" s="15">
        <v>206.58</v>
      </c>
      <c r="C286" s="15">
        <v>209.24</v>
      </c>
      <c r="D286" s="15">
        <v>216.14</v>
      </c>
      <c r="E286" s="15">
        <v>192.33</v>
      </c>
      <c r="F286" s="15">
        <v>190.08</v>
      </c>
      <c r="G286" s="15">
        <v>190.08</v>
      </c>
      <c r="H286" s="15">
        <v>511.46</v>
      </c>
      <c r="I286" s="15">
        <v>9.44</v>
      </c>
      <c r="J286" s="15">
        <v>190.08</v>
      </c>
      <c r="K286" s="15">
        <v>226.65</v>
      </c>
      <c r="L286" s="15">
        <v>219.11</v>
      </c>
      <c r="M286" s="15">
        <v>208.36</v>
      </c>
      <c r="N286" s="15">
        <v>214.54</v>
      </c>
      <c r="O286" t="s">
        <v>3028</v>
      </c>
    </row>
    <row r="287" spans="1:15" x14ac:dyDescent="0.25">
      <c r="A287" s="10" t="s">
        <v>686</v>
      </c>
      <c r="B287" s="15">
        <v>195.37</v>
      </c>
      <c r="C287" s="15">
        <v>311.77999999999997</v>
      </c>
      <c r="D287" s="15">
        <v>287.12</v>
      </c>
      <c r="E287" s="15">
        <v>218.79</v>
      </c>
      <c r="F287" s="15">
        <v>391.86</v>
      </c>
      <c r="G287" s="15">
        <v>150.91</v>
      </c>
      <c r="H287" s="15">
        <v>198.08</v>
      </c>
      <c r="I287" s="15">
        <v>339.76</v>
      </c>
      <c r="J287" s="15">
        <v>211.38</v>
      </c>
      <c r="K287" s="15">
        <v>211.97</v>
      </c>
      <c r="L287" s="15">
        <v>313.51</v>
      </c>
      <c r="M287" s="15">
        <v>228.68</v>
      </c>
      <c r="N287" s="15">
        <v>231.32</v>
      </c>
      <c r="O287" t="s">
        <v>3028</v>
      </c>
    </row>
    <row r="288" spans="1:15" x14ac:dyDescent="0.25">
      <c r="A288" s="10" t="s">
        <v>688</v>
      </c>
      <c r="B288" s="15">
        <v>385.11</v>
      </c>
      <c r="C288" s="15">
        <v>361.32</v>
      </c>
      <c r="D288" s="15">
        <v>361.23</v>
      </c>
      <c r="E288" s="15">
        <v>392.38</v>
      </c>
      <c r="F288" s="15">
        <v>353.01</v>
      </c>
      <c r="G288" s="15">
        <v>387.18</v>
      </c>
      <c r="H288" s="15">
        <v>428.2</v>
      </c>
      <c r="I288" s="15">
        <v>517.66999999999996</v>
      </c>
      <c r="J288" s="15">
        <v>613.73</v>
      </c>
      <c r="K288" s="15">
        <v>354.73</v>
      </c>
      <c r="L288" s="15">
        <v>554.11</v>
      </c>
      <c r="M288" s="15">
        <v>502.16</v>
      </c>
      <c r="N288" s="15">
        <v>433.16</v>
      </c>
      <c r="O288" t="s">
        <v>3028</v>
      </c>
    </row>
    <row r="289" spans="1:15" x14ac:dyDescent="0.25">
      <c r="A289" s="10" t="s">
        <v>693</v>
      </c>
      <c r="B289" s="15">
        <v>216.94</v>
      </c>
      <c r="C289" s="15">
        <v>209.15</v>
      </c>
      <c r="D289" s="15">
        <v>209.49</v>
      </c>
      <c r="E289" s="15">
        <v>190.26</v>
      </c>
      <c r="F289" s="15">
        <v>208.39</v>
      </c>
      <c r="G289" s="15">
        <v>372.73</v>
      </c>
      <c r="H289" s="15">
        <v>117.95</v>
      </c>
      <c r="I289" s="15">
        <v>190.13</v>
      </c>
      <c r="J289" s="15">
        <v>208.62</v>
      </c>
      <c r="K289" s="15">
        <v>228.43</v>
      </c>
      <c r="L289" s="15">
        <v>209.18</v>
      </c>
      <c r="M289" s="15">
        <v>208.36</v>
      </c>
      <c r="N289" s="15">
        <v>215.92</v>
      </c>
      <c r="O289" t="s">
        <v>3028</v>
      </c>
    </row>
    <row r="290" spans="1:15" x14ac:dyDescent="0.25">
      <c r="A290" s="10" t="s">
        <v>695</v>
      </c>
      <c r="B290" s="15">
        <v>231.45</v>
      </c>
      <c r="C290" s="15">
        <v>570.88</v>
      </c>
      <c r="D290" s="15">
        <v>0</v>
      </c>
      <c r="E290" s="15">
        <v>0</v>
      </c>
      <c r="F290" s="15">
        <v>0</v>
      </c>
      <c r="G290" s="15">
        <v>0</v>
      </c>
      <c r="H290" s="15">
        <v>0</v>
      </c>
      <c r="I290" s="15">
        <v>0</v>
      </c>
      <c r="J290" s="15">
        <v>0</v>
      </c>
      <c r="K290" s="15">
        <v>0</v>
      </c>
      <c r="L290" s="15">
        <v>0</v>
      </c>
      <c r="M290" s="15">
        <v>0</v>
      </c>
      <c r="N290" s="15">
        <v>64.33</v>
      </c>
      <c r="O290" t="s">
        <v>3028</v>
      </c>
    </row>
    <row r="291" spans="1:15" x14ac:dyDescent="0.25">
      <c r="A291" s="10" t="s">
        <v>697</v>
      </c>
      <c r="B291" s="15">
        <v>570.88</v>
      </c>
      <c r="C291" s="15">
        <v>570.88</v>
      </c>
      <c r="D291" s="15">
        <v>570.88</v>
      </c>
      <c r="E291" s="15">
        <v>570.88</v>
      </c>
      <c r="F291" s="15">
        <v>570.88</v>
      </c>
      <c r="G291" s="15">
        <v>570.88</v>
      </c>
      <c r="H291" s="15">
        <v>1020.2</v>
      </c>
      <c r="I291" s="15">
        <v>121.56</v>
      </c>
      <c r="J291" s="15">
        <v>570.88</v>
      </c>
      <c r="K291" s="15">
        <v>570.88</v>
      </c>
      <c r="L291" s="15">
        <v>570.88</v>
      </c>
      <c r="M291" s="15">
        <v>570.88</v>
      </c>
      <c r="N291" s="15">
        <v>570.88</v>
      </c>
      <c r="O291" t="s">
        <v>3028</v>
      </c>
    </row>
    <row r="292" spans="1:15" x14ac:dyDescent="0.25">
      <c r="A292" s="10" t="s">
        <v>699</v>
      </c>
      <c r="B292" s="15">
        <v>529.95000000000005</v>
      </c>
      <c r="C292" s="15">
        <v>570.88</v>
      </c>
      <c r="D292" s="15">
        <v>570.88</v>
      </c>
      <c r="E292" s="15">
        <v>527.1</v>
      </c>
      <c r="F292" s="15">
        <v>470.56</v>
      </c>
      <c r="G292" s="15">
        <v>913.37</v>
      </c>
      <c r="H292" s="15">
        <v>209.41</v>
      </c>
      <c r="I292" s="15">
        <v>570.88</v>
      </c>
      <c r="J292" s="15">
        <v>570.88</v>
      </c>
      <c r="K292" s="15">
        <v>520.29</v>
      </c>
      <c r="L292" s="15">
        <v>570.88</v>
      </c>
      <c r="M292" s="15">
        <v>525.29999999999995</v>
      </c>
      <c r="N292" s="15">
        <v>569.46</v>
      </c>
      <c r="O292" t="s">
        <v>3028</v>
      </c>
    </row>
    <row r="293" spans="1:15" x14ac:dyDescent="0.25">
      <c r="A293" s="10" t="s">
        <v>701</v>
      </c>
      <c r="B293" s="15">
        <v>570.88</v>
      </c>
      <c r="C293" s="15">
        <v>543.91999999999996</v>
      </c>
      <c r="D293" s="15">
        <v>570.88</v>
      </c>
      <c r="E293" s="15">
        <v>0</v>
      </c>
      <c r="F293" s="15">
        <v>0</v>
      </c>
      <c r="G293" s="15">
        <v>0</v>
      </c>
      <c r="H293" s="15">
        <v>0</v>
      </c>
      <c r="I293" s="15">
        <v>0</v>
      </c>
      <c r="J293" s="15">
        <v>0</v>
      </c>
      <c r="K293" s="15">
        <v>0</v>
      </c>
      <c r="L293" s="15">
        <v>0</v>
      </c>
      <c r="M293" s="15">
        <v>0</v>
      </c>
      <c r="N293" s="15">
        <v>206.8</v>
      </c>
      <c r="O293" t="s">
        <v>3028</v>
      </c>
    </row>
    <row r="294" spans="1:15" x14ac:dyDescent="0.25">
      <c r="A294" s="10" t="s">
        <v>703</v>
      </c>
      <c r="B294" s="15">
        <v>570.88</v>
      </c>
      <c r="C294" s="15">
        <v>570.88</v>
      </c>
      <c r="D294" s="15">
        <v>570.88</v>
      </c>
      <c r="E294" s="15">
        <v>570.88</v>
      </c>
      <c r="F294" s="15">
        <v>570.88</v>
      </c>
      <c r="G294" s="15">
        <v>570.88</v>
      </c>
      <c r="H294" s="15">
        <v>1141.76</v>
      </c>
      <c r="I294" s="15">
        <v>0</v>
      </c>
      <c r="J294" s="15">
        <v>570.88</v>
      </c>
      <c r="K294" s="15">
        <v>570.88</v>
      </c>
      <c r="L294" s="15">
        <v>570.88</v>
      </c>
      <c r="M294" s="15">
        <v>570.88</v>
      </c>
      <c r="N294" s="15">
        <v>570.88</v>
      </c>
      <c r="O294" t="s">
        <v>3028</v>
      </c>
    </row>
    <row r="295" spans="1:15" x14ac:dyDescent="0.25">
      <c r="A295" s="10" t="s">
        <v>705</v>
      </c>
      <c r="B295" s="15">
        <v>335.95</v>
      </c>
      <c r="C295" s="15">
        <v>0</v>
      </c>
      <c r="D295" s="15">
        <v>0</v>
      </c>
      <c r="E295" s="15">
        <v>0</v>
      </c>
      <c r="F295" s="15">
        <v>0</v>
      </c>
      <c r="G295" s="15">
        <v>0</v>
      </c>
      <c r="H295" s="15">
        <v>0</v>
      </c>
      <c r="I295" s="15">
        <v>0</v>
      </c>
      <c r="J295" s="15">
        <v>0</v>
      </c>
      <c r="K295" s="15">
        <v>0</v>
      </c>
      <c r="L295" s="15">
        <v>0</v>
      </c>
      <c r="M295" s="15">
        <v>0</v>
      </c>
      <c r="N295" s="15">
        <v>31.44</v>
      </c>
      <c r="O295" t="s">
        <v>3028</v>
      </c>
    </row>
    <row r="296" spans="1:15" x14ac:dyDescent="0.25">
      <c r="A296" s="10" t="s">
        <v>707</v>
      </c>
      <c r="B296" s="15">
        <v>91.3</v>
      </c>
      <c r="C296" s="15">
        <v>105.32</v>
      </c>
      <c r="D296" s="15">
        <v>70.400000000000006</v>
      </c>
      <c r="E296" s="15">
        <v>267.52999999999997</v>
      </c>
      <c r="F296" s="15">
        <v>0</v>
      </c>
      <c r="G296" s="15">
        <v>94.77</v>
      </c>
      <c r="H296" s="15">
        <v>91.4</v>
      </c>
      <c r="I296" s="15">
        <v>150.78</v>
      </c>
      <c r="J296" s="15">
        <v>42.56</v>
      </c>
      <c r="K296" s="15">
        <v>0.39</v>
      </c>
      <c r="L296" s="15">
        <v>175.78</v>
      </c>
      <c r="M296" s="15">
        <v>0</v>
      </c>
      <c r="N296" s="15">
        <v>87.52</v>
      </c>
      <c r="O296" t="s">
        <v>3028</v>
      </c>
    </row>
    <row r="297" spans="1:15" x14ac:dyDescent="0.25">
      <c r="A297" s="10" t="s">
        <v>709</v>
      </c>
      <c r="B297" s="15">
        <v>0</v>
      </c>
      <c r="C297" s="15">
        <v>0</v>
      </c>
      <c r="D297" s="15">
        <v>0</v>
      </c>
      <c r="E297" s="15">
        <v>0</v>
      </c>
      <c r="F297" s="15">
        <v>0</v>
      </c>
      <c r="G297" s="15">
        <v>0</v>
      </c>
      <c r="H297" s="15">
        <v>0</v>
      </c>
      <c r="I297" s="15">
        <v>0</v>
      </c>
      <c r="J297" s="15">
        <v>292.58</v>
      </c>
      <c r="K297" s="15">
        <v>347.69</v>
      </c>
      <c r="L297" s="15">
        <v>371.3</v>
      </c>
      <c r="M297" s="15">
        <v>366.13</v>
      </c>
      <c r="N297" s="15">
        <v>86.26</v>
      </c>
      <c r="O297" t="s">
        <v>3028</v>
      </c>
    </row>
    <row r="298" spans="1:15" x14ac:dyDescent="0.25">
      <c r="A298" s="10" t="s">
        <v>711</v>
      </c>
      <c r="B298" s="15">
        <v>193.14</v>
      </c>
      <c r="C298" s="15">
        <v>232.17</v>
      </c>
      <c r="D298" s="15">
        <v>529.41999999999996</v>
      </c>
      <c r="E298" s="15">
        <v>32.270000000000003</v>
      </c>
      <c r="F298" s="15">
        <v>172.53</v>
      </c>
      <c r="G298" s="15">
        <v>194.34</v>
      </c>
      <c r="H298" s="15">
        <v>195.18</v>
      </c>
      <c r="I298" s="15">
        <v>304.57</v>
      </c>
      <c r="J298" s="15">
        <v>209.18</v>
      </c>
      <c r="K298" s="15">
        <v>207.3</v>
      </c>
      <c r="L298" s="15">
        <v>222.91</v>
      </c>
      <c r="M298" s="15">
        <v>210.45</v>
      </c>
      <c r="N298" s="15">
        <v>217.54</v>
      </c>
      <c r="O298" t="s">
        <v>3028</v>
      </c>
    </row>
    <row r="299" spans="1:15" x14ac:dyDescent="0.25">
      <c r="A299" s="10" t="s">
        <v>713</v>
      </c>
      <c r="B299" s="15">
        <v>436.3</v>
      </c>
      <c r="C299" s="15">
        <v>473.43</v>
      </c>
      <c r="D299" s="15">
        <v>404.67</v>
      </c>
      <c r="E299" s="15">
        <v>325.29000000000002</v>
      </c>
      <c r="F299" s="15">
        <v>325.88</v>
      </c>
      <c r="G299" s="15">
        <v>852.06</v>
      </c>
      <c r="H299" s="15">
        <v>21.68</v>
      </c>
      <c r="I299" s="15">
        <v>431.8</v>
      </c>
      <c r="J299" s="15">
        <v>375.38</v>
      </c>
      <c r="K299" s="15">
        <v>367.4</v>
      </c>
      <c r="L299" s="15">
        <v>368.38</v>
      </c>
      <c r="M299" s="15">
        <v>373.31</v>
      </c>
      <c r="N299" s="15">
        <v>395.05</v>
      </c>
      <c r="O299" t="s">
        <v>3028</v>
      </c>
    </row>
    <row r="300" spans="1:15" x14ac:dyDescent="0.25">
      <c r="A300" s="10" t="s">
        <v>715</v>
      </c>
      <c r="B300" s="15">
        <v>179.43</v>
      </c>
      <c r="C300" s="15">
        <v>202.11</v>
      </c>
      <c r="D300" s="15">
        <v>195.45</v>
      </c>
      <c r="E300" s="15">
        <v>392.59</v>
      </c>
      <c r="F300" s="15">
        <v>54</v>
      </c>
      <c r="G300" s="15">
        <v>159.37</v>
      </c>
      <c r="H300" s="15">
        <v>159.76</v>
      </c>
      <c r="I300" s="15">
        <v>205.88</v>
      </c>
      <c r="J300" s="15">
        <v>174.69</v>
      </c>
      <c r="K300" s="15">
        <v>169.69</v>
      </c>
      <c r="L300" s="15">
        <v>217.07</v>
      </c>
      <c r="M300" s="15">
        <v>209.28</v>
      </c>
      <c r="N300" s="15">
        <v>190.54</v>
      </c>
      <c r="O300" t="s">
        <v>3028</v>
      </c>
    </row>
    <row r="301" spans="1:15" x14ac:dyDescent="0.25">
      <c r="A301" s="10" t="s">
        <v>720</v>
      </c>
      <c r="B301" s="15">
        <v>104.11</v>
      </c>
      <c r="C301" s="15">
        <v>142.07</v>
      </c>
      <c r="D301" s="15">
        <v>142.4</v>
      </c>
      <c r="E301" s="15">
        <v>142.27000000000001</v>
      </c>
      <c r="F301" s="15">
        <v>142.36000000000001</v>
      </c>
      <c r="G301" s="15">
        <v>161.05000000000001</v>
      </c>
      <c r="H301" s="15">
        <v>142.47</v>
      </c>
      <c r="I301" s="15">
        <v>142.11000000000001</v>
      </c>
      <c r="J301" s="15">
        <v>333.32</v>
      </c>
      <c r="K301" s="15">
        <v>37.32</v>
      </c>
      <c r="L301" s="15">
        <v>151.31</v>
      </c>
      <c r="M301" s="15">
        <v>157.26</v>
      </c>
      <c r="N301" s="15">
        <v>157.81</v>
      </c>
      <c r="O301" t="s">
        <v>3028</v>
      </c>
    </row>
    <row r="302" spans="1:15" x14ac:dyDescent="0.25">
      <c r="A302" s="10" t="s">
        <v>722</v>
      </c>
      <c r="B302" s="15">
        <v>187.78</v>
      </c>
      <c r="C302" s="15">
        <v>173.55</v>
      </c>
      <c r="D302" s="15">
        <v>174.47</v>
      </c>
      <c r="E302" s="15">
        <v>334.4</v>
      </c>
      <c r="F302" s="15">
        <v>63.57</v>
      </c>
      <c r="G302" s="15">
        <v>173.99</v>
      </c>
      <c r="H302" s="15">
        <v>178.56</v>
      </c>
      <c r="I302" s="15">
        <v>287.3</v>
      </c>
      <c r="J302" s="15">
        <v>190.51</v>
      </c>
      <c r="K302" s="15">
        <v>205.68</v>
      </c>
      <c r="L302" s="15">
        <v>186.16</v>
      </c>
      <c r="M302" s="15">
        <v>195.71</v>
      </c>
      <c r="N302" s="15">
        <v>193.37</v>
      </c>
      <c r="O302" t="s">
        <v>3028</v>
      </c>
    </row>
    <row r="303" spans="1:15" x14ac:dyDescent="0.25">
      <c r="A303" s="10" t="s">
        <v>724</v>
      </c>
      <c r="B303" s="15">
        <v>481.13</v>
      </c>
      <c r="C303" s="15">
        <v>497.18</v>
      </c>
      <c r="D303" s="15">
        <v>494.97</v>
      </c>
      <c r="E303" s="15">
        <v>527.71</v>
      </c>
      <c r="F303" s="15">
        <v>493.81</v>
      </c>
      <c r="G303" s="15">
        <v>566.99</v>
      </c>
      <c r="H303" s="15">
        <v>504.16</v>
      </c>
      <c r="I303" s="15">
        <v>570.88</v>
      </c>
      <c r="J303" s="15">
        <v>540.16999999999996</v>
      </c>
      <c r="K303" s="15">
        <v>580.29999999999995</v>
      </c>
      <c r="L303" s="15">
        <v>561.46</v>
      </c>
      <c r="M303" s="15">
        <v>570.88</v>
      </c>
      <c r="N303" s="15">
        <v>561.66999999999996</v>
      </c>
      <c r="O303" t="s">
        <v>3028</v>
      </c>
    </row>
    <row r="304" spans="1:15" x14ac:dyDescent="0.25">
      <c r="A304" s="10" t="s">
        <v>726</v>
      </c>
      <c r="B304" s="15">
        <v>188.34</v>
      </c>
      <c r="C304" s="15">
        <v>222.88</v>
      </c>
      <c r="D304" s="15">
        <v>287.24</v>
      </c>
      <c r="E304" s="15">
        <v>207.18</v>
      </c>
      <c r="F304" s="15">
        <v>316.18</v>
      </c>
      <c r="G304" s="15">
        <v>186.6</v>
      </c>
      <c r="H304" s="15">
        <v>208.8</v>
      </c>
      <c r="I304" s="15">
        <v>347.37</v>
      </c>
      <c r="J304" s="15">
        <v>347.89</v>
      </c>
      <c r="K304" s="15">
        <v>402.23</v>
      </c>
      <c r="L304" s="15">
        <v>347.54</v>
      </c>
      <c r="M304" s="15">
        <v>400.91</v>
      </c>
      <c r="N304" s="15">
        <v>353.06</v>
      </c>
      <c r="O304" t="s">
        <v>3028</v>
      </c>
    </row>
    <row r="305" spans="1:15" x14ac:dyDescent="0.25">
      <c r="A305" s="10" t="s">
        <v>728</v>
      </c>
      <c r="B305" s="15">
        <v>346.77</v>
      </c>
      <c r="C305" s="15">
        <v>352.67</v>
      </c>
      <c r="D305" s="15">
        <v>287.20999999999998</v>
      </c>
      <c r="E305" s="15">
        <v>672.98</v>
      </c>
      <c r="F305" s="15">
        <v>38.520000000000003</v>
      </c>
      <c r="G305" s="15">
        <v>290.07</v>
      </c>
      <c r="H305" s="15">
        <v>297.23</v>
      </c>
      <c r="I305" s="15">
        <v>392.95</v>
      </c>
      <c r="J305" s="15">
        <v>316.77999999999997</v>
      </c>
      <c r="K305" s="15">
        <v>331.4</v>
      </c>
      <c r="L305" s="15">
        <v>342.78</v>
      </c>
      <c r="M305" s="15">
        <v>320.82</v>
      </c>
      <c r="N305" s="15">
        <v>331.93</v>
      </c>
      <c r="O305" t="s">
        <v>3028</v>
      </c>
    </row>
    <row r="306" spans="1:15" x14ac:dyDescent="0.25">
      <c r="A306" s="10" t="s">
        <v>730</v>
      </c>
      <c r="B306" s="15">
        <v>570.88</v>
      </c>
      <c r="C306" s="15">
        <v>570.88</v>
      </c>
      <c r="D306" s="15">
        <v>570.88</v>
      </c>
      <c r="E306" s="15">
        <v>570.88</v>
      </c>
      <c r="F306" s="15">
        <v>570.88</v>
      </c>
      <c r="G306" s="15">
        <v>570.88</v>
      </c>
      <c r="H306" s="15">
        <v>570.88</v>
      </c>
      <c r="I306" s="15">
        <v>1141.76</v>
      </c>
      <c r="J306" s="15">
        <v>0</v>
      </c>
      <c r="K306" s="15">
        <v>570.88</v>
      </c>
      <c r="L306" s="15">
        <v>570.88</v>
      </c>
      <c r="M306" s="15">
        <v>570.88</v>
      </c>
      <c r="N306" s="15">
        <v>570.88</v>
      </c>
      <c r="O306" t="s">
        <v>3028</v>
      </c>
    </row>
    <row r="307" spans="1:15" x14ac:dyDescent="0.25">
      <c r="A307" s="10" t="s">
        <v>732</v>
      </c>
      <c r="B307" s="15">
        <v>500.02</v>
      </c>
      <c r="C307" s="15">
        <v>429.22</v>
      </c>
      <c r="D307" s="15">
        <v>447.48</v>
      </c>
      <c r="E307" s="15">
        <v>442.03</v>
      </c>
      <c r="F307" s="15">
        <v>463.72</v>
      </c>
      <c r="G307" s="15">
        <v>458.93</v>
      </c>
      <c r="H307" s="15">
        <v>759.64</v>
      </c>
      <c r="I307" s="15">
        <v>376.72</v>
      </c>
      <c r="J307" s="15">
        <v>527.33000000000004</v>
      </c>
      <c r="K307" s="15">
        <v>475.29</v>
      </c>
      <c r="L307" s="15">
        <v>472.87</v>
      </c>
      <c r="M307" s="15">
        <v>474.27</v>
      </c>
      <c r="N307" s="15">
        <v>491.88</v>
      </c>
      <c r="O307" t="s">
        <v>3028</v>
      </c>
    </row>
    <row r="308" spans="1:15" x14ac:dyDescent="0.25">
      <c r="A308" s="10" t="s">
        <v>734</v>
      </c>
      <c r="B308" s="15">
        <v>569.34</v>
      </c>
      <c r="C308" s="15">
        <v>364.97</v>
      </c>
      <c r="D308" s="15">
        <v>368.75</v>
      </c>
      <c r="E308" s="15">
        <v>364.97</v>
      </c>
      <c r="F308" s="15">
        <v>366.91</v>
      </c>
      <c r="G308" s="15">
        <v>857.33</v>
      </c>
      <c r="H308" s="15">
        <v>24.33</v>
      </c>
      <c r="I308" s="15">
        <v>471.12</v>
      </c>
      <c r="J308" s="15">
        <v>400.98</v>
      </c>
      <c r="K308" s="15">
        <v>422.49</v>
      </c>
      <c r="L308" s="15">
        <v>400.81</v>
      </c>
      <c r="M308" s="15">
        <v>400.81</v>
      </c>
      <c r="N308" s="15">
        <v>422.32</v>
      </c>
      <c r="O308" t="s">
        <v>3028</v>
      </c>
    </row>
    <row r="309" spans="1:15" x14ac:dyDescent="0.25">
      <c r="A309" s="10" t="s">
        <v>736</v>
      </c>
      <c r="B309" s="15">
        <v>682.78</v>
      </c>
      <c r="C309" s="15">
        <v>458.98</v>
      </c>
      <c r="D309" s="15">
        <v>570.88</v>
      </c>
      <c r="E309" s="15">
        <v>545.04999999999995</v>
      </c>
      <c r="F309" s="15">
        <v>570.88</v>
      </c>
      <c r="G309" s="15">
        <v>570.88</v>
      </c>
      <c r="H309" s="15">
        <v>567.84</v>
      </c>
      <c r="I309" s="15">
        <v>570.88</v>
      </c>
      <c r="J309" s="15">
        <v>570.88</v>
      </c>
      <c r="K309" s="15">
        <v>570.88</v>
      </c>
      <c r="L309" s="15">
        <v>570.88</v>
      </c>
      <c r="M309" s="15">
        <v>570.88</v>
      </c>
      <c r="N309" s="15">
        <v>570.88</v>
      </c>
      <c r="O309" t="s">
        <v>3028</v>
      </c>
    </row>
    <row r="310" spans="1:15" x14ac:dyDescent="0.25">
      <c r="A310" s="10" t="s">
        <v>738</v>
      </c>
      <c r="B310" s="15">
        <v>0</v>
      </c>
      <c r="C310" s="15">
        <v>0</v>
      </c>
      <c r="D310" s="15">
        <v>83.2</v>
      </c>
      <c r="E310" s="15">
        <v>104</v>
      </c>
      <c r="F310" s="15">
        <v>104.26</v>
      </c>
      <c r="G310" s="15">
        <v>104.6</v>
      </c>
      <c r="H310" s="15">
        <v>104.15</v>
      </c>
      <c r="I310" s="15">
        <v>104</v>
      </c>
      <c r="J310" s="15">
        <v>104.33</v>
      </c>
      <c r="K310" s="15">
        <v>145.35</v>
      </c>
      <c r="L310" s="15">
        <v>114</v>
      </c>
      <c r="M310" s="15">
        <v>114.23</v>
      </c>
      <c r="N310" s="15">
        <v>95.57</v>
      </c>
      <c r="O310" t="s">
        <v>3028</v>
      </c>
    </row>
    <row r="311" spans="1:15" x14ac:dyDescent="0.25">
      <c r="A311" s="10" t="s">
        <v>740</v>
      </c>
      <c r="B311" s="15">
        <v>309.60000000000002</v>
      </c>
      <c r="C311" s="15">
        <v>297.94</v>
      </c>
      <c r="D311" s="15">
        <v>286.33</v>
      </c>
      <c r="E311" s="15">
        <v>500.36</v>
      </c>
      <c r="F311" s="15">
        <v>156.49</v>
      </c>
      <c r="G311" s="15">
        <v>300.19</v>
      </c>
      <c r="H311" s="15">
        <v>295.02</v>
      </c>
      <c r="I311" s="15">
        <v>393.2</v>
      </c>
      <c r="J311" s="15">
        <v>336.6</v>
      </c>
      <c r="K311" s="15">
        <v>326.69</v>
      </c>
      <c r="L311" s="15">
        <v>325.36</v>
      </c>
      <c r="M311" s="15">
        <v>326.89999999999998</v>
      </c>
      <c r="N311" s="15">
        <v>322.29000000000002</v>
      </c>
      <c r="O311" t="s">
        <v>3028</v>
      </c>
    </row>
    <row r="312" spans="1:15" x14ac:dyDescent="0.25">
      <c r="A312" s="10" t="s">
        <v>742</v>
      </c>
      <c r="B312" s="15">
        <v>570.88</v>
      </c>
      <c r="C312" s="15">
        <v>570.88</v>
      </c>
      <c r="D312" s="15">
        <v>570.88</v>
      </c>
      <c r="E312" s="15">
        <v>955.05</v>
      </c>
      <c r="F312" s="15">
        <v>186.71</v>
      </c>
      <c r="G312" s="15">
        <v>570.88</v>
      </c>
      <c r="H312" s="15">
        <v>570.88</v>
      </c>
      <c r="I312" s="15">
        <v>570.88</v>
      </c>
      <c r="J312" s="15">
        <v>570.88</v>
      </c>
      <c r="K312" s="15">
        <v>570.88</v>
      </c>
      <c r="L312" s="15">
        <v>570.88</v>
      </c>
      <c r="M312" s="15">
        <v>570.88</v>
      </c>
      <c r="N312" s="15">
        <v>570.88</v>
      </c>
      <c r="O312" t="s">
        <v>3028</v>
      </c>
    </row>
    <row r="313" spans="1:15" x14ac:dyDescent="0.25">
      <c r="A313" s="10" t="s">
        <v>744</v>
      </c>
      <c r="B313" s="15">
        <v>304.27999999999997</v>
      </c>
      <c r="C313" s="15">
        <v>304.27999999999997</v>
      </c>
      <c r="D313" s="15">
        <v>304.27999999999997</v>
      </c>
      <c r="E313" s="15">
        <v>304.27999999999997</v>
      </c>
      <c r="F313" s="15">
        <v>304.27999999999997</v>
      </c>
      <c r="G313" s="15">
        <v>717.33</v>
      </c>
      <c r="H313" s="15">
        <v>0</v>
      </c>
      <c r="I313" s="15">
        <v>404.5</v>
      </c>
      <c r="J313" s="15">
        <v>334.16</v>
      </c>
      <c r="K313" s="15">
        <v>340.14</v>
      </c>
      <c r="L313" s="15">
        <v>334.16</v>
      </c>
      <c r="M313" s="15">
        <v>334.16</v>
      </c>
      <c r="N313" s="15">
        <v>334.66</v>
      </c>
      <c r="O313" t="s">
        <v>3028</v>
      </c>
    </row>
    <row r="314" spans="1:15" x14ac:dyDescent="0.25">
      <c r="A314" s="10" t="s">
        <v>746</v>
      </c>
      <c r="B314" s="15">
        <v>906.89</v>
      </c>
      <c r="C314" s="15">
        <v>100.99</v>
      </c>
      <c r="D314" s="15">
        <v>341.11</v>
      </c>
      <c r="E314" s="15">
        <v>339.42</v>
      </c>
      <c r="F314" s="15">
        <v>337.98</v>
      </c>
      <c r="G314" s="15">
        <v>805.69</v>
      </c>
      <c r="H314" s="15">
        <v>6.57</v>
      </c>
      <c r="I314" s="15">
        <v>416.29</v>
      </c>
      <c r="J314" s="15">
        <v>365.54</v>
      </c>
      <c r="K314" s="15">
        <v>224.34</v>
      </c>
      <c r="L314" s="15">
        <v>543.01</v>
      </c>
      <c r="M314" s="15">
        <v>337.68</v>
      </c>
      <c r="N314" s="15">
        <v>372.53</v>
      </c>
      <c r="O314" t="s">
        <v>3028</v>
      </c>
    </row>
    <row r="315" spans="1:15" x14ac:dyDescent="0.25">
      <c r="A315" s="10" t="s">
        <v>748</v>
      </c>
      <c r="B315" s="15">
        <v>149.78</v>
      </c>
      <c r="C315" s="15">
        <v>161.87</v>
      </c>
      <c r="D315" s="15">
        <v>164.09</v>
      </c>
      <c r="E315" s="15">
        <v>164.51</v>
      </c>
      <c r="F315" s="15">
        <v>162.62</v>
      </c>
      <c r="G315" s="15">
        <v>165.14</v>
      </c>
      <c r="H315" s="15">
        <v>165.56</v>
      </c>
      <c r="I315" s="15">
        <v>211.83</v>
      </c>
      <c r="J315" s="15">
        <v>178.43</v>
      </c>
      <c r="K315" s="15">
        <v>177.76</v>
      </c>
      <c r="L315" s="15">
        <v>340.95</v>
      </c>
      <c r="M315" s="15">
        <v>59.25</v>
      </c>
      <c r="N315" s="15">
        <v>181.21</v>
      </c>
      <c r="O315" t="s">
        <v>3028</v>
      </c>
    </row>
    <row r="316" spans="1:15" x14ac:dyDescent="0.25">
      <c r="A316" s="10" t="s">
        <v>750</v>
      </c>
      <c r="B316" s="15">
        <v>417.95</v>
      </c>
      <c r="C316" s="15">
        <v>505.27</v>
      </c>
      <c r="D316" s="15">
        <v>501.86</v>
      </c>
      <c r="E316" s="15">
        <v>476.65</v>
      </c>
      <c r="F316" s="15">
        <v>566.39</v>
      </c>
      <c r="G316" s="15">
        <v>0</v>
      </c>
      <c r="H316" s="15">
        <v>0</v>
      </c>
      <c r="I316" s="15">
        <v>0</v>
      </c>
      <c r="J316" s="15">
        <v>0</v>
      </c>
      <c r="K316" s="15">
        <v>0</v>
      </c>
      <c r="L316" s="15">
        <v>0</v>
      </c>
      <c r="M316" s="15">
        <v>0</v>
      </c>
      <c r="N316" s="15">
        <v>152.83000000000001</v>
      </c>
      <c r="O316" t="s">
        <v>3028</v>
      </c>
    </row>
    <row r="317" spans="1:15" x14ac:dyDescent="0.25">
      <c r="A317" s="10" t="s">
        <v>752</v>
      </c>
      <c r="B317" s="15">
        <v>308.02999999999997</v>
      </c>
      <c r="C317" s="15">
        <v>304.27999999999997</v>
      </c>
      <c r="D317" s="15">
        <v>305.20999999999998</v>
      </c>
      <c r="E317" s="15">
        <v>304.27999999999997</v>
      </c>
      <c r="F317" s="15">
        <v>304.27999999999997</v>
      </c>
      <c r="G317" s="15">
        <v>304.27999999999997</v>
      </c>
      <c r="H317" s="15">
        <v>525.91999999999996</v>
      </c>
      <c r="I317" s="15">
        <v>285.36</v>
      </c>
      <c r="J317" s="15">
        <v>334.16</v>
      </c>
      <c r="K317" s="15">
        <v>334.16</v>
      </c>
      <c r="L317" s="15">
        <v>334.16</v>
      </c>
      <c r="M317" s="15">
        <v>334.16</v>
      </c>
      <c r="N317" s="15">
        <v>337.78</v>
      </c>
      <c r="O317" t="s">
        <v>3028</v>
      </c>
    </row>
    <row r="318" spans="1:15" x14ac:dyDescent="0.25">
      <c r="A318" s="10" t="s">
        <v>754</v>
      </c>
      <c r="B318" s="15">
        <v>165.97</v>
      </c>
      <c r="C318" s="15">
        <v>173.16</v>
      </c>
      <c r="D318" s="15">
        <v>179.44</v>
      </c>
      <c r="E318" s="15">
        <v>169.57</v>
      </c>
      <c r="F318" s="15">
        <v>162.02000000000001</v>
      </c>
      <c r="G318" s="15">
        <v>180.65</v>
      </c>
      <c r="H318" s="15">
        <v>264.45999999999998</v>
      </c>
      <c r="I318" s="15">
        <v>178.95</v>
      </c>
      <c r="J318" s="15">
        <v>191.92</v>
      </c>
      <c r="K318" s="15">
        <v>177.18</v>
      </c>
      <c r="L318" s="15">
        <v>178.2</v>
      </c>
      <c r="M318" s="15">
        <v>175.84</v>
      </c>
      <c r="N318" s="15">
        <v>184.12</v>
      </c>
      <c r="O318" t="s">
        <v>3028</v>
      </c>
    </row>
    <row r="319" spans="1:15" x14ac:dyDescent="0.25">
      <c r="A319" s="10" t="s">
        <v>756</v>
      </c>
      <c r="B319" s="15">
        <v>570.88</v>
      </c>
      <c r="C319" s="15">
        <v>570.88</v>
      </c>
      <c r="D319" s="15">
        <v>570.88</v>
      </c>
      <c r="E319" s="15">
        <v>570.88</v>
      </c>
      <c r="F319" s="15">
        <v>570.88</v>
      </c>
      <c r="G319" s="15">
        <v>1141.76</v>
      </c>
      <c r="H319" s="15">
        <v>0</v>
      </c>
      <c r="I319" s="15">
        <v>570.88</v>
      </c>
      <c r="J319" s="15">
        <v>570.88</v>
      </c>
      <c r="K319" s="15">
        <v>570.88</v>
      </c>
      <c r="L319" s="15">
        <v>570.88</v>
      </c>
      <c r="M319" s="15">
        <v>570.88</v>
      </c>
      <c r="N319" s="15">
        <v>570.88</v>
      </c>
      <c r="O319" t="s">
        <v>3028</v>
      </c>
    </row>
    <row r="320" spans="1:15" x14ac:dyDescent="0.25">
      <c r="A320" s="10" t="s">
        <v>758</v>
      </c>
      <c r="B320" s="15">
        <v>570.88</v>
      </c>
      <c r="C320" s="15">
        <v>570.88</v>
      </c>
      <c r="D320" s="15">
        <v>570.88</v>
      </c>
      <c r="E320" s="15">
        <v>570.88</v>
      </c>
      <c r="F320" s="15">
        <v>570.88</v>
      </c>
      <c r="G320" s="15">
        <v>570.88</v>
      </c>
      <c r="H320" s="15">
        <v>570.88</v>
      </c>
      <c r="I320" s="15">
        <v>570.88</v>
      </c>
      <c r="J320" s="15">
        <v>570.88</v>
      </c>
      <c r="K320" s="15">
        <v>570.88</v>
      </c>
      <c r="L320" s="15">
        <v>570.88</v>
      </c>
      <c r="M320" s="15">
        <v>570.88</v>
      </c>
      <c r="N320" s="15">
        <v>570.88</v>
      </c>
      <c r="O320" t="s">
        <v>3028</v>
      </c>
    </row>
    <row r="321" spans="1:15" x14ac:dyDescent="0.25">
      <c r="A321" s="10" t="s">
        <v>760</v>
      </c>
      <c r="B321" s="15">
        <v>200.9</v>
      </c>
      <c r="C321" s="15">
        <v>197.75</v>
      </c>
      <c r="D321" s="15">
        <v>198.17</v>
      </c>
      <c r="E321" s="15">
        <v>219.87</v>
      </c>
      <c r="F321" s="15">
        <v>182.5</v>
      </c>
      <c r="G321" s="15">
        <v>201.46</v>
      </c>
      <c r="H321" s="15">
        <v>198.76</v>
      </c>
      <c r="I321" s="15">
        <v>324.49</v>
      </c>
      <c r="J321" s="15">
        <v>300.02999999999997</v>
      </c>
      <c r="K321" s="15">
        <v>221.05</v>
      </c>
      <c r="L321" s="15">
        <v>368.38</v>
      </c>
      <c r="M321" s="15">
        <v>146.88999999999999</v>
      </c>
      <c r="N321" s="15">
        <v>214.94</v>
      </c>
      <c r="O321" t="s">
        <v>3028</v>
      </c>
    </row>
    <row r="322" spans="1:15" x14ac:dyDescent="0.25">
      <c r="A322" s="10" t="s">
        <v>762</v>
      </c>
      <c r="B322" s="15">
        <v>187.3</v>
      </c>
      <c r="C322" s="15">
        <v>208.09</v>
      </c>
      <c r="D322" s="15">
        <v>188.41</v>
      </c>
      <c r="E322" s="15">
        <v>160.82</v>
      </c>
      <c r="F322" s="15">
        <v>169.48</v>
      </c>
      <c r="G322" s="15">
        <v>469.68</v>
      </c>
      <c r="H322" s="15">
        <v>21.2</v>
      </c>
      <c r="I322" s="15">
        <v>155.97</v>
      </c>
      <c r="J322" s="15">
        <v>173.32</v>
      </c>
      <c r="K322" s="15">
        <v>218.95</v>
      </c>
      <c r="L322" s="15">
        <v>454.17</v>
      </c>
      <c r="M322" s="15">
        <v>0</v>
      </c>
      <c r="N322" s="15">
        <v>198.84</v>
      </c>
      <c r="O322" t="s">
        <v>3028</v>
      </c>
    </row>
    <row r="323" spans="1:15" x14ac:dyDescent="0.25">
      <c r="A323" s="10" t="s">
        <v>764</v>
      </c>
      <c r="B323" s="15">
        <v>0</v>
      </c>
      <c r="C323" s="15">
        <v>0</v>
      </c>
      <c r="D323" s="15">
        <v>0</v>
      </c>
      <c r="E323" s="15">
        <v>0</v>
      </c>
      <c r="F323" s="15">
        <v>0</v>
      </c>
      <c r="G323" s="15">
        <v>0</v>
      </c>
      <c r="H323" s="15">
        <v>0</v>
      </c>
      <c r="I323" s="15">
        <v>0</v>
      </c>
      <c r="J323" s="15">
        <v>0</v>
      </c>
      <c r="K323" s="15">
        <v>0</v>
      </c>
      <c r="L323" s="15">
        <v>81.09</v>
      </c>
      <c r="M323" s="15">
        <v>156.80000000000001</v>
      </c>
      <c r="N323" s="15">
        <v>21.75</v>
      </c>
      <c r="O323" t="s">
        <v>3028</v>
      </c>
    </row>
    <row r="324" spans="1:15" x14ac:dyDescent="0.25">
      <c r="A324" s="10" t="s">
        <v>766</v>
      </c>
      <c r="B324" s="15">
        <v>177.2</v>
      </c>
      <c r="C324" s="15">
        <v>169.4</v>
      </c>
      <c r="D324" s="15">
        <v>167.49</v>
      </c>
      <c r="E324" s="15">
        <v>313.76</v>
      </c>
      <c r="F324" s="15">
        <v>55.14</v>
      </c>
      <c r="G324" s="15">
        <v>163.21</v>
      </c>
      <c r="H324" s="15">
        <v>163.56</v>
      </c>
      <c r="I324" s="15">
        <v>212.79</v>
      </c>
      <c r="J324" s="15">
        <v>175.42</v>
      </c>
      <c r="K324" s="15">
        <v>178.47</v>
      </c>
      <c r="L324" s="15">
        <v>177.42</v>
      </c>
      <c r="M324" s="15">
        <v>176.68</v>
      </c>
      <c r="N324" s="15">
        <v>181.25</v>
      </c>
      <c r="O324" t="s">
        <v>3028</v>
      </c>
    </row>
    <row r="325" spans="1:15" x14ac:dyDescent="0.25">
      <c r="A325" s="10" t="s">
        <v>768</v>
      </c>
      <c r="B325" s="15">
        <v>0</v>
      </c>
      <c r="C325" s="15">
        <v>0</v>
      </c>
      <c r="D325" s="15">
        <v>83.2</v>
      </c>
      <c r="E325" s="15">
        <v>104.03</v>
      </c>
      <c r="F325" s="15">
        <v>104.17</v>
      </c>
      <c r="G325" s="15">
        <v>104.36</v>
      </c>
      <c r="H325" s="15">
        <v>105.28</v>
      </c>
      <c r="I325" s="15">
        <v>123.17</v>
      </c>
      <c r="J325" s="15">
        <v>106.92</v>
      </c>
      <c r="K325" s="15">
        <v>140.97</v>
      </c>
      <c r="L325" s="15">
        <v>120.22</v>
      </c>
      <c r="M325" s="15">
        <v>114.78</v>
      </c>
      <c r="N325" s="15">
        <v>97.85</v>
      </c>
      <c r="O325" t="s">
        <v>3028</v>
      </c>
    </row>
    <row r="326" spans="1:15" x14ac:dyDescent="0.25">
      <c r="A326" s="10" t="s">
        <v>770</v>
      </c>
      <c r="B326" s="15">
        <v>570.88</v>
      </c>
      <c r="C326" s="15">
        <v>570.88</v>
      </c>
      <c r="D326" s="15">
        <v>570.88</v>
      </c>
      <c r="E326" s="15">
        <v>570.88</v>
      </c>
      <c r="F326" s="15">
        <v>570.88</v>
      </c>
      <c r="G326" s="15">
        <v>1120.9100000000001</v>
      </c>
      <c r="H326" s="15">
        <v>20.85</v>
      </c>
      <c r="I326" s="15">
        <v>570.88</v>
      </c>
      <c r="J326" s="15">
        <v>570.88</v>
      </c>
      <c r="K326" s="15">
        <v>570.88</v>
      </c>
      <c r="L326" s="15">
        <v>570.88</v>
      </c>
      <c r="M326" s="15">
        <v>570.88</v>
      </c>
      <c r="N326" s="15">
        <v>570.88</v>
      </c>
      <c r="O326" t="s">
        <v>3028</v>
      </c>
    </row>
    <row r="327" spans="1:15" x14ac:dyDescent="0.25">
      <c r="A327" s="10" t="s">
        <v>772</v>
      </c>
      <c r="B327" s="15">
        <v>331.21</v>
      </c>
      <c r="C327" s="15">
        <v>382.82</v>
      </c>
      <c r="D327" s="15">
        <v>362.39</v>
      </c>
      <c r="E327" s="15">
        <v>364.83</v>
      </c>
      <c r="F327" s="15">
        <v>329.69</v>
      </c>
      <c r="G327" s="15">
        <v>573.24</v>
      </c>
      <c r="H327" s="15">
        <v>217.73</v>
      </c>
      <c r="I327" s="15">
        <v>435.06</v>
      </c>
      <c r="J327" s="15">
        <v>368.58</v>
      </c>
      <c r="K327" s="15">
        <v>373.03</v>
      </c>
      <c r="L327" s="15">
        <v>389.71</v>
      </c>
      <c r="M327" s="15">
        <v>346.21</v>
      </c>
      <c r="N327" s="15">
        <v>372.79</v>
      </c>
      <c r="O327" t="s">
        <v>3028</v>
      </c>
    </row>
    <row r="328" spans="1:15" x14ac:dyDescent="0.25">
      <c r="A328" s="10" t="s">
        <v>774</v>
      </c>
      <c r="B328" s="15">
        <v>164.63</v>
      </c>
      <c r="C328" s="15">
        <v>211.53</v>
      </c>
      <c r="D328" s="15">
        <v>201.43</v>
      </c>
      <c r="E328" s="15">
        <v>166.77</v>
      </c>
      <c r="F328" s="15">
        <v>166.84</v>
      </c>
      <c r="G328" s="15">
        <v>415.38</v>
      </c>
      <c r="H328" s="15">
        <v>77.569999999999993</v>
      </c>
      <c r="I328" s="15">
        <v>220.02</v>
      </c>
      <c r="J328" s="15">
        <v>200.63</v>
      </c>
      <c r="K328" s="15">
        <v>188.63</v>
      </c>
      <c r="L328" s="15">
        <v>208.42</v>
      </c>
      <c r="M328" s="15">
        <v>185.79</v>
      </c>
      <c r="N328" s="15">
        <v>196.78</v>
      </c>
      <c r="O328" t="s">
        <v>3028</v>
      </c>
    </row>
    <row r="329" spans="1:15" x14ac:dyDescent="0.25">
      <c r="A329" s="10" t="s">
        <v>776</v>
      </c>
      <c r="B329" s="15">
        <v>306.56</v>
      </c>
      <c r="C329" s="15">
        <v>324.47000000000003</v>
      </c>
      <c r="D329" s="15">
        <v>684.3</v>
      </c>
      <c r="E329" s="15">
        <v>49.64</v>
      </c>
      <c r="F329" s="15">
        <v>198.03</v>
      </c>
      <c r="G329" s="15">
        <v>208.46</v>
      </c>
      <c r="H329" s="15">
        <v>203.92</v>
      </c>
      <c r="I329" s="15">
        <v>299.29000000000002</v>
      </c>
      <c r="J329" s="15">
        <v>205.05</v>
      </c>
      <c r="K329" s="15">
        <v>205.64</v>
      </c>
      <c r="L329" s="15">
        <v>227.2</v>
      </c>
      <c r="M329" s="15">
        <v>224.42</v>
      </c>
      <c r="N329" s="15">
        <v>288.45999999999998</v>
      </c>
      <c r="O329" t="s">
        <v>3028</v>
      </c>
    </row>
    <row r="330" spans="1:15" x14ac:dyDescent="0.25">
      <c r="A330" s="10" t="s">
        <v>778</v>
      </c>
      <c r="B330" s="15">
        <v>570.88</v>
      </c>
      <c r="C330" s="15">
        <v>570.88</v>
      </c>
      <c r="D330" s="15">
        <v>994.47</v>
      </c>
      <c r="E330" s="15">
        <v>147.29</v>
      </c>
      <c r="F330" s="15">
        <v>570.88</v>
      </c>
      <c r="G330" s="15">
        <v>570.88</v>
      </c>
      <c r="H330" s="15">
        <v>570.88</v>
      </c>
      <c r="I330" s="15">
        <v>570.88</v>
      </c>
      <c r="J330" s="15">
        <v>570.88</v>
      </c>
      <c r="K330" s="15">
        <v>570.88</v>
      </c>
      <c r="L330" s="15">
        <v>570.88</v>
      </c>
      <c r="M330" s="15">
        <v>570.88</v>
      </c>
      <c r="N330" s="15">
        <v>570.88</v>
      </c>
      <c r="O330" t="s">
        <v>3028</v>
      </c>
    </row>
    <row r="331" spans="1:15" x14ac:dyDescent="0.25">
      <c r="A331" s="10" t="s">
        <v>780</v>
      </c>
      <c r="B331" s="15">
        <v>104.01</v>
      </c>
      <c r="C331" s="15">
        <v>104</v>
      </c>
      <c r="D331" s="15">
        <v>104</v>
      </c>
      <c r="E331" s="15">
        <v>104.5</v>
      </c>
      <c r="F331" s="15">
        <v>104.26</v>
      </c>
      <c r="G331" s="15">
        <v>104.02</v>
      </c>
      <c r="H331" s="15">
        <v>104.3</v>
      </c>
      <c r="I331" s="15">
        <v>104.29</v>
      </c>
      <c r="J331" s="15">
        <v>105.24</v>
      </c>
      <c r="K331" s="15">
        <v>141.05000000000001</v>
      </c>
      <c r="L331" s="15">
        <v>114.56</v>
      </c>
      <c r="M331" s="15">
        <v>114.83</v>
      </c>
      <c r="N331" s="15">
        <v>114.47</v>
      </c>
      <c r="O331" t="s">
        <v>3028</v>
      </c>
    </row>
    <row r="332" spans="1:15" x14ac:dyDescent="0.25">
      <c r="A332" s="10" t="s">
        <v>782</v>
      </c>
      <c r="B332" s="15">
        <v>52.51</v>
      </c>
      <c r="C332" s="15">
        <v>178.43</v>
      </c>
      <c r="D332" s="15">
        <v>237.04</v>
      </c>
      <c r="E332" s="15">
        <v>88.53</v>
      </c>
      <c r="F332" s="15">
        <v>116.6</v>
      </c>
      <c r="G332" s="15">
        <v>119.99</v>
      </c>
      <c r="H332" s="15">
        <v>140.16999999999999</v>
      </c>
      <c r="I332" s="15">
        <v>152.97</v>
      </c>
      <c r="J332" s="15">
        <v>161.46</v>
      </c>
      <c r="K332" s="15">
        <v>201.59</v>
      </c>
      <c r="L332" s="15">
        <v>186.94</v>
      </c>
      <c r="M332" s="15">
        <v>152.44</v>
      </c>
      <c r="N332" s="15">
        <v>163.54</v>
      </c>
      <c r="O332" t="s">
        <v>3028</v>
      </c>
    </row>
    <row r="333" spans="1:15" x14ac:dyDescent="0.25">
      <c r="A333" s="10" t="s">
        <v>784</v>
      </c>
      <c r="B333" s="15">
        <v>113.46</v>
      </c>
      <c r="C333" s="15">
        <v>121.49</v>
      </c>
      <c r="D333" s="15">
        <v>145.96</v>
      </c>
      <c r="E333" s="15">
        <v>141.99</v>
      </c>
      <c r="F333" s="15">
        <v>142.72999999999999</v>
      </c>
      <c r="G333" s="15">
        <v>295.56</v>
      </c>
      <c r="H333" s="15">
        <v>23.69</v>
      </c>
      <c r="I333" s="15">
        <v>159.02000000000001</v>
      </c>
      <c r="J333" s="15">
        <v>144.57</v>
      </c>
      <c r="K333" s="15">
        <v>142.81</v>
      </c>
      <c r="L333" s="15">
        <v>142.80000000000001</v>
      </c>
      <c r="M333" s="15">
        <v>171.63</v>
      </c>
      <c r="N333" s="15">
        <v>149.94999999999999</v>
      </c>
      <c r="O333" t="s">
        <v>3028</v>
      </c>
    </row>
    <row r="334" spans="1:15" x14ac:dyDescent="0.25">
      <c r="A334" s="10" t="s">
        <v>788</v>
      </c>
      <c r="B334" s="15">
        <v>182.71</v>
      </c>
      <c r="C334" s="15">
        <v>314.70999999999998</v>
      </c>
      <c r="D334" s="15">
        <v>395.26</v>
      </c>
      <c r="E334" s="15">
        <v>160.4</v>
      </c>
      <c r="F334" s="15">
        <v>196.71</v>
      </c>
      <c r="G334" s="15">
        <v>179.13</v>
      </c>
      <c r="H334" s="15">
        <v>182.08</v>
      </c>
      <c r="I334" s="15">
        <v>196.45</v>
      </c>
      <c r="J334" s="15">
        <v>195.35</v>
      </c>
      <c r="K334" s="15">
        <v>318.07</v>
      </c>
      <c r="L334" s="15">
        <v>469.02</v>
      </c>
      <c r="M334" s="15">
        <v>0</v>
      </c>
      <c r="N334" s="15">
        <v>224.23</v>
      </c>
      <c r="O334" t="s">
        <v>3028</v>
      </c>
    </row>
    <row r="335" spans="1:15" x14ac:dyDescent="0.25">
      <c r="A335" s="10" t="s">
        <v>790</v>
      </c>
      <c r="B335" s="15">
        <v>87.74</v>
      </c>
      <c r="C335" s="15">
        <v>104.84</v>
      </c>
      <c r="D335" s="15">
        <v>105.12</v>
      </c>
      <c r="E335" s="15">
        <v>200.94</v>
      </c>
      <c r="F335" s="15">
        <v>51.59</v>
      </c>
      <c r="G335" s="15">
        <v>105.21</v>
      </c>
      <c r="H335" s="15">
        <v>158.88999999999999</v>
      </c>
      <c r="I335" s="15">
        <v>223.19</v>
      </c>
      <c r="J335" s="15">
        <v>151.32</v>
      </c>
      <c r="K335" s="15">
        <v>163.09</v>
      </c>
      <c r="L335" s="15">
        <v>176.31</v>
      </c>
      <c r="M335" s="15">
        <v>174.57</v>
      </c>
      <c r="N335" s="15">
        <v>176.59</v>
      </c>
      <c r="O335" t="s">
        <v>3028</v>
      </c>
    </row>
    <row r="336" spans="1:15" x14ac:dyDescent="0.25">
      <c r="A336" s="10" t="s">
        <v>792</v>
      </c>
      <c r="B336" s="15">
        <v>290.33</v>
      </c>
      <c r="C336" s="15">
        <v>209.03</v>
      </c>
      <c r="D336" s="15">
        <v>187.85</v>
      </c>
      <c r="E336" s="15">
        <v>475.52</v>
      </c>
      <c r="F336" s="15">
        <v>21.35</v>
      </c>
      <c r="G336" s="15">
        <v>165.85</v>
      </c>
      <c r="H336" s="15">
        <v>173.31</v>
      </c>
      <c r="I336" s="15">
        <v>367.16</v>
      </c>
      <c r="J336" s="15">
        <v>332.25</v>
      </c>
      <c r="K336" s="15">
        <v>209.57</v>
      </c>
      <c r="L336" s="15">
        <v>306.23</v>
      </c>
      <c r="M336" s="15">
        <v>191.48</v>
      </c>
      <c r="N336" s="15">
        <v>220.82</v>
      </c>
      <c r="O336" t="s">
        <v>3028</v>
      </c>
    </row>
    <row r="337" spans="1:15" x14ac:dyDescent="0.25">
      <c r="A337" s="10" t="s">
        <v>794</v>
      </c>
      <c r="B337" s="15">
        <v>570.88</v>
      </c>
      <c r="C337" s="15">
        <v>570.88</v>
      </c>
      <c r="D337" s="15">
        <v>570.88</v>
      </c>
      <c r="E337" s="15">
        <v>570.88</v>
      </c>
      <c r="F337" s="15">
        <v>570.88</v>
      </c>
      <c r="G337" s="15">
        <v>570.88</v>
      </c>
      <c r="H337" s="15">
        <v>570.88</v>
      </c>
      <c r="I337" s="15">
        <v>570.88</v>
      </c>
      <c r="J337" s="15">
        <v>570.88</v>
      </c>
      <c r="K337" s="15">
        <v>570.88</v>
      </c>
      <c r="L337" s="15">
        <v>570.88</v>
      </c>
      <c r="M337" s="15">
        <v>570.88</v>
      </c>
      <c r="N337" s="15">
        <v>570.88</v>
      </c>
      <c r="O337" t="s">
        <v>3028</v>
      </c>
    </row>
    <row r="338" spans="1:15" x14ac:dyDescent="0.25">
      <c r="A338" s="10" t="s">
        <v>796</v>
      </c>
      <c r="B338" s="15">
        <v>217.97</v>
      </c>
      <c r="C338" s="15">
        <v>357.2</v>
      </c>
      <c r="D338" s="15">
        <v>340.01</v>
      </c>
      <c r="E338" s="15">
        <v>298.7</v>
      </c>
      <c r="F338" s="15">
        <v>322.64999999999998</v>
      </c>
      <c r="G338" s="15">
        <v>332.06</v>
      </c>
      <c r="H338" s="15">
        <v>220.54</v>
      </c>
      <c r="I338" s="15">
        <v>540.82000000000005</v>
      </c>
      <c r="J338" s="15">
        <v>42.97</v>
      </c>
      <c r="K338" s="15">
        <v>0</v>
      </c>
      <c r="L338" s="15">
        <v>0</v>
      </c>
      <c r="M338" s="15">
        <v>0</v>
      </c>
      <c r="N338" s="15">
        <v>200.11</v>
      </c>
      <c r="O338" t="s">
        <v>3028</v>
      </c>
    </row>
    <row r="339" spans="1:15" x14ac:dyDescent="0.25">
      <c r="A339" s="10" t="s">
        <v>798</v>
      </c>
      <c r="B339" s="15">
        <v>380.06</v>
      </c>
      <c r="C339" s="15">
        <v>393.75</v>
      </c>
      <c r="D339" s="15">
        <v>305.8</v>
      </c>
      <c r="E339" s="15">
        <v>297.05</v>
      </c>
      <c r="F339" s="15">
        <v>311.37</v>
      </c>
      <c r="G339" s="15">
        <v>295.33999999999997</v>
      </c>
      <c r="H339" s="15">
        <v>300.87</v>
      </c>
      <c r="I339" s="15">
        <v>522.13</v>
      </c>
      <c r="J339" s="15">
        <v>845.31</v>
      </c>
      <c r="K339" s="15">
        <v>69.930000000000007</v>
      </c>
      <c r="L339" s="15">
        <v>310.64</v>
      </c>
      <c r="M339" s="15">
        <v>448.96</v>
      </c>
      <c r="N339" s="15">
        <v>370.59</v>
      </c>
      <c r="O339" t="s">
        <v>3028</v>
      </c>
    </row>
    <row r="340" spans="1:15" x14ac:dyDescent="0.25">
      <c r="A340" s="10" t="s">
        <v>800</v>
      </c>
      <c r="B340" s="15">
        <v>0</v>
      </c>
      <c r="C340" s="15">
        <v>0</v>
      </c>
      <c r="D340" s="15">
        <v>0</v>
      </c>
      <c r="E340" s="15">
        <v>563.82000000000005</v>
      </c>
      <c r="F340" s="15">
        <v>570.88</v>
      </c>
      <c r="G340" s="15">
        <v>570.88</v>
      </c>
      <c r="H340" s="15">
        <v>570.88</v>
      </c>
      <c r="I340" s="15">
        <v>570.88</v>
      </c>
      <c r="J340" s="15">
        <v>570.88</v>
      </c>
      <c r="K340" s="15">
        <v>570.88</v>
      </c>
      <c r="L340" s="15">
        <v>570.88</v>
      </c>
      <c r="M340" s="15">
        <v>570.88</v>
      </c>
      <c r="N340" s="15">
        <v>570.88</v>
      </c>
      <c r="O340" t="s">
        <v>3028</v>
      </c>
    </row>
    <row r="341" spans="1:15" x14ac:dyDescent="0.25">
      <c r="A341" s="10" t="s">
        <v>805</v>
      </c>
      <c r="B341" s="15">
        <v>570.88</v>
      </c>
      <c r="C341" s="15">
        <v>427.37</v>
      </c>
      <c r="D341" s="15">
        <v>521.49</v>
      </c>
      <c r="E341" s="15">
        <v>427.2</v>
      </c>
      <c r="F341" s="15">
        <v>499.36</v>
      </c>
      <c r="G341" s="15">
        <v>976.29</v>
      </c>
      <c r="H341" s="15">
        <v>104.71</v>
      </c>
      <c r="I341" s="15">
        <v>570.88</v>
      </c>
      <c r="J341" s="15">
        <v>499.04</v>
      </c>
      <c r="K341" s="15">
        <v>512.77</v>
      </c>
      <c r="L341" s="15">
        <v>569.27</v>
      </c>
      <c r="M341" s="15">
        <v>500.15</v>
      </c>
      <c r="N341" s="15">
        <v>535.95000000000005</v>
      </c>
      <c r="O341" t="s">
        <v>3028</v>
      </c>
    </row>
    <row r="342" spans="1:15" x14ac:dyDescent="0.25">
      <c r="A342" s="10" t="s">
        <v>807</v>
      </c>
      <c r="B342" s="15">
        <v>570.88</v>
      </c>
      <c r="C342" s="15">
        <v>493.66</v>
      </c>
      <c r="D342" s="15">
        <v>570.88</v>
      </c>
      <c r="E342" s="15">
        <v>0</v>
      </c>
      <c r="F342" s="15">
        <v>0</v>
      </c>
      <c r="G342" s="15">
        <v>0</v>
      </c>
      <c r="H342" s="15">
        <v>0</v>
      </c>
      <c r="I342" s="15">
        <v>0</v>
      </c>
      <c r="J342" s="15">
        <v>0</v>
      </c>
      <c r="K342" s="15">
        <v>0</v>
      </c>
      <c r="L342" s="15">
        <v>0</v>
      </c>
      <c r="M342" s="15">
        <v>0</v>
      </c>
      <c r="N342" s="15">
        <v>145.88999999999999</v>
      </c>
      <c r="O342" t="s">
        <v>3028</v>
      </c>
    </row>
    <row r="343" spans="1:15" x14ac:dyDescent="0.25">
      <c r="A343" s="10" t="s">
        <v>809</v>
      </c>
      <c r="B343" s="15">
        <v>331.99</v>
      </c>
      <c r="C343" s="15">
        <v>331.99</v>
      </c>
      <c r="D343" s="15">
        <v>331.99</v>
      </c>
      <c r="E343" s="15">
        <v>331.99</v>
      </c>
      <c r="F343" s="15">
        <v>331.99</v>
      </c>
      <c r="G343" s="15">
        <v>331.99</v>
      </c>
      <c r="H343" s="15">
        <v>627.09</v>
      </c>
      <c r="I343" s="15">
        <v>215.72</v>
      </c>
      <c r="J343" s="15">
        <v>364.59</v>
      </c>
      <c r="K343" s="15">
        <v>364.59</v>
      </c>
      <c r="L343" s="15">
        <v>364.59</v>
      </c>
      <c r="M343" s="15">
        <v>364.59</v>
      </c>
      <c r="N343" s="15">
        <v>364.59</v>
      </c>
      <c r="O343" t="s">
        <v>3028</v>
      </c>
    </row>
    <row r="344" spans="1:15" x14ac:dyDescent="0.25">
      <c r="A344" s="10" t="s">
        <v>811</v>
      </c>
      <c r="B344" s="15">
        <v>357.66</v>
      </c>
      <c r="C344" s="15">
        <v>306.57</v>
      </c>
      <c r="D344" s="15">
        <v>339.42</v>
      </c>
      <c r="E344" s="15">
        <v>696.38</v>
      </c>
      <c r="F344" s="15">
        <v>57.28</v>
      </c>
      <c r="G344" s="15">
        <v>315.98</v>
      </c>
      <c r="H344" s="15">
        <v>300.2</v>
      </c>
      <c r="I344" s="15">
        <v>375.82</v>
      </c>
      <c r="J344" s="15">
        <v>317.63</v>
      </c>
      <c r="K344" s="15">
        <v>339.82</v>
      </c>
      <c r="L344" s="15">
        <v>322.86</v>
      </c>
      <c r="M344" s="15">
        <v>325.29000000000002</v>
      </c>
      <c r="N344" s="15">
        <v>333.94</v>
      </c>
      <c r="O344" t="s">
        <v>3028</v>
      </c>
    </row>
    <row r="345" spans="1:15" x14ac:dyDescent="0.25">
      <c r="A345" s="10" t="s">
        <v>813</v>
      </c>
      <c r="B345" s="15">
        <v>570.88</v>
      </c>
      <c r="C345" s="15">
        <v>570.88</v>
      </c>
      <c r="D345" s="15">
        <v>570.88</v>
      </c>
      <c r="E345" s="15">
        <v>570.88</v>
      </c>
      <c r="F345" s="15">
        <v>570.88</v>
      </c>
      <c r="G345" s="15">
        <v>570.88</v>
      </c>
      <c r="H345" s="15">
        <v>1141.76</v>
      </c>
      <c r="I345" s="15">
        <v>0</v>
      </c>
      <c r="J345" s="15">
        <v>570.88</v>
      </c>
      <c r="K345" s="15">
        <v>570.88</v>
      </c>
      <c r="L345" s="15">
        <v>570.88</v>
      </c>
      <c r="M345" s="15">
        <v>570.88</v>
      </c>
      <c r="N345" s="15">
        <v>570.88</v>
      </c>
      <c r="O345" t="s">
        <v>3028</v>
      </c>
    </row>
    <row r="346" spans="1:15" x14ac:dyDescent="0.25">
      <c r="A346" s="10" t="s">
        <v>815</v>
      </c>
      <c r="B346" s="15">
        <v>103.18</v>
      </c>
      <c r="C346" s="15">
        <v>104.36</v>
      </c>
      <c r="D346" s="15">
        <v>104.51</v>
      </c>
      <c r="E346" s="15">
        <v>104.11</v>
      </c>
      <c r="F346" s="15">
        <v>94.32</v>
      </c>
      <c r="G346" s="15">
        <v>104.21</v>
      </c>
      <c r="H346" s="15">
        <v>107.68</v>
      </c>
      <c r="I346" s="15">
        <v>107.68</v>
      </c>
      <c r="J346" s="15">
        <v>104.01</v>
      </c>
      <c r="K346" s="15">
        <v>314.24</v>
      </c>
      <c r="L346" s="15">
        <v>12.83</v>
      </c>
      <c r="M346" s="15">
        <v>106.63</v>
      </c>
      <c r="N346" s="15">
        <v>114.2</v>
      </c>
      <c r="O346" t="s">
        <v>3028</v>
      </c>
    </row>
    <row r="347" spans="1:15" x14ac:dyDescent="0.25">
      <c r="A347" s="10" t="s">
        <v>817</v>
      </c>
      <c r="B347" s="15">
        <v>0</v>
      </c>
      <c r="C347" s="15">
        <v>195.66</v>
      </c>
      <c r="D347" s="15">
        <v>306.86</v>
      </c>
      <c r="E347" s="15">
        <v>307.85000000000002</v>
      </c>
      <c r="F347" s="15">
        <v>231.26</v>
      </c>
      <c r="G347" s="15">
        <v>228.75</v>
      </c>
      <c r="H347" s="15">
        <v>228.36</v>
      </c>
      <c r="I347" s="15">
        <v>344.49</v>
      </c>
      <c r="J347" s="15">
        <v>305.83999999999997</v>
      </c>
      <c r="K347" s="15">
        <v>295.86</v>
      </c>
      <c r="L347" s="15">
        <v>290.37</v>
      </c>
      <c r="M347" s="15">
        <v>349.21</v>
      </c>
      <c r="N347" s="15">
        <v>232.7</v>
      </c>
      <c r="O347" t="s">
        <v>3028</v>
      </c>
    </row>
    <row r="348" spans="1:15" x14ac:dyDescent="0.25">
      <c r="A348" s="10" t="s">
        <v>819</v>
      </c>
      <c r="B348" s="15">
        <v>154.47</v>
      </c>
      <c r="C348" s="15">
        <v>157.68</v>
      </c>
      <c r="D348" s="15">
        <v>158.9</v>
      </c>
      <c r="E348" s="15">
        <v>153.24</v>
      </c>
      <c r="F348" s="15">
        <v>147.01</v>
      </c>
      <c r="G348" s="15">
        <v>153.94999999999999</v>
      </c>
      <c r="H348" s="15">
        <v>157.03</v>
      </c>
      <c r="I348" s="15">
        <v>157.88999999999999</v>
      </c>
      <c r="J348" s="15">
        <v>156.78</v>
      </c>
      <c r="K348" s="15">
        <v>185.76</v>
      </c>
      <c r="L348" s="15">
        <v>341.3</v>
      </c>
      <c r="M348" s="15">
        <v>111.99</v>
      </c>
      <c r="N348" s="15">
        <v>167.13</v>
      </c>
      <c r="O348" t="s">
        <v>3028</v>
      </c>
    </row>
    <row r="349" spans="1:15" x14ac:dyDescent="0.25">
      <c r="A349" s="10" t="s">
        <v>821</v>
      </c>
      <c r="B349" s="15">
        <v>570.88</v>
      </c>
      <c r="C349" s="15">
        <v>393.94</v>
      </c>
      <c r="D349" s="15">
        <v>380.08</v>
      </c>
      <c r="E349" s="15">
        <v>392.21</v>
      </c>
      <c r="F349" s="15">
        <v>979.53</v>
      </c>
      <c r="G349" s="15">
        <v>31.08</v>
      </c>
      <c r="H349" s="15">
        <v>373.98</v>
      </c>
      <c r="I349" s="15">
        <v>570.08000000000004</v>
      </c>
      <c r="J349" s="15">
        <v>430.18</v>
      </c>
      <c r="K349" s="15">
        <v>438.44</v>
      </c>
      <c r="L349" s="15">
        <v>525.86</v>
      </c>
      <c r="M349" s="15">
        <v>539.74</v>
      </c>
      <c r="N349" s="15">
        <v>469.86</v>
      </c>
      <c r="O349" t="s">
        <v>3028</v>
      </c>
    </row>
    <row r="350" spans="1:15" x14ac:dyDescent="0.25">
      <c r="A350" s="10" t="s">
        <v>823</v>
      </c>
      <c r="B350" s="15">
        <v>477.3</v>
      </c>
      <c r="C350" s="15">
        <v>509.88</v>
      </c>
      <c r="D350" s="15">
        <v>479.77</v>
      </c>
      <c r="E350" s="15">
        <v>482.05</v>
      </c>
      <c r="F350" s="15">
        <v>484.68</v>
      </c>
      <c r="G350" s="15">
        <v>570.88</v>
      </c>
      <c r="H350" s="15">
        <v>508.93</v>
      </c>
      <c r="I350" s="15">
        <v>570.88</v>
      </c>
      <c r="J350" s="15">
        <v>529.19000000000005</v>
      </c>
      <c r="K350" s="15">
        <v>536.80999999999995</v>
      </c>
      <c r="L350" s="15">
        <v>543.9</v>
      </c>
      <c r="M350" s="15">
        <v>528.82000000000005</v>
      </c>
      <c r="N350" s="15">
        <v>537.23</v>
      </c>
      <c r="O350" t="s">
        <v>3028</v>
      </c>
    </row>
    <row r="351" spans="1:15" x14ac:dyDescent="0.25">
      <c r="A351" s="10" t="s">
        <v>825</v>
      </c>
      <c r="B351" s="15">
        <v>86.16</v>
      </c>
      <c r="C351" s="15">
        <v>311.79000000000002</v>
      </c>
      <c r="D351" s="15">
        <v>440.76</v>
      </c>
      <c r="E351" s="15">
        <v>343.07</v>
      </c>
      <c r="F351" s="15">
        <v>366.97</v>
      </c>
      <c r="G351" s="15">
        <v>331.05</v>
      </c>
      <c r="H351" s="15">
        <v>334.37</v>
      </c>
      <c r="I351" s="15">
        <v>406.18</v>
      </c>
      <c r="J351" s="15">
        <v>437.88</v>
      </c>
      <c r="K351" s="15">
        <v>464.22</v>
      </c>
      <c r="L351" s="15">
        <v>942.28</v>
      </c>
      <c r="M351" s="15">
        <v>68.02</v>
      </c>
      <c r="N351" s="15">
        <v>408</v>
      </c>
      <c r="O351" t="s">
        <v>3028</v>
      </c>
    </row>
    <row r="352" spans="1:15" x14ac:dyDescent="0.25">
      <c r="A352" s="10" t="s">
        <v>830</v>
      </c>
      <c r="B352" s="15">
        <v>0</v>
      </c>
      <c r="C352" s="15">
        <v>160.87</v>
      </c>
      <c r="D352" s="15">
        <v>176.84</v>
      </c>
      <c r="E352" s="15">
        <v>410.26</v>
      </c>
      <c r="F352" s="15">
        <v>146.97</v>
      </c>
      <c r="G352" s="15">
        <v>154.80000000000001</v>
      </c>
      <c r="H352" s="15">
        <v>163.22999999999999</v>
      </c>
      <c r="I352" s="15">
        <v>205.42</v>
      </c>
      <c r="J352" s="15">
        <v>174.55</v>
      </c>
      <c r="K352" s="15">
        <v>174.74</v>
      </c>
      <c r="L352" s="15">
        <v>189.69</v>
      </c>
      <c r="M352" s="15">
        <v>174.38</v>
      </c>
      <c r="N352" s="15">
        <v>168.83</v>
      </c>
      <c r="O352" t="s">
        <v>3028</v>
      </c>
    </row>
    <row r="353" spans="1:15" x14ac:dyDescent="0.25">
      <c r="A353" s="10" t="s">
        <v>832</v>
      </c>
      <c r="B353" s="15">
        <v>570.88</v>
      </c>
      <c r="C353" s="15">
        <v>570.88</v>
      </c>
      <c r="D353" s="15">
        <v>570.88</v>
      </c>
      <c r="E353" s="15">
        <v>1141.76</v>
      </c>
      <c r="F353" s="15">
        <v>0</v>
      </c>
      <c r="G353" s="15">
        <v>570.88</v>
      </c>
      <c r="H353" s="15">
        <v>570.88</v>
      </c>
      <c r="I353" s="15">
        <v>570.88</v>
      </c>
      <c r="J353" s="15">
        <v>570.88</v>
      </c>
      <c r="K353" s="15">
        <v>570.88</v>
      </c>
      <c r="L353" s="15">
        <v>570.88</v>
      </c>
      <c r="M353" s="15">
        <v>570.88</v>
      </c>
      <c r="N353" s="15">
        <v>570.88</v>
      </c>
      <c r="O353" t="s">
        <v>3028</v>
      </c>
    </row>
    <row r="354" spans="1:15" x14ac:dyDescent="0.25">
      <c r="A354" s="10" t="s">
        <v>834</v>
      </c>
      <c r="B354" s="15">
        <v>103.84</v>
      </c>
      <c r="C354" s="15">
        <v>104.24</v>
      </c>
      <c r="D354" s="15">
        <v>104.54</v>
      </c>
      <c r="E354" s="15">
        <v>104.68</v>
      </c>
      <c r="F354" s="15">
        <v>104.26</v>
      </c>
      <c r="G354" s="15">
        <v>105.49</v>
      </c>
      <c r="H354" s="15">
        <v>104.58</v>
      </c>
      <c r="I354" s="15">
        <v>104.16</v>
      </c>
      <c r="J354" s="15">
        <v>171.21</v>
      </c>
      <c r="K354" s="15">
        <v>130.91999999999999</v>
      </c>
      <c r="L354" s="15">
        <v>115.07</v>
      </c>
      <c r="M354" s="15">
        <v>114.5</v>
      </c>
      <c r="N354" s="15">
        <v>114.56</v>
      </c>
      <c r="O354" t="s">
        <v>3028</v>
      </c>
    </row>
    <row r="355" spans="1:15" x14ac:dyDescent="0.25">
      <c r="A355" s="10" t="s">
        <v>838</v>
      </c>
      <c r="B355" s="15">
        <v>362.39</v>
      </c>
      <c r="C355" s="15">
        <v>338.77</v>
      </c>
      <c r="D355" s="15">
        <v>342.57</v>
      </c>
      <c r="E355" s="15">
        <v>342.04</v>
      </c>
      <c r="F355" s="15">
        <v>537.99</v>
      </c>
      <c r="G355" s="15">
        <v>191.44</v>
      </c>
      <c r="H355" s="15">
        <v>362.89</v>
      </c>
      <c r="I355" s="15">
        <v>570.88</v>
      </c>
      <c r="J355" s="15">
        <v>375.91</v>
      </c>
      <c r="K355" s="15">
        <v>380.83</v>
      </c>
      <c r="L355" s="15">
        <v>389.03</v>
      </c>
      <c r="M355" s="15">
        <v>389.14</v>
      </c>
      <c r="N355" s="15">
        <v>369.49</v>
      </c>
      <c r="O355" t="s">
        <v>3028</v>
      </c>
    </row>
    <row r="356" spans="1:15" x14ac:dyDescent="0.25">
      <c r="A356" s="10" t="s">
        <v>840</v>
      </c>
      <c r="B356" s="15">
        <v>211.99</v>
      </c>
      <c r="C356" s="15">
        <v>199.21</v>
      </c>
      <c r="D356" s="15">
        <v>166.22</v>
      </c>
      <c r="E356" s="15">
        <v>205.57</v>
      </c>
      <c r="F356" s="15">
        <v>171.93</v>
      </c>
      <c r="G356" s="15">
        <v>183.38</v>
      </c>
      <c r="H356" s="15">
        <v>183.34</v>
      </c>
      <c r="I356" s="15">
        <v>304.45999999999998</v>
      </c>
      <c r="J356" s="15">
        <v>567.63</v>
      </c>
      <c r="K356" s="15">
        <v>25.26</v>
      </c>
      <c r="L356" s="15">
        <v>184.18</v>
      </c>
      <c r="M356" s="15">
        <v>210.08</v>
      </c>
      <c r="N356" s="15">
        <v>207.25</v>
      </c>
      <c r="O356" t="s">
        <v>3028</v>
      </c>
    </row>
    <row r="357" spans="1:15" x14ac:dyDescent="0.25">
      <c r="A357" s="10" t="s">
        <v>842</v>
      </c>
      <c r="B357" s="15">
        <v>317.10000000000002</v>
      </c>
      <c r="C357" s="15">
        <v>293.05</v>
      </c>
      <c r="D357" s="15">
        <v>305.81</v>
      </c>
      <c r="E357" s="15">
        <v>354.18</v>
      </c>
      <c r="F357" s="15">
        <v>0</v>
      </c>
      <c r="G357" s="15">
        <v>0</v>
      </c>
      <c r="H357" s="15">
        <v>0</v>
      </c>
      <c r="I357" s="15">
        <v>0</v>
      </c>
      <c r="J357" s="15">
        <v>0</v>
      </c>
      <c r="K357" s="15">
        <v>0</v>
      </c>
      <c r="L357" s="15">
        <v>0</v>
      </c>
      <c r="M357" s="15">
        <v>0</v>
      </c>
      <c r="N357" s="15">
        <v>67.290000000000006</v>
      </c>
      <c r="O357" t="s">
        <v>3028</v>
      </c>
    </row>
    <row r="358" spans="1:15" x14ac:dyDescent="0.25">
      <c r="A358" s="10" t="s">
        <v>844</v>
      </c>
      <c r="B358" s="15">
        <v>291.25</v>
      </c>
      <c r="C358" s="15">
        <v>218.45</v>
      </c>
      <c r="D358" s="15">
        <v>212.12</v>
      </c>
      <c r="E358" s="15">
        <v>356.56</v>
      </c>
      <c r="F358" s="15">
        <v>65.959999999999994</v>
      </c>
      <c r="G358" s="15">
        <v>160.59</v>
      </c>
      <c r="H358" s="15">
        <v>160.16999999999999</v>
      </c>
      <c r="I358" s="15">
        <v>232.05</v>
      </c>
      <c r="J358" s="15">
        <v>184.34</v>
      </c>
      <c r="K358" s="15">
        <v>181.58</v>
      </c>
      <c r="L358" s="15">
        <v>183.6</v>
      </c>
      <c r="M358" s="15">
        <v>180.38</v>
      </c>
      <c r="N358" s="15">
        <v>201.81</v>
      </c>
      <c r="O358" t="s">
        <v>3028</v>
      </c>
    </row>
    <row r="359" spans="1:15" x14ac:dyDescent="0.25">
      <c r="A359" s="10" t="s">
        <v>846</v>
      </c>
      <c r="B359" s="15">
        <v>312.33999999999997</v>
      </c>
      <c r="C359" s="15">
        <v>296.76</v>
      </c>
      <c r="D359" s="15">
        <v>288.26</v>
      </c>
      <c r="E359" s="15">
        <v>293.68</v>
      </c>
      <c r="F359" s="15">
        <v>290.44</v>
      </c>
      <c r="G359" s="15">
        <v>680.19</v>
      </c>
      <c r="H359" s="15">
        <v>79.62</v>
      </c>
      <c r="I359" s="15">
        <v>323.49</v>
      </c>
      <c r="J359" s="15">
        <v>405.22</v>
      </c>
      <c r="K359" s="15">
        <v>340.3</v>
      </c>
      <c r="L359" s="15">
        <v>409</v>
      </c>
      <c r="M359" s="15">
        <v>326.01</v>
      </c>
      <c r="N359" s="15">
        <v>328.73</v>
      </c>
      <c r="O359" t="s">
        <v>3028</v>
      </c>
    </row>
    <row r="360" spans="1:15" x14ac:dyDescent="0.25">
      <c r="A360" s="10" t="s">
        <v>848</v>
      </c>
      <c r="B360" s="15">
        <v>570.88</v>
      </c>
      <c r="C360" s="15">
        <v>570.88</v>
      </c>
      <c r="D360" s="15">
        <v>570.88</v>
      </c>
      <c r="E360" s="15">
        <v>570.88</v>
      </c>
      <c r="F360" s="15">
        <v>0</v>
      </c>
      <c r="G360" s="15">
        <v>0</v>
      </c>
      <c r="H360" s="15">
        <v>0</v>
      </c>
      <c r="I360" s="15">
        <v>0</v>
      </c>
      <c r="J360" s="15">
        <v>0</v>
      </c>
      <c r="K360" s="15">
        <v>0</v>
      </c>
      <c r="L360" s="15">
        <v>0</v>
      </c>
      <c r="M360" s="15">
        <v>0</v>
      </c>
      <c r="N360" s="15">
        <v>570.88</v>
      </c>
      <c r="O360" t="s">
        <v>3028</v>
      </c>
    </row>
    <row r="361" spans="1:15" x14ac:dyDescent="0.25">
      <c r="A361" s="10" t="s">
        <v>850</v>
      </c>
      <c r="B361" s="15">
        <v>187.13</v>
      </c>
      <c r="C361" s="15">
        <v>209.38</v>
      </c>
      <c r="D361" s="15">
        <v>183.18</v>
      </c>
      <c r="E361" s="15">
        <v>189.8</v>
      </c>
      <c r="F361" s="15">
        <v>345.72</v>
      </c>
      <c r="G361" s="15">
        <v>108.43</v>
      </c>
      <c r="H361" s="15">
        <v>110.84</v>
      </c>
      <c r="I361" s="15">
        <v>22.1</v>
      </c>
      <c r="J361" s="15">
        <v>0</v>
      </c>
      <c r="K361" s="15">
        <v>153.84</v>
      </c>
      <c r="L361" s="15">
        <v>205.48</v>
      </c>
      <c r="M361" s="15">
        <v>220.1</v>
      </c>
      <c r="N361" s="15">
        <v>167.73</v>
      </c>
      <c r="O361" t="s">
        <v>3028</v>
      </c>
    </row>
    <row r="362" spans="1:15" x14ac:dyDescent="0.25">
      <c r="A362" s="10" t="s">
        <v>852</v>
      </c>
      <c r="B362" s="15">
        <v>206.91</v>
      </c>
      <c r="C362" s="15">
        <v>180.99</v>
      </c>
      <c r="D362" s="15">
        <v>171.76</v>
      </c>
      <c r="E362" s="15">
        <v>167.34</v>
      </c>
      <c r="F362" s="15">
        <v>170.17</v>
      </c>
      <c r="G362" s="15">
        <v>206.55</v>
      </c>
      <c r="H362" s="15">
        <v>457.99</v>
      </c>
      <c r="I362" s="15">
        <v>91</v>
      </c>
      <c r="J362" s="15">
        <v>176.17</v>
      </c>
      <c r="K362" s="15">
        <v>186.13</v>
      </c>
      <c r="L362" s="15">
        <v>226.73</v>
      </c>
      <c r="M362" s="15">
        <v>294.95</v>
      </c>
      <c r="N362" s="15">
        <v>200.96</v>
      </c>
      <c r="O362" t="s">
        <v>3028</v>
      </c>
    </row>
    <row r="363" spans="1:15" x14ac:dyDescent="0.25">
      <c r="A363" s="10" t="s">
        <v>854</v>
      </c>
      <c r="B363" s="15">
        <v>299.24</v>
      </c>
      <c r="C363" s="15">
        <v>324.11</v>
      </c>
      <c r="D363" s="15">
        <v>570.88</v>
      </c>
      <c r="E363" s="15">
        <v>0</v>
      </c>
      <c r="F363" s="15">
        <v>0</v>
      </c>
      <c r="G363" s="15">
        <v>0</v>
      </c>
      <c r="H363" s="15">
        <v>0</v>
      </c>
      <c r="I363" s="15">
        <v>0</v>
      </c>
      <c r="J363" s="15">
        <v>0</v>
      </c>
      <c r="K363" s="15">
        <v>0</v>
      </c>
      <c r="L363" s="15">
        <v>0</v>
      </c>
      <c r="M363" s="15">
        <v>0</v>
      </c>
      <c r="N363" s="15">
        <v>75.16</v>
      </c>
      <c r="O363" t="s">
        <v>3028</v>
      </c>
    </row>
    <row r="364" spans="1:15" x14ac:dyDescent="0.25">
      <c r="A364" s="10" t="s">
        <v>856</v>
      </c>
      <c r="B364" s="15">
        <v>560.6</v>
      </c>
      <c r="C364" s="15">
        <v>570.88</v>
      </c>
      <c r="D364" s="15">
        <v>570.88</v>
      </c>
      <c r="E364" s="15">
        <v>547.04999999999995</v>
      </c>
      <c r="F364" s="15">
        <v>547.15</v>
      </c>
      <c r="G364" s="15">
        <v>570.88</v>
      </c>
      <c r="H364" s="15">
        <v>570.88</v>
      </c>
      <c r="I364" s="15">
        <v>570.88</v>
      </c>
      <c r="J364" s="15">
        <v>570.88</v>
      </c>
      <c r="K364" s="15">
        <v>570.88</v>
      </c>
      <c r="L364" s="15">
        <v>570.88</v>
      </c>
      <c r="M364" s="15">
        <v>570.88</v>
      </c>
      <c r="N364" s="15">
        <v>570.88</v>
      </c>
      <c r="O364" t="s">
        <v>3028</v>
      </c>
    </row>
    <row r="365" spans="1:15" x14ac:dyDescent="0.25">
      <c r="A365" s="10" t="s">
        <v>858</v>
      </c>
      <c r="B365" s="15">
        <v>96.54</v>
      </c>
      <c r="C365" s="15">
        <v>106.07</v>
      </c>
      <c r="D365" s="15">
        <v>183.11</v>
      </c>
      <c r="E365" s="15">
        <v>0</v>
      </c>
      <c r="F365" s="15">
        <v>0</v>
      </c>
      <c r="G365" s="15">
        <v>0</v>
      </c>
      <c r="H365" s="15">
        <v>0</v>
      </c>
      <c r="I365" s="15">
        <v>0</v>
      </c>
      <c r="J365" s="15">
        <v>0</v>
      </c>
      <c r="K365" s="15">
        <v>0</v>
      </c>
      <c r="L365" s="15">
        <v>0</v>
      </c>
      <c r="M365" s="15">
        <v>0</v>
      </c>
      <c r="N365" s="15">
        <v>35.44</v>
      </c>
      <c r="O365" t="s">
        <v>3028</v>
      </c>
    </row>
    <row r="366" spans="1:15" x14ac:dyDescent="0.25">
      <c r="A366" s="10" t="s">
        <v>860</v>
      </c>
      <c r="B366" s="15">
        <v>546.67999999999995</v>
      </c>
      <c r="C366" s="15">
        <v>536.66</v>
      </c>
      <c r="D366" s="15">
        <v>555.52</v>
      </c>
      <c r="E366" s="15">
        <v>570.88</v>
      </c>
      <c r="F366" s="15">
        <v>489.32</v>
      </c>
      <c r="G366" s="15">
        <v>493.56</v>
      </c>
      <c r="H366" s="15">
        <v>570.88</v>
      </c>
      <c r="I366" s="15">
        <v>558.92999999999995</v>
      </c>
      <c r="J366" s="15">
        <v>561.39</v>
      </c>
      <c r="K366" s="15">
        <v>559.80999999999995</v>
      </c>
      <c r="L366" s="15">
        <v>523.39</v>
      </c>
      <c r="M366" s="15">
        <v>524.64</v>
      </c>
      <c r="N366" s="15">
        <v>547.80999999999995</v>
      </c>
      <c r="O366" t="s">
        <v>3028</v>
      </c>
    </row>
    <row r="367" spans="1:15" x14ac:dyDescent="0.25">
      <c r="A367" s="10" t="s">
        <v>862</v>
      </c>
      <c r="B367" s="15">
        <v>0</v>
      </c>
      <c r="C367" s="15">
        <v>230.36</v>
      </c>
      <c r="D367" s="15">
        <v>347.88</v>
      </c>
      <c r="E367" s="15">
        <v>409.64</v>
      </c>
      <c r="F367" s="15">
        <v>357.87</v>
      </c>
      <c r="G367" s="15">
        <v>407.98</v>
      </c>
      <c r="H367" s="15">
        <v>407.29</v>
      </c>
      <c r="I367" s="15">
        <v>463.63</v>
      </c>
      <c r="J367" s="15">
        <v>387.82</v>
      </c>
      <c r="K367" s="15">
        <v>420.28</v>
      </c>
      <c r="L367" s="15">
        <v>395.36</v>
      </c>
      <c r="M367" s="15">
        <v>363.89</v>
      </c>
      <c r="N367" s="15">
        <v>368.92</v>
      </c>
      <c r="O367" t="s">
        <v>3028</v>
      </c>
    </row>
    <row r="368" spans="1:15" x14ac:dyDescent="0.25">
      <c r="A368" s="10" t="s">
        <v>864</v>
      </c>
      <c r="B368" s="15">
        <v>0</v>
      </c>
      <c r="C368" s="15">
        <v>94.76</v>
      </c>
      <c r="D368" s="15">
        <v>157.19</v>
      </c>
      <c r="E368" s="15">
        <v>192.87</v>
      </c>
      <c r="F368" s="15">
        <v>152.87</v>
      </c>
      <c r="G368" s="15">
        <v>153.63999999999999</v>
      </c>
      <c r="H368" s="15">
        <v>151.02000000000001</v>
      </c>
      <c r="I368" s="15">
        <v>308.27</v>
      </c>
      <c r="J368" s="15">
        <v>170.91</v>
      </c>
      <c r="K368" s="15">
        <v>182.86</v>
      </c>
      <c r="L368" s="15">
        <v>163.65</v>
      </c>
      <c r="M368" s="15">
        <v>165.3</v>
      </c>
      <c r="N368" s="15">
        <v>160.41999999999999</v>
      </c>
      <c r="O368" t="s">
        <v>3028</v>
      </c>
    </row>
    <row r="369" spans="1:15" x14ac:dyDescent="0.25">
      <c r="A369" s="10" t="s">
        <v>866</v>
      </c>
      <c r="B369" s="15">
        <v>396.65</v>
      </c>
      <c r="C369" s="15">
        <v>322.43</v>
      </c>
      <c r="D369" s="15">
        <v>328.14</v>
      </c>
      <c r="E369" s="15">
        <v>687.52</v>
      </c>
      <c r="F369" s="15">
        <v>113.78</v>
      </c>
      <c r="G369" s="15">
        <v>341.6</v>
      </c>
      <c r="H369" s="15">
        <v>352.6</v>
      </c>
      <c r="I369" s="15">
        <v>494.32</v>
      </c>
      <c r="J369" s="15">
        <v>384.65</v>
      </c>
      <c r="K369" s="15">
        <v>426.11</v>
      </c>
      <c r="L369" s="15">
        <v>398.16</v>
      </c>
      <c r="M369" s="15">
        <v>435.71</v>
      </c>
      <c r="N369" s="15">
        <v>398.07</v>
      </c>
      <c r="O369" t="s">
        <v>3028</v>
      </c>
    </row>
    <row r="370" spans="1:15" x14ac:dyDescent="0.25">
      <c r="A370" s="10" t="s">
        <v>868</v>
      </c>
      <c r="B370" s="15">
        <v>176.45</v>
      </c>
      <c r="C370" s="15">
        <v>160.22</v>
      </c>
      <c r="D370" s="15">
        <v>192.8</v>
      </c>
      <c r="E370" s="15">
        <v>193.84</v>
      </c>
      <c r="F370" s="15">
        <v>160.15</v>
      </c>
      <c r="G370" s="15">
        <v>418.86</v>
      </c>
      <c r="H370" s="15">
        <v>104.79</v>
      </c>
      <c r="I370" s="15">
        <v>280.73</v>
      </c>
      <c r="J370" s="15">
        <v>211.08</v>
      </c>
      <c r="K370" s="15">
        <v>195.75</v>
      </c>
      <c r="L370" s="15">
        <v>198.76</v>
      </c>
      <c r="M370" s="15">
        <v>94.32</v>
      </c>
      <c r="N370" s="15">
        <v>197.24</v>
      </c>
      <c r="O370" t="s">
        <v>3028</v>
      </c>
    </row>
    <row r="371" spans="1:15" x14ac:dyDescent="0.25">
      <c r="A371" s="10" t="s">
        <v>870</v>
      </c>
      <c r="B371" s="15">
        <v>213.96</v>
      </c>
      <c r="C371" s="15">
        <v>154.65</v>
      </c>
      <c r="D371" s="15">
        <v>177.38</v>
      </c>
      <c r="E371" s="15">
        <v>164.63</v>
      </c>
      <c r="F371" s="15">
        <v>162.54</v>
      </c>
      <c r="G371" s="15">
        <v>341.16</v>
      </c>
      <c r="H371" s="15">
        <v>224.76</v>
      </c>
      <c r="I371" s="15">
        <v>371.56</v>
      </c>
      <c r="J371" s="15">
        <v>231.53</v>
      </c>
      <c r="K371" s="15">
        <v>298.43</v>
      </c>
      <c r="L371" s="15">
        <v>372.2</v>
      </c>
      <c r="M371" s="15">
        <v>451.69</v>
      </c>
      <c r="N371" s="15">
        <v>231.24</v>
      </c>
      <c r="O371" t="s">
        <v>3028</v>
      </c>
    </row>
    <row r="372" spans="1:15" x14ac:dyDescent="0.25">
      <c r="A372" s="10" t="s">
        <v>872</v>
      </c>
      <c r="B372" s="15">
        <v>570.88</v>
      </c>
      <c r="C372" s="15">
        <v>570.88</v>
      </c>
      <c r="D372" s="15">
        <v>570.88</v>
      </c>
      <c r="E372" s="15">
        <v>570.88</v>
      </c>
      <c r="F372" s="15">
        <v>570.88</v>
      </c>
      <c r="G372" s="15">
        <v>570.88</v>
      </c>
      <c r="H372" s="15">
        <v>570.88</v>
      </c>
      <c r="I372" s="15">
        <v>821.97</v>
      </c>
      <c r="J372" s="15">
        <v>319.79000000000002</v>
      </c>
      <c r="K372" s="15">
        <v>570.88</v>
      </c>
      <c r="L372" s="15">
        <v>570.88</v>
      </c>
      <c r="M372" s="15">
        <v>570.88</v>
      </c>
      <c r="N372" s="15">
        <v>570.88</v>
      </c>
      <c r="O372" t="s">
        <v>3028</v>
      </c>
    </row>
    <row r="373" spans="1:15" x14ac:dyDescent="0.25">
      <c r="A373" s="10" t="s">
        <v>874</v>
      </c>
      <c r="B373" s="15">
        <v>220.76</v>
      </c>
      <c r="C373" s="15">
        <v>228.84</v>
      </c>
      <c r="D373" s="15">
        <v>226.41</v>
      </c>
      <c r="E373" s="15">
        <v>199.2</v>
      </c>
      <c r="F373" s="15">
        <v>205.59</v>
      </c>
      <c r="G373" s="15">
        <v>193.96</v>
      </c>
      <c r="H373" s="15">
        <v>214.27</v>
      </c>
      <c r="I373" s="15">
        <v>341.55</v>
      </c>
      <c r="J373" s="15">
        <v>630.91</v>
      </c>
      <c r="K373" s="15">
        <v>48.47</v>
      </c>
      <c r="L373" s="15">
        <v>188.25</v>
      </c>
      <c r="M373" s="15">
        <v>286.94</v>
      </c>
      <c r="N373" s="15">
        <v>229.3</v>
      </c>
      <c r="O373" t="s">
        <v>3028</v>
      </c>
    </row>
    <row r="374" spans="1:15" x14ac:dyDescent="0.25">
      <c r="A374" s="10" t="s">
        <v>876</v>
      </c>
      <c r="B374" s="15">
        <v>154.05000000000001</v>
      </c>
      <c r="C374" s="15">
        <v>179.77</v>
      </c>
      <c r="D374" s="15">
        <v>0</v>
      </c>
      <c r="E374" s="15">
        <v>0</v>
      </c>
      <c r="F374" s="15">
        <v>0</v>
      </c>
      <c r="G374" s="15">
        <v>0</v>
      </c>
      <c r="H374" s="15">
        <v>0</v>
      </c>
      <c r="I374" s="15">
        <v>0</v>
      </c>
      <c r="J374" s="15">
        <v>0</v>
      </c>
      <c r="K374" s="15">
        <v>0</v>
      </c>
      <c r="L374" s="15">
        <v>0</v>
      </c>
      <c r="M374" s="15">
        <v>0</v>
      </c>
      <c r="N374" s="15">
        <v>18.8</v>
      </c>
      <c r="O374" t="s">
        <v>3028</v>
      </c>
    </row>
    <row r="375" spans="1:15" x14ac:dyDescent="0.25">
      <c r="A375" s="10" t="s">
        <v>878</v>
      </c>
      <c r="B375" s="15">
        <v>161.93</v>
      </c>
      <c r="C375" s="15">
        <v>164.6</v>
      </c>
      <c r="D375" s="15">
        <v>163.77000000000001</v>
      </c>
      <c r="E375" s="15">
        <v>395.87</v>
      </c>
      <c r="F375" s="15">
        <v>70.92</v>
      </c>
      <c r="G375" s="15">
        <v>160.97999999999999</v>
      </c>
      <c r="H375" s="15">
        <v>163.51</v>
      </c>
      <c r="I375" s="15">
        <v>211.28</v>
      </c>
      <c r="J375" s="15">
        <v>195.9</v>
      </c>
      <c r="K375" s="15">
        <v>182.93</v>
      </c>
      <c r="L375" s="15">
        <v>178.69</v>
      </c>
      <c r="M375" s="15">
        <v>178.81</v>
      </c>
      <c r="N375" s="15">
        <v>183.44</v>
      </c>
      <c r="O375" t="s">
        <v>3028</v>
      </c>
    </row>
    <row r="376" spans="1:15" x14ac:dyDescent="0.25">
      <c r="A376" s="10" t="s">
        <v>880</v>
      </c>
      <c r="B376" s="15">
        <v>189.08</v>
      </c>
      <c r="C376" s="15">
        <v>309.13</v>
      </c>
      <c r="D376" s="15">
        <v>306.14</v>
      </c>
      <c r="E376" s="15">
        <v>193.04</v>
      </c>
      <c r="F376" s="15">
        <v>198.08</v>
      </c>
      <c r="G376" s="15">
        <v>196.09</v>
      </c>
      <c r="H376" s="15">
        <v>445.29</v>
      </c>
      <c r="I376" s="15">
        <v>273.73</v>
      </c>
      <c r="J376" s="15">
        <v>228.21</v>
      </c>
      <c r="K376" s="15">
        <v>217.73</v>
      </c>
      <c r="L376" s="15">
        <v>289.45999999999998</v>
      </c>
      <c r="M376" s="15">
        <v>288.39</v>
      </c>
      <c r="N376" s="15">
        <v>230.42</v>
      </c>
      <c r="O376" t="s">
        <v>3028</v>
      </c>
    </row>
    <row r="377" spans="1:15" x14ac:dyDescent="0.25">
      <c r="A377" s="10" t="s">
        <v>882</v>
      </c>
      <c r="B377" s="15">
        <v>433.14</v>
      </c>
      <c r="C377" s="15">
        <v>425.5</v>
      </c>
      <c r="D377" s="15">
        <v>431.86</v>
      </c>
      <c r="E377" s="15">
        <v>425.11</v>
      </c>
      <c r="F377" s="15">
        <v>426.04</v>
      </c>
      <c r="G377" s="15">
        <v>425.11</v>
      </c>
      <c r="H377" s="15">
        <v>426.5</v>
      </c>
      <c r="I377" s="15">
        <v>556.6</v>
      </c>
      <c r="J377" s="15">
        <v>522.51</v>
      </c>
      <c r="K377" s="15">
        <v>466.86</v>
      </c>
      <c r="L377" s="15">
        <v>466.86</v>
      </c>
      <c r="M377" s="15">
        <v>718.49</v>
      </c>
      <c r="N377" s="15">
        <v>473.59</v>
      </c>
      <c r="O377" t="s">
        <v>3028</v>
      </c>
    </row>
    <row r="378" spans="1:15" x14ac:dyDescent="0.25">
      <c r="A378" s="10" t="s">
        <v>884</v>
      </c>
      <c r="B378" s="15">
        <v>557.75</v>
      </c>
      <c r="C378" s="15">
        <v>515.91</v>
      </c>
      <c r="D378" s="15">
        <v>534.72</v>
      </c>
      <c r="E378" s="15">
        <v>507.69</v>
      </c>
      <c r="F378" s="15">
        <v>511.22</v>
      </c>
      <c r="G378" s="15">
        <v>570.88</v>
      </c>
      <c r="H378" s="15">
        <v>524.80999999999995</v>
      </c>
      <c r="I378" s="15">
        <v>570.88</v>
      </c>
      <c r="J378" s="15">
        <v>563.13</v>
      </c>
      <c r="K378" s="15">
        <v>570.88</v>
      </c>
      <c r="L378" s="15">
        <v>560.72</v>
      </c>
      <c r="M378" s="15">
        <v>570.88</v>
      </c>
      <c r="N378" s="15">
        <v>570.88</v>
      </c>
      <c r="O378" t="s">
        <v>3028</v>
      </c>
    </row>
    <row r="379" spans="1:15" x14ac:dyDescent="0.25">
      <c r="A379" s="10" t="s">
        <v>886</v>
      </c>
      <c r="B379" s="15">
        <v>304.58</v>
      </c>
      <c r="C379" s="15">
        <v>311.52999999999997</v>
      </c>
      <c r="D379" s="15">
        <v>327.64999999999998</v>
      </c>
      <c r="E379" s="15">
        <v>319.63</v>
      </c>
      <c r="F379" s="15">
        <v>325.73</v>
      </c>
      <c r="G379" s="15">
        <v>324.56</v>
      </c>
      <c r="H379" s="15">
        <v>326.06</v>
      </c>
      <c r="I379" s="15">
        <v>789.96</v>
      </c>
      <c r="J379" s="15">
        <v>91.27</v>
      </c>
      <c r="K379" s="15">
        <v>290.42</v>
      </c>
      <c r="L379" s="15">
        <v>431.14</v>
      </c>
      <c r="M379" s="15">
        <v>349.04</v>
      </c>
      <c r="N379" s="15">
        <v>349.98</v>
      </c>
      <c r="O379" t="s">
        <v>3028</v>
      </c>
    </row>
    <row r="380" spans="1:15" x14ac:dyDescent="0.25">
      <c r="A380" s="10" t="s">
        <v>888</v>
      </c>
      <c r="B380" s="15">
        <v>108.2</v>
      </c>
      <c r="C380" s="15">
        <v>181.85</v>
      </c>
      <c r="D380" s="15">
        <v>95.5</v>
      </c>
      <c r="E380" s="15">
        <v>214.86</v>
      </c>
      <c r="F380" s="15">
        <v>54.89</v>
      </c>
      <c r="G380" s="15">
        <v>107.41</v>
      </c>
      <c r="H380" s="15">
        <v>108.88</v>
      </c>
      <c r="I380" s="15">
        <v>158.06</v>
      </c>
      <c r="J380" s="15">
        <v>118.79</v>
      </c>
      <c r="K380" s="15">
        <v>180.74</v>
      </c>
      <c r="L380" s="15">
        <v>196.17</v>
      </c>
      <c r="M380" s="15">
        <v>179.07</v>
      </c>
      <c r="N380" s="15">
        <v>181.69</v>
      </c>
      <c r="O380" t="s">
        <v>3028</v>
      </c>
    </row>
    <row r="381" spans="1:15" x14ac:dyDescent="0.25">
      <c r="A381" s="10" t="s">
        <v>890</v>
      </c>
      <c r="B381" s="15">
        <v>0</v>
      </c>
      <c r="C381" s="15">
        <v>0</v>
      </c>
      <c r="D381" s="15">
        <v>0</v>
      </c>
      <c r="E381" s="15">
        <v>0</v>
      </c>
      <c r="F381" s="15">
        <v>207.32</v>
      </c>
      <c r="G381" s="15">
        <v>296.41000000000003</v>
      </c>
      <c r="H381" s="15">
        <v>223.85</v>
      </c>
      <c r="I381" s="15">
        <v>368.56</v>
      </c>
      <c r="J381" s="15">
        <v>288.38</v>
      </c>
      <c r="K381" s="15">
        <v>289.02999999999997</v>
      </c>
      <c r="L381" s="15">
        <v>288.99</v>
      </c>
      <c r="M381" s="15">
        <v>315.33999999999997</v>
      </c>
      <c r="N381" s="15">
        <v>164.45</v>
      </c>
      <c r="O381" t="s">
        <v>3028</v>
      </c>
    </row>
    <row r="382" spans="1:15" x14ac:dyDescent="0.25">
      <c r="A382" s="10" t="s">
        <v>892</v>
      </c>
      <c r="B382" s="15">
        <v>570.88</v>
      </c>
      <c r="C382" s="15">
        <v>570.88</v>
      </c>
      <c r="D382" s="15">
        <v>570.88</v>
      </c>
      <c r="E382" s="15">
        <v>570.88</v>
      </c>
      <c r="F382" s="15">
        <v>570.88</v>
      </c>
      <c r="G382" s="15">
        <v>570.88</v>
      </c>
      <c r="H382" s="15">
        <v>570.88</v>
      </c>
      <c r="I382" s="15">
        <v>570.88</v>
      </c>
      <c r="J382" s="15">
        <v>570.88</v>
      </c>
      <c r="K382" s="15">
        <v>570.88</v>
      </c>
      <c r="L382" s="15">
        <v>570.88</v>
      </c>
      <c r="M382" s="15">
        <v>570.88</v>
      </c>
      <c r="N382" s="15">
        <v>570.88</v>
      </c>
      <c r="O382" t="s">
        <v>3028</v>
      </c>
    </row>
    <row r="383" spans="1:15" x14ac:dyDescent="0.25">
      <c r="A383" s="10" t="s">
        <v>894</v>
      </c>
      <c r="B383" s="15">
        <v>169.6</v>
      </c>
      <c r="C383" s="15">
        <v>167.42</v>
      </c>
      <c r="D383" s="15">
        <v>198.47</v>
      </c>
      <c r="E383" s="15">
        <v>178</v>
      </c>
      <c r="F383" s="15">
        <v>167.22</v>
      </c>
      <c r="G383" s="15">
        <v>175.34</v>
      </c>
      <c r="H383" s="15">
        <v>165.49</v>
      </c>
      <c r="I383" s="15">
        <v>224.73</v>
      </c>
      <c r="J383" s="15">
        <v>357.73</v>
      </c>
      <c r="K383" s="15">
        <v>130.78</v>
      </c>
      <c r="L383" s="15">
        <v>179.71</v>
      </c>
      <c r="M383" s="15">
        <v>178.63</v>
      </c>
      <c r="N383" s="15">
        <v>187.11</v>
      </c>
      <c r="O383" t="s">
        <v>3028</v>
      </c>
    </row>
    <row r="384" spans="1:15" x14ac:dyDescent="0.25">
      <c r="A384" s="10" t="s">
        <v>896</v>
      </c>
      <c r="B384" s="15">
        <v>159.49</v>
      </c>
      <c r="C384" s="15">
        <v>161.01</v>
      </c>
      <c r="D384" s="15">
        <v>157.41999999999999</v>
      </c>
      <c r="E384" s="15">
        <v>157.62</v>
      </c>
      <c r="F384" s="15">
        <v>157.15</v>
      </c>
      <c r="G384" s="15">
        <v>164.02</v>
      </c>
      <c r="H384" s="15">
        <v>160.1</v>
      </c>
      <c r="I384" s="15">
        <v>203.52</v>
      </c>
      <c r="J384" s="15">
        <v>176.07</v>
      </c>
      <c r="K384" s="15">
        <v>180.43</v>
      </c>
      <c r="L384" s="15">
        <v>174.61</v>
      </c>
      <c r="M384" s="15">
        <v>180.43</v>
      </c>
      <c r="N384" s="15">
        <v>174.45</v>
      </c>
      <c r="O384" t="s">
        <v>3028</v>
      </c>
    </row>
    <row r="385" spans="1:15" x14ac:dyDescent="0.25">
      <c r="A385" s="10" t="s">
        <v>898</v>
      </c>
      <c r="B385" s="15">
        <v>172.11</v>
      </c>
      <c r="C385" s="15">
        <v>165.99</v>
      </c>
      <c r="D385" s="15">
        <v>155.01</v>
      </c>
      <c r="E385" s="15">
        <v>157.55000000000001</v>
      </c>
      <c r="F385" s="15">
        <v>167.95</v>
      </c>
      <c r="G385" s="15">
        <v>187.31</v>
      </c>
      <c r="H385" s="15">
        <v>175.39</v>
      </c>
      <c r="I385" s="15">
        <v>352.92</v>
      </c>
      <c r="J385" s="15">
        <v>408.94</v>
      </c>
      <c r="K385" s="15">
        <v>151.46</v>
      </c>
      <c r="L385" s="15">
        <v>204.53</v>
      </c>
      <c r="M385" s="15">
        <v>197.44</v>
      </c>
      <c r="N385" s="15">
        <v>199.91</v>
      </c>
      <c r="O385" t="s">
        <v>3028</v>
      </c>
    </row>
    <row r="386" spans="1:15" x14ac:dyDescent="0.25">
      <c r="A386" s="10" t="s">
        <v>900</v>
      </c>
      <c r="B386" s="15">
        <v>200.09</v>
      </c>
      <c r="C386" s="15">
        <v>186.95</v>
      </c>
      <c r="D386" s="15">
        <v>174.66</v>
      </c>
      <c r="E386" s="15">
        <v>403.61</v>
      </c>
      <c r="F386" s="15">
        <v>4.22</v>
      </c>
      <c r="G386" s="15">
        <v>159.24</v>
      </c>
      <c r="H386" s="15">
        <v>160.37</v>
      </c>
      <c r="I386" s="15">
        <v>208.02</v>
      </c>
      <c r="J386" s="15">
        <v>198.49</v>
      </c>
      <c r="K386" s="15">
        <v>188.65</v>
      </c>
      <c r="L386" s="15">
        <v>174.73</v>
      </c>
      <c r="M386" s="15">
        <v>191.75</v>
      </c>
      <c r="N386" s="15">
        <v>189.18</v>
      </c>
      <c r="O386" t="s">
        <v>3028</v>
      </c>
    </row>
    <row r="387" spans="1:15" x14ac:dyDescent="0.25">
      <c r="A387" s="10" t="s">
        <v>902</v>
      </c>
      <c r="B387" s="15">
        <v>0</v>
      </c>
      <c r="C387" s="15">
        <v>0</v>
      </c>
      <c r="D387" s="15">
        <v>171.33</v>
      </c>
      <c r="E387" s="15">
        <v>324.87</v>
      </c>
      <c r="F387" s="15">
        <v>215.1</v>
      </c>
      <c r="G387" s="15">
        <v>214.16</v>
      </c>
      <c r="H387" s="15">
        <v>214.16</v>
      </c>
      <c r="I387" s="15">
        <v>338.87</v>
      </c>
      <c r="J387" s="15">
        <v>288.11</v>
      </c>
      <c r="K387" s="15">
        <v>306.43</v>
      </c>
      <c r="L387" s="15">
        <v>289.92</v>
      </c>
      <c r="M387" s="15">
        <v>287.45999999999998</v>
      </c>
      <c r="N387" s="15">
        <v>202.23</v>
      </c>
      <c r="O387" t="s">
        <v>3028</v>
      </c>
    </row>
    <row r="388" spans="1:15" x14ac:dyDescent="0.25">
      <c r="A388" s="10" t="s">
        <v>904</v>
      </c>
      <c r="B388" s="15">
        <v>394.63</v>
      </c>
      <c r="C388" s="15">
        <v>309.52</v>
      </c>
      <c r="D388" s="15">
        <v>295.69</v>
      </c>
      <c r="E388" s="15">
        <v>190.71</v>
      </c>
      <c r="F388" s="15">
        <v>164.57</v>
      </c>
      <c r="G388" s="15">
        <v>162.75</v>
      </c>
      <c r="H388" s="15">
        <v>312.61</v>
      </c>
      <c r="I388" s="15">
        <v>179.44</v>
      </c>
      <c r="J388" s="15">
        <v>176.6</v>
      </c>
      <c r="K388" s="15">
        <v>177.86</v>
      </c>
      <c r="L388" s="15">
        <v>170.54</v>
      </c>
      <c r="M388" s="15">
        <v>181.58</v>
      </c>
      <c r="N388" s="15">
        <v>209.47</v>
      </c>
      <c r="O388" t="s">
        <v>3028</v>
      </c>
    </row>
    <row r="389" spans="1:15" x14ac:dyDescent="0.25">
      <c r="A389" s="10" t="s">
        <v>906</v>
      </c>
      <c r="B389" s="15">
        <v>499.44</v>
      </c>
      <c r="C389" s="15">
        <v>435.95</v>
      </c>
      <c r="D389" s="15">
        <v>366.28</v>
      </c>
      <c r="E389" s="15">
        <v>325.38</v>
      </c>
      <c r="F389" s="15">
        <v>439.28</v>
      </c>
      <c r="G389" s="15">
        <v>312.2</v>
      </c>
      <c r="H389" s="15">
        <v>312.2</v>
      </c>
      <c r="I389" s="15">
        <v>410.63</v>
      </c>
      <c r="J389" s="15">
        <v>409.31</v>
      </c>
      <c r="K389" s="15">
        <v>342.95</v>
      </c>
      <c r="L389" s="15">
        <v>345.06</v>
      </c>
      <c r="M389" s="15">
        <v>342.86</v>
      </c>
      <c r="N389" s="15">
        <v>383.44</v>
      </c>
      <c r="O389" t="s">
        <v>3028</v>
      </c>
    </row>
    <row r="390" spans="1:15" x14ac:dyDescent="0.25">
      <c r="A390" s="10" t="s">
        <v>908</v>
      </c>
      <c r="B390" s="15">
        <v>491.35</v>
      </c>
      <c r="C390" s="15">
        <v>369.95</v>
      </c>
      <c r="D390" s="15">
        <v>410.24</v>
      </c>
      <c r="E390" s="15">
        <v>371.86</v>
      </c>
      <c r="F390" s="15">
        <v>405.62</v>
      </c>
      <c r="G390" s="15">
        <v>533.26</v>
      </c>
      <c r="H390" s="15">
        <v>946.19</v>
      </c>
      <c r="I390" s="15">
        <v>0</v>
      </c>
      <c r="J390" s="15">
        <v>379.46</v>
      </c>
      <c r="K390" s="15">
        <v>402.35</v>
      </c>
      <c r="L390" s="15">
        <v>411.18</v>
      </c>
      <c r="M390" s="15">
        <v>425.84</v>
      </c>
      <c r="N390" s="15">
        <v>446.85</v>
      </c>
      <c r="O390" t="s">
        <v>3028</v>
      </c>
    </row>
    <row r="391" spans="1:15" x14ac:dyDescent="0.25">
      <c r="A391" s="10" t="s">
        <v>910</v>
      </c>
      <c r="B391" s="15">
        <v>0</v>
      </c>
      <c r="C391" s="15">
        <v>0</v>
      </c>
      <c r="D391" s="15">
        <v>0</v>
      </c>
      <c r="E391" s="15">
        <v>0</v>
      </c>
      <c r="F391" s="15">
        <v>0</v>
      </c>
      <c r="G391" s="15">
        <v>0</v>
      </c>
      <c r="H391" s="15">
        <v>0</v>
      </c>
      <c r="I391" s="15">
        <v>0</v>
      </c>
      <c r="J391" s="15">
        <v>0</v>
      </c>
      <c r="K391" s="15">
        <v>0</v>
      </c>
      <c r="L391" s="15">
        <v>83.6</v>
      </c>
      <c r="M391" s="15">
        <v>114</v>
      </c>
      <c r="N391" s="15">
        <v>19</v>
      </c>
      <c r="O391" t="s">
        <v>3028</v>
      </c>
    </row>
    <row r="392" spans="1:15" x14ac:dyDescent="0.25">
      <c r="A392" s="10" t="s">
        <v>912</v>
      </c>
      <c r="B392" s="15">
        <v>241.98</v>
      </c>
      <c r="C392" s="15">
        <v>65.63</v>
      </c>
      <c r="D392" s="15">
        <v>105.59</v>
      </c>
      <c r="E392" s="15">
        <v>106.23</v>
      </c>
      <c r="F392" s="15">
        <v>104.76</v>
      </c>
      <c r="G392" s="15">
        <v>109.17</v>
      </c>
      <c r="H392" s="15">
        <v>144.46</v>
      </c>
      <c r="I392" s="15">
        <v>160.59</v>
      </c>
      <c r="J392" s="15">
        <v>149.76</v>
      </c>
      <c r="K392" s="15">
        <v>121.33</v>
      </c>
      <c r="L392" s="15">
        <v>150.6</v>
      </c>
      <c r="M392" s="15">
        <v>149.31</v>
      </c>
      <c r="N392" s="15">
        <v>140.72999999999999</v>
      </c>
      <c r="O392" t="s">
        <v>3028</v>
      </c>
    </row>
    <row r="393" spans="1:15" x14ac:dyDescent="0.25">
      <c r="A393" s="10" t="s">
        <v>914</v>
      </c>
      <c r="B393" s="15">
        <v>162.4</v>
      </c>
      <c r="C393" s="15">
        <v>182.24</v>
      </c>
      <c r="D393" s="15">
        <v>182.11</v>
      </c>
      <c r="E393" s="15">
        <v>391.24</v>
      </c>
      <c r="F393" s="15">
        <v>69.67</v>
      </c>
      <c r="G393" s="15">
        <v>160.62</v>
      </c>
      <c r="H393" s="15">
        <v>166.93</v>
      </c>
      <c r="I393" s="15">
        <v>216.19</v>
      </c>
      <c r="J393" s="15">
        <v>180.11</v>
      </c>
      <c r="K393" s="15">
        <v>185.69</v>
      </c>
      <c r="L393" s="15">
        <v>197.57</v>
      </c>
      <c r="M393" s="15">
        <v>179.11</v>
      </c>
      <c r="N393" s="15">
        <v>186.68</v>
      </c>
      <c r="O393" t="s">
        <v>3028</v>
      </c>
    </row>
    <row r="394" spans="1:15" x14ac:dyDescent="0.25">
      <c r="A394" s="10" t="s">
        <v>916</v>
      </c>
      <c r="B394" s="15">
        <v>217.09</v>
      </c>
      <c r="C394" s="15">
        <v>201.32</v>
      </c>
      <c r="D394" s="15">
        <v>174.02</v>
      </c>
      <c r="E394" s="15">
        <v>446.94</v>
      </c>
      <c r="F394" s="15">
        <v>18.86</v>
      </c>
      <c r="G394" s="15">
        <v>159.03</v>
      </c>
      <c r="H394" s="15">
        <v>160.38</v>
      </c>
      <c r="I394" s="15">
        <v>223.23</v>
      </c>
      <c r="J394" s="15">
        <v>220.88</v>
      </c>
      <c r="K394" s="15">
        <v>190.93</v>
      </c>
      <c r="L394" s="15">
        <v>174.57</v>
      </c>
      <c r="M394" s="15">
        <v>203.27</v>
      </c>
      <c r="N394" s="15">
        <v>192</v>
      </c>
      <c r="O394" t="s">
        <v>3028</v>
      </c>
    </row>
    <row r="395" spans="1:15" x14ac:dyDescent="0.25">
      <c r="A395" s="10" t="s">
        <v>918</v>
      </c>
      <c r="B395" s="15">
        <v>151.08000000000001</v>
      </c>
      <c r="C395" s="15">
        <v>154.74</v>
      </c>
      <c r="D395" s="15">
        <v>74.260000000000005</v>
      </c>
      <c r="E395" s="15">
        <v>0</v>
      </c>
      <c r="F395" s="15">
        <v>0</v>
      </c>
      <c r="G395" s="15">
        <v>0</v>
      </c>
      <c r="H395" s="15">
        <v>0</v>
      </c>
      <c r="I395" s="15">
        <v>0</v>
      </c>
      <c r="J395" s="15">
        <v>0</v>
      </c>
      <c r="K395" s="15">
        <v>0</v>
      </c>
      <c r="L395" s="15">
        <v>0</v>
      </c>
      <c r="M395" s="15">
        <v>0</v>
      </c>
      <c r="N395" s="15">
        <v>28.14</v>
      </c>
      <c r="O395" t="s">
        <v>3028</v>
      </c>
    </row>
    <row r="396" spans="1:15" x14ac:dyDescent="0.25">
      <c r="A396" s="10" t="s">
        <v>920</v>
      </c>
      <c r="B396" s="15">
        <v>157.19999999999999</v>
      </c>
      <c r="C396" s="15">
        <v>0</v>
      </c>
      <c r="D396" s="15">
        <v>0</v>
      </c>
      <c r="E396" s="15">
        <v>0</v>
      </c>
      <c r="F396" s="15">
        <v>0</v>
      </c>
      <c r="G396" s="15">
        <v>0</v>
      </c>
      <c r="H396" s="15">
        <v>0</v>
      </c>
      <c r="I396" s="15">
        <v>0</v>
      </c>
      <c r="J396" s="15">
        <v>0</v>
      </c>
      <c r="K396" s="15">
        <v>0</v>
      </c>
      <c r="L396" s="15">
        <v>0</v>
      </c>
      <c r="M396" s="15">
        <v>0</v>
      </c>
      <c r="N396" s="15">
        <v>8.66</v>
      </c>
      <c r="O396" t="s">
        <v>3028</v>
      </c>
    </row>
    <row r="397" spans="1:15" x14ac:dyDescent="0.25">
      <c r="A397" s="10" t="s">
        <v>922</v>
      </c>
      <c r="B397" s="15">
        <v>516.78</v>
      </c>
      <c r="C397" s="15">
        <v>570.88</v>
      </c>
      <c r="D397" s="15">
        <v>496.91</v>
      </c>
      <c r="E397" s="15">
        <v>474.01</v>
      </c>
      <c r="F397" s="15">
        <v>1057.99</v>
      </c>
      <c r="G397" s="15">
        <v>30.24</v>
      </c>
      <c r="H397" s="15">
        <v>466.92</v>
      </c>
      <c r="I397" s="15">
        <v>570.88</v>
      </c>
      <c r="J397" s="15">
        <v>534.94000000000005</v>
      </c>
      <c r="K397" s="15">
        <v>509.5</v>
      </c>
      <c r="L397" s="15">
        <v>554.22</v>
      </c>
      <c r="M397" s="15">
        <v>521.45000000000005</v>
      </c>
      <c r="N397" s="15">
        <v>538.15</v>
      </c>
      <c r="O397" t="s">
        <v>3028</v>
      </c>
    </row>
    <row r="398" spans="1:15" x14ac:dyDescent="0.25">
      <c r="A398" s="10" t="s">
        <v>924</v>
      </c>
      <c r="B398" s="15">
        <v>0</v>
      </c>
      <c r="C398" s="15">
        <v>0</v>
      </c>
      <c r="D398" s="15">
        <v>0</v>
      </c>
      <c r="E398" s="15">
        <v>0</v>
      </c>
      <c r="F398" s="15">
        <v>0</v>
      </c>
      <c r="G398" s="15">
        <v>0</v>
      </c>
      <c r="H398" s="15">
        <v>0</v>
      </c>
      <c r="I398" s="15">
        <v>0</v>
      </c>
      <c r="J398" s="15">
        <v>0</v>
      </c>
      <c r="K398" s="15">
        <v>0</v>
      </c>
      <c r="L398" s="15">
        <v>92.5</v>
      </c>
      <c r="M398" s="15">
        <v>152.41999999999999</v>
      </c>
      <c r="N398" s="15">
        <v>20.92</v>
      </c>
      <c r="O398" t="s">
        <v>3028</v>
      </c>
    </row>
    <row r="399" spans="1:15" x14ac:dyDescent="0.25">
      <c r="A399" s="10" t="s">
        <v>926</v>
      </c>
      <c r="B399" s="15">
        <v>251.27</v>
      </c>
      <c r="C399" s="15">
        <v>142.66</v>
      </c>
      <c r="D399" s="15">
        <v>497.21</v>
      </c>
      <c r="E399" s="15">
        <v>0</v>
      </c>
      <c r="F399" s="15">
        <v>0</v>
      </c>
      <c r="G399" s="15">
        <v>0</v>
      </c>
      <c r="H399" s="15">
        <v>0</v>
      </c>
      <c r="I399" s="15">
        <v>0</v>
      </c>
      <c r="J399" s="15">
        <v>0</v>
      </c>
      <c r="K399" s="15">
        <v>0</v>
      </c>
      <c r="L399" s="15">
        <v>0</v>
      </c>
      <c r="M399" s="15">
        <v>0</v>
      </c>
      <c r="N399" s="15">
        <v>51.12</v>
      </c>
      <c r="O399" t="s">
        <v>3028</v>
      </c>
    </row>
    <row r="400" spans="1:15" x14ac:dyDescent="0.25">
      <c r="A400" s="10" t="s">
        <v>928</v>
      </c>
      <c r="B400" s="15">
        <v>195.14</v>
      </c>
      <c r="C400" s="15">
        <v>182.91</v>
      </c>
      <c r="D400" s="15">
        <v>191.54</v>
      </c>
      <c r="E400" s="15">
        <v>414.55</v>
      </c>
      <c r="F400" s="15">
        <v>94.04</v>
      </c>
      <c r="G400" s="15">
        <v>188.61</v>
      </c>
      <c r="H400" s="15">
        <v>186.94</v>
      </c>
      <c r="I400" s="15">
        <v>320.98</v>
      </c>
      <c r="J400" s="15">
        <v>213.37</v>
      </c>
      <c r="K400" s="15">
        <v>203.94</v>
      </c>
      <c r="L400" s="15">
        <v>205.25</v>
      </c>
      <c r="M400" s="15">
        <v>204.05</v>
      </c>
      <c r="N400" s="15">
        <v>203.71</v>
      </c>
      <c r="O400" t="s">
        <v>3028</v>
      </c>
    </row>
    <row r="401" spans="1:15" x14ac:dyDescent="0.25">
      <c r="A401" s="10" t="s">
        <v>930</v>
      </c>
      <c r="B401" s="15">
        <v>302.3</v>
      </c>
      <c r="C401" s="15">
        <v>232.27</v>
      </c>
      <c r="D401" s="15">
        <v>220.19</v>
      </c>
      <c r="E401" s="15">
        <v>228.74</v>
      </c>
      <c r="F401" s="15">
        <v>198.45</v>
      </c>
      <c r="G401" s="15">
        <v>204.44</v>
      </c>
      <c r="H401" s="15">
        <v>205.13</v>
      </c>
      <c r="I401" s="15">
        <v>315.52999999999997</v>
      </c>
      <c r="J401" s="15">
        <v>223.8</v>
      </c>
      <c r="K401" s="15">
        <v>615.33000000000004</v>
      </c>
      <c r="L401" s="15">
        <v>86.53</v>
      </c>
      <c r="M401" s="15">
        <v>217.94</v>
      </c>
      <c r="N401" s="15">
        <v>286.69</v>
      </c>
      <c r="O401" t="s">
        <v>3028</v>
      </c>
    </row>
    <row r="402" spans="1:15" x14ac:dyDescent="0.25">
      <c r="A402" s="10" t="s">
        <v>932</v>
      </c>
      <c r="B402" s="15">
        <v>223.07</v>
      </c>
      <c r="C402" s="15">
        <v>322.45</v>
      </c>
      <c r="D402" s="15">
        <v>209.36</v>
      </c>
      <c r="E402" s="15">
        <v>173.83</v>
      </c>
      <c r="F402" s="15">
        <v>312.19</v>
      </c>
      <c r="G402" s="15">
        <v>0</v>
      </c>
      <c r="H402" s="15">
        <v>0</v>
      </c>
      <c r="I402" s="15">
        <v>0</v>
      </c>
      <c r="J402" s="15">
        <v>0</v>
      </c>
      <c r="K402" s="15">
        <v>0</v>
      </c>
      <c r="L402" s="15">
        <v>0</v>
      </c>
      <c r="M402" s="15">
        <v>0</v>
      </c>
      <c r="N402" s="15">
        <v>67.33</v>
      </c>
      <c r="O402" t="s">
        <v>3028</v>
      </c>
    </row>
    <row r="403" spans="1:15" x14ac:dyDescent="0.25">
      <c r="A403" s="10" t="s">
        <v>934</v>
      </c>
      <c r="B403" s="15">
        <v>356.69</v>
      </c>
      <c r="C403" s="15">
        <v>363.47</v>
      </c>
      <c r="D403" s="15">
        <v>608.59</v>
      </c>
      <c r="E403" s="15">
        <v>221.29</v>
      </c>
      <c r="F403" s="15">
        <v>356.69</v>
      </c>
      <c r="G403" s="15">
        <v>369.06</v>
      </c>
      <c r="H403" s="15">
        <v>359.97</v>
      </c>
      <c r="I403" s="15">
        <v>471.97</v>
      </c>
      <c r="J403" s="15">
        <v>435.66</v>
      </c>
      <c r="K403" s="15">
        <v>391.72</v>
      </c>
      <c r="L403" s="15">
        <v>397.19</v>
      </c>
      <c r="M403" s="15">
        <v>745.3</v>
      </c>
      <c r="N403" s="15">
        <v>400.18</v>
      </c>
      <c r="O403" t="s">
        <v>3028</v>
      </c>
    </row>
    <row r="404" spans="1:15" x14ac:dyDescent="0.25">
      <c r="A404" s="10" t="s">
        <v>936</v>
      </c>
      <c r="B404" s="15">
        <v>315.81</v>
      </c>
      <c r="C404" s="15">
        <v>298.91000000000003</v>
      </c>
      <c r="D404" s="15">
        <v>298.12</v>
      </c>
      <c r="E404" s="15">
        <v>525</v>
      </c>
      <c r="F404" s="15">
        <v>176.34</v>
      </c>
      <c r="G404" s="15">
        <v>292.73</v>
      </c>
      <c r="H404" s="15">
        <v>296.95</v>
      </c>
      <c r="I404" s="15">
        <v>400.08</v>
      </c>
      <c r="J404" s="15">
        <v>322.08999999999997</v>
      </c>
      <c r="K404" s="15">
        <v>328.23</v>
      </c>
      <c r="L404" s="15">
        <v>329.69</v>
      </c>
      <c r="M404" s="15">
        <v>325.08</v>
      </c>
      <c r="N404" s="15">
        <v>327.35000000000002</v>
      </c>
      <c r="O404" t="s">
        <v>3028</v>
      </c>
    </row>
    <row r="405" spans="1:15" x14ac:dyDescent="0.25">
      <c r="A405" s="10" t="s">
        <v>938</v>
      </c>
      <c r="B405" s="15">
        <v>184.28</v>
      </c>
      <c r="C405" s="15">
        <v>222.43</v>
      </c>
      <c r="D405" s="15">
        <v>222.9</v>
      </c>
      <c r="E405" s="15">
        <v>232.61</v>
      </c>
      <c r="F405" s="15">
        <v>296.81</v>
      </c>
      <c r="G405" s="15">
        <v>222.56</v>
      </c>
      <c r="H405" s="15">
        <v>287.97000000000003</v>
      </c>
      <c r="I405" s="15">
        <v>378.29</v>
      </c>
      <c r="J405" s="15">
        <v>298.22000000000003</v>
      </c>
      <c r="K405" s="15">
        <v>318.10000000000002</v>
      </c>
      <c r="L405" s="15">
        <v>367.79</v>
      </c>
      <c r="M405" s="15">
        <v>302.26</v>
      </c>
      <c r="N405" s="15">
        <v>312.01</v>
      </c>
      <c r="O405" t="s">
        <v>3028</v>
      </c>
    </row>
    <row r="406" spans="1:15" x14ac:dyDescent="0.25">
      <c r="A406" s="10" t="s">
        <v>940</v>
      </c>
      <c r="B406" s="15">
        <v>200.76</v>
      </c>
      <c r="C406" s="15">
        <v>180.57</v>
      </c>
      <c r="D406" s="15">
        <v>183.18</v>
      </c>
      <c r="E406" s="15">
        <v>208.78</v>
      </c>
      <c r="F406" s="15">
        <v>171.12</v>
      </c>
      <c r="G406" s="15">
        <v>206.15</v>
      </c>
      <c r="H406" s="15">
        <v>521.83000000000004</v>
      </c>
      <c r="I406" s="15">
        <v>134.99</v>
      </c>
      <c r="J406" s="15">
        <v>196.91</v>
      </c>
      <c r="K406" s="15">
        <v>212.59</v>
      </c>
      <c r="L406" s="15">
        <v>199.23</v>
      </c>
      <c r="M406" s="15">
        <v>219.2</v>
      </c>
      <c r="N406" s="15">
        <v>210.3</v>
      </c>
      <c r="O406" t="s">
        <v>3028</v>
      </c>
    </row>
    <row r="407" spans="1:15" x14ac:dyDescent="0.25">
      <c r="A407" s="10" t="s">
        <v>942</v>
      </c>
      <c r="B407" s="15">
        <v>164.95</v>
      </c>
      <c r="C407" s="15">
        <v>165.02</v>
      </c>
      <c r="D407" s="15">
        <v>164.64</v>
      </c>
      <c r="E407" s="15">
        <v>371.93</v>
      </c>
      <c r="F407" s="15">
        <v>19.690000000000001</v>
      </c>
      <c r="G407" s="15">
        <v>163.38999999999999</v>
      </c>
      <c r="H407" s="15">
        <v>167.75</v>
      </c>
      <c r="I407" s="15">
        <v>87.88</v>
      </c>
      <c r="J407" s="15">
        <v>0</v>
      </c>
      <c r="K407" s="15">
        <v>0</v>
      </c>
      <c r="L407" s="15">
        <v>0</v>
      </c>
      <c r="M407" s="15">
        <v>0</v>
      </c>
      <c r="N407" s="15">
        <v>94.23</v>
      </c>
      <c r="O407" t="s">
        <v>3028</v>
      </c>
    </row>
    <row r="408" spans="1:15" x14ac:dyDescent="0.25">
      <c r="A408" s="10" t="s">
        <v>944</v>
      </c>
      <c r="B408" s="15">
        <v>0</v>
      </c>
      <c r="C408" s="15">
        <v>0</v>
      </c>
      <c r="D408" s="15">
        <v>0</v>
      </c>
      <c r="E408" s="15">
        <v>0</v>
      </c>
      <c r="F408" s="15">
        <v>0</v>
      </c>
      <c r="G408" s="15">
        <v>0</v>
      </c>
      <c r="H408" s="15">
        <v>0</v>
      </c>
      <c r="I408" s="15">
        <v>0</v>
      </c>
      <c r="J408" s="15">
        <v>0</v>
      </c>
      <c r="K408" s="15">
        <v>0</v>
      </c>
      <c r="L408" s="15">
        <v>207.97</v>
      </c>
      <c r="M408" s="15">
        <v>207.97</v>
      </c>
      <c r="N408" s="15">
        <v>30.81</v>
      </c>
      <c r="O408" t="s">
        <v>3028</v>
      </c>
    </row>
    <row r="409" spans="1:15" x14ac:dyDescent="0.25">
      <c r="A409" s="10" t="s">
        <v>946</v>
      </c>
      <c r="B409" s="15">
        <v>150.76</v>
      </c>
      <c r="C409" s="15">
        <v>208.42</v>
      </c>
      <c r="D409" s="15">
        <v>179.48</v>
      </c>
      <c r="E409" s="15">
        <v>474.25</v>
      </c>
      <c r="F409" s="15">
        <v>0</v>
      </c>
      <c r="G409" s="15">
        <v>160.91</v>
      </c>
      <c r="H409" s="15">
        <v>164.77</v>
      </c>
      <c r="I409" s="15">
        <v>210.48</v>
      </c>
      <c r="J409" s="15">
        <v>189.8</v>
      </c>
      <c r="K409" s="15">
        <v>229.64</v>
      </c>
      <c r="L409" s="15">
        <v>332.32</v>
      </c>
      <c r="M409" s="15">
        <v>221.47</v>
      </c>
      <c r="N409" s="15">
        <v>203.8</v>
      </c>
      <c r="O409" t="s">
        <v>3028</v>
      </c>
    </row>
    <row r="410" spans="1:15" x14ac:dyDescent="0.25">
      <c r="A410" s="10" t="s">
        <v>948</v>
      </c>
      <c r="B410" s="15">
        <v>107.03</v>
      </c>
      <c r="C410" s="15">
        <v>109.07</v>
      </c>
      <c r="D410" s="15">
        <v>108.47</v>
      </c>
      <c r="E410" s="15">
        <v>110.3</v>
      </c>
      <c r="F410" s="15">
        <v>111.66</v>
      </c>
      <c r="G410" s="15">
        <v>106.82</v>
      </c>
      <c r="H410" s="15">
        <v>111.14</v>
      </c>
      <c r="I410" s="15">
        <v>171.84</v>
      </c>
      <c r="J410" s="15">
        <v>122.86</v>
      </c>
      <c r="K410" s="15">
        <v>118.11</v>
      </c>
      <c r="L410" s="15">
        <v>118.45</v>
      </c>
      <c r="M410" s="15">
        <v>119.86</v>
      </c>
      <c r="N410" s="15">
        <v>121.3</v>
      </c>
      <c r="O410" t="s">
        <v>3028</v>
      </c>
    </row>
    <row r="411" spans="1:15" x14ac:dyDescent="0.25">
      <c r="A411" s="10" t="s">
        <v>954</v>
      </c>
      <c r="B411" s="15">
        <v>0</v>
      </c>
      <c r="C411" s="15">
        <v>0</v>
      </c>
      <c r="D411" s="15">
        <v>0</v>
      </c>
      <c r="E411" s="15">
        <v>0</v>
      </c>
      <c r="F411" s="15">
        <v>0</v>
      </c>
      <c r="G411" s="15">
        <v>0</v>
      </c>
      <c r="H411" s="15">
        <v>0</v>
      </c>
      <c r="I411" s="15">
        <v>79.73</v>
      </c>
      <c r="J411" s="15">
        <v>7.74</v>
      </c>
      <c r="K411" s="15">
        <v>0</v>
      </c>
      <c r="L411" s="15">
        <v>0</v>
      </c>
      <c r="M411" s="15">
        <v>0</v>
      </c>
      <c r="N411" s="15">
        <v>9.52</v>
      </c>
      <c r="O411" t="s">
        <v>3028</v>
      </c>
    </row>
    <row r="412" spans="1:15" x14ac:dyDescent="0.25">
      <c r="A412" s="10" t="s">
        <v>956</v>
      </c>
      <c r="B412" s="15">
        <v>0</v>
      </c>
      <c r="C412" s="15">
        <v>0</v>
      </c>
      <c r="D412" s="15">
        <v>0</v>
      </c>
      <c r="E412" s="15">
        <v>0</v>
      </c>
      <c r="F412" s="15">
        <v>0</v>
      </c>
      <c r="G412" s="15">
        <v>0</v>
      </c>
      <c r="H412" s="15">
        <v>0</v>
      </c>
      <c r="I412" s="15">
        <v>0</v>
      </c>
      <c r="J412" s="15">
        <v>0</v>
      </c>
      <c r="K412" s="15">
        <v>0</v>
      </c>
      <c r="L412" s="15">
        <v>92.5</v>
      </c>
      <c r="M412" s="15">
        <v>124.39</v>
      </c>
      <c r="N412" s="15">
        <v>20</v>
      </c>
      <c r="O412" t="s">
        <v>3028</v>
      </c>
    </row>
    <row r="413" spans="1:15" x14ac:dyDescent="0.25">
      <c r="A413" s="10" t="s">
        <v>958</v>
      </c>
      <c r="B413" s="15">
        <v>294.62</v>
      </c>
      <c r="C413" s="15">
        <v>175.61</v>
      </c>
      <c r="D413" s="15">
        <v>209.27</v>
      </c>
      <c r="E413" s="15">
        <v>231.7</v>
      </c>
      <c r="F413" s="15">
        <v>0</v>
      </c>
      <c r="G413" s="15">
        <v>0</v>
      </c>
      <c r="H413" s="15">
        <v>0</v>
      </c>
      <c r="I413" s="15">
        <v>0</v>
      </c>
      <c r="J413" s="15">
        <v>0</v>
      </c>
      <c r="K413" s="15">
        <v>0</v>
      </c>
      <c r="L413" s="15">
        <v>0</v>
      </c>
      <c r="M413" s="15">
        <v>0</v>
      </c>
      <c r="N413" s="15">
        <v>58.47</v>
      </c>
      <c r="O413" t="s">
        <v>3028</v>
      </c>
    </row>
    <row r="414" spans="1:15" x14ac:dyDescent="0.25">
      <c r="A414" s="10" t="s">
        <v>960</v>
      </c>
      <c r="B414" s="15">
        <v>0</v>
      </c>
      <c r="C414" s="15">
        <v>0</v>
      </c>
      <c r="D414" s="15">
        <v>0</v>
      </c>
      <c r="E414" s="15">
        <v>0</v>
      </c>
      <c r="F414" s="15">
        <v>0</v>
      </c>
      <c r="G414" s="15">
        <v>0</v>
      </c>
      <c r="H414" s="15">
        <v>0</v>
      </c>
      <c r="I414" s="15">
        <v>0</v>
      </c>
      <c r="J414" s="15">
        <v>0</v>
      </c>
      <c r="K414" s="15">
        <v>164.21</v>
      </c>
      <c r="L414" s="15">
        <v>185.05</v>
      </c>
      <c r="M414" s="15">
        <v>178.99</v>
      </c>
      <c r="N414" s="15">
        <v>40.340000000000003</v>
      </c>
      <c r="O414" t="s">
        <v>3028</v>
      </c>
    </row>
    <row r="415" spans="1:15" x14ac:dyDescent="0.25">
      <c r="A415" s="10" t="s">
        <v>962</v>
      </c>
      <c r="B415" s="15">
        <v>178.77</v>
      </c>
      <c r="C415" s="15">
        <v>233.42</v>
      </c>
      <c r="D415" s="15">
        <v>396.66</v>
      </c>
      <c r="E415" s="15">
        <v>0</v>
      </c>
      <c r="F415" s="15">
        <v>0</v>
      </c>
      <c r="G415" s="15">
        <v>0</v>
      </c>
      <c r="H415" s="15">
        <v>0</v>
      </c>
      <c r="I415" s="15">
        <v>0</v>
      </c>
      <c r="J415" s="15">
        <v>0</v>
      </c>
      <c r="K415" s="15">
        <v>0</v>
      </c>
      <c r="L415" s="15">
        <v>0</v>
      </c>
      <c r="M415" s="15">
        <v>0</v>
      </c>
      <c r="N415" s="15">
        <v>58.65</v>
      </c>
      <c r="O415" t="s">
        <v>3028</v>
      </c>
    </row>
    <row r="416" spans="1:15" x14ac:dyDescent="0.25">
      <c r="A416" s="10" t="s">
        <v>964</v>
      </c>
      <c r="B416" s="15">
        <v>0</v>
      </c>
      <c r="C416" s="15">
        <v>0</v>
      </c>
      <c r="D416" s="15">
        <v>0</v>
      </c>
      <c r="E416" s="15">
        <v>0</v>
      </c>
      <c r="F416" s="15">
        <v>0</v>
      </c>
      <c r="G416" s="15">
        <v>0</v>
      </c>
      <c r="H416" s="15">
        <v>94.76</v>
      </c>
      <c r="I416" s="15">
        <v>161.44</v>
      </c>
      <c r="J416" s="15">
        <v>142.80000000000001</v>
      </c>
      <c r="K416" s="15">
        <v>116.19</v>
      </c>
      <c r="L416" s="15">
        <v>115.81</v>
      </c>
      <c r="M416" s="15">
        <v>119.72</v>
      </c>
      <c r="N416" s="15">
        <v>60.7</v>
      </c>
      <c r="O416" t="s">
        <v>3028</v>
      </c>
    </row>
    <row r="417" spans="1:15" x14ac:dyDescent="0.25">
      <c r="A417" s="10" t="s">
        <v>966</v>
      </c>
      <c r="B417" s="15">
        <v>0</v>
      </c>
      <c r="C417" s="15">
        <v>0</v>
      </c>
      <c r="D417" s="15">
        <v>0</v>
      </c>
      <c r="E417" s="15">
        <v>0</v>
      </c>
      <c r="F417" s="15">
        <v>0</v>
      </c>
      <c r="G417" s="15">
        <v>0</v>
      </c>
      <c r="H417" s="15">
        <v>0</v>
      </c>
      <c r="I417" s="15">
        <v>0</v>
      </c>
      <c r="J417" s="15">
        <v>0</v>
      </c>
      <c r="K417" s="15">
        <v>0</v>
      </c>
      <c r="L417" s="15">
        <v>83.6</v>
      </c>
      <c r="M417" s="15">
        <v>114.18</v>
      </c>
      <c r="N417" s="15">
        <v>19.010000000000002</v>
      </c>
      <c r="O417" t="s">
        <v>3028</v>
      </c>
    </row>
    <row r="418" spans="1:15" x14ac:dyDescent="0.25">
      <c r="A418" s="10" t="s">
        <v>968</v>
      </c>
      <c r="B418" s="15">
        <v>407.66</v>
      </c>
      <c r="C418" s="15">
        <v>312.60000000000002</v>
      </c>
      <c r="D418" s="15">
        <v>378.13</v>
      </c>
      <c r="E418" s="15">
        <v>229.75</v>
      </c>
      <c r="F418" s="15">
        <v>329.62</v>
      </c>
      <c r="G418" s="15">
        <v>578.58000000000004</v>
      </c>
      <c r="H418" s="15">
        <v>112.89</v>
      </c>
      <c r="I418" s="15">
        <v>377.01</v>
      </c>
      <c r="J418" s="15">
        <v>316.49</v>
      </c>
      <c r="K418" s="15">
        <v>319.54000000000002</v>
      </c>
      <c r="L418" s="15">
        <v>355.19</v>
      </c>
      <c r="M418" s="15">
        <v>354.91</v>
      </c>
      <c r="N418" s="15">
        <v>348.28</v>
      </c>
      <c r="O418" t="s">
        <v>3028</v>
      </c>
    </row>
    <row r="419" spans="1:15" x14ac:dyDescent="0.25">
      <c r="A419" s="10" t="s">
        <v>970</v>
      </c>
      <c r="B419" s="15">
        <v>146.81</v>
      </c>
      <c r="C419" s="15">
        <v>218.56</v>
      </c>
      <c r="D419" s="15">
        <v>297.66000000000003</v>
      </c>
      <c r="E419" s="15">
        <v>309.08999999999997</v>
      </c>
      <c r="F419" s="15">
        <v>289.76</v>
      </c>
      <c r="G419" s="15">
        <v>682.24</v>
      </c>
      <c r="H419" s="15">
        <v>79.22</v>
      </c>
      <c r="I419" s="15">
        <v>309.88</v>
      </c>
      <c r="J419" s="15">
        <v>339.22</v>
      </c>
      <c r="K419" s="15">
        <v>369.1</v>
      </c>
      <c r="L419" s="15">
        <v>338.91</v>
      </c>
      <c r="M419" s="15">
        <v>321.51</v>
      </c>
      <c r="N419" s="15">
        <v>312.07</v>
      </c>
      <c r="O419" t="s">
        <v>3028</v>
      </c>
    </row>
    <row r="420" spans="1:15" x14ac:dyDescent="0.25">
      <c r="A420" s="10" t="s">
        <v>972</v>
      </c>
      <c r="B420" s="15">
        <v>0</v>
      </c>
      <c r="C420" s="15">
        <v>0</v>
      </c>
      <c r="D420" s="15">
        <v>0</v>
      </c>
      <c r="E420" s="15">
        <v>94.76</v>
      </c>
      <c r="F420" s="15">
        <v>108.58</v>
      </c>
      <c r="G420" s="15">
        <v>106.2</v>
      </c>
      <c r="H420" s="15">
        <v>106.47</v>
      </c>
      <c r="I420" s="15">
        <v>166.6</v>
      </c>
      <c r="J420" s="15">
        <v>117.31</v>
      </c>
      <c r="K420" s="15">
        <v>118.28</v>
      </c>
      <c r="L420" s="15">
        <v>117.86</v>
      </c>
      <c r="M420" s="15">
        <v>117.46</v>
      </c>
      <c r="N420" s="15">
        <v>88.91</v>
      </c>
      <c r="O420" t="s">
        <v>3028</v>
      </c>
    </row>
    <row r="421" spans="1:15" x14ac:dyDescent="0.25">
      <c r="A421" s="10" t="s">
        <v>974</v>
      </c>
      <c r="B421" s="15">
        <v>205.05</v>
      </c>
      <c r="C421" s="15">
        <v>209.47</v>
      </c>
      <c r="D421" s="15">
        <v>218.45</v>
      </c>
      <c r="E421" s="15">
        <v>229.39</v>
      </c>
      <c r="F421" s="15">
        <v>393.44</v>
      </c>
      <c r="G421" s="15">
        <v>173.13</v>
      </c>
      <c r="H421" s="15">
        <v>209.54</v>
      </c>
      <c r="I421" s="15">
        <v>351.41</v>
      </c>
      <c r="J421" s="15">
        <v>223.89</v>
      </c>
      <c r="K421" s="15">
        <v>224.46</v>
      </c>
      <c r="L421" s="15">
        <v>365.88</v>
      </c>
      <c r="M421" s="15">
        <v>309.64</v>
      </c>
      <c r="N421" s="15">
        <v>291.52999999999997</v>
      </c>
      <c r="O421" t="s">
        <v>3028</v>
      </c>
    </row>
    <row r="422" spans="1:15" x14ac:dyDescent="0.25">
      <c r="A422" s="10" t="s">
        <v>976</v>
      </c>
      <c r="B422" s="15">
        <v>570.88</v>
      </c>
      <c r="C422" s="15">
        <v>570.88</v>
      </c>
      <c r="D422" s="15">
        <v>570.88</v>
      </c>
      <c r="E422" s="15">
        <v>1141.76</v>
      </c>
      <c r="F422" s="15">
        <v>0</v>
      </c>
      <c r="G422" s="15">
        <v>570.88</v>
      </c>
      <c r="H422" s="15">
        <v>570.88</v>
      </c>
      <c r="I422" s="15">
        <v>570.88</v>
      </c>
      <c r="J422" s="15">
        <v>570.88</v>
      </c>
      <c r="K422" s="15">
        <v>570.88</v>
      </c>
      <c r="L422" s="15">
        <v>570.88</v>
      </c>
      <c r="M422" s="15">
        <v>570.88</v>
      </c>
      <c r="N422" s="15">
        <v>570.88</v>
      </c>
      <c r="O422" t="s">
        <v>3028</v>
      </c>
    </row>
    <row r="423" spans="1:15" x14ac:dyDescent="0.25">
      <c r="A423" s="10" t="s">
        <v>978</v>
      </c>
      <c r="B423" s="15">
        <v>570.88</v>
      </c>
      <c r="C423" s="15">
        <v>567.16</v>
      </c>
      <c r="D423" s="15">
        <v>570.88</v>
      </c>
      <c r="E423" s="15">
        <v>563.59</v>
      </c>
      <c r="F423" s="15">
        <v>564.54</v>
      </c>
      <c r="G423" s="15">
        <v>555.96</v>
      </c>
      <c r="H423" s="15">
        <v>570.88</v>
      </c>
      <c r="I423" s="15">
        <v>570.88</v>
      </c>
      <c r="J423" s="15">
        <v>570.88</v>
      </c>
      <c r="K423" s="15">
        <v>570.88</v>
      </c>
      <c r="L423" s="15">
        <v>570.88</v>
      </c>
      <c r="M423" s="15">
        <v>570.88</v>
      </c>
      <c r="N423" s="15">
        <v>570.88</v>
      </c>
      <c r="O423" t="s">
        <v>3028</v>
      </c>
    </row>
    <row r="424" spans="1:15" x14ac:dyDescent="0.25">
      <c r="A424" s="10" t="s">
        <v>980</v>
      </c>
      <c r="B424" s="15">
        <v>196.36</v>
      </c>
      <c r="C424" s="15">
        <v>189.37</v>
      </c>
      <c r="D424" s="15">
        <v>189.93</v>
      </c>
      <c r="E424" s="15">
        <v>189.37</v>
      </c>
      <c r="F424" s="15">
        <v>190.36</v>
      </c>
      <c r="G424" s="15">
        <v>493.47</v>
      </c>
      <c r="H424" s="15">
        <v>15.54</v>
      </c>
      <c r="I424" s="15">
        <v>297.52</v>
      </c>
      <c r="J424" s="15">
        <v>207.97</v>
      </c>
      <c r="K424" s="15">
        <v>207.97</v>
      </c>
      <c r="L424" s="15">
        <v>207.97</v>
      </c>
      <c r="M424" s="15">
        <v>207.97</v>
      </c>
      <c r="N424" s="15">
        <v>208.74</v>
      </c>
      <c r="O424" t="s">
        <v>3028</v>
      </c>
    </row>
    <row r="425" spans="1:15" x14ac:dyDescent="0.25">
      <c r="A425" s="10" t="s">
        <v>982</v>
      </c>
      <c r="B425" s="15">
        <v>0</v>
      </c>
      <c r="C425" s="15">
        <v>0</v>
      </c>
      <c r="D425" s="15">
        <v>84.23</v>
      </c>
      <c r="E425" s="15">
        <v>105.77</v>
      </c>
      <c r="F425" s="15">
        <v>106.51</v>
      </c>
      <c r="G425" s="15">
        <v>18.2</v>
      </c>
      <c r="H425" s="15">
        <v>0</v>
      </c>
      <c r="I425" s="15">
        <v>0</v>
      </c>
      <c r="J425" s="15">
        <v>1.78</v>
      </c>
      <c r="K425" s="15">
        <v>0</v>
      </c>
      <c r="L425" s="15">
        <v>0</v>
      </c>
      <c r="M425" s="15">
        <v>0</v>
      </c>
      <c r="N425" s="15">
        <v>29.32</v>
      </c>
      <c r="O425" t="s">
        <v>3028</v>
      </c>
    </row>
    <row r="426" spans="1:15" x14ac:dyDescent="0.25">
      <c r="A426" s="10" t="s">
        <v>984</v>
      </c>
      <c r="B426" s="15">
        <v>164.25</v>
      </c>
      <c r="C426" s="15">
        <v>102.46</v>
      </c>
      <c r="D426" s="15">
        <v>209.83</v>
      </c>
      <c r="E426" s="15">
        <v>0</v>
      </c>
      <c r="F426" s="15">
        <v>0</v>
      </c>
      <c r="G426" s="15">
        <v>0</v>
      </c>
      <c r="H426" s="15">
        <v>0</v>
      </c>
      <c r="I426" s="15">
        <v>0</v>
      </c>
      <c r="J426" s="15">
        <v>0</v>
      </c>
      <c r="K426" s="15">
        <v>0</v>
      </c>
      <c r="L426" s="15">
        <v>0</v>
      </c>
      <c r="M426" s="15">
        <v>0</v>
      </c>
      <c r="N426" s="15">
        <v>36.26</v>
      </c>
      <c r="O426" t="s">
        <v>3028</v>
      </c>
    </row>
    <row r="427" spans="1:15" x14ac:dyDescent="0.25">
      <c r="A427" s="10" t="s">
        <v>986</v>
      </c>
      <c r="B427" s="15">
        <v>208.36</v>
      </c>
      <c r="C427" s="15">
        <v>228.56</v>
      </c>
      <c r="D427" s="15">
        <v>209.73</v>
      </c>
      <c r="E427" s="15">
        <v>210.08</v>
      </c>
      <c r="F427" s="15">
        <v>394.07</v>
      </c>
      <c r="G427" s="15">
        <v>150.36000000000001</v>
      </c>
      <c r="H427" s="15">
        <v>188.8</v>
      </c>
      <c r="I427" s="15">
        <v>297.44</v>
      </c>
      <c r="J427" s="15">
        <v>204.04</v>
      </c>
      <c r="K427" s="15">
        <v>207.54</v>
      </c>
      <c r="L427" s="15">
        <v>229.24</v>
      </c>
      <c r="M427" s="15">
        <v>205.64</v>
      </c>
      <c r="N427" s="15">
        <v>217.93</v>
      </c>
      <c r="O427" t="s">
        <v>3028</v>
      </c>
    </row>
    <row r="428" spans="1:15" x14ac:dyDescent="0.25">
      <c r="A428" s="10" t="s">
        <v>988</v>
      </c>
      <c r="B428" s="15">
        <v>0</v>
      </c>
      <c r="C428" s="15">
        <v>94.76</v>
      </c>
      <c r="D428" s="15">
        <v>107.61</v>
      </c>
      <c r="E428" s="15">
        <v>111.73</v>
      </c>
      <c r="F428" s="15">
        <v>108.44</v>
      </c>
      <c r="G428" s="15">
        <v>140.26</v>
      </c>
      <c r="H428" s="15">
        <v>108.79</v>
      </c>
      <c r="I428" s="15">
        <v>160.12</v>
      </c>
      <c r="J428" s="15">
        <v>148</v>
      </c>
      <c r="K428" s="15">
        <v>149.69</v>
      </c>
      <c r="L428" s="15">
        <v>118.82</v>
      </c>
      <c r="M428" s="15">
        <v>118.65</v>
      </c>
      <c r="N428" s="15">
        <v>112.95</v>
      </c>
      <c r="O428" t="s">
        <v>3028</v>
      </c>
    </row>
    <row r="429" spans="1:15" x14ac:dyDescent="0.25">
      <c r="A429" s="10" t="s">
        <v>990</v>
      </c>
      <c r="B429" s="15">
        <v>0</v>
      </c>
      <c r="C429" s="15">
        <v>0</v>
      </c>
      <c r="D429" s="15">
        <v>0</v>
      </c>
      <c r="E429" s="15">
        <v>0</v>
      </c>
      <c r="F429" s="15">
        <v>0</v>
      </c>
      <c r="G429" s="15">
        <v>0</v>
      </c>
      <c r="H429" s="15">
        <v>0</v>
      </c>
      <c r="I429" s="15">
        <v>0</v>
      </c>
      <c r="J429" s="15">
        <v>360.32</v>
      </c>
      <c r="K429" s="15">
        <v>464.7</v>
      </c>
      <c r="L429" s="15">
        <v>472.94</v>
      </c>
      <c r="M429" s="15">
        <v>459.9</v>
      </c>
      <c r="N429" s="15">
        <v>112.41</v>
      </c>
      <c r="O429" t="s">
        <v>3028</v>
      </c>
    </row>
    <row r="430" spans="1:15" x14ac:dyDescent="0.25">
      <c r="A430" s="10" t="s">
        <v>992</v>
      </c>
      <c r="B430" s="15">
        <v>333.4</v>
      </c>
      <c r="C430" s="15">
        <v>303.3</v>
      </c>
      <c r="D430" s="15">
        <v>542.37</v>
      </c>
      <c r="E430" s="15">
        <v>0</v>
      </c>
      <c r="F430" s="15">
        <v>0</v>
      </c>
      <c r="G430" s="15">
        <v>0</v>
      </c>
      <c r="H430" s="15">
        <v>0</v>
      </c>
      <c r="I430" s="15">
        <v>0</v>
      </c>
      <c r="J430" s="15">
        <v>0</v>
      </c>
      <c r="K430" s="15">
        <v>0</v>
      </c>
      <c r="L430" s="15">
        <v>0</v>
      </c>
      <c r="M430" s="15">
        <v>0</v>
      </c>
      <c r="N430" s="15">
        <v>77.47</v>
      </c>
      <c r="O430" t="s">
        <v>3028</v>
      </c>
    </row>
    <row r="431" spans="1:15" x14ac:dyDescent="0.25">
      <c r="A431" s="10" t="s">
        <v>994</v>
      </c>
      <c r="B431" s="15">
        <v>107.59</v>
      </c>
      <c r="C431" s="15">
        <v>109.08</v>
      </c>
      <c r="D431" s="15">
        <v>110.57</v>
      </c>
      <c r="E431" s="15">
        <v>108.51</v>
      </c>
      <c r="F431" s="15">
        <v>199.54</v>
      </c>
      <c r="G431" s="15">
        <v>106.69</v>
      </c>
      <c r="H431" s="15">
        <v>164.28</v>
      </c>
      <c r="I431" s="15">
        <v>293.39</v>
      </c>
      <c r="J431" s="15">
        <v>210.96</v>
      </c>
      <c r="K431" s="15">
        <v>229.52</v>
      </c>
      <c r="L431" s="15">
        <v>193.02</v>
      </c>
      <c r="M431" s="15">
        <v>184.77</v>
      </c>
      <c r="N431" s="15">
        <v>194.03</v>
      </c>
      <c r="O431" t="s">
        <v>3028</v>
      </c>
    </row>
    <row r="432" spans="1:15" x14ac:dyDescent="0.25">
      <c r="A432" s="10" t="s">
        <v>996</v>
      </c>
      <c r="B432" s="15">
        <v>108.33</v>
      </c>
      <c r="C432" s="15">
        <v>328.06</v>
      </c>
      <c r="D432" s="15">
        <v>355.52</v>
      </c>
      <c r="E432" s="15">
        <v>647.38</v>
      </c>
      <c r="F432" s="15">
        <v>119.75</v>
      </c>
      <c r="G432" s="15">
        <v>313.32</v>
      </c>
      <c r="H432" s="15">
        <v>317.70999999999998</v>
      </c>
      <c r="I432" s="15">
        <v>412.04</v>
      </c>
      <c r="J432" s="15">
        <v>359.29</v>
      </c>
      <c r="K432" s="15">
        <v>351.42</v>
      </c>
      <c r="L432" s="15">
        <v>348.24</v>
      </c>
      <c r="M432" s="15">
        <v>348.13</v>
      </c>
      <c r="N432" s="15">
        <v>350.37</v>
      </c>
      <c r="O432" t="s">
        <v>3028</v>
      </c>
    </row>
    <row r="433" spans="1:15" x14ac:dyDescent="0.25">
      <c r="A433" s="10" t="s">
        <v>998</v>
      </c>
      <c r="B433" s="15">
        <v>428.06</v>
      </c>
      <c r="C433" s="15">
        <v>395.45</v>
      </c>
      <c r="D433" s="15">
        <v>395.45</v>
      </c>
      <c r="E433" s="15">
        <v>395.45</v>
      </c>
      <c r="F433" s="15">
        <v>395.45</v>
      </c>
      <c r="G433" s="15">
        <v>756.06</v>
      </c>
      <c r="H433" s="15">
        <v>131.82</v>
      </c>
      <c r="I433" s="15">
        <v>521.34</v>
      </c>
      <c r="J433" s="15">
        <v>434.28</v>
      </c>
      <c r="K433" s="15">
        <v>434.28</v>
      </c>
      <c r="L433" s="15">
        <v>434.28</v>
      </c>
      <c r="M433" s="15">
        <v>434.28</v>
      </c>
      <c r="N433" s="15">
        <v>437.21</v>
      </c>
      <c r="O433" t="s">
        <v>3028</v>
      </c>
    </row>
    <row r="434" spans="1:15" x14ac:dyDescent="0.25">
      <c r="A434" s="10" t="s">
        <v>1000</v>
      </c>
      <c r="B434" s="15">
        <v>0</v>
      </c>
      <c r="C434" s="15">
        <v>0</v>
      </c>
      <c r="D434" s="15">
        <v>0</v>
      </c>
      <c r="E434" s="15">
        <v>0</v>
      </c>
      <c r="F434" s="15">
        <v>0</v>
      </c>
      <c r="G434" s="15">
        <v>0</v>
      </c>
      <c r="H434" s="15">
        <v>0</v>
      </c>
      <c r="I434" s="15">
        <v>88.64</v>
      </c>
      <c r="J434" s="15">
        <v>117.26</v>
      </c>
      <c r="K434" s="15">
        <v>119.61</v>
      </c>
      <c r="L434" s="15">
        <v>118.45</v>
      </c>
      <c r="M434" s="15">
        <v>119.4</v>
      </c>
      <c r="N434" s="15">
        <v>49.19</v>
      </c>
      <c r="O434" t="s">
        <v>3028</v>
      </c>
    </row>
    <row r="435" spans="1:15" x14ac:dyDescent="0.25">
      <c r="A435" s="10" t="s">
        <v>1002</v>
      </c>
      <c r="B435" s="15">
        <v>194.2</v>
      </c>
      <c r="C435" s="15">
        <v>190.45</v>
      </c>
      <c r="D435" s="15">
        <v>184.21</v>
      </c>
      <c r="E435" s="15">
        <v>186.06</v>
      </c>
      <c r="F435" s="15">
        <v>343.51</v>
      </c>
      <c r="G435" s="15">
        <v>137.02000000000001</v>
      </c>
      <c r="H435" s="15">
        <v>189.74</v>
      </c>
      <c r="I435" s="15">
        <v>313.17</v>
      </c>
      <c r="J435" s="15">
        <v>196.89</v>
      </c>
      <c r="K435" s="15">
        <v>209.02</v>
      </c>
      <c r="L435" s="15">
        <v>205.58</v>
      </c>
      <c r="M435" s="15">
        <v>208.13</v>
      </c>
      <c r="N435" s="15">
        <v>201.13</v>
      </c>
      <c r="O435" t="s">
        <v>3028</v>
      </c>
    </row>
    <row r="436" spans="1:15" x14ac:dyDescent="0.25">
      <c r="A436" s="10" t="s">
        <v>1004</v>
      </c>
      <c r="B436" s="15">
        <v>318.43</v>
      </c>
      <c r="C436" s="15">
        <v>300.93</v>
      </c>
      <c r="D436" s="15">
        <v>292.64999999999998</v>
      </c>
      <c r="E436" s="15">
        <v>499.08</v>
      </c>
      <c r="F436" s="15">
        <v>189.6</v>
      </c>
      <c r="G436" s="15">
        <v>302.08999999999997</v>
      </c>
      <c r="H436" s="15">
        <v>301.93</v>
      </c>
      <c r="I436" s="15">
        <v>376.08</v>
      </c>
      <c r="J436" s="15">
        <v>319.63</v>
      </c>
      <c r="K436" s="15">
        <v>318.54000000000002</v>
      </c>
      <c r="L436" s="15">
        <v>323.10000000000002</v>
      </c>
      <c r="M436" s="15">
        <v>312.02999999999997</v>
      </c>
      <c r="N436" s="15">
        <v>321.89999999999998</v>
      </c>
      <c r="O436" t="s">
        <v>3028</v>
      </c>
    </row>
    <row r="437" spans="1:15" x14ac:dyDescent="0.25">
      <c r="A437" s="10" t="s">
        <v>1006</v>
      </c>
      <c r="B437" s="15">
        <v>162.6</v>
      </c>
      <c r="C437" s="15">
        <v>173.69</v>
      </c>
      <c r="D437" s="15">
        <v>164.34</v>
      </c>
      <c r="E437" s="15">
        <v>163.71</v>
      </c>
      <c r="F437" s="15">
        <v>175.17</v>
      </c>
      <c r="G437" s="15">
        <v>164.73</v>
      </c>
      <c r="H437" s="15">
        <v>166.33</v>
      </c>
      <c r="I437" s="15">
        <v>361.25</v>
      </c>
      <c r="J437" s="15">
        <v>352.93</v>
      </c>
      <c r="K437" s="15">
        <v>166.19</v>
      </c>
      <c r="L437" s="15">
        <v>193.87</v>
      </c>
      <c r="M437" s="15">
        <v>179.55</v>
      </c>
      <c r="N437" s="15">
        <v>192.24</v>
      </c>
      <c r="O437" t="s">
        <v>3028</v>
      </c>
    </row>
    <row r="438" spans="1:15" x14ac:dyDescent="0.25">
      <c r="A438" s="10" t="s">
        <v>1008</v>
      </c>
      <c r="B438" s="15">
        <v>225.63</v>
      </c>
      <c r="C438" s="15">
        <v>195.42</v>
      </c>
      <c r="D438" s="15">
        <v>434.96</v>
      </c>
      <c r="E438" s="15">
        <v>98.72</v>
      </c>
      <c r="F438" s="15">
        <v>166.53</v>
      </c>
      <c r="G438" s="15">
        <v>183.27</v>
      </c>
      <c r="H438" s="15">
        <v>214.96</v>
      </c>
      <c r="I438" s="15">
        <v>356.35</v>
      </c>
      <c r="J438" s="15">
        <v>221.12</v>
      </c>
      <c r="K438" s="15">
        <v>290.04000000000002</v>
      </c>
      <c r="L438" s="15">
        <v>226.93</v>
      </c>
      <c r="M438" s="15">
        <v>198.75</v>
      </c>
      <c r="N438" s="15">
        <v>220.54</v>
      </c>
      <c r="O438" t="s">
        <v>3028</v>
      </c>
    </row>
    <row r="439" spans="1:15" x14ac:dyDescent="0.25">
      <c r="A439" s="10" t="s">
        <v>1010</v>
      </c>
      <c r="B439" s="15">
        <v>401.38</v>
      </c>
      <c r="C439" s="15">
        <v>313.67</v>
      </c>
      <c r="D439" s="15">
        <v>313.02</v>
      </c>
      <c r="E439" s="15">
        <v>313.02</v>
      </c>
      <c r="F439" s="15">
        <v>313.02</v>
      </c>
      <c r="G439" s="15">
        <v>551.79</v>
      </c>
      <c r="H439" s="15">
        <v>156.22999999999999</v>
      </c>
      <c r="I439" s="15">
        <v>413.17</v>
      </c>
      <c r="J439" s="15">
        <v>343.76</v>
      </c>
      <c r="K439" s="15">
        <v>347.69</v>
      </c>
      <c r="L439" s="15">
        <v>343.76</v>
      </c>
      <c r="M439" s="15">
        <v>344.73</v>
      </c>
      <c r="N439" s="15">
        <v>352.67</v>
      </c>
      <c r="O439" t="s">
        <v>3028</v>
      </c>
    </row>
    <row r="440" spans="1:15" x14ac:dyDescent="0.25">
      <c r="A440" s="10" t="s">
        <v>1012</v>
      </c>
      <c r="B440" s="15">
        <v>107.19</v>
      </c>
      <c r="C440" s="15">
        <v>108.6</v>
      </c>
      <c r="D440" s="15">
        <v>120.8</v>
      </c>
      <c r="E440" s="15">
        <v>104.72</v>
      </c>
      <c r="F440" s="15">
        <v>115</v>
      </c>
      <c r="G440" s="15">
        <v>109.78</v>
      </c>
      <c r="H440" s="15">
        <v>109.39</v>
      </c>
      <c r="I440" s="15">
        <v>157.28</v>
      </c>
      <c r="J440" s="15">
        <v>144.13999999999999</v>
      </c>
      <c r="K440" s="15">
        <v>119.2</v>
      </c>
      <c r="L440" s="15">
        <v>199.42</v>
      </c>
      <c r="M440" s="15">
        <v>0</v>
      </c>
      <c r="N440" s="15">
        <v>112.44</v>
      </c>
      <c r="O440" t="s">
        <v>3028</v>
      </c>
    </row>
    <row r="441" spans="1:15" x14ac:dyDescent="0.25">
      <c r="A441" s="10" t="s">
        <v>1014</v>
      </c>
      <c r="B441" s="15">
        <v>570.20000000000005</v>
      </c>
      <c r="C441" s="15">
        <v>543.02</v>
      </c>
      <c r="D441" s="15">
        <v>544.14</v>
      </c>
      <c r="E441" s="15">
        <v>541.57000000000005</v>
      </c>
      <c r="F441" s="15">
        <v>531.75</v>
      </c>
      <c r="G441" s="15">
        <v>1109.82</v>
      </c>
      <c r="H441" s="15">
        <v>0</v>
      </c>
      <c r="I441" s="15">
        <v>570.88</v>
      </c>
      <c r="J441" s="15">
        <v>570.88</v>
      </c>
      <c r="K441" s="15">
        <v>570.88</v>
      </c>
      <c r="L441" s="15">
        <v>493.22</v>
      </c>
      <c r="M441" s="15">
        <v>504.9</v>
      </c>
      <c r="N441" s="15">
        <v>567.12</v>
      </c>
      <c r="O441" t="s">
        <v>3028</v>
      </c>
    </row>
    <row r="442" spans="1:15" x14ac:dyDescent="0.25">
      <c r="A442" s="10" t="s">
        <v>1016</v>
      </c>
      <c r="B442" s="15">
        <v>0</v>
      </c>
      <c r="C442" s="15">
        <v>0</v>
      </c>
      <c r="D442" s="15">
        <v>0</v>
      </c>
      <c r="E442" s="15">
        <v>0</v>
      </c>
      <c r="F442" s="15">
        <v>0</v>
      </c>
      <c r="G442" s="15">
        <v>0</v>
      </c>
      <c r="H442" s="15">
        <v>0</v>
      </c>
      <c r="I442" s="15">
        <v>115.62</v>
      </c>
      <c r="J442" s="15">
        <v>156.79</v>
      </c>
      <c r="K442" s="15">
        <v>111.62</v>
      </c>
      <c r="L442" s="15">
        <v>119.03</v>
      </c>
      <c r="M442" s="15">
        <v>150.81</v>
      </c>
      <c r="N442" s="15">
        <v>51.64</v>
      </c>
      <c r="O442" t="s">
        <v>3028</v>
      </c>
    </row>
    <row r="443" spans="1:15" x14ac:dyDescent="0.25">
      <c r="A443" s="10" t="s">
        <v>1018</v>
      </c>
      <c r="B443" s="15">
        <v>305.27</v>
      </c>
      <c r="C443" s="15">
        <v>208.52</v>
      </c>
      <c r="D443" s="15">
        <v>226.63</v>
      </c>
      <c r="E443" s="15">
        <v>727.93</v>
      </c>
      <c r="F443" s="15">
        <v>23.65</v>
      </c>
      <c r="G443" s="15">
        <v>210.08</v>
      </c>
      <c r="H443" s="15">
        <v>213.55</v>
      </c>
      <c r="I443" s="15">
        <v>346.08</v>
      </c>
      <c r="J443" s="15">
        <v>395.66</v>
      </c>
      <c r="K443" s="15">
        <v>362.66</v>
      </c>
      <c r="L443" s="15">
        <v>355.96</v>
      </c>
      <c r="M443" s="15">
        <v>343.25</v>
      </c>
      <c r="N443" s="15">
        <v>361.92</v>
      </c>
      <c r="O443" t="s">
        <v>3028</v>
      </c>
    </row>
    <row r="444" spans="1:15" x14ac:dyDescent="0.25">
      <c r="A444" s="10" t="s">
        <v>1020</v>
      </c>
      <c r="B444" s="15">
        <v>450.39</v>
      </c>
      <c r="C444" s="15">
        <v>427.08</v>
      </c>
      <c r="D444" s="15">
        <v>427.44</v>
      </c>
      <c r="E444" s="15">
        <v>427.08</v>
      </c>
      <c r="F444" s="15">
        <v>427.08</v>
      </c>
      <c r="G444" s="15">
        <v>641.1</v>
      </c>
      <c r="H444" s="15">
        <v>382.52</v>
      </c>
      <c r="I444" s="15">
        <v>570.88</v>
      </c>
      <c r="J444" s="15">
        <v>469.02</v>
      </c>
      <c r="K444" s="15">
        <v>470.86</v>
      </c>
      <c r="L444" s="15">
        <v>469.02</v>
      </c>
      <c r="M444" s="15">
        <v>469.02</v>
      </c>
      <c r="N444" s="15">
        <v>476.75</v>
      </c>
      <c r="O444" t="s">
        <v>3028</v>
      </c>
    </row>
    <row r="445" spans="1:15" x14ac:dyDescent="0.25">
      <c r="A445" s="10" t="s">
        <v>1022</v>
      </c>
      <c r="B445" s="15">
        <v>0</v>
      </c>
      <c r="C445" s="15">
        <v>570.88</v>
      </c>
      <c r="D445" s="15">
        <v>570.88</v>
      </c>
      <c r="E445" s="15">
        <v>570.88</v>
      </c>
      <c r="F445" s="15">
        <v>570.88</v>
      </c>
      <c r="G445" s="15">
        <v>570.88</v>
      </c>
      <c r="H445" s="15">
        <v>570.88</v>
      </c>
      <c r="I445" s="15">
        <v>570.88</v>
      </c>
      <c r="J445" s="15">
        <v>570.88</v>
      </c>
      <c r="K445" s="15">
        <v>570.88</v>
      </c>
      <c r="L445" s="15">
        <v>570.88</v>
      </c>
      <c r="M445" s="15">
        <v>570.88</v>
      </c>
      <c r="N445" s="15">
        <v>570.88</v>
      </c>
      <c r="O445" t="s">
        <v>3028</v>
      </c>
    </row>
    <row r="446" spans="1:15" x14ac:dyDescent="0.25">
      <c r="A446" s="10" t="s">
        <v>1024</v>
      </c>
      <c r="B446" s="15">
        <v>62.29</v>
      </c>
      <c r="C446" s="15">
        <v>460.89</v>
      </c>
      <c r="D446" s="15">
        <v>455.19</v>
      </c>
      <c r="E446" s="15">
        <v>455.19</v>
      </c>
      <c r="F446" s="15">
        <v>673.87</v>
      </c>
      <c r="G446" s="15">
        <v>387.61</v>
      </c>
      <c r="H446" s="15">
        <v>455.19</v>
      </c>
      <c r="I446" s="15">
        <v>570.88</v>
      </c>
      <c r="J446" s="15">
        <v>499.89</v>
      </c>
      <c r="K446" s="15">
        <v>499.89</v>
      </c>
      <c r="L446" s="15">
        <v>499.89</v>
      </c>
      <c r="M446" s="15">
        <v>499.89</v>
      </c>
      <c r="N446" s="15">
        <v>499.89</v>
      </c>
      <c r="O446" t="s">
        <v>3028</v>
      </c>
    </row>
    <row r="447" spans="1:15" x14ac:dyDescent="0.25">
      <c r="A447" s="10" t="s">
        <v>1026</v>
      </c>
      <c r="B447" s="15">
        <v>200.2</v>
      </c>
      <c r="C447" s="15">
        <v>233.41</v>
      </c>
      <c r="D447" s="15">
        <v>176.44</v>
      </c>
      <c r="E447" s="15">
        <v>223.57</v>
      </c>
      <c r="F447" s="15">
        <v>188.64</v>
      </c>
      <c r="G447" s="15">
        <v>207.47</v>
      </c>
      <c r="H447" s="15">
        <v>206.54</v>
      </c>
      <c r="I447" s="15">
        <v>221.09</v>
      </c>
      <c r="J447" s="15">
        <v>536.77</v>
      </c>
      <c r="K447" s="15">
        <v>148.29</v>
      </c>
      <c r="L447" s="15">
        <v>201.83</v>
      </c>
      <c r="M447" s="15">
        <v>228.29</v>
      </c>
      <c r="N447" s="15">
        <v>227.62</v>
      </c>
      <c r="O447" t="s">
        <v>3028</v>
      </c>
    </row>
    <row r="448" spans="1:15" x14ac:dyDescent="0.25">
      <c r="A448" s="10" t="s">
        <v>1028</v>
      </c>
      <c r="B448" s="15">
        <v>162.28</v>
      </c>
      <c r="C448" s="15">
        <v>167.41</v>
      </c>
      <c r="D448" s="15">
        <v>166.89</v>
      </c>
      <c r="E448" s="15">
        <v>389.5</v>
      </c>
      <c r="F448" s="15">
        <v>4.93</v>
      </c>
      <c r="G448" s="15">
        <v>161.32</v>
      </c>
      <c r="H448" s="15">
        <v>164.18</v>
      </c>
      <c r="I448" s="15">
        <v>211.99</v>
      </c>
      <c r="J448" s="15">
        <v>180.02</v>
      </c>
      <c r="K448" s="15">
        <v>178.53</v>
      </c>
      <c r="L448" s="15">
        <v>178.83</v>
      </c>
      <c r="M448" s="15">
        <v>183.62</v>
      </c>
      <c r="N448" s="15">
        <v>180.56</v>
      </c>
      <c r="O448" t="s">
        <v>3028</v>
      </c>
    </row>
    <row r="449" spans="1:15" x14ac:dyDescent="0.25">
      <c r="A449" s="10" t="s">
        <v>1030</v>
      </c>
      <c r="B449" s="15">
        <v>230.35</v>
      </c>
      <c r="C449" s="15">
        <v>203.52</v>
      </c>
      <c r="D449" s="15">
        <v>183.26</v>
      </c>
      <c r="E449" s="15">
        <v>167.11</v>
      </c>
      <c r="F449" s="15">
        <v>170.57</v>
      </c>
      <c r="G449" s="15">
        <v>387.92</v>
      </c>
      <c r="H449" s="15">
        <v>210.1</v>
      </c>
      <c r="I449" s="15">
        <v>378.98</v>
      </c>
      <c r="J449" s="15">
        <v>546.16</v>
      </c>
      <c r="K449" s="15">
        <v>157.46</v>
      </c>
      <c r="L449" s="15">
        <v>306.24</v>
      </c>
      <c r="M449" s="15">
        <v>320.95999999999998</v>
      </c>
      <c r="N449" s="15">
        <v>314.38</v>
      </c>
      <c r="O449" t="s">
        <v>3028</v>
      </c>
    </row>
    <row r="450" spans="1:15" x14ac:dyDescent="0.25">
      <c r="A450" s="10" t="s">
        <v>1032</v>
      </c>
      <c r="B450" s="15">
        <v>570.88</v>
      </c>
      <c r="C450" s="15">
        <v>570.88</v>
      </c>
      <c r="D450" s="15">
        <v>570.88</v>
      </c>
      <c r="E450" s="15">
        <v>570.88</v>
      </c>
      <c r="F450" s="15">
        <v>528.04999999999995</v>
      </c>
      <c r="G450" s="15">
        <v>520.34</v>
      </c>
      <c r="H450" s="15">
        <v>521.19000000000005</v>
      </c>
      <c r="I450" s="15">
        <v>570.88</v>
      </c>
      <c r="J450" s="15">
        <v>570.88</v>
      </c>
      <c r="K450" s="15">
        <v>570.88</v>
      </c>
      <c r="L450" s="15">
        <v>570.88</v>
      </c>
      <c r="M450" s="15">
        <v>570.88</v>
      </c>
      <c r="N450" s="15">
        <v>570.88</v>
      </c>
      <c r="O450" t="s">
        <v>3028</v>
      </c>
    </row>
    <row r="451" spans="1:15" x14ac:dyDescent="0.25">
      <c r="A451" s="10" t="s">
        <v>1034</v>
      </c>
      <c r="B451" s="15">
        <v>297.69</v>
      </c>
      <c r="C451" s="15">
        <v>287.83999999999997</v>
      </c>
      <c r="D451" s="15">
        <v>303.67</v>
      </c>
      <c r="E451" s="15">
        <v>305.74</v>
      </c>
      <c r="F451" s="15">
        <v>289.52</v>
      </c>
      <c r="G451" s="15">
        <v>288.97000000000003</v>
      </c>
      <c r="H451" s="15">
        <v>296.35000000000002</v>
      </c>
      <c r="I451" s="15">
        <v>378.36</v>
      </c>
      <c r="J451" s="15">
        <v>608.72</v>
      </c>
      <c r="K451" s="15">
        <v>283.88</v>
      </c>
      <c r="L451" s="15">
        <v>230.74</v>
      </c>
      <c r="M451" s="15">
        <v>220.14</v>
      </c>
      <c r="N451" s="15">
        <v>372.09</v>
      </c>
      <c r="O451" t="s">
        <v>3028</v>
      </c>
    </row>
    <row r="452" spans="1:15" x14ac:dyDescent="0.25">
      <c r="A452" s="10" t="s">
        <v>1038</v>
      </c>
      <c r="B452" s="15">
        <v>189.58</v>
      </c>
      <c r="C452" s="15">
        <v>341.31</v>
      </c>
      <c r="D452" s="15">
        <v>520.57000000000005</v>
      </c>
      <c r="E452" s="15">
        <v>468.49</v>
      </c>
      <c r="F452" s="15">
        <v>365.34</v>
      </c>
      <c r="G452" s="15">
        <v>425.38</v>
      </c>
      <c r="H452" s="15">
        <v>596.23</v>
      </c>
      <c r="I452" s="15">
        <v>427.54</v>
      </c>
      <c r="J452" s="15">
        <v>436.41</v>
      </c>
      <c r="K452" s="15">
        <v>446.71</v>
      </c>
      <c r="L452" s="15">
        <v>456.51</v>
      </c>
      <c r="M452" s="15">
        <v>425.2</v>
      </c>
      <c r="N452" s="15">
        <v>452.4</v>
      </c>
      <c r="O452" t="s">
        <v>3028</v>
      </c>
    </row>
    <row r="453" spans="1:15" x14ac:dyDescent="0.25">
      <c r="A453" s="10" t="s">
        <v>1040</v>
      </c>
      <c r="B453" s="15">
        <v>189.53</v>
      </c>
      <c r="C453" s="15">
        <v>198.14</v>
      </c>
      <c r="D453" s="15">
        <v>205.65</v>
      </c>
      <c r="E453" s="15">
        <v>198.69</v>
      </c>
      <c r="F453" s="15">
        <v>179.12</v>
      </c>
      <c r="G453" s="15">
        <v>202.42</v>
      </c>
      <c r="H453" s="15">
        <v>397.39</v>
      </c>
      <c r="I453" s="15">
        <v>282.26</v>
      </c>
      <c r="J453" s="15">
        <v>210.84</v>
      </c>
      <c r="K453" s="15">
        <v>226.17</v>
      </c>
      <c r="L453" s="15">
        <v>209.63</v>
      </c>
      <c r="M453" s="15">
        <v>218.74</v>
      </c>
      <c r="N453" s="15">
        <v>215.62</v>
      </c>
      <c r="O453" t="s">
        <v>3028</v>
      </c>
    </row>
    <row r="454" spans="1:15" x14ac:dyDescent="0.25">
      <c r="A454" s="10" t="s">
        <v>1042</v>
      </c>
      <c r="B454" s="15">
        <v>348.27</v>
      </c>
      <c r="C454" s="15">
        <v>365.42</v>
      </c>
      <c r="D454" s="15">
        <v>349.27</v>
      </c>
      <c r="E454" s="15">
        <v>328.01</v>
      </c>
      <c r="F454" s="15">
        <v>612.03</v>
      </c>
      <c r="G454" s="15">
        <v>4.51</v>
      </c>
      <c r="H454" s="15">
        <v>231.13</v>
      </c>
      <c r="I454" s="15">
        <v>357.38</v>
      </c>
      <c r="J454" s="15">
        <v>292</v>
      </c>
      <c r="K454" s="15">
        <v>291.75</v>
      </c>
      <c r="L454" s="15">
        <v>318.89999999999998</v>
      </c>
      <c r="M454" s="15">
        <v>299.77</v>
      </c>
      <c r="N454" s="15">
        <v>326.07</v>
      </c>
      <c r="O454" t="s">
        <v>3028</v>
      </c>
    </row>
    <row r="455" spans="1:15" x14ac:dyDescent="0.25">
      <c r="A455" s="10" t="s">
        <v>1047</v>
      </c>
      <c r="B455" s="15">
        <v>105.5</v>
      </c>
      <c r="C455" s="15">
        <v>104.78</v>
      </c>
      <c r="D455" s="15">
        <v>104.84</v>
      </c>
      <c r="E455" s="15">
        <v>104.6</v>
      </c>
      <c r="F455" s="15">
        <v>104.8</v>
      </c>
      <c r="G455" s="15">
        <v>104.81</v>
      </c>
      <c r="H455" s="15">
        <v>104.83</v>
      </c>
      <c r="I455" s="15">
        <v>104.51</v>
      </c>
      <c r="J455" s="15">
        <v>261.94</v>
      </c>
      <c r="K455" s="15">
        <v>31.5</v>
      </c>
      <c r="L455" s="15">
        <v>110.35</v>
      </c>
      <c r="M455" s="15">
        <v>114.51</v>
      </c>
      <c r="N455" s="15">
        <v>114.86</v>
      </c>
      <c r="O455" t="s">
        <v>3028</v>
      </c>
    </row>
    <row r="456" spans="1:15" x14ac:dyDescent="0.25">
      <c r="A456" s="10" t="s">
        <v>1049</v>
      </c>
      <c r="B456" s="15">
        <v>535.27</v>
      </c>
      <c r="C456" s="15">
        <v>1077.8599999999999</v>
      </c>
      <c r="D456" s="15">
        <v>17.23</v>
      </c>
      <c r="E456" s="15">
        <v>509.72</v>
      </c>
      <c r="F456" s="15">
        <v>514.14</v>
      </c>
      <c r="G456" s="15">
        <v>510.09</v>
      </c>
      <c r="H456" s="15">
        <v>508.25</v>
      </c>
      <c r="I456" s="15">
        <v>570.88</v>
      </c>
      <c r="J456" s="15">
        <v>570.88</v>
      </c>
      <c r="K456" s="15">
        <v>560.25</v>
      </c>
      <c r="L456" s="15">
        <v>564.79999999999995</v>
      </c>
      <c r="M456" s="15">
        <v>562.57000000000005</v>
      </c>
      <c r="N456" s="15">
        <v>569.66</v>
      </c>
      <c r="O456" t="s">
        <v>3028</v>
      </c>
    </row>
    <row r="457" spans="1:15" x14ac:dyDescent="0.25">
      <c r="A457" s="10" t="s">
        <v>1051</v>
      </c>
      <c r="B457" s="15">
        <v>0</v>
      </c>
      <c r="C457" s="15">
        <v>0</v>
      </c>
      <c r="D457" s="15">
        <v>0</v>
      </c>
      <c r="E457" s="15">
        <v>0</v>
      </c>
      <c r="F457" s="15">
        <v>0</v>
      </c>
      <c r="G457" s="15">
        <v>0</v>
      </c>
      <c r="H457" s="15">
        <v>188.67</v>
      </c>
      <c r="I457" s="15">
        <v>305.43</v>
      </c>
      <c r="J457" s="15">
        <v>232.75</v>
      </c>
      <c r="K457" s="15">
        <v>232.69</v>
      </c>
      <c r="L457" s="15">
        <v>286.16000000000003</v>
      </c>
      <c r="M457" s="15">
        <v>345.34</v>
      </c>
      <c r="N457" s="15">
        <v>107.04</v>
      </c>
      <c r="O457" t="s">
        <v>3028</v>
      </c>
    </row>
    <row r="458" spans="1:15" x14ac:dyDescent="0.25">
      <c r="A458" s="10" t="s">
        <v>1053</v>
      </c>
      <c r="B458" s="15">
        <v>206.31</v>
      </c>
      <c r="C458" s="15">
        <v>201.24</v>
      </c>
      <c r="D458" s="15">
        <v>198.54</v>
      </c>
      <c r="E458" s="15">
        <v>0</v>
      </c>
      <c r="F458" s="15">
        <v>0</v>
      </c>
      <c r="G458" s="15">
        <v>0</v>
      </c>
      <c r="H458" s="15">
        <v>185.06</v>
      </c>
      <c r="I458" s="15">
        <v>288.73</v>
      </c>
      <c r="J458" s="15">
        <v>232.45</v>
      </c>
      <c r="K458" s="15">
        <v>223.8</v>
      </c>
      <c r="L458" s="15">
        <v>287.26</v>
      </c>
      <c r="M458" s="15">
        <v>395.1</v>
      </c>
      <c r="N458" s="15">
        <v>162.30000000000001</v>
      </c>
      <c r="O458" t="s">
        <v>3028</v>
      </c>
    </row>
    <row r="459" spans="1:15" x14ac:dyDescent="0.25">
      <c r="A459" s="10" t="s">
        <v>1057</v>
      </c>
      <c r="B459" s="15">
        <v>232.96</v>
      </c>
      <c r="C459" s="15">
        <v>313.08999999999997</v>
      </c>
      <c r="D459" s="15">
        <v>579.55999999999995</v>
      </c>
      <c r="E459" s="15">
        <v>54.11</v>
      </c>
      <c r="F459" s="15">
        <v>175.18</v>
      </c>
      <c r="G459" s="15">
        <v>211.19</v>
      </c>
      <c r="H459" s="15">
        <v>197.95</v>
      </c>
      <c r="I459" s="15">
        <v>332.28</v>
      </c>
      <c r="J459" s="15">
        <v>213.66</v>
      </c>
      <c r="K459" s="15">
        <v>232.51</v>
      </c>
      <c r="L459" s="15">
        <v>347.07</v>
      </c>
      <c r="M459" s="15">
        <v>343.54</v>
      </c>
      <c r="N459" s="15">
        <v>297.77</v>
      </c>
      <c r="O459" t="s">
        <v>3028</v>
      </c>
    </row>
    <row r="460" spans="1:15" x14ac:dyDescent="0.25">
      <c r="A460" s="10" t="s">
        <v>1059</v>
      </c>
      <c r="B460" s="15">
        <v>105.25</v>
      </c>
      <c r="C460" s="15">
        <v>105.33</v>
      </c>
      <c r="D460" s="15">
        <v>104.14</v>
      </c>
      <c r="E460" s="15">
        <v>104.37</v>
      </c>
      <c r="F460" s="15">
        <v>104.09</v>
      </c>
      <c r="G460" s="15">
        <v>105.04</v>
      </c>
      <c r="H460" s="15">
        <v>104.58</v>
      </c>
      <c r="I460" s="15">
        <v>104</v>
      </c>
      <c r="J460" s="15">
        <v>153.63999999999999</v>
      </c>
      <c r="K460" s="15">
        <v>0</v>
      </c>
      <c r="L460" s="15">
        <v>0</v>
      </c>
      <c r="M460" s="15">
        <v>0</v>
      </c>
      <c r="N460" s="15">
        <v>78.400000000000006</v>
      </c>
      <c r="O460" t="s">
        <v>3028</v>
      </c>
    </row>
    <row r="461" spans="1:15" x14ac:dyDescent="0.25">
      <c r="A461" s="10" t="s">
        <v>1061</v>
      </c>
      <c r="B461" s="15">
        <v>311.33999999999997</v>
      </c>
      <c r="C461" s="15">
        <v>197.05</v>
      </c>
      <c r="D461" s="15">
        <v>289.69</v>
      </c>
      <c r="E461" s="15">
        <v>488.2</v>
      </c>
      <c r="F461" s="15">
        <v>169.07</v>
      </c>
      <c r="G461" s="15">
        <v>299.89</v>
      </c>
      <c r="H461" s="15">
        <v>302.56</v>
      </c>
      <c r="I461" s="15">
        <v>391.18</v>
      </c>
      <c r="J461" s="15">
        <v>332.89</v>
      </c>
      <c r="K461" s="15">
        <v>325.95999999999998</v>
      </c>
      <c r="L461" s="15">
        <v>335.46</v>
      </c>
      <c r="M461" s="15">
        <v>335.54</v>
      </c>
      <c r="N461" s="15">
        <v>320.75</v>
      </c>
      <c r="O461" t="s">
        <v>3028</v>
      </c>
    </row>
    <row r="462" spans="1:15" x14ac:dyDescent="0.25">
      <c r="A462" s="10" t="s">
        <v>1063</v>
      </c>
      <c r="B462" s="15">
        <v>0</v>
      </c>
      <c r="C462" s="15">
        <v>0</v>
      </c>
      <c r="D462" s="15">
        <v>0</v>
      </c>
      <c r="E462" s="15">
        <v>0</v>
      </c>
      <c r="F462" s="15">
        <v>0</v>
      </c>
      <c r="G462" s="15">
        <v>0</v>
      </c>
      <c r="H462" s="15">
        <v>0</v>
      </c>
      <c r="I462" s="15">
        <v>0</v>
      </c>
      <c r="J462" s="15">
        <v>100.21</v>
      </c>
      <c r="K462" s="15">
        <v>122.69</v>
      </c>
      <c r="L462" s="15">
        <v>118.92</v>
      </c>
      <c r="M462" s="15">
        <v>118.69</v>
      </c>
      <c r="N462" s="15">
        <v>39.67</v>
      </c>
      <c r="O462" t="s">
        <v>3028</v>
      </c>
    </row>
    <row r="463" spans="1:15" x14ac:dyDescent="0.25">
      <c r="A463" s="10" t="s">
        <v>1065</v>
      </c>
      <c r="B463" s="15">
        <v>111.03</v>
      </c>
      <c r="C463" s="15">
        <v>104.15</v>
      </c>
      <c r="D463" s="15">
        <v>151.94999999999999</v>
      </c>
      <c r="E463" s="15">
        <v>0</v>
      </c>
      <c r="F463" s="15">
        <v>0</v>
      </c>
      <c r="G463" s="15">
        <v>0</v>
      </c>
      <c r="H463" s="15">
        <v>0</v>
      </c>
      <c r="I463" s="15">
        <v>0</v>
      </c>
      <c r="J463" s="15">
        <v>0</v>
      </c>
      <c r="K463" s="15">
        <v>0</v>
      </c>
      <c r="L463" s="15">
        <v>0</v>
      </c>
      <c r="M463" s="15">
        <v>0</v>
      </c>
      <c r="N463" s="15">
        <v>27.1</v>
      </c>
      <c r="O463" t="s">
        <v>3028</v>
      </c>
    </row>
    <row r="464" spans="1:15" x14ac:dyDescent="0.25">
      <c r="A464" s="10" t="s">
        <v>1067</v>
      </c>
      <c r="B464" s="15">
        <v>498.98</v>
      </c>
      <c r="C464" s="15">
        <v>124.4</v>
      </c>
      <c r="D464" s="15">
        <v>570.88</v>
      </c>
      <c r="E464" s="15">
        <v>0</v>
      </c>
      <c r="F464" s="15">
        <v>0</v>
      </c>
      <c r="G464" s="15">
        <v>0</v>
      </c>
      <c r="H464" s="15">
        <v>0</v>
      </c>
      <c r="I464" s="15">
        <v>0</v>
      </c>
      <c r="J464" s="15">
        <v>0</v>
      </c>
      <c r="K464" s="15">
        <v>0</v>
      </c>
      <c r="L464" s="15">
        <v>0</v>
      </c>
      <c r="M464" s="15">
        <v>0</v>
      </c>
      <c r="N464" s="15">
        <v>62.67</v>
      </c>
      <c r="O464" t="s">
        <v>3028</v>
      </c>
    </row>
    <row r="465" spans="1:15" x14ac:dyDescent="0.25">
      <c r="A465" s="10" t="s">
        <v>1069</v>
      </c>
      <c r="B465" s="15">
        <v>352.62</v>
      </c>
      <c r="C465" s="15">
        <v>344.85</v>
      </c>
      <c r="D465" s="15">
        <v>339.12</v>
      </c>
      <c r="E465" s="15">
        <v>345.81</v>
      </c>
      <c r="F465" s="15">
        <v>329.39</v>
      </c>
      <c r="G465" s="15">
        <v>355.72</v>
      </c>
      <c r="H465" s="15">
        <v>342.92</v>
      </c>
      <c r="I465" s="15">
        <v>441.15</v>
      </c>
      <c r="J465" s="15">
        <v>370.96</v>
      </c>
      <c r="K465" s="15">
        <v>379.85</v>
      </c>
      <c r="L465" s="15">
        <v>698.61</v>
      </c>
      <c r="M465" s="15">
        <v>192.35</v>
      </c>
      <c r="N465" s="15">
        <v>369.95</v>
      </c>
      <c r="O465" t="s">
        <v>3028</v>
      </c>
    </row>
    <row r="466" spans="1:15" x14ac:dyDescent="0.25">
      <c r="A466" s="10" t="s">
        <v>1071</v>
      </c>
      <c r="B466" s="15">
        <v>95.55</v>
      </c>
      <c r="C466" s="15">
        <v>117.39</v>
      </c>
      <c r="D466" s="15">
        <v>165.14</v>
      </c>
      <c r="E466" s="15">
        <v>109.17</v>
      </c>
      <c r="F466" s="15">
        <v>107.79</v>
      </c>
      <c r="G466" s="15">
        <v>140.62</v>
      </c>
      <c r="H466" s="15">
        <v>106.95</v>
      </c>
      <c r="I466" s="15">
        <v>210.99</v>
      </c>
      <c r="J466" s="15">
        <v>176.26</v>
      </c>
      <c r="K466" s="15">
        <v>174.91</v>
      </c>
      <c r="L466" s="15">
        <v>302.86</v>
      </c>
      <c r="M466" s="15">
        <v>341.69</v>
      </c>
      <c r="N466" s="15">
        <v>211.04</v>
      </c>
      <c r="O466" t="s">
        <v>3028</v>
      </c>
    </row>
    <row r="467" spans="1:15" x14ac:dyDescent="0.25">
      <c r="A467" s="10" t="s">
        <v>1073</v>
      </c>
      <c r="B467" s="15">
        <v>344.8</v>
      </c>
      <c r="C467" s="15">
        <v>355.07</v>
      </c>
      <c r="D467" s="15">
        <v>375.89</v>
      </c>
      <c r="E467" s="15">
        <v>314.47000000000003</v>
      </c>
      <c r="F467" s="15">
        <v>325.19</v>
      </c>
      <c r="G467" s="15">
        <v>342.72</v>
      </c>
      <c r="H467" s="15">
        <v>307.39999999999998</v>
      </c>
      <c r="I467" s="15">
        <v>451.76</v>
      </c>
      <c r="J467" s="15">
        <v>674.19</v>
      </c>
      <c r="K467" s="15">
        <v>293.87</v>
      </c>
      <c r="L467" s="15">
        <v>410.53</v>
      </c>
      <c r="M467" s="15">
        <v>354.88</v>
      </c>
      <c r="N467" s="15">
        <v>380.46</v>
      </c>
      <c r="O467" t="s">
        <v>3028</v>
      </c>
    </row>
    <row r="468" spans="1:15" x14ac:dyDescent="0.25">
      <c r="A468" s="10" t="s">
        <v>1075</v>
      </c>
      <c r="B468" s="15">
        <v>381.82</v>
      </c>
      <c r="C468" s="15">
        <v>570.88</v>
      </c>
      <c r="D468" s="15">
        <v>570.88</v>
      </c>
      <c r="E468" s="15">
        <v>570.88</v>
      </c>
      <c r="F468" s="15">
        <v>570.88</v>
      </c>
      <c r="G468" s="15">
        <v>570.88</v>
      </c>
      <c r="H468" s="15">
        <v>570.88</v>
      </c>
      <c r="I468" s="15">
        <v>570.88</v>
      </c>
      <c r="J468" s="15">
        <v>570.88</v>
      </c>
      <c r="K468" s="15">
        <v>570.88</v>
      </c>
      <c r="L468" s="15">
        <v>570.88</v>
      </c>
      <c r="M468" s="15">
        <v>570.88</v>
      </c>
      <c r="N468" s="15">
        <v>570.88</v>
      </c>
      <c r="O468" t="s">
        <v>3028</v>
      </c>
    </row>
    <row r="469" spans="1:15" x14ac:dyDescent="0.25">
      <c r="A469" s="10" t="s">
        <v>1077</v>
      </c>
      <c r="B469" s="15">
        <v>170.59</v>
      </c>
      <c r="C469" s="15">
        <v>199.64</v>
      </c>
      <c r="D469" s="15">
        <v>173.86</v>
      </c>
      <c r="E469" s="15">
        <v>165.26</v>
      </c>
      <c r="F469" s="15">
        <v>144.13999999999999</v>
      </c>
      <c r="G469" s="15">
        <v>165.18</v>
      </c>
      <c r="H469" s="15">
        <v>298.25</v>
      </c>
      <c r="I469" s="15">
        <v>0</v>
      </c>
      <c r="J469" s="15">
        <v>0</v>
      </c>
      <c r="K469" s="15">
        <v>0</v>
      </c>
      <c r="L469" s="15">
        <v>0</v>
      </c>
      <c r="M469" s="15">
        <v>0</v>
      </c>
      <c r="N469" s="15">
        <v>90.98</v>
      </c>
      <c r="O469" t="s">
        <v>3028</v>
      </c>
    </row>
    <row r="470" spans="1:15" x14ac:dyDescent="0.25">
      <c r="A470" s="10" t="s">
        <v>1079</v>
      </c>
      <c r="B470" s="15">
        <v>213.45</v>
      </c>
      <c r="C470" s="15">
        <v>208.52</v>
      </c>
      <c r="D470" s="15">
        <v>166.38</v>
      </c>
      <c r="E470" s="15">
        <v>334.09</v>
      </c>
      <c r="F470" s="15">
        <v>56.34</v>
      </c>
      <c r="G470" s="15">
        <v>161.69</v>
      </c>
      <c r="H470" s="15">
        <v>161.12</v>
      </c>
      <c r="I470" s="15">
        <v>230.07</v>
      </c>
      <c r="J470" s="15">
        <v>178.37</v>
      </c>
      <c r="K470" s="15">
        <v>179.3</v>
      </c>
      <c r="L470" s="15">
        <v>180.73</v>
      </c>
      <c r="M470" s="15">
        <v>176.89</v>
      </c>
      <c r="N470" s="15">
        <v>185.62</v>
      </c>
      <c r="O470" t="s">
        <v>3028</v>
      </c>
    </row>
    <row r="471" spans="1:15" x14ac:dyDescent="0.25">
      <c r="A471" s="10" t="s">
        <v>1081</v>
      </c>
      <c r="B471" s="15">
        <v>325.08999999999997</v>
      </c>
      <c r="C471" s="15">
        <v>304.58</v>
      </c>
      <c r="D471" s="15">
        <v>304.35000000000002</v>
      </c>
      <c r="E471" s="15">
        <v>558.47</v>
      </c>
      <c r="F471" s="15">
        <v>179.77</v>
      </c>
      <c r="G471" s="15">
        <v>325.29000000000002</v>
      </c>
      <c r="H471" s="15">
        <v>325.32</v>
      </c>
      <c r="I471" s="15">
        <v>421.12</v>
      </c>
      <c r="J471" s="15">
        <v>680.78</v>
      </c>
      <c r="K471" s="15">
        <v>123.75</v>
      </c>
      <c r="L471" s="15">
        <v>366.74</v>
      </c>
      <c r="M471" s="15">
        <v>362.85</v>
      </c>
      <c r="N471" s="15">
        <v>361</v>
      </c>
      <c r="O471" t="s">
        <v>3028</v>
      </c>
    </row>
    <row r="472" spans="1:15" x14ac:dyDescent="0.25">
      <c r="A472" s="10" t="s">
        <v>1083</v>
      </c>
      <c r="B472" s="15">
        <v>89.56</v>
      </c>
      <c r="C472" s="15">
        <v>104.27</v>
      </c>
      <c r="D472" s="15">
        <v>104.46</v>
      </c>
      <c r="E472" s="15">
        <v>104.7</v>
      </c>
      <c r="F472" s="15">
        <v>104.25</v>
      </c>
      <c r="G472" s="15">
        <v>104.38</v>
      </c>
      <c r="H472" s="15">
        <v>104.26</v>
      </c>
      <c r="I472" s="15">
        <v>104</v>
      </c>
      <c r="J472" s="15">
        <v>104.42</v>
      </c>
      <c r="K472" s="15">
        <v>146.22</v>
      </c>
      <c r="L472" s="15">
        <v>114.11</v>
      </c>
      <c r="M472" s="15">
        <v>114.18</v>
      </c>
      <c r="N472" s="15">
        <v>114.78</v>
      </c>
      <c r="O472" t="s">
        <v>3028</v>
      </c>
    </row>
    <row r="473" spans="1:15" x14ac:dyDescent="0.25">
      <c r="A473" s="10" t="s">
        <v>1085</v>
      </c>
      <c r="B473" s="15">
        <v>156.94</v>
      </c>
      <c r="C473" s="15">
        <v>162.88999999999999</v>
      </c>
      <c r="D473" s="15">
        <v>162.04</v>
      </c>
      <c r="E473" s="15">
        <v>162.69</v>
      </c>
      <c r="F473" s="15">
        <v>161.93</v>
      </c>
      <c r="G473" s="15">
        <v>255.91</v>
      </c>
      <c r="H473" s="15">
        <v>130.51</v>
      </c>
      <c r="I473" s="15">
        <v>158.1</v>
      </c>
      <c r="J473" s="15">
        <v>158.88999999999999</v>
      </c>
      <c r="K473" s="15">
        <v>177.2</v>
      </c>
      <c r="L473" s="15">
        <v>157.81</v>
      </c>
      <c r="M473" s="15">
        <v>193.25</v>
      </c>
      <c r="N473" s="15">
        <v>173.29</v>
      </c>
      <c r="O473" t="s">
        <v>3028</v>
      </c>
    </row>
    <row r="474" spans="1:15" x14ac:dyDescent="0.25">
      <c r="A474" s="10" t="s">
        <v>1087</v>
      </c>
      <c r="B474" s="15">
        <v>193.7</v>
      </c>
      <c r="C474" s="15">
        <v>202.74</v>
      </c>
      <c r="D474" s="15">
        <v>200.04</v>
      </c>
      <c r="E474" s="15">
        <v>195.28</v>
      </c>
      <c r="F474" s="15">
        <v>229.85</v>
      </c>
      <c r="G474" s="15">
        <v>0</v>
      </c>
      <c r="H474" s="15">
        <v>0</v>
      </c>
      <c r="I474" s="15">
        <v>0</v>
      </c>
      <c r="J474" s="15">
        <v>0</v>
      </c>
      <c r="K474" s="15">
        <v>0</v>
      </c>
      <c r="L474" s="15">
        <v>0</v>
      </c>
      <c r="M474" s="15">
        <v>0</v>
      </c>
      <c r="N474" s="15">
        <v>69.2</v>
      </c>
      <c r="O474" t="s">
        <v>3028</v>
      </c>
    </row>
    <row r="475" spans="1:15" x14ac:dyDescent="0.25">
      <c r="A475" s="10" t="s">
        <v>1089</v>
      </c>
      <c r="B475" s="15">
        <v>164.04</v>
      </c>
      <c r="C475" s="15">
        <v>163.69999999999999</v>
      </c>
      <c r="D475" s="15">
        <v>163.72999999999999</v>
      </c>
      <c r="E475" s="15">
        <v>165.06</v>
      </c>
      <c r="F475" s="15">
        <v>320.27</v>
      </c>
      <c r="G475" s="15">
        <v>137.63999999999999</v>
      </c>
      <c r="H475" s="15">
        <v>196.77</v>
      </c>
      <c r="I475" s="15">
        <v>222.73</v>
      </c>
      <c r="J475" s="15">
        <v>178.88</v>
      </c>
      <c r="K475" s="15">
        <v>193.26</v>
      </c>
      <c r="L475" s="15">
        <v>195.96</v>
      </c>
      <c r="M475" s="15">
        <v>178.56</v>
      </c>
      <c r="N475" s="15">
        <v>186.02</v>
      </c>
      <c r="O475" t="s">
        <v>3028</v>
      </c>
    </row>
    <row r="476" spans="1:15" x14ac:dyDescent="0.25">
      <c r="A476" s="10" t="s">
        <v>1091</v>
      </c>
      <c r="B476" s="15">
        <v>464.75</v>
      </c>
      <c r="C476" s="15">
        <v>444.25</v>
      </c>
      <c r="D476" s="15">
        <v>442.51</v>
      </c>
      <c r="E476" s="15">
        <v>442.73</v>
      </c>
      <c r="F476" s="15">
        <v>506.1</v>
      </c>
      <c r="G476" s="15">
        <v>488.03</v>
      </c>
      <c r="H476" s="15">
        <v>1035.3599999999999</v>
      </c>
      <c r="I476" s="15">
        <v>0</v>
      </c>
      <c r="J476" s="15">
        <v>505.1</v>
      </c>
      <c r="K476" s="15">
        <v>516.84</v>
      </c>
      <c r="L476" s="15">
        <v>516.34</v>
      </c>
      <c r="M476" s="15">
        <v>495.92</v>
      </c>
      <c r="N476" s="15">
        <v>506.59</v>
      </c>
      <c r="O476" t="s">
        <v>3028</v>
      </c>
    </row>
    <row r="477" spans="1:15" x14ac:dyDescent="0.25">
      <c r="A477" s="10" t="s">
        <v>1093</v>
      </c>
      <c r="B477" s="15">
        <v>209.31</v>
      </c>
      <c r="C477" s="15">
        <v>300.45999999999998</v>
      </c>
      <c r="D477" s="15">
        <v>231.94</v>
      </c>
      <c r="E477" s="15">
        <v>232.2</v>
      </c>
      <c r="F477" s="15">
        <v>176.7</v>
      </c>
      <c r="G477" s="15">
        <v>167.88</v>
      </c>
      <c r="H477" s="15">
        <v>208.54</v>
      </c>
      <c r="I477" s="15">
        <v>214.9</v>
      </c>
      <c r="J477" s="15">
        <v>389.84</v>
      </c>
      <c r="K477" s="15">
        <v>273.82</v>
      </c>
      <c r="L477" s="15">
        <v>309.99</v>
      </c>
      <c r="M477" s="15">
        <v>293.57</v>
      </c>
      <c r="N477" s="15">
        <v>229.67</v>
      </c>
      <c r="O477" t="s">
        <v>3028</v>
      </c>
    </row>
    <row r="478" spans="1:15" x14ac:dyDescent="0.25">
      <c r="A478" s="10" t="s">
        <v>1095</v>
      </c>
      <c r="B478" s="15">
        <v>304.27999999999997</v>
      </c>
      <c r="C478" s="15">
        <v>304.27999999999997</v>
      </c>
      <c r="D478" s="15">
        <v>467.38</v>
      </c>
      <c r="E478" s="15">
        <v>0</v>
      </c>
      <c r="F478" s="15">
        <v>0</v>
      </c>
      <c r="G478" s="15">
        <v>0</v>
      </c>
      <c r="H478" s="15">
        <v>0</v>
      </c>
      <c r="I478" s="15">
        <v>0</v>
      </c>
      <c r="J478" s="15">
        <v>0</v>
      </c>
      <c r="K478" s="15">
        <v>0</v>
      </c>
      <c r="L478" s="15">
        <v>0</v>
      </c>
      <c r="M478" s="15">
        <v>0</v>
      </c>
      <c r="N478" s="15">
        <v>73.77</v>
      </c>
      <c r="O478" t="s">
        <v>3028</v>
      </c>
    </row>
    <row r="479" spans="1:15" x14ac:dyDescent="0.25">
      <c r="A479" s="10" t="s">
        <v>1097</v>
      </c>
      <c r="B479" s="15">
        <v>570.88</v>
      </c>
      <c r="C479" s="15">
        <v>570.88</v>
      </c>
      <c r="D479" s="15">
        <v>570.88</v>
      </c>
      <c r="E479" s="15">
        <v>1141.76</v>
      </c>
      <c r="F479" s="15">
        <v>0</v>
      </c>
      <c r="G479" s="15">
        <v>570.88</v>
      </c>
      <c r="H479" s="15">
        <v>570.88</v>
      </c>
      <c r="I479" s="15">
        <v>570.88</v>
      </c>
      <c r="J479" s="15">
        <v>570.88</v>
      </c>
      <c r="K479" s="15">
        <v>570.88</v>
      </c>
      <c r="L479" s="15">
        <v>570.88</v>
      </c>
      <c r="M479" s="15">
        <v>570.88</v>
      </c>
      <c r="N479" s="15">
        <v>570.88</v>
      </c>
      <c r="O479" t="s">
        <v>3028</v>
      </c>
    </row>
    <row r="480" spans="1:15" x14ac:dyDescent="0.25">
      <c r="A480" s="10" t="s">
        <v>1099</v>
      </c>
      <c r="B480" s="15">
        <v>307.74</v>
      </c>
      <c r="C480" s="15">
        <v>297.52</v>
      </c>
      <c r="D480" s="15">
        <v>406.43</v>
      </c>
      <c r="E480" s="15">
        <v>298.82</v>
      </c>
      <c r="F480" s="15">
        <v>293.74</v>
      </c>
      <c r="G480" s="15">
        <v>297.52999999999997</v>
      </c>
      <c r="H480" s="15">
        <v>708.35</v>
      </c>
      <c r="I480" s="15">
        <v>171.52</v>
      </c>
      <c r="J480" s="15">
        <v>341.59</v>
      </c>
      <c r="K480" s="15">
        <v>286.73</v>
      </c>
      <c r="L480" s="15">
        <v>483.81</v>
      </c>
      <c r="M480" s="15">
        <v>391.07</v>
      </c>
      <c r="N480" s="15">
        <v>356.65</v>
      </c>
      <c r="O480" t="s">
        <v>3028</v>
      </c>
    </row>
    <row r="481" spans="1:15" x14ac:dyDescent="0.25">
      <c r="A481" s="10" t="s">
        <v>1101</v>
      </c>
      <c r="B481" s="15">
        <v>195.53</v>
      </c>
      <c r="C481" s="15">
        <v>166.01</v>
      </c>
      <c r="D481" s="15">
        <v>168.03</v>
      </c>
      <c r="E481" s="15">
        <v>168.73</v>
      </c>
      <c r="F481" s="15">
        <v>167.35</v>
      </c>
      <c r="G481" s="15">
        <v>358.6</v>
      </c>
      <c r="H481" s="15">
        <v>138.69999999999999</v>
      </c>
      <c r="I481" s="15">
        <v>300.72000000000003</v>
      </c>
      <c r="J481" s="15">
        <v>177.21</v>
      </c>
      <c r="K481" s="15">
        <v>199.83</v>
      </c>
      <c r="L481" s="15">
        <v>179</v>
      </c>
      <c r="M481" s="15">
        <v>196.56</v>
      </c>
      <c r="N481" s="15">
        <v>188.89</v>
      </c>
      <c r="O481" t="s">
        <v>3028</v>
      </c>
    </row>
    <row r="482" spans="1:15" x14ac:dyDescent="0.25">
      <c r="A482" s="10" t="s">
        <v>1103</v>
      </c>
      <c r="B482" s="15">
        <v>86.73</v>
      </c>
      <c r="C482" s="15">
        <v>570.88</v>
      </c>
      <c r="D482" s="15">
        <v>570.88</v>
      </c>
      <c r="E482" s="15">
        <v>570.88</v>
      </c>
      <c r="F482" s="15">
        <v>570.88</v>
      </c>
      <c r="G482" s="15">
        <v>570.88</v>
      </c>
      <c r="H482" s="15">
        <v>570.88</v>
      </c>
      <c r="I482" s="15">
        <v>570.88</v>
      </c>
      <c r="J482" s="15">
        <v>570.88</v>
      </c>
      <c r="K482" s="15">
        <v>570.88</v>
      </c>
      <c r="L482" s="15">
        <v>570.88</v>
      </c>
      <c r="M482" s="15">
        <v>570.88</v>
      </c>
      <c r="N482" s="15">
        <v>570.88</v>
      </c>
      <c r="O482" t="s">
        <v>3028</v>
      </c>
    </row>
    <row r="483" spans="1:15" x14ac:dyDescent="0.25">
      <c r="A483" s="10" t="s">
        <v>1105</v>
      </c>
      <c r="B483" s="15">
        <v>104.2</v>
      </c>
      <c r="C483" s="15">
        <v>104</v>
      </c>
      <c r="D483" s="15">
        <v>104</v>
      </c>
      <c r="E483" s="15">
        <v>104.01</v>
      </c>
      <c r="F483" s="15">
        <v>104</v>
      </c>
      <c r="G483" s="15">
        <v>179.36</v>
      </c>
      <c r="H483" s="15">
        <v>86.66</v>
      </c>
      <c r="I483" s="15">
        <v>104</v>
      </c>
      <c r="J483" s="15">
        <v>104.19</v>
      </c>
      <c r="K483" s="15">
        <v>140.44999999999999</v>
      </c>
      <c r="L483" s="15">
        <v>114</v>
      </c>
      <c r="M483" s="15">
        <v>114.02</v>
      </c>
      <c r="N483" s="15">
        <v>114.15</v>
      </c>
      <c r="O483" t="s">
        <v>3028</v>
      </c>
    </row>
    <row r="484" spans="1:15" x14ac:dyDescent="0.25">
      <c r="A484" s="10" t="s">
        <v>1107</v>
      </c>
      <c r="B484" s="15">
        <v>0</v>
      </c>
      <c r="C484" s="15">
        <v>0</v>
      </c>
      <c r="D484" s="15">
        <v>0</v>
      </c>
      <c r="E484" s="15">
        <v>0</v>
      </c>
      <c r="F484" s="15">
        <v>0</v>
      </c>
      <c r="G484" s="15">
        <v>0</v>
      </c>
      <c r="H484" s="15">
        <v>0</v>
      </c>
      <c r="I484" s="15">
        <v>0</v>
      </c>
      <c r="J484" s="15">
        <v>0</v>
      </c>
      <c r="K484" s="15">
        <v>0</v>
      </c>
      <c r="L484" s="15">
        <v>83.6</v>
      </c>
      <c r="M484" s="15">
        <v>116.34</v>
      </c>
      <c r="N484" s="15">
        <v>19.2</v>
      </c>
      <c r="O484" t="s">
        <v>3028</v>
      </c>
    </row>
    <row r="485" spans="1:15" x14ac:dyDescent="0.25">
      <c r="A485" s="10" t="s">
        <v>1109</v>
      </c>
      <c r="B485" s="15">
        <v>182.54</v>
      </c>
      <c r="C485" s="15">
        <v>198.68</v>
      </c>
      <c r="D485" s="15">
        <v>314.25</v>
      </c>
      <c r="E485" s="15">
        <v>0</v>
      </c>
      <c r="F485" s="15">
        <v>0</v>
      </c>
      <c r="G485" s="15">
        <v>0</v>
      </c>
      <c r="H485" s="15">
        <v>0</v>
      </c>
      <c r="I485" s="15">
        <v>0</v>
      </c>
      <c r="J485" s="15">
        <v>0</v>
      </c>
      <c r="K485" s="15">
        <v>0</v>
      </c>
      <c r="L485" s="15">
        <v>0</v>
      </c>
      <c r="M485" s="15">
        <v>0</v>
      </c>
      <c r="N485" s="15">
        <v>38.53</v>
      </c>
      <c r="O485" t="s">
        <v>3028</v>
      </c>
    </row>
    <row r="486" spans="1:15" x14ac:dyDescent="0.25">
      <c r="A486" s="10" t="s">
        <v>1111</v>
      </c>
      <c r="B486" s="15">
        <v>53.87</v>
      </c>
      <c r="C486" s="15">
        <v>196.89</v>
      </c>
      <c r="D486" s="15">
        <v>0</v>
      </c>
      <c r="E486" s="15">
        <v>0</v>
      </c>
      <c r="F486" s="15">
        <v>0</v>
      </c>
      <c r="G486" s="15">
        <v>0</v>
      </c>
      <c r="H486" s="15">
        <v>0</v>
      </c>
      <c r="I486" s="15">
        <v>0</v>
      </c>
      <c r="J486" s="15">
        <v>0</v>
      </c>
      <c r="K486" s="15">
        <v>0</v>
      </c>
      <c r="L486" s="15">
        <v>0</v>
      </c>
      <c r="M486" s="15">
        <v>0</v>
      </c>
      <c r="N486" s="15">
        <v>21.15</v>
      </c>
      <c r="O486" t="s">
        <v>3028</v>
      </c>
    </row>
    <row r="487" spans="1:15" x14ac:dyDescent="0.25">
      <c r="A487" s="10" t="s">
        <v>1113</v>
      </c>
      <c r="B487" s="15">
        <v>162.33000000000001</v>
      </c>
      <c r="C487" s="15">
        <v>191.05</v>
      </c>
      <c r="D487" s="15">
        <v>159.53</v>
      </c>
      <c r="E487" s="15">
        <v>169.67</v>
      </c>
      <c r="F487" s="15">
        <v>115.23</v>
      </c>
      <c r="G487" s="15">
        <v>116.01</v>
      </c>
      <c r="H487" s="15">
        <v>228.64</v>
      </c>
      <c r="I487" s="15">
        <v>297.56</v>
      </c>
      <c r="J487" s="15">
        <v>638.01</v>
      </c>
      <c r="K487" s="15">
        <v>129.01</v>
      </c>
      <c r="L487" s="15">
        <v>200.57</v>
      </c>
      <c r="M487" s="15">
        <v>360.35</v>
      </c>
      <c r="N487" s="15">
        <v>298.05</v>
      </c>
      <c r="O487" t="s">
        <v>3028</v>
      </c>
    </row>
    <row r="488" spans="1:15" x14ac:dyDescent="0.25">
      <c r="A488" s="10" t="s">
        <v>1115</v>
      </c>
      <c r="B488" s="15">
        <v>432.18</v>
      </c>
      <c r="C488" s="15">
        <v>433.06</v>
      </c>
      <c r="D488" s="15">
        <v>421.89</v>
      </c>
      <c r="E488" s="15">
        <v>432.81</v>
      </c>
      <c r="F488" s="15">
        <v>416.07</v>
      </c>
      <c r="G488" s="15">
        <v>438.82</v>
      </c>
      <c r="H488" s="15">
        <v>481.01</v>
      </c>
      <c r="I488" s="15">
        <v>570.88</v>
      </c>
      <c r="J488" s="15">
        <v>595.77</v>
      </c>
      <c r="K488" s="15">
        <v>545.99</v>
      </c>
      <c r="L488" s="15">
        <v>570.88</v>
      </c>
      <c r="M488" s="15">
        <v>570.88</v>
      </c>
      <c r="N488" s="15">
        <v>570.88</v>
      </c>
      <c r="O488" t="s">
        <v>3028</v>
      </c>
    </row>
    <row r="489" spans="1:15" x14ac:dyDescent="0.25">
      <c r="A489" s="10" t="s">
        <v>1117</v>
      </c>
      <c r="B489" s="15">
        <v>570.88</v>
      </c>
      <c r="C489" s="15">
        <v>570.88</v>
      </c>
      <c r="D489" s="15">
        <v>570.88</v>
      </c>
      <c r="E489" s="15">
        <v>570.88</v>
      </c>
      <c r="F489" s="15">
        <v>570.88</v>
      </c>
      <c r="G489" s="15">
        <v>570.88</v>
      </c>
      <c r="H489" s="15">
        <v>570.88</v>
      </c>
      <c r="I489" s="15">
        <v>570.88</v>
      </c>
      <c r="J489" s="15">
        <v>570.88</v>
      </c>
      <c r="K489" s="15">
        <v>570.88</v>
      </c>
      <c r="L489" s="15">
        <v>570.88</v>
      </c>
      <c r="M489" s="15">
        <v>570.88</v>
      </c>
      <c r="N489" s="15">
        <v>570.88</v>
      </c>
      <c r="O489" t="s">
        <v>3028</v>
      </c>
    </row>
    <row r="490" spans="1:15" x14ac:dyDescent="0.25">
      <c r="A490" s="10" t="s">
        <v>1119</v>
      </c>
      <c r="B490" s="15">
        <v>105.51</v>
      </c>
      <c r="C490" s="15">
        <v>104.27</v>
      </c>
      <c r="D490" s="15">
        <v>142.22999999999999</v>
      </c>
      <c r="E490" s="15">
        <v>142.68</v>
      </c>
      <c r="F490" s="15">
        <v>142.52000000000001</v>
      </c>
      <c r="G490" s="15">
        <v>332.31</v>
      </c>
      <c r="H490" s="15">
        <v>9.85</v>
      </c>
      <c r="I490" s="15">
        <v>133.99</v>
      </c>
      <c r="J490" s="15">
        <v>141.44999999999999</v>
      </c>
      <c r="K490" s="15">
        <v>177.15</v>
      </c>
      <c r="L490" s="15">
        <v>155.86000000000001</v>
      </c>
      <c r="M490" s="15">
        <v>156.08000000000001</v>
      </c>
      <c r="N490" s="15">
        <v>156.77000000000001</v>
      </c>
      <c r="O490" t="s">
        <v>3028</v>
      </c>
    </row>
    <row r="491" spans="1:15" x14ac:dyDescent="0.25">
      <c r="A491" s="10" t="s">
        <v>1121</v>
      </c>
      <c r="B491" s="15">
        <v>337.4</v>
      </c>
      <c r="C491" s="15">
        <v>317.54000000000002</v>
      </c>
      <c r="D491" s="15">
        <v>313.02</v>
      </c>
      <c r="E491" s="15">
        <v>314.43</v>
      </c>
      <c r="F491" s="15">
        <v>316.45999999999998</v>
      </c>
      <c r="G491" s="15">
        <v>317.04000000000002</v>
      </c>
      <c r="H491" s="15">
        <v>313.02</v>
      </c>
      <c r="I491" s="15">
        <v>405.81</v>
      </c>
      <c r="J491" s="15">
        <v>343.76</v>
      </c>
      <c r="K491" s="15">
        <v>655.93</v>
      </c>
      <c r="L491" s="15">
        <v>114.59</v>
      </c>
      <c r="M491" s="15">
        <v>344.48</v>
      </c>
      <c r="N491" s="15">
        <v>347.49</v>
      </c>
      <c r="O491" t="s">
        <v>3028</v>
      </c>
    </row>
    <row r="492" spans="1:15" x14ac:dyDescent="0.25">
      <c r="A492" s="10" t="s">
        <v>1123</v>
      </c>
      <c r="B492" s="15">
        <v>364.91</v>
      </c>
      <c r="C492" s="15">
        <v>421.17</v>
      </c>
      <c r="D492" s="15">
        <v>332.13</v>
      </c>
      <c r="E492" s="15">
        <v>390.68</v>
      </c>
      <c r="F492" s="15">
        <v>327.76</v>
      </c>
      <c r="G492" s="15">
        <v>908.85</v>
      </c>
      <c r="H492" s="15">
        <v>65.58</v>
      </c>
      <c r="I492" s="15">
        <v>425.2</v>
      </c>
      <c r="J492" s="15">
        <v>410.57</v>
      </c>
      <c r="K492" s="15">
        <v>417.78</v>
      </c>
      <c r="L492" s="15">
        <v>385.13</v>
      </c>
      <c r="M492" s="15">
        <v>420.74</v>
      </c>
      <c r="N492" s="15">
        <v>400.36</v>
      </c>
      <c r="O492" t="s">
        <v>3028</v>
      </c>
    </row>
    <row r="493" spans="1:15" x14ac:dyDescent="0.25">
      <c r="A493" s="10" t="s">
        <v>1125</v>
      </c>
      <c r="B493" s="15">
        <v>570.88</v>
      </c>
      <c r="C493" s="15">
        <v>570.88</v>
      </c>
      <c r="D493" s="15">
        <v>570.88</v>
      </c>
      <c r="E493" s="15">
        <v>1141.76</v>
      </c>
      <c r="F493" s="15">
        <v>0</v>
      </c>
      <c r="G493" s="15">
        <v>570.88</v>
      </c>
      <c r="H493" s="15">
        <v>570.88</v>
      </c>
      <c r="I493" s="15">
        <v>570.88</v>
      </c>
      <c r="J493" s="15">
        <v>570.88</v>
      </c>
      <c r="K493" s="15">
        <v>570.88</v>
      </c>
      <c r="L493" s="15">
        <v>570.88</v>
      </c>
      <c r="M493" s="15">
        <v>570.88</v>
      </c>
      <c r="N493" s="15">
        <v>570.88</v>
      </c>
      <c r="O493" t="s">
        <v>3028</v>
      </c>
    </row>
    <row r="494" spans="1:15" x14ac:dyDescent="0.25">
      <c r="A494" s="10" t="s">
        <v>1127</v>
      </c>
      <c r="B494" s="15">
        <v>570.88</v>
      </c>
      <c r="C494" s="15">
        <v>570.88</v>
      </c>
      <c r="D494" s="15">
        <v>570.88</v>
      </c>
      <c r="E494" s="15">
        <v>570.88</v>
      </c>
      <c r="F494" s="15">
        <v>570.88</v>
      </c>
      <c r="G494" s="15">
        <v>570.88</v>
      </c>
      <c r="H494" s="15">
        <v>570.88</v>
      </c>
      <c r="I494" s="15">
        <v>570.88</v>
      </c>
      <c r="J494" s="15">
        <v>570.88</v>
      </c>
      <c r="K494" s="15">
        <v>570.88</v>
      </c>
      <c r="L494" s="15">
        <v>570.88</v>
      </c>
      <c r="M494" s="15">
        <v>570.88</v>
      </c>
      <c r="N494" s="15">
        <v>570.88</v>
      </c>
      <c r="O494" t="s">
        <v>3028</v>
      </c>
    </row>
    <row r="495" spans="1:15" x14ac:dyDescent="0.25">
      <c r="A495" s="10" t="s">
        <v>1129</v>
      </c>
      <c r="B495" s="15">
        <v>105.28</v>
      </c>
      <c r="C495" s="15">
        <v>105.28</v>
      </c>
      <c r="D495" s="15">
        <v>105.28</v>
      </c>
      <c r="E495" s="15">
        <v>105.28</v>
      </c>
      <c r="F495" s="15">
        <v>105.28</v>
      </c>
      <c r="G495" s="15">
        <v>154.01</v>
      </c>
      <c r="H495" s="15">
        <v>0</v>
      </c>
      <c r="I495" s="15">
        <v>0</v>
      </c>
      <c r="J495" s="15">
        <v>13.44</v>
      </c>
      <c r="K495" s="15">
        <v>0</v>
      </c>
      <c r="L495" s="15">
        <v>0</v>
      </c>
      <c r="M495" s="15">
        <v>0</v>
      </c>
      <c r="N495" s="15">
        <v>57.8</v>
      </c>
      <c r="O495" t="s">
        <v>3028</v>
      </c>
    </row>
    <row r="496" spans="1:15" x14ac:dyDescent="0.25">
      <c r="A496" s="10" t="s">
        <v>1131</v>
      </c>
      <c r="B496" s="15">
        <v>154.69</v>
      </c>
      <c r="C496" s="15">
        <v>145.72999999999999</v>
      </c>
      <c r="D496" s="15">
        <v>143.05000000000001</v>
      </c>
      <c r="E496" s="15">
        <v>141.81</v>
      </c>
      <c r="F496" s="15">
        <v>144.13</v>
      </c>
      <c r="G496" s="15">
        <v>150.35</v>
      </c>
      <c r="H496" s="15">
        <v>143.53</v>
      </c>
      <c r="I496" s="15">
        <v>158.88</v>
      </c>
      <c r="J496" s="15">
        <v>140.26</v>
      </c>
      <c r="K496" s="15">
        <v>167.45</v>
      </c>
      <c r="L496" s="15">
        <v>166.9</v>
      </c>
      <c r="M496" s="15">
        <v>368.52</v>
      </c>
      <c r="N496" s="15">
        <v>160.16999999999999</v>
      </c>
      <c r="O496" t="s">
        <v>3028</v>
      </c>
    </row>
    <row r="497" spans="1:15" x14ac:dyDescent="0.25">
      <c r="A497" s="10" t="s">
        <v>1133</v>
      </c>
      <c r="B497" s="15">
        <v>469.42</v>
      </c>
      <c r="C497" s="15">
        <v>477.73</v>
      </c>
      <c r="D497" s="15">
        <v>457.17</v>
      </c>
      <c r="E497" s="15">
        <v>464.55</v>
      </c>
      <c r="F497" s="15">
        <v>462.43</v>
      </c>
      <c r="G497" s="15">
        <v>462.81</v>
      </c>
      <c r="H497" s="15">
        <v>458.57</v>
      </c>
      <c r="I497" s="15">
        <v>570.88</v>
      </c>
      <c r="J497" s="15">
        <v>502.64</v>
      </c>
      <c r="K497" s="15">
        <v>503.32</v>
      </c>
      <c r="L497" s="15">
        <v>499.6</v>
      </c>
      <c r="M497" s="15">
        <v>500.11</v>
      </c>
      <c r="N497" s="15">
        <v>506.38</v>
      </c>
      <c r="O497" t="s">
        <v>3028</v>
      </c>
    </row>
    <row r="498" spans="1:15" x14ac:dyDescent="0.25">
      <c r="A498" s="10" t="s">
        <v>1135</v>
      </c>
      <c r="B498" s="15">
        <v>388.38</v>
      </c>
      <c r="C498" s="15">
        <v>0</v>
      </c>
      <c r="D498" s="15">
        <v>0</v>
      </c>
      <c r="E498" s="15">
        <v>0</v>
      </c>
      <c r="F498" s="15">
        <v>0</v>
      </c>
      <c r="G498" s="15">
        <v>0</v>
      </c>
      <c r="H498" s="15">
        <v>0</v>
      </c>
      <c r="I498" s="15">
        <v>0</v>
      </c>
      <c r="J498" s="15">
        <v>0</v>
      </c>
      <c r="K498" s="15">
        <v>0</v>
      </c>
      <c r="L498" s="15">
        <v>0</v>
      </c>
      <c r="M498" s="15">
        <v>0</v>
      </c>
      <c r="N498" s="15">
        <v>24</v>
      </c>
      <c r="O498" t="s">
        <v>3028</v>
      </c>
    </row>
    <row r="499" spans="1:15" x14ac:dyDescent="0.25">
      <c r="A499" s="10" t="s">
        <v>1137</v>
      </c>
      <c r="B499" s="15">
        <v>91.67</v>
      </c>
      <c r="C499" s="15">
        <v>156.28</v>
      </c>
      <c r="D499" s="15">
        <v>119.82</v>
      </c>
      <c r="E499" s="15">
        <v>120.53</v>
      </c>
      <c r="F499" s="15">
        <v>121.11</v>
      </c>
      <c r="G499" s="15">
        <v>151.74</v>
      </c>
      <c r="H499" s="15">
        <v>110.28</v>
      </c>
      <c r="I499" s="15">
        <v>191.07</v>
      </c>
      <c r="J499" s="15">
        <v>163.52000000000001</v>
      </c>
      <c r="K499" s="15">
        <v>121.17</v>
      </c>
      <c r="L499" s="15">
        <v>145.06</v>
      </c>
      <c r="M499" s="15">
        <v>172.17</v>
      </c>
      <c r="N499" s="15">
        <v>152.9</v>
      </c>
      <c r="O499" t="s">
        <v>3028</v>
      </c>
    </row>
    <row r="500" spans="1:15" x14ac:dyDescent="0.25">
      <c r="A500" s="10" t="s">
        <v>1139</v>
      </c>
      <c r="B500" s="15">
        <v>323.60000000000002</v>
      </c>
      <c r="C500" s="15">
        <v>201.42</v>
      </c>
      <c r="D500" s="15">
        <v>198.03</v>
      </c>
      <c r="E500" s="15">
        <v>195.99</v>
      </c>
      <c r="F500" s="15">
        <v>182.22</v>
      </c>
      <c r="G500" s="15">
        <v>477.82</v>
      </c>
      <c r="H500" s="15">
        <v>120.18</v>
      </c>
      <c r="I500" s="15">
        <v>299.83</v>
      </c>
      <c r="J500" s="15">
        <v>221.35</v>
      </c>
      <c r="K500" s="15">
        <v>199.63</v>
      </c>
      <c r="L500" s="15">
        <v>210.95</v>
      </c>
      <c r="M500" s="15">
        <v>197.65</v>
      </c>
      <c r="N500" s="15">
        <v>217.01</v>
      </c>
      <c r="O500" t="s">
        <v>3028</v>
      </c>
    </row>
    <row r="501" spans="1:15" x14ac:dyDescent="0.25">
      <c r="A501" s="10" t="s">
        <v>1141</v>
      </c>
      <c r="B501" s="15">
        <v>570.88</v>
      </c>
      <c r="C501" s="15">
        <v>570.88</v>
      </c>
      <c r="D501" s="15">
        <v>570.88</v>
      </c>
      <c r="E501" s="15">
        <v>570.88</v>
      </c>
      <c r="F501" s="15">
        <v>570.88</v>
      </c>
      <c r="G501" s="15">
        <v>570.88</v>
      </c>
      <c r="H501" s="15">
        <v>570.88</v>
      </c>
      <c r="I501" s="15">
        <v>570.88</v>
      </c>
      <c r="J501" s="15">
        <v>570.88</v>
      </c>
      <c r="K501" s="15">
        <v>570.88</v>
      </c>
      <c r="L501" s="15">
        <v>570.88</v>
      </c>
      <c r="M501" s="15">
        <v>570.88</v>
      </c>
      <c r="N501" s="15">
        <v>570.88</v>
      </c>
      <c r="O501" t="s">
        <v>3028</v>
      </c>
    </row>
    <row r="502" spans="1:15" x14ac:dyDescent="0.25">
      <c r="A502" s="10" t="s">
        <v>1143</v>
      </c>
      <c r="B502" s="15">
        <v>342.95</v>
      </c>
      <c r="C502" s="15">
        <v>352.67</v>
      </c>
      <c r="D502" s="15">
        <v>414.63</v>
      </c>
      <c r="E502" s="15">
        <v>390.08</v>
      </c>
      <c r="F502" s="15">
        <v>393.03</v>
      </c>
      <c r="G502" s="15">
        <v>306.85000000000002</v>
      </c>
      <c r="H502" s="15">
        <v>624.25</v>
      </c>
      <c r="I502" s="15">
        <v>436.66</v>
      </c>
      <c r="J502" s="15">
        <v>402.65</v>
      </c>
      <c r="K502" s="15">
        <v>415.7</v>
      </c>
      <c r="L502" s="15">
        <v>406.59</v>
      </c>
      <c r="M502" s="15">
        <v>400.81</v>
      </c>
      <c r="N502" s="15">
        <v>421.03</v>
      </c>
      <c r="O502" t="s">
        <v>3028</v>
      </c>
    </row>
    <row r="503" spans="1:15" x14ac:dyDescent="0.25">
      <c r="A503" s="10" t="s">
        <v>1145</v>
      </c>
      <c r="B503" s="15">
        <v>187.05</v>
      </c>
      <c r="C503" s="15">
        <v>227.49</v>
      </c>
      <c r="D503" s="15">
        <v>233.42</v>
      </c>
      <c r="E503" s="15">
        <v>186.93</v>
      </c>
      <c r="F503" s="15">
        <v>188.72</v>
      </c>
      <c r="G503" s="15">
        <v>187.71</v>
      </c>
      <c r="H503" s="15">
        <v>509.49</v>
      </c>
      <c r="I503" s="15">
        <v>76.47</v>
      </c>
      <c r="J503" s="15">
        <v>203.31</v>
      </c>
      <c r="K503" s="15">
        <v>209.11</v>
      </c>
      <c r="L503" s="15">
        <v>208.55</v>
      </c>
      <c r="M503" s="15">
        <v>223.11</v>
      </c>
      <c r="N503" s="15">
        <v>215.19</v>
      </c>
      <c r="O503" t="s">
        <v>3028</v>
      </c>
    </row>
    <row r="504" spans="1:15" x14ac:dyDescent="0.25">
      <c r="A504" s="10" t="s">
        <v>1147</v>
      </c>
      <c r="B504" s="15">
        <v>32.64</v>
      </c>
      <c r="C504" s="15">
        <v>360.68</v>
      </c>
      <c r="D504" s="15">
        <v>376.59</v>
      </c>
      <c r="E504" s="15">
        <v>376.59</v>
      </c>
      <c r="F504" s="15">
        <v>376.75</v>
      </c>
      <c r="G504" s="15">
        <v>377.18</v>
      </c>
      <c r="H504" s="15">
        <v>376.59</v>
      </c>
      <c r="I504" s="15">
        <v>487.59</v>
      </c>
      <c r="J504" s="15">
        <v>413.57</v>
      </c>
      <c r="K504" s="15">
        <v>414.51</v>
      </c>
      <c r="L504" s="15">
        <v>414.35</v>
      </c>
      <c r="M504" s="15">
        <v>413.57</v>
      </c>
      <c r="N504" s="15">
        <v>414.46</v>
      </c>
      <c r="O504" t="s">
        <v>3028</v>
      </c>
    </row>
    <row r="505" spans="1:15" x14ac:dyDescent="0.25">
      <c r="A505" s="10" t="s">
        <v>1149</v>
      </c>
      <c r="B505" s="15">
        <v>188.73</v>
      </c>
      <c r="C505" s="15">
        <v>221.79</v>
      </c>
      <c r="D505" s="15">
        <v>193.84</v>
      </c>
      <c r="E505" s="15">
        <v>196.14</v>
      </c>
      <c r="F505" s="15">
        <v>341.99</v>
      </c>
      <c r="G505" s="15">
        <v>173.58</v>
      </c>
      <c r="H505" s="15">
        <v>197.22</v>
      </c>
      <c r="I505" s="15">
        <v>360.57</v>
      </c>
      <c r="J505" s="15">
        <v>207.47</v>
      </c>
      <c r="K505" s="15">
        <v>300.93</v>
      </c>
      <c r="L505" s="15">
        <v>341.26</v>
      </c>
      <c r="M505" s="15">
        <v>288.55</v>
      </c>
      <c r="N505" s="15">
        <v>228</v>
      </c>
      <c r="O505" t="s">
        <v>3028</v>
      </c>
    </row>
    <row r="506" spans="1:15" x14ac:dyDescent="0.25">
      <c r="A506" s="10" t="s">
        <v>1151</v>
      </c>
      <c r="B506" s="15">
        <v>190.53</v>
      </c>
      <c r="C506" s="15">
        <v>0</v>
      </c>
      <c r="D506" s="15">
        <v>0</v>
      </c>
      <c r="E506" s="15">
        <v>0</v>
      </c>
      <c r="F506" s="15">
        <v>0</v>
      </c>
      <c r="G506" s="15">
        <v>0</v>
      </c>
      <c r="H506" s="15">
        <v>0</v>
      </c>
      <c r="I506" s="15">
        <v>0</v>
      </c>
      <c r="J506" s="15">
        <v>0</v>
      </c>
      <c r="K506" s="15">
        <v>0</v>
      </c>
      <c r="L506" s="15">
        <v>0</v>
      </c>
      <c r="M506" s="15">
        <v>0</v>
      </c>
      <c r="N506" s="15">
        <v>17.91</v>
      </c>
      <c r="O506" t="s">
        <v>3028</v>
      </c>
    </row>
    <row r="507" spans="1:15" x14ac:dyDescent="0.25">
      <c r="A507" s="10" t="s">
        <v>1153</v>
      </c>
      <c r="B507" s="15">
        <v>167.82</v>
      </c>
      <c r="C507" s="15">
        <v>162.75</v>
      </c>
      <c r="D507" s="15">
        <v>167.25</v>
      </c>
      <c r="E507" s="15">
        <v>383.68</v>
      </c>
      <c r="F507" s="15">
        <v>81.900000000000006</v>
      </c>
      <c r="G507" s="15">
        <v>154.51</v>
      </c>
      <c r="H507" s="15">
        <v>146.29</v>
      </c>
      <c r="I507" s="15">
        <v>287.29000000000002</v>
      </c>
      <c r="J507" s="15">
        <v>186.84</v>
      </c>
      <c r="K507" s="15">
        <v>204.4</v>
      </c>
      <c r="L507" s="15">
        <v>175.69</v>
      </c>
      <c r="M507" s="15">
        <v>187.91</v>
      </c>
      <c r="N507" s="15">
        <v>186.54</v>
      </c>
      <c r="O507" t="s">
        <v>3028</v>
      </c>
    </row>
    <row r="508" spans="1:15" x14ac:dyDescent="0.25">
      <c r="A508" s="10" t="s">
        <v>1155</v>
      </c>
      <c r="B508" s="15">
        <v>166.69</v>
      </c>
      <c r="C508" s="15">
        <v>192.24</v>
      </c>
      <c r="D508" s="15">
        <v>166.9</v>
      </c>
      <c r="E508" s="15">
        <v>283.92</v>
      </c>
      <c r="F508" s="15">
        <v>102.9</v>
      </c>
      <c r="G508" s="15">
        <v>183.33</v>
      </c>
      <c r="H508" s="15">
        <v>188.6</v>
      </c>
      <c r="I508" s="15">
        <v>293.85000000000002</v>
      </c>
      <c r="J508" s="15">
        <v>189.71</v>
      </c>
      <c r="K508" s="15">
        <v>288.72000000000003</v>
      </c>
      <c r="L508" s="15">
        <v>178.8</v>
      </c>
      <c r="M508" s="15">
        <v>179.62</v>
      </c>
      <c r="N508" s="15">
        <v>193.38</v>
      </c>
      <c r="O508" t="s">
        <v>3028</v>
      </c>
    </row>
    <row r="509" spans="1:15" x14ac:dyDescent="0.25">
      <c r="A509" s="10" t="s">
        <v>1159</v>
      </c>
      <c r="B509" s="15">
        <v>0</v>
      </c>
      <c r="C509" s="15">
        <v>0</v>
      </c>
      <c r="D509" s="15">
        <v>0</v>
      </c>
      <c r="E509" s="15">
        <v>0</v>
      </c>
      <c r="F509" s="15">
        <v>0</v>
      </c>
      <c r="G509" s="15">
        <v>0</v>
      </c>
      <c r="H509" s="15">
        <v>70.19</v>
      </c>
      <c r="I509" s="15">
        <v>149.88</v>
      </c>
      <c r="J509" s="15">
        <v>115.97</v>
      </c>
      <c r="K509" s="15">
        <v>120.85</v>
      </c>
      <c r="L509" s="15">
        <v>117.71</v>
      </c>
      <c r="M509" s="15">
        <v>116.69</v>
      </c>
      <c r="N509" s="15">
        <v>59.43</v>
      </c>
      <c r="O509" t="s">
        <v>3028</v>
      </c>
    </row>
    <row r="510" spans="1:15" x14ac:dyDescent="0.25">
      <c r="A510" s="10" t="s">
        <v>1161</v>
      </c>
      <c r="B510" s="15">
        <v>0</v>
      </c>
      <c r="C510" s="15">
        <v>0</v>
      </c>
      <c r="D510" s="15">
        <v>0</v>
      </c>
      <c r="E510" s="15">
        <v>0</v>
      </c>
      <c r="F510" s="15">
        <v>0</v>
      </c>
      <c r="G510" s="15">
        <v>0</v>
      </c>
      <c r="H510" s="15">
        <v>0</v>
      </c>
      <c r="I510" s="15">
        <v>0</v>
      </c>
      <c r="J510" s="15">
        <v>0</v>
      </c>
      <c r="K510" s="15">
        <v>163.27000000000001</v>
      </c>
      <c r="L510" s="15">
        <v>202.65</v>
      </c>
      <c r="M510" s="15">
        <v>222.69</v>
      </c>
      <c r="N510" s="15">
        <v>44.48</v>
      </c>
      <c r="O510" t="s">
        <v>3028</v>
      </c>
    </row>
    <row r="511" spans="1:15" x14ac:dyDescent="0.25">
      <c r="A511" s="10" t="s">
        <v>1163</v>
      </c>
      <c r="B511" s="15">
        <v>108.69</v>
      </c>
      <c r="C511" s="15">
        <v>109.23</v>
      </c>
      <c r="D511" s="15">
        <v>108.98</v>
      </c>
      <c r="E511" s="15">
        <v>272.77999999999997</v>
      </c>
      <c r="F511" s="15">
        <v>3.33</v>
      </c>
      <c r="G511" s="15">
        <v>106.75</v>
      </c>
      <c r="H511" s="15">
        <v>108.44</v>
      </c>
      <c r="I511" s="15">
        <v>161.1</v>
      </c>
      <c r="J511" s="15">
        <v>35.119999999999997</v>
      </c>
      <c r="K511" s="15">
        <v>0</v>
      </c>
      <c r="L511" s="15">
        <v>0</v>
      </c>
      <c r="M511" s="15">
        <v>0</v>
      </c>
      <c r="N511" s="15">
        <v>79.34</v>
      </c>
      <c r="O511" t="s">
        <v>3028</v>
      </c>
    </row>
    <row r="512" spans="1:15" x14ac:dyDescent="0.25">
      <c r="A512" s="10" t="s">
        <v>1165</v>
      </c>
      <c r="B512" s="15">
        <v>481.62</v>
      </c>
      <c r="C512" s="15">
        <v>523.30999999999995</v>
      </c>
      <c r="D512" s="15">
        <v>497.4</v>
      </c>
      <c r="E512" s="15">
        <v>536.36</v>
      </c>
      <c r="F512" s="15">
        <v>408.25</v>
      </c>
      <c r="G512" s="15">
        <v>1035.28</v>
      </c>
      <c r="H512" s="15">
        <v>0</v>
      </c>
      <c r="I512" s="15">
        <v>512.25</v>
      </c>
      <c r="J512" s="15">
        <v>503.51</v>
      </c>
      <c r="K512" s="15">
        <v>505.85</v>
      </c>
      <c r="L512" s="15">
        <v>518.83000000000004</v>
      </c>
      <c r="M512" s="15">
        <v>570.88</v>
      </c>
      <c r="N512" s="15">
        <v>515</v>
      </c>
      <c r="O512" t="s">
        <v>3028</v>
      </c>
    </row>
    <row r="513" spans="1:15" x14ac:dyDescent="0.25">
      <c r="A513" s="10" t="s">
        <v>1167</v>
      </c>
      <c r="B513" s="15">
        <v>166.47</v>
      </c>
      <c r="C513" s="15">
        <v>197.14</v>
      </c>
      <c r="D513" s="15">
        <v>167.2</v>
      </c>
      <c r="E513" s="15">
        <v>177.27</v>
      </c>
      <c r="F513" s="15">
        <v>210.71</v>
      </c>
      <c r="G513" s="15">
        <v>203.83</v>
      </c>
      <c r="H513" s="15">
        <v>490.56</v>
      </c>
      <c r="I513" s="15">
        <v>79.489999999999995</v>
      </c>
      <c r="J513" s="15">
        <v>177.06</v>
      </c>
      <c r="K513" s="15">
        <v>190.85</v>
      </c>
      <c r="L513" s="15">
        <v>314.89</v>
      </c>
      <c r="M513" s="15">
        <v>289.74</v>
      </c>
      <c r="N513" s="15">
        <v>205.02</v>
      </c>
      <c r="O513" t="s">
        <v>3028</v>
      </c>
    </row>
    <row r="514" spans="1:15" x14ac:dyDescent="0.25">
      <c r="A514" s="10" t="s">
        <v>1169</v>
      </c>
      <c r="B514" s="15">
        <v>500.79</v>
      </c>
      <c r="C514" s="15">
        <v>254.49</v>
      </c>
      <c r="D514" s="15">
        <v>313.02</v>
      </c>
      <c r="E514" s="15">
        <v>319.26</v>
      </c>
      <c r="F514" s="15">
        <v>313.02</v>
      </c>
      <c r="G514" s="15">
        <v>313.02</v>
      </c>
      <c r="H514" s="15">
        <v>313.10000000000002</v>
      </c>
      <c r="I514" s="15">
        <v>405.25</v>
      </c>
      <c r="J514" s="15">
        <v>343.76</v>
      </c>
      <c r="K514" s="15">
        <v>343.76</v>
      </c>
      <c r="L514" s="15">
        <v>343.91</v>
      </c>
      <c r="M514" s="15">
        <v>345.1</v>
      </c>
      <c r="N514" s="15">
        <v>345.34</v>
      </c>
      <c r="O514" t="s">
        <v>3028</v>
      </c>
    </row>
    <row r="515" spans="1:15" x14ac:dyDescent="0.25">
      <c r="A515" s="10" t="s">
        <v>1171</v>
      </c>
      <c r="B515" s="15">
        <v>192.82</v>
      </c>
      <c r="C515" s="15">
        <v>195.65</v>
      </c>
      <c r="D515" s="15">
        <v>192.74</v>
      </c>
      <c r="E515" s="15">
        <v>193.42</v>
      </c>
      <c r="F515" s="15">
        <v>194.52</v>
      </c>
      <c r="G515" s="15">
        <v>370.59</v>
      </c>
      <c r="H515" s="15">
        <v>161.46</v>
      </c>
      <c r="I515" s="15">
        <v>312.77999999999997</v>
      </c>
      <c r="J515" s="15">
        <v>209.06</v>
      </c>
      <c r="K515" s="15">
        <v>210.01</v>
      </c>
      <c r="L515" s="15">
        <v>208.8</v>
      </c>
      <c r="M515" s="15">
        <v>207.76</v>
      </c>
      <c r="N515" s="15">
        <v>210.95</v>
      </c>
      <c r="O515" t="s">
        <v>3028</v>
      </c>
    </row>
    <row r="516" spans="1:15" x14ac:dyDescent="0.25">
      <c r="A516" s="10" t="s">
        <v>1173</v>
      </c>
      <c r="B516" s="15">
        <v>156.85</v>
      </c>
      <c r="C516" s="15">
        <v>157.13</v>
      </c>
      <c r="D516" s="15">
        <v>158.18</v>
      </c>
      <c r="E516" s="15">
        <v>153.69</v>
      </c>
      <c r="F516" s="15">
        <v>171.59</v>
      </c>
      <c r="G516" s="15">
        <v>0</v>
      </c>
      <c r="H516" s="15">
        <v>0</v>
      </c>
      <c r="I516" s="15">
        <v>0</v>
      </c>
      <c r="J516" s="15">
        <v>0</v>
      </c>
      <c r="K516" s="15">
        <v>0</v>
      </c>
      <c r="L516" s="15">
        <v>0</v>
      </c>
      <c r="M516" s="15">
        <v>0</v>
      </c>
      <c r="N516" s="15">
        <v>55.02</v>
      </c>
      <c r="O516" t="s">
        <v>3028</v>
      </c>
    </row>
    <row r="517" spans="1:15" x14ac:dyDescent="0.25">
      <c r="A517" s="10" t="s">
        <v>1175</v>
      </c>
      <c r="B517" s="15">
        <v>399.63</v>
      </c>
      <c r="C517" s="15">
        <v>419.63</v>
      </c>
      <c r="D517" s="15">
        <v>393.51</v>
      </c>
      <c r="E517" s="15">
        <v>388.3</v>
      </c>
      <c r="F517" s="15">
        <v>338</v>
      </c>
      <c r="G517" s="15">
        <v>340.89</v>
      </c>
      <c r="H517" s="15">
        <v>620.66999999999996</v>
      </c>
      <c r="I517" s="15">
        <v>323.95999999999998</v>
      </c>
      <c r="J517" s="15">
        <v>369.33</v>
      </c>
      <c r="K517" s="15">
        <v>374.34</v>
      </c>
      <c r="L517" s="15">
        <v>460.07</v>
      </c>
      <c r="M517" s="15">
        <v>399.01</v>
      </c>
      <c r="N517" s="15">
        <v>395.16</v>
      </c>
      <c r="O517" t="s">
        <v>3028</v>
      </c>
    </row>
    <row r="518" spans="1:15" x14ac:dyDescent="0.25">
      <c r="A518" s="10" t="s">
        <v>1177</v>
      </c>
      <c r="B518" s="15">
        <v>326.06</v>
      </c>
      <c r="C518" s="15">
        <v>226.39</v>
      </c>
      <c r="D518" s="15">
        <v>227.69</v>
      </c>
      <c r="E518" s="15">
        <v>226.39</v>
      </c>
      <c r="F518" s="15">
        <v>231.92</v>
      </c>
      <c r="G518" s="15">
        <v>226.84</v>
      </c>
      <c r="H518" s="15">
        <v>233.14</v>
      </c>
      <c r="I518" s="15">
        <v>360.16</v>
      </c>
      <c r="J518" s="15">
        <v>304.79000000000002</v>
      </c>
      <c r="K518" s="15">
        <v>310.77</v>
      </c>
      <c r="L518" s="15">
        <v>7.36</v>
      </c>
      <c r="M518" s="15">
        <v>0</v>
      </c>
      <c r="N518" s="15">
        <v>212.23</v>
      </c>
      <c r="O518" t="s">
        <v>3028</v>
      </c>
    </row>
    <row r="519" spans="1:15" x14ac:dyDescent="0.25">
      <c r="A519" s="10" t="s">
        <v>1179</v>
      </c>
      <c r="B519" s="15">
        <v>149.36000000000001</v>
      </c>
      <c r="C519" s="15">
        <v>157.76</v>
      </c>
      <c r="D519" s="15">
        <v>159.54</v>
      </c>
      <c r="E519" s="15">
        <v>330.56</v>
      </c>
      <c r="F519" s="15">
        <v>40.39</v>
      </c>
      <c r="G519" s="15">
        <v>115.49</v>
      </c>
      <c r="H519" s="15">
        <v>166.72</v>
      </c>
      <c r="I519" s="15">
        <v>310.08999999999997</v>
      </c>
      <c r="J519" s="15">
        <v>199.48</v>
      </c>
      <c r="K519" s="15">
        <v>292.76</v>
      </c>
      <c r="L519" s="15">
        <v>219.68</v>
      </c>
      <c r="M519" s="15">
        <v>213.14</v>
      </c>
      <c r="N519" s="15">
        <v>207.29</v>
      </c>
      <c r="O519" t="s">
        <v>3028</v>
      </c>
    </row>
    <row r="520" spans="1:15" x14ac:dyDescent="0.25">
      <c r="A520" s="10" t="s">
        <v>1181</v>
      </c>
      <c r="B520" s="15">
        <v>570.88</v>
      </c>
      <c r="C520" s="15">
        <v>570.88</v>
      </c>
      <c r="D520" s="15">
        <v>570.88</v>
      </c>
      <c r="E520" s="15">
        <v>570.88</v>
      </c>
      <c r="F520" s="15">
        <v>570.88</v>
      </c>
      <c r="G520" s="15">
        <v>570.88</v>
      </c>
      <c r="H520" s="15">
        <v>570.88</v>
      </c>
      <c r="I520" s="15">
        <v>570.88</v>
      </c>
      <c r="J520" s="15">
        <v>570.88</v>
      </c>
      <c r="K520" s="15">
        <v>570.88</v>
      </c>
      <c r="L520" s="15">
        <v>570.88</v>
      </c>
      <c r="M520" s="15">
        <v>570.88</v>
      </c>
      <c r="N520" s="15">
        <v>570.88</v>
      </c>
      <c r="O520" t="s">
        <v>3028</v>
      </c>
    </row>
    <row r="521" spans="1:15" x14ac:dyDescent="0.25">
      <c r="A521" s="10" t="s">
        <v>1183</v>
      </c>
      <c r="B521" s="15">
        <v>163.80000000000001</v>
      </c>
      <c r="C521" s="15">
        <v>0</v>
      </c>
      <c r="D521" s="15">
        <v>0</v>
      </c>
      <c r="E521" s="15">
        <v>0</v>
      </c>
      <c r="F521" s="15">
        <v>0</v>
      </c>
      <c r="G521" s="15">
        <v>0</v>
      </c>
      <c r="H521" s="15">
        <v>0</v>
      </c>
      <c r="I521" s="15">
        <v>0</v>
      </c>
      <c r="J521" s="15">
        <v>0</v>
      </c>
      <c r="K521" s="15">
        <v>0</v>
      </c>
      <c r="L521" s="15">
        <v>0</v>
      </c>
      <c r="M521" s="15">
        <v>0</v>
      </c>
      <c r="N521" s="15">
        <v>8.77</v>
      </c>
      <c r="O521" t="s">
        <v>3028</v>
      </c>
    </row>
    <row r="522" spans="1:15" x14ac:dyDescent="0.25">
      <c r="A522" s="10" t="s">
        <v>1185</v>
      </c>
      <c r="B522" s="15">
        <v>153.99</v>
      </c>
      <c r="C522" s="15">
        <v>165.66</v>
      </c>
      <c r="D522" s="15">
        <v>154.18</v>
      </c>
      <c r="E522" s="15">
        <v>170.99</v>
      </c>
      <c r="F522" s="15">
        <v>166.42</v>
      </c>
      <c r="G522" s="15">
        <v>282.93</v>
      </c>
      <c r="H522" s="15">
        <v>105.65</v>
      </c>
      <c r="I522" s="15">
        <v>217.89</v>
      </c>
      <c r="J522" s="15">
        <v>180.09</v>
      </c>
      <c r="K522" s="15">
        <v>178.05</v>
      </c>
      <c r="L522" s="15">
        <v>179.03</v>
      </c>
      <c r="M522" s="15">
        <v>179.4</v>
      </c>
      <c r="N522" s="15">
        <v>181.34</v>
      </c>
      <c r="O522" t="s">
        <v>3028</v>
      </c>
    </row>
    <row r="523" spans="1:15" x14ac:dyDescent="0.25">
      <c r="A523" s="10" t="s">
        <v>1187</v>
      </c>
      <c r="B523" s="15">
        <v>157.53</v>
      </c>
      <c r="C523" s="15">
        <v>154.33000000000001</v>
      </c>
      <c r="D523" s="15">
        <v>151.79</v>
      </c>
      <c r="E523" s="15">
        <v>341.79</v>
      </c>
      <c r="F523" s="15">
        <v>33.49</v>
      </c>
      <c r="G523" s="15">
        <v>116.71</v>
      </c>
      <c r="H523" s="15">
        <v>153.09</v>
      </c>
      <c r="I523" s="15">
        <v>207.09</v>
      </c>
      <c r="J523" s="15">
        <v>164.27</v>
      </c>
      <c r="K523" s="15">
        <v>167.15</v>
      </c>
      <c r="L523" s="15">
        <v>152.59</v>
      </c>
      <c r="M523" s="15">
        <v>158.30000000000001</v>
      </c>
      <c r="N523" s="15">
        <v>164.93</v>
      </c>
      <c r="O523" t="s">
        <v>3028</v>
      </c>
    </row>
    <row r="524" spans="1:15" x14ac:dyDescent="0.25">
      <c r="A524" s="10" t="s">
        <v>1191</v>
      </c>
      <c r="B524" s="15">
        <v>439.62</v>
      </c>
      <c r="C524" s="15">
        <v>377.63</v>
      </c>
      <c r="D524" s="15">
        <v>916</v>
      </c>
      <c r="E524" s="15">
        <v>92.72</v>
      </c>
      <c r="F524" s="15">
        <v>321.01</v>
      </c>
      <c r="G524" s="15">
        <v>371.46</v>
      </c>
      <c r="H524" s="15">
        <v>405.42</v>
      </c>
      <c r="I524" s="15">
        <v>533.05999999999995</v>
      </c>
      <c r="J524" s="15">
        <v>440.12</v>
      </c>
      <c r="K524" s="15">
        <v>424.77</v>
      </c>
      <c r="L524" s="15">
        <v>419.54</v>
      </c>
      <c r="M524" s="15">
        <v>452.65</v>
      </c>
      <c r="N524" s="15">
        <v>432.61</v>
      </c>
      <c r="O524" t="s">
        <v>3028</v>
      </c>
    </row>
    <row r="525" spans="1:15" x14ac:dyDescent="0.25">
      <c r="A525" s="10" t="s">
        <v>1193</v>
      </c>
      <c r="B525" s="15">
        <v>0</v>
      </c>
      <c r="C525" s="15">
        <v>0</v>
      </c>
      <c r="D525" s="15">
        <v>0</v>
      </c>
      <c r="E525" s="15">
        <v>0</v>
      </c>
      <c r="F525" s="15">
        <v>0</v>
      </c>
      <c r="G525" s="15">
        <v>540.76</v>
      </c>
      <c r="H525" s="15">
        <v>570.88</v>
      </c>
      <c r="I525" s="15">
        <v>570.88</v>
      </c>
      <c r="J525" s="15">
        <v>570.88</v>
      </c>
      <c r="K525" s="15">
        <v>570.88</v>
      </c>
      <c r="L525" s="15">
        <v>570.88</v>
      </c>
      <c r="M525" s="15">
        <v>570.88</v>
      </c>
      <c r="N525" s="15">
        <v>378.53</v>
      </c>
      <c r="O525" t="s">
        <v>3028</v>
      </c>
    </row>
    <row r="526" spans="1:15" x14ac:dyDescent="0.25">
      <c r="A526" s="10" t="s">
        <v>1195</v>
      </c>
      <c r="B526" s="15">
        <v>205.34</v>
      </c>
      <c r="C526" s="15">
        <v>230.4</v>
      </c>
      <c r="D526" s="15">
        <v>212.85</v>
      </c>
      <c r="E526" s="15">
        <v>214.58</v>
      </c>
      <c r="F526" s="15">
        <v>193.8</v>
      </c>
      <c r="G526" s="15">
        <v>360.33</v>
      </c>
      <c r="H526" s="15">
        <v>160.19999999999999</v>
      </c>
      <c r="I526" s="15">
        <v>338.94</v>
      </c>
      <c r="J526" s="15">
        <v>425.33</v>
      </c>
      <c r="K526" s="15">
        <v>0</v>
      </c>
      <c r="L526" s="15">
        <v>0</v>
      </c>
      <c r="M526" s="15">
        <v>0</v>
      </c>
      <c r="N526" s="15">
        <v>186.43</v>
      </c>
      <c r="O526" t="s">
        <v>3028</v>
      </c>
    </row>
    <row r="527" spans="1:15" x14ac:dyDescent="0.25">
      <c r="A527" s="10" t="s">
        <v>1197</v>
      </c>
      <c r="B527" s="15">
        <v>313.14</v>
      </c>
      <c r="C527" s="15">
        <v>306.69</v>
      </c>
      <c r="D527" s="15">
        <v>305.17</v>
      </c>
      <c r="E527" s="15">
        <v>320.69</v>
      </c>
      <c r="F527" s="15">
        <v>306.27</v>
      </c>
      <c r="G527" s="15">
        <v>307.76</v>
      </c>
      <c r="H527" s="15">
        <v>533.59</v>
      </c>
      <c r="I527" s="15">
        <v>259.74</v>
      </c>
      <c r="J527" s="15">
        <v>528.07000000000005</v>
      </c>
      <c r="K527" s="15">
        <v>504.76</v>
      </c>
      <c r="L527" s="15">
        <v>478.16</v>
      </c>
      <c r="M527" s="15">
        <v>477.25</v>
      </c>
      <c r="N527" s="15">
        <v>482.94</v>
      </c>
      <c r="O527" t="s">
        <v>3028</v>
      </c>
    </row>
    <row r="528" spans="1:15" x14ac:dyDescent="0.25">
      <c r="A528" s="10" t="s">
        <v>1199</v>
      </c>
      <c r="B528" s="15">
        <v>117.07</v>
      </c>
      <c r="C528" s="15">
        <v>117.41</v>
      </c>
      <c r="D528" s="15">
        <v>107.9</v>
      </c>
      <c r="E528" s="15">
        <v>269.44</v>
      </c>
      <c r="F528" s="15">
        <v>0.59</v>
      </c>
      <c r="G528" s="15">
        <v>105.29</v>
      </c>
      <c r="H528" s="15">
        <v>105.95</v>
      </c>
      <c r="I528" s="15">
        <v>153.57</v>
      </c>
      <c r="J528" s="15">
        <v>145.21</v>
      </c>
      <c r="K528" s="15">
        <v>115.81</v>
      </c>
      <c r="L528" s="15">
        <v>115.83</v>
      </c>
      <c r="M528" s="15">
        <v>116.3</v>
      </c>
      <c r="N528" s="15">
        <v>119.42</v>
      </c>
      <c r="O528" t="s">
        <v>3028</v>
      </c>
    </row>
    <row r="529" spans="1:15" x14ac:dyDescent="0.25">
      <c r="A529" s="10" t="s">
        <v>1201</v>
      </c>
      <c r="B529" s="15">
        <v>0</v>
      </c>
      <c r="C529" s="15">
        <v>0</v>
      </c>
      <c r="D529" s="15">
        <v>0</v>
      </c>
      <c r="E529" s="15">
        <v>0</v>
      </c>
      <c r="F529" s="15">
        <v>0</v>
      </c>
      <c r="G529" s="15">
        <v>0</v>
      </c>
      <c r="H529" s="15">
        <v>0</v>
      </c>
      <c r="I529" s="15">
        <v>0</v>
      </c>
      <c r="J529" s="15">
        <v>90.13</v>
      </c>
      <c r="K529" s="15">
        <v>165.32</v>
      </c>
      <c r="L529" s="15">
        <v>172.45</v>
      </c>
      <c r="M529" s="15">
        <v>201.1</v>
      </c>
      <c r="N529" s="15">
        <v>48.69</v>
      </c>
      <c r="O529" t="s">
        <v>3028</v>
      </c>
    </row>
    <row r="530" spans="1:15" x14ac:dyDescent="0.25">
      <c r="A530" s="10" t="s">
        <v>1203</v>
      </c>
      <c r="B530" s="15">
        <v>153.58000000000001</v>
      </c>
      <c r="C530" s="15">
        <v>188.31</v>
      </c>
      <c r="D530" s="15">
        <v>358.98</v>
      </c>
      <c r="E530" s="15">
        <v>0</v>
      </c>
      <c r="F530" s="15">
        <v>0</v>
      </c>
      <c r="G530" s="15">
        <v>0</v>
      </c>
      <c r="H530" s="15">
        <v>0</v>
      </c>
      <c r="I530" s="15">
        <v>0</v>
      </c>
      <c r="J530" s="15">
        <v>0</v>
      </c>
      <c r="K530" s="15">
        <v>0</v>
      </c>
      <c r="L530" s="15">
        <v>0</v>
      </c>
      <c r="M530" s="15">
        <v>0</v>
      </c>
      <c r="N530" s="15">
        <v>51</v>
      </c>
      <c r="O530" t="s">
        <v>3028</v>
      </c>
    </row>
    <row r="531" spans="1:15" x14ac:dyDescent="0.25">
      <c r="A531" s="10" t="s">
        <v>1205</v>
      </c>
      <c r="B531" s="15">
        <v>0</v>
      </c>
      <c r="C531" s="15">
        <v>0</v>
      </c>
      <c r="D531" s="15">
        <v>0</v>
      </c>
      <c r="E531" s="15">
        <v>0</v>
      </c>
      <c r="F531" s="15">
        <v>0</v>
      </c>
      <c r="G531" s="15">
        <v>0</v>
      </c>
      <c r="H531" s="15">
        <v>0</v>
      </c>
      <c r="I531" s="15">
        <v>0</v>
      </c>
      <c r="J531" s="15">
        <v>476.66</v>
      </c>
      <c r="K531" s="15">
        <v>550</v>
      </c>
      <c r="L531" s="15">
        <v>550</v>
      </c>
      <c r="M531" s="15">
        <v>550</v>
      </c>
      <c r="N531" s="15">
        <v>150</v>
      </c>
      <c r="O531" t="s">
        <v>3028</v>
      </c>
    </row>
    <row r="532" spans="1:15" x14ac:dyDescent="0.25">
      <c r="A532" s="10" t="s">
        <v>1207</v>
      </c>
      <c r="B532" s="15">
        <v>447.1</v>
      </c>
      <c r="C532" s="15">
        <v>449.95</v>
      </c>
      <c r="D532" s="15">
        <v>452.52</v>
      </c>
      <c r="E532" s="15">
        <v>479.8</v>
      </c>
      <c r="F532" s="15">
        <v>441.71</v>
      </c>
      <c r="G532" s="15">
        <v>832.31</v>
      </c>
      <c r="H532" s="15">
        <v>211.35</v>
      </c>
      <c r="I532" s="15">
        <v>570.88</v>
      </c>
      <c r="J532" s="15">
        <v>501.28</v>
      </c>
      <c r="K532" s="15">
        <v>539.29</v>
      </c>
      <c r="L532" s="15">
        <v>491.03</v>
      </c>
      <c r="M532" s="15">
        <v>487.13</v>
      </c>
      <c r="N532" s="15">
        <v>499.46</v>
      </c>
      <c r="O532" t="s">
        <v>3028</v>
      </c>
    </row>
    <row r="533" spans="1:15" x14ac:dyDescent="0.25">
      <c r="A533" s="10" t="s">
        <v>1209</v>
      </c>
      <c r="B533" s="15">
        <v>494.57</v>
      </c>
      <c r="C533" s="15">
        <v>446.4</v>
      </c>
      <c r="D533" s="15">
        <v>460.82</v>
      </c>
      <c r="E533" s="15">
        <v>451.53</v>
      </c>
      <c r="F533" s="15">
        <v>448.95</v>
      </c>
      <c r="G533" s="15">
        <v>979.3</v>
      </c>
      <c r="H533" s="15">
        <v>60.93</v>
      </c>
      <c r="I533" s="15">
        <v>570.88</v>
      </c>
      <c r="J533" s="15">
        <v>488.57</v>
      </c>
      <c r="K533" s="15">
        <v>504.85</v>
      </c>
      <c r="L533" s="15">
        <v>488.57</v>
      </c>
      <c r="M533" s="15">
        <v>488.57</v>
      </c>
      <c r="N533" s="15">
        <v>498.5</v>
      </c>
      <c r="O533" t="s">
        <v>3028</v>
      </c>
    </row>
    <row r="534" spans="1:15" x14ac:dyDescent="0.25">
      <c r="A534" s="10" t="s">
        <v>1211</v>
      </c>
      <c r="B534" s="15">
        <v>307.29000000000002</v>
      </c>
      <c r="C534" s="15">
        <v>303.89</v>
      </c>
      <c r="D534" s="15">
        <v>217.05</v>
      </c>
      <c r="E534" s="15">
        <v>524.07000000000005</v>
      </c>
      <c r="F534" s="15">
        <v>159.44999999999999</v>
      </c>
      <c r="G534" s="15">
        <v>297.45</v>
      </c>
      <c r="H534" s="15">
        <v>309.66000000000003</v>
      </c>
      <c r="I534" s="15">
        <v>408.35</v>
      </c>
      <c r="J534" s="15">
        <v>327.54000000000002</v>
      </c>
      <c r="K534" s="15">
        <v>395.11</v>
      </c>
      <c r="L534" s="15">
        <v>329.01</v>
      </c>
      <c r="M534" s="15">
        <v>292.39</v>
      </c>
      <c r="N534" s="15">
        <v>329.9</v>
      </c>
      <c r="O534" t="s">
        <v>3028</v>
      </c>
    </row>
    <row r="535" spans="1:15" x14ac:dyDescent="0.25">
      <c r="A535" s="10" t="s">
        <v>1213</v>
      </c>
      <c r="B535" s="15">
        <v>320.70999999999998</v>
      </c>
      <c r="C535" s="15">
        <v>304.2</v>
      </c>
      <c r="D535" s="15">
        <v>304.2</v>
      </c>
      <c r="E535" s="15">
        <v>304.2</v>
      </c>
      <c r="F535" s="15">
        <v>305.47000000000003</v>
      </c>
      <c r="G535" s="15">
        <v>304.67</v>
      </c>
      <c r="H535" s="15">
        <v>304.97000000000003</v>
      </c>
      <c r="I535" s="15">
        <v>546.59</v>
      </c>
      <c r="J535" s="15">
        <v>265.58</v>
      </c>
      <c r="K535" s="15">
        <v>359.52</v>
      </c>
      <c r="L535" s="15">
        <v>347.21</v>
      </c>
      <c r="M535" s="15">
        <v>337.9</v>
      </c>
      <c r="N535" s="15">
        <v>338.9</v>
      </c>
      <c r="O535" t="s">
        <v>3028</v>
      </c>
    </row>
    <row r="536" spans="1:15" x14ac:dyDescent="0.25">
      <c r="A536" s="10" t="s">
        <v>1215</v>
      </c>
      <c r="B536" s="15">
        <v>110.46</v>
      </c>
      <c r="C536" s="15">
        <v>110.1</v>
      </c>
      <c r="D536" s="15">
        <v>107.69</v>
      </c>
      <c r="E536" s="15">
        <v>111.42</v>
      </c>
      <c r="F536" s="15">
        <v>107.95</v>
      </c>
      <c r="G536" s="15">
        <v>141.13999999999999</v>
      </c>
      <c r="H536" s="15">
        <v>163.52000000000001</v>
      </c>
      <c r="I536" s="15">
        <v>424.72</v>
      </c>
      <c r="J536" s="15">
        <v>129.63999999999999</v>
      </c>
      <c r="K536" s="15">
        <v>179.14</v>
      </c>
      <c r="L536" s="15">
        <v>178.85</v>
      </c>
      <c r="M536" s="15">
        <v>190.84</v>
      </c>
      <c r="N536" s="15">
        <v>185.88</v>
      </c>
      <c r="O536" t="s">
        <v>3028</v>
      </c>
    </row>
    <row r="537" spans="1:15" x14ac:dyDescent="0.25">
      <c r="A537" s="10" t="s">
        <v>1217</v>
      </c>
      <c r="B537" s="15">
        <v>473.93</v>
      </c>
      <c r="C537" s="15">
        <v>510.15</v>
      </c>
      <c r="D537" s="15">
        <v>509.97</v>
      </c>
      <c r="E537" s="15">
        <v>467.95</v>
      </c>
      <c r="F537" s="15">
        <v>459.89</v>
      </c>
      <c r="G537" s="15">
        <v>464.95</v>
      </c>
      <c r="H537" s="15">
        <v>457.57</v>
      </c>
      <c r="I537" s="15">
        <v>460.96</v>
      </c>
      <c r="J537" s="15">
        <v>459.53</v>
      </c>
      <c r="K537" s="15">
        <v>547.04</v>
      </c>
      <c r="L537" s="15">
        <v>503.72</v>
      </c>
      <c r="M537" s="15">
        <v>501.59</v>
      </c>
      <c r="N537" s="15">
        <v>515.09</v>
      </c>
      <c r="O537" t="s">
        <v>3028</v>
      </c>
    </row>
    <row r="538" spans="1:15" x14ac:dyDescent="0.25">
      <c r="A538" s="10" t="s">
        <v>1219</v>
      </c>
      <c r="B538" s="15">
        <v>303.57</v>
      </c>
      <c r="C538" s="15">
        <v>305.48</v>
      </c>
      <c r="D538" s="15">
        <v>205.41</v>
      </c>
      <c r="E538" s="15">
        <v>191.97</v>
      </c>
      <c r="F538" s="15">
        <v>211.85</v>
      </c>
      <c r="G538" s="15">
        <v>190.08</v>
      </c>
      <c r="H538" s="15">
        <v>191.13</v>
      </c>
      <c r="I538" s="15">
        <v>208.65</v>
      </c>
      <c r="J538" s="15">
        <v>390.46</v>
      </c>
      <c r="K538" s="15">
        <v>233.58</v>
      </c>
      <c r="L538" s="15">
        <v>228.46</v>
      </c>
      <c r="M538" s="15">
        <v>208.36</v>
      </c>
      <c r="N538" s="15">
        <v>222.58</v>
      </c>
      <c r="O538" t="s">
        <v>3028</v>
      </c>
    </row>
    <row r="539" spans="1:15" x14ac:dyDescent="0.25">
      <c r="A539" s="10" t="s">
        <v>1221</v>
      </c>
      <c r="B539" s="15">
        <v>189.36</v>
      </c>
      <c r="C539" s="15">
        <v>200.7</v>
      </c>
      <c r="D539" s="15">
        <v>201.3</v>
      </c>
      <c r="E539" s="15">
        <v>203.61</v>
      </c>
      <c r="F539" s="15">
        <v>200.19</v>
      </c>
      <c r="G539" s="15">
        <v>371.85</v>
      </c>
      <c r="H539" s="15">
        <v>190.45</v>
      </c>
      <c r="I539" s="15">
        <v>337.8</v>
      </c>
      <c r="J539" s="15">
        <v>218.99</v>
      </c>
      <c r="K539" s="15">
        <v>227.59</v>
      </c>
      <c r="L539" s="15">
        <v>220.46</v>
      </c>
      <c r="M539" s="15">
        <v>223.68</v>
      </c>
      <c r="N539" s="15">
        <v>222.35</v>
      </c>
      <c r="O539" t="s">
        <v>3028</v>
      </c>
    </row>
    <row r="540" spans="1:15" x14ac:dyDescent="0.25">
      <c r="A540" s="10" t="s">
        <v>1223</v>
      </c>
      <c r="B540" s="15">
        <v>193.71</v>
      </c>
      <c r="C540" s="15">
        <v>193.92</v>
      </c>
      <c r="D540" s="15">
        <v>172.67</v>
      </c>
      <c r="E540" s="15">
        <v>159.05000000000001</v>
      </c>
      <c r="F540" s="15">
        <v>159.65</v>
      </c>
      <c r="G540" s="15">
        <v>386.22</v>
      </c>
      <c r="H540" s="15">
        <v>10.78</v>
      </c>
      <c r="I540" s="15">
        <v>203.51</v>
      </c>
      <c r="J540" s="15">
        <v>174.74</v>
      </c>
      <c r="K540" s="15">
        <v>174.42</v>
      </c>
      <c r="L540" s="15">
        <v>172.62</v>
      </c>
      <c r="M540" s="15">
        <v>182.44</v>
      </c>
      <c r="N540" s="15">
        <v>182.92</v>
      </c>
      <c r="O540" t="s">
        <v>3028</v>
      </c>
    </row>
    <row r="541" spans="1:15" x14ac:dyDescent="0.25">
      <c r="A541" s="10" t="s">
        <v>1225</v>
      </c>
      <c r="B541" s="15">
        <v>103.98</v>
      </c>
      <c r="C541" s="15">
        <v>103.98</v>
      </c>
      <c r="D541" s="15">
        <v>93.37</v>
      </c>
      <c r="E541" s="15">
        <v>104.82</v>
      </c>
      <c r="F541" s="15">
        <v>104.12</v>
      </c>
      <c r="G541" s="15">
        <v>104.08</v>
      </c>
      <c r="H541" s="15">
        <v>262.14</v>
      </c>
      <c r="I541" s="15">
        <v>0.7</v>
      </c>
      <c r="J541" s="15">
        <v>104.53</v>
      </c>
      <c r="K541" s="15">
        <v>140.91</v>
      </c>
      <c r="L541" s="15">
        <v>114.39</v>
      </c>
      <c r="M541" s="15">
        <v>114.13</v>
      </c>
      <c r="N541" s="15">
        <v>114.45</v>
      </c>
      <c r="O541" t="s">
        <v>3028</v>
      </c>
    </row>
    <row r="542" spans="1:15" x14ac:dyDescent="0.25">
      <c r="A542" s="10" t="s">
        <v>1227</v>
      </c>
      <c r="B542" s="15">
        <v>543.45000000000005</v>
      </c>
      <c r="C542" s="15">
        <v>860.52</v>
      </c>
      <c r="D542" s="15">
        <v>12.88</v>
      </c>
      <c r="E542" s="15">
        <v>365</v>
      </c>
      <c r="F542" s="15">
        <v>365.16</v>
      </c>
      <c r="G542" s="15">
        <v>365.22</v>
      </c>
      <c r="H542" s="15">
        <v>366.89</v>
      </c>
      <c r="I542" s="15">
        <v>472.7</v>
      </c>
      <c r="J542" s="15">
        <v>400.81</v>
      </c>
      <c r="K542" s="15">
        <v>405.53</v>
      </c>
      <c r="L542" s="15">
        <v>401.46</v>
      </c>
      <c r="M542" s="15">
        <v>400.81</v>
      </c>
      <c r="N542" s="15">
        <v>417.56</v>
      </c>
      <c r="O542" t="s">
        <v>3028</v>
      </c>
    </row>
    <row r="543" spans="1:15" x14ac:dyDescent="0.25">
      <c r="A543" s="10" t="s">
        <v>1229</v>
      </c>
      <c r="B543" s="15">
        <v>492.38</v>
      </c>
      <c r="C543" s="15">
        <v>481.8</v>
      </c>
      <c r="D543" s="15">
        <v>481.8</v>
      </c>
      <c r="E543" s="15">
        <v>481.8</v>
      </c>
      <c r="F543" s="15">
        <v>481.8</v>
      </c>
      <c r="G543" s="15">
        <v>481.8</v>
      </c>
      <c r="H543" s="15">
        <v>481.8</v>
      </c>
      <c r="I543" s="15">
        <v>570.88</v>
      </c>
      <c r="J543" s="15">
        <v>1099.99</v>
      </c>
      <c r="K543" s="15">
        <v>0</v>
      </c>
      <c r="L543" s="15">
        <v>538.46</v>
      </c>
      <c r="M543" s="15">
        <v>532.76</v>
      </c>
      <c r="N543" s="15">
        <v>530.64</v>
      </c>
      <c r="O543" t="s">
        <v>3028</v>
      </c>
    </row>
    <row r="544" spans="1:15" x14ac:dyDescent="0.25">
      <c r="A544" s="10" t="s">
        <v>1231</v>
      </c>
      <c r="B544" s="15">
        <v>570.88</v>
      </c>
      <c r="C544" s="15">
        <v>570.88</v>
      </c>
      <c r="D544" s="15">
        <v>570.88</v>
      </c>
      <c r="E544" s="15">
        <v>570.88</v>
      </c>
      <c r="F544" s="15">
        <v>570.88</v>
      </c>
      <c r="G544" s="15">
        <v>570.88</v>
      </c>
      <c r="H544" s="15">
        <v>570.88</v>
      </c>
      <c r="I544" s="15">
        <v>570.88</v>
      </c>
      <c r="J544" s="15">
        <v>570.88</v>
      </c>
      <c r="K544" s="15">
        <v>570.88</v>
      </c>
      <c r="L544" s="15">
        <v>570.88</v>
      </c>
      <c r="M544" s="15">
        <v>570.88</v>
      </c>
      <c r="N544" s="15">
        <v>570.88</v>
      </c>
      <c r="O544" t="s">
        <v>3028</v>
      </c>
    </row>
    <row r="545" spans="1:15" x14ac:dyDescent="0.25">
      <c r="A545" s="10" t="s">
        <v>1233</v>
      </c>
      <c r="B545" s="15">
        <v>0</v>
      </c>
      <c r="C545" s="15">
        <v>0</v>
      </c>
      <c r="D545" s="15">
        <v>189.21</v>
      </c>
      <c r="E545" s="15">
        <v>301.58</v>
      </c>
      <c r="F545" s="15">
        <v>300.58</v>
      </c>
      <c r="G545" s="15">
        <v>338.53</v>
      </c>
      <c r="H545" s="15">
        <v>325.08999999999997</v>
      </c>
      <c r="I545" s="15">
        <v>455.11</v>
      </c>
      <c r="J545" s="15">
        <v>381.8</v>
      </c>
      <c r="K545" s="15">
        <v>405.86</v>
      </c>
      <c r="L545" s="15">
        <v>0</v>
      </c>
      <c r="M545" s="15">
        <v>0</v>
      </c>
      <c r="N545" s="15">
        <v>192.01</v>
      </c>
      <c r="O545" t="s">
        <v>3028</v>
      </c>
    </row>
    <row r="546" spans="1:15" x14ac:dyDescent="0.25">
      <c r="A546" s="10" t="s">
        <v>1235</v>
      </c>
      <c r="B546" s="15">
        <v>160.72999999999999</v>
      </c>
      <c r="C546" s="15">
        <v>160.87</v>
      </c>
      <c r="D546" s="15">
        <v>177.65</v>
      </c>
      <c r="E546" s="15">
        <v>158.96</v>
      </c>
      <c r="F546" s="15">
        <v>160.55000000000001</v>
      </c>
      <c r="G546" s="15">
        <v>159.76</v>
      </c>
      <c r="H546" s="15">
        <v>378.1</v>
      </c>
      <c r="I546" s="15">
        <v>134.79</v>
      </c>
      <c r="J546" s="15">
        <v>174.57</v>
      </c>
      <c r="K546" s="15">
        <v>177.13</v>
      </c>
      <c r="L546" s="15">
        <v>177.8</v>
      </c>
      <c r="M546" s="15">
        <v>183.88</v>
      </c>
      <c r="N546" s="15">
        <v>179.81</v>
      </c>
      <c r="O546" t="s">
        <v>3028</v>
      </c>
    </row>
    <row r="547" spans="1:15" x14ac:dyDescent="0.25">
      <c r="A547" s="10" t="s">
        <v>1237</v>
      </c>
      <c r="B547" s="15">
        <v>222.65</v>
      </c>
      <c r="C547" s="15">
        <v>225.68</v>
      </c>
      <c r="D547" s="15">
        <v>213.98</v>
      </c>
      <c r="E547" s="15">
        <v>201.45</v>
      </c>
      <c r="F547" s="15">
        <v>190.22</v>
      </c>
      <c r="G547" s="15">
        <v>190.36</v>
      </c>
      <c r="H547" s="15">
        <v>190.28</v>
      </c>
      <c r="I547" s="15">
        <v>195.8</v>
      </c>
      <c r="J547" s="15">
        <v>520.44000000000005</v>
      </c>
      <c r="K547" s="15">
        <v>66.69</v>
      </c>
      <c r="L547" s="15">
        <v>202.47</v>
      </c>
      <c r="M547" s="15">
        <v>208.36</v>
      </c>
      <c r="N547" s="15">
        <v>216.88</v>
      </c>
      <c r="O547" t="s">
        <v>3028</v>
      </c>
    </row>
    <row r="548" spans="1:15" x14ac:dyDescent="0.25">
      <c r="A548" s="10" t="s">
        <v>1239</v>
      </c>
      <c r="B548" s="15">
        <v>440.84</v>
      </c>
      <c r="C548" s="15">
        <v>458.75</v>
      </c>
      <c r="D548" s="15">
        <v>443.22</v>
      </c>
      <c r="E548" s="15">
        <v>440.99</v>
      </c>
      <c r="F548" s="15">
        <v>435.13</v>
      </c>
      <c r="G548" s="15">
        <v>852.6</v>
      </c>
      <c r="H548" s="15">
        <v>153.47</v>
      </c>
      <c r="I548" s="15">
        <v>570.88</v>
      </c>
      <c r="J548" s="15">
        <v>469.84</v>
      </c>
      <c r="K548" s="15">
        <v>484</v>
      </c>
      <c r="L548" s="15">
        <v>478.24</v>
      </c>
      <c r="M548" s="15">
        <v>488.64</v>
      </c>
      <c r="N548" s="15">
        <v>484.48</v>
      </c>
      <c r="O548" t="s">
        <v>3028</v>
      </c>
    </row>
    <row r="549" spans="1:15" x14ac:dyDescent="0.25">
      <c r="A549" s="10" t="s">
        <v>1241</v>
      </c>
      <c r="B549" s="15">
        <v>107.59</v>
      </c>
      <c r="C549" s="15">
        <v>318.85000000000002</v>
      </c>
      <c r="D549" s="15">
        <v>312.2</v>
      </c>
      <c r="E549" s="15">
        <v>322.77999999999997</v>
      </c>
      <c r="F549" s="15">
        <v>320.87</v>
      </c>
      <c r="G549" s="15">
        <v>314.45</v>
      </c>
      <c r="H549" s="15">
        <v>326.56</v>
      </c>
      <c r="I549" s="15">
        <v>505.63</v>
      </c>
      <c r="J549" s="15">
        <v>345.98</v>
      </c>
      <c r="K549" s="15">
        <v>350.88</v>
      </c>
      <c r="L549" s="15">
        <v>346.57</v>
      </c>
      <c r="M549" s="15">
        <v>351.83</v>
      </c>
      <c r="N549" s="15">
        <v>349.13</v>
      </c>
      <c r="O549" t="s">
        <v>3028</v>
      </c>
    </row>
    <row r="550" spans="1:15" x14ac:dyDescent="0.25">
      <c r="A550" s="10" t="s">
        <v>1243</v>
      </c>
      <c r="B550" s="15">
        <v>163.82</v>
      </c>
      <c r="C550" s="15">
        <v>188.34</v>
      </c>
      <c r="D550" s="15">
        <v>164.62</v>
      </c>
      <c r="E550" s="15">
        <v>163.98</v>
      </c>
      <c r="F550" s="15">
        <v>148.44999999999999</v>
      </c>
      <c r="G550" s="15">
        <v>180.53</v>
      </c>
      <c r="H550" s="15">
        <v>392.22</v>
      </c>
      <c r="I550" s="15">
        <v>120.48</v>
      </c>
      <c r="J550" s="15">
        <v>176.14</v>
      </c>
      <c r="K550" s="15">
        <v>181.63</v>
      </c>
      <c r="L550" s="15">
        <v>180.53</v>
      </c>
      <c r="M550" s="15">
        <v>189.68</v>
      </c>
      <c r="N550" s="15">
        <v>182.99</v>
      </c>
      <c r="O550" t="s">
        <v>3028</v>
      </c>
    </row>
    <row r="551" spans="1:15" x14ac:dyDescent="0.25">
      <c r="A551" s="10" t="s">
        <v>1245</v>
      </c>
      <c r="B551" s="15">
        <v>153.53</v>
      </c>
      <c r="C551" s="15">
        <v>0</v>
      </c>
      <c r="D551" s="15">
        <v>0</v>
      </c>
      <c r="E551" s="15">
        <v>0</v>
      </c>
      <c r="F551" s="15">
        <v>0</v>
      </c>
      <c r="G551" s="15">
        <v>0</v>
      </c>
      <c r="H551" s="15">
        <v>0</v>
      </c>
      <c r="I551" s="15">
        <v>0</v>
      </c>
      <c r="J551" s="15">
        <v>0</v>
      </c>
      <c r="K551" s="15">
        <v>0</v>
      </c>
      <c r="L551" s="15">
        <v>0</v>
      </c>
      <c r="M551" s="15">
        <v>0</v>
      </c>
      <c r="N551" s="15">
        <v>8.66</v>
      </c>
      <c r="O551" t="s">
        <v>3028</v>
      </c>
    </row>
    <row r="552" spans="1:15" x14ac:dyDescent="0.25">
      <c r="A552" s="10" t="s">
        <v>1247</v>
      </c>
      <c r="B552" s="15">
        <v>193.57</v>
      </c>
      <c r="C552" s="15">
        <v>192.62</v>
      </c>
      <c r="D552" s="15">
        <v>211.83</v>
      </c>
      <c r="E552" s="15">
        <v>389.46</v>
      </c>
      <c r="F552" s="15">
        <v>124.32</v>
      </c>
      <c r="G552" s="15">
        <v>221.38</v>
      </c>
      <c r="H552" s="15">
        <v>192.06</v>
      </c>
      <c r="I552" s="15">
        <v>332</v>
      </c>
      <c r="J552" s="15">
        <v>212.42</v>
      </c>
      <c r="K552" s="15">
        <v>212.64</v>
      </c>
      <c r="L552" s="15">
        <v>224.49</v>
      </c>
      <c r="M552" s="15">
        <v>306.61</v>
      </c>
      <c r="N552" s="15">
        <v>221.92</v>
      </c>
      <c r="O552" t="s">
        <v>3028</v>
      </c>
    </row>
    <row r="553" spans="1:15" x14ac:dyDescent="0.25">
      <c r="A553" s="10" t="s">
        <v>1249</v>
      </c>
      <c r="B553" s="15">
        <v>0</v>
      </c>
      <c r="C553" s="15">
        <v>0</v>
      </c>
      <c r="D553" s="15">
        <v>0</v>
      </c>
      <c r="E553" s="15">
        <v>0</v>
      </c>
      <c r="F553" s="15">
        <v>0</v>
      </c>
      <c r="G553" s="15">
        <v>0</v>
      </c>
      <c r="H553" s="15">
        <v>0</v>
      </c>
      <c r="I553" s="15">
        <v>100.53</v>
      </c>
      <c r="J553" s="15">
        <v>105.39</v>
      </c>
      <c r="K553" s="15">
        <v>143.34</v>
      </c>
      <c r="L553" s="15">
        <v>147.97</v>
      </c>
      <c r="M553" s="15">
        <v>117.56</v>
      </c>
      <c r="N553" s="15">
        <v>49.67</v>
      </c>
      <c r="O553" t="s">
        <v>3028</v>
      </c>
    </row>
    <row r="554" spans="1:15" x14ac:dyDescent="0.25">
      <c r="A554" s="10" t="s">
        <v>1251</v>
      </c>
      <c r="B554" s="15">
        <v>163.22</v>
      </c>
      <c r="C554" s="15">
        <v>188.83</v>
      </c>
      <c r="D554" s="15">
        <v>191.59</v>
      </c>
      <c r="E554" s="15">
        <v>319.06</v>
      </c>
      <c r="F554" s="15">
        <v>72.67</v>
      </c>
      <c r="G554" s="15">
        <v>160.97</v>
      </c>
      <c r="H554" s="15">
        <v>198.28</v>
      </c>
      <c r="I554" s="15">
        <v>294.27999999999997</v>
      </c>
      <c r="J554" s="15">
        <v>175.59</v>
      </c>
      <c r="K554" s="15">
        <v>180.04</v>
      </c>
      <c r="L554" s="15">
        <v>176.24</v>
      </c>
      <c r="M554" s="15">
        <v>182.02</v>
      </c>
      <c r="N554" s="15">
        <v>191.52</v>
      </c>
      <c r="O554" t="s">
        <v>3028</v>
      </c>
    </row>
    <row r="555" spans="1:15" x14ac:dyDescent="0.25">
      <c r="A555" s="10" t="s">
        <v>1253</v>
      </c>
      <c r="B555" s="15">
        <v>0</v>
      </c>
      <c r="C555" s="15">
        <v>97.06</v>
      </c>
      <c r="D555" s="15">
        <v>104.79</v>
      </c>
      <c r="E555" s="15">
        <v>104.62</v>
      </c>
      <c r="F555" s="15">
        <v>105.39</v>
      </c>
      <c r="G555" s="15">
        <v>105.11</v>
      </c>
      <c r="H555" s="15">
        <v>107.56</v>
      </c>
      <c r="I555" s="15">
        <v>107.46</v>
      </c>
      <c r="J555" s="15">
        <v>106.98</v>
      </c>
      <c r="K555" s="15">
        <v>146.47</v>
      </c>
      <c r="L555" s="15">
        <v>145.15</v>
      </c>
      <c r="M555" s="15">
        <v>119.12</v>
      </c>
      <c r="N555" s="15">
        <v>107.95</v>
      </c>
      <c r="O555" t="s">
        <v>3028</v>
      </c>
    </row>
    <row r="556" spans="1:15" x14ac:dyDescent="0.25">
      <c r="A556" s="10" t="s">
        <v>1255</v>
      </c>
      <c r="B556" s="15">
        <v>439.28</v>
      </c>
      <c r="C556" s="15">
        <v>427.08</v>
      </c>
      <c r="D556" s="15">
        <v>427.08</v>
      </c>
      <c r="E556" s="15">
        <v>430.66</v>
      </c>
      <c r="F556" s="15">
        <v>432.3</v>
      </c>
      <c r="G556" s="15">
        <v>428.6</v>
      </c>
      <c r="H556" s="15">
        <v>427.08</v>
      </c>
      <c r="I556" s="15">
        <v>553.04999999999995</v>
      </c>
      <c r="J556" s="15">
        <v>893.31</v>
      </c>
      <c r="K556" s="15">
        <v>147.72999999999999</v>
      </c>
      <c r="L556" s="15">
        <v>469.02</v>
      </c>
      <c r="M556" s="15">
        <v>470.51</v>
      </c>
      <c r="N556" s="15">
        <v>472.61</v>
      </c>
      <c r="O556" t="s">
        <v>3028</v>
      </c>
    </row>
    <row r="557" spans="1:15" x14ac:dyDescent="0.25">
      <c r="A557" s="10" t="s">
        <v>1257</v>
      </c>
      <c r="B557" s="15">
        <v>570.88</v>
      </c>
      <c r="C557" s="15">
        <v>557.4</v>
      </c>
      <c r="D557" s="15">
        <v>558.13</v>
      </c>
      <c r="E557" s="15">
        <v>570.88</v>
      </c>
      <c r="F557" s="15">
        <v>570.88</v>
      </c>
      <c r="G557" s="15">
        <v>570.88</v>
      </c>
      <c r="H557" s="15">
        <v>570.88</v>
      </c>
      <c r="I557" s="15">
        <v>570.88</v>
      </c>
      <c r="J557" s="15">
        <v>570.88</v>
      </c>
      <c r="K557" s="15">
        <v>570.88</v>
      </c>
      <c r="L557" s="15">
        <v>570.88</v>
      </c>
      <c r="M557" s="15">
        <v>570.88</v>
      </c>
      <c r="N557" s="15">
        <v>570.88</v>
      </c>
      <c r="O557" t="s">
        <v>3028</v>
      </c>
    </row>
    <row r="558" spans="1:15" x14ac:dyDescent="0.25">
      <c r="A558" s="10" t="s">
        <v>1259</v>
      </c>
      <c r="B558" s="15">
        <v>0</v>
      </c>
      <c r="C558" s="15">
        <v>189.37</v>
      </c>
      <c r="D558" s="15">
        <v>189.37</v>
      </c>
      <c r="E558" s="15">
        <v>189.37</v>
      </c>
      <c r="F558" s="15">
        <v>189.37</v>
      </c>
      <c r="G558" s="15">
        <v>194.18</v>
      </c>
      <c r="H558" s="15">
        <v>189.37</v>
      </c>
      <c r="I558" s="15">
        <v>300.22000000000003</v>
      </c>
      <c r="J558" s="15">
        <v>208.25</v>
      </c>
      <c r="K558" s="15">
        <v>212.25</v>
      </c>
      <c r="L558" s="15">
        <v>286.01</v>
      </c>
      <c r="M558" s="15">
        <v>208.25</v>
      </c>
      <c r="N558" s="15">
        <v>193.68</v>
      </c>
      <c r="O558" t="s">
        <v>3028</v>
      </c>
    </row>
    <row r="559" spans="1:15" x14ac:dyDescent="0.25">
      <c r="A559" s="10" t="s">
        <v>1261</v>
      </c>
      <c r="B559" s="15">
        <v>428.09</v>
      </c>
      <c r="C559" s="15">
        <v>427.08</v>
      </c>
      <c r="D559" s="15">
        <v>427.08</v>
      </c>
      <c r="E559" s="15">
        <v>427.08</v>
      </c>
      <c r="F559" s="15">
        <v>427.08</v>
      </c>
      <c r="G559" s="15">
        <v>427.08</v>
      </c>
      <c r="H559" s="15">
        <v>427.08</v>
      </c>
      <c r="I559" s="15">
        <v>552.9</v>
      </c>
      <c r="J559" s="15">
        <v>469.67</v>
      </c>
      <c r="K559" s="15">
        <v>469.13</v>
      </c>
      <c r="L559" s="15">
        <v>469.13</v>
      </c>
      <c r="M559" s="15">
        <v>484.77</v>
      </c>
      <c r="N559" s="15">
        <v>469.2</v>
      </c>
      <c r="O559" t="s">
        <v>3028</v>
      </c>
    </row>
    <row r="560" spans="1:15" x14ac:dyDescent="0.25">
      <c r="A560" s="10" t="s">
        <v>1263</v>
      </c>
      <c r="B560" s="15">
        <v>192.22</v>
      </c>
      <c r="C560" s="15">
        <v>175.92</v>
      </c>
      <c r="D560" s="15">
        <v>179.83</v>
      </c>
      <c r="E560" s="15">
        <v>420.31</v>
      </c>
      <c r="F560" s="15">
        <v>82.13</v>
      </c>
      <c r="G560" s="15">
        <v>175.4</v>
      </c>
      <c r="H560" s="15">
        <v>179.82</v>
      </c>
      <c r="I560" s="15">
        <v>302.27</v>
      </c>
      <c r="J560" s="15">
        <v>198.38</v>
      </c>
      <c r="K560" s="15">
        <v>184.85</v>
      </c>
      <c r="L560" s="15">
        <v>195.39</v>
      </c>
      <c r="M560" s="15">
        <v>198.25</v>
      </c>
      <c r="N560" s="15">
        <v>196.52</v>
      </c>
      <c r="O560" t="s">
        <v>3028</v>
      </c>
    </row>
    <row r="561" spans="1:15" x14ac:dyDescent="0.25">
      <c r="A561" s="10" t="s">
        <v>1265</v>
      </c>
      <c r="B561" s="15">
        <v>455.19</v>
      </c>
      <c r="C561" s="15">
        <v>455.19</v>
      </c>
      <c r="D561" s="15">
        <v>455.19</v>
      </c>
      <c r="E561" s="15">
        <v>455.19</v>
      </c>
      <c r="F561" s="15">
        <v>455.19</v>
      </c>
      <c r="G561" s="15">
        <v>455.19</v>
      </c>
      <c r="H561" s="15">
        <v>455.19</v>
      </c>
      <c r="I561" s="15">
        <v>948.58</v>
      </c>
      <c r="J561" s="15">
        <v>193.18</v>
      </c>
      <c r="K561" s="15">
        <v>499.89</v>
      </c>
      <c r="L561" s="15">
        <v>499.89</v>
      </c>
      <c r="M561" s="15">
        <v>499.89</v>
      </c>
      <c r="N561" s="15">
        <v>499.89</v>
      </c>
      <c r="O561" t="s">
        <v>3028</v>
      </c>
    </row>
    <row r="562" spans="1:15" x14ac:dyDescent="0.25">
      <c r="A562" s="10" t="s">
        <v>1267</v>
      </c>
      <c r="B562" s="15">
        <v>158.41</v>
      </c>
      <c r="C562" s="15">
        <v>183.65</v>
      </c>
      <c r="D562" s="15">
        <v>151.56</v>
      </c>
      <c r="E562" s="15">
        <v>118.51</v>
      </c>
      <c r="F562" s="15">
        <v>110.08</v>
      </c>
      <c r="G562" s="15">
        <v>114.04</v>
      </c>
      <c r="H562" s="15">
        <v>121.36</v>
      </c>
      <c r="I562" s="15">
        <v>152.41</v>
      </c>
      <c r="J562" s="15">
        <v>147.56</v>
      </c>
      <c r="K562" s="15">
        <v>175.54</v>
      </c>
      <c r="L562" s="15">
        <v>174.23</v>
      </c>
      <c r="M562" s="15">
        <v>0</v>
      </c>
      <c r="N562" s="15">
        <v>148.03</v>
      </c>
      <c r="O562" t="s">
        <v>3028</v>
      </c>
    </row>
    <row r="563" spans="1:15" x14ac:dyDescent="0.25">
      <c r="A563" s="10" t="s">
        <v>1269</v>
      </c>
      <c r="B563" s="15">
        <v>0</v>
      </c>
      <c r="C563" s="15">
        <v>0</v>
      </c>
      <c r="D563" s="15">
        <v>0</v>
      </c>
      <c r="E563" s="15">
        <v>0</v>
      </c>
      <c r="F563" s="15">
        <v>0</v>
      </c>
      <c r="G563" s="15">
        <v>0</v>
      </c>
      <c r="H563" s="15">
        <v>44.8</v>
      </c>
      <c r="I563" s="15">
        <v>49.6</v>
      </c>
      <c r="J563" s="15">
        <v>48</v>
      </c>
      <c r="K563" s="15">
        <v>49.6</v>
      </c>
      <c r="L563" s="15">
        <v>48</v>
      </c>
      <c r="M563" s="15">
        <v>49.6</v>
      </c>
      <c r="N563" s="15">
        <v>24</v>
      </c>
      <c r="O563" t="s">
        <v>3028</v>
      </c>
    </row>
    <row r="564" spans="1:15" x14ac:dyDescent="0.25">
      <c r="A564" s="10" t="s">
        <v>1271</v>
      </c>
      <c r="B564" s="15">
        <v>532.41</v>
      </c>
      <c r="C564" s="15">
        <v>458.07</v>
      </c>
      <c r="D564" s="15">
        <v>455.91</v>
      </c>
      <c r="E564" s="15">
        <v>460.84</v>
      </c>
      <c r="F564" s="15">
        <v>455.3</v>
      </c>
      <c r="G564" s="15">
        <v>457.86</v>
      </c>
      <c r="H564" s="15">
        <v>458.4</v>
      </c>
      <c r="I564" s="15">
        <v>570.88</v>
      </c>
      <c r="J564" s="15">
        <v>513.58000000000004</v>
      </c>
      <c r="K564" s="15">
        <v>500.01</v>
      </c>
      <c r="L564" s="15">
        <v>500.91</v>
      </c>
      <c r="M564" s="15">
        <v>515.37</v>
      </c>
      <c r="N564" s="15">
        <v>511.04</v>
      </c>
      <c r="O564" t="s">
        <v>3028</v>
      </c>
    </row>
    <row r="565" spans="1:15" x14ac:dyDescent="0.25">
      <c r="A565" s="10" t="s">
        <v>1273</v>
      </c>
      <c r="B565" s="15">
        <v>570.88</v>
      </c>
      <c r="C565" s="15">
        <v>570.88</v>
      </c>
      <c r="D565" s="15">
        <v>570.88</v>
      </c>
      <c r="E565" s="15">
        <v>570.88</v>
      </c>
      <c r="F565" s="15">
        <v>570.88</v>
      </c>
      <c r="G565" s="15">
        <v>570.88</v>
      </c>
      <c r="H565" s="15">
        <v>570.88</v>
      </c>
      <c r="I565" s="15">
        <v>570.88</v>
      </c>
      <c r="J565" s="15">
        <v>570.88</v>
      </c>
      <c r="K565" s="15">
        <v>570.88</v>
      </c>
      <c r="L565" s="15">
        <v>570.88</v>
      </c>
      <c r="M565" s="15">
        <v>570.88</v>
      </c>
      <c r="N565" s="15">
        <v>570.88</v>
      </c>
      <c r="O565" t="s">
        <v>3028</v>
      </c>
    </row>
    <row r="566" spans="1:15" x14ac:dyDescent="0.25">
      <c r="A566" s="10" t="s">
        <v>1275</v>
      </c>
      <c r="B566" s="15">
        <v>381.74</v>
      </c>
      <c r="C566" s="15">
        <v>337.62</v>
      </c>
      <c r="D566" s="15">
        <v>313.64999999999998</v>
      </c>
      <c r="E566" s="15">
        <v>314.68</v>
      </c>
      <c r="F566" s="15">
        <v>312.2</v>
      </c>
      <c r="G566" s="15">
        <v>312.2</v>
      </c>
      <c r="H566" s="15">
        <v>312.2</v>
      </c>
      <c r="I566" s="15">
        <v>408.45</v>
      </c>
      <c r="J566" s="15">
        <v>360.94</v>
      </c>
      <c r="K566" s="15">
        <v>342.86</v>
      </c>
      <c r="L566" s="15">
        <v>342.86</v>
      </c>
      <c r="M566" s="15">
        <v>354.29</v>
      </c>
      <c r="N566" s="15">
        <v>355.76</v>
      </c>
      <c r="O566" t="s">
        <v>3028</v>
      </c>
    </row>
    <row r="567" spans="1:15" x14ac:dyDescent="0.25">
      <c r="A567" s="10" t="s">
        <v>1277</v>
      </c>
      <c r="B567" s="15">
        <v>107.09</v>
      </c>
      <c r="C567" s="15">
        <v>111.42</v>
      </c>
      <c r="D567" s="15">
        <v>102.72</v>
      </c>
      <c r="E567" s="15">
        <v>143.19</v>
      </c>
      <c r="F567" s="15">
        <v>115.35</v>
      </c>
      <c r="G567" s="15">
        <v>113.92</v>
      </c>
      <c r="H567" s="15">
        <v>151.88</v>
      </c>
      <c r="I567" s="15">
        <v>0</v>
      </c>
      <c r="J567" s="15">
        <v>24.31</v>
      </c>
      <c r="K567" s="15">
        <v>0</v>
      </c>
      <c r="L567" s="15">
        <v>0</v>
      </c>
      <c r="M567" s="15">
        <v>0</v>
      </c>
      <c r="N567" s="15">
        <v>72.86</v>
      </c>
      <c r="O567" t="s">
        <v>3028</v>
      </c>
    </row>
    <row r="568" spans="1:15" x14ac:dyDescent="0.25">
      <c r="A568" s="10" t="s">
        <v>1279</v>
      </c>
      <c r="B568" s="15">
        <v>395.02</v>
      </c>
      <c r="C568" s="15">
        <v>345.75</v>
      </c>
      <c r="D568" s="15">
        <v>349.52</v>
      </c>
      <c r="E568" s="15">
        <v>319.72000000000003</v>
      </c>
      <c r="F568" s="15">
        <v>316.33999999999997</v>
      </c>
      <c r="G568" s="15">
        <v>579.11</v>
      </c>
      <c r="H568" s="15">
        <v>164.75</v>
      </c>
      <c r="I568" s="15">
        <v>326.60000000000002</v>
      </c>
      <c r="J568" s="15">
        <v>317.61</v>
      </c>
      <c r="K568" s="15">
        <v>375.25</v>
      </c>
      <c r="L568" s="15">
        <v>348.71</v>
      </c>
      <c r="M568" s="15">
        <v>344.7</v>
      </c>
      <c r="N568" s="15">
        <v>354.57</v>
      </c>
      <c r="O568" t="s">
        <v>3028</v>
      </c>
    </row>
    <row r="569" spans="1:15" x14ac:dyDescent="0.25">
      <c r="A569" s="10" t="s">
        <v>1281</v>
      </c>
      <c r="B569" s="15">
        <v>205.97</v>
      </c>
      <c r="C569" s="15">
        <v>189.37</v>
      </c>
      <c r="D569" s="15">
        <v>189.37</v>
      </c>
      <c r="E569" s="15">
        <v>408.91</v>
      </c>
      <c r="F569" s="15">
        <v>92.52</v>
      </c>
      <c r="G569" s="15">
        <v>189.37</v>
      </c>
      <c r="H569" s="15">
        <v>190.85</v>
      </c>
      <c r="I569" s="15">
        <v>311.17</v>
      </c>
      <c r="J569" s="15">
        <v>210.76</v>
      </c>
      <c r="K569" s="15">
        <v>209.98</v>
      </c>
      <c r="L569" s="15">
        <v>217.36</v>
      </c>
      <c r="M569" s="15">
        <v>216.51</v>
      </c>
      <c r="N569" s="15">
        <v>211.88</v>
      </c>
      <c r="O569" t="s">
        <v>3028</v>
      </c>
    </row>
    <row r="570" spans="1:15" x14ac:dyDescent="0.25">
      <c r="A570" s="10" t="s">
        <v>1283</v>
      </c>
      <c r="B570" s="15">
        <v>570.88</v>
      </c>
      <c r="C570" s="15">
        <v>490.32</v>
      </c>
      <c r="D570" s="15">
        <v>453.97</v>
      </c>
      <c r="E570" s="15">
        <v>1035.19</v>
      </c>
      <c r="F570" s="15">
        <v>106.57</v>
      </c>
      <c r="G570" s="15">
        <v>468.87</v>
      </c>
      <c r="H570" s="15">
        <v>469.63</v>
      </c>
      <c r="I570" s="15">
        <v>570.88</v>
      </c>
      <c r="J570" s="15">
        <v>506.36</v>
      </c>
      <c r="K570" s="15">
        <v>501.62</v>
      </c>
      <c r="L570" s="15">
        <v>488.61</v>
      </c>
      <c r="M570" s="15">
        <v>485.72</v>
      </c>
      <c r="N570" s="15">
        <v>536.86</v>
      </c>
      <c r="O570" t="s">
        <v>3028</v>
      </c>
    </row>
    <row r="571" spans="1:15" x14ac:dyDescent="0.25">
      <c r="A571" s="10" t="s">
        <v>1285</v>
      </c>
      <c r="B571" s="15">
        <v>570.88</v>
      </c>
      <c r="C571" s="15">
        <v>570.88</v>
      </c>
      <c r="D571" s="15">
        <v>570.88</v>
      </c>
      <c r="E571" s="15">
        <v>570.88</v>
      </c>
      <c r="F571" s="15">
        <v>313.17</v>
      </c>
      <c r="G571" s="15">
        <v>0</v>
      </c>
      <c r="H571" s="15">
        <v>0</v>
      </c>
      <c r="I571" s="15">
        <v>0</v>
      </c>
      <c r="J571" s="15">
        <v>0</v>
      </c>
      <c r="K571" s="15">
        <v>0</v>
      </c>
      <c r="L571" s="15">
        <v>0</v>
      </c>
      <c r="M571" s="15">
        <v>0</v>
      </c>
      <c r="N571" s="15">
        <v>213.62</v>
      </c>
      <c r="O571" t="s">
        <v>3028</v>
      </c>
    </row>
    <row r="572" spans="1:15" x14ac:dyDescent="0.25">
      <c r="A572" s="10" t="s">
        <v>1287</v>
      </c>
      <c r="B572" s="15">
        <v>0</v>
      </c>
      <c r="C572" s="15">
        <v>0</v>
      </c>
      <c r="D572" s="15">
        <v>0</v>
      </c>
      <c r="E572" s="15">
        <v>0</v>
      </c>
      <c r="F572" s="15">
        <v>0</v>
      </c>
      <c r="G572" s="15">
        <v>0</v>
      </c>
      <c r="H572" s="15">
        <v>0</v>
      </c>
      <c r="I572" s="15">
        <v>570.88</v>
      </c>
      <c r="J572" s="15">
        <v>570.88</v>
      </c>
      <c r="K572" s="15">
        <v>570.88</v>
      </c>
      <c r="L572" s="15">
        <v>570.88</v>
      </c>
      <c r="M572" s="15">
        <v>570.88</v>
      </c>
      <c r="N572" s="15">
        <v>463.37</v>
      </c>
      <c r="O572" t="s">
        <v>3028</v>
      </c>
    </row>
    <row r="573" spans="1:15" x14ac:dyDescent="0.25">
      <c r="A573" s="10" t="s">
        <v>1289</v>
      </c>
      <c r="B573" s="15">
        <v>146</v>
      </c>
      <c r="C573" s="15">
        <v>152.86000000000001</v>
      </c>
      <c r="D573" s="15">
        <v>144.84</v>
      </c>
      <c r="E573" s="15">
        <v>156.44999999999999</v>
      </c>
      <c r="F573" s="15">
        <v>166.71</v>
      </c>
      <c r="G573" s="15">
        <v>151.37</v>
      </c>
      <c r="H573" s="15">
        <v>193.47</v>
      </c>
      <c r="I573" s="15">
        <v>233.36</v>
      </c>
      <c r="J573" s="15">
        <v>250.42</v>
      </c>
      <c r="K573" s="15">
        <v>117.64</v>
      </c>
      <c r="L573" s="15">
        <v>215.57</v>
      </c>
      <c r="M573" s="15">
        <v>190.98</v>
      </c>
      <c r="N573" s="15">
        <v>178</v>
      </c>
      <c r="O573" t="s">
        <v>3028</v>
      </c>
    </row>
    <row r="574" spans="1:15" x14ac:dyDescent="0.25">
      <c r="A574" s="10" t="s">
        <v>1291</v>
      </c>
      <c r="B574" s="15">
        <v>383.41</v>
      </c>
      <c r="C574" s="15">
        <v>365.35</v>
      </c>
      <c r="D574" s="15">
        <v>370.05</v>
      </c>
      <c r="E574" s="15">
        <v>365.63</v>
      </c>
      <c r="F574" s="15">
        <v>375.25</v>
      </c>
      <c r="G574" s="15">
        <v>411.16</v>
      </c>
      <c r="H574" s="15">
        <v>364.97</v>
      </c>
      <c r="I574" s="15">
        <v>486.41</v>
      </c>
      <c r="J574" s="15">
        <v>404.73</v>
      </c>
      <c r="K574" s="15">
        <v>421.75</v>
      </c>
      <c r="L574" s="15">
        <v>404.42</v>
      </c>
      <c r="M574" s="15">
        <v>569.44000000000005</v>
      </c>
      <c r="N574" s="15">
        <v>411.64</v>
      </c>
      <c r="O574" t="s">
        <v>3028</v>
      </c>
    </row>
    <row r="575" spans="1:15" x14ac:dyDescent="0.25">
      <c r="A575" s="10" t="s">
        <v>1293</v>
      </c>
      <c r="B575" s="15">
        <v>391.02</v>
      </c>
      <c r="C575" s="15">
        <v>377.44</v>
      </c>
      <c r="D575" s="15">
        <v>335.54</v>
      </c>
      <c r="E575" s="15">
        <v>314.45</v>
      </c>
      <c r="F575" s="15">
        <v>315.23</v>
      </c>
      <c r="G575" s="15">
        <v>314.45</v>
      </c>
      <c r="H575" s="15">
        <v>642.96</v>
      </c>
      <c r="I575" s="15">
        <v>104.82</v>
      </c>
      <c r="J575" s="15">
        <v>319.24</v>
      </c>
      <c r="K575" s="15">
        <v>378.47</v>
      </c>
      <c r="L575" s="15">
        <v>355.61</v>
      </c>
      <c r="M575" s="15">
        <v>345.13</v>
      </c>
      <c r="N575" s="15">
        <v>355.64</v>
      </c>
      <c r="O575" t="s">
        <v>3028</v>
      </c>
    </row>
    <row r="576" spans="1:15" x14ac:dyDescent="0.25">
      <c r="A576" s="10" t="s">
        <v>1295</v>
      </c>
      <c r="B576" s="15">
        <v>154.85</v>
      </c>
      <c r="C576" s="15">
        <v>140.85</v>
      </c>
      <c r="D576" s="15">
        <v>269.64</v>
      </c>
      <c r="E576" s="15">
        <v>15.8</v>
      </c>
      <c r="F576" s="15">
        <v>96.04</v>
      </c>
      <c r="G576" s="15">
        <v>117.47</v>
      </c>
      <c r="H576" s="15">
        <v>143.46</v>
      </c>
      <c r="I576" s="15">
        <v>170.35</v>
      </c>
      <c r="J576" s="15">
        <v>142.58000000000001</v>
      </c>
      <c r="K576" s="15">
        <v>148.11000000000001</v>
      </c>
      <c r="L576" s="15">
        <v>167.07</v>
      </c>
      <c r="M576" s="15">
        <v>171.75</v>
      </c>
      <c r="N576" s="15">
        <v>150.66</v>
      </c>
      <c r="O576" t="s">
        <v>3028</v>
      </c>
    </row>
    <row r="577" spans="1:15" x14ac:dyDescent="0.25">
      <c r="A577" s="10" t="s">
        <v>1297</v>
      </c>
      <c r="B577" s="15">
        <v>0</v>
      </c>
      <c r="C577" s="15">
        <v>0</v>
      </c>
      <c r="D577" s="15">
        <v>0</v>
      </c>
      <c r="E577" s="15">
        <v>0</v>
      </c>
      <c r="F577" s="15">
        <v>0</v>
      </c>
      <c r="G577" s="15">
        <v>105.28</v>
      </c>
      <c r="H577" s="15">
        <v>105.28</v>
      </c>
      <c r="I577" s="15">
        <v>165.94</v>
      </c>
      <c r="J577" s="15">
        <v>120.97</v>
      </c>
      <c r="K577" s="15">
        <v>118.99</v>
      </c>
      <c r="L577" s="15">
        <v>142.16</v>
      </c>
      <c r="M577" s="15">
        <v>143.38</v>
      </c>
      <c r="N577" s="15">
        <v>70.98</v>
      </c>
      <c r="O577" t="s">
        <v>3028</v>
      </c>
    </row>
    <row r="578" spans="1:15" x14ac:dyDescent="0.25">
      <c r="A578" s="10" t="s">
        <v>1299</v>
      </c>
      <c r="B578" s="15">
        <v>198.65</v>
      </c>
      <c r="C578" s="15">
        <v>195.18</v>
      </c>
      <c r="D578" s="15">
        <v>373</v>
      </c>
      <c r="E578" s="15">
        <v>23.75</v>
      </c>
      <c r="F578" s="15">
        <v>161.4</v>
      </c>
      <c r="G578" s="15">
        <v>164.45</v>
      </c>
      <c r="H578" s="15">
        <v>164.14</v>
      </c>
      <c r="I578" s="15">
        <v>212.56</v>
      </c>
      <c r="J578" s="15">
        <v>178.25</v>
      </c>
      <c r="K578" s="15">
        <v>195.02</v>
      </c>
      <c r="L578" s="15">
        <v>178.05</v>
      </c>
      <c r="M578" s="15">
        <v>178.02</v>
      </c>
      <c r="N578" s="15">
        <v>186.39</v>
      </c>
      <c r="O578" t="s">
        <v>3028</v>
      </c>
    </row>
    <row r="579" spans="1:15" x14ac:dyDescent="0.25">
      <c r="A579" s="10" t="s">
        <v>1301</v>
      </c>
      <c r="B579" s="15">
        <v>0</v>
      </c>
      <c r="C579" s="15">
        <v>0</v>
      </c>
      <c r="D579" s="15">
        <v>0</v>
      </c>
      <c r="E579" s="15">
        <v>0</v>
      </c>
      <c r="F579" s="15">
        <v>0</v>
      </c>
      <c r="G579" s="15">
        <v>0</v>
      </c>
      <c r="H579" s="15">
        <v>17.059999999999999</v>
      </c>
      <c r="I579" s="15">
        <v>51.2</v>
      </c>
      <c r="J579" s="15">
        <v>51.2</v>
      </c>
      <c r="K579" s="15">
        <v>51.2</v>
      </c>
      <c r="L579" s="15">
        <v>51.2</v>
      </c>
      <c r="M579" s="15">
        <v>51.2</v>
      </c>
      <c r="N579" s="15">
        <v>21.33</v>
      </c>
      <c r="O579" t="s">
        <v>3028</v>
      </c>
    </row>
    <row r="580" spans="1:15" x14ac:dyDescent="0.25">
      <c r="A580" s="10" t="s">
        <v>92</v>
      </c>
      <c r="B580" s="15">
        <v>570.88</v>
      </c>
      <c r="C580" s="15">
        <v>570.88</v>
      </c>
      <c r="D580" s="15">
        <v>570.88</v>
      </c>
      <c r="E580" s="15">
        <v>570.88</v>
      </c>
      <c r="F580" s="15">
        <v>570.88</v>
      </c>
      <c r="G580" s="15">
        <v>570.88</v>
      </c>
      <c r="H580" s="15">
        <v>570.88</v>
      </c>
      <c r="I580" s="15">
        <v>570.88</v>
      </c>
      <c r="J580" s="15">
        <v>570.88</v>
      </c>
      <c r="K580" s="15">
        <v>570.88</v>
      </c>
      <c r="L580" s="15">
        <v>570.88</v>
      </c>
      <c r="M580" s="15">
        <v>570.88</v>
      </c>
      <c r="N580" s="15">
        <v>0</v>
      </c>
      <c r="O580" t="s">
        <v>3028</v>
      </c>
    </row>
    <row r="581" spans="1:15" x14ac:dyDescent="0.25">
      <c r="A581" s="10" t="s">
        <v>1304</v>
      </c>
      <c r="B581" s="15">
        <v>192.7</v>
      </c>
      <c r="C581" s="15">
        <v>214.89</v>
      </c>
      <c r="D581" s="15">
        <v>190.77</v>
      </c>
      <c r="E581" s="15">
        <v>174.55</v>
      </c>
      <c r="F581" s="15">
        <v>171.93</v>
      </c>
      <c r="G581" s="15">
        <v>165.83</v>
      </c>
      <c r="H581" s="15">
        <v>471.87</v>
      </c>
      <c r="I581" s="15">
        <v>11.72</v>
      </c>
      <c r="J581" s="15">
        <v>166.68</v>
      </c>
      <c r="K581" s="15">
        <v>214.65</v>
      </c>
      <c r="L581" s="15">
        <v>230.42</v>
      </c>
      <c r="M581" s="15">
        <v>205.92</v>
      </c>
      <c r="N581" s="15">
        <v>200.61</v>
      </c>
      <c r="O581" t="s">
        <v>3028</v>
      </c>
    </row>
    <row r="582" spans="1:15" x14ac:dyDescent="0.25">
      <c r="A582" s="10" t="s">
        <v>1306</v>
      </c>
      <c r="B582" s="15">
        <v>371.21</v>
      </c>
      <c r="C582" s="15">
        <v>342.77</v>
      </c>
      <c r="D582" s="15">
        <v>370.24</v>
      </c>
      <c r="E582" s="15">
        <v>339.97</v>
      </c>
      <c r="F582" s="15">
        <v>340.61</v>
      </c>
      <c r="G582" s="15">
        <v>538.91</v>
      </c>
      <c r="H582" s="15">
        <v>325.98</v>
      </c>
      <c r="I582" s="15">
        <v>481.37</v>
      </c>
      <c r="J582" s="15">
        <v>378.76</v>
      </c>
      <c r="K582" s="15">
        <v>354.56</v>
      </c>
      <c r="L582" s="15">
        <v>361.27</v>
      </c>
      <c r="M582" s="15">
        <v>391.99</v>
      </c>
      <c r="N582" s="15">
        <v>382.47</v>
      </c>
      <c r="O582" t="s">
        <v>3028</v>
      </c>
    </row>
    <row r="583" spans="1:15" x14ac:dyDescent="0.25">
      <c r="A583" s="10" t="s">
        <v>1308</v>
      </c>
      <c r="B583" s="15">
        <v>331.77</v>
      </c>
      <c r="C583" s="15">
        <v>141.09</v>
      </c>
      <c r="D583" s="15">
        <v>121.23</v>
      </c>
      <c r="E583" s="15">
        <v>121.16</v>
      </c>
      <c r="F583" s="15">
        <v>122.07</v>
      </c>
      <c r="G583" s="15">
        <v>121.16</v>
      </c>
      <c r="H583" s="15">
        <v>121.16</v>
      </c>
      <c r="I583" s="15">
        <v>176.47</v>
      </c>
      <c r="J583" s="15">
        <v>221.8</v>
      </c>
      <c r="K583" s="15">
        <v>190.64</v>
      </c>
      <c r="L583" s="15">
        <v>385.07</v>
      </c>
      <c r="M583" s="15">
        <v>146.05000000000001</v>
      </c>
      <c r="N583" s="15">
        <v>211.02</v>
      </c>
      <c r="O583" t="s">
        <v>3028</v>
      </c>
    </row>
    <row r="584" spans="1:15" x14ac:dyDescent="0.25">
      <c r="A584" s="10" t="s">
        <v>1312</v>
      </c>
      <c r="B584" s="15">
        <v>383.71</v>
      </c>
      <c r="C584" s="15">
        <v>335.9</v>
      </c>
      <c r="D584" s="15">
        <v>232.24</v>
      </c>
      <c r="E584" s="15">
        <v>294.68</v>
      </c>
      <c r="F584" s="15">
        <v>226.85</v>
      </c>
      <c r="G584" s="15">
        <v>453.58</v>
      </c>
      <c r="H584" s="15">
        <v>110.4</v>
      </c>
      <c r="I584" s="15">
        <v>334.75</v>
      </c>
      <c r="J584" s="15">
        <v>401.75</v>
      </c>
      <c r="K584" s="15">
        <v>439.09</v>
      </c>
      <c r="L584" s="15">
        <v>419.33</v>
      </c>
      <c r="M584" s="15">
        <v>490.93</v>
      </c>
      <c r="N584" s="15">
        <v>360.95</v>
      </c>
      <c r="O584" t="s">
        <v>3028</v>
      </c>
    </row>
    <row r="585" spans="1:15" x14ac:dyDescent="0.25">
      <c r="A585" s="10" t="s">
        <v>1314</v>
      </c>
      <c r="B585" s="15">
        <v>0</v>
      </c>
      <c r="C585" s="15">
        <v>0</v>
      </c>
      <c r="D585" s="15">
        <v>0</v>
      </c>
      <c r="E585" s="15">
        <v>0</v>
      </c>
      <c r="F585" s="15">
        <v>0</v>
      </c>
      <c r="G585" s="15">
        <v>0</v>
      </c>
      <c r="H585" s="15">
        <v>0</v>
      </c>
      <c r="I585" s="15">
        <v>0</v>
      </c>
      <c r="J585" s="15">
        <v>0</v>
      </c>
      <c r="K585" s="15">
        <v>0</v>
      </c>
      <c r="L585" s="15">
        <v>446.43</v>
      </c>
      <c r="M585" s="15">
        <v>0</v>
      </c>
      <c r="N585" s="15">
        <v>108.22</v>
      </c>
      <c r="O585" t="s">
        <v>3028</v>
      </c>
    </row>
    <row r="586" spans="1:15" x14ac:dyDescent="0.25">
      <c r="A586" s="10" t="s">
        <v>1316</v>
      </c>
      <c r="B586" s="15">
        <v>0</v>
      </c>
      <c r="C586" s="15">
        <v>0</v>
      </c>
      <c r="D586" s="15">
        <v>59.66</v>
      </c>
      <c r="E586" s="15">
        <v>118.02</v>
      </c>
      <c r="F586" s="15">
        <v>123.54</v>
      </c>
      <c r="G586" s="15">
        <v>113.51</v>
      </c>
      <c r="H586" s="15">
        <v>112.86</v>
      </c>
      <c r="I586" s="15">
        <v>159.12</v>
      </c>
      <c r="J586" s="15">
        <v>119.18</v>
      </c>
      <c r="K586" s="15">
        <v>120.44</v>
      </c>
      <c r="L586" s="15">
        <v>118.67</v>
      </c>
      <c r="M586" s="15">
        <v>158.37</v>
      </c>
      <c r="N586" s="15">
        <v>104.04</v>
      </c>
      <c r="O586" t="s">
        <v>3028</v>
      </c>
    </row>
    <row r="587" spans="1:15" x14ac:dyDescent="0.25">
      <c r="A587" s="10" t="s">
        <v>1318</v>
      </c>
      <c r="B587" s="15">
        <v>400.09</v>
      </c>
      <c r="C587" s="15">
        <v>395.45</v>
      </c>
      <c r="D587" s="15">
        <v>395.45</v>
      </c>
      <c r="E587" s="15">
        <v>395.45</v>
      </c>
      <c r="F587" s="15">
        <v>401.35</v>
      </c>
      <c r="G587" s="15">
        <v>395.45</v>
      </c>
      <c r="H587" s="15">
        <v>750.99</v>
      </c>
      <c r="I587" s="15">
        <v>215.34</v>
      </c>
      <c r="J587" s="15">
        <v>434.28</v>
      </c>
      <c r="K587" s="15">
        <v>434.28</v>
      </c>
      <c r="L587" s="15">
        <v>434.28</v>
      </c>
      <c r="M587" s="15">
        <v>434.28</v>
      </c>
      <c r="N587" s="15">
        <v>435.23</v>
      </c>
      <c r="O587" t="s">
        <v>3028</v>
      </c>
    </row>
    <row r="588" spans="1:15" x14ac:dyDescent="0.25">
      <c r="A588" s="10" t="s">
        <v>1320</v>
      </c>
      <c r="B588" s="15">
        <v>191.74</v>
      </c>
      <c r="C588" s="15">
        <v>167.64</v>
      </c>
      <c r="D588" s="15">
        <v>353.97</v>
      </c>
      <c r="E588" s="15">
        <v>0</v>
      </c>
      <c r="F588" s="15">
        <v>146.06</v>
      </c>
      <c r="G588" s="15">
        <v>169.41</v>
      </c>
      <c r="H588" s="15">
        <v>178.62</v>
      </c>
      <c r="I588" s="15">
        <v>290.75</v>
      </c>
      <c r="J588" s="15">
        <v>186.91</v>
      </c>
      <c r="K588" s="15">
        <v>187.72</v>
      </c>
      <c r="L588" s="15">
        <v>197.13</v>
      </c>
      <c r="M588" s="15">
        <v>197.55</v>
      </c>
      <c r="N588" s="15">
        <v>192.83</v>
      </c>
      <c r="O588" t="s">
        <v>3028</v>
      </c>
    </row>
    <row r="589" spans="1:15" x14ac:dyDescent="0.25">
      <c r="A589" s="10" t="s">
        <v>1322</v>
      </c>
      <c r="B589" s="15">
        <v>0</v>
      </c>
      <c r="C589" s="15">
        <v>0</v>
      </c>
      <c r="D589" s="15">
        <v>0</v>
      </c>
      <c r="E589" s="15">
        <v>0</v>
      </c>
      <c r="F589" s="15">
        <v>0</v>
      </c>
      <c r="G589" s="15">
        <v>0</v>
      </c>
      <c r="H589" s="15">
        <v>0</v>
      </c>
      <c r="I589" s="15">
        <v>79.73</v>
      </c>
      <c r="J589" s="15">
        <v>104</v>
      </c>
      <c r="K589" s="15">
        <v>161.59</v>
      </c>
      <c r="L589" s="15">
        <v>173.24</v>
      </c>
      <c r="M589" s="15">
        <v>195.99</v>
      </c>
      <c r="N589" s="15">
        <v>57.48</v>
      </c>
      <c r="O589" t="s">
        <v>3028</v>
      </c>
    </row>
    <row r="590" spans="1:15" x14ac:dyDescent="0.25">
      <c r="A590" s="10" t="s">
        <v>1324</v>
      </c>
      <c r="B590" s="15">
        <v>105.34</v>
      </c>
      <c r="C590" s="15">
        <v>111.76</v>
      </c>
      <c r="D590" s="15">
        <v>107.46</v>
      </c>
      <c r="E590" s="15">
        <v>270.42</v>
      </c>
      <c r="F590" s="15">
        <v>4.41</v>
      </c>
      <c r="G590" s="15">
        <v>105.57</v>
      </c>
      <c r="H590" s="15">
        <v>107.28</v>
      </c>
      <c r="I590" s="15">
        <v>157.22999999999999</v>
      </c>
      <c r="J590" s="15">
        <v>113.48</v>
      </c>
      <c r="K590" s="15">
        <v>116.91</v>
      </c>
      <c r="L590" s="15">
        <v>123.02</v>
      </c>
      <c r="M590" s="15">
        <v>121.43</v>
      </c>
      <c r="N590" s="15">
        <v>119.27</v>
      </c>
      <c r="O590" t="s">
        <v>3028</v>
      </c>
    </row>
    <row r="591" spans="1:15" x14ac:dyDescent="0.25">
      <c r="A591" s="10" t="s">
        <v>1326</v>
      </c>
      <c r="B591" s="15">
        <v>515.52</v>
      </c>
      <c r="C591" s="15">
        <v>514.61</v>
      </c>
      <c r="D591" s="15">
        <v>0</v>
      </c>
      <c r="E591" s="15">
        <v>409.53</v>
      </c>
      <c r="F591" s="15">
        <v>511.91</v>
      </c>
      <c r="G591" s="15">
        <v>511.91</v>
      </c>
      <c r="H591" s="15">
        <v>511.91</v>
      </c>
      <c r="I591" s="15">
        <v>1015.86</v>
      </c>
      <c r="J591" s="15">
        <v>125.9</v>
      </c>
      <c r="K591" s="15">
        <v>562.17999999999995</v>
      </c>
      <c r="L591" s="15">
        <v>562.17999999999995</v>
      </c>
      <c r="M591" s="15">
        <v>562.17999999999995</v>
      </c>
      <c r="N591" s="15">
        <v>521.25</v>
      </c>
      <c r="O591" t="s">
        <v>3028</v>
      </c>
    </row>
    <row r="592" spans="1:15" x14ac:dyDescent="0.25">
      <c r="A592" s="10" t="s">
        <v>1328</v>
      </c>
      <c r="B592" s="15">
        <v>339.57</v>
      </c>
      <c r="C592" s="15">
        <v>404.3</v>
      </c>
      <c r="D592" s="15">
        <v>323.02999999999997</v>
      </c>
      <c r="E592" s="15">
        <v>315.02</v>
      </c>
      <c r="F592" s="15">
        <v>196.54</v>
      </c>
      <c r="G592" s="15">
        <v>224.88</v>
      </c>
      <c r="H592" s="15">
        <v>636.77</v>
      </c>
      <c r="I592" s="15">
        <v>50.55</v>
      </c>
      <c r="J592" s="15">
        <v>211.89</v>
      </c>
      <c r="K592" s="15">
        <v>369.57</v>
      </c>
      <c r="L592" s="15">
        <v>297.35000000000002</v>
      </c>
      <c r="M592" s="15">
        <v>361.73</v>
      </c>
      <c r="N592" s="15">
        <v>328.38</v>
      </c>
      <c r="O592" t="s">
        <v>3028</v>
      </c>
    </row>
    <row r="593" spans="1:15" x14ac:dyDescent="0.25">
      <c r="A593" s="10" t="s">
        <v>1330</v>
      </c>
      <c r="B593" s="15">
        <v>91.57</v>
      </c>
      <c r="C593" s="15">
        <v>143.91</v>
      </c>
      <c r="D593" s="15">
        <v>118.55</v>
      </c>
      <c r="E593" s="15">
        <v>111.94</v>
      </c>
      <c r="F593" s="15">
        <v>109.54</v>
      </c>
      <c r="G593" s="15">
        <v>111.54</v>
      </c>
      <c r="H593" s="15">
        <v>111.33</v>
      </c>
      <c r="I593" s="15">
        <v>195.97</v>
      </c>
      <c r="J593" s="15">
        <v>169.5</v>
      </c>
      <c r="K593" s="15">
        <v>166.84</v>
      </c>
      <c r="L593" s="15">
        <v>208.79</v>
      </c>
      <c r="M593" s="15">
        <v>148.5</v>
      </c>
      <c r="N593" s="15">
        <v>151.54</v>
      </c>
      <c r="O593" t="s">
        <v>3028</v>
      </c>
    </row>
    <row r="594" spans="1:15" x14ac:dyDescent="0.25">
      <c r="A594" s="10" t="s">
        <v>1332</v>
      </c>
      <c r="B594" s="15">
        <v>167.39</v>
      </c>
      <c r="C594" s="15">
        <v>168.84</v>
      </c>
      <c r="D594" s="15">
        <v>168.31</v>
      </c>
      <c r="E594" s="15">
        <v>151.22</v>
      </c>
      <c r="F594" s="15">
        <v>123.05</v>
      </c>
      <c r="G594" s="15">
        <v>123.92</v>
      </c>
      <c r="H594" s="15">
        <v>150.22999999999999</v>
      </c>
      <c r="I594" s="15">
        <v>146.37</v>
      </c>
      <c r="J594" s="15">
        <v>158.49</v>
      </c>
      <c r="K594" s="15">
        <v>192.19</v>
      </c>
      <c r="L594" s="15">
        <v>166.65</v>
      </c>
      <c r="M594" s="15">
        <v>166.04</v>
      </c>
      <c r="N594" s="15">
        <v>169.2</v>
      </c>
      <c r="O594" t="s">
        <v>3028</v>
      </c>
    </row>
    <row r="595" spans="1:15" x14ac:dyDescent="0.25">
      <c r="A595" s="10" t="s">
        <v>1334</v>
      </c>
      <c r="B595" s="15">
        <v>0</v>
      </c>
      <c r="C595" s="15">
        <v>0</v>
      </c>
      <c r="D595" s="15">
        <v>0</v>
      </c>
      <c r="E595" s="15">
        <v>0</v>
      </c>
      <c r="F595" s="15">
        <v>0</v>
      </c>
      <c r="G595" s="15">
        <v>0</v>
      </c>
      <c r="H595" s="15">
        <v>0</v>
      </c>
      <c r="I595" s="15">
        <v>0</v>
      </c>
      <c r="J595" s="15">
        <v>90.13</v>
      </c>
      <c r="K595" s="15">
        <v>154.11000000000001</v>
      </c>
      <c r="L595" s="15">
        <v>154.26</v>
      </c>
      <c r="M595" s="15">
        <v>162.33000000000001</v>
      </c>
      <c r="N595" s="15">
        <v>43.69</v>
      </c>
      <c r="O595" t="s">
        <v>3028</v>
      </c>
    </row>
    <row r="596" spans="1:15" x14ac:dyDescent="0.25">
      <c r="A596" s="10" t="s">
        <v>1336</v>
      </c>
      <c r="B596" s="15">
        <v>570.88</v>
      </c>
      <c r="C596" s="15">
        <v>570.88</v>
      </c>
      <c r="D596" s="15">
        <v>570.88</v>
      </c>
      <c r="E596" s="15">
        <v>570.88</v>
      </c>
      <c r="F596" s="15">
        <v>570.88</v>
      </c>
      <c r="G596" s="15">
        <v>570.88</v>
      </c>
      <c r="H596" s="15">
        <v>570.88</v>
      </c>
      <c r="I596" s="15">
        <v>570.88</v>
      </c>
      <c r="J596" s="15">
        <v>1141.76</v>
      </c>
      <c r="K596" s="15">
        <v>0</v>
      </c>
      <c r="L596" s="15">
        <v>570.88</v>
      </c>
      <c r="M596" s="15">
        <v>570.88</v>
      </c>
      <c r="N596" s="15">
        <v>570.88</v>
      </c>
      <c r="O596" t="s">
        <v>3028</v>
      </c>
    </row>
    <row r="597" spans="1:15" x14ac:dyDescent="0.25">
      <c r="A597" s="10" t="s">
        <v>1338</v>
      </c>
      <c r="B597" s="15">
        <v>182.55</v>
      </c>
      <c r="C597" s="15">
        <v>159.79</v>
      </c>
      <c r="D597" s="15">
        <v>164.54</v>
      </c>
      <c r="E597" s="15">
        <v>160.51</v>
      </c>
      <c r="F597" s="15">
        <v>161.19</v>
      </c>
      <c r="G597" s="15">
        <v>363.32</v>
      </c>
      <c r="H597" s="15">
        <v>58.47</v>
      </c>
      <c r="I597" s="15">
        <v>218.66</v>
      </c>
      <c r="J597" s="15">
        <v>176.9</v>
      </c>
      <c r="K597" s="15">
        <v>175.48</v>
      </c>
      <c r="L597" s="15">
        <v>179.88</v>
      </c>
      <c r="M597" s="15">
        <v>175.66</v>
      </c>
      <c r="N597" s="15">
        <v>181.75</v>
      </c>
      <c r="O597" t="s">
        <v>3028</v>
      </c>
    </row>
    <row r="598" spans="1:15" x14ac:dyDescent="0.25">
      <c r="A598" s="10" t="s">
        <v>1340</v>
      </c>
      <c r="B598" s="15">
        <v>224.92</v>
      </c>
      <c r="C598" s="15">
        <v>211.39</v>
      </c>
      <c r="D598" s="15">
        <v>179.43</v>
      </c>
      <c r="E598" s="15">
        <v>179.37</v>
      </c>
      <c r="F598" s="15">
        <v>204.85</v>
      </c>
      <c r="G598" s="15">
        <v>184.97</v>
      </c>
      <c r="H598" s="15">
        <v>188.68</v>
      </c>
      <c r="I598" s="15">
        <v>285.64999999999998</v>
      </c>
      <c r="J598" s="15">
        <v>220.24</v>
      </c>
      <c r="K598" s="15">
        <v>199.99</v>
      </c>
      <c r="L598" s="15">
        <v>211.53</v>
      </c>
      <c r="M598" s="15">
        <v>96.29</v>
      </c>
      <c r="N598" s="15">
        <v>211.43</v>
      </c>
      <c r="O598" t="s">
        <v>3028</v>
      </c>
    </row>
    <row r="599" spans="1:15" x14ac:dyDescent="0.25">
      <c r="A599" s="10" t="s">
        <v>1342</v>
      </c>
      <c r="B599" s="15">
        <v>105.67</v>
      </c>
      <c r="C599" s="15">
        <v>104.05</v>
      </c>
      <c r="D599" s="15">
        <v>104.51</v>
      </c>
      <c r="E599" s="15">
        <v>105.16</v>
      </c>
      <c r="F599" s="15">
        <v>104.2</v>
      </c>
      <c r="G599" s="15">
        <v>104.23</v>
      </c>
      <c r="H599" s="15">
        <v>104.72</v>
      </c>
      <c r="I599" s="15">
        <v>116.95</v>
      </c>
      <c r="J599" s="15">
        <v>201.48</v>
      </c>
      <c r="K599" s="15">
        <v>140.94999999999999</v>
      </c>
      <c r="L599" s="15">
        <v>176.85</v>
      </c>
      <c r="M599" s="15">
        <v>169.71</v>
      </c>
      <c r="N599" s="15">
        <v>141.07</v>
      </c>
      <c r="O599" t="s">
        <v>3028</v>
      </c>
    </row>
    <row r="600" spans="1:15" x14ac:dyDescent="0.25">
      <c r="A600" s="10" t="s">
        <v>1344</v>
      </c>
      <c r="B600" s="15">
        <v>194.69</v>
      </c>
      <c r="C600" s="15">
        <v>223.01</v>
      </c>
      <c r="D600" s="15">
        <v>225.3</v>
      </c>
      <c r="E600" s="15">
        <v>210.76</v>
      </c>
      <c r="F600" s="15">
        <v>182.43</v>
      </c>
      <c r="G600" s="15">
        <v>193.6</v>
      </c>
      <c r="H600" s="15">
        <v>232.38</v>
      </c>
      <c r="I600" s="15">
        <v>323.02999999999997</v>
      </c>
      <c r="J600" s="15">
        <v>310.86</v>
      </c>
      <c r="K600" s="15">
        <v>559.22</v>
      </c>
      <c r="L600" s="15">
        <v>80.569999999999993</v>
      </c>
      <c r="M600" s="15">
        <v>222.11</v>
      </c>
      <c r="N600" s="15">
        <v>230.47</v>
      </c>
      <c r="O600" t="s">
        <v>3028</v>
      </c>
    </row>
    <row r="601" spans="1:15" x14ac:dyDescent="0.25">
      <c r="A601" s="10" t="s">
        <v>1346</v>
      </c>
      <c r="B601" s="15">
        <v>186.08</v>
      </c>
      <c r="C601" s="15">
        <v>197.98</v>
      </c>
      <c r="D601" s="15">
        <v>207.01</v>
      </c>
      <c r="E601" s="15">
        <v>204.64</v>
      </c>
      <c r="F601" s="15">
        <v>298.17</v>
      </c>
      <c r="G601" s="15">
        <v>188.09</v>
      </c>
      <c r="H601" s="15">
        <v>191.71</v>
      </c>
      <c r="I601" s="15">
        <v>357.77</v>
      </c>
      <c r="J601" s="15">
        <v>211.02</v>
      </c>
      <c r="K601" s="15">
        <v>61.15</v>
      </c>
      <c r="L601" s="15">
        <v>0</v>
      </c>
      <c r="M601" s="15">
        <v>0</v>
      </c>
      <c r="N601" s="15">
        <v>164.06</v>
      </c>
      <c r="O601" t="s">
        <v>3028</v>
      </c>
    </row>
    <row r="602" spans="1:15" x14ac:dyDescent="0.25">
      <c r="A602" s="10" t="s">
        <v>1348</v>
      </c>
      <c r="B602" s="15">
        <v>0</v>
      </c>
      <c r="C602" s="15">
        <v>94.76</v>
      </c>
      <c r="D602" s="15">
        <v>107.73</v>
      </c>
      <c r="E602" s="15">
        <v>118.19</v>
      </c>
      <c r="F602" s="15">
        <v>115.1</v>
      </c>
      <c r="G602" s="15">
        <v>107.09</v>
      </c>
      <c r="H602" s="15">
        <v>106.72</v>
      </c>
      <c r="I602" s="15">
        <v>156.77000000000001</v>
      </c>
      <c r="J602" s="15">
        <v>116.66</v>
      </c>
      <c r="K602" s="15">
        <v>115.83</v>
      </c>
      <c r="L602" s="15">
        <v>115.62</v>
      </c>
      <c r="M602" s="15">
        <v>120.25</v>
      </c>
      <c r="N602" s="15">
        <v>109.6</v>
      </c>
      <c r="O602" t="s">
        <v>3028</v>
      </c>
    </row>
    <row r="603" spans="1:15" x14ac:dyDescent="0.25">
      <c r="A603" s="10" t="s">
        <v>1353</v>
      </c>
      <c r="B603" s="15">
        <v>0</v>
      </c>
      <c r="C603" s="15">
        <v>0</v>
      </c>
      <c r="D603" s="15">
        <v>0</v>
      </c>
      <c r="E603" s="15">
        <v>0</v>
      </c>
      <c r="F603" s="15">
        <v>0</v>
      </c>
      <c r="G603" s="15">
        <v>0</v>
      </c>
      <c r="H603" s="15">
        <v>0</v>
      </c>
      <c r="I603" s="15">
        <v>0</v>
      </c>
      <c r="J603" s="15">
        <v>0</v>
      </c>
      <c r="K603" s="15">
        <v>0</v>
      </c>
      <c r="L603" s="15">
        <v>0</v>
      </c>
      <c r="M603" s="15">
        <v>140.66999999999999</v>
      </c>
      <c r="N603" s="15">
        <v>14.2</v>
      </c>
      <c r="O603" t="s">
        <v>3028</v>
      </c>
    </row>
    <row r="604" spans="1:15" x14ac:dyDescent="0.25">
      <c r="A604" s="10" t="s">
        <v>1355</v>
      </c>
      <c r="B604" s="15">
        <v>108.95</v>
      </c>
      <c r="C604" s="15">
        <v>109.65</v>
      </c>
      <c r="D604" s="15">
        <v>120.72</v>
      </c>
      <c r="E604" s="15">
        <v>115.15</v>
      </c>
      <c r="F604" s="15">
        <v>111.29</v>
      </c>
      <c r="G604" s="15">
        <v>111.94</v>
      </c>
      <c r="H604" s="15">
        <v>112.85</v>
      </c>
      <c r="I604" s="15">
        <v>172.59</v>
      </c>
      <c r="J604" s="15">
        <v>120.65</v>
      </c>
      <c r="K604" s="15">
        <v>121.61</v>
      </c>
      <c r="L604" s="15">
        <v>303.47000000000003</v>
      </c>
      <c r="M604" s="15">
        <v>216.3</v>
      </c>
      <c r="N604" s="15">
        <v>190.86</v>
      </c>
      <c r="O604" t="s">
        <v>3028</v>
      </c>
    </row>
    <row r="605" spans="1:15" x14ac:dyDescent="0.25">
      <c r="A605" s="10" t="s">
        <v>1357</v>
      </c>
      <c r="B605" s="15">
        <v>291.56</v>
      </c>
      <c r="C605" s="15">
        <v>304.77999999999997</v>
      </c>
      <c r="D605" s="15">
        <v>304.2</v>
      </c>
      <c r="E605" s="15">
        <v>304.2</v>
      </c>
      <c r="F605" s="15">
        <v>304.2</v>
      </c>
      <c r="G605" s="15">
        <v>325.76</v>
      </c>
      <c r="H605" s="15">
        <v>376.77</v>
      </c>
      <c r="I605" s="15">
        <v>403.01</v>
      </c>
      <c r="J605" s="15">
        <v>334.07</v>
      </c>
      <c r="K605" s="15">
        <v>334.07</v>
      </c>
      <c r="L605" s="15">
        <v>334.07</v>
      </c>
      <c r="M605" s="15">
        <v>334.07</v>
      </c>
      <c r="N605" s="15">
        <v>336.46</v>
      </c>
      <c r="O605" t="s">
        <v>3028</v>
      </c>
    </row>
    <row r="606" spans="1:15" x14ac:dyDescent="0.25">
      <c r="A606" s="10" t="s">
        <v>1359</v>
      </c>
      <c r="B606" s="15">
        <v>186.83</v>
      </c>
      <c r="C606" s="15">
        <v>192.34</v>
      </c>
      <c r="D606" s="15">
        <v>209.67</v>
      </c>
      <c r="E606" s="15">
        <v>191.65</v>
      </c>
      <c r="F606" s="15">
        <v>295.19</v>
      </c>
      <c r="G606" s="15">
        <v>188.82</v>
      </c>
      <c r="H606" s="15">
        <v>189.52</v>
      </c>
      <c r="I606" s="15">
        <v>371.4</v>
      </c>
      <c r="J606" s="15">
        <v>206.25</v>
      </c>
      <c r="K606" s="15">
        <v>220.02</v>
      </c>
      <c r="L606" s="15">
        <v>314.58</v>
      </c>
      <c r="M606" s="15">
        <v>206.63</v>
      </c>
      <c r="N606" s="15">
        <v>220.4</v>
      </c>
      <c r="O606" t="s">
        <v>3028</v>
      </c>
    </row>
    <row r="607" spans="1:15" x14ac:dyDescent="0.25">
      <c r="A607" s="10" t="s">
        <v>1361</v>
      </c>
      <c r="B607" s="15">
        <v>189.82</v>
      </c>
      <c r="C607" s="15">
        <v>189.4</v>
      </c>
      <c r="D607" s="15">
        <v>204.47</v>
      </c>
      <c r="E607" s="15">
        <v>551.92999999999995</v>
      </c>
      <c r="F607" s="15">
        <v>5.12</v>
      </c>
      <c r="G607" s="15">
        <v>188.61</v>
      </c>
      <c r="H607" s="15">
        <v>190.7</v>
      </c>
      <c r="I607" s="15">
        <v>344.22</v>
      </c>
      <c r="J607" s="15">
        <v>303.39999999999998</v>
      </c>
      <c r="K607" s="15">
        <v>304.58</v>
      </c>
      <c r="L607" s="15">
        <v>339.83</v>
      </c>
      <c r="M607" s="15">
        <v>296.66000000000003</v>
      </c>
      <c r="N607" s="15">
        <v>230.22</v>
      </c>
      <c r="O607" t="s">
        <v>3028</v>
      </c>
    </row>
    <row r="608" spans="1:15" x14ac:dyDescent="0.25">
      <c r="A608" s="10" t="s">
        <v>1363</v>
      </c>
      <c r="B608" s="15">
        <v>141.88999999999999</v>
      </c>
      <c r="C608" s="15">
        <v>142.46</v>
      </c>
      <c r="D608" s="15">
        <v>142.4</v>
      </c>
      <c r="E608" s="15">
        <v>190.12</v>
      </c>
      <c r="F608" s="15">
        <v>0</v>
      </c>
      <c r="G608" s="15">
        <v>0</v>
      </c>
      <c r="H608" s="15">
        <v>0</v>
      </c>
      <c r="I608" s="15">
        <v>0</v>
      </c>
      <c r="J608" s="15">
        <v>0</v>
      </c>
      <c r="K608" s="15">
        <v>0</v>
      </c>
      <c r="L608" s="15">
        <v>0</v>
      </c>
      <c r="M608" s="15">
        <v>0</v>
      </c>
      <c r="N608" s="15">
        <v>42.87</v>
      </c>
      <c r="O608" t="s">
        <v>3028</v>
      </c>
    </row>
    <row r="609" spans="1:15" x14ac:dyDescent="0.25">
      <c r="A609" s="10" t="s">
        <v>1365</v>
      </c>
      <c r="B609" s="15">
        <v>289.38</v>
      </c>
      <c r="C609" s="15">
        <v>213.71</v>
      </c>
      <c r="D609" s="15">
        <v>216.26</v>
      </c>
      <c r="E609" s="15">
        <v>223.51</v>
      </c>
      <c r="F609" s="15">
        <v>222.48</v>
      </c>
      <c r="G609" s="15">
        <v>227.55</v>
      </c>
      <c r="H609" s="15">
        <v>465.75</v>
      </c>
      <c r="I609" s="15">
        <v>306.77</v>
      </c>
      <c r="J609" s="15">
        <v>290.86</v>
      </c>
      <c r="K609" s="15">
        <v>301.58</v>
      </c>
      <c r="L609" s="15">
        <v>289.57</v>
      </c>
      <c r="M609" s="15">
        <v>295.07</v>
      </c>
      <c r="N609" s="15">
        <v>300.49</v>
      </c>
      <c r="O609" t="s">
        <v>3028</v>
      </c>
    </row>
    <row r="610" spans="1:15" x14ac:dyDescent="0.25">
      <c r="A610" s="10" t="s">
        <v>1367</v>
      </c>
      <c r="B610" s="15">
        <v>25.66</v>
      </c>
      <c r="C610" s="15">
        <v>133.79</v>
      </c>
      <c r="D610" s="15">
        <v>145.18</v>
      </c>
      <c r="E610" s="15">
        <v>148.71</v>
      </c>
      <c r="F610" s="15">
        <v>148.63</v>
      </c>
      <c r="G610" s="15">
        <v>122.44</v>
      </c>
      <c r="H610" s="15">
        <v>155.5</v>
      </c>
      <c r="I610" s="15">
        <v>154.66</v>
      </c>
      <c r="J610" s="15">
        <v>148.74</v>
      </c>
      <c r="K610" s="15">
        <v>179.27</v>
      </c>
      <c r="L610" s="15">
        <v>162.84</v>
      </c>
      <c r="M610" s="15">
        <v>240.93</v>
      </c>
      <c r="N610" s="15">
        <v>162.5</v>
      </c>
      <c r="O610" t="s">
        <v>3028</v>
      </c>
    </row>
    <row r="611" spans="1:15" x14ac:dyDescent="0.25">
      <c r="A611" s="10" t="s">
        <v>1369</v>
      </c>
      <c r="B611" s="15">
        <v>0</v>
      </c>
      <c r="C611" s="15">
        <v>0</v>
      </c>
      <c r="D611" s="15">
        <v>0</v>
      </c>
      <c r="E611" s="15">
        <v>0</v>
      </c>
      <c r="F611" s="15">
        <v>0</v>
      </c>
      <c r="G611" s="15">
        <v>0</v>
      </c>
      <c r="H611" s="15">
        <v>70.19</v>
      </c>
      <c r="I611" s="15">
        <v>141.71</v>
      </c>
      <c r="J611" s="15">
        <v>118.96</v>
      </c>
      <c r="K611" s="15">
        <v>122.2</v>
      </c>
      <c r="L611" s="15">
        <v>146.75</v>
      </c>
      <c r="M611" s="15">
        <v>147.72999999999999</v>
      </c>
      <c r="N611" s="15">
        <v>61.47</v>
      </c>
      <c r="O611" t="s">
        <v>3028</v>
      </c>
    </row>
    <row r="612" spans="1:15" x14ac:dyDescent="0.25">
      <c r="A612" s="10" t="s">
        <v>1371</v>
      </c>
      <c r="B612" s="15">
        <v>184.02</v>
      </c>
      <c r="C612" s="15">
        <v>162.34</v>
      </c>
      <c r="D612" s="15">
        <v>167.22</v>
      </c>
      <c r="E612" s="15">
        <v>165.62</v>
      </c>
      <c r="F612" s="15">
        <v>260.29000000000002</v>
      </c>
      <c r="G612" s="15">
        <v>127.8</v>
      </c>
      <c r="H612" s="15">
        <v>165.22</v>
      </c>
      <c r="I612" s="15">
        <v>214.23</v>
      </c>
      <c r="J612" s="15">
        <v>194.16</v>
      </c>
      <c r="K612" s="15">
        <v>174.89</v>
      </c>
      <c r="L612" s="15">
        <v>187.26</v>
      </c>
      <c r="M612" s="15">
        <v>200.86</v>
      </c>
      <c r="N612" s="15">
        <v>184.52</v>
      </c>
      <c r="O612" t="s">
        <v>3028</v>
      </c>
    </row>
    <row r="613" spans="1:15" x14ac:dyDescent="0.25">
      <c r="A613" s="10" t="s">
        <v>1373</v>
      </c>
      <c r="B613" s="15">
        <v>174.8</v>
      </c>
      <c r="C613" s="15">
        <v>176.76</v>
      </c>
      <c r="D613" s="15">
        <v>160.15</v>
      </c>
      <c r="E613" s="15">
        <v>371.88</v>
      </c>
      <c r="F613" s="15">
        <v>0</v>
      </c>
      <c r="G613" s="15">
        <v>159.11000000000001</v>
      </c>
      <c r="H613" s="15">
        <v>175.37</v>
      </c>
      <c r="I613" s="15">
        <v>228.86</v>
      </c>
      <c r="J613" s="15">
        <v>178.92</v>
      </c>
      <c r="K613" s="15">
        <v>165.39</v>
      </c>
      <c r="L613" s="15">
        <v>215.42</v>
      </c>
      <c r="M613" s="15">
        <v>175.16</v>
      </c>
      <c r="N613" s="15">
        <v>186.8</v>
      </c>
      <c r="O613" t="s">
        <v>3028</v>
      </c>
    </row>
    <row r="614" spans="1:15" x14ac:dyDescent="0.25">
      <c r="A614" s="10" t="s">
        <v>1375</v>
      </c>
      <c r="B614" s="15">
        <v>156.1</v>
      </c>
      <c r="C614" s="15">
        <v>209.55</v>
      </c>
      <c r="D614" s="15">
        <v>181.82</v>
      </c>
      <c r="E614" s="15">
        <v>164.48</v>
      </c>
      <c r="F614" s="15">
        <v>176.07</v>
      </c>
      <c r="G614" s="15">
        <v>180.89</v>
      </c>
      <c r="H614" s="15">
        <v>175.09</v>
      </c>
      <c r="I614" s="15">
        <v>177.66</v>
      </c>
      <c r="J614" s="15">
        <v>174.95</v>
      </c>
      <c r="K614" s="15">
        <v>212.65</v>
      </c>
      <c r="L614" s="15">
        <v>385.85</v>
      </c>
      <c r="M614" s="15">
        <v>150.24</v>
      </c>
      <c r="N614" s="15">
        <v>194.44</v>
      </c>
      <c r="O614" t="s">
        <v>3028</v>
      </c>
    </row>
    <row r="615" spans="1:15" x14ac:dyDescent="0.25">
      <c r="A615" s="10" t="s">
        <v>1377</v>
      </c>
      <c r="B615" s="15">
        <v>0</v>
      </c>
      <c r="C615" s="15">
        <v>0</v>
      </c>
      <c r="D615" s="15">
        <v>0</v>
      </c>
      <c r="E615" s="15">
        <v>0</v>
      </c>
      <c r="F615" s="15">
        <v>0</v>
      </c>
      <c r="G615" s="15">
        <v>180.27</v>
      </c>
      <c r="H615" s="15">
        <v>219.27</v>
      </c>
      <c r="I615" s="15">
        <v>339.54</v>
      </c>
      <c r="J615" s="15">
        <v>315.54000000000002</v>
      </c>
      <c r="K615" s="15">
        <v>303.2</v>
      </c>
      <c r="L615" s="15">
        <v>312.67</v>
      </c>
      <c r="M615" s="15">
        <v>310.67</v>
      </c>
      <c r="N615" s="15">
        <v>144.44</v>
      </c>
      <c r="O615" t="s">
        <v>3028</v>
      </c>
    </row>
    <row r="616" spans="1:15" x14ac:dyDescent="0.25">
      <c r="A616" s="10" t="s">
        <v>1379</v>
      </c>
      <c r="B616" s="15">
        <v>105.29</v>
      </c>
      <c r="C616" s="15">
        <v>103.77</v>
      </c>
      <c r="D616" s="15">
        <v>98.36</v>
      </c>
      <c r="E616" s="15">
        <v>100.22</v>
      </c>
      <c r="F616" s="15">
        <v>0</v>
      </c>
      <c r="G616" s="15">
        <v>0</v>
      </c>
      <c r="H616" s="15">
        <v>119.87</v>
      </c>
      <c r="I616" s="15">
        <v>0</v>
      </c>
      <c r="J616" s="15">
        <v>11.76</v>
      </c>
      <c r="K616" s="15">
        <v>0</v>
      </c>
      <c r="L616" s="15">
        <v>0</v>
      </c>
      <c r="M616" s="15">
        <v>0</v>
      </c>
      <c r="N616" s="15">
        <v>48.48</v>
      </c>
      <c r="O616" t="s">
        <v>3028</v>
      </c>
    </row>
    <row r="617" spans="1:15" x14ac:dyDescent="0.25">
      <c r="A617" s="10" t="s">
        <v>1381</v>
      </c>
      <c r="B617" s="15">
        <v>158.66999999999999</v>
      </c>
      <c r="C617" s="15">
        <v>143.86000000000001</v>
      </c>
      <c r="D617" s="15">
        <v>117.02</v>
      </c>
      <c r="E617" s="15">
        <v>215.57</v>
      </c>
      <c r="F617" s="15">
        <v>53.51</v>
      </c>
      <c r="G617" s="15">
        <v>105.57</v>
      </c>
      <c r="H617" s="15">
        <v>117.41</v>
      </c>
      <c r="I617" s="15">
        <v>155.34</v>
      </c>
      <c r="J617" s="15">
        <v>116.18</v>
      </c>
      <c r="K617" s="15">
        <v>118.96</v>
      </c>
      <c r="L617" s="15">
        <v>144.5</v>
      </c>
      <c r="M617" s="15">
        <v>117.01</v>
      </c>
      <c r="N617" s="15">
        <v>140.38</v>
      </c>
      <c r="O617" t="s">
        <v>3028</v>
      </c>
    </row>
    <row r="618" spans="1:15" x14ac:dyDescent="0.25">
      <c r="A618" s="10" t="s">
        <v>1383</v>
      </c>
      <c r="B618" s="15">
        <v>436.98</v>
      </c>
      <c r="C618" s="15">
        <v>0</v>
      </c>
      <c r="D618" s="15">
        <v>0</v>
      </c>
      <c r="E618" s="15">
        <v>0</v>
      </c>
      <c r="F618" s="15">
        <v>0</v>
      </c>
      <c r="G618" s="15">
        <v>0</v>
      </c>
      <c r="H618" s="15">
        <v>0</v>
      </c>
      <c r="I618" s="15">
        <v>0</v>
      </c>
      <c r="J618" s="15">
        <v>0</v>
      </c>
      <c r="K618" s="15">
        <v>0</v>
      </c>
      <c r="L618" s="15">
        <v>0</v>
      </c>
      <c r="M618" s="15">
        <v>0</v>
      </c>
      <c r="N618" s="15">
        <v>20.59</v>
      </c>
      <c r="O618" t="s">
        <v>3028</v>
      </c>
    </row>
    <row r="619" spans="1:15" x14ac:dyDescent="0.25">
      <c r="A619" s="10" t="s">
        <v>1385</v>
      </c>
      <c r="B619" s="15">
        <v>104</v>
      </c>
      <c r="C619" s="15">
        <v>104.12</v>
      </c>
      <c r="D619" s="15">
        <v>0</v>
      </c>
      <c r="E619" s="15">
        <v>104</v>
      </c>
      <c r="F619" s="15">
        <v>122.45</v>
      </c>
      <c r="G619" s="15">
        <v>0</v>
      </c>
      <c r="H619" s="15">
        <v>0</v>
      </c>
      <c r="I619" s="15">
        <v>0</v>
      </c>
      <c r="J619" s="15">
        <v>0</v>
      </c>
      <c r="K619" s="15">
        <v>0</v>
      </c>
      <c r="L619" s="15">
        <v>0</v>
      </c>
      <c r="M619" s="15">
        <v>0</v>
      </c>
      <c r="N619" s="15">
        <v>43.34</v>
      </c>
      <c r="O619" t="s">
        <v>3028</v>
      </c>
    </row>
    <row r="620" spans="1:15" x14ac:dyDescent="0.25">
      <c r="A620" s="10" t="s">
        <v>1387</v>
      </c>
      <c r="B620" s="15">
        <v>105.82</v>
      </c>
      <c r="C620" s="15">
        <v>105.86</v>
      </c>
      <c r="D620" s="15">
        <v>105.41</v>
      </c>
      <c r="E620" s="15">
        <v>202.19</v>
      </c>
      <c r="F620" s="15">
        <v>52.6</v>
      </c>
      <c r="G620" s="15">
        <v>113.67</v>
      </c>
      <c r="H620" s="15">
        <v>146.41999999999999</v>
      </c>
      <c r="I620" s="15">
        <v>194.23</v>
      </c>
      <c r="J620" s="15">
        <v>115.98</v>
      </c>
      <c r="K620" s="15">
        <v>115.98</v>
      </c>
      <c r="L620" s="15">
        <v>116.85</v>
      </c>
      <c r="M620" s="15">
        <v>115.78</v>
      </c>
      <c r="N620" s="15">
        <v>122.23</v>
      </c>
      <c r="O620" t="s">
        <v>3028</v>
      </c>
    </row>
    <row r="621" spans="1:15" x14ac:dyDescent="0.25">
      <c r="A621" s="10" t="s">
        <v>1389</v>
      </c>
      <c r="B621" s="15">
        <v>105.2</v>
      </c>
      <c r="C621" s="15">
        <v>196.87</v>
      </c>
      <c r="D621" s="15">
        <v>208.31</v>
      </c>
      <c r="E621" s="15">
        <v>208.31</v>
      </c>
      <c r="F621" s="15">
        <v>208.31</v>
      </c>
      <c r="G621" s="15">
        <v>211.74</v>
      </c>
      <c r="H621" s="15">
        <v>417.69</v>
      </c>
      <c r="I621" s="15">
        <v>294.89</v>
      </c>
      <c r="J621" s="15">
        <v>228.76</v>
      </c>
      <c r="K621" s="15">
        <v>230.02</v>
      </c>
      <c r="L621" s="15">
        <v>232.06</v>
      </c>
      <c r="M621" s="15">
        <v>229.41</v>
      </c>
      <c r="N621" s="15">
        <v>288.45</v>
      </c>
      <c r="O621" t="s">
        <v>3028</v>
      </c>
    </row>
    <row r="622" spans="1:15" x14ac:dyDescent="0.25">
      <c r="A622" s="10" t="s">
        <v>1391</v>
      </c>
      <c r="B622" s="15">
        <v>190.45</v>
      </c>
      <c r="C622" s="15">
        <v>189.37</v>
      </c>
      <c r="D622" s="15">
        <v>189.37</v>
      </c>
      <c r="E622" s="15">
        <v>304.27999999999997</v>
      </c>
      <c r="F622" s="15">
        <v>304.27999999999997</v>
      </c>
      <c r="G622" s="15">
        <v>304.27999999999997</v>
      </c>
      <c r="H622" s="15">
        <v>304.27999999999997</v>
      </c>
      <c r="I622" s="15">
        <v>659.51</v>
      </c>
      <c r="J622" s="15">
        <v>224.84</v>
      </c>
      <c r="K622" s="15">
        <v>337.66</v>
      </c>
      <c r="L622" s="15">
        <v>334.16</v>
      </c>
      <c r="M622" s="15">
        <v>334.16</v>
      </c>
      <c r="N622" s="15">
        <v>337.75</v>
      </c>
      <c r="O622" t="s">
        <v>3028</v>
      </c>
    </row>
    <row r="623" spans="1:15" x14ac:dyDescent="0.25">
      <c r="A623" s="10" t="s">
        <v>1393</v>
      </c>
      <c r="B623" s="15">
        <v>305.63</v>
      </c>
      <c r="C623" s="15">
        <v>296.37</v>
      </c>
      <c r="D623" s="15">
        <v>291.73</v>
      </c>
      <c r="E623" s="15">
        <v>299.47000000000003</v>
      </c>
      <c r="F623" s="15">
        <v>296.70999999999998</v>
      </c>
      <c r="G623" s="15">
        <v>695.54</v>
      </c>
      <c r="H623" s="15">
        <v>89.36</v>
      </c>
      <c r="I623" s="15">
        <v>395.25</v>
      </c>
      <c r="J623" s="15">
        <v>320.64</v>
      </c>
      <c r="K623" s="15">
        <v>570.88</v>
      </c>
      <c r="L623" s="15">
        <v>0</v>
      </c>
      <c r="M623" s="15">
        <v>0</v>
      </c>
      <c r="N623" s="15">
        <v>293.56</v>
      </c>
      <c r="O623" t="s">
        <v>3028</v>
      </c>
    </row>
    <row r="624" spans="1:15" x14ac:dyDescent="0.25">
      <c r="A624" s="10" t="s">
        <v>1395</v>
      </c>
      <c r="B624" s="15">
        <v>163.58000000000001</v>
      </c>
      <c r="C624" s="15">
        <v>165.11</v>
      </c>
      <c r="D624" s="15">
        <v>173.99</v>
      </c>
      <c r="E624" s="15">
        <v>320.83999999999997</v>
      </c>
      <c r="F624" s="15">
        <v>57.72</v>
      </c>
      <c r="G624" s="15">
        <v>162.68</v>
      </c>
      <c r="H624" s="15">
        <v>163.44</v>
      </c>
      <c r="I624" s="15">
        <v>227.55</v>
      </c>
      <c r="J624" s="15">
        <v>179.82</v>
      </c>
      <c r="K624" s="15">
        <v>178.12</v>
      </c>
      <c r="L624" s="15">
        <v>178.97</v>
      </c>
      <c r="M624" s="15">
        <v>179.08</v>
      </c>
      <c r="N624" s="15">
        <v>181.86</v>
      </c>
      <c r="O624" t="s">
        <v>3028</v>
      </c>
    </row>
    <row r="625" spans="1:15" x14ac:dyDescent="0.25">
      <c r="A625" s="10" t="s">
        <v>1397</v>
      </c>
      <c r="B625" s="15">
        <v>231.02</v>
      </c>
      <c r="C625" s="15">
        <v>436.27</v>
      </c>
      <c r="D625" s="15">
        <v>160.38999999999999</v>
      </c>
      <c r="E625" s="15">
        <v>227.39</v>
      </c>
      <c r="F625" s="15">
        <v>227.01</v>
      </c>
      <c r="G625" s="15">
        <v>227.68</v>
      </c>
      <c r="H625" s="15">
        <v>298.08999999999997</v>
      </c>
      <c r="I625" s="15">
        <v>545.16</v>
      </c>
      <c r="J625" s="15">
        <v>529.69000000000005</v>
      </c>
      <c r="K625" s="15">
        <v>489.98</v>
      </c>
      <c r="L625" s="15">
        <v>493.21</v>
      </c>
      <c r="M625" s="15">
        <v>493.3</v>
      </c>
      <c r="N625" s="15">
        <v>310.95</v>
      </c>
      <c r="O625" t="s">
        <v>3028</v>
      </c>
    </row>
    <row r="626" spans="1:15" x14ac:dyDescent="0.25">
      <c r="A626" s="10" t="s">
        <v>1399</v>
      </c>
      <c r="B626" s="15">
        <v>101.31</v>
      </c>
      <c r="C626" s="15">
        <v>144.56</v>
      </c>
      <c r="D626" s="15">
        <v>284.87</v>
      </c>
      <c r="E626" s="15">
        <v>14.46</v>
      </c>
      <c r="F626" s="15">
        <v>98.76</v>
      </c>
      <c r="G626" s="15">
        <v>106.71</v>
      </c>
      <c r="H626" s="15">
        <v>106.37</v>
      </c>
      <c r="I626" s="15">
        <v>116.49</v>
      </c>
      <c r="J626" s="15">
        <v>114.67</v>
      </c>
      <c r="K626" s="15">
        <v>154.91</v>
      </c>
      <c r="L626" s="15">
        <v>170.39</v>
      </c>
      <c r="M626" s="15">
        <v>182.34</v>
      </c>
      <c r="N626" s="15">
        <v>145.91</v>
      </c>
      <c r="O626" t="s">
        <v>3028</v>
      </c>
    </row>
    <row r="627" spans="1:15" x14ac:dyDescent="0.25">
      <c r="A627" s="10" t="s">
        <v>1401</v>
      </c>
      <c r="B627" s="15">
        <v>310.2</v>
      </c>
      <c r="C627" s="15">
        <v>310.88</v>
      </c>
      <c r="D627" s="15">
        <v>537.65</v>
      </c>
      <c r="E627" s="15">
        <v>0</v>
      </c>
      <c r="F627" s="15">
        <v>0</v>
      </c>
      <c r="G627" s="15">
        <v>0</v>
      </c>
      <c r="H627" s="15">
        <v>0</v>
      </c>
      <c r="I627" s="15">
        <v>0</v>
      </c>
      <c r="J627" s="15">
        <v>0</v>
      </c>
      <c r="K627" s="15">
        <v>0</v>
      </c>
      <c r="L627" s="15">
        <v>0</v>
      </c>
      <c r="M627" s="15">
        <v>0</v>
      </c>
      <c r="N627" s="15">
        <v>74.739999999999995</v>
      </c>
      <c r="O627" t="s">
        <v>3028</v>
      </c>
    </row>
    <row r="628" spans="1:15" x14ac:dyDescent="0.25">
      <c r="A628" s="10" t="s">
        <v>1403</v>
      </c>
      <c r="B628" s="15">
        <v>421.93</v>
      </c>
      <c r="C628" s="15">
        <v>357.84</v>
      </c>
      <c r="D628" s="15">
        <v>828.89</v>
      </c>
      <c r="E628" s="15">
        <v>7.78</v>
      </c>
      <c r="F628" s="15">
        <v>323.95</v>
      </c>
      <c r="G628" s="15">
        <v>314.45</v>
      </c>
      <c r="H628" s="15">
        <v>314.45</v>
      </c>
      <c r="I628" s="15">
        <v>325.82</v>
      </c>
      <c r="J628" s="15">
        <v>345.12</v>
      </c>
      <c r="K628" s="15">
        <v>378.39</v>
      </c>
      <c r="L628" s="15">
        <v>350.51</v>
      </c>
      <c r="M628" s="15">
        <v>353.45</v>
      </c>
      <c r="N628" s="15">
        <v>362.12</v>
      </c>
      <c r="O628" t="s">
        <v>3028</v>
      </c>
    </row>
    <row r="629" spans="1:15" x14ac:dyDescent="0.25">
      <c r="A629" s="10" t="s">
        <v>1405</v>
      </c>
      <c r="B629" s="15">
        <v>91.28</v>
      </c>
      <c r="C629" s="15">
        <v>120.63</v>
      </c>
      <c r="D629" s="15">
        <v>109.58</v>
      </c>
      <c r="E629" s="15">
        <v>117.17</v>
      </c>
      <c r="F629" s="15">
        <v>113.13</v>
      </c>
      <c r="G629" s="15">
        <v>104.27</v>
      </c>
      <c r="H629" s="15">
        <v>112.9</v>
      </c>
      <c r="I629" s="15">
        <v>165.82</v>
      </c>
      <c r="J629" s="15">
        <v>144.41999999999999</v>
      </c>
      <c r="K629" s="15">
        <v>150.59</v>
      </c>
      <c r="L629" s="15">
        <v>143.04</v>
      </c>
      <c r="M629" s="15">
        <v>143.41</v>
      </c>
      <c r="N629" s="15">
        <v>141.75</v>
      </c>
      <c r="O629" t="s">
        <v>3028</v>
      </c>
    </row>
    <row r="630" spans="1:15" x14ac:dyDescent="0.25">
      <c r="A630" s="10" t="s">
        <v>1407</v>
      </c>
      <c r="B630" s="15">
        <v>0</v>
      </c>
      <c r="C630" s="15">
        <v>0</v>
      </c>
      <c r="D630" s="15">
        <v>0</v>
      </c>
      <c r="E630" s="15">
        <v>0</v>
      </c>
      <c r="F630" s="15">
        <v>196.16</v>
      </c>
      <c r="G630" s="15">
        <v>336.13</v>
      </c>
      <c r="H630" s="15">
        <v>326.93</v>
      </c>
      <c r="I630" s="15">
        <v>424.15</v>
      </c>
      <c r="J630" s="15">
        <v>359.04</v>
      </c>
      <c r="K630" s="15">
        <v>359.04</v>
      </c>
      <c r="L630" s="15">
        <v>359.04</v>
      </c>
      <c r="M630" s="15">
        <v>359.04</v>
      </c>
      <c r="N630" s="15">
        <v>196.58</v>
      </c>
      <c r="O630" t="s">
        <v>3028</v>
      </c>
    </row>
    <row r="631" spans="1:15" x14ac:dyDescent="0.25">
      <c r="A631" s="10" t="s">
        <v>1409</v>
      </c>
      <c r="B631" s="15">
        <v>140.18</v>
      </c>
      <c r="C631" s="15">
        <v>140.18</v>
      </c>
      <c r="D631" s="15">
        <v>140.18</v>
      </c>
      <c r="E631" s="15">
        <v>141.80000000000001</v>
      </c>
      <c r="F631" s="15">
        <v>140.61000000000001</v>
      </c>
      <c r="G631" s="15">
        <v>140.38</v>
      </c>
      <c r="H631" s="15">
        <v>140.51</v>
      </c>
      <c r="I631" s="15">
        <v>181.53</v>
      </c>
      <c r="J631" s="15">
        <v>358.73</v>
      </c>
      <c r="K631" s="15">
        <v>5.13</v>
      </c>
      <c r="L631" s="15">
        <v>149.58000000000001</v>
      </c>
      <c r="M631" s="15">
        <v>154.02000000000001</v>
      </c>
      <c r="N631" s="15">
        <v>154.19</v>
      </c>
      <c r="O631" t="s">
        <v>3028</v>
      </c>
    </row>
    <row r="632" spans="1:15" x14ac:dyDescent="0.25">
      <c r="A632" s="10" t="s">
        <v>1411</v>
      </c>
      <c r="B632" s="15">
        <v>162.47999999999999</v>
      </c>
      <c r="C632" s="15">
        <v>171.18</v>
      </c>
      <c r="D632" s="15">
        <v>124.25</v>
      </c>
      <c r="E632" s="15">
        <v>170.94</v>
      </c>
      <c r="F632" s="15">
        <v>122.24</v>
      </c>
      <c r="G632" s="15">
        <v>106.61</v>
      </c>
      <c r="H632" s="15">
        <v>153.38999999999999</v>
      </c>
      <c r="I632" s="15">
        <v>162.63</v>
      </c>
      <c r="J632" s="15">
        <v>115.37</v>
      </c>
      <c r="K632" s="15">
        <v>162.47999999999999</v>
      </c>
      <c r="L632" s="15">
        <v>170.34</v>
      </c>
      <c r="M632" s="15">
        <v>203.21</v>
      </c>
      <c r="N632" s="15">
        <v>166.42</v>
      </c>
      <c r="O632" t="s">
        <v>3028</v>
      </c>
    </row>
    <row r="633" spans="1:15" x14ac:dyDescent="0.25">
      <c r="A633" s="10" t="s">
        <v>1413</v>
      </c>
      <c r="B633" s="15">
        <v>0</v>
      </c>
      <c r="C633" s="15">
        <v>0</v>
      </c>
      <c r="D633" s="15">
        <v>0</v>
      </c>
      <c r="E633" s="15">
        <v>0</v>
      </c>
      <c r="F633" s="15">
        <v>0</v>
      </c>
      <c r="G633" s="15">
        <v>0</v>
      </c>
      <c r="H633" s="15">
        <v>0</v>
      </c>
      <c r="I633" s="15">
        <v>79.73</v>
      </c>
      <c r="J633" s="15">
        <v>108.27</v>
      </c>
      <c r="K633" s="15">
        <v>161.97999999999999</v>
      </c>
      <c r="L633" s="15">
        <v>173.57</v>
      </c>
      <c r="M633" s="15">
        <v>193.95</v>
      </c>
      <c r="N633" s="15">
        <v>57.77</v>
      </c>
      <c r="O633" t="s">
        <v>3028</v>
      </c>
    </row>
    <row r="634" spans="1:15" x14ac:dyDescent="0.25">
      <c r="A634" s="10" t="s">
        <v>1415</v>
      </c>
      <c r="B634" s="15">
        <v>161.94</v>
      </c>
      <c r="C634" s="15">
        <v>164.52</v>
      </c>
      <c r="D634" s="15">
        <v>164.25</v>
      </c>
      <c r="E634" s="15">
        <v>355.62</v>
      </c>
      <c r="F634" s="15">
        <v>44.49</v>
      </c>
      <c r="G634" s="15">
        <v>162.01</v>
      </c>
      <c r="H634" s="15">
        <v>163.01</v>
      </c>
      <c r="I634" s="15">
        <v>211.7</v>
      </c>
      <c r="J634" s="15">
        <v>179.36</v>
      </c>
      <c r="K634" s="15">
        <v>177.87</v>
      </c>
      <c r="L634" s="15">
        <v>179.02</v>
      </c>
      <c r="M634" s="15">
        <v>178.54</v>
      </c>
      <c r="N634" s="15">
        <v>179.08</v>
      </c>
      <c r="O634" t="s">
        <v>3028</v>
      </c>
    </row>
    <row r="635" spans="1:15" x14ac:dyDescent="0.25">
      <c r="A635" s="10" t="s">
        <v>1417</v>
      </c>
      <c r="B635" s="15">
        <v>24.08</v>
      </c>
      <c r="C635" s="15">
        <v>158.57</v>
      </c>
      <c r="D635" s="15">
        <v>189.61</v>
      </c>
      <c r="E635" s="15">
        <v>180.54</v>
      </c>
      <c r="F635" s="15">
        <v>168.63</v>
      </c>
      <c r="G635" s="15">
        <v>175.02</v>
      </c>
      <c r="H635" s="15">
        <v>174.77</v>
      </c>
      <c r="I635" s="15">
        <v>175.97</v>
      </c>
      <c r="J635" s="15">
        <v>10.17</v>
      </c>
      <c r="K635" s="15">
        <v>0</v>
      </c>
      <c r="L635" s="15">
        <v>0</v>
      </c>
      <c r="M635" s="15">
        <v>0</v>
      </c>
      <c r="N635" s="15">
        <v>102.88</v>
      </c>
      <c r="O635" t="s">
        <v>3028</v>
      </c>
    </row>
    <row r="636" spans="1:15" x14ac:dyDescent="0.25">
      <c r="A636" s="10" t="s">
        <v>1419</v>
      </c>
      <c r="B636" s="15">
        <v>191.7</v>
      </c>
      <c r="C636" s="15">
        <v>189.37</v>
      </c>
      <c r="D636" s="15">
        <v>189.37</v>
      </c>
      <c r="E636" s="15">
        <v>189.37</v>
      </c>
      <c r="F636" s="15">
        <v>191.98</v>
      </c>
      <c r="G636" s="15">
        <v>189.66</v>
      </c>
      <c r="H636" s="15">
        <v>189.37</v>
      </c>
      <c r="I636" s="15">
        <v>299.68</v>
      </c>
      <c r="J636" s="15">
        <v>209.64</v>
      </c>
      <c r="K636" s="15">
        <v>212.01</v>
      </c>
      <c r="L636" s="15">
        <v>207.97</v>
      </c>
      <c r="M636" s="15">
        <v>356.24</v>
      </c>
      <c r="N636" s="15">
        <v>208.92</v>
      </c>
      <c r="O636" t="s">
        <v>3028</v>
      </c>
    </row>
    <row r="637" spans="1:15" x14ac:dyDescent="0.25">
      <c r="A637" s="10" t="s">
        <v>1421</v>
      </c>
      <c r="B637" s="15">
        <v>188.73</v>
      </c>
      <c r="C637" s="15">
        <v>229.79</v>
      </c>
      <c r="D637" s="15">
        <v>179.91</v>
      </c>
      <c r="E637" s="15">
        <v>185.37</v>
      </c>
      <c r="F637" s="15">
        <v>221</v>
      </c>
      <c r="G637" s="15">
        <v>155.38</v>
      </c>
      <c r="H637" s="15">
        <v>173.97</v>
      </c>
      <c r="I637" s="15">
        <v>294.17</v>
      </c>
      <c r="J637" s="15">
        <v>192.5</v>
      </c>
      <c r="K637" s="15">
        <v>181.11</v>
      </c>
      <c r="L637" s="15">
        <v>175.68</v>
      </c>
      <c r="M637" s="15">
        <v>185.6</v>
      </c>
      <c r="N637" s="15">
        <v>196.65</v>
      </c>
      <c r="O637" t="s">
        <v>3028</v>
      </c>
    </row>
    <row r="638" spans="1:15" x14ac:dyDescent="0.25">
      <c r="A638" s="10" t="s">
        <v>1423</v>
      </c>
      <c r="B638" s="15">
        <v>189.16</v>
      </c>
      <c r="C638" s="15">
        <v>175.79</v>
      </c>
      <c r="D638" s="15">
        <v>177.93</v>
      </c>
      <c r="E638" s="15">
        <v>189.37</v>
      </c>
      <c r="F638" s="15">
        <v>177.75</v>
      </c>
      <c r="G638" s="15">
        <v>178.56</v>
      </c>
      <c r="H638" s="15">
        <v>182.39</v>
      </c>
      <c r="I638" s="15">
        <v>296.27</v>
      </c>
      <c r="J638" s="15">
        <v>427.29</v>
      </c>
      <c r="K638" s="15">
        <v>128.87</v>
      </c>
      <c r="L638" s="15">
        <v>197.41</v>
      </c>
      <c r="M638" s="15">
        <v>201.09</v>
      </c>
      <c r="N638" s="15">
        <v>197.16</v>
      </c>
      <c r="O638" t="s">
        <v>3028</v>
      </c>
    </row>
    <row r="639" spans="1:15" x14ac:dyDescent="0.25">
      <c r="A639" s="10" t="s">
        <v>1425</v>
      </c>
      <c r="B639" s="15">
        <v>177.08</v>
      </c>
      <c r="C639" s="15">
        <v>172.94</v>
      </c>
      <c r="D639" s="15">
        <v>173.61</v>
      </c>
      <c r="E639" s="15">
        <v>173.61</v>
      </c>
      <c r="F639" s="15">
        <v>172.94</v>
      </c>
      <c r="G639" s="15">
        <v>172.94</v>
      </c>
      <c r="H639" s="15">
        <v>172.94</v>
      </c>
      <c r="I639" s="15">
        <v>223.89</v>
      </c>
      <c r="J639" s="15">
        <v>239.54</v>
      </c>
      <c r="K639" s="15">
        <v>184.54</v>
      </c>
      <c r="L639" s="15">
        <v>189.92</v>
      </c>
      <c r="M639" s="15">
        <v>189.92</v>
      </c>
      <c r="N639" s="15">
        <v>190.55</v>
      </c>
      <c r="O639" t="s">
        <v>3028</v>
      </c>
    </row>
    <row r="640" spans="1:15" x14ac:dyDescent="0.25">
      <c r="A640" s="10" t="s">
        <v>1427</v>
      </c>
      <c r="B640" s="15">
        <v>0</v>
      </c>
      <c r="C640" s="15">
        <v>0</v>
      </c>
      <c r="D640" s="15">
        <v>0</v>
      </c>
      <c r="E640" s="15">
        <v>0</v>
      </c>
      <c r="F640" s="15">
        <v>77.209999999999994</v>
      </c>
      <c r="G640" s="15">
        <v>107.89</v>
      </c>
      <c r="H640" s="15">
        <v>108.67</v>
      </c>
      <c r="I640" s="15">
        <v>168.71</v>
      </c>
      <c r="J640" s="15">
        <v>115.98</v>
      </c>
      <c r="K640" s="15">
        <v>115.81</v>
      </c>
      <c r="L640" s="15">
        <v>144.56</v>
      </c>
      <c r="M640" s="15">
        <v>115.74</v>
      </c>
      <c r="N640" s="15">
        <v>79.91</v>
      </c>
      <c r="O640" t="s">
        <v>3028</v>
      </c>
    </row>
    <row r="641" spans="1:15" x14ac:dyDescent="0.25">
      <c r="A641" s="10" t="s">
        <v>1429</v>
      </c>
      <c r="B641" s="15">
        <v>120.76</v>
      </c>
      <c r="C641" s="15">
        <v>120.59</v>
      </c>
      <c r="D641" s="15">
        <v>109.42</v>
      </c>
      <c r="E641" s="15">
        <v>116.69</v>
      </c>
      <c r="F641" s="15">
        <v>116.7</v>
      </c>
      <c r="G641" s="15">
        <v>283.64</v>
      </c>
      <c r="H641" s="15">
        <v>17.920000000000002</v>
      </c>
      <c r="I641" s="15">
        <v>155.96</v>
      </c>
      <c r="J641" s="15">
        <v>146.13999999999999</v>
      </c>
      <c r="K641" s="15">
        <v>117.84</v>
      </c>
      <c r="L641" s="15">
        <v>109.37</v>
      </c>
      <c r="M641" s="15">
        <v>0</v>
      </c>
      <c r="N641" s="15">
        <v>105.38</v>
      </c>
      <c r="O641" t="s">
        <v>3028</v>
      </c>
    </row>
    <row r="642" spans="1:15" x14ac:dyDescent="0.25">
      <c r="A642" s="10" t="s">
        <v>1431</v>
      </c>
      <c r="B642" s="15">
        <v>28.1</v>
      </c>
      <c r="C642" s="15">
        <v>47.94</v>
      </c>
      <c r="D642" s="15">
        <v>51.25</v>
      </c>
      <c r="E642" s="15">
        <v>49.6</v>
      </c>
      <c r="F642" s="15">
        <v>51.25</v>
      </c>
      <c r="G642" s="15">
        <v>49.6</v>
      </c>
      <c r="H642" s="15">
        <v>51.25</v>
      </c>
      <c r="I642" s="15">
        <v>1.65</v>
      </c>
      <c r="J642" s="15">
        <v>0</v>
      </c>
      <c r="K642" s="15">
        <v>0</v>
      </c>
      <c r="L642" s="15">
        <v>0</v>
      </c>
      <c r="M642" s="15">
        <v>0</v>
      </c>
      <c r="N642" s="15">
        <v>28.93</v>
      </c>
      <c r="O642" t="s">
        <v>3028</v>
      </c>
    </row>
    <row r="643" spans="1:15" x14ac:dyDescent="0.25">
      <c r="A643" s="10" t="s">
        <v>1433</v>
      </c>
      <c r="B643" s="15">
        <v>0</v>
      </c>
      <c r="C643" s="15">
        <v>0</v>
      </c>
      <c r="D643" s="15">
        <v>0</v>
      </c>
      <c r="E643" s="15">
        <v>0</v>
      </c>
      <c r="F643" s="15">
        <v>0</v>
      </c>
      <c r="G643" s="15">
        <v>0</v>
      </c>
      <c r="H643" s="15">
        <v>70.19</v>
      </c>
      <c r="I643" s="15">
        <v>153.9</v>
      </c>
      <c r="J643" s="15">
        <v>119.64</v>
      </c>
      <c r="K643" s="15">
        <v>120.05</v>
      </c>
      <c r="L643" s="15">
        <v>118.78</v>
      </c>
      <c r="M643" s="15">
        <v>119.83</v>
      </c>
      <c r="N643" s="15">
        <v>60.33</v>
      </c>
      <c r="O643" t="s">
        <v>3028</v>
      </c>
    </row>
    <row r="644" spans="1:15" x14ac:dyDescent="0.25">
      <c r="A644" s="10" t="s">
        <v>1435</v>
      </c>
      <c r="B644" s="15">
        <v>101.77</v>
      </c>
      <c r="C644" s="15">
        <v>164.62</v>
      </c>
      <c r="D644" s="15">
        <v>152.27000000000001</v>
      </c>
      <c r="E644" s="15">
        <v>155</v>
      </c>
      <c r="F644" s="15">
        <v>143.91999999999999</v>
      </c>
      <c r="G644" s="15">
        <v>160.65</v>
      </c>
      <c r="H644" s="15">
        <v>164.15</v>
      </c>
      <c r="I644" s="15">
        <v>142.35</v>
      </c>
      <c r="J644" s="15">
        <v>67.08</v>
      </c>
      <c r="K644" s="15">
        <v>3.46</v>
      </c>
      <c r="L644" s="15">
        <v>0</v>
      </c>
      <c r="M644" s="15">
        <v>0</v>
      </c>
      <c r="N644" s="15">
        <v>106.14</v>
      </c>
      <c r="O644" t="s">
        <v>3028</v>
      </c>
    </row>
    <row r="645" spans="1:15" x14ac:dyDescent="0.25">
      <c r="A645" s="10" t="s">
        <v>1437</v>
      </c>
      <c r="B645" s="15">
        <v>197.03</v>
      </c>
      <c r="C645" s="15">
        <v>213.32</v>
      </c>
      <c r="D645" s="15">
        <v>184.96</v>
      </c>
      <c r="E645" s="15">
        <v>413.6</v>
      </c>
      <c r="F645" s="15">
        <v>56.24</v>
      </c>
      <c r="G645" s="15">
        <v>161.27000000000001</v>
      </c>
      <c r="H645" s="15">
        <v>165.76</v>
      </c>
      <c r="I645" s="15">
        <v>211.73</v>
      </c>
      <c r="J645" s="15">
        <v>198.87</v>
      </c>
      <c r="K645" s="15">
        <v>179.64</v>
      </c>
      <c r="L645" s="15">
        <v>179.02</v>
      </c>
      <c r="M645" s="15">
        <v>179.06</v>
      </c>
      <c r="N645" s="15">
        <v>192.25</v>
      </c>
      <c r="O645" t="s">
        <v>3028</v>
      </c>
    </row>
    <row r="646" spans="1:15" x14ac:dyDescent="0.25">
      <c r="A646" s="10" t="s">
        <v>1442</v>
      </c>
      <c r="B646" s="15">
        <v>210.87</v>
      </c>
      <c r="C646" s="15">
        <v>287.99</v>
      </c>
      <c r="D646" s="15">
        <v>206.82</v>
      </c>
      <c r="E646" s="15">
        <v>296.20999999999998</v>
      </c>
      <c r="F646" s="15">
        <v>213.65</v>
      </c>
      <c r="G646" s="15">
        <v>681.73</v>
      </c>
      <c r="H646" s="15">
        <v>64.5</v>
      </c>
      <c r="I646" s="15">
        <v>341.9</v>
      </c>
      <c r="J646" s="15">
        <v>312.19</v>
      </c>
      <c r="K646" s="15">
        <v>312.19</v>
      </c>
      <c r="L646" s="15">
        <v>314.02</v>
      </c>
      <c r="M646" s="15">
        <v>233.01</v>
      </c>
      <c r="N646" s="15">
        <v>304</v>
      </c>
      <c r="O646" t="s">
        <v>3028</v>
      </c>
    </row>
    <row r="647" spans="1:15" x14ac:dyDescent="0.25">
      <c r="A647" s="10" t="s">
        <v>1444</v>
      </c>
      <c r="B647" s="15">
        <v>0</v>
      </c>
      <c r="C647" s="15">
        <v>0</v>
      </c>
      <c r="D647" s="15">
        <v>84.23</v>
      </c>
      <c r="E647" s="15">
        <v>105.28</v>
      </c>
      <c r="F647" s="15">
        <v>105.28</v>
      </c>
      <c r="G647" s="15">
        <v>105.28</v>
      </c>
      <c r="H647" s="15">
        <v>105.28</v>
      </c>
      <c r="I647" s="15">
        <v>153.34</v>
      </c>
      <c r="J647" s="15">
        <v>115.85</v>
      </c>
      <c r="K647" s="15">
        <v>119.63</v>
      </c>
      <c r="L647" s="15">
        <v>115.62</v>
      </c>
      <c r="M647" s="15">
        <v>115.62</v>
      </c>
      <c r="N647" s="15">
        <v>96.7</v>
      </c>
      <c r="O647" t="s">
        <v>3028</v>
      </c>
    </row>
    <row r="648" spans="1:15" x14ac:dyDescent="0.25">
      <c r="A648" s="10" t="s">
        <v>1446</v>
      </c>
      <c r="B648" s="15">
        <v>146.88</v>
      </c>
      <c r="C648" s="15">
        <v>162.44999999999999</v>
      </c>
      <c r="D648" s="15">
        <v>289</v>
      </c>
      <c r="E648" s="15">
        <v>0</v>
      </c>
      <c r="F648" s="15">
        <v>0</v>
      </c>
      <c r="G648" s="15">
        <v>0</v>
      </c>
      <c r="H648" s="15">
        <v>0</v>
      </c>
      <c r="I648" s="15">
        <v>0</v>
      </c>
      <c r="J648" s="15">
        <v>0</v>
      </c>
      <c r="K648" s="15">
        <v>0</v>
      </c>
      <c r="L648" s="15">
        <v>0</v>
      </c>
      <c r="M648" s="15">
        <v>0</v>
      </c>
      <c r="N648" s="15">
        <v>36.03</v>
      </c>
      <c r="O648" t="s">
        <v>3028</v>
      </c>
    </row>
    <row r="649" spans="1:15" x14ac:dyDescent="0.25">
      <c r="A649" s="10" t="s">
        <v>1448</v>
      </c>
      <c r="B649" s="15">
        <v>291.22000000000003</v>
      </c>
      <c r="C649" s="15">
        <v>223.03</v>
      </c>
      <c r="D649" s="15">
        <v>288.07</v>
      </c>
      <c r="E649" s="15">
        <v>163.94</v>
      </c>
      <c r="F649" s="15">
        <v>224.44</v>
      </c>
      <c r="G649" s="15">
        <v>689.2</v>
      </c>
      <c r="H649" s="15">
        <v>99.08</v>
      </c>
      <c r="I649" s="15">
        <v>297.58</v>
      </c>
      <c r="J649" s="15">
        <v>303.39</v>
      </c>
      <c r="K649" s="15">
        <v>327.10000000000002</v>
      </c>
      <c r="L649" s="15">
        <v>324.64999999999998</v>
      </c>
      <c r="M649" s="15">
        <v>305.91000000000003</v>
      </c>
      <c r="N649" s="15">
        <v>303.57</v>
      </c>
      <c r="O649" t="s">
        <v>3028</v>
      </c>
    </row>
    <row r="650" spans="1:15" x14ac:dyDescent="0.25">
      <c r="A650" s="10" t="s">
        <v>1450</v>
      </c>
      <c r="B650" s="15">
        <v>158.54</v>
      </c>
      <c r="C650" s="15">
        <v>161.52000000000001</v>
      </c>
      <c r="D650" s="15">
        <v>164.2</v>
      </c>
      <c r="E650" s="15">
        <v>224.76</v>
      </c>
      <c r="F650" s="15">
        <v>118.14</v>
      </c>
      <c r="G650" s="15">
        <v>166.86</v>
      </c>
      <c r="H650" s="15">
        <v>156.02000000000001</v>
      </c>
      <c r="I650" s="15">
        <v>212.85</v>
      </c>
      <c r="J650" s="15">
        <v>187.54</v>
      </c>
      <c r="K650" s="15">
        <v>170.85</v>
      </c>
      <c r="L650" s="15">
        <v>170.51</v>
      </c>
      <c r="M650" s="15">
        <v>187.17</v>
      </c>
      <c r="N650" s="15">
        <v>175.61</v>
      </c>
      <c r="O650" t="s">
        <v>3028</v>
      </c>
    </row>
    <row r="651" spans="1:15" x14ac:dyDescent="0.25">
      <c r="A651" s="10" t="s">
        <v>1452</v>
      </c>
      <c r="B651" s="15">
        <v>179.39</v>
      </c>
      <c r="C651" s="15">
        <v>177.78</v>
      </c>
      <c r="D651" s="15">
        <v>379.5</v>
      </c>
      <c r="E651" s="15">
        <v>23.76</v>
      </c>
      <c r="F651" s="15">
        <v>96.27</v>
      </c>
      <c r="G651" s="15">
        <v>111.82</v>
      </c>
      <c r="H651" s="15">
        <v>196.24</v>
      </c>
      <c r="I651" s="15">
        <v>0</v>
      </c>
      <c r="J651" s="15">
        <v>27.59</v>
      </c>
      <c r="K651" s="15">
        <v>0</v>
      </c>
      <c r="L651" s="15">
        <v>0</v>
      </c>
      <c r="M651" s="15">
        <v>0</v>
      </c>
      <c r="N651" s="15">
        <v>85.4</v>
      </c>
      <c r="O651" t="s">
        <v>3028</v>
      </c>
    </row>
    <row r="652" spans="1:15" x14ac:dyDescent="0.25">
      <c r="A652" s="10" t="s">
        <v>1454</v>
      </c>
      <c r="B652" s="15">
        <v>113.46</v>
      </c>
      <c r="C652" s="15">
        <v>105.28</v>
      </c>
      <c r="D652" s="15">
        <v>107</v>
      </c>
      <c r="E652" s="15">
        <v>105.71</v>
      </c>
      <c r="F652" s="15">
        <v>106.07</v>
      </c>
      <c r="G652" s="15">
        <v>266.2</v>
      </c>
      <c r="H652" s="15">
        <v>14.49</v>
      </c>
      <c r="I652" s="15">
        <v>153.4</v>
      </c>
      <c r="J652" s="15">
        <v>116.15</v>
      </c>
      <c r="K652" s="15">
        <v>115.62</v>
      </c>
      <c r="L652" s="15">
        <v>115.62</v>
      </c>
      <c r="M652" s="15">
        <v>115.76</v>
      </c>
      <c r="N652" s="15">
        <v>117.64</v>
      </c>
      <c r="O652" t="s">
        <v>3028</v>
      </c>
    </row>
    <row r="653" spans="1:15" x14ac:dyDescent="0.25">
      <c r="A653" s="10" t="s">
        <v>1456</v>
      </c>
      <c r="B653" s="15">
        <v>153.13</v>
      </c>
      <c r="C653" s="15">
        <v>154</v>
      </c>
      <c r="D653" s="15">
        <v>109.75</v>
      </c>
      <c r="E653" s="15">
        <v>150.74</v>
      </c>
      <c r="F653" s="15">
        <v>0</v>
      </c>
      <c r="G653" s="15">
        <v>0</v>
      </c>
      <c r="H653" s="15">
        <v>0</v>
      </c>
      <c r="I653" s="15">
        <v>0</v>
      </c>
      <c r="J653" s="15">
        <v>0</v>
      </c>
      <c r="K653" s="15">
        <v>0</v>
      </c>
      <c r="L653" s="15">
        <v>0</v>
      </c>
      <c r="M653" s="15">
        <v>0</v>
      </c>
      <c r="N653" s="15">
        <v>42.3</v>
      </c>
      <c r="O653" t="s">
        <v>3028</v>
      </c>
    </row>
    <row r="654" spans="1:15" x14ac:dyDescent="0.25">
      <c r="A654" s="10" t="s">
        <v>1458</v>
      </c>
      <c r="B654" s="15">
        <v>0</v>
      </c>
      <c r="C654" s="15">
        <v>0</v>
      </c>
      <c r="D654" s="15">
        <v>0</v>
      </c>
      <c r="E654" s="15">
        <v>306.89999999999998</v>
      </c>
      <c r="F654" s="15">
        <v>341</v>
      </c>
      <c r="G654" s="15">
        <v>345.22</v>
      </c>
      <c r="H654" s="15">
        <v>341</v>
      </c>
      <c r="I654" s="15">
        <v>451.55</v>
      </c>
      <c r="J654" s="15">
        <v>376.27</v>
      </c>
      <c r="K654" s="15">
        <v>381.51</v>
      </c>
      <c r="L654" s="15">
        <v>389.49</v>
      </c>
      <c r="M654" s="15">
        <v>374.86</v>
      </c>
      <c r="N654" s="15">
        <v>232.44</v>
      </c>
      <c r="O654" t="s">
        <v>3028</v>
      </c>
    </row>
    <row r="655" spans="1:15" x14ac:dyDescent="0.25">
      <c r="A655" s="10" t="s">
        <v>1460</v>
      </c>
      <c r="B655" s="15">
        <v>167.8</v>
      </c>
      <c r="C655" s="15">
        <v>177.67</v>
      </c>
      <c r="D655" s="15">
        <v>341.21</v>
      </c>
      <c r="E655" s="15">
        <v>45.28</v>
      </c>
      <c r="F655" s="15">
        <v>99.74</v>
      </c>
      <c r="G655" s="15">
        <v>176.58</v>
      </c>
      <c r="H655" s="15">
        <v>186.37</v>
      </c>
      <c r="I655" s="15">
        <v>229.22</v>
      </c>
      <c r="J655" s="15">
        <v>171.75</v>
      </c>
      <c r="K655" s="15">
        <v>286.19</v>
      </c>
      <c r="L655" s="15">
        <v>155.65</v>
      </c>
      <c r="M655" s="15">
        <v>183.39</v>
      </c>
      <c r="N655" s="15">
        <v>185.39</v>
      </c>
      <c r="O655" t="s">
        <v>3028</v>
      </c>
    </row>
    <row r="656" spans="1:15" x14ac:dyDescent="0.25">
      <c r="A656" s="10" t="s">
        <v>1462</v>
      </c>
      <c r="B656" s="15">
        <v>96.6</v>
      </c>
      <c r="C656" s="15">
        <v>108.56</v>
      </c>
      <c r="D656" s="15">
        <v>285.55</v>
      </c>
      <c r="E656" s="15">
        <v>17.350000000000001</v>
      </c>
      <c r="F656" s="15">
        <v>95.17</v>
      </c>
      <c r="G656" s="15">
        <v>111.92</v>
      </c>
      <c r="H656" s="15">
        <v>109.94</v>
      </c>
      <c r="I656" s="15">
        <v>185.26</v>
      </c>
      <c r="J656" s="15">
        <v>147.66999999999999</v>
      </c>
      <c r="K656" s="15">
        <v>118.06</v>
      </c>
      <c r="L656" s="15">
        <v>116.41</v>
      </c>
      <c r="M656" s="15">
        <v>115.78</v>
      </c>
      <c r="N656" s="15">
        <v>122.9</v>
      </c>
      <c r="O656" t="s">
        <v>3028</v>
      </c>
    </row>
    <row r="657" spans="1:15" x14ac:dyDescent="0.25">
      <c r="A657" s="10" t="s">
        <v>1464</v>
      </c>
      <c r="B657" s="15">
        <v>192.98</v>
      </c>
      <c r="C657" s="15">
        <v>189.37</v>
      </c>
      <c r="D657" s="15">
        <v>189.37</v>
      </c>
      <c r="E657" s="15">
        <v>189.37</v>
      </c>
      <c r="F657" s="15">
        <v>189.37</v>
      </c>
      <c r="G657" s="15">
        <v>189.37</v>
      </c>
      <c r="H657" s="15">
        <v>189.37</v>
      </c>
      <c r="I657" s="15">
        <v>328.63</v>
      </c>
      <c r="J657" s="15">
        <v>547.70000000000005</v>
      </c>
      <c r="K657" s="15">
        <v>8.4700000000000006</v>
      </c>
      <c r="L657" s="15">
        <v>202.07</v>
      </c>
      <c r="M657" s="15">
        <v>207.97</v>
      </c>
      <c r="N657" s="15">
        <v>210.27</v>
      </c>
      <c r="O657" t="s">
        <v>3028</v>
      </c>
    </row>
    <row r="658" spans="1:15" x14ac:dyDescent="0.25">
      <c r="A658" s="10" t="s">
        <v>1466</v>
      </c>
      <c r="B658" s="15">
        <v>110.78</v>
      </c>
      <c r="C658" s="15">
        <v>150.1</v>
      </c>
      <c r="D658" s="15">
        <v>116.86</v>
      </c>
      <c r="E658" s="15">
        <v>119.23</v>
      </c>
      <c r="F658" s="15">
        <v>111.43</v>
      </c>
      <c r="G658" s="15">
        <v>167.72</v>
      </c>
      <c r="H658" s="15">
        <v>0</v>
      </c>
      <c r="I658" s="15">
        <v>0</v>
      </c>
      <c r="J658" s="15">
        <v>14.37</v>
      </c>
      <c r="K658" s="15">
        <v>0</v>
      </c>
      <c r="L658" s="15">
        <v>0</v>
      </c>
      <c r="M658" s="15">
        <v>0</v>
      </c>
      <c r="N658" s="15">
        <v>63.82</v>
      </c>
      <c r="O658" t="s">
        <v>3028</v>
      </c>
    </row>
    <row r="659" spans="1:15" x14ac:dyDescent="0.25">
      <c r="A659" s="10" t="s">
        <v>1468</v>
      </c>
      <c r="B659" s="15">
        <v>166.28</v>
      </c>
      <c r="C659" s="15">
        <v>164.87</v>
      </c>
      <c r="D659" s="15">
        <v>163.86</v>
      </c>
      <c r="E659" s="15">
        <v>164.8</v>
      </c>
      <c r="F659" s="15">
        <v>163.85</v>
      </c>
      <c r="G659" s="15">
        <v>154.97999999999999</v>
      </c>
      <c r="H659" s="15">
        <v>173.92</v>
      </c>
      <c r="I659" s="15">
        <v>230.14</v>
      </c>
      <c r="J659" s="15">
        <v>179.31</v>
      </c>
      <c r="K659" s="15">
        <v>170.65</v>
      </c>
      <c r="L659" s="15">
        <v>179.07</v>
      </c>
      <c r="M659" s="15">
        <v>178.89</v>
      </c>
      <c r="N659" s="15">
        <v>182.1</v>
      </c>
      <c r="O659" t="s">
        <v>3028</v>
      </c>
    </row>
    <row r="660" spans="1:15" x14ac:dyDescent="0.25">
      <c r="A660" s="10" t="s">
        <v>1470</v>
      </c>
      <c r="B660" s="15">
        <v>0</v>
      </c>
      <c r="C660" s="15">
        <v>0</v>
      </c>
      <c r="D660" s="15">
        <v>101.77</v>
      </c>
      <c r="E660" s="15">
        <v>112.34</v>
      </c>
      <c r="F660" s="15">
        <v>113.57</v>
      </c>
      <c r="G660" s="15">
        <v>112.41</v>
      </c>
      <c r="H660" s="15">
        <v>119.43</v>
      </c>
      <c r="I660" s="15">
        <v>190.8</v>
      </c>
      <c r="J660" s="15">
        <v>111.46</v>
      </c>
      <c r="K660" s="15">
        <v>123.78</v>
      </c>
      <c r="L660" s="15">
        <v>119.14</v>
      </c>
      <c r="M660" s="15">
        <v>120.52</v>
      </c>
      <c r="N660" s="15">
        <v>104.16</v>
      </c>
      <c r="O660" t="s">
        <v>3028</v>
      </c>
    </row>
    <row r="661" spans="1:15" x14ac:dyDescent="0.25">
      <c r="A661" s="10" t="s">
        <v>1472</v>
      </c>
      <c r="B661" s="15">
        <v>0</v>
      </c>
      <c r="C661" s="15">
        <v>0</v>
      </c>
      <c r="D661" s="15">
        <v>0</v>
      </c>
      <c r="E661" s="15">
        <v>59.66</v>
      </c>
      <c r="F661" s="15">
        <v>110.09</v>
      </c>
      <c r="G661" s="15">
        <v>122.88</v>
      </c>
      <c r="H661" s="15">
        <v>114.37</v>
      </c>
      <c r="I661" s="15">
        <v>161.55000000000001</v>
      </c>
      <c r="J661" s="15">
        <v>119.69</v>
      </c>
      <c r="K661" s="15">
        <v>123.8</v>
      </c>
      <c r="L661" s="15">
        <v>120.74</v>
      </c>
      <c r="M661" s="15">
        <v>119.52</v>
      </c>
      <c r="N661" s="15">
        <v>91.93</v>
      </c>
      <c r="O661" t="s">
        <v>3028</v>
      </c>
    </row>
    <row r="662" spans="1:15" x14ac:dyDescent="0.25">
      <c r="A662" s="10" t="s">
        <v>1474</v>
      </c>
      <c r="B662" s="15">
        <v>106.23</v>
      </c>
      <c r="C662" s="15">
        <v>108.84</v>
      </c>
      <c r="D662" s="15">
        <v>106.54</v>
      </c>
      <c r="E662" s="15">
        <v>107.97</v>
      </c>
      <c r="F662" s="15">
        <v>107.98</v>
      </c>
      <c r="G662" s="15">
        <v>108.3</v>
      </c>
      <c r="H662" s="15">
        <v>196.24</v>
      </c>
      <c r="I662" s="15">
        <v>140.72</v>
      </c>
      <c r="J662" s="15">
        <v>121.75</v>
      </c>
      <c r="K662" s="15">
        <v>116.24</v>
      </c>
      <c r="L662" s="15">
        <v>0</v>
      </c>
      <c r="M662" s="15">
        <v>0</v>
      </c>
      <c r="N662" s="15">
        <v>98.29</v>
      </c>
      <c r="O662" t="s">
        <v>3028</v>
      </c>
    </row>
    <row r="663" spans="1:15" x14ac:dyDescent="0.25">
      <c r="A663" s="10" t="s">
        <v>1476</v>
      </c>
      <c r="B663" s="15">
        <v>0</v>
      </c>
      <c r="C663" s="15">
        <v>0</v>
      </c>
      <c r="D663" s="15">
        <v>0</v>
      </c>
      <c r="E663" s="15">
        <v>121.68</v>
      </c>
      <c r="F663" s="15">
        <v>153.16999999999999</v>
      </c>
      <c r="G663" s="15">
        <v>166.56</v>
      </c>
      <c r="H663" s="15">
        <v>164.56</v>
      </c>
      <c r="I663" s="15">
        <v>200.42</v>
      </c>
      <c r="J663" s="15">
        <v>167.73</v>
      </c>
      <c r="K663" s="15">
        <v>167.03</v>
      </c>
      <c r="L663" s="15">
        <v>181.79</v>
      </c>
      <c r="M663" s="15">
        <v>167.88</v>
      </c>
      <c r="N663" s="15">
        <v>115.06</v>
      </c>
      <c r="O663" t="s">
        <v>3028</v>
      </c>
    </row>
    <row r="664" spans="1:15" x14ac:dyDescent="0.25">
      <c r="A664" s="10" t="s">
        <v>1478</v>
      </c>
      <c r="B664" s="15">
        <v>86.69</v>
      </c>
      <c r="C664" s="15">
        <v>108.59</v>
      </c>
      <c r="D664" s="15">
        <v>112.91</v>
      </c>
      <c r="E664" s="15">
        <v>114.51</v>
      </c>
      <c r="F664" s="15">
        <v>111.62</v>
      </c>
      <c r="G664" s="15">
        <v>113.37</v>
      </c>
      <c r="H664" s="15">
        <v>118.96</v>
      </c>
      <c r="I664" s="15">
        <v>146.07</v>
      </c>
      <c r="J664" s="15">
        <v>190.39</v>
      </c>
      <c r="K664" s="15">
        <v>134.72</v>
      </c>
      <c r="L664" s="15">
        <v>120.38</v>
      </c>
      <c r="M664" s="15">
        <v>118.55</v>
      </c>
      <c r="N664" s="15">
        <v>124.33</v>
      </c>
      <c r="O664" t="s">
        <v>3028</v>
      </c>
    </row>
    <row r="665" spans="1:15" x14ac:dyDescent="0.25">
      <c r="A665" s="10" t="s">
        <v>1480</v>
      </c>
      <c r="B665" s="15">
        <v>120.28</v>
      </c>
      <c r="C665" s="15">
        <v>123.96</v>
      </c>
      <c r="D665" s="15">
        <v>151.37</v>
      </c>
      <c r="E665" s="15">
        <v>141.22999999999999</v>
      </c>
      <c r="F665" s="15">
        <v>142.49</v>
      </c>
      <c r="G665" s="15">
        <v>114.87</v>
      </c>
      <c r="H665" s="15">
        <v>334.32</v>
      </c>
      <c r="I665" s="15">
        <v>182.8</v>
      </c>
      <c r="J665" s="15">
        <v>149.58000000000001</v>
      </c>
      <c r="K665" s="15">
        <v>192.34</v>
      </c>
      <c r="L665" s="15">
        <v>166.8</v>
      </c>
      <c r="M665" s="15">
        <v>287.89999999999998</v>
      </c>
      <c r="N665" s="15">
        <v>170.98</v>
      </c>
      <c r="O665" t="s">
        <v>3028</v>
      </c>
    </row>
    <row r="666" spans="1:15" x14ac:dyDescent="0.25">
      <c r="A666" s="10" t="s">
        <v>1482</v>
      </c>
      <c r="B666" s="15">
        <v>107.02</v>
      </c>
      <c r="C666" s="15">
        <v>107.48</v>
      </c>
      <c r="D666" s="15">
        <v>107.99</v>
      </c>
      <c r="E666" s="15">
        <v>100.55</v>
      </c>
      <c r="F666" s="15">
        <v>163.63</v>
      </c>
      <c r="G666" s="15">
        <v>105.43</v>
      </c>
      <c r="H666" s="15">
        <v>110.84</v>
      </c>
      <c r="I666" s="15">
        <v>253.58</v>
      </c>
      <c r="J666" s="15">
        <v>105.55</v>
      </c>
      <c r="K666" s="15">
        <v>120.8</v>
      </c>
      <c r="L666" s="15">
        <v>318.33</v>
      </c>
      <c r="M666" s="15">
        <v>205.41</v>
      </c>
      <c r="N666" s="15">
        <v>189.35</v>
      </c>
      <c r="O666" t="s">
        <v>3028</v>
      </c>
    </row>
    <row r="667" spans="1:15" x14ac:dyDescent="0.25">
      <c r="A667" s="10" t="s">
        <v>1484</v>
      </c>
      <c r="B667" s="15">
        <v>207.97</v>
      </c>
      <c r="C667" s="15">
        <v>161.38</v>
      </c>
      <c r="D667" s="15">
        <v>366.53</v>
      </c>
      <c r="E667" s="15">
        <v>21.45</v>
      </c>
      <c r="F667" s="15">
        <v>160.41</v>
      </c>
      <c r="G667" s="15">
        <v>165.51</v>
      </c>
      <c r="H667" s="15">
        <v>166.2</v>
      </c>
      <c r="I667" s="15">
        <v>225.73</v>
      </c>
      <c r="J667" s="15">
        <v>186.26</v>
      </c>
      <c r="K667" s="15">
        <v>176.3</v>
      </c>
      <c r="L667" s="15">
        <v>176.55</v>
      </c>
      <c r="M667" s="15">
        <v>176.73</v>
      </c>
      <c r="N667" s="15">
        <v>180.26</v>
      </c>
      <c r="O667" t="s">
        <v>3028</v>
      </c>
    </row>
    <row r="668" spans="1:15" x14ac:dyDescent="0.25">
      <c r="A668" s="10" t="s">
        <v>1486</v>
      </c>
      <c r="B668" s="15">
        <v>111.75</v>
      </c>
      <c r="C668" s="15">
        <v>105.28</v>
      </c>
      <c r="D668" s="15">
        <v>105.28</v>
      </c>
      <c r="E668" s="15">
        <v>105.28</v>
      </c>
      <c r="F668" s="15">
        <v>105.28</v>
      </c>
      <c r="G668" s="15">
        <v>105.28</v>
      </c>
      <c r="H668" s="15">
        <v>105.28</v>
      </c>
      <c r="I668" s="15">
        <v>154.9</v>
      </c>
      <c r="J668" s="15">
        <v>220.51</v>
      </c>
      <c r="K668" s="15">
        <v>60.81</v>
      </c>
      <c r="L668" s="15">
        <v>154.85</v>
      </c>
      <c r="M668" s="15">
        <v>141.83000000000001</v>
      </c>
      <c r="N668" s="15">
        <v>143.93</v>
      </c>
      <c r="O668" t="s">
        <v>3028</v>
      </c>
    </row>
    <row r="669" spans="1:15" x14ac:dyDescent="0.25">
      <c r="A669" s="10" t="s">
        <v>1488</v>
      </c>
      <c r="B669" s="15">
        <v>105.28</v>
      </c>
      <c r="C669" s="15">
        <v>105.28</v>
      </c>
      <c r="D669" s="15">
        <v>105.28</v>
      </c>
      <c r="E669" s="15">
        <v>189.37</v>
      </c>
      <c r="F669" s="15">
        <v>189.37</v>
      </c>
      <c r="G669" s="15">
        <v>189.37</v>
      </c>
      <c r="H669" s="15">
        <v>189.37</v>
      </c>
      <c r="I669" s="15">
        <v>328.47</v>
      </c>
      <c r="J669" s="15">
        <v>388.99</v>
      </c>
      <c r="K669" s="15">
        <v>184.35</v>
      </c>
      <c r="L669" s="15">
        <v>207.97</v>
      </c>
      <c r="M669" s="15">
        <v>207.97</v>
      </c>
      <c r="N669" s="15">
        <v>211.88</v>
      </c>
      <c r="O669" t="s">
        <v>3028</v>
      </c>
    </row>
    <row r="670" spans="1:15" x14ac:dyDescent="0.25">
      <c r="A670" s="10" t="s">
        <v>1490</v>
      </c>
      <c r="B670" s="15">
        <v>229.65</v>
      </c>
      <c r="C670" s="15">
        <v>0</v>
      </c>
      <c r="D670" s="15">
        <v>0</v>
      </c>
      <c r="E670" s="15">
        <v>0</v>
      </c>
      <c r="F670" s="15">
        <v>0</v>
      </c>
      <c r="G670" s="15">
        <v>0</v>
      </c>
      <c r="H670" s="15">
        <v>0</v>
      </c>
      <c r="I670" s="15">
        <v>0</v>
      </c>
      <c r="J670" s="15">
        <v>0</v>
      </c>
      <c r="K670" s="15">
        <v>0</v>
      </c>
      <c r="L670" s="15">
        <v>0</v>
      </c>
      <c r="M670" s="15">
        <v>0</v>
      </c>
      <c r="N670" s="15">
        <v>17.54</v>
      </c>
      <c r="O670" t="s">
        <v>3028</v>
      </c>
    </row>
    <row r="671" spans="1:15" x14ac:dyDescent="0.25">
      <c r="A671" s="10" t="s">
        <v>1492</v>
      </c>
      <c r="B671" s="15">
        <v>164.85</v>
      </c>
      <c r="C671" s="15">
        <v>161.56</v>
      </c>
      <c r="D671" s="15">
        <v>162.05000000000001</v>
      </c>
      <c r="E671" s="15">
        <v>162.88</v>
      </c>
      <c r="F671" s="15">
        <v>163.58000000000001</v>
      </c>
      <c r="G671" s="15">
        <v>181.67</v>
      </c>
      <c r="H671" s="15">
        <v>265.95999999999998</v>
      </c>
      <c r="I671" s="15">
        <v>179.26</v>
      </c>
      <c r="J671" s="15">
        <v>176.21</v>
      </c>
      <c r="K671" s="15">
        <v>178.28</v>
      </c>
      <c r="L671" s="15">
        <v>178.24</v>
      </c>
      <c r="M671" s="15">
        <v>175.86</v>
      </c>
      <c r="N671" s="15">
        <v>179.83</v>
      </c>
      <c r="O671" t="s">
        <v>3028</v>
      </c>
    </row>
    <row r="672" spans="1:15" x14ac:dyDescent="0.25">
      <c r="A672" s="10" t="s">
        <v>1494</v>
      </c>
      <c r="B672" s="15">
        <v>168.46</v>
      </c>
      <c r="C672" s="15">
        <v>159.83000000000001</v>
      </c>
      <c r="D672" s="15">
        <v>164.66</v>
      </c>
      <c r="E672" s="15">
        <v>161.97</v>
      </c>
      <c r="F672" s="15">
        <v>160.04</v>
      </c>
      <c r="G672" s="15">
        <v>379</v>
      </c>
      <c r="H672" s="15">
        <v>13.05</v>
      </c>
      <c r="I672" s="15">
        <v>205.52</v>
      </c>
      <c r="J672" s="15">
        <v>188.39</v>
      </c>
      <c r="K672" s="15">
        <v>174.65</v>
      </c>
      <c r="L672" s="15">
        <v>177.14</v>
      </c>
      <c r="M672" s="15">
        <v>181.92</v>
      </c>
      <c r="N672" s="15">
        <v>179.03</v>
      </c>
      <c r="O672" t="s">
        <v>3028</v>
      </c>
    </row>
    <row r="673" spans="1:15" x14ac:dyDescent="0.25">
      <c r="A673" s="10" t="s">
        <v>1496</v>
      </c>
      <c r="B673" s="15">
        <v>106.52</v>
      </c>
      <c r="C673" s="15">
        <v>110.25</v>
      </c>
      <c r="D673" s="15">
        <v>107.11</v>
      </c>
      <c r="E673" s="15">
        <v>106.96</v>
      </c>
      <c r="F673" s="15">
        <v>105.42</v>
      </c>
      <c r="G673" s="15">
        <v>106.82</v>
      </c>
      <c r="H673" s="15">
        <v>109.36</v>
      </c>
      <c r="I673" s="15">
        <v>165.56</v>
      </c>
      <c r="J673" s="15">
        <v>115.82</v>
      </c>
      <c r="K673" s="15">
        <v>257.64</v>
      </c>
      <c r="L673" s="15">
        <v>50.31</v>
      </c>
      <c r="M673" s="15">
        <v>115.62</v>
      </c>
      <c r="N673" s="15">
        <v>118.08</v>
      </c>
      <c r="O673" t="s">
        <v>3028</v>
      </c>
    </row>
    <row r="674" spans="1:15" x14ac:dyDescent="0.25">
      <c r="A674" s="10" t="s">
        <v>1498</v>
      </c>
      <c r="B674" s="15">
        <v>0</v>
      </c>
      <c r="C674" s="15">
        <v>0</v>
      </c>
      <c r="D674" s="15">
        <v>0</v>
      </c>
      <c r="E674" s="15">
        <v>27.2</v>
      </c>
      <c r="F674" s="15">
        <v>50.3</v>
      </c>
      <c r="G674" s="15">
        <v>48</v>
      </c>
      <c r="H674" s="15">
        <v>49.6</v>
      </c>
      <c r="I674" s="15">
        <v>49.6</v>
      </c>
      <c r="J674" s="15">
        <v>48</v>
      </c>
      <c r="K674" s="15">
        <v>49.52</v>
      </c>
      <c r="L674" s="15">
        <v>48</v>
      </c>
      <c r="M674" s="15">
        <v>49.6</v>
      </c>
      <c r="N674" s="15">
        <v>36.049999999999997</v>
      </c>
      <c r="O674" t="s">
        <v>3028</v>
      </c>
    </row>
    <row r="675" spans="1:15" x14ac:dyDescent="0.25">
      <c r="A675" s="10" t="s">
        <v>1500</v>
      </c>
      <c r="B675" s="15">
        <v>118.15</v>
      </c>
      <c r="C675" s="15">
        <v>108.37</v>
      </c>
      <c r="D675" s="15">
        <v>109.02</v>
      </c>
      <c r="E675" s="15">
        <v>109.07</v>
      </c>
      <c r="F675" s="15">
        <v>108.78</v>
      </c>
      <c r="G675" s="15">
        <v>109.3</v>
      </c>
      <c r="H675" s="15">
        <v>108.4</v>
      </c>
      <c r="I675" s="15">
        <v>154.91</v>
      </c>
      <c r="J675" s="15">
        <v>193.61</v>
      </c>
      <c r="K675" s="15">
        <v>100.4</v>
      </c>
      <c r="L675" s="15">
        <v>116.1</v>
      </c>
      <c r="M675" s="15">
        <v>116.88</v>
      </c>
      <c r="N675" s="15">
        <v>119.03</v>
      </c>
      <c r="O675" t="s">
        <v>3028</v>
      </c>
    </row>
    <row r="676" spans="1:15" x14ac:dyDescent="0.25">
      <c r="A676" s="10" t="s">
        <v>1502</v>
      </c>
      <c r="B676" s="15">
        <v>0</v>
      </c>
      <c r="C676" s="15">
        <v>0</v>
      </c>
      <c r="D676" s="15">
        <v>0</v>
      </c>
      <c r="E676" s="15">
        <v>0</v>
      </c>
      <c r="F676" s="15">
        <v>0</v>
      </c>
      <c r="G676" s="15">
        <v>49.6</v>
      </c>
      <c r="H676" s="15">
        <v>51.25</v>
      </c>
      <c r="I676" s="15">
        <v>51.25</v>
      </c>
      <c r="J676" s="15">
        <v>49.6</v>
      </c>
      <c r="K676" s="15">
        <v>51.25</v>
      </c>
      <c r="L676" s="15">
        <v>49.6</v>
      </c>
      <c r="M676" s="15">
        <v>51.25</v>
      </c>
      <c r="N676" s="15">
        <v>28.93</v>
      </c>
      <c r="O676" t="s">
        <v>3028</v>
      </c>
    </row>
    <row r="677" spans="1:15" x14ac:dyDescent="0.25">
      <c r="A677" s="10" t="s">
        <v>1504</v>
      </c>
      <c r="B677" s="15">
        <v>97.43</v>
      </c>
      <c r="C677" s="15">
        <v>147.21</v>
      </c>
      <c r="D677" s="15">
        <v>146.91999999999999</v>
      </c>
      <c r="E677" s="15">
        <v>122</v>
      </c>
      <c r="F677" s="15">
        <v>110.26</v>
      </c>
      <c r="G677" s="15">
        <v>110.01</v>
      </c>
      <c r="H677" s="15">
        <v>110.61</v>
      </c>
      <c r="I677" s="15">
        <v>154.69</v>
      </c>
      <c r="J677" s="15">
        <v>116.5</v>
      </c>
      <c r="K677" s="15">
        <v>117.25</v>
      </c>
      <c r="L677" s="15">
        <v>116.78</v>
      </c>
      <c r="M677" s="15">
        <v>144.69</v>
      </c>
      <c r="N677" s="15">
        <v>140.77000000000001</v>
      </c>
      <c r="O677" t="s">
        <v>3028</v>
      </c>
    </row>
    <row r="678" spans="1:15" x14ac:dyDescent="0.25">
      <c r="A678" s="10" t="s">
        <v>1506</v>
      </c>
      <c r="B678" s="15">
        <v>0</v>
      </c>
      <c r="C678" s="15">
        <v>33.81</v>
      </c>
      <c r="D678" s="15">
        <v>100.15</v>
      </c>
      <c r="E678" s="15">
        <v>83.4</v>
      </c>
      <c r="F678" s="15">
        <v>86.18</v>
      </c>
      <c r="G678" s="15">
        <v>82.36</v>
      </c>
      <c r="H678" s="15">
        <v>87.34</v>
      </c>
      <c r="I678" s="15">
        <v>143.63</v>
      </c>
      <c r="J678" s="15">
        <v>91.59</v>
      </c>
      <c r="K678" s="15">
        <v>94.64</v>
      </c>
      <c r="L678" s="15">
        <v>92.82</v>
      </c>
      <c r="M678" s="15">
        <v>88.05</v>
      </c>
      <c r="N678" s="15">
        <v>81.849999999999994</v>
      </c>
      <c r="O678" t="s">
        <v>3028</v>
      </c>
    </row>
    <row r="679" spans="1:15" x14ac:dyDescent="0.25">
      <c r="A679" s="10" t="s">
        <v>1508</v>
      </c>
      <c r="B679" s="15">
        <v>105.34</v>
      </c>
      <c r="C679" s="15">
        <v>105.7</v>
      </c>
      <c r="D679" s="15">
        <v>122.69</v>
      </c>
      <c r="E679" s="15">
        <v>200.46</v>
      </c>
      <c r="F679" s="15">
        <v>49.55</v>
      </c>
      <c r="G679" s="15">
        <v>106.55</v>
      </c>
      <c r="H679" s="15">
        <v>105.89</v>
      </c>
      <c r="I679" s="15">
        <v>154.33000000000001</v>
      </c>
      <c r="J679" s="15">
        <v>115.8</v>
      </c>
      <c r="K679" s="15">
        <v>116.29</v>
      </c>
      <c r="L679" s="15">
        <v>116.2</v>
      </c>
      <c r="M679" s="15">
        <v>114.65</v>
      </c>
      <c r="N679" s="15">
        <v>118.13</v>
      </c>
      <c r="O679" t="s">
        <v>3028</v>
      </c>
    </row>
    <row r="680" spans="1:15" x14ac:dyDescent="0.25">
      <c r="A680" s="10" t="s">
        <v>1510</v>
      </c>
      <c r="B680" s="15">
        <v>361.95</v>
      </c>
      <c r="C680" s="15">
        <v>377.83</v>
      </c>
      <c r="D680" s="15">
        <v>560.33000000000004</v>
      </c>
      <c r="E680" s="15">
        <v>32.020000000000003</v>
      </c>
      <c r="F680" s="15">
        <v>201.97</v>
      </c>
      <c r="G680" s="15">
        <v>196.47</v>
      </c>
      <c r="H680" s="15">
        <v>208.4</v>
      </c>
      <c r="I680" s="15">
        <v>226.26</v>
      </c>
      <c r="J680" s="15">
        <v>353.78</v>
      </c>
      <c r="K680" s="15">
        <v>385.67</v>
      </c>
      <c r="L680" s="15">
        <v>367.65</v>
      </c>
      <c r="M680" s="15">
        <v>313.77</v>
      </c>
      <c r="N680" s="15">
        <v>324.55</v>
      </c>
      <c r="O680" t="s">
        <v>3028</v>
      </c>
    </row>
    <row r="681" spans="1:15" x14ac:dyDescent="0.25">
      <c r="A681" s="10" t="s">
        <v>1512</v>
      </c>
      <c r="B681" s="15">
        <v>116.79</v>
      </c>
      <c r="C681" s="15">
        <v>189.37</v>
      </c>
      <c r="D681" s="15">
        <v>197.52</v>
      </c>
      <c r="E681" s="15">
        <v>195.11</v>
      </c>
      <c r="F681" s="15">
        <v>189.47</v>
      </c>
      <c r="G681" s="15">
        <v>190.45</v>
      </c>
      <c r="H681" s="15">
        <v>206.25</v>
      </c>
      <c r="I681" s="15">
        <v>317.70999999999998</v>
      </c>
      <c r="J681" s="15">
        <v>292.42</v>
      </c>
      <c r="K681" s="15">
        <v>233.4</v>
      </c>
      <c r="L681" s="15">
        <v>210.31</v>
      </c>
      <c r="M681" s="15">
        <v>210.44</v>
      </c>
      <c r="N681" s="15">
        <v>216.49</v>
      </c>
      <c r="O681" t="s">
        <v>3028</v>
      </c>
    </row>
    <row r="682" spans="1:15" x14ac:dyDescent="0.25">
      <c r="A682" s="10" t="s">
        <v>1514</v>
      </c>
      <c r="B682" s="15">
        <v>105.41</v>
      </c>
      <c r="C682" s="15">
        <v>105.38</v>
      </c>
      <c r="D682" s="15">
        <v>266.85000000000002</v>
      </c>
      <c r="E682" s="15">
        <v>12.91</v>
      </c>
      <c r="F682" s="15">
        <v>95.24</v>
      </c>
      <c r="G682" s="15">
        <v>113.18</v>
      </c>
      <c r="H682" s="15">
        <v>105.64</v>
      </c>
      <c r="I682" s="15">
        <v>184.06</v>
      </c>
      <c r="J682" s="15">
        <v>115.95</v>
      </c>
      <c r="K682" s="15">
        <v>116.16</v>
      </c>
      <c r="L682" s="15">
        <v>140.27000000000001</v>
      </c>
      <c r="M682" s="15">
        <v>116.11</v>
      </c>
      <c r="N682" s="15">
        <v>119.67</v>
      </c>
      <c r="O682" t="s">
        <v>3028</v>
      </c>
    </row>
    <row r="683" spans="1:15" x14ac:dyDescent="0.25">
      <c r="A683" s="10" t="s">
        <v>1516</v>
      </c>
      <c r="B683" s="15">
        <v>204.22</v>
      </c>
      <c r="C683" s="15">
        <v>51.78</v>
      </c>
      <c r="D683" s="15">
        <v>105.28</v>
      </c>
      <c r="E683" s="15">
        <v>105.28</v>
      </c>
      <c r="F683" s="15">
        <v>105.28</v>
      </c>
      <c r="G683" s="15">
        <v>105.28</v>
      </c>
      <c r="H683" s="15">
        <v>105.28</v>
      </c>
      <c r="I683" s="15">
        <v>153.34</v>
      </c>
      <c r="J683" s="15">
        <v>115.62</v>
      </c>
      <c r="K683" s="15">
        <v>115.62</v>
      </c>
      <c r="L683" s="15">
        <v>115.62</v>
      </c>
      <c r="M683" s="15">
        <v>306.72000000000003</v>
      </c>
      <c r="N683" s="15">
        <v>115.86</v>
      </c>
      <c r="O683" t="s">
        <v>3028</v>
      </c>
    </row>
    <row r="684" spans="1:15" x14ac:dyDescent="0.25">
      <c r="A684" s="10" t="s">
        <v>1518</v>
      </c>
      <c r="B684" s="15">
        <v>0</v>
      </c>
      <c r="C684" s="15">
        <v>33.81</v>
      </c>
      <c r="D684" s="15">
        <v>99.86</v>
      </c>
      <c r="E684" s="15">
        <v>83.4</v>
      </c>
      <c r="F684" s="15">
        <v>86.18</v>
      </c>
      <c r="G684" s="15">
        <v>82.36</v>
      </c>
      <c r="H684" s="15">
        <v>87.34</v>
      </c>
      <c r="I684" s="15">
        <v>140.88999999999999</v>
      </c>
      <c r="J684" s="15">
        <v>91.59</v>
      </c>
      <c r="K684" s="15">
        <v>94.64</v>
      </c>
      <c r="L684" s="15">
        <v>92.82</v>
      </c>
      <c r="M684" s="15">
        <v>61.35</v>
      </c>
      <c r="N684" s="15">
        <v>79.45</v>
      </c>
      <c r="O684" t="s">
        <v>3028</v>
      </c>
    </row>
    <row r="685" spans="1:15" x14ac:dyDescent="0.25">
      <c r="A685" s="10" t="s">
        <v>1520</v>
      </c>
      <c r="B685" s="15">
        <v>194.04</v>
      </c>
      <c r="C685" s="15">
        <v>181</v>
      </c>
      <c r="D685" s="15">
        <v>172.32</v>
      </c>
      <c r="E685" s="15">
        <v>164.43</v>
      </c>
      <c r="F685" s="15">
        <v>304.38</v>
      </c>
      <c r="G685" s="15">
        <v>104.14</v>
      </c>
      <c r="H685" s="15">
        <v>193.4</v>
      </c>
      <c r="I685" s="15">
        <v>308.74</v>
      </c>
      <c r="J685" s="15">
        <v>200.4</v>
      </c>
      <c r="K685" s="15">
        <v>182.39</v>
      </c>
      <c r="L685" s="15">
        <v>187.09</v>
      </c>
      <c r="M685" s="15">
        <v>225.56</v>
      </c>
      <c r="N685" s="15">
        <v>196.82</v>
      </c>
      <c r="O685" t="s">
        <v>3028</v>
      </c>
    </row>
    <row r="686" spans="1:15" x14ac:dyDescent="0.25">
      <c r="A686" s="10" t="s">
        <v>1522</v>
      </c>
      <c r="B686" s="15">
        <v>44.39</v>
      </c>
      <c r="C686" s="15">
        <v>46.4</v>
      </c>
      <c r="D686" s="15">
        <v>50.98</v>
      </c>
      <c r="E686" s="15">
        <v>48</v>
      </c>
      <c r="F686" s="15">
        <v>49.99</v>
      </c>
      <c r="G686" s="15">
        <v>112.25</v>
      </c>
      <c r="H686" s="15">
        <v>4.79</v>
      </c>
      <c r="I686" s="15">
        <v>46.4</v>
      </c>
      <c r="J686" s="15">
        <v>0</v>
      </c>
      <c r="K686" s="15">
        <v>0</v>
      </c>
      <c r="L686" s="15">
        <v>0</v>
      </c>
      <c r="M686" s="15">
        <v>0</v>
      </c>
      <c r="N686" s="15">
        <v>32.14</v>
      </c>
      <c r="O686" t="s">
        <v>3028</v>
      </c>
    </row>
    <row r="687" spans="1:15" x14ac:dyDescent="0.25">
      <c r="A687" s="10" t="s">
        <v>1524</v>
      </c>
      <c r="B687" s="15">
        <v>0</v>
      </c>
      <c r="C687" s="15">
        <v>0</v>
      </c>
      <c r="D687" s="15">
        <v>0</v>
      </c>
      <c r="E687" s="15">
        <v>0</v>
      </c>
      <c r="F687" s="15">
        <v>0</v>
      </c>
      <c r="G687" s="15">
        <v>0</v>
      </c>
      <c r="H687" s="15">
        <v>17.059999999999999</v>
      </c>
      <c r="I687" s="15">
        <v>68.16</v>
      </c>
      <c r="J687" s="15">
        <v>51.2</v>
      </c>
      <c r="K687" s="15">
        <v>51.2</v>
      </c>
      <c r="L687" s="15">
        <v>51.2</v>
      </c>
      <c r="M687" s="15">
        <v>51.2</v>
      </c>
      <c r="N687" s="15">
        <v>21.33</v>
      </c>
      <c r="O687" t="s">
        <v>3028</v>
      </c>
    </row>
    <row r="688" spans="1:15" x14ac:dyDescent="0.25">
      <c r="A688" s="10" t="s">
        <v>1526</v>
      </c>
      <c r="B688" s="15">
        <v>83.25</v>
      </c>
      <c r="C688" s="15">
        <v>113.68</v>
      </c>
      <c r="D688" s="15">
        <v>179.21</v>
      </c>
      <c r="E688" s="15">
        <v>187.2</v>
      </c>
      <c r="F688" s="15">
        <v>177.05</v>
      </c>
      <c r="G688" s="15">
        <v>172.73</v>
      </c>
      <c r="H688" s="15">
        <v>164.43</v>
      </c>
      <c r="I688" s="15">
        <v>200.65</v>
      </c>
      <c r="J688" s="15">
        <v>167.61</v>
      </c>
      <c r="K688" s="15">
        <v>167.32</v>
      </c>
      <c r="L688" s="15">
        <v>182.34</v>
      </c>
      <c r="M688" s="15">
        <v>167.81</v>
      </c>
      <c r="N688" s="15">
        <v>175.25</v>
      </c>
      <c r="O688" t="s">
        <v>3028</v>
      </c>
    </row>
    <row r="689" spans="1:15" x14ac:dyDescent="0.25">
      <c r="A689" s="10" t="s">
        <v>1528</v>
      </c>
      <c r="B689" s="15">
        <v>0</v>
      </c>
      <c r="C689" s="15">
        <v>0</v>
      </c>
      <c r="D689" s="15">
        <v>0</v>
      </c>
      <c r="E689" s="15">
        <v>0</v>
      </c>
      <c r="F689" s="15">
        <v>0</v>
      </c>
      <c r="G689" s="15">
        <v>0</v>
      </c>
      <c r="H689" s="15">
        <v>70.19</v>
      </c>
      <c r="I689" s="15">
        <v>150.01</v>
      </c>
      <c r="J689" s="15">
        <v>123.14</v>
      </c>
      <c r="K689" s="15">
        <v>116.54</v>
      </c>
      <c r="L689" s="15">
        <v>116.7</v>
      </c>
      <c r="M689" s="15">
        <v>172.3</v>
      </c>
      <c r="N689" s="15">
        <v>62.63</v>
      </c>
      <c r="O689" t="s">
        <v>3028</v>
      </c>
    </row>
    <row r="690" spans="1:15" x14ac:dyDescent="0.25">
      <c r="A690" s="10" t="s">
        <v>1530</v>
      </c>
      <c r="B690" s="15">
        <v>0</v>
      </c>
      <c r="C690" s="15">
        <v>0</v>
      </c>
      <c r="D690" s="15">
        <v>0</v>
      </c>
      <c r="E690" s="15">
        <v>0</v>
      </c>
      <c r="F690" s="15">
        <v>0</v>
      </c>
      <c r="G690" s="15">
        <v>0</v>
      </c>
      <c r="H690" s="15">
        <v>17.059999999999999</v>
      </c>
      <c r="I690" s="15">
        <v>51.2</v>
      </c>
      <c r="J690" s="15">
        <v>51.2</v>
      </c>
      <c r="K690" s="15">
        <v>51.2</v>
      </c>
      <c r="L690" s="15">
        <v>51.2</v>
      </c>
      <c r="M690" s="15">
        <v>51.2</v>
      </c>
      <c r="N690" s="15">
        <v>21.33</v>
      </c>
      <c r="O690" t="s">
        <v>3028</v>
      </c>
    </row>
    <row r="691" spans="1:15" x14ac:dyDescent="0.25">
      <c r="A691" s="10" t="s">
        <v>1532</v>
      </c>
      <c r="B691" s="15">
        <v>0</v>
      </c>
      <c r="C691" s="15">
        <v>0</v>
      </c>
      <c r="D691" s="15">
        <v>0</v>
      </c>
      <c r="E691" s="15">
        <v>0</v>
      </c>
      <c r="F691" s="15">
        <v>0</v>
      </c>
      <c r="G691" s="15">
        <v>0</v>
      </c>
      <c r="H691" s="15">
        <v>17.059999999999999</v>
      </c>
      <c r="I691" s="15">
        <v>51.2</v>
      </c>
      <c r="J691" s="15">
        <v>51.2</v>
      </c>
      <c r="K691" s="15">
        <v>51.2</v>
      </c>
      <c r="L691" s="15">
        <v>51.2</v>
      </c>
      <c r="M691" s="15">
        <v>51.2</v>
      </c>
      <c r="N691" s="15">
        <v>21.33</v>
      </c>
      <c r="O691" t="s">
        <v>3028</v>
      </c>
    </row>
    <row r="692" spans="1:15" x14ac:dyDescent="0.25">
      <c r="A692" s="10" t="s">
        <v>1534</v>
      </c>
      <c r="B692" s="15">
        <v>28.1</v>
      </c>
      <c r="C692" s="15">
        <v>47.94</v>
      </c>
      <c r="D692" s="15">
        <v>51.25</v>
      </c>
      <c r="E692" s="15">
        <v>49.6</v>
      </c>
      <c r="F692" s="15">
        <v>51.25</v>
      </c>
      <c r="G692" s="15">
        <v>49.6</v>
      </c>
      <c r="H692" s="15">
        <v>51.25</v>
      </c>
      <c r="I692" s="15">
        <v>51.25</v>
      </c>
      <c r="J692" s="15">
        <v>49.6</v>
      </c>
      <c r="K692" s="15">
        <v>51.25</v>
      </c>
      <c r="L692" s="15">
        <v>49.6</v>
      </c>
      <c r="M692" s="15">
        <v>51.25</v>
      </c>
      <c r="N692" s="15">
        <v>49.6</v>
      </c>
      <c r="O692" t="s">
        <v>3028</v>
      </c>
    </row>
    <row r="693" spans="1:15" x14ac:dyDescent="0.25">
      <c r="A693" s="10" t="s">
        <v>1536</v>
      </c>
      <c r="B693" s="15">
        <v>0</v>
      </c>
      <c r="C693" s="15">
        <v>0</v>
      </c>
      <c r="D693" s="15">
        <v>0</v>
      </c>
      <c r="E693" s="15">
        <v>0</v>
      </c>
      <c r="F693" s="15">
        <v>0</v>
      </c>
      <c r="G693" s="15">
        <v>0</v>
      </c>
      <c r="H693" s="15">
        <v>17.059999999999999</v>
      </c>
      <c r="I693" s="15">
        <v>51.2</v>
      </c>
      <c r="J693" s="15">
        <v>51.2</v>
      </c>
      <c r="K693" s="15">
        <v>51.2</v>
      </c>
      <c r="L693" s="15">
        <v>51.2</v>
      </c>
      <c r="M693" s="15">
        <v>51.2</v>
      </c>
      <c r="N693" s="15">
        <v>21.33</v>
      </c>
      <c r="O693" t="s">
        <v>3028</v>
      </c>
    </row>
    <row r="694" spans="1:15" x14ac:dyDescent="0.25">
      <c r="A694" s="10" t="s">
        <v>1538</v>
      </c>
      <c r="B694" s="15">
        <v>0</v>
      </c>
      <c r="C694" s="15">
        <v>0</v>
      </c>
      <c r="D694" s="15">
        <v>0</v>
      </c>
      <c r="E694" s="15">
        <v>0</v>
      </c>
      <c r="F694" s="15">
        <v>0</v>
      </c>
      <c r="G694" s="15">
        <v>0</v>
      </c>
      <c r="H694" s="15">
        <v>0</v>
      </c>
      <c r="I694" s="15">
        <v>0</v>
      </c>
      <c r="J694" s="15">
        <v>0</v>
      </c>
      <c r="K694" s="15">
        <v>46.4</v>
      </c>
      <c r="L694" s="15">
        <v>48</v>
      </c>
      <c r="M694" s="15">
        <v>49.6</v>
      </c>
      <c r="N694" s="15">
        <v>12</v>
      </c>
      <c r="O694" t="s">
        <v>3028</v>
      </c>
    </row>
    <row r="695" spans="1:15" x14ac:dyDescent="0.25">
      <c r="A695" s="10" t="s">
        <v>1540</v>
      </c>
      <c r="B695" s="15">
        <v>0</v>
      </c>
      <c r="C695" s="15">
        <v>0</v>
      </c>
      <c r="D695" s="15">
        <v>0</v>
      </c>
      <c r="E695" s="15">
        <v>0</v>
      </c>
      <c r="F695" s="15">
        <v>0</v>
      </c>
      <c r="G695" s="15">
        <v>0</v>
      </c>
      <c r="H695" s="15">
        <v>17.059999999999999</v>
      </c>
      <c r="I695" s="15">
        <v>51.2</v>
      </c>
      <c r="J695" s="15">
        <v>51.2</v>
      </c>
      <c r="K695" s="15">
        <v>51.2</v>
      </c>
      <c r="L695" s="15">
        <v>51.2</v>
      </c>
      <c r="M695" s="15">
        <v>51.2</v>
      </c>
      <c r="N695" s="15">
        <v>21.33</v>
      </c>
      <c r="O695" t="s">
        <v>3028</v>
      </c>
    </row>
    <row r="696" spans="1:15" x14ac:dyDescent="0.25">
      <c r="A696" s="10" t="s">
        <v>1542</v>
      </c>
      <c r="B696" s="15">
        <v>44.39</v>
      </c>
      <c r="C696" s="15">
        <v>46.4</v>
      </c>
      <c r="D696" s="15">
        <v>51.08</v>
      </c>
      <c r="E696" s="15">
        <v>48</v>
      </c>
      <c r="F696" s="15">
        <v>50.53</v>
      </c>
      <c r="G696" s="15">
        <v>112.24</v>
      </c>
      <c r="H696" s="15">
        <v>4.8</v>
      </c>
      <c r="I696" s="15">
        <v>46.4</v>
      </c>
      <c r="J696" s="15">
        <v>0</v>
      </c>
      <c r="K696" s="15">
        <v>0</v>
      </c>
      <c r="L696" s="15">
        <v>0</v>
      </c>
      <c r="M696" s="15">
        <v>0</v>
      </c>
      <c r="N696" s="15">
        <v>32.18</v>
      </c>
      <c r="O696" t="s">
        <v>3028</v>
      </c>
    </row>
    <row r="697" spans="1:15" x14ac:dyDescent="0.25">
      <c r="A697" s="10" t="s">
        <v>1544</v>
      </c>
      <c r="B697" s="15">
        <v>0</v>
      </c>
      <c r="C697" s="15">
        <v>0</v>
      </c>
      <c r="D697" s="15">
        <v>0</v>
      </c>
      <c r="E697" s="15">
        <v>0</v>
      </c>
      <c r="F697" s="15">
        <v>0</v>
      </c>
      <c r="G697" s="15">
        <v>106.57</v>
      </c>
      <c r="H697" s="15">
        <v>106.69</v>
      </c>
      <c r="I697" s="15">
        <v>170.92</v>
      </c>
      <c r="J697" s="15">
        <v>143.61000000000001</v>
      </c>
      <c r="K697" s="15">
        <v>117.85</v>
      </c>
      <c r="L697" s="15">
        <v>149.82</v>
      </c>
      <c r="M697" s="15">
        <v>115.62</v>
      </c>
      <c r="N697" s="15">
        <v>71.64</v>
      </c>
      <c r="O697" t="s">
        <v>3028</v>
      </c>
    </row>
    <row r="698" spans="1:15" x14ac:dyDescent="0.25">
      <c r="A698" s="10" t="s">
        <v>1546</v>
      </c>
      <c r="B698" s="15">
        <v>570.88</v>
      </c>
      <c r="C698" s="15">
        <v>570.88</v>
      </c>
      <c r="D698" s="15">
        <v>1141.76</v>
      </c>
      <c r="E698" s="15">
        <v>0</v>
      </c>
      <c r="F698" s="15">
        <v>570.88</v>
      </c>
      <c r="G698" s="15">
        <v>570.88</v>
      </c>
      <c r="H698" s="15">
        <v>570.88</v>
      </c>
      <c r="I698" s="15">
        <v>570.88</v>
      </c>
      <c r="J698" s="15">
        <v>570.88</v>
      </c>
      <c r="K698" s="15">
        <v>570.88</v>
      </c>
      <c r="L698" s="15">
        <v>570.88</v>
      </c>
      <c r="M698" s="15">
        <v>570.88</v>
      </c>
      <c r="N698" s="15">
        <v>570.88</v>
      </c>
      <c r="O698" t="s">
        <v>3028</v>
      </c>
    </row>
    <row r="699" spans="1:15" x14ac:dyDescent="0.25">
      <c r="A699" s="10" t="s">
        <v>1548</v>
      </c>
      <c r="B699" s="15">
        <v>106.64</v>
      </c>
      <c r="C699" s="15">
        <v>110.66</v>
      </c>
      <c r="D699" s="15">
        <v>109.43</v>
      </c>
      <c r="E699" s="15">
        <v>108.6</v>
      </c>
      <c r="F699" s="15">
        <v>101.96</v>
      </c>
      <c r="G699" s="15">
        <v>278.18</v>
      </c>
      <c r="H699" s="15">
        <v>4.21</v>
      </c>
      <c r="I699" s="15">
        <v>155.33000000000001</v>
      </c>
      <c r="J699" s="15">
        <v>119.29</v>
      </c>
      <c r="K699" s="15">
        <v>117.5</v>
      </c>
      <c r="L699" s="15">
        <v>314.64999999999998</v>
      </c>
      <c r="M699" s="15">
        <v>187.61</v>
      </c>
      <c r="N699" s="15">
        <v>182.05</v>
      </c>
      <c r="O699" t="s">
        <v>3028</v>
      </c>
    </row>
    <row r="700" spans="1:15" x14ac:dyDescent="0.25">
      <c r="A700" s="10" t="s">
        <v>1550</v>
      </c>
      <c r="B700" s="15">
        <v>161.77000000000001</v>
      </c>
      <c r="C700" s="15">
        <v>160.33000000000001</v>
      </c>
      <c r="D700" s="15">
        <v>162.05000000000001</v>
      </c>
      <c r="E700" s="15">
        <v>161.62</v>
      </c>
      <c r="F700" s="15">
        <v>161.76</v>
      </c>
      <c r="G700" s="15">
        <v>242.22</v>
      </c>
      <c r="H700" s="15">
        <v>137.30000000000001</v>
      </c>
      <c r="I700" s="15">
        <v>160.61000000000001</v>
      </c>
      <c r="J700" s="15">
        <v>161.22999999999999</v>
      </c>
      <c r="K700" s="15">
        <v>192.32</v>
      </c>
      <c r="L700" s="15">
        <v>175.56</v>
      </c>
      <c r="M700" s="15">
        <v>175.92</v>
      </c>
      <c r="N700" s="15">
        <v>176.4</v>
      </c>
      <c r="O700" t="s">
        <v>3028</v>
      </c>
    </row>
    <row r="701" spans="1:15" x14ac:dyDescent="0.25">
      <c r="A701" s="10" t="s">
        <v>1552</v>
      </c>
      <c r="B701" s="15">
        <v>1141.76</v>
      </c>
      <c r="C701" s="15">
        <v>0</v>
      </c>
      <c r="D701" s="15">
        <v>570.88</v>
      </c>
      <c r="E701" s="15">
        <v>570.88</v>
      </c>
      <c r="F701" s="15">
        <v>570.88</v>
      </c>
      <c r="G701" s="15">
        <v>570.88</v>
      </c>
      <c r="H701" s="15">
        <v>570.88</v>
      </c>
      <c r="I701" s="15">
        <v>570.88</v>
      </c>
      <c r="J701" s="15">
        <v>570.88</v>
      </c>
      <c r="K701" s="15">
        <v>0</v>
      </c>
      <c r="L701" s="15">
        <v>0</v>
      </c>
      <c r="M701" s="15">
        <v>0</v>
      </c>
      <c r="N701" s="15">
        <v>570.88</v>
      </c>
      <c r="O701" t="s">
        <v>3028</v>
      </c>
    </row>
    <row r="702" spans="1:15" x14ac:dyDescent="0.25">
      <c r="A702" s="10" t="s">
        <v>1554</v>
      </c>
      <c r="B702" s="15">
        <v>161.22999999999999</v>
      </c>
      <c r="C702" s="15">
        <v>163.95</v>
      </c>
      <c r="D702" s="15">
        <v>291.14</v>
      </c>
      <c r="E702" s="15">
        <v>395.67</v>
      </c>
      <c r="F702" s="15">
        <v>59.8</v>
      </c>
      <c r="G702" s="15">
        <v>162.38</v>
      </c>
      <c r="H702" s="15">
        <v>165.1</v>
      </c>
      <c r="I702" s="15">
        <v>215.48</v>
      </c>
      <c r="J702" s="15">
        <v>179.65</v>
      </c>
      <c r="K702" s="15">
        <v>181.07</v>
      </c>
      <c r="L702" s="15">
        <v>179.19</v>
      </c>
      <c r="M702" s="15">
        <v>178.74</v>
      </c>
      <c r="N702" s="15">
        <v>187.14</v>
      </c>
      <c r="O702" t="s">
        <v>3028</v>
      </c>
    </row>
    <row r="703" spans="1:15" x14ac:dyDescent="0.25">
      <c r="A703" s="10" t="s">
        <v>1556</v>
      </c>
      <c r="B703" s="15">
        <v>570.88</v>
      </c>
      <c r="C703" s="15">
        <v>570.88</v>
      </c>
      <c r="D703" s="15">
        <v>570.88</v>
      </c>
      <c r="E703" s="15">
        <v>570.88</v>
      </c>
      <c r="F703" s="15">
        <v>570.88</v>
      </c>
      <c r="G703" s="15">
        <v>570.88</v>
      </c>
      <c r="H703" s="15">
        <v>570.88</v>
      </c>
      <c r="I703" s="15">
        <v>570.88</v>
      </c>
      <c r="J703" s="15">
        <v>570.88</v>
      </c>
      <c r="K703" s="15">
        <v>570.88</v>
      </c>
      <c r="L703" s="15">
        <v>570.88</v>
      </c>
      <c r="M703" s="15">
        <v>570.88</v>
      </c>
      <c r="N703" s="15">
        <v>570.88</v>
      </c>
      <c r="O703" t="s">
        <v>3028</v>
      </c>
    </row>
    <row r="704" spans="1:15" x14ac:dyDescent="0.25">
      <c r="A704" s="10" t="s">
        <v>1558</v>
      </c>
      <c r="B704" s="15">
        <v>570.88</v>
      </c>
      <c r="C704" s="15">
        <v>570.88</v>
      </c>
      <c r="D704" s="15">
        <v>570.88</v>
      </c>
      <c r="E704" s="15">
        <v>570.88</v>
      </c>
      <c r="F704" s="15">
        <v>570.88</v>
      </c>
      <c r="G704" s="15">
        <v>570.88</v>
      </c>
      <c r="H704" s="15">
        <v>570.88</v>
      </c>
      <c r="I704" s="15">
        <v>570.88</v>
      </c>
      <c r="J704" s="15">
        <v>570.88</v>
      </c>
      <c r="K704" s="15">
        <v>570.88</v>
      </c>
      <c r="L704" s="15">
        <v>570.88</v>
      </c>
      <c r="M704" s="15">
        <v>570.88</v>
      </c>
      <c r="N704" s="15">
        <v>570.88</v>
      </c>
      <c r="O704" t="s">
        <v>3028</v>
      </c>
    </row>
    <row r="705" spans="1:15" x14ac:dyDescent="0.25">
      <c r="A705" s="10" t="s">
        <v>1560</v>
      </c>
      <c r="B705" s="15">
        <v>570.88</v>
      </c>
      <c r="C705" s="15">
        <v>570.88</v>
      </c>
      <c r="D705" s="15">
        <v>570.88</v>
      </c>
      <c r="E705" s="15">
        <v>570.88</v>
      </c>
      <c r="F705" s="15">
        <v>570.88</v>
      </c>
      <c r="G705" s="15">
        <v>570.88</v>
      </c>
      <c r="H705" s="15">
        <v>570.88</v>
      </c>
      <c r="I705" s="15">
        <v>570.88</v>
      </c>
      <c r="J705" s="15">
        <v>553.98</v>
      </c>
      <c r="K705" s="15">
        <v>570.88</v>
      </c>
      <c r="L705" s="15">
        <v>570.88</v>
      </c>
      <c r="M705" s="15">
        <v>570.88</v>
      </c>
      <c r="N705" s="15">
        <v>570.88</v>
      </c>
      <c r="O705" t="s">
        <v>3028</v>
      </c>
    </row>
    <row r="706" spans="1:15" x14ac:dyDescent="0.25">
      <c r="A706" s="10" t="s">
        <v>1562</v>
      </c>
      <c r="B706" s="15">
        <v>161.74</v>
      </c>
      <c r="C706" s="15">
        <v>164.17</v>
      </c>
      <c r="D706" s="15">
        <v>163.98</v>
      </c>
      <c r="E706" s="15">
        <v>382.72</v>
      </c>
      <c r="F706" s="15">
        <v>4.7699999999999996</v>
      </c>
      <c r="G706" s="15">
        <v>161.03</v>
      </c>
      <c r="H706" s="15">
        <v>162.72999999999999</v>
      </c>
      <c r="I706" s="15">
        <v>228.65</v>
      </c>
      <c r="J706" s="15">
        <v>179.89</v>
      </c>
      <c r="K706" s="15">
        <v>182.67</v>
      </c>
      <c r="L706" s="15">
        <v>196.83</v>
      </c>
      <c r="M706" s="15">
        <v>181.3</v>
      </c>
      <c r="N706" s="15">
        <v>182.48</v>
      </c>
      <c r="O706" t="s">
        <v>3028</v>
      </c>
    </row>
    <row r="707" spans="1:15" x14ac:dyDescent="0.25">
      <c r="A707" s="10" t="s">
        <v>1564</v>
      </c>
      <c r="B707" s="15">
        <v>118.69</v>
      </c>
      <c r="C707" s="15">
        <v>109.2</v>
      </c>
      <c r="D707" s="15">
        <v>118.75</v>
      </c>
      <c r="E707" s="15">
        <v>111.04</v>
      </c>
      <c r="F707" s="15">
        <v>111.68</v>
      </c>
      <c r="G707" s="15">
        <v>317.25</v>
      </c>
      <c r="H707" s="15">
        <v>13.24</v>
      </c>
      <c r="I707" s="15">
        <v>155.62</v>
      </c>
      <c r="J707" s="15">
        <v>118.21</v>
      </c>
      <c r="K707" s="15">
        <v>116.36</v>
      </c>
      <c r="L707" s="15">
        <v>116.16</v>
      </c>
      <c r="M707" s="15">
        <v>119.25</v>
      </c>
      <c r="N707" s="15">
        <v>123.15</v>
      </c>
      <c r="O707" t="s">
        <v>3028</v>
      </c>
    </row>
    <row r="708" spans="1:15" x14ac:dyDescent="0.25">
      <c r="A708" s="10" t="s">
        <v>1566</v>
      </c>
      <c r="B708" s="15">
        <v>0</v>
      </c>
      <c r="C708" s="15">
        <v>0</v>
      </c>
      <c r="D708" s="15">
        <v>56.15</v>
      </c>
      <c r="E708" s="15">
        <v>108.62</v>
      </c>
      <c r="F708" s="15">
        <v>100.85</v>
      </c>
      <c r="G708" s="15">
        <v>115.3</v>
      </c>
      <c r="H708" s="15">
        <v>108.39</v>
      </c>
      <c r="I708" s="15">
        <v>157.65</v>
      </c>
      <c r="J708" s="15">
        <v>118.2</v>
      </c>
      <c r="K708" s="15">
        <v>119.92</v>
      </c>
      <c r="L708" s="15">
        <v>118.45</v>
      </c>
      <c r="M708" s="15">
        <v>118.84</v>
      </c>
      <c r="N708" s="15">
        <v>98.85</v>
      </c>
      <c r="O708" t="s">
        <v>3028</v>
      </c>
    </row>
    <row r="709" spans="1:15" x14ac:dyDescent="0.25">
      <c r="A709" s="10" t="s">
        <v>1568</v>
      </c>
      <c r="B709" s="15">
        <v>386.66</v>
      </c>
      <c r="C709" s="15">
        <v>386.98</v>
      </c>
      <c r="D709" s="15">
        <v>352.69</v>
      </c>
      <c r="E709" s="15">
        <v>343.1</v>
      </c>
      <c r="F709" s="15">
        <v>334.07</v>
      </c>
      <c r="G709" s="15">
        <v>338.57</v>
      </c>
      <c r="H709" s="15">
        <v>364.1</v>
      </c>
      <c r="I709" s="15">
        <v>460.55</v>
      </c>
      <c r="J709" s="15">
        <v>606.30999999999995</v>
      </c>
      <c r="K709" s="15">
        <v>269.16000000000003</v>
      </c>
      <c r="L709" s="15">
        <v>379.93</v>
      </c>
      <c r="M709" s="15">
        <v>373.36</v>
      </c>
      <c r="N709" s="15">
        <v>377.34</v>
      </c>
      <c r="O709" t="s">
        <v>3028</v>
      </c>
    </row>
    <row r="710" spans="1:15" x14ac:dyDescent="0.25">
      <c r="A710" s="10" t="s">
        <v>1570</v>
      </c>
      <c r="B710" s="15">
        <v>138.5</v>
      </c>
      <c r="C710" s="15">
        <v>166.17</v>
      </c>
      <c r="D710" s="15">
        <v>167.43</v>
      </c>
      <c r="E710" s="15">
        <v>166.12</v>
      </c>
      <c r="F710" s="15">
        <v>166.56</v>
      </c>
      <c r="G710" s="15">
        <v>166.76</v>
      </c>
      <c r="H710" s="15">
        <v>167.21</v>
      </c>
      <c r="I710" s="15">
        <v>214.13</v>
      </c>
      <c r="J710" s="15">
        <v>326.41000000000003</v>
      </c>
      <c r="K710" s="15">
        <v>157.74</v>
      </c>
      <c r="L710" s="15">
        <v>196.93</v>
      </c>
      <c r="M710" s="15">
        <v>179.48</v>
      </c>
      <c r="N710" s="15">
        <v>182.55</v>
      </c>
      <c r="O710" t="s">
        <v>3028</v>
      </c>
    </row>
    <row r="711" spans="1:15" x14ac:dyDescent="0.25">
      <c r="A711" s="10" t="s">
        <v>1572</v>
      </c>
      <c r="B711" s="15">
        <v>293.8</v>
      </c>
      <c r="C711" s="15">
        <v>429.11</v>
      </c>
      <c r="D711" s="15">
        <v>516.47</v>
      </c>
      <c r="E711" s="15">
        <v>487.48</v>
      </c>
      <c r="F711" s="15">
        <v>918.62</v>
      </c>
      <c r="G711" s="15">
        <v>139.38</v>
      </c>
      <c r="H711" s="15">
        <v>458</v>
      </c>
      <c r="I711" s="15">
        <v>570.88</v>
      </c>
      <c r="J711" s="15">
        <v>494.68</v>
      </c>
      <c r="K711" s="15">
        <v>500.09</v>
      </c>
      <c r="L711" s="15">
        <v>568.41999999999996</v>
      </c>
      <c r="M711" s="15">
        <v>540.32000000000005</v>
      </c>
      <c r="N711" s="15">
        <v>496.56</v>
      </c>
      <c r="O711" t="s">
        <v>3028</v>
      </c>
    </row>
    <row r="712" spans="1:15" x14ac:dyDescent="0.25">
      <c r="A712" s="10" t="s">
        <v>1574</v>
      </c>
      <c r="B712" s="15">
        <v>191.38</v>
      </c>
      <c r="C712" s="15">
        <v>308.72000000000003</v>
      </c>
      <c r="D712" s="15">
        <v>367.7</v>
      </c>
      <c r="E712" s="15">
        <v>342.19</v>
      </c>
      <c r="F712" s="15">
        <v>338.14</v>
      </c>
      <c r="G712" s="15">
        <v>339.67</v>
      </c>
      <c r="H712" s="15">
        <v>325.70999999999998</v>
      </c>
      <c r="I712" s="15">
        <v>440.39</v>
      </c>
      <c r="J712" s="15">
        <v>350.65</v>
      </c>
      <c r="K712" s="15">
        <v>372.37</v>
      </c>
      <c r="L712" s="15">
        <v>349.59</v>
      </c>
      <c r="M712" s="15">
        <v>703.26</v>
      </c>
      <c r="N712" s="15">
        <v>384.83</v>
      </c>
      <c r="O712" t="s">
        <v>3028</v>
      </c>
    </row>
    <row r="713" spans="1:15" x14ac:dyDescent="0.25">
      <c r="A713" s="10" t="s">
        <v>1576</v>
      </c>
      <c r="B713" s="15">
        <v>109.22</v>
      </c>
      <c r="C713" s="15">
        <v>119.43</v>
      </c>
      <c r="D713" s="15">
        <v>109.49</v>
      </c>
      <c r="E713" s="15">
        <v>330.71</v>
      </c>
      <c r="F713" s="15">
        <v>27.01</v>
      </c>
      <c r="G713" s="15">
        <v>117.96</v>
      </c>
      <c r="H713" s="15">
        <v>166.63</v>
      </c>
      <c r="I713" s="15">
        <v>302.57</v>
      </c>
      <c r="J713" s="15">
        <v>179.56</v>
      </c>
      <c r="K713" s="15">
        <v>218.76</v>
      </c>
      <c r="L713" s="15">
        <v>180.64</v>
      </c>
      <c r="M713" s="15">
        <v>198.29</v>
      </c>
      <c r="N713" s="15">
        <v>191.18</v>
      </c>
      <c r="O713" t="s">
        <v>3028</v>
      </c>
    </row>
    <row r="714" spans="1:15" x14ac:dyDescent="0.25">
      <c r="A714" s="10" t="s">
        <v>1578</v>
      </c>
      <c r="B714" s="15">
        <v>383.05</v>
      </c>
      <c r="C714" s="15">
        <v>343.81</v>
      </c>
      <c r="D714" s="15">
        <v>385.38</v>
      </c>
      <c r="E714" s="15">
        <v>345.71</v>
      </c>
      <c r="F714" s="15">
        <v>358.98</v>
      </c>
      <c r="G714" s="15">
        <v>352.79</v>
      </c>
      <c r="H714" s="15">
        <v>390.76</v>
      </c>
      <c r="I714" s="15">
        <v>500.11</v>
      </c>
      <c r="J714" s="15">
        <v>614.15</v>
      </c>
      <c r="K714" s="15">
        <v>205.45</v>
      </c>
      <c r="L714" s="15">
        <v>373.58</v>
      </c>
      <c r="M714" s="15">
        <v>437.36</v>
      </c>
      <c r="N714" s="15">
        <v>384.49</v>
      </c>
      <c r="O714" t="s">
        <v>3028</v>
      </c>
    </row>
    <row r="715" spans="1:15" x14ac:dyDescent="0.25">
      <c r="A715" s="10" t="s">
        <v>1580</v>
      </c>
      <c r="B715" s="15">
        <v>0</v>
      </c>
      <c r="C715" s="15">
        <v>402.19</v>
      </c>
      <c r="D715" s="15">
        <v>0</v>
      </c>
      <c r="E715" s="15">
        <v>0</v>
      </c>
      <c r="F715" s="15">
        <v>0</v>
      </c>
      <c r="G715" s="15">
        <v>0</v>
      </c>
      <c r="H715" s="15">
        <v>0</v>
      </c>
      <c r="I715" s="15">
        <v>0</v>
      </c>
      <c r="J715" s="15">
        <v>0</v>
      </c>
      <c r="K715" s="15">
        <v>0</v>
      </c>
      <c r="L715" s="15">
        <v>0</v>
      </c>
      <c r="M715" s="15">
        <v>0</v>
      </c>
      <c r="N715" s="15">
        <v>21.5</v>
      </c>
      <c r="O715" t="s">
        <v>3028</v>
      </c>
    </row>
    <row r="716" spans="1:15" x14ac:dyDescent="0.25">
      <c r="A716" s="10" t="s">
        <v>1582</v>
      </c>
      <c r="B716" s="15">
        <v>389.7</v>
      </c>
      <c r="C716" s="15">
        <v>355.31</v>
      </c>
      <c r="D716" s="15">
        <v>378.34</v>
      </c>
      <c r="E716" s="15">
        <v>362.92</v>
      </c>
      <c r="F716" s="15">
        <v>572.97</v>
      </c>
      <c r="G716" s="15">
        <v>214.79</v>
      </c>
      <c r="H716" s="15">
        <v>346.51</v>
      </c>
      <c r="I716" s="15">
        <v>452.95</v>
      </c>
      <c r="J716" s="15">
        <v>369.98</v>
      </c>
      <c r="K716" s="15">
        <v>371.69</v>
      </c>
      <c r="L716" s="15">
        <v>379.67</v>
      </c>
      <c r="M716" s="15">
        <v>381.16</v>
      </c>
      <c r="N716" s="15">
        <v>375.88</v>
      </c>
      <c r="O716" t="s">
        <v>3028</v>
      </c>
    </row>
    <row r="717" spans="1:15" x14ac:dyDescent="0.25">
      <c r="A717" s="10" t="s">
        <v>1584</v>
      </c>
      <c r="B717" s="15">
        <v>198.24</v>
      </c>
      <c r="C717" s="15">
        <v>200.67</v>
      </c>
      <c r="D717" s="15">
        <v>202.47</v>
      </c>
      <c r="E717" s="15">
        <v>178.04</v>
      </c>
      <c r="F717" s="15">
        <v>171.4</v>
      </c>
      <c r="G717" s="15">
        <v>337.57</v>
      </c>
      <c r="H717" s="15">
        <v>138.54</v>
      </c>
      <c r="I717" s="15">
        <v>220.5</v>
      </c>
      <c r="J717" s="15">
        <v>192.15</v>
      </c>
      <c r="K717" s="15">
        <v>357.62</v>
      </c>
      <c r="L717" s="15">
        <v>0</v>
      </c>
      <c r="M717" s="15">
        <v>0</v>
      </c>
      <c r="N717" s="15">
        <v>163.83000000000001</v>
      </c>
      <c r="O717" t="s">
        <v>3028</v>
      </c>
    </row>
    <row r="718" spans="1:15" x14ac:dyDescent="0.25">
      <c r="A718" s="10" t="s">
        <v>1586</v>
      </c>
      <c r="B718" s="15">
        <v>184.48</v>
      </c>
      <c r="C718" s="15">
        <v>207.72</v>
      </c>
      <c r="D718" s="15">
        <v>0</v>
      </c>
      <c r="E718" s="15">
        <v>0</v>
      </c>
      <c r="F718" s="15">
        <v>0</v>
      </c>
      <c r="G718" s="15">
        <v>0</v>
      </c>
      <c r="H718" s="15">
        <v>0</v>
      </c>
      <c r="I718" s="15">
        <v>0</v>
      </c>
      <c r="J718" s="15">
        <v>0</v>
      </c>
      <c r="K718" s="15">
        <v>0</v>
      </c>
      <c r="L718" s="15">
        <v>0</v>
      </c>
      <c r="M718" s="15">
        <v>0</v>
      </c>
      <c r="N718" s="15">
        <v>24.89</v>
      </c>
      <c r="O718" t="s">
        <v>3028</v>
      </c>
    </row>
    <row r="719" spans="1:15" x14ac:dyDescent="0.25">
      <c r="A719" s="10" t="s">
        <v>1588</v>
      </c>
      <c r="B719" s="15">
        <v>151.01</v>
      </c>
      <c r="C719" s="15">
        <v>123.95</v>
      </c>
      <c r="D719" s="15">
        <v>122.1</v>
      </c>
      <c r="E719" s="15">
        <v>112.31</v>
      </c>
      <c r="F719" s="15">
        <v>124.5</v>
      </c>
      <c r="G719" s="15">
        <v>124.34</v>
      </c>
      <c r="H719" s="15">
        <v>237.12</v>
      </c>
      <c r="I719" s="15">
        <v>340.94</v>
      </c>
      <c r="J719" s="15">
        <v>199.08</v>
      </c>
      <c r="K719" s="15">
        <v>188.15</v>
      </c>
      <c r="L719" s="15">
        <v>183.16</v>
      </c>
      <c r="M719" s="15">
        <v>182.8</v>
      </c>
      <c r="N719" s="15">
        <v>194.93</v>
      </c>
      <c r="O719" t="s">
        <v>3028</v>
      </c>
    </row>
    <row r="720" spans="1:15" x14ac:dyDescent="0.25">
      <c r="A720" s="10" t="s">
        <v>1590</v>
      </c>
      <c r="B720" s="15">
        <v>146.43</v>
      </c>
      <c r="C720" s="15">
        <v>150.59</v>
      </c>
      <c r="D720" s="15">
        <v>169.15</v>
      </c>
      <c r="E720" s="15">
        <v>188.01</v>
      </c>
      <c r="F720" s="15">
        <v>186.89</v>
      </c>
      <c r="G720" s="15">
        <v>349.01</v>
      </c>
      <c r="H720" s="15">
        <v>145.83000000000001</v>
      </c>
      <c r="I720" s="15">
        <v>177.58</v>
      </c>
      <c r="J720" s="15">
        <v>196.48</v>
      </c>
      <c r="K720" s="15">
        <v>210.85</v>
      </c>
      <c r="L720" s="15">
        <v>179.01</v>
      </c>
      <c r="M720" s="15">
        <v>287.55</v>
      </c>
      <c r="N720" s="15">
        <v>190.09</v>
      </c>
      <c r="O720" t="s">
        <v>3028</v>
      </c>
    </row>
    <row r="721" spans="1:15" x14ac:dyDescent="0.25">
      <c r="A721" s="10" t="s">
        <v>1592</v>
      </c>
      <c r="B721" s="15">
        <v>384.02</v>
      </c>
      <c r="C721" s="15">
        <v>344.57</v>
      </c>
      <c r="D721" s="15">
        <v>311.26</v>
      </c>
      <c r="E721" s="15">
        <v>316.95999999999998</v>
      </c>
      <c r="F721" s="15">
        <v>313.52</v>
      </c>
      <c r="G721" s="15">
        <v>527.83000000000004</v>
      </c>
      <c r="H721" s="15">
        <v>171.38</v>
      </c>
      <c r="I721" s="15">
        <v>415.7</v>
      </c>
      <c r="J721" s="15">
        <v>343.75</v>
      </c>
      <c r="K721" s="15">
        <v>346.45</v>
      </c>
      <c r="L721" s="15">
        <v>368.67</v>
      </c>
      <c r="M721" s="15">
        <v>348.52</v>
      </c>
      <c r="N721" s="15">
        <v>346.63</v>
      </c>
      <c r="O721" t="s">
        <v>3028</v>
      </c>
    </row>
    <row r="722" spans="1:15" x14ac:dyDescent="0.25">
      <c r="A722" s="10" t="s">
        <v>1594</v>
      </c>
      <c r="B722" s="15">
        <v>570.88</v>
      </c>
      <c r="C722" s="15">
        <v>1141.76</v>
      </c>
      <c r="D722" s="15">
        <v>0</v>
      </c>
      <c r="E722" s="15">
        <v>570.88</v>
      </c>
      <c r="F722" s="15">
        <v>570.88</v>
      </c>
      <c r="G722" s="15">
        <v>1141.76</v>
      </c>
      <c r="H722" s="15">
        <v>0</v>
      </c>
      <c r="I722" s="15">
        <v>570.88</v>
      </c>
      <c r="J722" s="15">
        <v>570.88</v>
      </c>
      <c r="K722" s="15">
        <v>570.88</v>
      </c>
      <c r="L722" s="15">
        <v>570.88</v>
      </c>
      <c r="M722" s="15">
        <v>570.88</v>
      </c>
      <c r="N722" s="15">
        <v>570.88</v>
      </c>
      <c r="O722" t="s">
        <v>3028</v>
      </c>
    </row>
    <row r="723" spans="1:15" x14ac:dyDescent="0.25">
      <c r="A723" s="10" t="s">
        <v>1596</v>
      </c>
      <c r="B723" s="15">
        <v>526.24</v>
      </c>
      <c r="C723" s="15">
        <v>421.09</v>
      </c>
      <c r="D723" s="15">
        <v>471.63</v>
      </c>
      <c r="E723" s="15">
        <v>429.35</v>
      </c>
      <c r="F723" s="15">
        <v>447.16</v>
      </c>
      <c r="G723" s="15">
        <v>555.15</v>
      </c>
      <c r="H723" s="15">
        <v>570.88</v>
      </c>
      <c r="I723" s="15">
        <v>570.88</v>
      </c>
      <c r="J723" s="15">
        <v>462.65</v>
      </c>
      <c r="K723" s="15">
        <v>454.57</v>
      </c>
      <c r="L723" s="15">
        <v>534.29999999999995</v>
      </c>
      <c r="M723" s="15">
        <v>486.34</v>
      </c>
      <c r="N723" s="15">
        <v>499</v>
      </c>
      <c r="O723" t="s">
        <v>3028</v>
      </c>
    </row>
    <row r="724" spans="1:15" x14ac:dyDescent="0.25">
      <c r="A724" s="10" t="s">
        <v>1598</v>
      </c>
      <c r="B724" s="15">
        <v>167.16</v>
      </c>
      <c r="C724" s="15">
        <v>170.99</v>
      </c>
      <c r="D724" s="15">
        <v>150.91999999999999</v>
      </c>
      <c r="E724" s="15">
        <v>151.96</v>
      </c>
      <c r="F724" s="15">
        <v>147.63</v>
      </c>
      <c r="G724" s="15">
        <v>227.67</v>
      </c>
      <c r="H724" s="15">
        <v>98.28</v>
      </c>
      <c r="I724" s="15">
        <v>231.73</v>
      </c>
      <c r="J724" s="15">
        <v>167.06</v>
      </c>
      <c r="K724" s="15">
        <v>166.39</v>
      </c>
      <c r="L724" s="15">
        <v>163.93</v>
      </c>
      <c r="M724" s="15">
        <v>191.87</v>
      </c>
      <c r="N724" s="15">
        <v>171.84</v>
      </c>
      <c r="O724" t="s">
        <v>3028</v>
      </c>
    </row>
    <row r="725" spans="1:15" x14ac:dyDescent="0.25">
      <c r="A725" s="10" t="s">
        <v>1600</v>
      </c>
      <c r="B725" s="15">
        <v>570.88</v>
      </c>
      <c r="C725" s="15">
        <v>0</v>
      </c>
      <c r="D725" s="15">
        <v>418.18</v>
      </c>
      <c r="E725" s="15">
        <v>533.6</v>
      </c>
      <c r="F725" s="15">
        <v>539.16</v>
      </c>
      <c r="G725" s="15">
        <v>570.88</v>
      </c>
      <c r="H725" s="15">
        <v>1085.93</v>
      </c>
      <c r="I725" s="15">
        <v>0</v>
      </c>
      <c r="J725" s="15">
        <v>560.36</v>
      </c>
      <c r="K725" s="15">
        <v>570.88</v>
      </c>
      <c r="L725" s="15">
        <v>570.88</v>
      </c>
      <c r="M725" s="15">
        <v>570.88</v>
      </c>
      <c r="N725" s="15">
        <v>570.88</v>
      </c>
      <c r="O725" t="s">
        <v>3028</v>
      </c>
    </row>
    <row r="726" spans="1:15" x14ac:dyDescent="0.25">
      <c r="A726" s="10" t="s">
        <v>1605</v>
      </c>
      <c r="B726" s="15">
        <v>167.58</v>
      </c>
      <c r="C726" s="15">
        <v>171.45</v>
      </c>
      <c r="D726" s="15">
        <v>170.71</v>
      </c>
      <c r="E726" s="15">
        <v>170.18</v>
      </c>
      <c r="F726" s="15">
        <v>175.74</v>
      </c>
      <c r="G726" s="15">
        <v>171.57</v>
      </c>
      <c r="H726" s="15">
        <v>171.36</v>
      </c>
      <c r="I726" s="15">
        <v>219.2</v>
      </c>
      <c r="J726" s="15">
        <v>189.53</v>
      </c>
      <c r="K726" s="15">
        <v>353.9</v>
      </c>
      <c r="L726" s="15">
        <v>135.33000000000001</v>
      </c>
      <c r="M726" s="15">
        <v>188.88</v>
      </c>
      <c r="N726" s="15">
        <v>187.11</v>
      </c>
      <c r="O726" t="s">
        <v>3028</v>
      </c>
    </row>
    <row r="727" spans="1:15" x14ac:dyDescent="0.25">
      <c r="A727" s="10" t="s">
        <v>1607</v>
      </c>
      <c r="B727" s="15">
        <v>513.91</v>
      </c>
      <c r="C727" s="15">
        <v>518.96</v>
      </c>
      <c r="D727" s="15">
        <v>1032.1199999999999</v>
      </c>
      <c r="E727" s="15">
        <v>109.64</v>
      </c>
      <c r="F727" s="15">
        <v>498.74</v>
      </c>
      <c r="G727" s="15">
        <v>548.54</v>
      </c>
      <c r="H727" s="15">
        <v>510.82</v>
      </c>
      <c r="I727" s="15">
        <v>570.88</v>
      </c>
      <c r="J727" s="15">
        <v>566.92999999999995</v>
      </c>
      <c r="K727" s="15">
        <v>570.88</v>
      </c>
      <c r="L727" s="15">
        <v>569.16999999999996</v>
      </c>
      <c r="M727" s="15">
        <v>570.88</v>
      </c>
      <c r="N727" s="15">
        <v>570.88</v>
      </c>
      <c r="O727" t="s">
        <v>3028</v>
      </c>
    </row>
    <row r="728" spans="1:15" x14ac:dyDescent="0.25">
      <c r="A728" s="10" t="s">
        <v>1609</v>
      </c>
      <c r="B728" s="15">
        <v>189.83</v>
      </c>
      <c r="C728" s="15">
        <v>194.39</v>
      </c>
      <c r="D728" s="15">
        <v>193.45</v>
      </c>
      <c r="E728" s="15">
        <v>180.14</v>
      </c>
      <c r="F728" s="15">
        <v>210.65</v>
      </c>
      <c r="G728" s="15">
        <v>510.5</v>
      </c>
      <c r="H728" s="15">
        <v>38.67</v>
      </c>
      <c r="I728" s="15">
        <v>298.58999999999997</v>
      </c>
      <c r="J728" s="15">
        <v>209.01</v>
      </c>
      <c r="K728" s="15">
        <v>211.78</v>
      </c>
      <c r="L728" s="15">
        <v>208.56</v>
      </c>
      <c r="M728" s="15">
        <v>212.5</v>
      </c>
      <c r="N728" s="15">
        <v>212.36</v>
      </c>
      <c r="O728" t="s">
        <v>3028</v>
      </c>
    </row>
    <row r="729" spans="1:15" x14ac:dyDescent="0.25">
      <c r="A729" s="10" t="s">
        <v>1611</v>
      </c>
      <c r="B729" s="15">
        <v>0</v>
      </c>
      <c r="C729" s="15">
        <v>0</v>
      </c>
      <c r="D729" s="15">
        <v>0</v>
      </c>
      <c r="E729" s="15">
        <v>0</v>
      </c>
      <c r="F729" s="15">
        <v>0</v>
      </c>
      <c r="G729" s="15">
        <v>0</v>
      </c>
      <c r="H729" s="15">
        <v>0</v>
      </c>
      <c r="I729" s="15">
        <v>111.77</v>
      </c>
      <c r="J729" s="15">
        <v>117.14</v>
      </c>
      <c r="K729" s="15">
        <v>121.17</v>
      </c>
      <c r="L729" s="15">
        <v>159.06</v>
      </c>
      <c r="M729" s="15">
        <v>118.94</v>
      </c>
      <c r="N729" s="15">
        <v>51.19</v>
      </c>
      <c r="O729" t="s">
        <v>3028</v>
      </c>
    </row>
    <row r="730" spans="1:15" x14ac:dyDescent="0.25">
      <c r="A730" s="10" t="s">
        <v>1613</v>
      </c>
      <c r="B730" s="15">
        <v>91.57</v>
      </c>
      <c r="C730" s="15">
        <v>174.32</v>
      </c>
      <c r="D730" s="15">
        <v>165.18</v>
      </c>
      <c r="E730" s="15">
        <v>154.80000000000001</v>
      </c>
      <c r="F730" s="15">
        <v>109.12</v>
      </c>
      <c r="G730" s="15">
        <v>121.46</v>
      </c>
      <c r="H730" s="15">
        <v>108.8</v>
      </c>
      <c r="I730" s="15">
        <v>172.09</v>
      </c>
      <c r="J730" s="15">
        <v>173.69</v>
      </c>
      <c r="K730" s="15">
        <v>157.51</v>
      </c>
      <c r="L730" s="15">
        <v>118.31</v>
      </c>
      <c r="M730" s="15">
        <v>141.55000000000001</v>
      </c>
      <c r="N730" s="15">
        <v>153.75</v>
      </c>
      <c r="O730" t="s">
        <v>3028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8"/>
  <dimension ref="A1:O736"/>
  <sheetViews>
    <sheetView workbookViewId="0">
      <selection activeCell="H6" sqref="H6"/>
    </sheetView>
  </sheetViews>
  <sheetFormatPr defaultRowHeight="15" x14ac:dyDescent="0.25"/>
  <cols>
    <col min="1" max="1" width="11.875" style="10" bestFit="1" customWidth="1"/>
    <col min="2" max="14" width="11.625" style="15" customWidth="1"/>
  </cols>
  <sheetData>
    <row r="1" spans="1:15" ht="47.85" customHeight="1" x14ac:dyDescent="0.25">
      <c r="A1" s="27" t="s">
        <v>54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5" ht="43.5" customHeight="1" x14ac:dyDescent="0.25">
      <c r="A2" s="4" t="s">
        <v>0</v>
      </c>
      <c r="B2" s="14" t="str">
        <f>CONCATENATE("JANEIRO",CHAR(10),"TOTAL: ",ROUND(SUM(B3:B1048576),2))</f>
        <v>JANEIRO
TOTAL: 2494956,65</v>
      </c>
      <c r="C2" s="14" t="str">
        <f>CONCATENATE("FEVEREIRO",CHAR(10),"TOTAL: ",ROUND(SUM(C3:C1048576),2))</f>
        <v>FEVEREIRO
TOTAL: 2557211,19</v>
      </c>
      <c r="D2" s="14" t="str">
        <f>CONCATENATE("MARÇO",CHAR(10),"TOTAL: ",ROUND(SUM(D3:D1048576),2))</f>
        <v>MARÇO
TOTAL: 2639123,17</v>
      </c>
      <c r="E2" s="14" t="str">
        <f>CONCATENATE("ABRIL",CHAR(10),"TOTAL: ",ROUND(SUM(E3:E1048576),2))</f>
        <v>ABRIL
TOTAL: 2633575,88</v>
      </c>
      <c r="F2" s="14" t="str">
        <f>CONCATENATE("MAIO",CHAR(10),"TOTAL: ",ROUND(SUM(F3:F1048576),2))</f>
        <v>MAIO
TOTAL: 2375981,06</v>
      </c>
      <c r="G2" s="14" t="str">
        <f>CONCATENATE("JUNHO",CHAR(10),"TOTAL: ",ROUND(SUM(G3:G1048576),2))</f>
        <v>JUNHO
TOTAL: 2815581,93</v>
      </c>
      <c r="H2" s="14" t="str">
        <f>CONCATENATE("JULHO",CHAR(10),"TOTAL: ",ROUND(SUM(H3:H1048576),2))</f>
        <v>JULHO
TOTAL: 2514636,39</v>
      </c>
      <c r="I2" s="14" t="str">
        <f>CONCATENATE("AGOSTO",CHAR(10),"TOTAL: ",ROUND(SUM(I3:I1048576),2))</f>
        <v>AGOSTO
TOTAL: 3342926,23</v>
      </c>
      <c r="J2" s="14" t="str">
        <f>CONCATENATE("SETEMBRO",CHAR(10),"TOTAL: ",ROUND(SUM(J3:J1048576),2))</f>
        <v>SETEMBRO
TOTAL: 2867582,85</v>
      </c>
      <c r="K2" s="14" t="str">
        <f>CONCATENATE("OUTUBRO",CHAR(10),"TOTAL: ",ROUND(SUM(K3:K1048576),2))</f>
        <v>OUTUBRO
TOTAL: 2750225,08</v>
      </c>
      <c r="L2" s="14" t="str">
        <f>CONCATENATE("NOVEMBRO",CHAR(10),"TOTAL: ",ROUND(SUM(L3:L1048576),2))</f>
        <v>NOVEMBRO
TOTAL: 2753389,15</v>
      </c>
      <c r="M2" s="14" t="str">
        <f>CONCATENATE("DEZEMBRO",CHAR(10),"TOTAL: ",ROUND(SUM(M3:M1048576),2))</f>
        <v>DEZEMBRO
TOTAL: 2808349,54</v>
      </c>
      <c r="N2" s="14" t="str">
        <f>CONCATENATE("DEC. TERCEIRO",CHAR(10),"TOTAL: ",ROUND(SUM(N3:N1048576),2))</f>
        <v>DEC. TERCEIRO
TOTAL: 2571509,34</v>
      </c>
    </row>
    <row r="3" spans="1:15" x14ac:dyDescent="0.25">
      <c r="A3" s="10" t="s">
        <v>93</v>
      </c>
      <c r="B3" s="15">
        <v>0</v>
      </c>
      <c r="C3" s="15">
        <v>0</v>
      </c>
      <c r="D3" s="15">
        <v>4138.16</v>
      </c>
      <c r="E3" s="15">
        <v>4138.16</v>
      </c>
      <c r="F3" s="15">
        <v>4138.16</v>
      </c>
      <c r="G3" s="15">
        <v>5333.62</v>
      </c>
      <c r="H3" s="15">
        <v>3862.28</v>
      </c>
      <c r="I3" s="15">
        <v>5447.59</v>
      </c>
      <c r="J3" s="15">
        <v>4544.53</v>
      </c>
      <c r="K3" s="15">
        <v>4544.53</v>
      </c>
      <c r="L3" s="15">
        <v>4544.53</v>
      </c>
      <c r="M3" s="15">
        <v>4544.53</v>
      </c>
      <c r="N3" s="15">
        <v>3787.11</v>
      </c>
      <c r="O3" t="s">
        <v>3028</v>
      </c>
    </row>
    <row r="4" spans="1:15" x14ac:dyDescent="0.25">
      <c r="A4" s="10" t="s">
        <v>95</v>
      </c>
      <c r="B4" s="15">
        <v>2758.76</v>
      </c>
      <c r="C4" s="15">
        <v>2758.76</v>
      </c>
      <c r="D4" s="15">
        <v>4107.49</v>
      </c>
      <c r="E4" s="15">
        <v>2023.09</v>
      </c>
      <c r="F4" s="15">
        <v>3326.85</v>
      </c>
      <c r="G4" s="15">
        <v>3326.85</v>
      </c>
      <c r="H4" s="15">
        <v>3326.85</v>
      </c>
      <c r="I4" s="15">
        <v>4306.95</v>
      </c>
      <c r="J4" s="15">
        <v>3653.55</v>
      </c>
      <c r="K4" s="15">
        <v>3653.55</v>
      </c>
      <c r="L4" s="15">
        <v>3653.55</v>
      </c>
      <c r="M4" s="15">
        <v>3653.55</v>
      </c>
      <c r="N4" s="15">
        <v>3653.55</v>
      </c>
      <c r="O4" t="s">
        <v>3028</v>
      </c>
    </row>
    <row r="5" spans="1:15" x14ac:dyDescent="0.25">
      <c r="A5" s="10" t="s">
        <v>97</v>
      </c>
      <c r="B5" s="15">
        <v>1948.96</v>
      </c>
      <c r="C5" s="15">
        <v>2086.37</v>
      </c>
      <c r="D5" s="15">
        <v>1773.31</v>
      </c>
      <c r="E5" s="15">
        <v>4251.07</v>
      </c>
      <c r="F5" s="15">
        <v>0</v>
      </c>
      <c r="G5" s="15">
        <v>1881.31</v>
      </c>
      <c r="H5" s="15">
        <v>1793.93</v>
      </c>
      <c r="I5" s="15">
        <v>2711.68</v>
      </c>
      <c r="J5" s="15">
        <v>1871.65</v>
      </c>
      <c r="K5" s="15">
        <v>1937.56</v>
      </c>
      <c r="L5" s="15">
        <v>2318.71</v>
      </c>
      <c r="M5" s="15">
        <v>1937.35</v>
      </c>
      <c r="N5" s="15">
        <v>2063.2199999999998</v>
      </c>
      <c r="O5" t="s">
        <v>3028</v>
      </c>
    </row>
    <row r="6" spans="1:15" x14ac:dyDescent="0.25">
      <c r="A6" s="10" t="s">
        <v>99</v>
      </c>
      <c r="B6" s="15">
        <v>2286.0300000000002</v>
      </c>
      <c r="C6" s="15">
        <v>2485.46</v>
      </c>
      <c r="D6" s="15">
        <v>2107.5100000000002</v>
      </c>
      <c r="E6" s="15">
        <v>2553.4899999999998</v>
      </c>
      <c r="F6" s="15">
        <v>1994.91</v>
      </c>
      <c r="G6" s="15">
        <v>2516.7800000000002</v>
      </c>
      <c r="H6" s="15">
        <v>2875.99</v>
      </c>
      <c r="I6" s="15">
        <v>3397.06</v>
      </c>
      <c r="J6" s="15">
        <v>3546.85</v>
      </c>
      <c r="K6" s="15">
        <v>1895.58</v>
      </c>
      <c r="L6" s="15">
        <v>2558.7399999999998</v>
      </c>
      <c r="M6" s="15">
        <v>2325.9</v>
      </c>
      <c r="N6" s="15">
        <v>2566.2399999999998</v>
      </c>
      <c r="O6" t="s">
        <v>3028</v>
      </c>
    </row>
    <row r="7" spans="1:15" x14ac:dyDescent="0.25">
      <c r="A7" s="10" t="s">
        <v>101</v>
      </c>
      <c r="B7" s="15">
        <v>4265.1000000000004</v>
      </c>
      <c r="C7" s="15">
        <v>4091.2</v>
      </c>
      <c r="D7" s="15">
        <v>4075.85</v>
      </c>
      <c r="E7" s="15">
        <v>4553.91</v>
      </c>
      <c r="F7" s="15">
        <v>4589.5600000000004</v>
      </c>
      <c r="G7" s="15">
        <v>4135.8100000000004</v>
      </c>
      <c r="H7" s="15">
        <v>4433.7</v>
      </c>
      <c r="I7" s="15">
        <v>5435.97</v>
      </c>
      <c r="J7" s="15">
        <v>4678.29</v>
      </c>
      <c r="K7" s="15">
        <v>9188.42</v>
      </c>
      <c r="L7" s="15">
        <v>2507.9699999999998</v>
      </c>
      <c r="M7" s="15">
        <v>4956.32</v>
      </c>
      <c r="N7" s="15">
        <v>4652.01</v>
      </c>
      <c r="O7" t="s">
        <v>3028</v>
      </c>
    </row>
    <row r="8" spans="1:15" x14ac:dyDescent="0.25">
      <c r="A8" s="10" t="s">
        <v>103</v>
      </c>
      <c r="B8" s="15">
        <v>1669.38</v>
      </c>
      <c r="C8" s="15">
        <v>1836.03</v>
      </c>
      <c r="D8" s="15">
        <v>1632.2</v>
      </c>
      <c r="E8" s="15">
        <v>3342.62</v>
      </c>
      <c r="F8" s="15">
        <v>199.15</v>
      </c>
      <c r="G8" s="15">
        <v>1300</v>
      </c>
      <c r="H8" s="15">
        <v>2239.94</v>
      </c>
      <c r="I8" s="15">
        <v>2338.4499999999998</v>
      </c>
      <c r="J8" s="15">
        <v>2570.9899999999998</v>
      </c>
      <c r="K8" s="15">
        <v>2578.86</v>
      </c>
      <c r="L8" s="15">
        <v>2545.75</v>
      </c>
      <c r="M8" s="15">
        <v>2829.43</v>
      </c>
      <c r="N8" s="15">
        <v>2462.8000000000002</v>
      </c>
      <c r="O8" t="s">
        <v>3028</v>
      </c>
    </row>
    <row r="9" spans="1:15" x14ac:dyDescent="0.25">
      <c r="A9" s="10" t="s">
        <v>105</v>
      </c>
      <c r="B9" s="15">
        <v>3179.73</v>
      </c>
      <c r="C9" s="15">
        <v>3058.26</v>
      </c>
      <c r="D9" s="15">
        <v>3117.38</v>
      </c>
      <c r="E9" s="15">
        <v>6398.01</v>
      </c>
      <c r="F9" s="15">
        <v>665.44</v>
      </c>
      <c r="G9" s="15">
        <v>2630.14</v>
      </c>
      <c r="H9" s="15">
        <v>2645.61</v>
      </c>
      <c r="I9" s="15">
        <v>3580.27</v>
      </c>
      <c r="J9" s="15">
        <v>2878.33</v>
      </c>
      <c r="K9" s="15">
        <v>2874.73</v>
      </c>
      <c r="L9" s="15">
        <v>2929.87</v>
      </c>
      <c r="M9" s="15">
        <v>2956.14</v>
      </c>
      <c r="N9" s="15">
        <v>3036.26</v>
      </c>
      <c r="O9" t="s">
        <v>3028</v>
      </c>
    </row>
    <row r="10" spans="1:15" x14ac:dyDescent="0.25">
      <c r="A10" s="10" t="s">
        <v>107</v>
      </c>
      <c r="B10" s="15">
        <v>0</v>
      </c>
      <c r="C10" s="15">
        <v>0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1300</v>
      </c>
      <c r="K10" s="15">
        <v>1954.31</v>
      </c>
      <c r="L10" s="15">
        <v>1461.69</v>
      </c>
      <c r="M10" s="15">
        <v>630.20000000000005</v>
      </c>
      <c r="N10" s="15">
        <v>540.53</v>
      </c>
      <c r="O10" t="s">
        <v>3028</v>
      </c>
    </row>
    <row r="11" spans="1:15" x14ac:dyDescent="0.25">
      <c r="A11" s="10" t="s">
        <v>109</v>
      </c>
      <c r="B11" s="15">
        <v>10844.5</v>
      </c>
      <c r="C11" s="15">
        <v>10612.54</v>
      </c>
      <c r="D11" s="15">
        <v>8977.61</v>
      </c>
      <c r="E11" s="15">
        <v>8988.76</v>
      </c>
      <c r="F11" s="15">
        <v>13559.14</v>
      </c>
      <c r="G11" s="15">
        <v>8921.85</v>
      </c>
      <c r="H11" s="15">
        <v>10994.32</v>
      </c>
      <c r="I11" s="15">
        <v>15455.48</v>
      </c>
      <c r="J11" s="15">
        <v>7960.85</v>
      </c>
      <c r="K11" s="15">
        <v>13375.98</v>
      </c>
      <c r="L11" s="15">
        <v>9553.0300000000007</v>
      </c>
      <c r="M11" s="15">
        <v>8693.9</v>
      </c>
      <c r="N11" s="15">
        <v>10657.01</v>
      </c>
      <c r="O11" t="s">
        <v>3028</v>
      </c>
    </row>
    <row r="12" spans="1:15" x14ac:dyDescent="0.25">
      <c r="A12" s="10" t="s">
        <v>111</v>
      </c>
      <c r="B12" s="15">
        <v>2089.81</v>
      </c>
      <c r="C12" s="15">
        <v>2007.36</v>
      </c>
      <c r="D12" s="15">
        <v>2031.82</v>
      </c>
      <c r="E12" s="15">
        <v>2122.16</v>
      </c>
      <c r="F12" s="15">
        <v>1899.38</v>
      </c>
      <c r="G12" s="15">
        <v>1843.49</v>
      </c>
      <c r="H12" s="15">
        <v>3603.45</v>
      </c>
      <c r="I12" s="15">
        <v>1837.49</v>
      </c>
      <c r="J12" s="15">
        <v>2244.46</v>
      </c>
      <c r="K12" s="15">
        <v>2191.85</v>
      </c>
      <c r="L12" s="15">
        <v>2261.69</v>
      </c>
      <c r="M12" s="15">
        <v>2361.58</v>
      </c>
      <c r="N12" s="15">
        <v>2200.34</v>
      </c>
      <c r="O12" t="s">
        <v>3028</v>
      </c>
    </row>
    <row r="13" spans="1:15" x14ac:dyDescent="0.25">
      <c r="A13" s="10" t="s">
        <v>113</v>
      </c>
      <c r="B13" s="15">
        <v>2393.85</v>
      </c>
      <c r="C13" s="15">
        <v>2810.5</v>
      </c>
      <c r="D13" s="15">
        <v>2590.81</v>
      </c>
      <c r="E13" s="15">
        <v>2428.77</v>
      </c>
      <c r="F13" s="15">
        <v>3816.53</v>
      </c>
      <c r="G13" s="15">
        <v>1518.61</v>
      </c>
      <c r="H13" s="15">
        <v>68.63</v>
      </c>
      <c r="I13" s="15">
        <v>205.79</v>
      </c>
      <c r="J13" s="15">
        <v>2262.09</v>
      </c>
      <c r="K13" s="15">
        <v>2395.35</v>
      </c>
      <c r="L13" s="15">
        <v>2676.21</v>
      </c>
      <c r="M13" s="15">
        <v>2369.3000000000002</v>
      </c>
      <c r="N13" s="15">
        <v>2132.13</v>
      </c>
      <c r="O13" t="s">
        <v>3028</v>
      </c>
    </row>
    <row r="14" spans="1:15" x14ac:dyDescent="0.25">
      <c r="A14" s="10" t="s">
        <v>115</v>
      </c>
      <c r="B14" s="15">
        <v>5795.92</v>
      </c>
      <c r="C14" s="15">
        <v>5795.92</v>
      </c>
      <c r="D14" s="15">
        <v>7534.69</v>
      </c>
      <c r="E14" s="15">
        <v>7534.69</v>
      </c>
      <c r="F14" s="15">
        <v>7534.69</v>
      </c>
      <c r="G14" s="15">
        <v>7534.69</v>
      </c>
      <c r="H14" s="15">
        <v>7534.69</v>
      </c>
      <c r="I14" s="15">
        <v>14737.55</v>
      </c>
      <c r="J14" s="15">
        <v>8443.6</v>
      </c>
      <c r="K14" s="15">
        <v>9381.7800000000007</v>
      </c>
      <c r="L14" s="15">
        <v>9381.7800000000007</v>
      </c>
      <c r="M14" s="15">
        <v>9381.7800000000007</v>
      </c>
      <c r="N14" s="15">
        <v>9381.7800000000007</v>
      </c>
      <c r="O14" t="s">
        <v>3028</v>
      </c>
    </row>
    <row r="15" spans="1:15" x14ac:dyDescent="0.25">
      <c r="A15" s="10" t="s">
        <v>117</v>
      </c>
      <c r="B15" s="15">
        <v>1739.44</v>
      </c>
      <c r="C15" s="15">
        <v>1786.24</v>
      </c>
      <c r="D15" s="15">
        <v>1762.26</v>
      </c>
      <c r="E15" s="15">
        <v>1416.1</v>
      </c>
      <c r="F15" s="15">
        <v>1373.49</v>
      </c>
      <c r="G15" s="15">
        <v>1323.75</v>
      </c>
      <c r="H15" s="15">
        <v>1500.13</v>
      </c>
      <c r="I15" s="15">
        <v>1943.64</v>
      </c>
      <c r="J15" s="15">
        <v>1624.7</v>
      </c>
      <c r="K15" s="15">
        <v>2083.98</v>
      </c>
      <c r="L15" s="15">
        <v>2291.52</v>
      </c>
      <c r="M15" s="15">
        <v>2553.5500000000002</v>
      </c>
      <c r="N15" s="15">
        <v>1885.24</v>
      </c>
      <c r="O15" t="s">
        <v>3028</v>
      </c>
    </row>
    <row r="16" spans="1:15" x14ac:dyDescent="0.25">
      <c r="A16" s="10" t="s">
        <v>119</v>
      </c>
      <c r="B16" s="15">
        <v>1471.99</v>
      </c>
      <c r="C16" s="15">
        <v>1718.16</v>
      </c>
      <c r="D16" s="15">
        <v>1366.29</v>
      </c>
      <c r="E16" s="15">
        <v>1515.38</v>
      </c>
      <c r="F16" s="15">
        <v>1372.2</v>
      </c>
      <c r="G16" s="15">
        <v>1479.74</v>
      </c>
      <c r="H16" s="15">
        <v>1456.88</v>
      </c>
      <c r="I16" s="15">
        <v>1930.78</v>
      </c>
      <c r="J16" s="15">
        <v>1497.98</v>
      </c>
      <c r="K16" s="15">
        <v>1510.21</v>
      </c>
      <c r="L16" s="15">
        <v>1481.09</v>
      </c>
      <c r="M16" s="15">
        <v>1505.38</v>
      </c>
      <c r="N16" s="15">
        <v>1587.5</v>
      </c>
      <c r="O16" t="s">
        <v>3028</v>
      </c>
    </row>
    <row r="17" spans="1:15" x14ac:dyDescent="0.25">
      <c r="A17" s="10" t="s">
        <v>121</v>
      </c>
      <c r="B17" s="15">
        <v>3707.62</v>
      </c>
      <c r="C17" s="15">
        <v>3350.9</v>
      </c>
      <c r="D17" s="15">
        <v>3330.1</v>
      </c>
      <c r="E17" s="15">
        <v>3429.01</v>
      </c>
      <c r="F17" s="15">
        <v>3597.15</v>
      </c>
      <c r="G17" s="15">
        <v>7905.26</v>
      </c>
      <c r="H17" s="15">
        <v>581.38</v>
      </c>
      <c r="I17" s="15">
        <v>4324.92</v>
      </c>
      <c r="J17" s="15">
        <v>4347.26</v>
      </c>
      <c r="K17" s="15">
        <v>4269.7700000000004</v>
      </c>
      <c r="L17" s="15">
        <v>3722.3</v>
      </c>
      <c r="M17" s="15">
        <v>4453.4799999999996</v>
      </c>
      <c r="N17" s="15">
        <v>3917.06</v>
      </c>
      <c r="O17" t="s">
        <v>3028</v>
      </c>
    </row>
    <row r="18" spans="1:15" x14ac:dyDescent="0.25">
      <c r="A18" s="10" t="s">
        <v>123</v>
      </c>
      <c r="B18" s="15">
        <v>10052.1</v>
      </c>
      <c r="C18" s="15">
        <v>16753.5</v>
      </c>
      <c r="D18" s="15">
        <v>6701.4</v>
      </c>
      <c r="E18" s="15">
        <v>10052.1</v>
      </c>
      <c r="F18" s="15">
        <v>10052.1</v>
      </c>
      <c r="G18" s="15">
        <v>10052.1</v>
      </c>
      <c r="H18" s="15">
        <v>1675.35</v>
      </c>
      <c r="I18" s="15">
        <v>0</v>
      </c>
      <c r="J18" s="15">
        <v>1151.6400000000001</v>
      </c>
      <c r="K18" s="15">
        <v>0</v>
      </c>
      <c r="L18" s="15">
        <v>0</v>
      </c>
      <c r="M18" s="15">
        <v>0</v>
      </c>
      <c r="N18" s="15">
        <v>7359.48</v>
      </c>
      <c r="O18" t="s">
        <v>3028</v>
      </c>
    </row>
    <row r="19" spans="1:15" x14ac:dyDescent="0.25">
      <c r="A19" s="10" t="s">
        <v>125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1184.5</v>
      </c>
      <c r="I19" s="15">
        <v>1838.55</v>
      </c>
      <c r="J19" s="15">
        <v>1724.47</v>
      </c>
      <c r="K19" s="15">
        <v>1600.36</v>
      </c>
      <c r="L19" s="15">
        <v>1694.07</v>
      </c>
      <c r="M19" s="15">
        <v>1491.34</v>
      </c>
      <c r="N19" s="15">
        <v>808.21</v>
      </c>
      <c r="O19" t="s">
        <v>3028</v>
      </c>
    </row>
    <row r="20" spans="1:15" x14ac:dyDescent="0.25">
      <c r="A20" s="10" t="s">
        <v>127</v>
      </c>
      <c r="B20" s="15">
        <v>3123.19</v>
      </c>
      <c r="C20" s="15">
        <v>2910.9</v>
      </c>
      <c r="D20" s="15">
        <v>3149.88</v>
      </c>
      <c r="E20" s="15">
        <v>3191.23</v>
      </c>
      <c r="F20" s="15">
        <v>2673.23</v>
      </c>
      <c r="G20" s="15">
        <v>2679.74</v>
      </c>
      <c r="H20" s="15">
        <v>2713.17</v>
      </c>
      <c r="I20" s="15">
        <v>4603.8</v>
      </c>
      <c r="J20" s="15">
        <v>6191.19</v>
      </c>
      <c r="K20" s="15">
        <v>1943.71</v>
      </c>
      <c r="L20" s="15">
        <v>3924.55</v>
      </c>
      <c r="M20" s="15">
        <v>3146.95</v>
      </c>
      <c r="N20" s="15">
        <v>3495.76</v>
      </c>
      <c r="O20" t="s">
        <v>3028</v>
      </c>
    </row>
    <row r="21" spans="1:15" x14ac:dyDescent="0.25">
      <c r="A21" s="10" t="s">
        <v>129</v>
      </c>
      <c r="B21" s="15">
        <v>1973.4</v>
      </c>
      <c r="C21" s="15">
        <v>1962.27</v>
      </c>
      <c r="D21" s="15">
        <v>1680.76</v>
      </c>
      <c r="E21" s="15">
        <v>1875.09</v>
      </c>
      <c r="F21" s="15">
        <v>1432.16</v>
      </c>
      <c r="G21" s="15">
        <v>3633.83</v>
      </c>
      <c r="H21" s="15">
        <v>1150.08</v>
      </c>
      <c r="I21" s="15">
        <v>1845.65</v>
      </c>
      <c r="J21" s="15">
        <v>2910.95</v>
      </c>
      <c r="K21" s="15">
        <v>3077.4</v>
      </c>
      <c r="L21" s="15">
        <v>3106.17</v>
      </c>
      <c r="M21" s="15">
        <v>2886.58</v>
      </c>
      <c r="N21" s="15">
        <v>2666.93</v>
      </c>
      <c r="O21" t="s">
        <v>3028</v>
      </c>
    </row>
    <row r="22" spans="1:15" x14ac:dyDescent="0.25">
      <c r="A22" s="10" t="s">
        <v>131</v>
      </c>
      <c r="B22" s="15">
        <v>2510.81</v>
      </c>
      <c r="C22" s="15">
        <v>2217.7600000000002</v>
      </c>
      <c r="D22" s="15">
        <v>2230.31</v>
      </c>
      <c r="E22" s="15">
        <v>3750</v>
      </c>
      <c r="F22" s="15">
        <v>875.56</v>
      </c>
      <c r="G22" s="15">
        <v>1915.57</v>
      </c>
      <c r="H22" s="15">
        <v>1954.59</v>
      </c>
      <c r="I22" s="15">
        <v>2840.97</v>
      </c>
      <c r="J22" s="15">
        <v>2204.36</v>
      </c>
      <c r="K22" s="15">
        <v>2459.17</v>
      </c>
      <c r="L22" s="15">
        <v>2463.63</v>
      </c>
      <c r="M22" s="15">
        <v>2120.0300000000002</v>
      </c>
      <c r="N22" s="15">
        <v>2330.1799999999998</v>
      </c>
      <c r="O22" t="s">
        <v>3028</v>
      </c>
    </row>
    <row r="23" spans="1:15" x14ac:dyDescent="0.25">
      <c r="A23" s="10" t="s">
        <v>133</v>
      </c>
      <c r="B23" s="15">
        <v>2156.1799999999998</v>
      </c>
      <c r="C23" s="15">
        <v>2102.13</v>
      </c>
      <c r="D23" s="15">
        <v>4971.3100000000004</v>
      </c>
      <c r="E23" s="15">
        <v>258.54000000000002</v>
      </c>
      <c r="F23" s="15">
        <v>1874.1</v>
      </c>
      <c r="G23" s="15">
        <v>2134.48</v>
      </c>
      <c r="H23" s="15">
        <v>2127.42</v>
      </c>
      <c r="I23" s="15">
        <v>2759.08</v>
      </c>
      <c r="J23" s="15">
        <v>2338.1999999999998</v>
      </c>
      <c r="K23" s="15">
        <v>2197.5500000000002</v>
      </c>
      <c r="L23" s="15">
        <v>2341.65</v>
      </c>
      <c r="M23" s="15">
        <v>2330.5700000000002</v>
      </c>
      <c r="N23" s="15">
        <v>2335.54</v>
      </c>
      <c r="O23" t="s">
        <v>3028</v>
      </c>
    </row>
    <row r="24" spans="1:15" x14ac:dyDescent="0.25">
      <c r="A24" s="10" t="s">
        <v>135</v>
      </c>
      <c r="B24" s="15">
        <v>2017.63</v>
      </c>
      <c r="C24" s="15">
        <v>2031.91</v>
      </c>
      <c r="D24" s="15">
        <v>2203.14</v>
      </c>
      <c r="E24" s="15">
        <v>2087.83</v>
      </c>
      <c r="F24" s="15">
        <v>2084.6999999999998</v>
      </c>
      <c r="G24" s="15">
        <v>1909.4</v>
      </c>
      <c r="H24" s="15">
        <v>2272.81</v>
      </c>
      <c r="I24" s="15">
        <v>3028.18</v>
      </c>
      <c r="J24" s="15">
        <v>3509.31</v>
      </c>
      <c r="K24" s="15">
        <v>1710.93</v>
      </c>
      <c r="L24" s="15">
        <v>2597.87</v>
      </c>
      <c r="M24" s="15">
        <v>2432.3000000000002</v>
      </c>
      <c r="N24" s="15">
        <v>2324.21</v>
      </c>
      <c r="O24" t="s">
        <v>3028</v>
      </c>
    </row>
    <row r="25" spans="1:15" x14ac:dyDescent="0.25">
      <c r="A25" s="10" t="s">
        <v>137</v>
      </c>
      <c r="B25" s="15">
        <v>10844.5</v>
      </c>
      <c r="C25" s="15">
        <v>10612.54</v>
      </c>
      <c r="D25" s="15">
        <v>10706.22</v>
      </c>
      <c r="E25" s="15">
        <v>10728.52</v>
      </c>
      <c r="F25" s="15">
        <v>10844.5</v>
      </c>
      <c r="G25" s="15">
        <v>10594.69</v>
      </c>
      <c r="H25" s="15">
        <v>10994.32</v>
      </c>
      <c r="I25" s="15">
        <v>14614.93</v>
      </c>
      <c r="J25" s="15">
        <v>7960.85</v>
      </c>
      <c r="K25" s="15">
        <v>14456.9</v>
      </c>
      <c r="L25" s="15">
        <v>10204.81</v>
      </c>
      <c r="M25" s="15">
        <v>14269.61</v>
      </c>
      <c r="N25" s="15">
        <v>11174.82</v>
      </c>
      <c r="O25" t="s">
        <v>3028</v>
      </c>
    </row>
    <row r="26" spans="1:15" x14ac:dyDescent="0.25">
      <c r="A26" s="10" t="s">
        <v>139</v>
      </c>
      <c r="B26" s="15">
        <v>2115.41</v>
      </c>
      <c r="C26" s="15">
        <v>2872.64</v>
      </c>
      <c r="D26" s="15">
        <v>2479.8000000000002</v>
      </c>
      <c r="E26" s="15">
        <v>2293.39</v>
      </c>
      <c r="F26" s="15">
        <v>2340.75</v>
      </c>
      <c r="G26" s="15">
        <v>2266.39</v>
      </c>
      <c r="H26" s="15">
        <v>2396.04</v>
      </c>
      <c r="I26" s="15">
        <v>3046.51</v>
      </c>
      <c r="J26" s="15">
        <v>4626.2700000000004</v>
      </c>
      <c r="K26" s="15">
        <v>1163.9100000000001</v>
      </c>
      <c r="L26" s="15">
        <v>2830.29</v>
      </c>
      <c r="M26" s="15">
        <v>2537.16</v>
      </c>
      <c r="N26" s="15">
        <v>2575.2399999999998</v>
      </c>
      <c r="O26" t="s">
        <v>3028</v>
      </c>
    </row>
    <row r="27" spans="1:15" x14ac:dyDescent="0.25">
      <c r="A27" s="10" t="s">
        <v>141</v>
      </c>
      <c r="B27" s="15">
        <v>1786.72</v>
      </c>
      <c r="C27" s="15">
        <v>1792.13</v>
      </c>
      <c r="D27" s="15">
        <v>1797.31</v>
      </c>
      <c r="E27" s="15">
        <v>4181.62</v>
      </c>
      <c r="F27" s="15">
        <v>35.24</v>
      </c>
      <c r="G27" s="15">
        <v>1706.08</v>
      </c>
      <c r="H27" s="15">
        <v>1746.96</v>
      </c>
      <c r="I27" s="15">
        <v>2328.4499999999998</v>
      </c>
      <c r="J27" s="15">
        <v>373.75</v>
      </c>
      <c r="K27" s="15">
        <v>0</v>
      </c>
      <c r="L27" s="15">
        <v>0</v>
      </c>
      <c r="M27" s="15">
        <v>0</v>
      </c>
      <c r="N27" s="15">
        <v>1810.07</v>
      </c>
      <c r="O27" t="s">
        <v>3028</v>
      </c>
    </row>
    <row r="28" spans="1:15" x14ac:dyDescent="0.25">
      <c r="A28" s="10" t="s">
        <v>143</v>
      </c>
      <c r="B28" s="15">
        <v>2955.42</v>
      </c>
      <c r="C28" s="15">
        <v>2906.56</v>
      </c>
      <c r="D28" s="15">
        <v>6244.41</v>
      </c>
      <c r="E28" s="15">
        <v>651.84</v>
      </c>
      <c r="F28" s="15">
        <v>1844.19</v>
      </c>
      <c r="G28" s="15">
        <v>2773.16</v>
      </c>
      <c r="H28" s="15">
        <v>2669.53</v>
      </c>
      <c r="I28" s="15">
        <v>3594.49</v>
      </c>
      <c r="J28" s="15">
        <v>2905.74</v>
      </c>
      <c r="K28" s="15">
        <v>2905.27</v>
      </c>
      <c r="L28" s="15">
        <v>2975.52</v>
      </c>
      <c r="M28" s="15">
        <v>2951.08</v>
      </c>
      <c r="N28" s="15">
        <v>2905.9</v>
      </c>
      <c r="O28" t="s">
        <v>3028</v>
      </c>
    </row>
    <row r="29" spans="1:15" x14ac:dyDescent="0.25">
      <c r="A29" s="10" t="s">
        <v>145</v>
      </c>
      <c r="B29" s="15">
        <v>1006.76</v>
      </c>
      <c r="C29" s="15">
        <v>2762.51</v>
      </c>
      <c r="D29" s="15">
        <v>3198.45</v>
      </c>
      <c r="E29" s="15">
        <v>3113.19</v>
      </c>
      <c r="F29" s="15">
        <v>3094.76</v>
      </c>
      <c r="G29" s="15">
        <v>3028.32</v>
      </c>
      <c r="H29" s="15">
        <v>3015.79</v>
      </c>
      <c r="I29" s="15">
        <v>4051.51</v>
      </c>
      <c r="J29" s="15">
        <v>3417.86</v>
      </c>
      <c r="K29" s="15">
        <v>3295.21</v>
      </c>
      <c r="L29" s="15">
        <v>3468.57</v>
      </c>
      <c r="M29" s="15">
        <v>7769.33</v>
      </c>
      <c r="N29" s="15">
        <v>3368.3</v>
      </c>
      <c r="O29" t="s">
        <v>3028</v>
      </c>
    </row>
    <row r="30" spans="1:15" x14ac:dyDescent="0.25">
      <c r="A30" s="10" t="s">
        <v>147</v>
      </c>
      <c r="B30" s="15">
        <v>2685.1</v>
      </c>
      <c r="C30" s="15">
        <v>2766.47</v>
      </c>
      <c r="D30" s="15">
        <v>3283.59</v>
      </c>
      <c r="E30" s="15">
        <v>4867.01</v>
      </c>
      <c r="F30" s="15">
        <v>1240.19</v>
      </c>
      <c r="G30" s="15">
        <v>2724.76</v>
      </c>
      <c r="H30" s="15">
        <v>3203.05</v>
      </c>
      <c r="I30" s="15">
        <v>4146.33</v>
      </c>
      <c r="J30" s="15">
        <v>3166.48</v>
      </c>
      <c r="K30" s="15">
        <v>2489.0500000000002</v>
      </c>
      <c r="L30" s="15">
        <v>2385.21</v>
      </c>
      <c r="M30" s="15">
        <v>2955.85</v>
      </c>
      <c r="N30" s="15">
        <v>3011.26</v>
      </c>
      <c r="O30" t="s">
        <v>3028</v>
      </c>
    </row>
    <row r="31" spans="1:15" x14ac:dyDescent="0.25">
      <c r="A31" s="10" t="s">
        <v>149</v>
      </c>
      <c r="B31" s="15">
        <v>2336.5700000000002</v>
      </c>
      <c r="C31" s="15">
        <v>2071.6799999999998</v>
      </c>
      <c r="D31" s="15">
        <v>2130.92</v>
      </c>
      <c r="E31" s="15">
        <v>4107.24</v>
      </c>
      <c r="F31" s="15">
        <v>794.05</v>
      </c>
      <c r="G31" s="15">
        <v>1968.82</v>
      </c>
      <c r="H31" s="15">
        <v>1783.89</v>
      </c>
      <c r="I31" s="15">
        <v>2917.78</v>
      </c>
      <c r="J31" s="15">
        <v>2138.5</v>
      </c>
      <c r="K31" s="15">
        <v>2162.0300000000002</v>
      </c>
      <c r="L31" s="15">
        <v>2087.16</v>
      </c>
      <c r="M31" s="15">
        <v>2170.65</v>
      </c>
      <c r="N31" s="15">
        <v>2213.59</v>
      </c>
      <c r="O31" t="s">
        <v>3028</v>
      </c>
    </row>
    <row r="32" spans="1:15" x14ac:dyDescent="0.25">
      <c r="A32" s="10" t="s">
        <v>151</v>
      </c>
      <c r="B32" s="15">
        <v>1834.49</v>
      </c>
      <c r="C32" s="15">
        <v>1946.51</v>
      </c>
      <c r="D32" s="15">
        <v>1797.88</v>
      </c>
      <c r="E32" s="15">
        <v>3520.38</v>
      </c>
      <c r="F32" s="15">
        <v>441.57</v>
      </c>
      <c r="G32" s="15">
        <v>1300</v>
      </c>
      <c r="H32" s="15">
        <v>1508.91</v>
      </c>
      <c r="I32" s="15">
        <v>3653.1</v>
      </c>
      <c r="J32" s="15">
        <v>2543</v>
      </c>
      <c r="K32" s="15">
        <v>2682.92</v>
      </c>
      <c r="L32" s="15">
        <v>2860.02</v>
      </c>
      <c r="M32" s="15">
        <v>2917.33</v>
      </c>
      <c r="N32" s="15">
        <v>2594.7600000000002</v>
      </c>
      <c r="O32" t="s">
        <v>3028</v>
      </c>
    </row>
    <row r="33" spans="1:15" x14ac:dyDescent="0.25">
      <c r="A33" s="10" t="s">
        <v>153</v>
      </c>
      <c r="B33" s="15">
        <v>1373.45</v>
      </c>
      <c r="C33" s="15">
        <v>1620.14</v>
      </c>
      <c r="D33" s="15">
        <v>1639.83</v>
      </c>
      <c r="E33" s="15">
        <v>1827.32</v>
      </c>
      <c r="F33" s="15">
        <v>1762.8</v>
      </c>
      <c r="G33" s="15">
        <v>1719.37</v>
      </c>
      <c r="H33" s="15">
        <v>1831.02</v>
      </c>
      <c r="I33" s="15">
        <v>2366.62</v>
      </c>
      <c r="J33" s="15">
        <v>2449.69</v>
      </c>
      <c r="K33" s="15">
        <v>1961.1</v>
      </c>
      <c r="L33" s="15">
        <v>1976.67</v>
      </c>
      <c r="M33" s="15">
        <v>1964.51</v>
      </c>
      <c r="N33" s="15">
        <v>1996.41</v>
      </c>
      <c r="O33" t="s">
        <v>3028</v>
      </c>
    </row>
    <row r="34" spans="1:15" x14ac:dyDescent="0.25">
      <c r="A34" s="10" t="s">
        <v>155</v>
      </c>
      <c r="B34" s="15">
        <v>2553.1799999999998</v>
      </c>
      <c r="C34" s="15">
        <v>3090.84</v>
      </c>
      <c r="D34" s="15">
        <v>2822.97</v>
      </c>
      <c r="E34" s="15">
        <v>2260.48</v>
      </c>
      <c r="F34" s="15">
        <v>2712.78</v>
      </c>
      <c r="G34" s="15">
        <v>2821.68</v>
      </c>
      <c r="H34" s="15">
        <v>3012.31</v>
      </c>
      <c r="I34" s="15">
        <v>3744.39</v>
      </c>
      <c r="J34" s="15">
        <v>3148.44</v>
      </c>
      <c r="K34" s="15">
        <v>2882.67</v>
      </c>
      <c r="L34" s="15">
        <v>1051.6400000000001</v>
      </c>
      <c r="M34" s="15">
        <v>5330.87</v>
      </c>
      <c r="N34" s="15">
        <v>2793.54</v>
      </c>
      <c r="O34" t="s">
        <v>3028</v>
      </c>
    </row>
    <row r="35" spans="1:15" x14ac:dyDescent="0.25">
      <c r="A35" s="10" t="s">
        <v>157</v>
      </c>
      <c r="B35" s="15">
        <v>10390.58</v>
      </c>
      <c r="C35" s="15">
        <v>10612.54</v>
      </c>
      <c r="D35" s="15">
        <v>10706.22</v>
      </c>
      <c r="E35" s="15">
        <v>8988.76</v>
      </c>
      <c r="F35" s="15">
        <v>10844.5</v>
      </c>
      <c r="G35" s="15">
        <v>17765.46</v>
      </c>
      <c r="H35" s="15">
        <v>4288.99</v>
      </c>
      <c r="I35" s="15">
        <v>14005.27</v>
      </c>
      <c r="J35" s="15">
        <v>8423.2199999999993</v>
      </c>
      <c r="K35" s="15">
        <v>12877.46</v>
      </c>
      <c r="L35" s="15">
        <v>11423.83</v>
      </c>
      <c r="M35" s="15">
        <v>9478.1299999999992</v>
      </c>
      <c r="N35" s="15">
        <v>10845.57</v>
      </c>
      <c r="O35" t="s">
        <v>3028</v>
      </c>
    </row>
    <row r="36" spans="1:15" x14ac:dyDescent="0.25">
      <c r="A36" s="10" t="s">
        <v>159</v>
      </c>
      <c r="B36" s="15">
        <v>3086.42</v>
      </c>
      <c r="C36" s="15">
        <v>2743.13</v>
      </c>
      <c r="D36" s="15">
        <v>7083.27</v>
      </c>
      <c r="E36" s="15">
        <v>881.92</v>
      </c>
      <c r="F36" s="15">
        <v>2049.0700000000002</v>
      </c>
      <c r="G36" s="15">
        <v>2718.21</v>
      </c>
      <c r="H36" s="15">
        <v>2813.72</v>
      </c>
      <c r="I36" s="15">
        <v>3739.16</v>
      </c>
      <c r="J36" s="15">
        <v>3022.98</v>
      </c>
      <c r="K36" s="15">
        <v>3036.92</v>
      </c>
      <c r="L36" s="15">
        <v>3046.98</v>
      </c>
      <c r="M36" s="15">
        <v>3005.76</v>
      </c>
      <c r="N36" s="15">
        <v>3051.35</v>
      </c>
      <c r="O36" t="s">
        <v>3028</v>
      </c>
    </row>
    <row r="37" spans="1:15" x14ac:dyDescent="0.25">
      <c r="A37" s="10" t="s">
        <v>161</v>
      </c>
      <c r="B37" s="15">
        <v>4706.5</v>
      </c>
      <c r="C37" s="15">
        <v>4746.3500000000004</v>
      </c>
      <c r="D37" s="15">
        <v>4740.51</v>
      </c>
      <c r="E37" s="15">
        <v>4687.1099999999997</v>
      </c>
      <c r="F37" s="15">
        <v>4706.07</v>
      </c>
      <c r="G37" s="15">
        <v>5120.88</v>
      </c>
      <c r="H37" s="15">
        <v>4703.92</v>
      </c>
      <c r="I37" s="15">
        <v>11035.4</v>
      </c>
      <c r="J37" s="15">
        <v>3152.43</v>
      </c>
      <c r="K37" s="15">
        <v>5122.83</v>
      </c>
      <c r="L37" s="15">
        <v>5263.05</v>
      </c>
      <c r="M37" s="15">
        <v>6154.51</v>
      </c>
      <c r="N37" s="15">
        <v>5327.21</v>
      </c>
      <c r="O37" t="s">
        <v>3028</v>
      </c>
    </row>
    <row r="38" spans="1:15" x14ac:dyDescent="0.25">
      <c r="A38" s="10" t="s">
        <v>166</v>
      </c>
      <c r="B38" s="15">
        <v>3315.63</v>
      </c>
      <c r="C38" s="15">
        <v>3355.7</v>
      </c>
      <c r="D38" s="15">
        <v>3732.92</v>
      </c>
      <c r="E38" s="15">
        <v>3488.14</v>
      </c>
      <c r="F38" s="15">
        <v>3261.24</v>
      </c>
      <c r="G38" s="15">
        <v>6490.59</v>
      </c>
      <c r="H38" s="15">
        <v>1175.1300000000001</v>
      </c>
      <c r="I38" s="15">
        <v>4378.59</v>
      </c>
      <c r="J38" s="15">
        <v>3566.14</v>
      </c>
      <c r="K38" s="15">
        <v>3777.67</v>
      </c>
      <c r="L38" s="15">
        <v>3616.23</v>
      </c>
      <c r="M38" s="15">
        <v>3941.05</v>
      </c>
      <c r="N38" s="15">
        <v>3625.08</v>
      </c>
      <c r="O38" t="s">
        <v>3028</v>
      </c>
    </row>
    <row r="39" spans="1:15" x14ac:dyDescent="0.25">
      <c r="A39" s="10" t="s">
        <v>170</v>
      </c>
      <c r="B39" s="15">
        <v>2065.9499999999998</v>
      </c>
      <c r="C39" s="15">
        <v>2248.67</v>
      </c>
      <c r="D39" s="15">
        <v>4645.8500000000004</v>
      </c>
      <c r="E39" s="15">
        <v>474.57</v>
      </c>
      <c r="F39" s="15">
        <v>1257.67</v>
      </c>
      <c r="G39" s="15">
        <v>2169.44</v>
      </c>
      <c r="H39" s="15">
        <v>2139.64</v>
      </c>
      <c r="I39" s="15">
        <v>3051.9</v>
      </c>
      <c r="J39" s="15">
        <v>2315.52</v>
      </c>
      <c r="K39" s="15">
        <v>2369.08</v>
      </c>
      <c r="L39" s="15">
        <v>2248.27</v>
      </c>
      <c r="M39" s="15">
        <v>2278.14</v>
      </c>
      <c r="N39" s="15">
        <v>2247.85</v>
      </c>
      <c r="O39" t="s">
        <v>3028</v>
      </c>
    </row>
    <row r="40" spans="1:15" x14ac:dyDescent="0.25">
      <c r="A40" s="10" t="s">
        <v>172</v>
      </c>
      <c r="B40" s="15">
        <v>0</v>
      </c>
      <c r="C40" s="15">
        <v>0</v>
      </c>
      <c r="D40" s="15">
        <v>0</v>
      </c>
      <c r="E40" s="15">
        <v>0</v>
      </c>
      <c r="F40" s="15">
        <v>0</v>
      </c>
      <c r="G40" s="15">
        <v>0</v>
      </c>
      <c r="H40" s="15">
        <v>0</v>
      </c>
      <c r="I40" s="15">
        <v>16000</v>
      </c>
      <c r="J40" s="15">
        <v>16000</v>
      </c>
      <c r="K40" s="15">
        <v>16000</v>
      </c>
      <c r="L40" s="15">
        <v>16000</v>
      </c>
      <c r="M40" s="15">
        <v>16000</v>
      </c>
      <c r="N40" s="15">
        <v>6666.67</v>
      </c>
      <c r="O40" t="s">
        <v>3028</v>
      </c>
    </row>
    <row r="41" spans="1:15" x14ac:dyDescent="0.25">
      <c r="A41" s="10" t="s">
        <v>174</v>
      </c>
      <c r="B41" s="15">
        <v>1921.11</v>
      </c>
      <c r="C41" s="15">
        <v>2341.54</v>
      </c>
      <c r="D41" s="15">
        <v>4316.55</v>
      </c>
      <c r="E41" s="15">
        <v>342.17</v>
      </c>
      <c r="F41" s="15">
        <v>1809.55</v>
      </c>
      <c r="G41" s="15">
        <v>1856.74</v>
      </c>
      <c r="H41" s="15">
        <v>2034.94</v>
      </c>
      <c r="I41" s="15">
        <v>2843.4</v>
      </c>
      <c r="J41" s="15">
        <v>2244.5</v>
      </c>
      <c r="K41" s="15">
        <v>2004.34</v>
      </c>
      <c r="L41" s="15">
        <v>2000.99</v>
      </c>
      <c r="M41" s="15">
        <v>2194.15</v>
      </c>
      <c r="N41" s="15">
        <v>2179.56</v>
      </c>
      <c r="O41" t="s">
        <v>3028</v>
      </c>
    </row>
    <row r="42" spans="1:15" x14ac:dyDescent="0.25">
      <c r="A42" s="10" t="s">
        <v>176</v>
      </c>
      <c r="B42" s="15">
        <v>2954.14</v>
      </c>
      <c r="C42" s="15">
        <v>2701.63</v>
      </c>
      <c r="D42" s="15">
        <v>2698.13</v>
      </c>
      <c r="E42" s="15">
        <v>6432.65</v>
      </c>
      <c r="F42" s="15">
        <v>413.5</v>
      </c>
      <c r="G42" s="15">
        <v>2716.3</v>
      </c>
      <c r="H42" s="15">
        <v>2737.82</v>
      </c>
      <c r="I42" s="15">
        <v>3654.24</v>
      </c>
      <c r="J42" s="15">
        <v>2967.81</v>
      </c>
      <c r="K42" s="15">
        <v>2966.84</v>
      </c>
      <c r="L42" s="15">
        <v>2987.42</v>
      </c>
      <c r="M42" s="15">
        <v>3035.06</v>
      </c>
      <c r="N42" s="15">
        <v>2979.98</v>
      </c>
      <c r="O42" t="s">
        <v>3028</v>
      </c>
    </row>
    <row r="43" spans="1:15" x14ac:dyDescent="0.25">
      <c r="A43" s="10" t="s">
        <v>178</v>
      </c>
      <c r="B43" s="15">
        <v>2410.2199999999998</v>
      </c>
      <c r="C43" s="15">
        <v>2757.41</v>
      </c>
      <c r="D43" s="15">
        <v>7012.66</v>
      </c>
      <c r="E43" s="15">
        <v>1964.62</v>
      </c>
      <c r="F43" s="15">
        <v>2617.98</v>
      </c>
      <c r="G43" s="15">
        <v>3534.72</v>
      </c>
      <c r="H43" s="15">
        <v>3821.32</v>
      </c>
      <c r="I43" s="15">
        <v>4388.24</v>
      </c>
      <c r="J43" s="15">
        <v>3733.21</v>
      </c>
      <c r="K43" s="15">
        <v>3753.07</v>
      </c>
      <c r="L43" s="15">
        <v>3451.31</v>
      </c>
      <c r="M43" s="15">
        <v>3348.67</v>
      </c>
      <c r="N43" s="15">
        <v>3720.7</v>
      </c>
      <c r="O43" t="s">
        <v>3028</v>
      </c>
    </row>
    <row r="44" spans="1:15" x14ac:dyDescent="0.25">
      <c r="A44" s="10" t="s">
        <v>180</v>
      </c>
      <c r="B44" s="15">
        <v>1762.39</v>
      </c>
      <c r="C44" s="15">
        <v>1638.97</v>
      </c>
      <c r="D44" s="15">
        <v>1440.88</v>
      </c>
      <c r="E44" s="15">
        <v>119.41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519.5</v>
      </c>
      <c r="O44" t="s">
        <v>3028</v>
      </c>
    </row>
    <row r="45" spans="1:15" x14ac:dyDescent="0.25">
      <c r="A45" s="10" t="s">
        <v>182</v>
      </c>
      <c r="B45" s="15">
        <v>1955.64</v>
      </c>
      <c r="C45" s="15">
        <v>2388.88</v>
      </c>
      <c r="D45" s="15">
        <v>2225.29</v>
      </c>
      <c r="E45" s="15">
        <v>1846.43</v>
      </c>
      <c r="F45" s="15">
        <v>1893.85</v>
      </c>
      <c r="G45" s="15">
        <v>1837.68</v>
      </c>
      <c r="H45" s="15">
        <v>1865.22</v>
      </c>
      <c r="I45" s="15">
        <v>5259.61</v>
      </c>
      <c r="J45" s="15">
        <v>49.48</v>
      </c>
      <c r="K45" s="15">
        <v>1974.13</v>
      </c>
      <c r="L45" s="15">
        <v>2252.98</v>
      </c>
      <c r="M45" s="15">
        <v>2202.6799999999998</v>
      </c>
      <c r="N45" s="15">
        <v>2157.14</v>
      </c>
      <c r="O45" t="s">
        <v>3028</v>
      </c>
    </row>
    <row r="46" spans="1:15" x14ac:dyDescent="0.25">
      <c r="A46" s="10" t="s">
        <v>184</v>
      </c>
      <c r="B46" s="15">
        <v>8542.8700000000008</v>
      </c>
      <c r="C46" s="15">
        <v>8542.8700000000008</v>
      </c>
      <c r="D46" s="15">
        <v>8542.8700000000008</v>
      </c>
      <c r="E46" s="15">
        <v>8542.8700000000008</v>
      </c>
      <c r="F46" s="15">
        <v>8542.8700000000008</v>
      </c>
      <c r="G46" s="15">
        <v>13004.15</v>
      </c>
      <c r="H46" s="15">
        <v>5980.01</v>
      </c>
      <c r="I46" s="15">
        <v>11246.02</v>
      </c>
      <c r="J46" s="15">
        <v>9381.7800000000007</v>
      </c>
      <c r="K46" s="15">
        <v>9381.7800000000007</v>
      </c>
      <c r="L46" s="15">
        <v>9481.7800000000007</v>
      </c>
      <c r="M46" s="15">
        <v>9381.7800000000007</v>
      </c>
      <c r="N46" s="15">
        <v>9381.7800000000007</v>
      </c>
      <c r="O46" t="s">
        <v>3028</v>
      </c>
    </row>
    <row r="47" spans="1:15" x14ac:dyDescent="0.25">
      <c r="A47" s="10" t="s">
        <v>186</v>
      </c>
      <c r="B47" s="15">
        <v>3615.84</v>
      </c>
      <c r="C47" s="15">
        <v>3007.72</v>
      </c>
      <c r="D47" s="15">
        <v>4682.2</v>
      </c>
      <c r="E47" s="15">
        <v>2788.84</v>
      </c>
      <c r="F47" s="15">
        <v>3690.35</v>
      </c>
      <c r="G47" s="15">
        <v>2998.67</v>
      </c>
      <c r="H47" s="15">
        <v>3292.81</v>
      </c>
      <c r="I47" s="15">
        <v>4353.74</v>
      </c>
      <c r="J47" s="15">
        <v>3924.57</v>
      </c>
      <c r="K47" s="15">
        <v>3982.23</v>
      </c>
      <c r="L47" s="15">
        <v>4239.0200000000004</v>
      </c>
      <c r="M47" s="15">
        <v>4026.69</v>
      </c>
      <c r="N47" s="15">
        <v>3734.86</v>
      </c>
      <c r="O47" t="s">
        <v>3028</v>
      </c>
    </row>
    <row r="48" spans="1:15" x14ac:dyDescent="0.25">
      <c r="A48" s="10" t="s">
        <v>188</v>
      </c>
      <c r="B48" s="15">
        <v>2931.7</v>
      </c>
      <c r="C48" s="15">
        <v>2922.86</v>
      </c>
      <c r="D48" s="15">
        <v>2715.53</v>
      </c>
      <c r="E48" s="15">
        <v>2904.19</v>
      </c>
      <c r="F48" s="15">
        <v>2526.06</v>
      </c>
      <c r="G48" s="15">
        <v>6366.16</v>
      </c>
      <c r="H48" s="15">
        <v>846.91</v>
      </c>
      <c r="I48" s="15">
        <v>3115.52</v>
      </c>
      <c r="J48" s="15">
        <v>3049.96</v>
      </c>
      <c r="K48" s="15">
        <v>2903.82</v>
      </c>
      <c r="L48" s="15">
        <v>2899.53</v>
      </c>
      <c r="M48" s="15">
        <v>2976.74</v>
      </c>
      <c r="N48" s="15">
        <v>2985.4</v>
      </c>
      <c r="O48" t="s">
        <v>3028</v>
      </c>
    </row>
    <row r="49" spans="1:15" x14ac:dyDescent="0.25">
      <c r="A49" s="10" t="s">
        <v>190</v>
      </c>
      <c r="B49" s="15">
        <v>3195.84</v>
      </c>
      <c r="C49" s="15">
        <v>2847.61</v>
      </c>
      <c r="D49" s="15">
        <v>2612.2399999999998</v>
      </c>
      <c r="E49" s="15">
        <v>2176.11</v>
      </c>
      <c r="F49" s="15">
        <v>2214.06</v>
      </c>
      <c r="G49" s="15">
        <v>2231.8200000000002</v>
      </c>
      <c r="H49" s="15">
        <v>5818.88</v>
      </c>
      <c r="I49" s="15">
        <v>591.27</v>
      </c>
      <c r="J49" s="15">
        <v>2493.59</v>
      </c>
      <c r="K49" s="15">
        <v>2330.79</v>
      </c>
      <c r="L49" s="15">
        <v>2345.3200000000002</v>
      </c>
      <c r="M49" s="15">
        <v>2885.73</v>
      </c>
      <c r="N49" s="15">
        <v>2607.7600000000002</v>
      </c>
      <c r="O49" t="s">
        <v>3028</v>
      </c>
    </row>
    <row r="50" spans="1:15" x14ac:dyDescent="0.25">
      <c r="A50" s="10" t="s">
        <v>192</v>
      </c>
      <c r="B50" s="15">
        <v>1887.37</v>
      </c>
      <c r="C50" s="15">
        <v>1914.42</v>
      </c>
      <c r="D50" s="15">
        <v>1805.39</v>
      </c>
      <c r="E50" s="15">
        <v>1430.52</v>
      </c>
      <c r="F50" s="15">
        <v>1492.23</v>
      </c>
      <c r="G50" s="15">
        <v>3393.9</v>
      </c>
      <c r="H50" s="15">
        <v>1362.71</v>
      </c>
      <c r="I50" s="15">
        <v>1719.8</v>
      </c>
      <c r="J50" s="15">
        <v>2279.81</v>
      </c>
      <c r="K50" s="15">
        <v>2751.2</v>
      </c>
      <c r="L50" s="15">
        <v>2840.15</v>
      </c>
      <c r="M50" s="15">
        <v>2465.83</v>
      </c>
      <c r="N50" s="15">
        <v>2474.67</v>
      </c>
      <c r="O50" t="s">
        <v>3028</v>
      </c>
    </row>
    <row r="51" spans="1:15" x14ac:dyDescent="0.25">
      <c r="A51" s="10" t="s">
        <v>194</v>
      </c>
      <c r="B51" s="15">
        <v>0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1252.6400000000001</v>
      </c>
      <c r="K51" s="15">
        <v>1786.35</v>
      </c>
      <c r="L51" s="15">
        <v>1808.59</v>
      </c>
      <c r="M51" s="15">
        <v>1799.51</v>
      </c>
      <c r="N51" s="15">
        <v>570.12</v>
      </c>
      <c r="O51" t="s">
        <v>3028</v>
      </c>
    </row>
    <row r="52" spans="1:15" x14ac:dyDescent="0.25">
      <c r="A52" s="10" t="s">
        <v>196</v>
      </c>
      <c r="B52" s="15">
        <v>1350.36</v>
      </c>
      <c r="C52" s="15">
        <v>1476.45</v>
      </c>
      <c r="D52" s="15">
        <v>1569.81</v>
      </c>
      <c r="E52" s="15">
        <v>1407.38</v>
      </c>
      <c r="F52" s="15">
        <v>1370.7</v>
      </c>
      <c r="G52" s="15">
        <v>1461.71</v>
      </c>
      <c r="H52" s="15">
        <v>1380.03</v>
      </c>
      <c r="I52" s="15">
        <v>1774.59</v>
      </c>
      <c r="J52" s="15">
        <v>1491.07</v>
      </c>
      <c r="K52" s="15">
        <v>1498.33</v>
      </c>
      <c r="L52" s="15">
        <v>2672.52</v>
      </c>
      <c r="M52" s="15">
        <v>2128</v>
      </c>
      <c r="N52" s="15">
        <v>2087.1799999999998</v>
      </c>
      <c r="O52" t="s">
        <v>3028</v>
      </c>
    </row>
    <row r="53" spans="1:15" x14ac:dyDescent="0.25">
      <c r="A53" s="10" t="s">
        <v>198</v>
      </c>
      <c r="B53" s="15">
        <v>0</v>
      </c>
      <c r="C53" s="15">
        <v>0</v>
      </c>
      <c r="D53" s="15">
        <v>0</v>
      </c>
      <c r="E53" s="15">
        <v>0</v>
      </c>
      <c r="F53" s="15">
        <v>0</v>
      </c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963.57</v>
      </c>
      <c r="M53" s="15">
        <v>1450.27</v>
      </c>
      <c r="N53" s="15">
        <v>241.3</v>
      </c>
      <c r="O53" t="s">
        <v>3028</v>
      </c>
    </row>
    <row r="54" spans="1:15" x14ac:dyDescent="0.25">
      <c r="A54" s="10" t="s">
        <v>200</v>
      </c>
      <c r="B54" s="15">
        <v>4345.03</v>
      </c>
      <c r="C54" s="15">
        <v>4205.43</v>
      </c>
      <c r="D54" s="15">
        <v>2181.2399999999998</v>
      </c>
      <c r="E54" s="15">
        <v>4275.2299999999996</v>
      </c>
      <c r="F54" s="15">
        <v>4345.03</v>
      </c>
      <c r="G54" s="15">
        <v>4194.6899999999996</v>
      </c>
      <c r="H54" s="15">
        <v>7080.96</v>
      </c>
      <c r="I54" s="15">
        <v>7278.1</v>
      </c>
      <c r="J54" s="15">
        <v>2395.44</v>
      </c>
      <c r="K54" s="15">
        <v>4771.71</v>
      </c>
      <c r="L54" s="15">
        <v>3353.62</v>
      </c>
      <c r="M54" s="15">
        <v>4595.6899999999996</v>
      </c>
      <c r="N54" s="15">
        <v>4274.8900000000003</v>
      </c>
      <c r="O54" t="s">
        <v>3028</v>
      </c>
    </row>
    <row r="55" spans="1:15" x14ac:dyDescent="0.25">
      <c r="A55" s="10" t="s">
        <v>202</v>
      </c>
      <c r="B55" s="15">
        <v>3135.89</v>
      </c>
      <c r="C55" s="15">
        <v>2812.82</v>
      </c>
      <c r="D55" s="15">
        <v>2559.8000000000002</v>
      </c>
      <c r="E55" s="15">
        <v>2914.13</v>
      </c>
      <c r="F55" s="15">
        <v>2789.84</v>
      </c>
      <c r="G55" s="15">
        <v>2586.41</v>
      </c>
      <c r="H55" s="15">
        <v>3128.84</v>
      </c>
      <c r="I55" s="15">
        <v>3615.47</v>
      </c>
      <c r="J55" s="15">
        <v>7466.9</v>
      </c>
      <c r="K55" s="15">
        <v>1067.99</v>
      </c>
      <c r="L55" s="15">
        <v>2356.91</v>
      </c>
      <c r="M55" s="15">
        <v>2930.03</v>
      </c>
      <c r="N55" s="15">
        <v>3081.2</v>
      </c>
      <c r="O55" t="s">
        <v>3028</v>
      </c>
    </row>
    <row r="56" spans="1:15" x14ac:dyDescent="0.25">
      <c r="A56" s="10" t="s">
        <v>204</v>
      </c>
      <c r="B56" s="15">
        <v>3162.76</v>
      </c>
      <c r="C56" s="15">
        <v>3277.46</v>
      </c>
      <c r="D56" s="15">
        <v>3485.95</v>
      </c>
      <c r="E56" s="15">
        <v>3363.28</v>
      </c>
      <c r="F56" s="15">
        <v>3108.41</v>
      </c>
      <c r="G56" s="15">
        <v>3117.92</v>
      </c>
      <c r="H56" s="15">
        <v>3165.19</v>
      </c>
      <c r="I56" s="15">
        <v>6999.5</v>
      </c>
      <c r="J56" s="15">
        <v>1951.95</v>
      </c>
      <c r="K56" s="15">
        <v>3462.6</v>
      </c>
      <c r="L56" s="15">
        <v>3475.07</v>
      </c>
      <c r="M56" s="15">
        <v>3485.89</v>
      </c>
      <c r="N56" s="15">
        <v>3455.4</v>
      </c>
      <c r="O56" t="s">
        <v>3028</v>
      </c>
    </row>
    <row r="57" spans="1:15" x14ac:dyDescent="0.25">
      <c r="A57" s="10" t="s">
        <v>206</v>
      </c>
      <c r="B57" s="15">
        <v>0</v>
      </c>
      <c r="C57" s="15">
        <v>0</v>
      </c>
      <c r="D57" s="15">
        <v>0</v>
      </c>
      <c r="E57" s="15">
        <v>0</v>
      </c>
      <c r="F57" s="15">
        <v>7007.37</v>
      </c>
      <c r="G57" s="15">
        <v>10594.69</v>
      </c>
      <c r="H57" s="15">
        <v>10994.32</v>
      </c>
      <c r="I57" s="15">
        <v>14614.93</v>
      </c>
      <c r="J57" s="15">
        <v>7960.85</v>
      </c>
      <c r="K57" s="15">
        <v>10662.66</v>
      </c>
      <c r="L57" s="15">
        <v>9652.5300000000007</v>
      </c>
      <c r="M57" s="15">
        <v>9001.92</v>
      </c>
      <c r="N57" s="15">
        <v>6666.28</v>
      </c>
      <c r="O57" t="s">
        <v>3028</v>
      </c>
    </row>
    <row r="58" spans="1:15" x14ac:dyDescent="0.25">
      <c r="A58" s="10" t="s">
        <v>208</v>
      </c>
      <c r="B58" s="15">
        <v>4515.13</v>
      </c>
      <c r="C58" s="15">
        <v>4517.66</v>
      </c>
      <c r="D58" s="15">
        <v>5082.04</v>
      </c>
      <c r="E58" s="15">
        <v>4507.37</v>
      </c>
      <c r="F58" s="15">
        <v>4532.03</v>
      </c>
      <c r="G58" s="15">
        <v>676.75</v>
      </c>
      <c r="H58" s="15">
        <v>0</v>
      </c>
      <c r="I58" s="15">
        <v>0</v>
      </c>
      <c r="J58" s="15">
        <v>66.45</v>
      </c>
      <c r="K58" s="15">
        <v>0</v>
      </c>
      <c r="L58" s="15">
        <v>0</v>
      </c>
      <c r="M58" s="15">
        <v>0</v>
      </c>
      <c r="N58" s="15">
        <v>3375.14</v>
      </c>
      <c r="O58" t="s">
        <v>3028</v>
      </c>
    </row>
    <row r="59" spans="1:15" x14ac:dyDescent="0.25">
      <c r="A59" s="10" t="s">
        <v>210</v>
      </c>
      <c r="B59" s="15">
        <v>1917.53</v>
      </c>
      <c r="C59" s="15">
        <v>1624.67</v>
      </c>
      <c r="D59" s="15">
        <v>1507.71</v>
      </c>
      <c r="E59" s="15">
        <v>1607.93</v>
      </c>
      <c r="F59" s="15">
        <v>1386.51</v>
      </c>
      <c r="G59" s="15">
        <v>1486.4</v>
      </c>
      <c r="H59" s="15">
        <v>1522.99</v>
      </c>
      <c r="I59" s="15">
        <v>2076.94</v>
      </c>
      <c r="J59" s="15">
        <v>2033.79</v>
      </c>
      <c r="K59" s="15">
        <v>1821.44</v>
      </c>
      <c r="L59" s="15">
        <v>2025.2</v>
      </c>
      <c r="M59" s="15">
        <v>1851.39</v>
      </c>
      <c r="N59" s="15">
        <v>1769.16</v>
      </c>
      <c r="O59" t="s">
        <v>3028</v>
      </c>
    </row>
    <row r="60" spans="1:15" x14ac:dyDescent="0.25">
      <c r="A60" s="10" t="s">
        <v>212</v>
      </c>
      <c r="B60" s="15">
        <v>1846.49</v>
      </c>
      <c r="C60" s="15">
        <v>2042.96</v>
      </c>
      <c r="D60" s="15">
        <v>4854.6099999999997</v>
      </c>
      <c r="E60" s="15">
        <v>539.04</v>
      </c>
      <c r="F60" s="15">
        <v>1711.75</v>
      </c>
      <c r="G60" s="15">
        <v>1876.06</v>
      </c>
      <c r="H60" s="15">
        <v>1942.24</v>
      </c>
      <c r="I60" s="15">
        <v>2055.2800000000002</v>
      </c>
      <c r="J60" s="15">
        <v>1980.43</v>
      </c>
      <c r="K60" s="15">
        <v>2398.52</v>
      </c>
      <c r="L60" s="15">
        <v>2229.81</v>
      </c>
      <c r="M60" s="15">
        <v>2157.13</v>
      </c>
      <c r="N60" s="15">
        <v>2200.65</v>
      </c>
      <c r="O60" t="s">
        <v>3028</v>
      </c>
    </row>
    <row r="61" spans="1:15" x14ac:dyDescent="0.25">
      <c r="A61" s="10" t="s">
        <v>214</v>
      </c>
      <c r="B61" s="15">
        <v>0</v>
      </c>
      <c r="C61" s="15">
        <v>0</v>
      </c>
      <c r="D61" s="15">
        <v>1272.24</v>
      </c>
      <c r="E61" s="15">
        <v>1320.07</v>
      </c>
      <c r="F61" s="15">
        <v>1445.97</v>
      </c>
      <c r="G61" s="15">
        <v>1561.41</v>
      </c>
      <c r="H61" s="15">
        <v>1612.94</v>
      </c>
      <c r="I61" s="15">
        <v>1869.63</v>
      </c>
      <c r="J61" s="15">
        <v>1503.7</v>
      </c>
      <c r="K61" s="15">
        <v>1819.35</v>
      </c>
      <c r="L61" s="15">
        <v>1455.06</v>
      </c>
      <c r="M61" s="15">
        <v>1532.18</v>
      </c>
      <c r="N61" s="15">
        <v>1324.01</v>
      </c>
      <c r="O61" t="s">
        <v>3028</v>
      </c>
    </row>
    <row r="62" spans="1:15" x14ac:dyDescent="0.25">
      <c r="A62" s="10" t="s">
        <v>216</v>
      </c>
      <c r="B62" s="15">
        <v>1933.29</v>
      </c>
      <c r="C62" s="15">
        <v>1967.88</v>
      </c>
      <c r="D62" s="15">
        <v>1612.29</v>
      </c>
      <c r="E62" s="15">
        <v>1514.68</v>
      </c>
      <c r="F62" s="15">
        <v>1385.7</v>
      </c>
      <c r="G62" s="15">
        <v>2581.9299999999998</v>
      </c>
      <c r="H62" s="15">
        <v>1640.3</v>
      </c>
      <c r="I62" s="15">
        <v>2451.0700000000002</v>
      </c>
      <c r="J62" s="15">
        <v>2157.37</v>
      </c>
      <c r="K62" s="15">
        <v>2468.8200000000002</v>
      </c>
      <c r="L62" s="15">
        <v>2236.69</v>
      </c>
      <c r="M62" s="15">
        <v>2600.33</v>
      </c>
      <c r="N62" s="15">
        <v>2427.7199999999998</v>
      </c>
      <c r="O62" t="s">
        <v>3028</v>
      </c>
    </row>
    <row r="63" spans="1:15" x14ac:dyDescent="0.25">
      <c r="A63" s="10" t="s">
        <v>218</v>
      </c>
      <c r="B63" s="15">
        <v>2758.76</v>
      </c>
      <c r="C63" s="15">
        <v>2758.76</v>
      </c>
      <c r="D63" s="15">
        <v>2758.76</v>
      </c>
      <c r="E63" s="15">
        <v>2758.76</v>
      </c>
      <c r="F63" s="15">
        <v>3326.85</v>
      </c>
      <c r="G63" s="15">
        <v>3326.85</v>
      </c>
      <c r="H63" s="15">
        <v>3326.85</v>
      </c>
      <c r="I63" s="15">
        <v>4306.95</v>
      </c>
      <c r="J63" s="15">
        <v>3653.55</v>
      </c>
      <c r="K63" s="15">
        <v>6211.04</v>
      </c>
      <c r="L63" s="15">
        <v>2313.92</v>
      </c>
      <c r="M63" s="15">
        <v>3653.55</v>
      </c>
      <c r="N63" s="15">
        <v>3653.55</v>
      </c>
      <c r="O63" t="s">
        <v>3028</v>
      </c>
    </row>
    <row r="64" spans="1:15" x14ac:dyDescent="0.25">
      <c r="A64" s="10" t="s">
        <v>222</v>
      </c>
      <c r="B64" s="15">
        <v>0</v>
      </c>
      <c r="C64" s="15">
        <v>0</v>
      </c>
      <c r="D64" s="15">
        <v>0</v>
      </c>
      <c r="E64" s="15">
        <v>745.8</v>
      </c>
      <c r="F64" s="15">
        <v>1348.05</v>
      </c>
      <c r="G64" s="15">
        <v>1487.55</v>
      </c>
      <c r="H64" s="15">
        <v>1367.11</v>
      </c>
      <c r="I64" s="15">
        <v>1922.12</v>
      </c>
      <c r="J64" s="15">
        <v>1491.26</v>
      </c>
      <c r="K64" s="15">
        <v>1502.69</v>
      </c>
      <c r="L64" s="15">
        <v>1488.43</v>
      </c>
      <c r="M64" s="15">
        <v>1631.05</v>
      </c>
      <c r="N64" s="15">
        <v>1155.1099999999999</v>
      </c>
      <c r="O64" t="s">
        <v>3028</v>
      </c>
    </row>
    <row r="65" spans="1:15" x14ac:dyDescent="0.25">
      <c r="A65" s="10" t="s">
        <v>224</v>
      </c>
      <c r="B65" s="15">
        <v>1718.26</v>
      </c>
      <c r="C65" s="15">
        <v>2043.98</v>
      </c>
      <c r="D65" s="15">
        <v>1475.04</v>
      </c>
      <c r="E65" s="15">
        <v>1878.91</v>
      </c>
      <c r="F65" s="15">
        <v>1731.7</v>
      </c>
      <c r="G65" s="15">
        <v>2417.71</v>
      </c>
      <c r="H65" s="15">
        <v>1653.77</v>
      </c>
      <c r="I65" s="15">
        <v>2715.74</v>
      </c>
      <c r="J65" s="15">
        <v>2149.5300000000002</v>
      </c>
      <c r="K65" s="15">
        <v>2949.5</v>
      </c>
      <c r="L65" s="15">
        <v>2586.88</v>
      </c>
      <c r="M65" s="15">
        <v>3159</v>
      </c>
      <c r="N65" s="15">
        <v>2604.6999999999998</v>
      </c>
      <c r="O65" t="s">
        <v>3028</v>
      </c>
    </row>
    <row r="66" spans="1:15" x14ac:dyDescent="0.25">
      <c r="A66" s="10" t="s">
        <v>226</v>
      </c>
      <c r="B66" s="15">
        <v>1872.75</v>
      </c>
      <c r="C66" s="15">
        <v>1977.93</v>
      </c>
      <c r="D66" s="15">
        <v>1996.54</v>
      </c>
      <c r="E66" s="15">
        <v>2325.12</v>
      </c>
      <c r="F66" s="15">
        <v>2337.02</v>
      </c>
      <c r="G66" s="15">
        <v>2363.79</v>
      </c>
      <c r="H66" s="15">
        <v>3556.36</v>
      </c>
      <c r="I66" s="15">
        <v>1936.18</v>
      </c>
      <c r="J66" s="15">
        <v>2596.2199999999998</v>
      </c>
      <c r="K66" s="15">
        <v>2524.4499999999998</v>
      </c>
      <c r="L66" s="15">
        <v>2503.48</v>
      </c>
      <c r="M66" s="15">
        <v>2621.0100000000002</v>
      </c>
      <c r="N66" s="15">
        <v>2405.38</v>
      </c>
      <c r="O66" t="s">
        <v>3028</v>
      </c>
    </row>
    <row r="67" spans="1:15" x14ac:dyDescent="0.25">
      <c r="A67" s="10" t="s">
        <v>228</v>
      </c>
      <c r="B67" s="15">
        <v>17405.89</v>
      </c>
      <c r="C67" s="15">
        <v>17305.89</v>
      </c>
      <c r="D67" s="15">
        <v>17305.89</v>
      </c>
      <c r="E67" s="15">
        <v>17305.89</v>
      </c>
      <c r="F67" s="15">
        <v>17305.89</v>
      </c>
      <c r="G67" s="15">
        <v>17305.89</v>
      </c>
      <c r="H67" s="15">
        <v>17305.89</v>
      </c>
      <c r="I67" s="15">
        <v>20546.490000000002</v>
      </c>
      <c r="J67" s="15">
        <v>18386.09</v>
      </c>
      <c r="K67" s="15">
        <v>18386.09</v>
      </c>
      <c r="L67" s="15">
        <v>18386.09</v>
      </c>
      <c r="M67" s="15">
        <v>22471.89</v>
      </c>
      <c r="N67" s="15">
        <v>18386.09</v>
      </c>
      <c r="O67" t="s">
        <v>3028</v>
      </c>
    </row>
    <row r="68" spans="1:15" x14ac:dyDescent="0.25">
      <c r="A68" s="10" t="s">
        <v>230</v>
      </c>
      <c r="B68" s="15">
        <v>1322.3</v>
      </c>
      <c r="C68" s="15">
        <v>1349.51</v>
      </c>
      <c r="D68" s="15">
        <v>1357.19</v>
      </c>
      <c r="E68" s="15">
        <v>2575.04</v>
      </c>
      <c r="F68" s="15">
        <v>514.63</v>
      </c>
      <c r="G68" s="15">
        <v>1342.29</v>
      </c>
      <c r="H68" s="15">
        <v>1809.66</v>
      </c>
      <c r="I68" s="15">
        <v>2482.4899999999998</v>
      </c>
      <c r="J68" s="15">
        <v>1987.05</v>
      </c>
      <c r="K68" s="15">
        <v>1979.16</v>
      </c>
      <c r="L68" s="15">
        <v>1980.57</v>
      </c>
      <c r="M68" s="15">
        <v>1989.62</v>
      </c>
      <c r="N68" s="15">
        <v>2004.9</v>
      </c>
      <c r="O68" t="s">
        <v>3028</v>
      </c>
    </row>
    <row r="69" spans="1:15" x14ac:dyDescent="0.25">
      <c r="A69" s="10" t="s">
        <v>232</v>
      </c>
      <c r="B69" s="15">
        <v>2678.9</v>
      </c>
      <c r="C69" s="15">
        <v>2579.87</v>
      </c>
      <c r="D69" s="15">
        <v>2699.12</v>
      </c>
      <c r="E69" s="15">
        <v>2819.2</v>
      </c>
      <c r="F69" s="15">
        <v>4982.96</v>
      </c>
      <c r="G69" s="15">
        <v>1522.26</v>
      </c>
      <c r="H69" s="15">
        <v>3317.57</v>
      </c>
      <c r="I69" s="15">
        <v>3591.48</v>
      </c>
      <c r="J69" s="15">
        <v>2877.73</v>
      </c>
      <c r="K69" s="15">
        <v>3127.35</v>
      </c>
      <c r="L69" s="15">
        <v>3536.83</v>
      </c>
      <c r="M69" s="15">
        <v>3220.15</v>
      </c>
      <c r="N69" s="15">
        <v>3029.27</v>
      </c>
      <c r="O69" t="s">
        <v>3028</v>
      </c>
    </row>
    <row r="70" spans="1:15" x14ac:dyDescent="0.25">
      <c r="A70" s="10" t="s">
        <v>234</v>
      </c>
      <c r="B70" s="15">
        <v>2544.25</v>
      </c>
      <c r="C70" s="15">
        <v>2586.27</v>
      </c>
      <c r="D70" s="15">
        <v>2589.62</v>
      </c>
      <c r="E70" s="15">
        <v>2142.9899999999998</v>
      </c>
      <c r="F70" s="15">
        <v>2164.17</v>
      </c>
      <c r="G70" s="15">
        <v>2322.3000000000002</v>
      </c>
      <c r="H70" s="15">
        <v>2126.11</v>
      </c>
      <c r="I70" s="15">
        <v>4805.0600000000004</v>
      </c>
      <c r="J70" s="15">
        <v>1740.16</v>
      </c>
      <c r="K70" s="15">
        <v>3043.8</v>
      </c>
      <c r="L70" s="15">
        <v>2512.75</v>
      </c>
      <c r="M70" s="15">
        <v>2745.91</v>
      </c>
      <c r="N70" s="15">
        <v>2622.1</v>
      </c>
      <c r="O70" t="s">
        <v>3028</v>
      </c>
    </row>
    <row r="71" spans="1:15" x14ac:dyDescent="0.25">
      <c r="A71" s="10" t="s">
        <v>236</v>
      </c>
      <c r="B71" s="15">
        <v>2512.66</v>
      </c>
      <c r="C71" s="15">
        <v>2704.47</v>
      </c>
      <c r="D71" s="15">
        <v>2544.9499999999998</v>
      </c>
      <c r="E71" s="15">
        <v>2605.77</v>
      </c>
      <c r="F71" s="15">
        <v>2162.11</v>
      </c>
      <c r="G71" s="15">
        <v>4013.57</v>
      </c>
      <c r="H71" s="15">
        <v>1726.13</v>
      </c>
      <c r="I71" s="15">
        <v>3138.41</v>
      </c>
      <c r="J71" s="15">
        <v>2516</v>
      </c>
      <c r="K71" s="15">
        <v>2602.29</v>
      </c>
      <c r="L71" s="15">
        <v>962.68</v>
      </c>
      <c r="M71" s="15">
        <v>0</v>
      </c>
      <c r="N71" s="15">
        <v>2611.17</v>
      </c>
      <c r="O71" t="s">
        <v>3028</v>
      </c>
    </row>
    <row r="72" spans="1:15" x14ac:dyDescent="0.25">
      <c r="A72" s="10" t="s">
        <v>238</v>
      </c>
      <c r="B72" s="15">
        <v>9141.2199999999993</v>
      </c>
      <c r="C72" s="15">
        <v>9141.2199999999993</v>
      </c>
      <c r="D72" s="15">
        <v>9141.2199999999993</v>
      </c>
      <c r="E72" s="15">
        <v>9141.2199999999993</v>
      </c>
      <c r="F72" s="15">
        <v>11172.6</v>
      </c>
      <c r="G72" s="15">
        <v>9141.2199999999993</v>
      </c>
      <c r="H72" s="15">
        <v>9141.2199999999993</v>
      </c>
      <c r="I72" s="15">
        <v>11834.23</v>
      </c>
      <c r="J72" s="15">
        <v>10038.89</v>
      </c>
      <c r="K72" s="15">
        <v>10038.89</v>
      </c>
      <c r="L72" s="15">
        <v>10038.89</v>
      </c>
      <c r="M72" s="15">
        <v>10038.89</v>
      </c>
      <c r="N72" s="15">
        <v>10038.89</v>
      </c>
      <c r="O72" t="s">
        <v>3028</v>
      </c>
    </row>
    <row r="73" spans="1:15" x14ac:dyDescent="0.25">
      <c r="A73" s="10" t="s">
        <v>240</v>
      </c>
      <c r="B73" s="15">
        <v>2057.6</v>
      </c>
      <c r="C73" s="15">
        <v>2206.7600000000002</v>
      </c>
      <c r="D73" s="15">
        <v>2046.89</v>
      </c>
      <c r="E73" s="15">
        <v>2111.8000000000002</v>
      </c>
      <c r="F73" s="15">
        <v>2057.75</v>
      </c>
      <c r="G73" s="15">
        <v>3428.04</v>
      </c>
      <c r="H73" s="15">
        <v>1656.56</v>
      </c>
      <c r="I73" s="15">
        <v>2882.01</v>
      </c>
      <c r="J73" s="15">
        <v>2392.96</v>
      </c>
      <c r="K73" s="15">
        <v>2613.19</v>
      </c>
      <c r="L73" s="15">
        <v>2210.79</v>
      </c>
      <c r="M73" s="15">
        <v>2464.64</v>
      </c>
      <c r="N73" s="15">
        <v>2330.25</v>
      </c>
      <c r="O73" t="s">
        <v>3028</v>
      </c>
    </row>
    <row r="74" spans="1:15" x14ac:dyDescent="0.25">
      <c r="A74" s="10" t="s">
        <v>242</v>
      </c>
      <c r="B74" s="15">
        <v>1886.15</v>
      </c>
      <c r="C74" s="15">
        <v>1840.57</v>
      </c>
      <c r="D74" s="15">
        <v>476.23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618.22</v>
      </c>
      <c r="O74" t="s">
        <v>3028</v>
      </c>
    </row>
    <row r="75" spans="1:15" x14ac:dyDescent="0.25">
      <c r="A75" s="10" t="s">
        <v>244</v>
      </c>
      <c r="B75" s="15">
        <v>2386.58</v>
      </c>
      <c r="C75" s="15">
        <v>2340.77</v>
      </c>
      <c r="D75" s="15">
        <v>2004.11</v>
      </c>
      <c r="E75" s="15">
        <v>5336.68</v>
      </c>
      <c r="F75" s="15">
        <v>63.73</v>
      </c>
      <c r="G75" s="15">
        <v>1794.92</v>
      </c>
      <c r="H75" s="15">
        <v>1847.37</v>
      </c>
      <c r="I75" s="15">
        <v>2375.79</v>
      </c>
      <c r="J75" s="15">
        <v>1994.99</v>
      </c>
      <c r="K75" s="15">
        <v>1993.72</v>
      </c>
      <c r="L75" s="15">
        <v>2183.89</v>
      </c>
      <c r="M75" s="15">
        <v>1990.56</v>
      </c>
      <c r="N75" s="15">
        <v>2133.87</v>
      </c>
      <c r="O75" t="s">
        <v>3028</v>
      </c>
    </row>
    <row r="76" spans="1:15" x14ac:dyDescent="0.25">
      <c r="A76" s="10" t="s">
        <v>246</v>
      </c>
      <c r="B76" s="15">
        <v>20348.05</v>
      </c>
      <c r="C76" s="15">
        <v>20986.28</v>
      </c>
      <c r="D76" s="15">
        <v>20986.28</v>
      </c>
      <c r="E76" s="15">
        <v>20986.28</v>
      </c>
      <c r="F76" s="15">
        <v>20986.28</v>
      </c>
      <c r="G76" s="15">
        <v>20986.28</v>
      </c>
      <c r="H76" s="15">
        <v>20986.28</v>
      </c>
      <c r="I76" s="15">
        <v>20986.28</v>
      </c>
      <c r="J76" s="15">
        <v>20986.28</v>
      </c>
      <c r="K76" s="15">
        <v>23146.68</v>
      </c>
      <c r="L76" s="15">
        <v>22066.48</v>
      </c>
      <c r="M76" s="15">
        <v>22066.48</v>
      </c>
      <c r="N76" s="15">
        <v>22066.48</v>
      </c>
      <c r="O76" t="s">
        <v>3028</v>
      </c>
    </row>
    <row r="77" spans="1:15" x14ac:dyDescent="0.25">
      <c r="A77" s="10" t="s">
        <v>248</v>
      </c>
      <c r="B77" s="15">
        <v>1521.03</v>
      </c>
      <c r="C77" s="15">
        <v>1356.04</v>
      </c>
      <c r="D77" s="15">
        <v>1318.3</v>
      </c>
      <c r="E77" s="15">
        <v>1347.38</v>
      </c>
      <c r="F77" s="15">
        <v>1353.79</v>
      </c>
      <c r="G77" s="15">
        <v>1350.35</v>
      </c>
      <c r="H77" s="15">
        <v>1339.44</v>
      </c>
      <c r="I77" s="15">
        <v>3996.23</v>
      </c>
      <c r="J77" s="15">
        <v>52.07</v>
      </c>
      <c r="K77" s="15">
        <v>1405.37</v>
      </c>
      <c r="L77" s="15">
        <v>642.11</v>
      </c>
      <c r="M77" s="15">
        <v>0</v>
      </c>
      <c r="N77" s="15">
        <v>1515.99</v>
      </c>
      <c r="O77" t="s">
        <v>3028</v>
      </c>
    </row>
    <row r="78" spans="1:15" x14ac:dyDescent="0.25">
      <c r="A78" s="10" t="s">
        <v>250</v>
      </c>
      <c r="B78" s="15">
        <v>2883.23</v>
      </c>
      <c r="C78" s="15">
        <v>3030.84</v>
      </c>
      <c r="D78" s="15">
        <v>2763.05</v>
      </c>
      <c r="E78" s="15">
        <v>6328.19</v>
      </c>
      <c r="F78" s="15">
        <v>633.94000000000005</v>
      </c>
      <c r="G78" s="15">
        <v>2616.5100000000002</v>
      </c>
      <c r="H78" s="15">
        <v>2674.6</v>
      </c>
      <c r="I78" s="15">
        <v>3413.19</v>
      </c>
      <c r="J78" s="15">
        <v>2922.89</v>
      </c>
      <c r="K78" s="15">
        <v>3205.73</v>
      </c>
      <c r="L78" s="15">
        <v>3092.94</v>
      </c>
      <c r="M78" s="15">
        <v>3118.27</v>
      </c>
      <c r="N78" s="15">
        <v>3017.01</v>
      </c>
      <c r="O78" t="s">
        <v>3028</v>
      </c>
    </row>
    <row r="79" spans="1:15" x14ac:dyDescent="0.25">
      <c r="A79" s="10" t="s">
        <v>252</v>
      </c>
      <c r="B79" s="15">
        <v>0</v>
      </c>
      <c r="C79" s="15">
        <v>0</v>
      </c>
      <c r="D79" s="15">
        <v>0</v>
      </c>
      <c r="E79" s="15">
        <v>0</v>
      </c>
      <c r="F79" s="15">
        <v>0</v>
      </c>
      <c r="G79" s="15">
        <v>0</v>
      </c>
      <c r="H79" s="15">
        <v>0</v>
      </c>
      <c r="I79" s="15">
        <v>1836.5</v>
      </c>
      <c r="J79" s="15">
        <v>2395.44</v>
      </c>
      <c r="K79" s="15">
        <v>8067.84</v>
      </c>
      <c r="L79" s="15">
        <v>4790.88</v>
      </c>
      <c r="M79" s="15">
        <v>4595.6899999999996</v>
      </c>
      <c r="N79" s="15">
        <v>1853.78</v>
      </c>
      <c r="O79" t="s">
        <v>3028</v>
      </c>
    </row>
    <row r="80" spans="1:15" x14ac:dyDescent="0.25">
      <c r="A80" s="10" t="s">
        <v>254</v>
      </c>
      <c r="B80" s="15">
        <v>2150.5</v>
      </c>
      <c r="C80" s="15">
        <v>3418.08</v>
      </c>
      <c r="D80" s="15">
        <v>1750.3</v>
      </c>
      <c r="E80" s="15">
        <v>2125.38</v>
      </c>
      <c r="F80" s="15">
        <v>2635.87</v>
      </c>
      <c r="G80" s="15">
        <v>2096.5300000000002</v>
      </c>
      <c r="H80" s="15">
        <v>2121.91</v>
      </c>
      <c r="I80" s="15">
        <v>2954.23</v>
      </c>
      <c r="J80" s="15">
        <v>2299.1</v>
      </c>
      <c r="K80" s="15">
        <v>2552.2399999999998</v>
      </c>
      <c r="L80" s="15">
        <v>2562.15</v>
      </c>
      <c r="M80" s="15">
        <v>2815.48</v>
      </c>
      <c r="N80" s="15">
        <v>2434.52</v>
      </c>
      <c r="O80" t="s">
        <v>3028</v>
      </c>
    </row>
    <row r="81" spans="1:15" x14ac:dyDescent="0.25">
      <c r="A81" s="10" t="s">
        <v>256</v>
      </c>
      <c r="B81" s="15">
        <v>4433.28</v>
      </c>
      <c r="C81" s="15">
        <v>3983</v>
      </c>
      <c r="D81" s="15">
        <v>2931.05</v>
      </c>
      <c r="E81" s="15">
        <v>3058.71</v>
      </c>
      <c r="F81" s="15">
        <v>3282</v>
      </c>
      <c r="G81" s="15">
        <v>5043.8</v>
      </c>
      <c r="H81" s="15">
        <v>2333.41</v>
      </c>
      <c r="I81" s="15">
        <v>4189.96</v>
      </c>
      <c r="J81" s="15">
        <v>3267.29</v>
      </c>
      <c r="K81" s="15">
        <v>3654.52</v>
      </c>
      <c r="L81" s="15">
        <v>3370.14</v>
      </c>
      <c r="M81" s="15">
        <v>3426.15</v>
      </c>
      <c r="N81" s="15">
        <v>3564.8</v>
      </c>
      <c r="O81" t="s">
        <v>3028</v>
      </c>
    </row>
    <row r="82" spans="1:15" x14ac:dyDescent="0.25">
      <c r="A82" s="10" t="s">
        <v>258</v>
      </c>
      <c r="B82" s="15">
        <v>0</v>
      </c>
      <c r="C82" s="15">
        <v>0</v>
      </c>
      <c r="D82" s="15">
        <v>0</v>
      </c>
      <c r="E82" s="15">
        <v>0</v>
      </c>
      <c r="F82" s="15">
        <v>2771.7</v>
      </c>
      <c r="G82" s="15">
        <v>4874.6499999999996</v>
      </c>
      <c r="H82" s="15">
        <v>3862.45</v>
      </c>
      <c r="I82" s="15">
        <v>5487.77</v>
      </c>
      <c r="J82" s="15">
        <v>4321.07</v>
      </c>
      <c r="K82" s="15">
        <v>5551.33</v>
      </c>
      <c r="L82" s="15">
        <v>2142.91</v>
      </c>
      <c r="M82" s="15">
        <v>0</v>
      </c>
      <c r="N82" s="15">
        <v>2794.94</v>
      </c>
      <c r="O82" t="s">
        <v>3028</v>
      </c>
    </row>
    <row r="83" spans="1:15" x14ac:dyDescent="0.25">
      <c r="A83" s="10" t="s">
        <v>260</v>
      </c>
      <c r="B83" s="15">
        <v>8542.8700000000008</v>
      </c>
      <c r="C83" s="15">
        <v>8542.8700000000008</v>
      </c>
      <c r="D83" s="15">
        <v>8542.8700000000008</v>
      </c>
      <c r="E83" s="15">
        <v>3132.39</v>
      </c>
      <c r="F83" s="15">
        <v>0</v>
      </c>
      <c r="G83" s="15">
        <v>0</v>
      </c>
      <c r="H83" s="15">
        <v>0</v>
      </c>
      <c r="I83" s="15">
        <v>0</v>
      </c>
      <c r="J83" s="15">
        <v>0</v>
      </c>
      <c r="K83" s="15">
        <v>0</v>
      </c>
      <c r="L83" s="15">
        <v>0</v>
      </c>
      <c r="M83" s="15">
        <v>0</v>
      </c>
      <c r="N83" s="15">
        <v>2847.63</v>
      </c>
      <c r="O83" t="s">
        <v>3028</v>
      </c>
    </row>
    <row r="84" spans="1:15" x14ac:dyDescent="0.25">
      <c r="A84" s="10" t="s">
        <v>262</v>
      </c>
      <c r="B84" s="15">
        <v>2288.7600000000002</v>
      </c>
      <c r="C84" s="15">
        <v>2525.4299999999998</v>
      </c>
      <c r="D84" s="15">
        <v>2575.73</v>
      </c>
      <c r="E84" s="15">
        <v>2360.54</v>
      </c>
      <c r="F84" s="15">
        <v>2217.48</v>
      </c>
      <c r="G84" s="15">
        <v>2158.7399999999998</v>
      </c>
      <c r="H84" s="15">
        <v>2152.37</v>
      </c>
      <c r="I84" s="15">
        <v>3036.99</v>
      </c>
      <c r="J84" s="15">
        <v>3089.34</v>
      </c>
      <c r="K84" s="15">
        <v>2699.28</v>
      </c>
      <c r="L84" s="15">
        <v>2728.38</v>
      </c>
      <c r="M84" s="15">
        <v>2946.05</v>
      </c>
      <c r="N84" s="15">
        <v>2598.84</v>
      </c>
      <c r="O84" t="s">
        <v>3028</v>
      </c>
    </row>
    <row r="85" spans="1:15" x14ac:dyDescent="0.25">
      <c r="A85" s="10" t="s">
        <v>264</v>
      </c>
      <c r="B85" s="15">
        <v>2832.54</v>
      </c>
      <c r="C85" s="15">
        <v>2612.6</v>
      </c>
      <c r="D85" s="15">
        <v>6140.08</v>
      </c>
      <c r="E85" s="15">
        <v>732.38</v>
      </c>
      <c r="F85" s="15">
        <v>1824.9</v>
      </c>
      <c r="G85" s="15">
        <v>1809.65</v>
      </c>
      <c r="H85" s="15">
        <v>3554.15</v>
      </c>
      <c r="I85" s="15">
        <v>3877.29</v>
      </c>
      <c r="J85" s="15">
        <v>3021.31</v>
      </c>
      <c r="K85" s="15">
        <v>3043.69</v>
      </c>
      <c r="L85" s="15">
        <v>2952.26</v>
      </c>
      <c r="M85" s="15">
        <v>2970.48</v>
      </c>
      <c r="N85" s="15">
        <v>2914.47</v>
      </c>
      <c r="O85" t="s">
        <v>3028</v>
      </c>
    </row>
    <row r="86" spans="1:15" x14ac:dyDescent="0.25">
      <c r="A86" s="10" t="s">
        <v>266</v>
      </c>
      <c r="B86" s="15">
        <v>1532.96</v>
      </c>
      <c r="C86" s="15">
        <v>1687.61</v>
      </c>
      <c r="D86" s="15">
        <v>1382.79</v>
      </c>
      <c r="E86" s="15">
        <v>1401.94</v>
      </c>
      <c r="F86" s="15">
        <v>1378.41</v>
      </c>
      <c r="G86" s="15">
        <v>1371.6</v>
      </c>
      <c r="H86" s="15">
        <v>1380.83</v>
      </c>
      <c r="I86" s="15">
        <v>1881.19</v>
      </c>
      <c r="J86" s="15">
        <v>1696.64</v>
      </c>
      <c r="K86" s="15">
        <v>1466.54</v>
      </c>
      <c r="L86" s="15">
        <v>1688.15</v>
      </c>
      <c r="M86" s="15">
        <v>1666.89</v>
      </c>
      <c r="N86" s="15">
        <v>1599.44</v>
      </c>
      <c r="O86" t="s">
        <v>3028</v>
      </c>
    </row>
    <row r="87" spans="1:15" x14ac:dyDescent="0.25">
      <c r="A87" s="10" t="s">
        <v>268</v>
      </c>
      <c r="B87" s="15">
        <v>1887.35</v>
      </c>
      <c r="C87" s="15">
        <v>2458.33</v>
      </c>
      <c r="D87" s="15">
        <v>2708.12</v>
      </c>
      <c r="E87" s="15">
        <v>2445.08</v>
      </c>
      <c r="F87" s="15">
        <v>2751.74</v>
      </c>
      <c r="G87" s="15">
        <v>2926.94</v>
      </c>
      <c r="H87" s="15">
        <v>2550.15</v>
      </c>
      <c r="I87" s="15">
        <v>2436.62</v>
      </c>
      <c r="J87" s="15">
        <v>3034.22</v>
      </c>
      <c r="K87" s="15">
        <v>3272.37</v>
      </c>
      <c r="L87" s="15">
        <v>5997.73</v>
      </c>
      <c r="M87" s="15">
        <v>2052.9499999999998</v>
      </c>
      <c r="N87" s="15">
        <v>3065.86</v>
      </c>
      <c r="O87" t="s">
        <v>3028</v>
      </c>
    </row>
    <row r="88" spans="1:15" x14ac:dyDescent="0.25">
      <c r="A88" s="10" t="s">
        <v>270</v>
      </c>
      <c r="B88" s="15">
        <v>14825.5</v>
      </c>
      <c r="C88" s="15">
        <v>14825.5</v>
      </c>
      <c r="D88" s="15">
        <v>14825.5</v>
      </c>
      <c r="E88" s="15">
        <v>14825.5</v>
      </c>
      <c r="F88" s="15">
        <v>14825.5</v>
      </c>
      <c r="G88" s="15">
        <v>14825.5</v>
      </c>
      <c r="H88" s="15">
        <v>18120.060000000001</v>
      </c>
      <c r="I88" s="15">
        <v>14825.5</v>
      </c>
      <c r="J88" s="15">
        <v>14825.5</v>
      </c>
      <c r="K88" s="15">
        <v>16749.5</v>
      </c>
      <c r="L88" s="15">
        <v>15787.5</v>
      </c>
      <c r="M88" s="15">
        <v>15787.5</v>
      </c>
      <c r="N88" s="15">
        <v>15787.5</v>
      </c>
      <c r="O88" t="s">
        <v>3028</v>
      </c>
    </row>
    <row r="89" spans="1:15" x14ac:dyDescent="0.25">
      <c r="A89" s="10" t="s">
        <v>272</v>
      </c>
      <c r="B89" s="15">
        <v>10617.09</v>
      </c>
      <c r="C89" s="15">
        <v>10612.54</v>
      </c>
      <c r="D89" s="15">
        <v>10706.22</v>
      </c>
      <c r="E89" s="15">
        <v>8031.89</v>
      </c>
      <c r="F89" s="15">
        <v>10854.38</v>
      </c>
      <c r="G89" s="15">
        <v>8921.85</v>
      </c>
      <c r="H89" s="15">
        <v>10994.32</v>
      </c>
      <c r="I89" s="15">
        <v>13988.43</v>
      </c>
      <c r="J89" s="15">
        <v>9871.4500000000007</v>
      </c>
      <c r="K89" s="15">
        <v>14456.9</v>
      </c>
      <c r="L89" s="15">
        <v>9632.6299999999992</v>
      </c>
      <c r="M89" s="15">
        <v>17626.48</v>
      </c>
      <c r="N89" s="15">
        <v>10972.52</v>
      </c>
      <c r="O89" t="s">
        <v>3028</v>
      </c>
    </row>
    <row r="90" spans="1:15" x14ac:dyDescent="0.25">
      <c r="A90" s="10" t="s">
        <v>274</v>
      </c>
      <c r="B90" s="15">
        <v>1300.1300000000001</v>
      </c>
      <c r="C90" s="15">
        <v>1301.5</v>
      </c>
      <c r="D90" s="15">
        <v>3066.26</v>
      </c>
      <c r="E90" s="15">
        <v>130.38999999999999</v>
      </c>
      <c r="F90" s="15">
        <v>1170.43</v>
      </c>
      <c r="G90" s="15">
        <v>1303.1099999999999</v>
      </c>
      <c r="H90" s="15">
        <v>1304.78</v>
      </c>
      <c r="I90" s="15">
        <v>1300.92</v>
      </c>
      <c r="J90" s="15">
        <v>1325.28</v>
      </c>
      <c r="K90" s="15">
        <v>1564.17</v>
      </c>
      <c r="L90" s="15">
        <v>1425.74</v>
      </c>
      <c r="M90" s="15">
        <v>1427.26</v>
      </c>
      <c r="N90" s="15">
        <v>1429.81</v>
      </c>
      <c r="O90" t="s">
        <v>3028</v>
      </c>
    </row>
    <row r="91" spans="1:15" x14ac:dyDescent="0.25">
      <c r="A91" s="10" t="s">
        <v>276</v>
      </c>
      <c r="B91" s="15">
        <v>0</v>
      </c>
      <c r="C91" s="15">
        <v>0</v>
      </c>
      <c r="D91" s="15">
        <v>1654.72</v>
      </c>
      <c r="E91" s="15">
        <v>2122.12</v>
      </c>
      <c r="F91" s="15">
        <v>2128.87</v>
      </c>
      <c r="G91" s="15">
        <v>2581.17</v>
      </c>
      <c r="H91" s="15">
        <v>2164.4899999999998</v>
      </c>
      <c r="I91" s="15">
        <v>2873.47</v>
      </c>
      <c r="J91" s="15">
        <v>2572.2399999999998</v>
      </c>
      <c r="K91" s="15">
        <v>2321.08</v>
      </c>
      <c r="L91" s="15">
        <v>2322.73</v>
      </c>
      <c r="M91" s="15">
        <v>2854.11</v>
      </c>
      <c r="N91" s="15">
        <v>2044.85</v>
      </c>
      <c r="O91" t="s">
        <v>3028</v>
      </c>
    </row>
    <row r="92" spans="1:15" x14ac:dyDescent="0.25">
      <c r="A92" s="10" t="s">
        <v>278</v>
      </c>
      <c r="B92" s="15">
        <v>26421.79</v>
      </c>
      <c r="C92" s="15">
        <v>25919.93</v>
      </c>
      <c r="D92" s="15">
        <v>26082.22</v>
      </c>
      <c r="E92" s="15">
        <v>21539.67</v>
      </c>
      <c r="F92" s="15">
        <v>29329.06</v>
      </c>
      <c r="G92" s="15">
        <v>42073.02</v>
      </c>
      <c r="H92" s="15">
        <v>12926.48</v>
      </c>
      <c r="I92" s="15">
        <v>31340.83</v>
      </c>
      <c r="J92" s="15">
        <v>24349.15</v>
      </c>
      <c r="K92" s="15">
        <v>30842.400000000001</v>
      </c>
      <c r="L92" s="15">
        <v>25452.22</v>
      </c>
      <c r="M92" s="15">
        <v>23604.17</v>
      </c>
      <c r="N92" s="15">
        <v>26517.96</v>
      </c>
      <c r="O92" t="s">
        <v>3028</v>
      </c>
    </row>
    <row r="93" spans="1:15" x14ac:dyDescent="0.25">
      <c r="A93" s="10" t="s">
        <v>280</v>
      </c>
      <c r="B93" s="15">
        <v>3274.22</v>
      </c>
      <c r="C93" s="15">
        <v>3907.99</v>
      </c>
      <c r="D93" s="15">
        <v>2833.75</v>
      </c>
      <c r="E93" s="15">
        <v>2825.41</v>
      </c>
      <c r="F93" s="15">
        <v>2492.77</v>
      </c>
      <c r="G93" s="15">
        <v>2450.91</v>
      </c>
      <c r="H93" s="15">
        <v>2847.58</v>
      </c>
      <c r="I93" s="15">
        <v>3046.37</v>
      </c>
      <c r="J93" s="15">
        <v>6961.79</v>
      </c>
      <c r="K93" s="15">
        <v>1718.84</v>
      </c>
      <c r="L93" s="15">
        <v>2582.4299999999998</v>
      </c>
      <c r="M93" s="15">
        <v>4217.0200000000004</v>
      </c>
      <c r="N93" s="15">
        <v>3289.79</v>
      </c>
      <c r="O93" t="s">
        <v>3028</v>
      </c>
    </row>
    <row r="94" spans="1:15" x14ac:dyDescent="0.25">
      <c r="A94" s="10" t="s">
        <v>282</v>
      </c>
      <c r="B94" s="15">
        <v>1788.05</v>
      </c>
      <c r="C94" s="15">
        <v>1742.78</v>
      </c>
      <c r="D94" s="15">
        <v>1727.43</v>
      </c>
      <c r="E94" s="15">
        <v>1696.7</v>
      </c>
      <c r="F94" s="15">
        <v>1753.14</v>
      </c>
      <c r="G94" s="15">
        <v>3653.96</v>
      </c>
      <c r="H94" s="15">
        <v>1471.93</v>
      </c>
      <c r="I94" s="15">
        <v>3015.08</v>
      </c>
      <c r="J94" s="15">
        <v>2531.83</v>
      </c>
      <c r="K94" s="15">
        <v>2568.1999999999998</v>
      </c>
      <c r="L94" s="15">
        <v>2563.69</v>
      </c>
      <c r="M94" s="15">
        <v>2551.4499999999998</v>
      </c>
      <c r="N94" s="15">
        <v>2210.88</v>
      </c>
      <c r="O94" t="s">
        <v>3028</v>
      </c>
    </row>
    <row r="95" spans="1:15" x14ac:dyDescent="0.25">
      <c r="A95" s="10" t="s">
        <v>284</v>
      </c>
      <c r="B95" s="15">
        <v>14244.57</v>
      </c>
      <c r="C95" s="15">
        <v>21366.86</v>
      </c>
      <c r="D95" s="15">
        <v>21366.86</v>
      </c>
      <c r="E95" s="15">
        <v>28251.73</v>
      </c>
      <c r="F95" s="15">
        <v>19230.169999999998</v>
      </c>
      <c r="G95" s="15">
        <v>21366.86</v>
      </c>
      <c r="H95" s="15">
        <v>21366.86</v>
      </c>
      <c r="I95" s="15">
        <v>24607.46</v>
      </c>
      <c r="J95" s="15">
        <v>22447.06</v>
      </c>
      <c r="K95" s="15">
        <v>22447.06</v>
      </c>
      <c r="L95" s="15">
        <v>22447.06</v>
      </c>
      <c r="M95" s="15">
        <v>32672.95</v>
      </c>
      <c r="N95" s="15">
        <v>22447.06</v>
      </c>
      <c r="O95" t="s">
        <v>3028</v>
      </c>
    </row>
    <row r="96" spans="1:15" x14ac:dyDescent="0.25">
      <c r="A96" s="10" t="s">
        <v>286</v>
      </c>
      <c r="B96" s="15">
        <v>1889.03</v>
      </c>
      <c r="C96" s="15">
        <v>1765.39</v>
      </c>
      <c r="D96" s="15">
        <v>2014.5</v>
      </c>
      <c r="E96" s="15">
        <v>2058.5500000000002</v>
      </c>
      <c r="F96" s="15">
        <v>3989.88</v>
      </c>
      <c r="G96" s="15">
        <v>294.52</v>
      </c>
      <c r="H96" s="15">
        <v>1434.93</v>
      </c>
      <c r="I96" s="15">
        <v>2659.15</v>
      </c>
      <c r="J96" s="15">
        <v>1964.73</v>
      </c>
      <c r="K96" s="15">
        <v>1973.92</v>
      </c>
      <c r="L96" s="15">
        <v>1892.51</v>
      </c>
      <c r="M96" s="15">
        <v>2222.9</v>
      </c>
      <c r="N96" s="15">
        <v>2027.58</v>
      </c>
      <c r="O96" t="s">
        <v>3028</v>
      </c>
    </row>
    <row r="97" spans="1:15" x14ac:dyDescent="0.25">
      <c r="A97" s="10" t="s">
        <v>288</v>
      </c>
      <c r="B97" s="15">
        <v>520.24</v>
      </c>
      <c r="C97" s="15">
        <v>1515.62</v>
      </c>
      <c r="D97" s="15">
        <v>1515.63</v>
      </c>
      <c r="E97" s="15">
        <v>1514.61</v>
      </c>
      <c r="F97" s="15">
        <v>1514.61</v>
      </c>
      <c r="G97" s="15">
        <v>1514.61</v>
      </c>
      <c r="H97" s="15">
        <v>1514.61</v>
      </c>
      <c r="I97" s="15">
        <v>1844.4</v>
      </c>
      <c r="J97" s="15">
        <v>2513.13</v>
      </c>
      <c r="K97" s="15">
        <v>2206.4499999999998</v>
      </c>
      <c r="L97" s="15">
        <v>2383.86</v>
      </c>
      <c r="M97" s="15">
        <v>4061.71</v>
      </c>
      <c r="N97" s="15">
        <v>2177.14</v>
      </c>
      <c r="O97" t="s">
        <v>3028</v>
      </c>
    </row>
    <row r="98" spans="1:15" x14ac:dyDescent="0.25">
      <c r="A98" s="10" t="s">
        <v>290</v>
      </c>
      <c r="B98" s="15">
        <v>2305.48</v>
      </c>
      <c r="C98" s="15">
        <v>2290.27</v>
      </c>
      <c r="D98" s="15">
        <v>5605.32</v>
      </c>
      <c r="E98" s="15">
        <v>120.78</v>
      </c>
      <c r="F98" s="15">
        <v>1871.32</v>
      </c>
      <c r="G98" s="15">
        <v>2313.92</v>
      </c>
      <c r="H98" s="15">
        <v>755.27</v>
      </c>
      <c r="I98" s="15">
        <v>0</v>
      </c>
      <c r="J98" s="15">
        <v>287.91000000000003</v>
      </c>
      <c r="K98" s="15">
        <v>0</v>
      </c>
      <c r="L98" s="15">
        <v>0</v>
      </c>
      <c r="M98" s="15">
        <v>0</v>
      </c>
      <c r="N98" s="15">
        <v>1610.58</v>
      </c>
      <c r="O98" t="s">
        <v>3028</v>
      </c>
    </row>
    <row r="99" spans="1:15" x14ac:dyDescent="0.25">
      <c r="A99" s="10" t="s">
        <v>292</v>
      </c>
      <c r="B99" s="15">
        <v>2711.2</v>
      </c>
      <c r="C99" s="15">
        <v>3571.87</v>
      </c>
      <c r="D99" s="15">
        <v>3033.53</v>
      </c>
      <c r="E99" s="15">
        <v>5963.03</v>
      </c>
      <c r="F99" s="15">
        <v>1106.3399999999999</v>
      </c>
      <c r="G99" s="15">
        <v>1806.81</v>
      </c>
      <c r="H99" s="15">
        <v>2556.88</v>
      </c>
      <c r="I99" s="15">
        <v>2728.59</v>
      </c>
      <c r="J99" s="15">
        <v>3423.93</v>
      </c>
      <c r="K99" s="15">
        <v>3563.7</v>
      </c>
      <c r="L99" s="15">
        <v>3615.59</v>
      </c>
      <c r="M99" s="15">
        <v>3945.61</v>
      </c>
      <c r="N99" s="15">
        <v>3240.6</v>
      </c>
      <c r="O99" t="s">
        <v>3028</v>
      </c>
    </row>
    <row r="100" spans="1:15" x14ac:dyDescent="0.25">
      <c r="A100" s="10" t="s">
        <v>294</v>
      </c>
      <c r="B100" s="15">
        <v>4744.33</v>
      </c>
      <c r="C100" s="15">
        <v>4717.6899999999996</v>
      </c>
      <c r="D100" s="15">
        <v>4644.33</v>
      </c>
      <c r="E100" s="15">
        <v>4644.33</v>
      </c>
      <c r="F100" s="15">
        <v>4713.99</v>
      </c>
      <c r="G100" s="15">
        <v>4705.1400000000003</v>
      </c>
      <c r="H100" s="15">
        <v>4664.59</v>
      </c>
      <c r="I100" s="15">
        <v>12321.08</v>
      </c>
      <c r="J100" s="15">
        <v>510.04</v>
      </c>
      <c r="K100" s="15">
        <v>5120.87</v>
      </c>
      <c r="L100" s="15">
        <v>5100.3999999999996</v>
      </c>
      <c r="M100" s="15">
        <v>5131.92</v>
      </c>
      <c r="N100" s="15">
        <v>5112.7</v>
      </c>
      <c r="O100" t="s">
        <v>3028</v>
      </c>
    </row>
    <row r="101" spans="1:15" x14ac:dyDescent="0.25">
      <c r="A101" s="10" t="s">
        <v>296</v>
      </c>
      <c r="B101" s="15">
        <v>1772.33</v>
      </c>
      <c r="C101" s="15">
        <v>2192.34</v>
      </c>
      <c r="D101" s="15">
        <v>532.41999999999996</v>
      </c>
      <c r="E101" s="15">
        <v>0</v>
      </c>
      <c r="F101" s="15">
        <v>0</v>
      </c>
      <c r="G101" s="15">
        <v>0</v>
      </c>
      <c r="H101" s="15">
        <v>0</v>
      </c>
      <c r="I101" s="15">
        <v>0</v>
      </c>
      <c r="J101" s="15">
        <v>0</v>
      </c>
      <c r="K101" s="15">
        <v>0</v>
      </c>
      <c r="L101" s="15">
        <v>0</v>
      </c>
      <c r="M101" s="15">
        <v>0</v>
      </c>
      <c r="N101" s="15">
        <v>718.88</v>
      </c>
      <c r="O101" t="s">
        <v>3028</v>
      </c>
    </row>
    <row r="102" spans="1:15" x14ac:dyDescent="0.25">
      <c r="A102" s="10" t="s">
        <v>298</v>
      </c>
      <c r="B102" s="15">
        <v>7350.63</v>
      </c>
      <c r="C102" s="15">
        <v>6685.85</v>
      </c>
      <c r="D102" s="15">
        <v>6725.65</v>
      </c>
      <c r="E102" s="15">
        <v>10838.74</v>
      </c>
      <c r="F102" s="15">
        <v>4438.17</v>
      </c>
      <c r="G102" s="15">
        <v>4665.1099999999997</v>
      </c>
      <c r="H102" s="15">
        <v>9215.7900000000009</v>
      </c>
      <c r="I102" s="15">
        <v>8599.85</v>
      </c>
      <c r="J102" s="15">
        <v>7446.51</v>
      </c>
      <c r="K102" s="15">
        <v>7393.1</v>
      </c>
      <c r="L102" s="15">
        <v>7593.7</v>
      </c>
      <c r="M102" s="15">
        <v>7957.04</v>
      </c>
      <c r="N102" s="15">
        <v>7301.57</v>
      </c>
      <c r="O102" t="s">
        <v>3028</v>
      </c>
    </row>
    <row r="103" spans="1:15" x14ac:dyDescent="0.25">
      <c r="A103" s="10" t="s">
        <v>300</v>
      </c>
      <c r="B103" s="15">
        <v>10338.57</v>
      </c>
      <c r="C103" s="15">
        <v>10338.57</v>
      </c>
      <c r="D103" s="15">
        <v>10338.57</v>
      </c>
      <c r="E103" s="15">
        <v>19528.41</v>
      </c>
      <c r="F103" s="15">
        <v>3446.19</v>
      </c>
      <c r="G103" s="15">
        <v>10338.57</v>
      </c>
      <c r="H103" s="15">
        <v>10338.57</v>
      </c>
      <c r="I103" s="15">
        <v>13384.32</v>
      </c>
      <c r="J103" s="15">
        <v>11353.82</v>
      </c>
      <c r="K103" s="15">
        <v>11353.82</v>
      </c>
      <c r="L103" s="15">
        <v>11353.82</v>
      </c>
      <c r="M103" s="15">
        <v>11353.82</v>
      </c>
      <c r="N103" s="15">
        <v>11353.82</v>
      </c>
      <c r="O103" t="s">
        <v>3028</v>
      </c>
    </row>
    <row r="104" spans="1:15" x14ac:dyDescent="0.25">
      <c r="A104" s="10" t="s">
        <v>302</v>
      </c>
      <c r="B104" s="15">
        <v>2488.35</v>
      </c>
      <c r="C104" s="15">
        <v>6135.09</v>
      </c>
      <c r="D104" s="15">
        <v>6021.68</v>
      </c>
      <c r="E104" s="15">
        <v>6067.7</v>
      </c>
      <c r="F104" s="15">
        <v>5979.8</v>
      </c>
      <c r="G104" s="15">
        <v>6036.84</v>
      </c>
      <c r="H104" s="15">
        <v>5979.8</v>
      </c>
      <c r="I104" s="15">
        <v>7747.06</v>
      </c>
      <c r="J104" s="15">
        <v>7370.77</v>
      </c>
      <c r="K104" s="15">
        <v>6592.81</v>
      </c>
      <c r="L104" s="15">
        <v>6797.98</v>
      </c>
      <c r="M104" s="15">
        <v>12674.12</v>
      </c>
      <c r="N104" s="15">
        <v>6739.44</v>
      </c>
      <c r="O104" t="s">
        <v>3028</v>
      </c>
    </row>
    <row r="105" spans="1:15" x14ac:dyDescent="0.25">
      <c r="A105" s="10" t="s">
        <v>304</v>
      </c>
      <c r="B105" s="15">
        <v>1358.71</v>
      </c>
      <c r="C105" s="15">
        <v>1526.85</v>
      </c>
      <c r="D105" s="15">
        <v>1713.93</v>
      </c>
      <c r="E105" s="15">
        <v>1559.62</v>
      </c>
      <c r="F105" s="15">
        <v>1392.97</v>
      </c>
      <c r="G105" s="15">
        <v>1419.67</v>
      </c>
      <c r="H105" s="15">
        <v>1437.19</v>
      </c>
      <c r="I105" s="15">
        <v>2110.7600000000002</v>
      </c>
      <c r="J105" s="15">
        <v>2565.11</v>
      </c>
      <c r="K105" s="15">
        <v>1445.52</v>
      </c>
      <c r="L105" s="15">
        <v>1671.79</v>
      </c>
      <c r="M105" s="15">
        <v>1846.69</v>
      </c>
      <c r="N105" s="15">
        <v>1673.56</v>
      </c>
      <c r="O105" t="s">
        <v>3028</v>
      </c>
    </row>
    <row r="106" spans="1:15" x14ac:dyDescent="0.25">
      <c r="A106" s="10" t="s">
        <v>306</v>
      </c>
      <c r="B106" s="15">
        <v>3025.91</v>
      </c>
      <c r="C106" s="15">
        <v>2976.27</v>
      </c>
      <c r="D106" s="15">
        <v>3018.23</v>
      </c>
      <c r="E106" s="15">
        <v>3081.95</v>
      </c>
      <c r="F106" s="15">
        <v>3043.2</v>
      </c>
      <c r="G106" s="15">
        <v>3443.87</v>
      </c>
      <c r="H106" s="15">
        <v>3063.6</v>
      </c>
      <c r="I106" s="15">
        <v>4114.93</v>
      </c>
      <c r="J106" s="15">
        <v>2880.55</v>
      </c>
      <c r="K106" s="15">
        <v>3789.22</v>
      </c>
      <c r="L106" s="15">
        <v>3199.2</v>
      </c>
      <c r="M106" s="15">
        <v>3305.12</v>
      </c>
      <c r="N106" s="15">
        <v>3344.85</v>
      </c>
      <c r="O106" t="s">
        <v>3028</v>
      </c>
    </row>
    <row r="107" spans="1:15" x14ac:dyDescent="0.25">
      <c r="A107" s="10" t="s">
        <v>308</v>
      </c>
      <c r="B107" s="15">
        <v>3070.57</v>
      </c>
      <c r="C107" s="15">
        <v>3041.82</v>
      </c>
      <c r="D107" s="15">
        <v>4890.32</v>
      </c>
      <c r="E107" s="15">
        <v>1971.2</v>
      </c>
      <c r="F107" s="15">
        <v>2584.4299999999998</v>
      </c>
      <c r="G107" s="15">
        <v>2565.65</v>
      </c>
      <c r="H107" s="15">
        <v>2552.7399999999998</v>
      </c>
      <c r="I107" s="15">
        <v>3382.94</v>
      </c>
      <c r="J107" s="15">
        <v>2633.05</v>
      </c>
      <c r="K107" s="15">
        <v>2686.78</v>
      </c>
      <c r="L107" s="15">
        <v>2620.36</v>
      </c>
      <c r="M107" s="15">
        <v>3241.16</v>
      </c>
      <c r="N107" s="15">
        <v>2950.86</v>
      </c>
      <c r="O107" t="s">
        <v>3028</v>
      </c>
    </row>
    <row r="108" spans="1:15" x14ac:dyDescent="0.25">
      <c r="A108" s="10" t="s">
        <v>310</v>
      </c>
      <c r="B108" s="15">
        <v>0</v>
      </c>
      <c r="C108" s="15">
        <v>0</v>
      </c>
      <c r="D108" s="15">
        <v>1040</v>
      </c>
      <c r="E108" s="15">
        <v>1304.6300000000001</v>
      </c>
      <c r="F108" s="15">
        <v>0</v>
      </c>
      <c r="G108" s="15">
        <v>0</v>
      </c>
      <c r="H108" s="15">
        <v>0</v>
      </c>
      <c r="I108" s="15">
        <v>0</v>
      </c>
      <c r="J108" s="15">
        <v>0</v>
      </c>
      <c r="K108" s="15">
        <v>950.04</v>
      </c>
      <c r="L108" s="15">
        <v>1427.94</v>
      </c>
      <c r="M108" s="15">
        <v>1432.38</v>
      </c>
      <c r="N108" s="15">
        <v>595.04999999999995</v>
      </c>
      <c r="O108" t="s">
        <v>3028</v>
      </c>
    </row>
    <row r="109" spans="1:15" x14ac:dyDescent="0.25">
      <c r="A109" s="10" t="s">
        <v>312</v>
      </c>
      <c r="B109" s="15">
        <v>18437.599999999999</v>
      </c>
      <c r="C109" s="15">
        <v>18355.75</v>
      </c>
      <c r="D109" s="15">
        <v>16501.09</v>
      </c>
      <c r="E109" s="15">
        <v>20076.54</v>
      </c>
      <c r="F109" s="15">
        <v>21813.57</v>
      </c>
      <c r="G109" s="15">
        <v>18843.009999999998</v>
      </c>
      <c r="H109" s="15">
        <v>22133.81</v>
      </c>
      <c r="I109" s="15">
        <v>23110.31</v>
      </c>
      <c r="J109" s="15">
        <v>23979.39</v>
      </c>
      <c r="K109" s="15">
        <v>20941.05</v>
      </c>
      <c r="L109" s="15">
        <v>18362.95</v>
      </c>
      <c r="M109" s="15">
        <v>17518.8</v>
      </c>
      <c r="N109" s="15">
        <v>19769.650000000001</v>
      </c>
      <c r="O109" t="s">
        <v>3028</v>
      </c>
    </row>
    <row r="110" spans="1:15" x14ac:dyDescent="0.25">
      <c r="A110" s="10" t="s">
        <v>314</v>
      </c>
      <c r="B110" s="15">
        <v>1356.77</v>
      </c>
      <c r="C110" s="15">
        <v>1360.64</v>
      </c>
      <c r="D110" s="15">
        <v>3290.82</v>
      </c>
      <c r="E110" s="15">
        <v>118.09</v>
      </c>
      <c r="F110" s="15">
        <v>1241.3599999999999</v>
      </c>
      <c r="G110" s="15">
        <v>1427.93</v>
      </c>
      <c r="H110" s="15">
        <v>1946.16</v>
      </c>
      <c r="I110" s="15">
        <v>2531.46</v>
      </c>
      <c r="J110" s="15">
        <v>1987.49</v>
      </c>
      <c r="K110" s="15">
        <v>1987.93</v>
      </c>
      <c r="L110" s="15">
        <v>1983.53</v>
      </c>
      <c r="M110" s="15">
        <v>1984.51</v>
      </c>
      <c r="N110" s="15">
        <v>2028.14</v>
      </c>
      <c r="O110" t="s">
        <v>3028</v>
      </c>
    </row>
    <row r="111" spans="1:15" x14ac:dyDescent="0.25">
      <c r="A111" s="10" t="s">
        <v>316</v>
      </c>
      <c r="B111" s="15">
        <v>1490.73</v>
      </c>
      <c r="C111" s="15">
        <v>2162.85</v>
      </c>
      <c r="D111" s="15">
        <v>1842.75</v>
      </c>
      <c r="E111" s="15">
        <v>4419.1099999999997</v>
      </c>
      <c r="F111" s="15">
        <v>61.91</v>
      </c>
      <c r="G111" s="15">
        <v>1793.12</v>
      </c>
      <c r="H111" s="15">
        <v>1819.46</v>
      </c>
      <c r="I111" s="15">
        <v>2355.06</v>
      </c>
      <c r="J111" s="15">
        <v>2000.32</v>
      </c>
      <c r="K111" s="15">
        <v>1982.08</v>
      </c>
      <c r="L111" s="15">
        <v>1992.24</v>
      </c>
      <c r="M111" s="15">
        <v>1993.42</v>
      </c>
      <c r="N111" s="15">
        <v>2043.64</v>
      </c>
      <c r="O111" t="s">
        <v>3028</v>
      </c>
    </row>
    <row r="112" spans="1:15" x14ac:dyDescent="0.25">
      <c r="A112" s="10" t="s">
        <v>318</v>
      </c>
      <c r="B112" s="15">
        <v>0</v>
      </c>
      <c r="C112" s="15">
        <v>0</v>
      </c>
      <c r="D112" s="15">
        <v>0</v>
      </c>
      <c r="E112" s="15">
        <v>5124.6000000000004</v>
      </c>
      <c r="F112" s="15">
        <v>5694</v>
      </c>
      <c r="G112" s="15">
        <v>5694</v>
      </c>
      <c r="H112" s="15">
        <v>5709.53</v>
      </c>
      <c r="I112" s="15">
        <v>7467.87</v>
      </c>
      <c r="J112" s="15">
        <v>1448.84</v>
      </c>
      <c r="K112" s="15">
        <v>0</v>
      </c>
      <c r="L112" s="15">
        <v>0</v>
      </c>
      <c r="M112" s="15">
        <v>0</v>
      </c>
      <c r="N112" s="15">
        <v>3247.62</v>
      </c>
      <c r="O112" t="s">
        <v>3028</v>
      </c>
    </row>
    <row r="113" spans="1:15" x14ac:dyDescent="0.25">
      <c r="A113" s="10" t="s">
        <v>320</v>
      </c>
      <c r="B113" s="15">
        <v>2876.95</v>
      </c>
      <c r="C113" s="15">
        <v>2766.25</v>
      </c>
      <c r="D113" s="15">
        <v>2766.25</v>
      </c>
      <c r="E113" s="15">
        <v>2766.25</v>
      </c>
      <c r="F113" s="15">
        <v>2766.25</v>
      </c>
      <c r="G113" s="15">
        <v>2766.25</v>
      </c>
      <c r="H113" s="15">
        <v>2766.25</v>
      </c>
      <c r="I113" s="15">
        <v>5215.25</v>
      </c>
      <c r="J113" s="15">
        <v>2430.3200000000002</v>
      </c>
      <c r="K113" s="15">
        <v>1012.63</v>
      </c>
      <c r="L113" s="15">
        <v>0</v>
      </c>
      <c r="M113" s="15">
        <v>0</v>
      </c>
      <c r="N113" s="15">
        <v>2795.67</v>
      </c>
      <c r="O113" t="s">
        <v>3028</v>
      </c>
    </row>
    <row r="114" spans="1:15" x14ac:dyDescent="0.25">
      <c r="A114" s="10" t="s">
        <v>322</v>
      </c>
      <c r="B114" s="15">
        <v>10844.5</v>
      </c>
      <c r="C114" s="15">
        <v>10612.54</v>
      </c>
      <c r="D114" s="15">
        <v>8977.61</v>
      </c>
      <c r="E114" s="15">
        <v>10728.52</v>
      </c>
      <c r="F114" s="15">
        <v>10844.5</v>
      </c>
      <c r="G114" s="15">
        <v>8921.85</v>
      </c>
      <c r="H114" s="15">
        <v>10713.42</v>
      </c>
      <c r="I114" s="15">
        <v>13139.36</v>
      </c>
      <c r="J114" s="15">
        <v>7960.85</v>
      </c>
      <c r="K114" s="15">
        <v>14456.9</v>
      </c>
      <c r="L114" s="15">
        <v>9553.0300000000007</v>
      </c>
      <c r="M114" s="15">
        <v>15583.22</v>
      </c>
      <c r="N114" s="15">
        <v>10736.28</v>
      </c>
      <c r="O114" t="s">
        <v>3028</v>
      </c>
    </row>
    <row r="115" spans="1:15" x14ac:dyDescent="0.25">
      <c r="A115" s="10" t="s">
        <v>324</v>
      </c>
      <c r="B115" s="15">
        <v>7522.78</v>
      </c>
      <c r="C115" s="15">
        <v>8096.74</v>
      </c>
      <c r="D115" s="15">
        <v>7557.59</v>
      </c>
      <c r="E115" s="15">
        <v>7256.1</v>
      </c>
      <c r="F115" s="15">
        <v>7869.78</v>
      </c>
      <c r="G115" s="15">
        <v>12990.49</v>
      </c>
      <c r="H115" s="15">
        <v>4700.97</v>
      </c>
      <c r="I115" s="15">
        <v>12514.32</v>
      </c>
      <c r="J115" s="15">
        <v>7288.39</v>
      </c>
      <c r="K115" s="15">
        <v>12174.98</v>
      </c>
      <c r="L115" s="15">
        <v>7958.02</v>
      </c>
      <c r="M115" s="15">
        <v>8332.73</v>
      </c>
      <c r="N115" s="15">
        <v>9368.58</v>
      </c>
      <c r="O115" t="s">
        <v>3028</v>
      </c>
    </row>
    <row r="116" spans="1:15" x14ac:dyDescent="0.25">
      <c r="A116" s="10" t="s">
        <v>326</v>
      </c>
      <c r="B116" s="15">
        <v>1801.37</v>
      </c>
      <c r="C116" s="15">
        <v>1848.56</v>
      </c>
      <c r="D116" s="15">
        <v>4616.8599999999997</v>
      </c>
      <c r="E116" s="15">
        <v>201.79</v>
      </c>
      <c r="F116" s="15">
        <v>1627.18</v>
      </c>
      <c r="G116" s="15">
        <v>1843.86</v>
      </c>
      <c r="H116" s="15">
        <v>2037.28</v>
      </c>
      <c r="I116" s="15">
        <v>2394.16</v>
      </c>
      <c r="J116" s="15">
        <v>2004.81</v>
      </c>
      <c r="K116" s="15">
        <v>2072.96</v>
      </c>
      <c r="L116" s="15">
        <v>2056.6</v>
      </c>
      <c r="M116" s="15">
        <v>2059.52</v>
      </c>
      <c r="N116" s="15">
        <v>2057.16</v>
      </c>
      <c r="O116" t="s">
        <v>3028</v>
      </c>
    </row>
    <row r="117" spans="1:15" x14ac:dyDescent="0.25">
      <c r="A117" s="10" t="s">
        <v>328</v>
      </c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G117" s="15">
        <v>0</v>
      </c>
      <c r="H117" s="15">
        <v>0</v>
      </c>
      <c r="I117" s="15">
        <v>0</v>
      </c>
      <c r="J117" s="15">
        <v>0</v>
      </c>
      <c r="K117" s="15">
        <v>1356.94</v>
      </c>
      <c r="L117" s="15">
        <v>1483.02</v>
      </c>
      <c r="M117" s="15">
        <v>1485.04</v>
      </c>
      <c r="N117" s="15">
        <v>368.45</v>
      </c>
      <c r="O117" t="s">
        <v>3028</v>
      </c>
    </row>
    <row r="118" spans="1:15" x14ac:dyDescent="0.25">
      <c r="A118" s="10" t="s">
        <v>330</v>
      </c>
      <c r="B118" s="15">
        <v>1479.87</v>
      </c>
      <c r="C118" s="15">
        <v>1338.75</v>
      </c>
      <c r="D118" s="15">
        <v>1330.32</v>
      </c>
      <c r="E118" s="15">
        <v>3150.76</v>
      </c>
      <c r="F118" s="15">
        <v>17.510000000000002</v>
      </c>
      <c r="G118" s="15">
        <v>1328.77</v>
      </c>
      <c r="H118" s="15">
        <v>1356.31</v>
      </c>
      <c r="I118" s="15">
        <v>1718.8</v>
      </c>
      <c r="J118" s="15">
        <v>1453.62</v>
      </c>
      <c r="K118" s="15">
        <v>1488.99</v>
      </c>
      <c r="L118" s="15">
        <v>1445.35</v>
      </c>
      <c r="M118" s="15">
        <v>1458.79</v>
      </c>
      <c r="N118" s="15">
        <v>1478.24</v>
      </c>
      <c r="O118" t="s">
        <v>3028</v>
      </c>
    </row>
    <row r="119" spans="1:15" x14ac:dyDescent="0.25">
      <c r="A119" s="10" t="s">
        <v>332</v>
      </c>
      <c r="B119" s="15">
        <v>3123.4</v>
      </c>
      <c r="C119" s="15">
        <v>3122.15</v>
      </c>
      <c r="D119" s="15">
        <v>3386.27</v>
      </c>
      <c r="E119" s="15">
        <v>3129.09</v>
      </c>
      <c r="F119" s="15">
        <v>3099.92</v>
      </c>
      <c r="G119" s="15">
        <v>7397.15</v>
      </c>
      <c r="H119" s="15">
        <v>416.65</v>
      </c>
      <c r="I119" s="15">
        <v>3863.62</v>
      </c>
      <c r="J119" s="15">
        <v>3313.21</v>
      </c>
      <c r="K119" s="15">
        <v>3410.57</v>
      </c>
      <c r="L119" s="15">
        <v>3380.86</v>
      </c>
      <c r="M119" s="15">
        <v>3659.45</v>
      </c>
      <c r="N119" s="15">
        <v>3455.72</v>
      </c>
      <c r="O119" t="s">
        <v>3028</v>
      </c>
    </row>
    <row r="120" spans="1:15" x14ac:dyDescent="0.25">
      <c r="A120" s="10" t="s">
        <v>334</v>
      </c>
      <c r="B120" s="15">
        <v>4749.92</v>
      </c>
      <c r="C120" s="15">
        <v>4216.63</v>
      </c>
      <c r="D120" s="15">
        <v>710.62</v>
      </c>
      <c r="E120" s="15">
        <v>0</v>
      </c>
      <c r="F120" s="15">
        <v>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1461.88</v>
      </c>
      <c r="O120" t="s">
        <v>3028</v>
      </c>
    </row>
    <row r="121" spans="1:15" x14ac:dyDescent="0.25">
      <c r="A121" s="10" t="s">
        <v>338</v>
      </c>
      <c r="B121" s="15">
        <v>10052.1</v>
      </c>
      <c r="C121" s="15">
        <v>10052.1</v>
      </c>
      <c r="D121" s="15">
        <v>16753.5</v>
      </c>
      <c r="E121" s="15">
        <v>5026.05</v>
      </c>
      <c r="F121" s="15">
        <v>10052.1</v>
      </c>
      <c r="G121" s="15">
        <v>11727.45</v>
      </c>
      <c r="H121" s="15">
        <v>10052.1</v>
      </c>
      <c r="I121" s="15">
        <v>13177.98</v>
      </c>
      <c r="J121" s="15">
        <v>11039.22</v>
      </c>
      <c r="K121" s="15">
        <v>11039.22</v>
      </c>
      <c r="L121" s="15">
        <v>11039.22</v>
      </c>
      <c r="M121" s="15">
        <v>11039.22</v>
      </c>
      <c r="N121" s="15">
        <v>11039.22</v>
      </c>
      <c r="O121" t="s">
        <v>3028</v>
      </c>
    </row>
    <row r="122" spans="1:15" x14ac:dyDescent="0.25">
      <c r="A122" s="10" t="s">
        <v>340</v>
      </c>
      <c r="B122" s="15">
        <v>1527.51</v>
      </c>
      <c r="C122" s="15">
        <v>1411.08</v>
      </c>
      <c r="D122" s="15">
        <v>1416.86</v>
      </c>
      <c r="E122" s="15">
        <v>2587.7399999999998</v>
      </c>
      <c r="F122" s="15">
        <v>494.5</v>
      </c>
      <c r="G122" s="15">
        <v>1349.3</v>
      </c>
      <c r="H122" s="15">
        <v>2039.18</v>
      </c>
      <c r="I122" s="15">
        <v>2351.33</v>
      </c>
      <c r="J122" s="15">
        <v>1975.34</v>
      </c>
      <c r="K122" s="15">
        <v>1996.31</v>
      </c>
      <c r="L122" s="15">
        <v>2022.41</v>
      </c>
      <c r="M122" s="15">
        <v>1998.17</v>
      </c>
      <c r="N122" s="15">
        <v>2052.3200000000002</v>
      </c>
      <c r="O122" t="s">
        <v>3028</v>
      </c>
    </row>
    <row r="123" spans="1:15" x14ac:dyDescent="0.25">
      <c r="A123" s="10" t="s">
        <v>342</v>
      </c>
      <c r="B123" s="15">
        <v>7018.1</v>
      </c>
      <c r="C123" s="15">
        <v>6460.52</v>
      </c>
      <c r="D123" s="15">
        <v>6452.73</v>
      </c>
      <c r="E123" s="15">
        <v>6589.53</v>
      </c>
      <c r="F123" s="15">
        <v>6553.92</v>
      </c>
      <c r="G123" s="15">
        <v>6461.72</v>
      </c>
      <c r="H123" s="15">
        <v>6799.53</v>
      </c>
      <c r="I123" s="15">
        <v>8624.7999999999993</v>
      </c>
      <c r="J123" s="15">
        <v>13063.99</v>
      </c>
      <c r="K123" s="15">
        <v>4080.42</v>
      </c>
      <c r="L123" s="15">
        <v>7449.29</v>
      </c>
      <c r="M123" s="15">
        <v>2879.7</v>
      </c>
      <c r="N123" s="15">
        <v>6551.43</v>
      </c>
      <c r="O123" t="s">
        <v>3028</v>
      </c>
    </row>
    <row r="124" spans="1:15" x14ac:dyDescent="0.25">
      <c r="A124" s="10" t="s">
        <v>344</v>
      </c>
      <c r="B124" s="15">
        <v>3957.14</v>
      </c>
      <c r="C124" s="15">
        <v>3812.87</v>
      </c>
      <c r="D124" s="15">
        <v>3475.61</v>
      </c>
      <c r="E124" s="15">
        <v>3489.05</v>
      </c>
      <c r="F124" s="15">
        <v>3497.66</v>
      </c>
      <c r="G124" s="15">
        <v>8623.74</v>
      </c>
      <c r="H124" s="15">
        <v>1082.69</v>
      </c>
      <c r="I124" s="15">
        <v>3410.17</v>
      </c>
      <c r="J124" s="15">
        <v>5237.3999999999996</v>
      </c>
      <c r="K124" s="15">
        <v>4245.33</v>
      </c>
      <c r="L124" s="15">
        <v>4133.2</v>
      </c>
      <c r="M124" s="15">
        <v>3945.85</v>
      </c>
      <c r="N124" s="15">
        <v>4006.96</v>
      </c>
      <c r="O124" t="s">
        <v>3028</v>
      </c>
    </row>
    <row r="125" spans="1:15" x14ac:dyDescent="0.25">
      <c r="A125" s="10" t="s">
        <v>346</v>
      </c>
      <c r="B125" s="15">
        <v>1828.85</v>
      </c>
      <c r="C125" s="15">
        <v>1814.5</v>
      </c>
      <c r="D125" s="15">
        <v>1527.8</v>
      </c>
      <c r="E125" s="15">
        <v>3597.21</v>
      </c>
      <c r="F125" s="15">
        <v>66.540000000000006</v>
      </c>
      <c r="G125" s="15">
        <v>1342.94</v>
      </c>
      <c r="H125" s="15">
        <v>1415.21</v>
      </c>
      <c r="I125" s="15">
        <v>2089.0100000000002</v>
      </c>
      <c r="J125" s="15">
        <v>1488.37</v>
      </c>
      <c r="K125" s="15">
        <v>1690.24</v>
      </c>
      <c r="L125" s="15">
        <v>1813.41</v>
      </c>
      <c r="M125" s="15">
        <v>1678.52</v>
      </c>
      <c r="N125" s="15">
        <v>1684.94</v>
      </c>
      <c r="O125" t="s">
        <v>3028</v>
      </c>
    </row>
    <row r="126" spans="1:15" x14ac:dyDescent="0.25">
      <c r="A126" s="10" t="s">
        <v>348</v>
      </c>
      <c r="B126" s="15">
        <v>4070.21</v>
      </c>
      <c r="C126" s="15">
        <v>3981.76</v>
      </c>
      <c r="D126" s="15">
        <v>8572.6200000000008</v>
      </c>
      <c r="E126" s="15">
        <v>1530.45</v>
      </c>
      <c r="F126" s="15">
        <v>2357.61</v>
      </c>
      <c r="G126" s="15">
        <v>3567.36</v>
      </c>
      <c r="H126" s="15">
        <v>3690.85</v>
      </c>
      <c r="I126" s="15">
        <v>4560.7299999999996</v>
      </c>
      <c r="J126" s="15">
        <v>3853.5</v>
      </c>
      <c r="K126" s="15">
        <v>3812.05</v>
      </c>
      <c r="L126" s="15">
        <v>3897.48</v>
      </c>
      <c r="M126" s="15">
        <v>4237.17</v>
      </c>
      <c r="N126" s="15">
        <v>3967.57</v>
      </c>
      <c r="O126" t="s">
        <v>3028</v>
      </c>
    </row>
    <row r="127" spans="1:15" x14ac:dyDescent="0.25">
      <c r="A127" s="10" t="s">
        <v>350</v>
      </c>
      <c r="B127" s="15">
        <v>8542.8700000000008</v>
      </c>
      <c r="C127" s="15">
        <v>8542.8700000000008</v>
      </c>
      <c r="D127" s="15">
        <v>8542.8700000000008</v>
      </c>
      <c r="E127" s="15">
        <v>16136.54</v>
      </c>
      <c r="F127" s="15">
        <v>2847.62</v>
      </c>
      <c r="G127" s="15">
        <v>8542.8700000000008</v>
      </c>
      <c r="H127" s="15">
        <v>8542.8700000000008</v>
      </c>
      <c r="I127" s="15">
        <v>11059.6</v>
      </c>
      <c r="J127" s="15">
        <v>11779.35</v>
      </c>
      <c r="K127" s="15">
        <v>9069.0499999999993</v>
      </c>
      <c r="L127" s="15">
        <v>9381.7800000000007</v>
      </c>
      <c r="M127" s="15">
        <v>9381.7800000000007</v>
      </c>
      <c r="N127" s="15">
        <v>9381.7800000000007</v>
      </c>
      <c r="O127" t="s">
        <v>3028</v>
      </c>
    </row>
    <row r="128" spans="1:15" x14ac:dyDescent="0.25">
      <c r="A128" s="10" t="s">
        <v>352</v>
      </c>
      <c r="B128" s="15">
        <v>6430.19</v>
      </c>
      <c r="C128" s="15">
        <v>6253.22</v>
      </c>
      <c r="D128" s="15">
        <v>3687.04</v>
      </c>
      <c r="E128" s="15">
        <v>6288.7</v>
      </c>
      <c r="F128" s="15">
        <v>6430.19</v>
      </c>
      <c r="G128" s="15">
        <v>7771.15</v>
      </c>
      <c r="H128" s="15">
        <v>1229.01</v>
      </c>
      <c r="I128" s="15">
        <v>19406.240000000002</v>
      </c>
      <c r="J128" s="15">
        <v>6964.47</v>
      </c>
      <c r="K128" s="15">
        <v>7061.65</v>
      </c>
      <c r="L128" s="15">
        <v>4803.76</v>
      </c>
      <c r="M128" s="15">
        <v>6697.64</v>
      </c>
      <c r="N128" s="15">
        <v>6594.45</v>
      </c>
      <c r="O128" t="s">
        <v>3028</v>
      </c>
    </row>
    <row r="129" spans="1:15" x14ac:dyDescent="0.25">
      <c r="A129" s="10" t="s">
        <v>354</v>
      </c>
      <c r="B129" s="15">
        <v>1300</v>
      </c>
      <c r="C129" s="15">
        <v>1300</v>
      </c>
      <c r="D129" s="15">
        <v>1300</v>
      </c>
      <c r="E129" s="15">
        <v>1300.1600000000001</v>
      </c>
      <c r="F129" s="15">
        <v>1300.24</v>
      </c>
      <c r="G129" s="15">
        <v>1303.1099999999999</v>
      </c>
      <c r="H129" s="15">
        <v>43.33</v>
      </c>
      <c r="I129" s="15">
        <v>0</v>
      </c>
      <c r="J129" s="15">
        <v>0</v>
      </c>
      <c r="K129" s="15">
        <v>0</v>
      </c>
      <c r="L129" s="15">
        <v>0</v>
      </c>
      <c r="M129" s="15">
        <v>0</v>
      </c>
      <c r="N129" s="15">
        <v>758.62</v>
      </c>
      <c r="O129" t="s">
        <v>3028</v>
      </c>
    </row>
    <row r="130" spans="1:15" x14ac:dyDescent="0.25">
      <c r="A130" s="10" t="s">
        <v>356</v>
      </c>
      <c r="B130" s="15">
        <v>2751.75</v>
      </c>
      <c r="C130" s="15">
        <v>2323.5</v>
      </c>
      <c r="D130" s="15">
        <v>2829.74</v>
      </c>
      <c r="E130" s="15">
        <v>2451.23</v>
      </c>
      <c r="F130" s="15">
        <v>2135.94</v>
      </c>
      <c r="G130" s="15">
        <v>2131.75</v>
      </c>
      <c r="H130" s="15">
        <v>2186.92</v>
      </c>
      <c r="I130" s="15">
        <v>3354.03</v>
      </c>
      <c r="J130" s="15">
        <v>6060.49</v>
      </c>
      <c r="K130" s="15">
        <v>104.94</v>
      </c>
      <c r="L130" s="15">
        <v>2193.88</v>
      </c>
      <c r="M130" s="15">
        <v>2506.37</v>
      </c>
      <c r="N130" s="15">
        <v>2580.17</v>
      </c>
      <c r="O130" t="s">
        <v>3028</v>
      </c>
    </row>
    <row r="131" spans="1:15" x14ac:dyDescent="0.25">
      <c r="A131" s="10" t="s">
        <v>358</v>
      </c>
      <c r="B131" s="15">
        <v>2648.32</v>
      </c>
      <c r="C131" s="15">
        <v>3281.5</v>
      </c>
      <c r="D131" s="15">
        <v>2656.96</v>
      </c>
      <c r="E131" s="15">
        <v>2457.29</v>
      </c>
      <c r="F131" s="15">
        <v>2212.9899999999998</v>
      </c>
      <c r="G131" s="15">
        <v>2085.5100000000002</v>
      </c>
      <c r="H131" s="15">
        <v>2174.96</v>
      </c>
      <c r="I131" s="15">
        <v>2382.5300000000002</v>
      </c>
      <c r="J131" s="15">
        <v>2471.65</v>
      </c>
      <c r="K131" s="15">
        <v>2715.77</v>
      </c>
      <c r="L131" s="15">
        <v>5945.22</v>
      </c>
      <c r="M131" s="15">
        <v>608.64</v>
      </c>
      <c r="N131" s="15">
        <v>2661.56</v>
      </c>
      <c r="O131" t="s">
        <v>3028</v>
      </c>
    </row>
    <row r="132" spans="1:15" x14ac:dyDescent="0.25">
      <c r="A132" s="10" t="s">
        <v>360</v>
      </c>
      <c r="B132" s="15">
        <v>2191.21</v>
      </c>
      <c r="C132" s="15">
        <v>2480.48</v>
      </c>
      <c r="D132" s="15">
        <v>4797.93</v>
      </c>
      <c r="E132" s="15">
        <v>247.46</v>
      </c>
      <c r="F132" s="15">
        <v>1898.59</v>
      </c>
      <c r="G132" s="15">
        <v>1840.42</v>
      </c>
      <c r="H132" s="15">
        <v>257.44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1360.36</v>
      </c>
      <c r="O132" t="s">
        <v>3028</v>
      </c>
    </row>
    <row r="133" spans="1:15" x14ac:dyDescent="0.25">
      <c r="A133" s="10" t="s">
        <v>362</v>
      </c>
      <c r="B133" s="15">
        <v>1379.31</v>
      </c>
      <c r="C133" s="15">
        <v>1429.18</v>
      </c>
      <c r="D133" s="15">
        <v>1481.27</v>
      </c>
      <c r="E133" s="15">
        <v>1415.69</v>
      </c>
      <c r="F133" s="15">
        <v>1305.69</v>
      </c>
      <c r="G133" s="15">
        <v>1307.71</v>
      </c>
      <c r="H133" s="15">
        <v>1303.22</v>
      </c>
      <c r="I133" s="15">
        <v>1309.8599999999999</v>
      </c>
      <c r="J133" s="15">
        <v>1311.8</v>
      </c>
      <c r="K133" s="15">
        <v>1578.28</v>
      </c>
      <c r="L133" s="15">
        <v>1498.78</v>
      </c>
      <c r="M133" s="15">
        <v>2146.6</v>
      </c>
      <c r="N133" s="15">
        <v>1485.72</v>
      </c>
      <c r="O133" t="s">
        <v>3028</v>
      </c>
    </row>
    <row r="134" spans="1:15" x14ac:dyDescent="0.25">
      <c r="A134" s="10" t="s">
        <v>364</v>
      </c>
      <c r="B134" s="15">
        <v>3199.48</v>
      </c>
      <c r="C134" s="15">
        <v>2591.4899999999998</v>
      </c>
      <c r="D134" s="15">
        <v>2618.29</v>
      </c>
      <c r="E134" s="15">
        <v>2662.65</v>
      </c>
      <c r="F134" s="15">
        <v>2433.08</v>
      </c>
      <c r="G134" s="15">
        <v>2589.9</v>
      </c>
      <c r="H134" s="15">
        <v>6493.46</v>
      </c>
      <c r="I134" s="15">
        <v>1401.06</v>
      </c>
      <c r="J134" s="15">
        <v>2587.79</v>
      </c>
      <c r="K134" s="15">
        <v>3100.45</v>
      </c>
      <c r="L134" s="15">
        <v>2673.86</v>
      </c>
      <c r="M134" s="15">
        <v>3183.47</v>
      </c>
      <c r="N134" s="15">
        <v>2931.11</v>
      </c>
      <c r="O134" t="s">
        <v>3028</v>
      </c>
    </row>
    <row r="135" spans="1:15" x14ac:dyDescent="0.25">
      <c r="A135" s="10" t="s">
        <v>366</v>
      </c>
      <c r="B135" s="15">
        <v>0</v>
      </c>
      <c r="C135" s="15">
        <v>0</v>
      </c>
      <c r="D135" s="15">
        <v>600</v>
      </c>
      <c r="E135" s="15">
        <v>720</v>
      </c>
      <c r="F135" s="15">
        <v>744</v>
      </c>
      <c r="G135" s="15">
        <v>720</v>
      </c>
      <c r="H135" s="15">
        <v>744</v>
      </c>
      <c r="I135" s="15">
        <v>817.06</v>
      </c>
      <c r="J135" s="15">
        <v>790.7</v>
      </c>
      <c r="K135" s="15">
        <v>817.06</v>
      </c>
      <c r="L135" s="15">
        <v>790.7</v>
      </c>
      <c r="M135" s="15">
        <v>711.63</v>
      </c>
      <c r="N135" s="15">
        <v>0</v>
      </c>
      <c r="O135" t="s">
        <v>3028</v>
      </c>
    </row>
    <row r="136" spans="1:15" x14ac:dyDescent="0.25">
      <c r="A136" s="10" t="s">
        <v>368</v>
      </c>
      <c r="B136" s="15">
        <v>1782.6</v>
      </c>
      <c r="C136" s="15">
        <v>1798.02</v>
      </c>
      <c r="D136" s="15">
        <v>1789.41</v>
      </c>
      <c r="E136" s="15">
        <v>4163.04</v>
      </c>
      <c r="F136" s="15">
        <v>11.87</v>
      </c>
      <c r="G136" s="15">
        <v>1772.13</v>
      </c>
      <c r="H136" s="15">
        <v>1771.12</v>
      </c>
      <c r="I136" s="15">
        <v>2294.6</v>
      </c>
      <c r="J136" s="15">
        <v>1939.32</v>
      </c>
      <c r="K136" s="15">
        <v>1941.45</v>
      </c>
      <c r="L136" s="15">
        <v>1938.17</v>
      </c>
      <c r="M136" s="15">
        <v>1942.29</v>
      </c>
      <c r="N136" s="15">
        <v>1951.09</v>
      </c>
      <c r="O136" t="s">
        <v>3028</v>
      </c>
    </row>
    <row r="137" spans="1:15" x14ac:dyDescent="0.25">
      <c r="A137" s="10" t="s">
        <v>370</v>
      </c>
      <c r="B137" s="15">
        <v>1487.09</v>
      </c>
      <c r="C137" s="15">
        <v>1490.22</v>
      </c>
      <c r="D137" s="15">
        <v>1363.14</v>
      </c>
      <c r="E137" s="15">
        <v>3326.47</v>
      </c>
      <c r="F137" s="15">
        <v>30.88</v>
      </c>
      <c r="G137" s="15">
        <v>1337.66</v>
      </c>
      <c r="H137" s="15">
        <v>1819.43</v>
      </c>
      <c r="I137" s="15">
        <v>2328.61</v>
      </c>
      <c r="J137" s="15">
        <v>1995.94</v>
      </c>
      <c r="K137" s="15">
        <v>2034.89</v>
      </c>
      <c r="L137" s="15">
        <v>2183.33</v>
      </c>
      <c r="M137" s="15">
        <v>1992.68</v>
      </c>
      <c r="N137" s="15">
        <v>2047.04</v>
      </c>
      <c r="O137" t="s">
        <v>3028</v>
      </c>
    </row>
    <row r="138" spans="1:15" x14ac:dyDescent="0.25">
      <c r="A138" s="10" t="s">
        <v>372</v>
      </c>
      <c r="B138" s="15">
        <v>2765.52</v>
      </c>
      <c r="C138" s="15">
        <v>2629.86</v>
      </c>
      <c r="D138" s="15">
        <v>2633.5</v>
      </c>
      <c r="E138" s="15">
        <v>6415.69</v>
      </c>
      <c r="F138" s="15">
        <v>376.22</v>
      </c>
      <c r="G138" s="15">
        <v>2657.11</v>
      </c>
      <c r="H138" s="15">
        <v>2834.42</v>
      </c>
      <c r="I138" s="15">
        <v>3584.53</v>
      </c>
      <c r="J138" s="15">
        <v>2891.4</v>
      </c>
      <c r="K138" s="15">
        <v>3006.6</v>
      </c>
      <c r="L138" s="15">
        <v>2932.2</v>
      </c>
      <c r="M138" s="15">
        <v>2973.4</v>
      </c>
      <c r="N138" s="15">
        <v>2948.86</v>
      </c>
      <c r="O138" t="s">
        <v>3028</v>
      </c>
    </row>
    <row r="139" spans="1:15" x14ac:dyDescent="0.25">
      <c r="A139" s="10" t="s">
        <v>374</v>
      </c>
      <c r="B139" s="15">
        <v>1753.93</v>
      </c>
      <c r="C139" s="15">
        <v>5260.8</v>
      </c>
      <c r="D139" s="15">
        <v>5282.99</v>
      </c>
      <c r="E139" s="15">
        <v>5260.8</v>
      </c>
      <c r="F139" s="15">
        <v>5267.69</v>
      </c>
      <c r="G139" s="15">
        <v>5313.26</v>
      </c>
      <c r="H139" s="15">
        <v>5260.8</v>
      </c>
      <c r="I139" s="15">
        <v>6852.35</v>
      </c>
      <c r="J139" s="15">
        <v>5777.41</v>
      </c>
      <c r="K139" s="15">
        <v>5777.41</v>
      </c>
      <c r="L139" s="15">
        <v>5975.92</v>
      </c>
      <c r="M139" s="15">
        <v>10937.22</v>
      </c>
      <c r="N139" s="15">
        <v>5804.79</v>
      </c>
      <c r="O139" t="s">
        <v>3028</v>
      </c>
    </row>
    <row r="140" spans="1:15" x14ac:dyDescent="0.25">
      <c r="A140" s="10" t="s">
        <v>376</v>
      </c>
      <c r="B140" s="15">
        <v>5011.74</v>
      </c>
      <c r="C140" s="15">
        <v>4867.46</v>
      </c>
      <c r="D140" s="15">
        <v>2256.85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1589.92</v>
      </c>
      <c r="O140" t="s">
        <v>3028</v>
      </c>
    </row>
    <row r="141" spans="1:15" x14ac:dyDescent="0.25">
      <c r="A141" s="10" t="s">
        <v>378</v>
      </c>
      <c r="B141" s="15">
        <v>1300</v>
      </c>
      <c r="C141" s="15">
        <v>1300</v>
      </c>
      <c r="D141" s="15">
        <v>1301.23</v>
      </c>
      <c r="E141" s="15">
        <v>1300.1600000000001</v>
      </c>
      <c r="F141" s="15">
        <v>1301.45</v>
      </c>
      <c r="G141" s="15">
        <v>3049.34</v>
      </c>
      <c r="H141" s="15">
        <v>90.82</v>
      </c>
      <c r="I141" s="15">
        <v>1213.33</v>
      </c>
      <c r="J141" s="15">
        <v>1303.5899999999999</v>
      </c>
      <c r="K141" s="15">
        <v>1614.55</v>
      </c>
      <c r="L141" s="15">
        <v>1427.24</v>
      </c>
      <c r="M141" s="15">
        <v>1430.86</v>
      </c>
      <c r="N141" s="15">
        <v>1432.38</v>
      </c>
      <c r="O141" t="s">
        <v>3028</v>
      </c>
    </row>
    <row r="142" spans="1:15" x14ac:dyDescent="0.25">
      <c r="A142" s="10" t="s">
        <v>380</v>
      </c>
      <c r="B142" s="15">
        <v>5275.74</v>
      </c>
      <c r="C142" s="15">
        <v>4447.68</v>
      </c>
      <c r="D142" s="15">
        <v>10372.75</v>
      </c>
      <c r="E142" s="15">
        <v>877.53</v>
      </c>
      <c r="F142" s="15">
        <v>5030.91</v>
      </c>
      <c r="G142" s="15">
        <v>4756.37</v>
      </c>
      <c r="H142" s="15">
        <v>4379.13</v>
      </c>
      <c r="I142" s="15">
        <v>6121.64</v>
      </c>
      <c r="J142" s="15">
        <v>4920.59</v>
      </c>
      <c r="K142" s="15">
        <v>4932.5600000000004</v>
      </c>
      <c r="L142" s="15">
        <v>4904.75</v>
      </c>
      <c r="M142" s="15">
        <v>5392.38</v>
      </c>
      <c r="N142" s="15">
        <v>5102.24</v>
      </c>
      <c r="O142" t="s">
        <v>3028</v>
      </c>
    </row>
    <row r="143" spans="1:15" x14ac:dyDescent="0.25">
      <c r="A143" s="10" t="s">
        <v>382</v>
      </c>
      <c r="B143" s="15">
        <v>3272.13</v>
      </c>
      <c r="C143" s="15">
        <v>3795.3</v>
      </c>
      <c r="D143" s="15">
        <v>3580.77</v>
      </c>
      <c r="E143" s="15">
        <v>6449.96</v>
      </c>
      <c r="F143" s="15">
        <v>1577.7</v>
      </c>
      <c r="G143" s="15">
        <v>3317.02</v>
      </c>
      <c r="H143" s="15">
        <v>3341.13</v>
      </c>
      <c r="I143" s="15">
        <v>4463.62</v>
      </c>
      <c r="J143" s="15">
        <v>3617.47</v>
      </c>
      <c r="K143" s="15">
        <v>3715.26</v>
      </c>
      <c r="L143" s="15">
        <v>3679.6</v>
      </c>
      <c r="M143" s="15">
        <v>3794.31</v>
      </c>
      <c r="N143" s="15">
        <v>3670.91</v>
      </c>
      <c r="O143" t="s">
        <v>3028</v>
      </c>
    </row>
    <row r="144" spans="1:15" x14ac:dyDescent="0.25">
      <c r="A144" s="10" t="s">
        <v>384</v>
      </c>
      <c r="B144" s="15">
        <v>5599.95</v>
      </c>
      <c r="C144" s="15">
        <v>4053.82</v>
      </c>
      <c r="D144" s="15">
        <v>6731.98</v>
      </c>
      <c r="E144" s="15">
        <v>3693.27</v>
      </c>
      <c r="F144" s="15">
        <v>5122.63</v>
      </c>
      <c r="G144" s="15">
        <v>4461.91</v>
      </c>
      <c r="H144" s="15">
        <v>4575.4399999999996</v>
      </c>
      <c r="I144" s="15">
        <v>5710.5</v>
      </c>
      <c r="J144" s="15">
        <v>6103.89</v>
      </c>
      <c r="K144" s="15">
        <v>6520.85</v>
      </c>
      <c r="L144" s="15">
        <v>6645.98</v>
      </c>
      <c r="M144" s="15">
        <v>6560.42</v>
      </c>
      <c r="N144" s="15">
        <v>5491.19</v>
      </c>
      <c r="O144" t="s">
        <v>3028</v>
      </c>
    </row>
    <row r="145" spans="1:15" x14ac:dyDescent="0.25">
      <c r="A145" s="10" t="s">
        <v>386</v>
      </c>
      <c r="B145" s="15">
        <v>260</v>
      </c>
      <c r="C145" s="15">
        <v>0</v>
      </c>
      <c r="D145" s="15">
        <v>0</v>
      </c>
      <c r="E145" s="15">
        <v>0</v>
      </c>
      <c r="F145" s="15">
        <v>0</v>
      </c>
      <c r="G145" s="15">
        <v>0</v>
      </c>
      <c r="H145" s="15">
        <v>0</v>
      </c>
      <c r="I145" s="15">
        <v>0</v>
      </c>
      <c r="J145" s="15">
        <v>0</v>
      </c>
      <c r="K145" s="15">
        <v>0</v>
      </c>
      <c r="L145" s="15">
        <v>0</v>
      </c>
      <c r="M145" s="15">
        <v>0</v>
      </c>
      <c r="N145" s="15">
        <v>108.33</v>
      </c>
      <c r="O145" t="s">
        <v>3028</v>
      </c>
    </row>
    <row r="146" spans="1:15" x14ac:dyDescent="0.25">
      <c r="A146" s="10" t="s">
        <v>388</v>
      </c>
      <c r="B146" s="15">
        <v>2682.12</v>
      </c>
      <c r="C146" s="15">
        <v>2734.5</v>
      </c>
      <c r="D146" s="15">
        <v>2733.88</v>
      </c>
      <c r="E146" s="15">
        <v>6381.36</v>
      </c>
      <c r="F146" s="15">
        <v>81.400000000000006</v>
      </c>
      <c r="G146" s="15">
        <v>2681.85</v>
      </c>
      <c r="H146" s="15">
        <v>2768.3</v>
      </c>
      <c r="I146" s="15">
        <v>3484.95</v>
      </c>
      <c r="J146" s="15">
        <v>2915.51</v>
      </c>
      <c r="K146" s="15">
        <v>2975.12</v>
      </c>
      <c r="L146" s="15">
        <v>2913.66</v>
      </c>
      <c r="M146" s="15">
        <v>2938.63</v>
      </c>
      <c r="N146" s="15">
        <v>2970.1</v>
      </c>
      <c r="O146" t="s">
        <v>3028</v>
      </c>
    </row>
    <row r="147" spans="1:15" x14ac:dyDescent="0.25">
      <c r="A147" s="10" t="s">
        <v>390</v>
      </c>
      <c r="B147" s="15">
        <v>1442.18</v>
      </c>
      <c r="C147" s="15">
        <v>1446.96</v>
      </c>
      <c r="D147" s="15">
        <v>1407.63</v>
      </c>
      <c r="E147" s="15">
        <v>1326.2</v>
      </c>
      <c r="F147" s="15">
        <v>1329.32</v>
      </c>
      <c r="G147" s="15">
        <v>1316.97</v>
      </c>
      <c r="H147" s="15">
        <v>1339.2</v>
      </c>
      <c r="I147" s="15">
        <v>1733.12</v>
      </c>
      <c r="J147" s="15">
        <v>1463.27</v>
      </c>
      <c r="K147" s="15">
        <v>1465.91</v>
      </c>
      <c r="L147" s="15">
        <v>2389.65</v>
      </c>
      <c r="M147" s="15">
        <v>1158.25</v>
      </c>
      <c r="N147" s="15">
        <v>1487.93</v>
      </c>
      <c r="O147" t="s">
        <v>3028</v>
      </c>
    </row>
    <row r="148" spans="1:15" x14ac:dyDescent="0.25">
      <c r="A148" s="10" t="s">
        <v>392</v>
      </c>
      <c r="B148" s="15">
        <v>3707.43</v>
      </c>
      <c r="C148" s="15">
        <v>2944.54</v>
      </c>
      <c r="D148" s="15">
        <v>3195.87</v>
      </c>
      <c r="E148" s="15">
        <v>3084.44</v>
      </c>
      <c r="F148" s="15">
        <v>2715.43</v>
      </c>
      <c r="G148" s="15">
        <v>3327.67</v>
      </c>
      <c r="H148" s="15">
        <v>2843.26</v>
      </c>
      <c r="I148" s="15">
        <v>4063.42</v>
      </c>
      <c r="J148" s="15">
        <v>4261.5600000000004</v>
      </c>
      <c r="K148" s="15">
        <v>6504.58</v>
      </c>
      <c r="L148" s="15">
        <v>1770.85</v>
      </c>
      <c r="M148" s="15">
        <v>3126.27</v>
      </c>
      <c r="N148" s="15">
        <v>3434.27</v>
      </c>
      <c r="O148" t="s">
        <v>3028</v>
      </c>
    </row>
    <row r="149" spans="1:15" x14ac:dyDescent="0.25">
      <c r="A149" s="10" t="s">
        <v>394</v>
      </c>
      <c r="B149" s="15">
        <v>2052.6</v>
      </c>
      <c r="C149" s="15">
        <v>1849.82</v>
      </c>
      <c r="D149" s="15">
        <v>2001.66</v>
      </c>
      <c r="E149" s="15">
        <v>5274.66</v>
      </c>
      <c r="F149" s="15">
        <v>257.45</v>
      </c>
      <c r="G149" s="15">
        <v>1795.57</v>
      </c>
      <c r="H149" s="15">
        <v>1845.48</v>
      </c>
      <c r="I149" s="15">
        <v>2356.44</v>
      </c>
      <c r="J149" s="15">
        <v>1995.72</v>
      </c>
      <c r="K149" s="15">
        <v>2246.29</v>
      </c>
      <c r="L149" s="15">
        <v>1995.13</v>
      </c>
      <c r="M149" s="15">
        <v>1990.47</v>
      </c>
      <c r="N149" s="15">
        <v>2079.65</v>
      </c>
      <c r="O149" t="s">
        <v>3028</v>
      </c>
    </row>
    <row r="150" spans="1:15" x14ac:dyDescent="0.25">
      <c r="A150" s="10" t="s">
        <v>396</v>
      </c>
      <c r="B150" s="15">
        <v>5314.5</v>
      </c>
      <c r="C150" s="15">
        <v>4643.76</v>
      </c>
      <c r="D150" s="15">
        <v>4556.78</v>
      </c>
      <c r="E150" s="15">
        <v>4530.66</v>
      </c>
      <c r="F150" s="15">
        <v>4542.0600000000004</v>
      </c>
      <c r="G150" s="15">
        <v>5866</v>
      </c>
      <c r="H150" s="15">
        <v>4528.82</v>
      </c>
      <c r="I150" s="15">
        <v>6055.85</v>
      </c>
      <c r="J150" s="15">
        <v>5676.76</v>
      </c>
      <c r="K150" s="15">
        <v>5096.87</v>
      </c>
      <c r="L150" s="15">
        <v>10714.07</v>
      </c>
      <c r="M150" s="15">
        <v>2396.7800000000002</v>
      </c>
      <c r="N150" s="15">
        <v>5360.3</v>
      </c>
      <c r="O150" t="s">
        <v>3028</v>
      </c>
    </row>
    <row r="151" spans="1:15" x14ac:dyDescent="0.25">
      <c r="A151" s="10" t="s">
        <v>398</v>
      </c>
      <c r="B151" s="15">
        <v>5988.15</v>
      </c>
      <c r="C151" s="15">
        <v>5453.32</v>
      </c>
      <c r="D151" s="15">
        <v>5453.32</v>
      </c>
      <c r="E151" s="15">
        <v>5480.86</v>
      </c>
      <c r="F151" s="15">
        <v>5479.49</v>
      </c>
      <c r="G151" s="15">
        <v>5453.32</v>
      </c>
      <c r="H151" s="15">
        <v>6818.7</v>
      </c>
      <c r="I151" s="15">
        <v>7192.36</v>
      </c>
      <c r="J151" s="15">
        <v>6033.5</v>
      </c>
      <c r="K151" s="15">
        <v>6072.98</v>
      </c>
      <c r="L151" s="15">
        <v>6002.34</v>
      </c>
      <c r="M151" s="15">
        <v>6058.53</v>
      </c>
      <c r="N151" s="15">
        <v>6066.88</v>
      </c>
      <c r="O151" t="s">
        <v>3028</v>
      </c>
    </row>
    <row r="152" spans="1:15" x14ac:dyDescent="0.25">
      <c r="A152" s="10" t="s">
        <v>400</v>
      </c>
      <c r="B152" s="15">
        <v>2104.35</v>
      </c>
      <c r="C152" s="15">
        <v>2104.35</v>
      </c>
      <c r="D152" s="15">
        <v>2104.35</v>
      </c>
      <c r="E152" s="15">
        <v>4134.6400000000003</v>
      </c>
      <c r="F152" s="15">
        <v>701.65</v>
      </c>
      <c r="G152" s="15">
        <v>2104.35</v>
      </c>
      <c r="H152" s="15">
        <v>2110.66</v>
      </c>
      <c r="I152" s="15">
        <v>2724.93</v>
      </c>
      <c r="J152" s="15">
        <v>2317.21</v>
      </c>
      <c r="K152" s="15">
        <v>2311</v>
      </c>
      <c r="L152" s="15">
        <v>2311</v>
      </c>
      <c r="M152" s="15">
        <v>2312.67</v>
      </c>
      <c r="N152" s="15">
        <v>2312.2800000000002</v>
      </c>
      <c r="O152" t="s">
        <v>3028</v>
      </c>
    </row>
    <row r="153" spans="1:15" x14ac:dyDescent="0.25">
      <c r="A153" s="10" t="s">
        <v>402</v>
      </c>
      <c r="B153" s="15">
        <v>913.38</v>
      </c>
      <c r="C153" s="15">
        <v>0</v>
      </c>
      <c r="D153" s="15">
        <v>0</v>
      </c>
      <c r="E153" s="15">
        <v>0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0</v>
      </c>
      <c r="M153" s="15">
        <v>0</v>
      </c>
      <c r="N153" s="15">
        <v>225.42</v>
      </c>
      <c r="O153" t="s">
        <v>3028</v>
      </c>
    </row>
    <row r="154" spans="1:15" x14ac:dyDescent="0.25">
      <c r="A154" s="10" t="s">
        <v>404</v>
      </c>
      <c r="B154" s="15">
        <v>26321.79</v>
      </c>
      <c r="C154" s="15">
        <v>25919.93</v>
      </c>
      <c r="D154" s="15">
        <v>24316.59</v>
      </c>
      <c r="E154" s="15">
        <v>24633.98</v>
      </c>
      <c r="F154" s="15">
        <v>26197.22</v>
      </c>
      <c r="G154" s="15">
        <v>25889.02</v>
      </c>
      <c r="H154" s="15">
        <v>29825.5</v>
      </c>
      <c r="I154" s="15">
        <v>32674.46</v>
      </c>
      <c r="J154" s="15">
        <v>33568.769999999997</v>
      </c>
      <c r="K154" s="15">
        <v>22512.639999999999</v>
      </c>
      <c r="L154" s="15">
        <v>23819.82</v>
      </c>
      <c r="M154" s="15">
        <v>23604.17</v>
      </c>
      <c r="N154" s="15">
        <v>26330.92</v>
      </c>
      <c r="O154" t="s">
        <v>3028</v>
      </c>
    </row>
    <row r="155" spans="1:15" x14ac:dyDescent="0.25">
      <c r="A155" s="10" t="s">
        <v>406</v>
      </c>
      <c r="B155" s="15">
        <v>3573.34</v>
      </c>
      <c r="C155" s="15">
        <v>3009.65</v>
      </c>
      <c r="D155" s="15">
        <v>2781.3</v>
      </c>
      <c r="E155" s="15">
        <v>3068.59</v>
      </c>
      <c r="F155" s="15">
        <v>3543.45</v>
      </c>
      <c r="G155" s="15">
        <v>3435.32</v>
      </c>
      <c r="H155" s="15">
        <v>7123.6</v>
      </c>
      <c r="I155" s="15">
        <v>1663.65</v>
      </c>
      <c r="J155" s="15">
        <v>3162.2</v>
      </c>
      <c r="K155" s="15">
        <v>3234.31</v>
      </c>
      <c r="L155" s="15">
        <v>3998.52</v>
      </c>
      <c r="M155" s="15">
        <v>3592.79</v>
      </c>
      <c r="N155" s="15">
        <v>3511.78</v>
      </c>
      <c r="O155" t="s">
        <v>3028</v>
      </c>
    </row>
    <row r="156" spans="1:15" x14ac:dyDescent="0.25">
      <c r="A156" s="10" t="s">
        <v>408</v>
      </c>
      <c r="B156" s="15">
        <v>4013.31</v>
      </c>
      <c r="C156" s="15">
        <v>4057.07</v>
      </c>
      <c r="D156" s="15">
        <v>4339.03</v>
      </c>
      <c r="E156" s="15">
        <v>3971.25</v>
      </c>
      <c r="F156" s="15">
        <v>3995.41</v>
      </c>
      <c r="G156" s="15">
        <v>3937.71</v>
      </c>
      <c r="H156" s="15">
        <v>4034.95</v>
      </c>
      <c r="I156" s="15">
        <v>10936.05</v>
      </c>
      <c r="J156" s="15">
        <v>1141.0899999999999</v>
      </c>
      <c r="K156" s="15">
        <v>4143.2</v>
      </c>
      <c r="L156" s="15">
        <v>4284.3999999999996</v>
      </c>
      <c r="M156" s="15">
        <v>4253.88</v>
      </c>
      <c r="N156" s="15">
        <v>4353.62</v>
      </c>
      <c r="O156" t="s">
        <v>3028</v>
      </c>
    </row>
    <row r="157" spans="1:15" x14ac:dyDescent="0.25">
      <c r="A157" s="10" t="s">
        <v>410</v>
      </c>
      <c r="B157" s="15">
        <v>4729.4799999999996</v>
      </c>
      <c r="C157" s="15">
        <v>4245.91</v>
      </c>
      <c r="D157" s="15">
        <v>4139.0600000000004</v>
      </c>
      <c r="E157" s="15">
        <v>4109.49</v>
      </c>
      <c r="F157" s="15">
        <v>4235.07</v>
      </c>
      <c r="G157" s="15">
        <v>10556.44</v>
      </c>
      <c r="H157" s="15">
        <v>356.21</v>
      </c>
      <c r="I157" s="15">
        <v>5264.43</v>
      </c>
      <c r="J157" s="15">
        <v>4594.5</v>
      </c>
      <c r="K157" s="15">
        <v>4638.91</v>
      </c>
      <c r="L157" s="15">
        <v>5215.79</v>
      </c>
      <c r="M157" s="15">
        <v>5031.78</v>
      </c>
      <c r="N157" s="15">
        <v>4735.54</v>
      </c>
      <c r="O157" t="s">
        <v>3028</v>
      </c>
    </row>
    <row r="158" spans="1:15" x14ac:dyDescent="0.25">
      <c r="A158" s="10" t="s">
        <v>412</v>
      </c>
      <c r="B158" s="15">
        <v>2572.65</v>
      </c>
      <c r="C158" s="15">
        <v>2509.8000000000002</v>
      </c>
      <c r="D158" s="15">
        <v>2519.5300000000002</v>
      </c>
      <c r="E158" s="15">
        <v>2544.54</v>
      </c>
      <c r="F158" s="15">
        <v>2106.11</v>
      </c>
      <c r="G158" s="15">
        <v>2108.12</v>
      </c>
      <c r="H158" s="15">
        <v>3802.26</v>
      </c>
      <c r="I158" s="15">
        <v>2160.9</v>
      </c>
      <c r="J158" s="15">
        <v>2316.0300000000002</v>
      </c>
      <c r="K158" s="15">
        <v>2319.0300000000002</v>
      </c>
      <c r="L158" s="15">
        <v>2564.44</v>
      </c>
      <c r="M158" s="15">
        <v>2280.19</v>
      </c>
      <c r="N158" s="15">
        <v>2484.08</v>
      </c>
      <c r="O158" t="s">
        <v>3028</v>
      </c>
    </row>
    <row r="159" spans="1:15" x14ac:dyDescent="0.25">
      <c r="A159" s="10" t="s">
        <v>414</v>
      </c>
      <c r="B159" s="15">
        <v>5260.8</v>
      </c>
      <c r="C159" s="15">
        <v>9959.75</v>
      </c>
      <c r="D159" s="15">
        <v>2630.4</v>
      </c>
      <c r="E159" s="15">
        <v>5303.98</v>
      </c>
      <c r="F159" s="15">
        <v>5267.69</v>
      </c>
      <c r="G159" s="15">
        <v>5270.37</v>
      </c>
      <c r="H159" s="15">
        <v>5260.8</v>
      </c>
      <c r="I159" s="15">
        <v>6811.58</v>
      </c>
      <c r="J159" s="15">
        <v>5777.41</v>
      </c>
      <c r="K159" s="15">
        <v>5777.41</v>
      </c>
      <c r="L159" s="15">
        <v>6047.3</v>
      </c>
      <c r="M159" s="15">
        <v>5777.41</v>
      </c>
      <c r="N159" s="15">
        <v>5805.35</v>
      </c>
      <c r="O159" t="s">
        <v>3028</v>
      </c>
    </row>
    <row r="160" spans="1:15" x14ac:dyDescent="0.25">
      <c r="A160" s="10" t="s">
        <v>416</v>
      </c>
      <c r="B160" s="15">
        <v>5566.82</v>
      </c>
      <c r="C160" s="15">
        <v>5387.97</v>
      </c>
      <c r="D160" s="15">
        <v>5460.2</v>
      </c>
      <c r="E160" s="15">
        <v>4337.2</v>
      </c>
      <c r="F160" s="15">
        <v>5566.82</v>
      </c>
      <c r="G160" s="15">
        <v>2794.59</v>
      </c>
      <c r="H160" s="15">
        <v>5213.08</v>
      </c>
      <c r="I160" s="15">
        <v>7595.22</v>
      </c>
      <c r="J160" s="15">
        <v>6015.28</v>
      </c>
      <c r="K160" s="15">
        <v>4515.6499999999996</v>
      </c>
      <c r="L160" s="15">
        <v>5524.23</v>
      </c>
      <c r="M160" s="15">
        <v>5887.98</v>
      </c>
      <c r="N160" s="15">
        <v>5315.88</v>
      </c>
      <c r="O160" t="s">
        <v>3028</v>
      </c>
    </row>
    <row r="161" spans="1:15" x14ac:dyDescent="0.25">
      <c r="A161" s="10" t="s">
        <v>418</v>
      </c>
      <c r="B161" s="15">
        <v>6941.46</v>
      </c>
      <c r="C161" s="15">
        <v>5787.7</v>
      </c>
      <c r="D161" s="15">
        <v>5349.95</v>
      </c>
      <c r="E161" s="15">
        <v>5292.83</v>
      </c>
      <c r="F161" s="15">
        <v>5611.54</v>
      </c>
      <c r="G161" s="15">
        <v>7090.5</v>
      </c>
      <c r="H161" s="15">
        <v>5720.39</v>
      </c>
      <c r="I161" s="15">
        <v>7290.07</v>
      </c>
      <c r="J161" s="15">
        <v>5859.65</v>
      </c>
      <c r="K161" s="15">
        <v>5736.75</v>
      </c>
      <c r="L161" s="15">
        <v>6582.71</v>
      </c>
      <c r="M161" s="15">
        <v>7259.89</v>
      </c>
      <c r="N161" s="15">
        <v>6462.64</v>
      </c>
      <c r="O161" t="s">
        <v>3028</v>
      </c>
    </row>
    <row r="162" spans="1:15" x14ac:dyDescent="0.25">
      <c r="A162" s="10" t="s">
        <v>420</v>
      </c>
      <c r="B162" s="15">
        <v>1976.2</v>
      </c>
      <c r="C162" s="15">
        <v>1978.74</v>
      </c>
      <c r="D162" s="15">
        <v>1680.82</v>
      </c>
      <c r="E162" s="15">
        <v>1557.1</v>
      </c>
      <c r="F162" s="15">
        <v>1430.25</v>
      </c>
      <c r="G162" s="15">
        <v>1426.42</v>
      </c>
      <c r="H162" s="15">
        <v>1551.23</v>
      </c>
      <c r="I162" s="15">
        <v>1669.49</v>
      </c>
      <c r="J162" s="15">
        <v>1632.07</v>
      </c>
      <c r="K162" s="15">
        <v>1778.61</v>
      </c>
      <c r="L162" s="15">
        <v>2097.5500000000002</v>
      </c>
      <c r="M162" s="15">
        <v>1979.33</v>
      </c>
      <c r="N162" s="15">
        <v>1834.28</v>
      </c>
      <c r="O162" t="s">
        <v>3028</v>
      </c>
    </row>
    <row r="163" spans="1:15" x14ac:dyDescent="0.25">
      <c r="A163" s="10" t="s">
        <v>422</v>
      </c>
      <c r="B163" s="15">
        <v>2613.77</v>
      </c>
      <c r="C163" s="15">
        <v>2560.62</v>
      </c>
      <c r="D163" s="15">
        <v>2560.62</v>
      </c>
      <c r="E163" s="15">
        <v>2560.62</v>
      </c>
      <c r="F163" s="15">
        <v>2560.62</v>
      </c>
      <c r="G163" s="15">
        <v>2560.62</v>
      </c>
      <c r="H163" s="15">
        <v>2560.62</v>
      </c>
      <c r="I163" s="15">
        <v>3314.97</v>
      </c>
      <c r="J163" s="15">
        <v>3127.54</v>
      </c>
      <c r="K163" s="15">
        <v>2812.07</v>
      </c>
      <c r="L163" s="15">
        <v>3472.79</v>
      </c>
      <c r="M163" s="15">
        <v>2812.07</v>
      </c>
      <c r="N163" s="15">
        <v>2843.13</v>
      </c>
      <c r="O163" t="s">
        <v>3028</v>
      </c>
    </row>
    <row r="164" spans="1:15" x14ac:dyDescent="0.25">
      <c r="A164" s="10" t="s">
        <v>424</v>
      </c>
      <c r="B164" s="15">
        <v>1300</v>
      </c>
      <c r="C164" s="15">
        <v>610.63</v>
      </c>
      <c r="D164" s="15">
        <v>1309.0899999999999</v>
      </c>
      <c r="E164" s="15">
        <v>1308.6500000000001</v>
      </c>
      <c r="F164" s="15">
        <v>1303.4100000000001</v>
      </c>
      <c r="G164" s="15">
        <v>1470.82</v>
      </c>
      <c r="H164" s="15">
        <v>1305.6500000000001</v>
      </c>
      <c r="I164" s="15">
        <v>1300</v>
      </c>
      <c r="J164" s="15">
        <v>1304.2</v>
      </c>
      <c r="K164" s="15">
        <v>1567.15</v>
      </c>
      <c r="L164" s="15">
        <v>1431.62</v>
      </c>
      <c r="M164" s="15">
        <v>3365.81</v>
      </c>
      <c r="N164" s="15">
        <v>1327.2</v>
      </c>
      <c r="O164" t="s">
        <v>3028</v>
      </c>
    </row>
    <row r="165" spans="1:15" x14ac:dyDescent="0.25">
      <c r="A165" s="10" t="s">
        <v>426</v>
      </c>
      <c r="B165" s="15">
        <v>12550.9</v>
      </c>
      <c r="C165" s="15">
        <v>15339.99</v>
      </c>
      <c r="D165" s="15">
        <v>12550.9</v>
      </c>
      <c r="E165" s="15">
        <v>12550.9</v>
      </c>
      <c r="F165" s="15">
        <v>12550.9</v>
      </c>
      <c r="G165" s="15">
        <v>12550.9</v>
      </c>
      <c r="H165" s="15">
        <v>12550.9</v>
      </c>
      <c r="I165" s="15">
        <v>15791.5</v>
      </c>
      <c r="J165" s="15">
        <v>13631.1</v>
      </c>
      <c r="K165" s="15">
        <v>13631.1</v>
      </c>
      <c r="L165" s="15">
        <v>13631.1</v>
      </c>
      <c r="M165" s="15">
        <v>13631.1</v>
      </c>
      <c r="N165" s="15">
        <v>13631.1</v>
      </c>
      <c r="O165" t="s">
        <v>3028</v>
      </c>
    </row>
    <row r="166" spans="1:15" x14ac:dyDescent="0.25">
      <c r="A166" s="10" t="s">
        <v>428</v>
      </c>
      <c r="B166" s="15">
        <v>0</v>
      </c>
      <c r="C166" s="15">
        <v>0</v>
      </c>
      <c r="D166" s="15">
        <v>0</v>
      </c>
      <c r="E166" s="15">
        <v>0</v>
      </c>
      <c r="F166" s="15">
        <v>0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11986.25</v>
      </c>
      <c r="M166" s="15">
        <v>16344.89</v>
      </c>
      <c r="N166" s="15">
        <v>2724.15</v>
      </c>
      <c r="O166" t="s">
        <v>3028</v>
      </c>
    </row>
    <row r="167" spans="1:15" x14ac:dyDescent="0.25">
      <c r="A167" s="10" t="s">
        <v>430</v>
      </c>
      <c r="B167" s="15">
        <v>7848.47</v>
      </c>
      <c r="C167" s="15">
        <v>8.08</v>
      </c>
      <c r="D167" s="15">
        <v>5568.59</v>
      </c>
      <c r="E167" s="15">
        <v>5732.28</v>
      </c>
      <c r="F167" s="15">
        <v>6694.88</v>
      </c>
      <c r="G167" s="15">
        <v>17851.349999999999</v>
      </c>
      <c r="H167" s="15">
        <v>1341.73</v>
      </c>
      <c r="I167" s="15">
        <v>8091.12</v>
      </c>
      <c r="J167" s="15">
        <v>6760.07</v>
      </c>
      <c r="K167" s="15">
        <v>6291.12</v>
      </c>
      <c r="L167" s="15">
        <v>10196.219999999999</v>
      </c>
      <c r="M167" s="15">
        <v>10941.88</v>
      </c>
      <c r="N167" s="15">
        <v>7033.21</v>
      </c>
      <c r="O167" t="s">
        <v>3028</v>
      </c>
    </row>
    <row r="168" spans="1:15" x14ac:dyDescent="0.25">
      <c r="A168" s="10" t="s">
        <v>432</v>
      </c>
      <c r="B168" s="15">
        <v>3322.59</v>
      </c>
      <c r="C168" s="15">
        <v>3175.33</v>
      </c>
      <c r="D168" s="15">
        <v>3303.29</v>
      </c>
      <c r="E168" s="15">
        <v>3230.28</v>
      </c>
      <c r="F168" s="15">
        <v>3183.62</v>
      </c>
      <c r="G168" s="15">
        <v>3270.47</v>
      </c>
      <c r="H168" s="15">
        <v>3166.69</v>
      </c>
      <c r="I168" s="15">
        <v>4597.58</v>
      </c>
      <c r="J168" s="15">
        <v>5310.12</v>
      </c>
      <c r="K168" s="15">
        <v>3670.88</v>
      </c>
      <c r="L168" s="15">
        <v>3522.71</v>
      </c>
      <c r="M168" s="15">
        <v>3483.22</v>
      </c>
      <c r="N168" s="15">
        <v>3613.57</v>
      </c>
      <c r="O168" t="s">
        <v>3028</v>
      </c>
    </row>
    <row r="169" spans="1:15" x14ac:dyDescent="0.25">
      <c r="A169" s="10" t="s">
        <v>434</v>
      </c>
      <c r="B169" s="15">
        <v>0</v>
      </c>
      <c r="C169" s="15">
        <v>0</v>
      </c>
      <c r="D169" s="15">
        <v>0</v>
      </c>
      <c r="E169" s="15">
        <v>0</v>
      </c>
      <c r="F169" s="15">
        <v>0</v>
      </c>
      <c r="G169" s="15">
        <v>0</v>
      </c>
      <c r="H169" s="15">
        <v>2486.06</v>
      </c>
      <c r="I169" s="15">
        <v>5495.4</v>
      </c>
      <c r="J169" s="15">
        <v>4340.05</v>
      </c>
      <c r="K169" s="15">
        <v>4546.7</v>
      </c>
      <c r="L169" s="15">
        <v>4481.04</v>
      </c>
      <c r="M169" s="15">
        <v>4738.8</v>
      </c>
      <c r="N169" s="15">
        <v>2288.17</v>
      </c>
      <c r="O169" t="s">
        <v>3028</v>
      </c>
    </row>
    <row r="170" spans="1:15" x14ac:dyDescent="0.25">
      <c r="A170" s="10" t="s">
        <v>436</v>
      </c>
      <c r="B170" s="15">
        <v>1995.59</v>
      </c>
      <c r="C170" s="15">
        <v>1817.63</v>
      </c>
      <c r="D170" s="15">
        <v>1778.23</v>
      </c>
      <c r="E170" s="15">
        <v>4236.6099999999997</v>
      </c>
      <c r="F170" s="15">
        <v>26.68</v>
      </c>
      <c r="G170" s="15">
        <v>1775.5</v>
      </c>
      <c r="H170" s="15">
        <v>1804.52</v>
      </c>
      <c r="I170" s="15">
        <v>2487.75</v>
      </c>
      <c r="J170" s="15">
        <v>2156.8000000000002</v>
      </c>
      <c r="K170" s="15">
        <v>2160.73</v>
      </c>
      <c r="L170" s="15">
        <v>2167.4</v>
      </c>
      <c r="M170" s="15">
        <v>2375.84</v>
      </c>
      <c r="N170" s="15">
        <v>2081.41</v>
      </c>
      <c r="O170" t="s">
        <v>3028</v>
      </c>
    </row>
    <row r="171" spans="1:15" x14ac:dyDescent="0.25">
      <c r="A171" s="10" t="s">
        <v>438</v>
      </c>
      <c r="B171" s="15">
        <v>3602.78</v>
      </c>
      <c r="C171" s="15">
        <v>3595.02</v>
      </c>
      <c r="D171" s="15">
        <v>3624.74</v>
      </c>
      <c r="E171" s="15">
        <v>3680.94</v>
      </c>
      <c r="F171" s="15">
        <v>3722.09</v>
      </c>
      <c r="G171" s="15">
        <v>3693.22</v>
      </c>
      <c r="H171" s="15">
        <v>3603.2</v>
      </c>
      <c r="I171" s="15">
        <v>4700.5</v>
      </c>
      <c r="J171" s="15">
        <v>5111.28</v>
      </c>
      <c r="K171" s="15">
        <v>3834.71</v>
      </c>
      <c r="L171" s="15">
        <v>3960.51</v>
      </c>
      <c r="M171" s="15">
        <v>3948.05</v>
      </c>
      <c r="N171" s="15">
        <v>3987.66</v>
      </c>
      <c r="O171" t="s">
        <v>3028</v>
      </c>
    </row>
    <row r="172" spans="1:15" x14ac:dyDescent="0.25">
      <c r="A172" s="10" t="s">
        <v>440</v>
      </c>
      <c r="B172" s="15">
        <v>4764.6000000000004</v>
      </c>
      <c r="C172" s="15">
        <v>14293.8</v>
      </c>
      <c r="D172" s="15">
        <v>14293.8</v>
      </c>
      <c r="E172" s="15">
        <v>14293.8</v>
      </c>
      <c r="F172" s="15">
        <v>14293.8</v>
      </c>
      <c r="G172" s="15">
        <v>14293.8</v>
      </c>
      <c r="H172" s="15">
        <v>14293.8</v>
      </c>
      <c r="I172" s="15">
        <v>17534.400000000001</v>
      </c>
      <c r="J172" s="15">
        <v>15374</v>
      </c>
      <c r="K172" s="15">
        <v>15374</v>
      </c>
      <c r="L172" s="15">
        <v>15374</v>
      </c>
      <c r="M172" s="15">
        <v>15374</v>
      </c>
      <c r="N172" s="15">
        <v>15374</v>
      </c>
      <c r="O172" t="s">
        <v>3028</v>
      </c>
    </row>
    <row r="173" spans="1:15" x14ac:dyDescent="0.25">
      <c r="A173" s="10" t="s">
        <v>442</v>
      </c>
      <c r="B173" s="15">
        <v>1812.1</v>
      </c>
      <c r="C173" s="15">
        <v>2269.12</v>
      </c>
      <c r="D173" s="15">
        <v>1822.02</v>
      </c>
      <c r="E173" s="15">
        <v>1825.25</v>
      </c>
      <c r="F173" s="15">
        <v>3017.96</v>
      </c>
      <c r="G173" s="15">
        <v>1360.45</v>
      </c>
      <c r="H173" s="15">
        <v>1809.58</v>
      </c>
      <c r="I173" s="15">
        <v>2645</v>
      </c>
      <c r="J173" s="15">
        <v>1957.45</v>
      </c>
      <c r="K173" s="15">
        <v>2005.1</v>
      </c>
      <c r="L173" s="15">
        <v>2050.1</v>
      </c>
      <c r="M173" s="15">
        <v>2228.0500000000002</v>
      </c>
      <c r="N173" s="15">
        <v>2078.04</v>
      </c>
      <c r="O173" t="s">
        <v>3028</v>
      </c>
    </row>
    <row r="174" spans="1:15" x14ac:dyDescent="0.25">
      <c r="A174" s="10" t="s">
        <v>444</v>
      </c>
      <c r="B174" s="15">
        <v>3875.38</v>
      </c>
      <c r="C174" s="15">
        <v>3955.17</v>
      </c>
      <c r="D174" s="15">
        <v>3922.04</v>
      </c>
      <c r="E174" s="15">
        <v>3920.61</v>
      </c>
      <c r="F174" s="15">
        <v>3928.48</v>
      </c>
      <c r="G174" s="15">
        <v>4184.03</v>
      </c>
      <c r="H174" s="15">
        <v>3912.27</v>
      </c>
      <c r="I174" s="15">
        <v>5456.73</v>
      </c>
      <c r="J174" s="15">
        <v>4332.32</v>
      </c>
      <c r="K174" s="15">
        <v>4275.71</v>
      </c>
      <c r="L174" s="15">
        <v>8172.36</v>
      </c>
      <c r="M174" s="15">
        <v>2660.81</v>
      </c>
      <c r="N174" s="15">
        <v>4414.1099999999997</v>
      </c>
      <c r="O174" t="s">
        <v>3028</v>
      </c>
    </row>
    <row r="175" spans="1:15" x14ac:dyDescent="0.25">
      <c r="A175" s="10" t="s">
        <v>450</v>
      </c>
      <c r="B175" s="15">
        <v>1455.33</v>
      </c>
      <c r="C175" s="15">
        <v>1530.43</v>
      </c>
      <c r="D175" s="15">
        <v>1342.94</v>
      </c>
      <c r="E175" s="15">
        <v>1350</v>
      </c>
      <c r="F175" s="15">
        <v>1477.2</v>
      </c>
      <c r="G175" s="15">
        <v>3286.17</v>
      </c>
      <c r="H175" s="15">
        <v>233.47</v>
      </c>
      <c r="I175" s="15">
        <v>1699.26</v>
      </c>
      <c r="J175" s="15">
        <v>1476.73</v>
      </c>
      <c r="K175" s="15">
        <v>1779.32</v>
      </c>
      <c r="L175" s="15">
        <v>1693.72</v>
      </c>
      <c r="M175" s="15">
        <v>1687.83</v>
      </c>
      <c r="N175" s="15">
        <v>1591.54</v>
      </c>
      <c r="O175" t="s">
        <v>3028</v>
      </c>
    </row>
    <row r="176" spans="1:15" x14ac:dyDescent="0.25">
      <c r="A176" s="10" t="s">
        <v>452</v>
      </c>
      <c r="B176" s="15">
        <v>0</v>
      </c>
      <c r="C176" s="15">
        <v>0</v>
      </c>
      <c r="D176" s="15">
        <v>0</v>
      </c>
      <c r="E176" s="15">
        <v>2201.92</v>
      </c>
      <c r="F176" s="15">
        <v>3897.94</v>
      </c>
      <c r="G176" s="15">
        <v>3900.91</v>
      </c>
      <c r="H176" s="15">
        <v>3893.15</v>
      </c>
      <c r="I176" s="15">
        <v>5450.97</v>
      </c>
      <c r="J176" s="15">
        <v>4759</v>
      </c>
      <c r="K176" s="15">
        <v>4305.38</v>
      </c>
      <c r="L176" s="15">
        <v>4282.71</v>
      </c>
      <c r="M176" s="15">
        <v>4269.78</v>
      </c>
      <c r="N176" s="15">
        <v>3285.62</v>
      </c>
      <c r="O176" t="s">
        <v>3028</v>
      </c>
    </row>
    <row r="177" spans="1:15" x14ac:dyDescent="0.25">
      <c r="A177" s="10" t="s">
        <v>454</v>
      </c>
      <c r="B177" s="15">
        <v>1349.4</v>
      </c>
      <c r="C177" s="15">
        <v>1340.84</v>
      </c>
      <c r="D177" s="15">
        <v>1356.74</v>
      </c>
      <c r="E177" s="15">
        <v>1350.94</v>
      </c>
      <c r="F177" s="15">
        <v>2404.4899999999998</v>
      </c>
      <c r="G177" s="15">
        <v>1025.3399999999999</v>
      </c>
      <c r="H177" s="15">
        <v>1743.26</v>
      </c>
      <c r="I177" s="15">
        <v>2139.64</v>
      </c>
      <c r="J177" s="15">
        <v>1820.31</v>
      </c>
      <c r="K177" s="15">
        <v>1848.53</v>
      </c>
      <c r="L177" s="15">
        <v>1771.92</v>
      </c>
      <c r="M177" s="15">
        <v>1858.02</v>
      </c>
      <c r="N177" s="15">
        <v>1685.02</v>
      </c>
      <c r="O177" t="s">
        <v>3028</v>
      </c>
    </row>
    <row r="178" spans="1:15" x14ac:dyDescent="0.25">
      <c r="A178" s="10" t="s">
        <v>456</v>
      </c>
      <c r="B178" s="15">
        <v>4888.38</v>
      </c>
      <c r="C178" s="15">
        <v>4809.8599999999997</v>
      </c>
      <c r="D178" s="15">
        <v>4654.25</v>
      </c>
      <c r="E178" s="15">
        <v>4679.1899999999996</v>
      </c>
      <c r="F178" s="15">
        <v>4651.29</v>
      </c>
      <c r="G178" s="15">
        <v>5101.29</v>
      </c>
      <c r="H178" s="15">
        <v>4560.55</v>
      </c>
      <c r="I178" s="15">
        <v>6096.72</v>
      </c>
      <c r="J178" s="15">
        <v>11888.73</v>
      </c>
      <c r="K178" s="15">
        <v>695.34</v>
      </c>
      <c r="L178" s="15">
        <v>4633.59</v>
      </c>
      <c r="M178" s="15">
        <v>5493.27</v>
      </c>
      <c r="N178" s="15">
        <v>5202.93</v>
      </c>
      <c r="O178" t="s">
        <v>3028</v>
      </c>
    </row>
    <row r="179" spans="1:15" x14ac:dyDescent="0.25">
      <c r="A179" s="10" t="s">
        <v>458</v>
      </c>
      <c r="B179" s="15">
        <v>7566.99</v>
      </c>
      <c r="C179" s="15">
        <v>5525.26</v>
      </c>
      <c r="D179" s="15">
        <v>5862.55</v>
      </c>
      <c r="E179" s="15">
        <v>5640.7</v>
      </c>
      <c r="F179" s="15">
        <v>5660.82</v>
      </c>
      <c r="G179" s="15">
        <v>14311.2</v>
      </c>
      <c r="H179" s="15">
        <v>727.11</v>
      </c>
      <c r="I179" s="15">
        <v>7778.6</v>
      </c>
      <c r="J179" s="15">
        <v>3399.39</v>
      </c>
      <c r="K179" s="15">
        <v>0</v>
      </c>
      <c r="L179" s="15">
        <v>3347.56</v>
      </c>
      <c r="M179" s="15">
        <v>2913.84</v>
      </c>
      <c r="N179" s="15">
        <v>4958.34</v>
      </c>
      <c r="O179" t="s">
        <v>3028</v>
      </c>
    </row>
    <row r="180" spans="1:15" x14ac:dyDescent="0.25">
      <c r="A180" s="10" t="s">
        <v>460</v>
      </c>
      <c r="B180" s="15">
        <v>2274.64</v>
      </c>
      <c r="C180" s="15">
        <v>2469.91</v>
      </c>
      <c r="D180" s="15">
        <v>5844.49</v>
      </c>
      <c r="E180" s="15">
        <v>306.38</v>
      </c>
      <c r="F180" s="15">
        <v>2019.87</v>
      </c>
      <c r="G180" s="15">
        <v>2481.38</v>
      </c>
      <c r="H180" s="15">
        <v>3739.39</v>
      </c>
      <c r="I180" s="15">
        <v>3838.97</v>
      </c>
      <c r="J180" s="15">
        <v>3259.03</v>
      </c>
      <c r="K180" s="15">
        <v>3406.12</v>
      </c>
      <c r="L180" s="15">
        <v>3282.22</v>
      </c>
      <c r="M180" s="15">
        <v>3765.03</v>
      </c>
      <c r="N180" s="15">
        <v>3410.81</v>
      </c>
      <c r="O180" t="s">
        <v>3028</v>
      </c>
    </row>
    <row r="181" spans="1:15" x14ac:dyDescent="0.25">
      <c r="A181" s="10" t="s">
        <v>462</v>
      </c>
      <c r="B181" s="15">
        <v>1313.64</v>
      </c>
      <c r="C181" s="15">
        <v>1300.83</v>
      </c>
      <c r="D181" s="15">
        <v>1314.95</v>
      </c>
      <c r="E181" s="15">
        <v>1318.79</v>
      </c>
      <c r="F181" s="15">
        <v>1316.82</v>
      </c>
      <c r="G181" s="15">
        <v>1999.54</v>
      </c>
      <c r="H181" s="15">
        <v>1086.68</v>
      </c>
      <c r="I181" s="15">
        <v>1349.76</v>
      </c>
      <c r="J181" s="15">
        <v>1605.48</v>
      </c>
      <c r="K181" s="15">
        <v>1930.14</v>
      </c>
      <c r="L181" s="15">
        <v>1757.13</v>
      </c>
      <c r="M181" s="15">
        <v>1763.06</v>
      </c>
      <c r="N181" s="15">
        <v>1754.54</v>
      </c>
      <c r="O181" t="s">
        <v>3028</v>
      </c>
    </row>
    <row r="182" spans="1:15" x14ac:dyDescent="0.25">
      <c r="A182" s="10" t="s">
        <v>464</v>
      </c>
      <c r="B182" s="15">
        <v>3866.81</v>
      </c>
      <c r="C182" s="15">
        <v>0</v>
      </c>
      <c r="D182" s="15">
        <v>0</v>
      </c>
      <c r="E182" s="15">
        <v>0</v>
      </c>
      <c r="F182" s="15">
        <v>2842.31</v>
      </c>
      <c r="G182" s="15">
        <v>2937.69</v>
      </c>
      <c r="H182" s="15">
        <v>7407.79</v>
      </c>
      <c r="I182" s="15">
        <v>675.49</v>
      </c>
      <c r="J182" s="15">
        <v>2947.9</v>
      </c>
      <c r="K182" s="15">
        <v>4056.23</v>
      </c>
      <c r="L182" s="15">
        <v>3948.57</v>
      </c>
      <c r="M182" s="15">
        <v>3867.74</v>
      </c>
      <c r="N182" s="15">
        <v>3499.85</v>
      </c>
      <c r="O182" t="s">
        <v>3028</v>
      </c>
    </row>
    <row r="183" spans="1:15" x14ac:dyDescent="0.25">
      <c r="A183" s="10" t="s">
        <v>466</v>
      </c>
      <c r="B183" s="15">
        <v>2640.62</v>
      </c>
      <c r="C183" s="15">
        <v>2933.71</v>
      </c>
      <c r="D183" s="15">
        <v>2868.63</v>
      </c>
      <c r="E183" s="15">
        <v>2947.19</v>
      </c>
      <c r="F183" s="15">
        <v>2719.78</v>
      </c>
      <c r="G183" s="15">
        <v>4829.49</v>
      </c>
      <c r="H183" s="15">
        <v>2375.52</v>
      </c>
      <c r="I183" s="15">
        <v>3641.86</v>
      </c>
      <c r="J183" s="15">
        <v>3373.13</v>
      </c>
      <c r="K183" s="15">
        <v>2937.7</v>
      </c>
      <c r="L183" s="15">
        <v>2909.66</v>
      </c>
      <c r="M183" s="15">
        <v>2941.14</v>
      </c>
      <c r="N183" s="15">
        <v>3071.03</v>
      </c>
      <c r="O183" t="s">
        <v>3028</v>
      </c>
    </row>
    <row r="184" spans="1:15" x14ac:dyDescent="0.25">
      <c r="A184" s="10" t="s">
        <v>468</v>
      </c>
      <c r="B184" s="15">
        <v>4347.71</v>
      </c>
      <c r="C184" s="15">
        <v>4887.03</v>
      </c>
      <c r="D184" s="15">
        <v>4562.6400000000003</v>
      </c>
      <c r="E184" s="15">
        <v>4782.6400000000003</v>
      </c>
      <c r="F184" s="15">
        <v>5057.5600000000004</v>
      </c>
      <c r="G184" s="15">
        <v>5282.3</v>
      </c>
      <c r="H184" s="15">
        <v>8557.86</v>
      </c>
      <c r="I184" s="15">
        <v>3885.72</v>
      </c>
      <c r="J184" s="15">
        <v>4979.57</v>
      </c>
      <c r="K184" s="15">
        <v>4631.04</v>
      </c>
      <c r="L184" s="15">
        <v>4920.4799999999996</v>
      </c>
      <c r="M184" s="15">
        <v>4868.8500000000004</v>
      </c>
      <c r="N184" s="15">
        <v>5154.04</v>
      </c>
      <c r="O184" t="s">
        <v>3028</v>
      </c>
    </row>
    <row r="185" spans="1:15" x14ac:dyDescent="0.25">
      <c r="A185" s="10" t="s">
        <v>470</v>
      </c>
      <c r="B185" s="15">
        <v>6662.16</v>
      </c>
      <c r="C185" s="15">
        <v>8333.36</v>
      </c>
      <c r="D185" s="15">
        <v>6037.28</v>
      </c>
      <c r="E185" s="15">
        <v>5162.6400000000003</v>
      </c>
      <c r="F185" s="15">
        <v>5235.04</v>
      </c>
      <c r="G185" s="15">
        <v>17151.02</v>
      </c>
      <c r="H185" s="15">
        <v>751.19</v>
      </c>
      <c r="I185" s="15">
        <v>6623.49</v>
      </c>
      <c r="J185" s="15">
        <v>6838.43</v>
      </c>
      <c r="K185" s="15">
        <v>6100.33</v>
      </c>
      <c r="L185" s="15">
        <v>8742.74</v>
      </c>
      <c r="M185" s="15">
        <v>7866.39</v>
      </c>
      <c r="N185" s="15">
        <v>6998.8</v>
      </c>
      <c r="O185" t="s">
        <v>3028</v>
      </c>
    </row>
    <row r="186" spans="1:15" x14ac:dyDescent="0.25">
      <c r="A186" s="10" t="s">
        <v>472</v>
      </c>
      <c r="B186" s="15">
        <v>9190.73</v>
      </c>
      <c r="C186" s="15">
        <v>9190.73</v>
      </c>
      <c r="D186" s="15">
        <v>9190.73</v>
      </c>
      <c r="E186" s="15">
        <v>9190.73</v>
      </c>
      <c r="F186" s="15">
        <v>11233.11</v>
      </c>
      <c r="G186" s="15">
        <v>9190.73</v>
      </c>
      <c r="H186" s="15">
        <v>9190.73</v>
      </c>
      <c r="I186" s="15">
        <v>11898.32</v>
      </c>
      <c r="J186" s="15">
        <v>10093.26</v>
      </c>
      <c r="K186" s="15">
        <v>10093.26</v>
      </c>
      <c r="L186" s="15">
        <v>10093.26</v>
      </c>
      <c r="M186" s="15">
        <v>10093.26</v>
      </c>
      <c r="N186" s="15">
        <v>10093.26</v>
      </c>
      <c r="O186" t="s">
        <v>3028</v>
      </c>
    </row>
    <row r="187" spans="1:15" x14ac:dyDescent="0.25">
      <c r="A187" s="10" t="s">
        <v>474</v>
      </c>
      <c r="B187" s="15">
        <v>2679.35</v>
      </c>
      <c r="C187" s="15">
        <v>2976.98</v>
      </c>
      <c r="D187" s="15">
        <v>3312.52</v>
      </c>
      <c r="E187" s="15">
        <v>7298.9</v>
      </c>
      <c r="F187" s="15">
        <v>146.88999999999999</v>
      </c>
      <c r="G187" s="15">
        <v>3009.72</v>
      </c>
      <c r="H187" s="15">
        <v>2874.3</v>
      </c>
      <c r="I187" s="15">
        <v>3781.97</v>
      </c>
      <c r="J187" s="15">
        <v>3205.6</v>
      </c>
      <c r="K187" s="15">
        <v>3242.47</v>
      </c>
      <c r="L187" s="15">
        <v>3779.08</v>
      </c>
      <c r="M187" s="15">
        <v>3171.71</v>
      </c>
      <c r="N187" s="15">
        <v>3336.95</v>
      </c>
      <c r="O187" t="s">
        <v>3028</v>
      </c>
    </row>
    <row r="188" spans="1:15" x14ac:dyDescent="0.25">
      <c r="A188" s="10" t="s">
        <v>476</v>
      </c>
      <c r="B188" s="15">
        <v>1359.57</v>
      </c>
      <c r="C188" s="15">
        <v>1811.15</v>
      </c>
      <c r="D188" s="15">
        <v>1392.27</v>
      </c>
      <c r="E188" s="15">
        <v>3285.36</v>
      </c>
      <c r="F188" s="15">
        <v>29.38</v>
      </c>
      <c r="G188" s="15">
        <v>1334.57</v>
      </c>
      <c r="H188" s="15">
        <v>1354.25</v>
      </c>
      <c r="I188" s="15">
        <v>1753.42</v>
      </c>
      <c r="J188" s="15">
        <v>1494.04</v>
      </c>
      <c r="K188" s="15">
        <v>1515.9</v>
      </c>
      <c r="L188" s="15">
        <v>1482.3</v>
      </c>
      <c r="M188" s="15">
        <v>1514.59</v>
      </c>
      <c r="N188" s="15">
        <v>1536.52</v>
      </c>
      <c r="O188" t="s">
        <v>3028</v>
      </c>
    </row>
    <row r="189" spans="1:15" x14ac:dyDescent="0.25">
      <c r="A189" s="10" t="s">
        <v>478</v>
      </c>
      <c r="B189" s="15">
        <v>0</v>
      </c>
      <c r="C189" s="15">
        <v>0</v>
      </c>
      <c r="D189" s="15">
        <v>0</v>
      </c>
      <c r="E189" s="15">
        <v>0</v>
      </c>
      <c r="F189" s="15">
        <v>0</v>
      </c>
      <c r="G189" s="15">
        <v>0</v>
      </c>
      <c r="H189" s="15">
        <v>0</v>
      </c>
      <c r="I189" s="15">
        <v>6879.99</v>
      </c>
      <c r="J189" s="15">
        <v>9381.7999999999993</v>
      </c>
      <c r="K189" s="15">
        <v>9381.7999999999993</v>
      </c>
      <c r="L189" s="15">
        <v>9381.7999999999993</v>
      </c>
      <c r="M189" s="15">
        <v>9381.7999999999993</v>
      </c>
      <c r="N189" s="15">
        <v>3909.08</v>
      </c>
      <c r="O189" t="s">
        <v>3028</v>
      </c>
    </row>
    <row r="190" spans="1:15" x14ac:dyDescent="0.25">
      <c r="A190" s="10" t="s">
        <v>480</v>
      </c>
      <c r="B190" s="15">
        <v>1300</v>
      </c>
      <c r="C190" s="15">
        <v>279.95999999999998</v>
      </c>
      <c r="D190" s="15">
        <v>0</v>
      </c>
      <c r="E190" s="15">
        <v>0</v>
      </c>
      <c r="F190" s="15">
        <v>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217.83</v>
      </c>
      <c r="O190" t="s">
        <v>3028</v>
      </c>
    </row>
    <row r="191" spans="1:15" x14ac:dyDescent="0.25">
      <c r="A191" s="10" t="s">
        <v>482</v>
      </c>
      <c r="B191" s="15">
        <v>1300.3900000000001</v>
      </c>
      <c r="C191" s="15">
        <v>1301.69</v>
      </c>
      <c r="D191" s="15">
        <v>1317.09</v>
      </c>
      <c r="E191" s="15">
        <v>1409.17</v>
      </c>
      <c r="F191" s="15">
        <v>1383.91</v>
      </c>
      <c r="G191" s="15">
        <v>1690.82</v>
      </c>
      <c r="H191" s="15">
        <v>1750.87</v>
      </c>
      <c r="I191" s="15">
        <v>0</v>
      </c>
      <c r="J191" s="15">
        <v>0</v>
      </c>
      <c r="K191" s="15">
        <v>0</v>
      </c>
      <c r="L191" s="15">
        <v>1282.55</v>
      </c>
      <c r="M191" s="15">
        <v>1877.68</v>
      </c>
      <c r="N191" s="15">
        <v>1169.05</v>
      </c>
      <c r="O191" t="s">
        <v>3028</v>
      </c>
    </row>
    <row r="192" spans="1:15" x14ac:dyDescent="0.25">
      <c r="A192" s="10" t="s">
        <v>484</v>
      </c>
      <c r="B192" s="15">
        <v>1206.44</v>
      </c>
      <c r="C192" s="15">
        <v>0</v>
      </c>
      <c r="D192" s="15">
        <v>0</v>
      </c>
      <c r="E192" s="15">
        <v>0</v>
      </c>
      <c r="F192" s="15">
        <v>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453.36</v>
      </c>
      <c r="O192" t="s">
        <v>3028</v>
      </c>
    </row>
    <row r="193" spans="1:15" x14ac:dyDescent="0.25">
      <c r="A193" s="10" t="s">
        <v>486</v>
      </c>
      <c r="B193" s="15">
        <v>0</v>
      </c>
      <c r="C193" s="15">
        <v>0</v>
      </c>
      <c r="D193" s="15">
        <v>0</v>
      </c>
      <c r="E193" s="15">
        <v>0</v>
      </c>
      <c r="F193" s="15">
        <v>0</v>
      </c>
      <c r="G193" s="15">
        <v>0</v>
      </c>
      <c r="H193" s="15">
        <v>0</v>
      </c>
      <c r="I193" s="15">
        <v>0</v>
      </c>
      <c r="J193" s="15">
        <v>0</v>
      </c>
      <c r="K193" s="15">
        <v>0</v>
      </c>
      <c r="L193" s="15">
        <v>2128.59</v>
      </c>
      <c r="M193" s="15">
        <v>6518</v>
      </c>
      <c r="N193" s="15">
        <v>820.48</v>
      </c>
      <c r="O193" t="s">
        <v>3028</v>
      </c>
    </row>
    <row r="194" spans="1:15" x14ac:dyDescent="0.25">
      <c r="A194" s="10" t="s">
        <v>488</v>
      </c>
      <c r="B194" s="15">
        <v>1606.12</v>
      </c>
      <c r="C194" s="15">
        <v>1596.34</v>
      </c>
      <c r="D194" s="15">
        <v>3832.94</v>
      </c>
      <c r="E194" s="15">
        <v>180.09</v>
      </c>
      <c r="F194" s="15">
        <v>1551.45</v>
      </c>
      <c r="G194" s="15">
        <v>1816.71</v>
      </c>
      <c r="H194" s="15">
        <v>1608.28</v>
      </c>
      <c r="I194" s="15">
        <v>448.14</v>
      </c>
      <c r="J194" s="15">
        <v>946.99</v>
      </c>
      <c r="K194" s="15">
        <v>1836.69</v>
      </c>
      <c r="L194" s="15">
        <v>1734.29</v>
      </c>
      <c r="M194" s="15">
        <v>1769.7</v>
      </c>
      <c r="N194" s="15">
        <v>1636.95</v>
      </c>
      <c r="O194" t="s">
        <v>3028</v>
      </c>
    </row>
    <row r="195" spans="1:15" x14ac:dyDescent="0.25">
      <c r="A195" s="10" t="s">
        <v>490</v>
      </c>
      <c r="B195" s="15">
        <v>0</v>
      </c>
      <c r="C195" s="15">
        <v>0</v>
      </c>
      <c r="D195" s="15">
        <v>736.67</v>
      </c>
      <c r="E195" s="15">
        <v>1304.55</v>
      </c>
      <c r="F195" s="15">
        <v>1301.57</v>
      </c>
      <c r="G195" s="15">
        <v>1305.51</v>
      </c>
      <c r="H195" s="15">
        <v>1301.42</v>
      </c>
      <c r="I195" s="15">
        <v>1306.57</v>
      </c>
      <c r="J195" s="15">
        <v>1310.43</v>
      </c>
      <c r="K195" s="15">
        <v>1561.83</v>
      </c>
      <c r="L195" s="15">
        <v>1426.83</v>
      </c>
      <c r="M195" s="15">
        <v>1426.6</v>
      </c>
      <c r="N195" s="15">
        <v>1191.56</v>
      </c>
      <c r="O195" t="s">
        <v>3028</v>
      </c>
    </row>
    <row r="196" spans="1:15" x14ac:dyDescent="0.25">
      <c r="A196" s="10" t="s">
        <v>492</v>
      </c>
      <c r="B196" s="15">
        <v>8212.5</v>
      </c>
      <c r="C196" s="15">
        <v>8212.5</v>
      </c>
      <c r="D196" s="15">
        <v>8212.5</v>
      </c>
      <c r="E196" s="15">
        <v>8212.5</v>
      </c>
      <c r="F196" s="15">
        <v>8212.5</v>
      </c>
      <c r="G196" s="15">
        <v>8212.5</v>
      </c>
      <c r="H196" s="15">
        <v>8212.5</v>
      </c>
      <c r="I196" s="15">
        <v>10631.91</v>
      </c>
      <c r="J196" s="15">
        <v>9018.9699999999993</v>
      </c>
      <c r="K196" s="15">
        <v>11023.19</v>
      </c>
      <c r="L196" s="15">
        <v>9018.9699999999993</v>
      </c>
      <c r="M196" s="15">
        <v>9018.9699999999993</v>
      </c>
      <c r="N196" s="15">
        <v>9018.9699999999993</v>
      </c>
      <c r="O196" t="s">
        <v>3028</v>
      </c>
    </row>
    <row r="197" spans="1:15" x14ac:dyDescent="0.25">
      <c r="A197" s="10" t="s">
        <v>494</v>
      </c>
      <c r="B197" s="15">
        <v>19551.650000000001</v>
      </c>
      <c r="C197" s="15">
        <v>19551.650000000001</v>
      </c>
      <c r="D197" s="15">
        <v>32586.09</v>
      </c>
      <c r="E197" s="15">
        <v>9775.83</v>
      </c>
      <c r="F197" s="15">
        <v>19551.650000000001</v>
      </c>
      <c r="G197" s="15">
        <v>32586.09</v>
      </c>
      <c r="H197" s="15">
        <v>9775.83</v>
      </c>
      <c r="I197" s="15">
        <v>22972.28</v>
      </c>
      <c r="J197" s="15">
        <v>20631.849999999999</v>
      </c>
      <c r="K197" s="15">
        <v>20631.849999999999</v>
      </c>
      <c r="L197" s="15">
        <v>20631.849999999999</v>
      </c>
      <c r="M197" s="15">
        <v>3438.64</v>
      </c>
      <c r="N197" s="15">
        <v>18912.53</v>
      </c>
      <c r="O197" t="s">
        <v>3028</v>
      </c>
    </row>
    <row r="198" spans="1:15" x14ac:dyDescent="0.25">
      <c r="A198" s="10" t="s">
        <v>496</v>
      </c>
      <c r="B198" s="15">
        <v>3592.76</v>
      </c>
      <c r="C198" s="15">
        <v>3170.32</v>
      </c>
      <c r="D198" s="15">
        <v>3216.89</v>
      </c>
      <c r="E198" s="15">
        <v>3425.89</v>
      </c>
      <c r="F198" s="15">
        <v>5191.84</v>
      </c>
      <c r="G198" s="15">
        <v>1794.65</v>
      </c>
      <c r="H198" s="15">
        <v>1555.49</v>
      </c>
      <c r="I198" s="15">
        <v>0</v>
      </c>
      <c r="J198" s="15">
        <v>383.46</v>
      </c>
      <c r="K198" s="15">
        <v>0</v>
      </c>
      <c r="L198" s="15">
        <v>0</v>
      </c>
      <c r="M198" s="15">
        <v>0</v>
      </c>
      <c r="N198" s="15">
        <v>2247.7600000000002</v>
      </c>
      <c r="O198" t="s">
        <v>3028</v>
      </c>
    </row>
    <row r="199" spans="1:15" x14ac:dyDescent="0.25">
      <c r="A199" s="10" t="s">
        <v>500</v>
      </c>
      <c r="B199" s="15">
        <v>0</v>
      </c>
      <c r="C199" s="15">
        <v>0</v>
      </c>
      <c r="D199" s="15">
        <v>0</v>
      </c>
      <c r="E199" s="15">
        <v>2026.35</v>
      </c>
      <c r="F199" s="15">
        <v>3676.71</v>
      </c>
      <c r="G199" s="15">
        <v>1869.35</v>
      </c>
      <c r="H199" s="15">
        <v>0</v>
      </c>
      <c r="I199" s="15">
        <v>0</v>
      </c>
      <c r="J199" s="15">
        <v>0</v>
      </c>
      <c r="K199" s="15">
        <v>0</v>
      </c>
      <c r="L199" s="15">
        <v>0</v>
      </c>
      <c r="M199" s="15">
        <v>0</v>
      </c>
      <c r="N199" s="15">
        <v>659.81</v>
      </c>
      <c r="O199" t="s">
        <v>3028</v>
      </c>
    </row>
    <row r="200" spans="1:15" x14ac:dyDescent="0.25">
      <c r="A200" s="10" t="s">
        <v>502</v>
      </c>
      <c r="B200" s="15">
        <v>7391.25</v>
      </c>
      <c r="C200" s="15">
        <v>7391.25</v>
      </c>
      <c r="D200" s="15">
        <v>7391.25</v>
      </c>
      <c r="E200" s="15">
        <v>7391.25</v>
      </c>
      <c r="F200" s="15">
        <v>7391.25</v>
      </c>
      <c r="G200" s="15">
        <v>7391.25</v>
      </c>
      <c r="H200" s="15">
        <v>7391.25</v>
      </c>
      <c r="I200" s="15">
        <v>9568.7099999999991</v>
      </c>
      <c r="J200" s="15">
        <v>8117.07</v>
      </c>
      <c r="K200" s="15">
        <v>8117.07</v>
      </c>
      <c r="L200" s="15">
        <v>270.57</v>
      </c>
      <c r="M200" s="15">
        <v>0</v>
      </c>
      <c r="N200" s="15">
        <v>6764.23</v>
      </c>
      <c r="O200" t="s">
        <v>3028</v>
      </c>
    </row>
    <row r="201" spans="1:15" x14ac:dyDescent="0.25">
      <c r="A201" s="10" t="s">
        <v>504</v>
      </c>
      <c r="B201" s="15">
        <v>0</v>
      </c>
      <c r="C201" s="15">
        <v>0</v>
      </c>
      <c r="D201" s="15">
        <v>0</v>
      </c>
      <c r="E201" s="15">
        <v>0</v>
      </c>
      <c r="F201" s="15">
        <v>0</v>
      </c>
      <c r="G201" s="15">
        <v>0</v>
      </c>
      <c r="H201" s="15">
        <v>0</v>
      </c>
      <c r="I201" s="15">
        <v>0</v>
      </c>
      <c r="J201" s="15">
        <v>0</v>
      </c>
      <c r="K201" s="15">
        <v>1338.12</v>
      </c>
      <c r="L201" s="15">
        <v>1432.79</v>
      </c>
      <c r="M201" s="15">
        <v>1445.46</v>
      </c>
      <c r="N201" s="15">
        <v>359.29</v>
      </c>
      <c r="O201" t="s">
        <v>3028</v>
      </c>
    </row>
    <row r="202" spans="1:15" x14ac:dyDescent="0.25">
      <c r="A202" s="10" t="s">
        <v>506</v>
      </c>
      <c r="B202" s="15">
        <v>2674.95</v>
      </c>
      <c r="C202" s="15">
        <v>2819.44</v>
      </c>
      <c r="D202" s="15">
        <v>2981.38</v>
      </c>
      <c r="E202" s="15">
        <v>6123.94</v>
      </c>
      <c r="F202" s="15">
        <v>444.21</v>
      </c>
      <c r="G202" s="15">
        <v>2623.99</v>
      </c>
      <c r="H202" s="15">
        <v>2672.1</v>
      </c>
      <c r="I202" s="15">
        <v>3428.67</v>
      </c>
      <c r="J202" s="15">
        <v>2944.46</v>
      </c>
      <c r="K202" s="15">
        <v>3199.24</v>
      </c>
      <c r="L202" s="15">
        <v>3024.85</v>
      </c>
      <c r="M202" s="15">
        <v>2975.29</v>
      </c>
      <c r="N202" s="15">
        <v>2970.5</v>
      </c>
      <c r="O202" t="s">
        <v>3028</v>
      </c>
    </row>
    <row r="203" spans="1:15" x14ac:dyDescent="0.25">
      <c r="A203" s="10" t="s">
        <v>508</v>
      </c>
      <c r="B203" s="15">
        <v>0</v>
      </c>
      <c r="C203" s="15">
        <v>0</v>
      </c>
      <c r="D203" s="15">
        <v>0</v>
      </c>
      <c r="E203" s="15">
        <v>0</v>
      </c>
      <c r="F203" s="15">
        <v>0</v>
      </c>
      <c r="G203" s="15">
        <v>0</v>
      </c>
      <c r="H203" s="15">
        <v>0</v>
      </c>
      <c r="I203" s="15">
        <v>0</v>
      </c>
      <c r="J203" s="15">
        <v>0</v>
      </c>
      <c r="K203" s="15">
        <v>0</v>
      </c>
      <c r="L203" s="15">
        <v>1425.06</v>
      </c>
      <c r="M203" s="15">
        <v>1425.06</v>
      </c>
      <c r="N203" s="15">
        <v>237.51</v>
      </c>
      <c r="O203" t="s">
        <v>3028</v>
      </c>
    </row>
    <row r="204" spans="1:15" x14ac:dyDescent="0.25">
      <c r="A204" s="10" t="s">
        <v>510</v>
      </c>
      <c r="B204" s="15">
        <v>2352.69</v>
      </c>
      <c r="C204" s="15">
        <v>1950.07</v>
      </c>
      <c r="D204" s="15">
        <v>1949.02</v>
      </c>
      <c r="E204" s="15">
        <v>2001.7</v>
      </c>
      <c r="F204" s="15">
        <v>1766.31</v>
      </c>
      <c r="G204" s="15">
        <v>4647.3</v>
      </c>
      <c r="H204" s="15">
        <v>140.71</v>
      </c>
      <c r="I204" s="15">
        <v>2294.39</v>
      </c>
      <c r="J204" s="15">
        <v>1944.97</v>
      </c>
      <c r="K204" s="15">
        <v>2038.8</v>
      </c>
      <c r="L204" s="15">
        <v>2010.79</v>
      </c>
      <c r="M204" s="15">
        <v>1939.76</v>
      </c>
      <c r="N204" s="15">
        <v>2085.94</v>
      </c>
      <c r="O204" t="s">
        <v>3028</v>
      </c>
    </row>
    <row r="205" spans="1:15" x14ac:dyDescent="0.25">
      <c r="A205" s="10" t="s">
        <v>85</v>
      </c>
      <c r="B205" s="15">
        <v>19551.650000000001</v>
      </c>
      <c r="C205" s="15">
        <v>19551.650000000001</v>
      </c>
      <c r="D205" s="15">
        <v>19551.650000000001</v>
      </c>
      <c r="E205" s="15">
        <v>19551.650000000001</v>
      </c>
      <c r="F205" s="15">
        <v>19551.650000000001</v>
      </c>
      <c r="G205" s="15">
        <v>19551.650000000001</v>
      </c>
      <c r="H205" s="15">
        <v>19551.650000000001</v>
      </c>
      <c r="I205" s="15">
        <v>29440.3</v>
      </c>
      <c r="J205" s="15">
        <v>18568.669999999998</v>
      </c>
      <c r="K205" s="15">
        <v>20631.849999999999</v>
      </c>
      <c r="L205" s="15">
        <v>20631.849999999999</v>
      </c>
      <c r="M205" s="15">
        <v>20631.849999999999</v>
      </c>
      <c r="N205" s="15">
        <v>20631.849999999999</v>
      </c>
      <c r="O205" t="s">
        <v>3028</v>
      </c>
    </row>
    <row r="206" spans="1:15" x14ac:dyDescent="0.25">
      <c r="A206" s="10" t="s">
        <v>512</v>
      </c>
      <c r="B206" s="15">
        <v>19551.650000000001</v>
      </c>
      <c r="C206" s="15">
        <v>19551.650000000001</v>
      </c>
      <c r="D206" s="15">
        <v>19551.650000000001</v>
      </c>
      <c r="E206" s="15">
        <v>19551.650000000001</v>
      </c>
      <c r="F206" s="15">
        <v>19551.650000000001</v>
      </c>
      <c r="G206" s="15">
        <v>19551.650000000001</v>
      </c>
      <c r="H206" s="15">
        <v>19551.650000000001</v>
      </c>
      <c r="I206" s="15">
        <v>22892.25</v>
      </c>
      <c r="J206" s="15">
        <v>20631.849999999999</v>
      </c>
      <c r="K206" s="15">
        <v>28655.360000000001</v>
      </c>
      <c r="L206" s="15">
        <v>17193.21</v>
      </c>
      <c r="M206" s="15">
        <v>20631.849999999999</v>
      </c>
      <c r="N206" s="15">
        <v>20631.849999999999</v>
      </c>
      <c r="O206" t="s">
        <v>3028</v>
      </c>
    </row>
    <row r="207" spans="1:15" x14ac:dyDescent="0.25">
      <c r="A207" s="10" t="s">
        <v>514</v>
      </c>
      <c r="B207" s="15">
        <v>6349.38</v>
      </c>
      <c r="C207" s="15">
        <v>4838.79</v>
      </c>
      <c r="D207" s="15">
        <v>4831.2</v>
      </c>
      <c r="E207" s="15">
        <v>4501.04</v>
      </c>
      <c r="F207" s="15">
        <v>4444.45</v>
      </c>
      <c r="G207" s="15">
        <v>6266.16</v>
      </c>
      <c r="H207" s="15">
        <v>4851.43</v>
      </c>
      <c r="I207" s="15">
        <v>6754.08</v>
      </c>
      <c r="J207" s="15">
        <v>5431.85</v>
      </c>
      <c r="K207" s="15">
        <v>12549.81</v>
      </c>
      <c r="L207" s="15">
        <v>738.39</v>
      </c>
      <c r="M207" s="15">
        <v>4882.3900000000003</v>
      </c>
      <c r="N207" s="15">
        <v>5560.06</v>
      </c>
      <c r="O207" t="s">
        <v>3028</v>
      </c>
    </row>
    <row r="208" spans="1:15" x14ac:dyDescent="0.25">
      <c r="A208" s="10" t="s">
        <v>516</v>
      </c>
      <c r="B208" s="15">
        <v>882.54</v>
      </c>
      <c r="C208" s="15">
        <v>1816.98</v>
      </c>
      <c r="D208" s="15">
        <v>0</v>
      </c>
      <c r="E208" s="15">
        <v>0</v>
      </c>
      <c r="F208" s="15">
        <v>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395.72</v>
      </c>
      <c r="O208" t="s">
        <v>3028</v>
      </c>
    </row>
    <row r="209" spans="1:15" x14ac:dyDescent="0.25">
      <c r="A209" s="10" t="s">
        <v>518</v>
      </c>
      <c r="B209" s="15">
        <v>1480.27</v>
      </c>
      <c r="C209" s="15">
        <v>1364.8</v>
      </c>
      <c r="D209" s="15">
        <v>1377.1</v>
      </c>
      <c r="E209" s="15">
        <v>1463.07</v>
      </c>
      <c r="F209" s="15">
        <v>1410.92</v>
      </c>
      <c r="G209" s="15">
        <v>1656.41</v>
      </c>
      <c r="H209" s="15">
        <v>1439.65</v>
      </c>
      <c r="I209" s="15">
        <v>1976.14</v>
      </c>
      <c r="J209" s="15">
        <v>1496.72</v>
      </c>
      <c r="K209" s="15">
        <v>1646.92</v>
      </c>
      <c r="L209" s="15">
        <v>1535.28</v>
      </c>
      <c r="M209" s="15">
        <v>1522.78</v>
      </c>
      <c r="N209" s="15">
        <v>1591.44</v>
      </c>
      <c r="O209" t="s">
        <v>3028</v>
      </c>
    </row>
    <row r="210" spans="1:15" x14ac:dyDescent="0.25">
      <c r="A210" s="10" t="s">
        <v>520</v>
      </c>
      <c r="B210" s="15">
        <v>3904.63</v>
      </c>
      <c r="C210" s="15">
        <v>3813.57</v>
      </c>
      <c r="D210" s="15">
        <v>4183.99</v>
      </c>
      <c r="E210" s="15">
        <v>4002.31</v>
      </c>
      <c r="F210" s="15">
        <v>3738.13</v>
      </c>
      <c r="G210" s="15">
        <v>8093.4</v>
      </c>
      <c r="H210" s="15">
        <v>1238.22</v>
      </c>
      <c r="I210" s="15">
        <v>3578.57</v>
      </c>
      <c r="J210" s="15">
        <v>3867.04</v>
      </c>
      <c r="K210" s="15">
        <v>3877.5</v>
      </c>
      <c r="L210" s="15">
        <v>3919.39</v>
      </c>
      <c r="M210" s="15">
        <v>4427.2700000000004</v>
      </c>
      <c r="N210" s="15">
        <v>4016.92</v>
      </c>
      <c r="O210" t="s">
        <v>3028</v>
      </c>
    </row>
    <row r="211" spans="1:15" x14ac:dyDescent="0.25">
      <c r="A211" s="10" t="s">
        <v>522</v>
      </c>
      <c r="B211" s="15">
        <v>0</v>
      </c>
      <c r="C211" s="15">
        <v>0</v>
      </c>
      <c r="D211" s="15">
        <v>0</v>
      </c>
      <c r="E211" s="15">
        <v>0</v>
      </c>
      <c r="F211" s="15">
        <v>0</v>
      </c>
      <c r="G211" s="15">
        <v>0</v>
      </c>
      <c r="H211" s="15">
        <v>0</v>
      </c>
      <c r="I211" s="15">
        <v>2843.49</v>
      </c>
      <c r="J211" s="15">
        <v>3805.7</v>
      </c>
      <c r="K211" s="15">
        <v>3728.64</v>
      </c>
      <c r="L211" s="15">
        <v>708.79</v>
      </c>
      <c r="M211" s="15">
        <v>0</v>
      </c>
      <c r="N211" s="15">
        <v>940.18</v>
      </c>
      <c r="O211" t="s">
        <v>3028</v>
      </c>
    </row>
    <row r="212" spans="1:15" x14ac:dyDescent="0.25">
      <c r="A212" s="10" t="s">
        <v>524</v>
      </c>
      <c r="B212" s="15">
        <v>2006.98</v>
      </c>
      <c r="C212" s="15">
        <v>1947.46</v>
      </c>
      <c r="D212" s="15">
        <v>1941.88</v>
      </c>
      <c r="E212" s="15">
        <v>1988.48</v>
      </c>
      <c r="F212" s="15">
        <v>1983.94</v>
      </c>
      <c r="G212" s="15">
        <v>1959.19</v>
      </c>
      <c r="H212" s="15">
        <v>1985.65</v>
      </c>
      <c r="I212" s="15">
        <v>2539.61</v>
      </c>
      <c r="J212" s="15">
        <v>2153.2199999999998</v>
      </c>
      <c r="K212" s="15">
        <v>2156.7800000000002</v>
      </c>
      <c r="L212" s="15">
        <v>2280.98</v>
      </c>
      <c r="M212" s="15">
        <v>2194.2199999999998</v>
      </c>
      <c r="N212" s="15">
        <v>2179.8000000000002</v>
      </c>
      <c r="O212" t="s">
        <v>3028</v>
      </c>
    </row>
    <row r="213" spans="1:15" x14ac:dyDescent="0.25">
      <c r="A213" s="10" t="s">
        <v>526</v>
      </c>
      <c r="B213" s="15">
        <v>2059.1999999999998</v>
      </c>
      <c r="C213" s="15">
        <v>3263.62</v>
      </c>
      <c r="D213" s="15">
        <v>3412.74</v>
      </c>
      <c r="E213" s="15">
        <v>3231.39</v>
      </c>
      <c r="F213" s="15">
        <v>3370.25</v>
      </c>
      <c r="G213" s="15">
        <v>3788.74</v>
      </c>
      <c r="H213" s="15">
        <v>3395.6</v>
      </c>
      <c r="I213" s="15">
        <v>4231.33</v>
      </c>
      <c r="J213" s="15">
        <v>3641.3</v>
      </c>
      <c r="K213" s="15">
        <v>4279.3999999999996</v>
      </c>
      <c r="L213" s="15">
        <v>4102.8900000000003</v>
      </c>
      <c r="M213" s="15">
        <v>3866.53</v>
      </c>
      <c r="N213" s="15">
        <v>3847.91</v>
      </c>
      <c r="O213" t="s">
        <v>3028</v>
      </c>
    </row>
    <row r="214" spans="1:15" x14ac:dyDescent="0.25">
      <c r="A214" s="10" t="s">
        <v>528</v>
      </c>
      <c r="B214" s="15">
        <v>9205.99</v>
      </c>
      <c r="C214" s="15">
        <v>10740.33</v>
      </c>
      <c r="D214" s="15">
        <v>9205.99</v>
      </c>
      <c r="E214" s="15">
        <v>9205.99</v>
      </c>
      <c r="F214" s="15">
        <v>9205.99</v>
      </c>
      <c r="G214" s="15">
        <v>9205.99</v>
      </c>
      <c r="H214" s="15">
        <v>9205.99</v>
      </c>
      <c r="I214" s="15">
        <v>14277.08</v>
      </c>
      <c r="J214" s="15">
        <v>9436.02</v>
      </c>
      <c r="K214" s="15">
        <v>10110.02</v>
      </c>
      <c r="L214" s="15">
        <v>10110.02</v>
      </c>
      <c r="M214" s="15">
        <v>10110.02</v>
      </c>
      <c r="N214" s="15">
        <v>10110.02</v>
      </c>
      <c r="O214" t="s">
        <v>3028</v>
      </c>
    </row>
    <row r="215" spans="1:15" x14ac:dyDescent="0.25">
      <c r="A215" s="10" t="s">
        <v>530</v>
      </c>
      <c r="B215" s="15">
        <v>2834.87</v>
      </c>
      <c r="C215" s="15">
        <v>2646.53</v>
      </c>
      <c r="D215" s="15">
        <v>2665.71</v>
      </c>
      <c r="E215" s="15">
        <v>5030.99</v>
      </c>
      <c r="F215" s="15">
        <v>1032.69</v>
      </c>
      <c r="G215" s="15">
        <v>2695.39</v>
      </c>
      <c r="H215" s="15">
        <v>2725.41</v>
      </c>
      <c r="I215" s="15">
        <v>3672.68</v>
      </c>
      <c r="J215" s="15">
        <v>2967.59</v>
      </c>
      <c r="K215" s="15">
        <v>3017.44</v>
      </c>
      <c r="L215" s="15">
        <v>2956.09</v>
      </c>
      <c r="M215" s="15">
        <v>3034.14</v>
      </c>
      <c r="N215" s="15">
        <v>2958.98</v>
      </c>
      <c r="O215" t="s">
        <v>3028</v>
      </c>
    </row>
    <row r="216" spans="1:15" x14ac:dyDescent="0.25">
      <c r="A216" s="10" t="s">
        <v>532</v>
      </c>
      <c r="B216" s="15">
        <v>3208.88</v>
      </c>
      <c r="C216" s="15">
        <v>6832.94</v>
      </c>
      <c r="D216" s="15">
        <v>1538.15</v>
      </c>
      <c r="E216" s="15">
        <v>3525.54</v>
      </c>
      <c r="F216" s="15">
        <v>3787.63</v>
      </c>
      <c r="G216" s="15">
        <v>3346.98</v>
      </c>
      <c r="H216" s="15">
        <v>3426.65</v>
      </c>
      <c r="I216" s="15">
        <v>4321.74</v>
      </c>
      <c r="J216" s="15">
        <v>3632.08</v>
      </c>
      <c r="K216" s="15">
        <v>3764.64</v>
      </c>
      <c r="L216" s="15">
        <v>3803.14</v>
      </c>
      <c r="M216" s="15">
        <v>4077.87</v>
      </c>
      <c r="N216" s="15">
        <v>3809.41</v>
      </c>
      <c r="O216" t="s">
        <v>3028</v>
      </c>
    </row>
    <row r="217" spans="1:15" x14ac:dyDescent="0.25">
      <c r="A217" s="10" t="s">
        <v>534</v>
      </c>
      <c r="B217" s="15">
        <v>4889.5</v>
      </c>
      <c r="C217" s="15">
        <v>4609.1899999999996</v>
      </c>
      <c r="D217" s="15">
        <v>4652.43</v>
      </c>
      <c r="E217" s="15">
        <v>4554.32</v>
      </c>
      <c r="F217" s="15">
        <v>4561.12</v>
      </c>
      <c r="G217" s="15">
        <v>4540.08</v>
      </c>
      <c r="H217" s="15">
        <v>4520.4799999999996</v>
      </c>
      <c r="I217" s="15">
        <v>5991.88</v>
      </c>
      <c r="J217" s="15">
        <v>6325.29</v>
      </c>
      <c r="K217" s="15">
        <v>4805.8500000000004</v>
      </c>
      <c r="L217" s="15">
        <v>5206.6000000000004</v>
      </c>
      <c r="M217" s="15">
        <v>5167.4799999999996</v>
      </c>
      <c r="N217" s="15">
        <v>5077.78</v>
      </c>
      <c r="O217" t="s">
        <v>3028</v>
      </c>
    </row>
    <row r="218" spans="1:15" x14ac:dyDescent="0.25">
      <c r="A218" s="10" t="s">
        <v>536</v>
      </c>
      <c r="B218" s="15">
        <v>1884.71</v>
      </c>
      <c r="C218" s="15">
        <v>1834.8</v>
      </c>
      <c r="D218" s="15">
        <v>390.55</v>
      </c>
      <c r="E218" s="15">
        <v>0</v>
      </c>
      <c r="F218" s="15">
        <v>0</v>
      </c>
      <c r="G218" s="15">
        <v>0</v>
      </c>
      <c r="H218" s="15">
        <v>0</v>
      </c>
      <c r="I218" s="15">
        <v>0</v>
      </c>
      <c r="J218" s="15">
        <v>0</v>
      </c>
      <c r="K218" s="15">
        <v>0</v>
      </c>
      <c r="L218" s="15">
        <v>0</v>
      </c>
      <c r="M218" s="15">
        <v>0</v>
      </c>
      <c r="N218" s="15">
        <v>612.02</v>
      </c>
      <c r="O218" t="s">
        <v>3028</v>
      </c>
    </row>
    <row r="219" spans="1:15" x14ac:dyDescent="0.25">
      <c r="A219" s="10" t="s">
        <v>538</v>
      </c>
      <c r="B219" s="15">
        <v>0</v>
      </c>
      <c r="C219" s="15">
        <v>0</v>
      </c>
      <c r="D219" s="15">
        <v>0</v>
      </c>
      <c r="E219" s="15">
        <v>0</v>
      </c>
      <c r="F219" s="15">
        <v>0</v>
      </c>
      <c r="G219" s="15">
        <v>0</v>
      </c>
      <c r="H219" s="15">
        <v>0</v>
      </c>
      <c r="I219" s="15">
        <v>866.67</v>
      </c>
      <c r="J219" s="15">
        <v>1300.17</v>
      </c>
      <c r="K219" s="15">
        <v>0</v>
      </c>
      <c r="L219" s="15">
        <v>0</v>
      </c>
      <c r="M219" s="15">
        <v>0</v>
      </c>
      <c r="N219" s="15">
        <v>237.53</v>
      </c>
      <c r="O219" t="s">
        <v>3028</v>
      </c>
    </row>
    <row r="220" spans="1:15" x14ac:dyDescent="0.25">
      <c r="A220" s="10" t="s">
        <v>540</v>
      </c>
      <c r="B220" s="15">
        <v>1301.9000000000001</v>
      </c>
      <c r="C220" s="15">
        <v>1303.28</v>
      </c>
      <c r="D220" s="15">
        <v>327.20999999999998</v>
      </c>
      <c r="E220" s="15">
        <v>87.02</v>
      </c>
      <c r="F220" s="15">
        <v>0</v>
      </c>
      <c r="G220" s="15">
        <v>0</v>
      </c>
      <c r="H220" s="15">
        <v>0</v>
      </c>
      <c r="I220" s="15">
        <v>0</v>
      </c>
      <c r="J220" s="15">
        <v>0</v>
      </c>
      <c r="K220" s="15">
        <v>0</v>
      </c>
      <c r="L220" s="15">
        <v>0</v>
      </c>
      <c r="M220" s="15">
        <v>0</v>
      </c>
      <c r="N220" s="15">
        <v>328.44</v>
      </c>
      <c r="O220" t="s">
        <v>3028</v>
      </c>
    </row>
    <row r="221" spans="1:15" x14ac:dyDescent="0.25">
      <c r="A221" s="10" t="s">
        <v>542</v>
      </c>
      <c r="B221" s="15">
        <v>2095.2199999999998</v>
      </c>
      <c r="C221" s="15">
        <v>2363.4</v>
      </c>
      <c r="D221" s="15">
        <v>5662.14</v>
      </c>
      <c r="E221" s="15">
        <v>277.72000000000003</v>
      </c>
      <c r="F221" s="15">
        <v>2069.92</v>
      </c>
      <c r="G221" s="15">
        <v>2365.79</v>
      </c>
      <c r="H221" s="15">
        <v>2354.2800000000002</v>
      </c>
      <c r="I221" s="15">
        <v>3040.8</v>
      </c>
      <c r="J221" s="15">
        <v>2563.64</v>
      </c>
      <c r="K221" s="15">
        <v>2571.5300000000002</v>
      </c>
      <c r="L221" s="15">
        <v>2568.4899999999998</v>
      </c>
      <c r="M221" s="15">
        <v>2577.5</v>
      </c>
      <c r="N221" s="15">
        <v>2579.38</v>
      </c>
      <c r="O221" t="s">
        <v>3028</v>
      </c>
    </row>
    <row r="222" spans="1:15" x14ac:dyDescent="0.25">
      <c r="A222" s="10" t="s">
        <v>544</v>
      </c>
      <c r="B222" s="15">
        <v>3149.99</v>
      </c>
      <c r="C222" s="15">
        <v>3106.55</v>
      </c>
      <c r="D222" s="15">
        <v>3114.91</v>
      </c>
      <c r="E222" s="15">
        <v>2868.83</v>
      </c>
      <c r="F222" s="15">
        <v>6115.12</v>
      </c>
      <c r="G222" s="15">
        <v>861.94</v>
      </c>
      <c r="H222" s="15">
        <v>2858.67</v>
      </c>
      <c r="I222" s="15">
        <v>2858.67</v>
      </c>
      <c r="J222" s="15">
        <v>2858.67</v>
      </c>
      <c r="K222" s="15">
        <v>3413.46</v>
      </c>
      <c r="L222" s="15">
        <v>3186.53</v>
      </c>
      <c r="M222" s="15">
        <v>3160.89</v>
      </c>
      <c r="N222" s="15">
        <v>3208.48</v>
      </c>
      <c r="O222" t="s">
        <v>3028</v>
      </c>
    </row>
    <row r="223" spans="1:15" x14ac:dyDescent="0.25">
      <c r="A223" s="10" t="s">
        <v>546</v>
      </c>
      <c r="B223" s="15">
        <v>3394.87</v>
      </c>
      <c r="C223" s="15">
        <v>2455.7800000000002</v>
      </c>
      <c r="D223" s="15">
        <v>2622.4</v>
      </c>
      <c r="E223" s="15">
        <v>5130.6000000000004</v>
      </c>
      <c r="F223" s="15">
        <v>1153.3800000000001</v>
      </c>
      <c r="G223" s="15">
        <v>2236.39</v>
      </c>
      <c r="H223" s="15">
        <v>2512.2600000000002</v>
      </c>
      <c r="I223" s="15">
        <v>2464.1999999999998</v>
      </c>
      <c r="J223" s="15">
        <v>2601.08</v>
      </c>
      <c r="K223" s="15">
        <v>2981.59</v>
      </c>
      <c r="L223" s="15">
        <v>2528.85</v>
      </c>
      <c r="M223" s="15">
        <v>2721.8</v>
      </c>
      <c r="N223" s="15">
        <v>2713.63</v>
      </c>
      <c r="O223" t="s">
        <v>3028</v>
      </c>
    </row>
    <row r="224" spans="1:15" x14ac:dyDescent="0.25">
      <c r="A224" s="10" t="s">
        <v>548</v>
      </c>
      <c r="B224" s="15">
        <v>2762.51</v>
      </c>
      <c r="C224" s="15">
        <v>6514.87</v>
      </c>
      <c r="D224" s="15">
        <v>0</v>
      </c>
      <c r="E224" s="15">
        <v>3878.48</v>
      </c>
      <c r="F224" s="15">
        <v>2776.34</v>
      </c>
      <c r="G224" s="15">
        <v>191.56</v>
      </c>
      <c r="H224" s="15">
        <v>0</v>
      </c>
      <c r="I224" s="15">
        <v>0</v>
      </c>
      <c r="J224" s="15">
        <v>18.82</v>
      </c>
      <c r="K224" s="15">
        <v>0</v>
      </c>
      <c r="L224" s="15">
        <v>0</v>
      </c>
      <c r="M224" s="15">
        <v>0</v>
      </c>
      <c r="N224" s="15">
        <v>1520.19</v>
      </c>
      <c r="O224" t="s">
        <v>3028</v>
      </c>
    </row>
    <row r="225" spans="1:15" x14ac:dyDescent="0.25">
      <c r="A225" s="10" t="s">
        <v>550</v>
      </c>
      <c r="B225" s="15">
        <v>3322.78</v>
      </c>
      <c r="C225" s="15">
        <v>2643.2</v>
      </c>
      <c r="D225" s="15">
        <v>2379.62</v>
      </c>
      <c r="E225" s="15">
        <v>2738.65</v>
      </c>
      <c r="F225" s="15">
        <v>2379.62</v>
      </c>
      <c r="G225" s="15">
        <v>2395.1</v>
      </c>
      <c r="H225" s="15">
        <v>2449.5</v>
      </c>
      <c r="I225" s="15">
        <v>6852.96</v>
      </c>
      <c r="J225" s="15">
        <v>84.53</v>
      </c>
      <c r="K225" s="15">
        <v>2613.98</v>
      </c>
      <c r="L225" s="15">
        <v>2694.14</v>
      </c>
      <c r="M225" s="15">
        <v>2613.54</v>
      </c>
      <c r="N225" s="15">
        <v>2776.59</v>
      </c>
      <c r="O225" t="s">
        <v>3028</v>
      </c>
    </row>
    <row r="226" spans="1:15" x14ac:dyDescent="0.25">
      <c r="A226" s="10" t="s">
        <v>552</v>
      </c>
      <c r="B226" s="15">
        <v>3014.48</v>
      </c>
      <c r="C226" s="15">
        <v>2838.24</v>
      </c>
      <c r="D226" s="15">
        <v>2840.15</v>
      </c>
      <c r="E226" s="15">
        <v>2842.33</v>
      </c>
      <c r="F226" s="15">
        <v>2848.15</v>
      </c>
      <c r="G226" s="15">
        <v>2843.9</v>
      </c>
      <c r="H226" s="15">
        <v>2838.24</v>
      </c>
      <c r="I226" s="15">
        <v>3687.11</v>
      </c>
      <c r="J226" s="15">
        <v>4021.25</v>
      </c>
      <c r="K226" s="15">
        <v>3116.96</v>
      </c>
      <c r="L226" s="15">
        <v>3116.96</v>
      </c>
      <c r="M226" s="15">
        <v>3122.06</v>
      </c>
      <c r="N226" s="15">
        <v>3141.94</v>
      </c>
      <c r="O226" t="s">
        <v>3028</v>
      </c>
    </row>
    <row r="227" spans="1:15" x14ac:dyDescent="0.25">
      <c r="A227" s="10" t="s">
        <v>554</v>
      </c>
      <c r="B227" s="15">
        <v>2952.35</v>
      </c>
      <c r="C227" s="15">
        <v>2656.11</v>
      </c>
      <c r="D227" s="15">
        <v>2824.82</v>
      </c>
      <c r="E227" s="15">
        <v>6332.1</v>
      </c>
      <c r="F227" s="15">
        <v>421.37</v>
      </c>
      <c r="G227" s="15">
        <v>2629.53</v>
      </c>
      <c r="H227" s="15">
        <v>2709.67</v>
      </c>
      <c r="I227" s="15">
        <v>3627.76</v>
      </c>
      <c r="J227" s="15">
        <v>2915.84</v>
      </c>
      <c r="K227" s="15">
        <v>2948.45</v>
      </c>
      <c r="L227" s="15">
        <v>2977.98</v>
      </c>
      <c r="M227" s="15">
        <v>2996.37</v>
      </c>
      <c r="N227" s="15">
        <v>2956.9</v>
      </c>
      <c r="O227" t="s">
        <v>3028</v>
      </c>
    </row>
    <row r="228" spans="1:15" x14ac:dyDescent="0.25">
      <c r="A228" s="10" t="s">
        <v>556</v>
      </c>
      <c r="B228" s="15">
        <v>3592.55</v>
      </c>
      <c r="C228" s="15">
        <v>2914.83</v>
      </c>
      <c r="D228" s="15">
        <v>2641.9</v>
      </c>
      <c r="E228" s="15">
        <v>2311.38</v>
      </c>
      <c r="F228" s="15">
        <v>2710.37</v>
      </c>
      <c r="G228" s="15">
        <v>2667.83</v>
      </c>
      <c r="H228" s="15">
        <v>2863.54</v>
      </c>
      <c r="I228" s="15">
        <v>3600.66</v>
      </c>
      <c r="J228" s="15">
        <v>2900.2</v>
      </c>
      <c r="K228" s="15">
        <v>2902.37</v>
      </c>
      <c r="L228" s="15">
        <v>4945.3500000000004</v>
      </c>
      <c r="M228" s="15">
        <v>1740.62</v>
      </c>
      <c r="N228" s="15">
        <v>2916.23</v>
      </c>
      <c r="O228" t="s">
        <v>3028</v>
      </c>
    </row>
    <row r="229" spans="1:15" x14ac:dyDescent="0.25">
      <c r="A229" s="10" t="s">
        <v>558</v>
      </c>
      <c r="B229" s="15">
        <v>1257.96</v>
      </c>
      <c r="C229" s="15">
        <v>1214.04</v>
      </c>
      <c r="D229" s="15">
        <v>1242.1400000000001</v>
      </c>
      <c r="E229" s="15">
        <v>1309.46</v>
      </c>
      <c r="F229" s="15">
        <v>1194.67</v>
      </c>
      <c r="G229" s="15">
        <v>1318.68</v>
      </c>
      <c r="H229" s="15">
        <v>1307.29</v>
      </c>
      <c r="I229" s="15">
        <v>1301.1500000000001</v>
      </c>
      <c r="J229" s="15">
        <v>1315.69</v>
      </c>
      <c r="K229" s="15">
        <v>1576.74</v>
      </c>
      <c r="L229" s="15">
        <v>1426.83</v>
      </c>
      <c r="M229" s="15">
        <v>3368.9</v>
      </c>
      <c r="N229" s="15">
        <v>1434.14</v>
      </c>
      <c r="O229" t="s">
        <v>3028</v>
      </c>
    </row>
    <row r="230" spans="1:15" x14ac:dyDescent="0.25">
      <c r="A230" s="10" t="s">
        <v>560</v>
      </c>
      <c r="B230" s="15">
        <v>9205.99</v>
      </c>
      <c r="C230" s="15">
        <v>9205.99</v>
      </c>
      <c r="D230" s="15">
        <v>9205.99</v>
      </c>
      <c r="E230" s="15">
        <v>9205.99</v>
      </c>
      <c r="F230" s="15">
        <v>9205.99</v>
      </c>
      <c r="G230" s="15">
        <v>9205.99</v>
      </c>
      <c r="H230" s="15">
        <v>9205.99</v>
      </c>
      <c r="I230" s="15">
        <v>11918.08</v>
      </c>
      <c r="J230" s="15">
        <v>10110.02</v>
      </c>
      <c r="K230" s="15">
        <v>10110.02</v>
      </c>
      <c r="L230" s="15">
        <v>15726.69</v>
      </c>
      <c r="M230" s="15">
        <v>6740.01</v>
      </c>
      <c r="N230" s="15">
        <v>10110.02</v>
      </c>
      <c r="O230" t="s">
        <v>3028</v>
      </c>
    </row>
    <row r="231" spans="1:15" x14ac:dyDescent="0.25">
      <c r="A231" s="10" t="s">
        <v>562</v>
      </c>
      <c r="B231" s="15">
        <v>2765.48</v>
      </c>
      <c r="C231" s="15">
        <v>2765.48</v>
      </c>
      <c r="D231" s="15">
        <v>2765.48</v>
      </c>
      <c r="E231" s="15">
        <v>2765.48</v>
      </c>
      <c r="F231" s="15">
        <v>2765.48</v>
      </c>
      <c r="G231" s="15">
        <v>2765.48</v>
      </c>
      <c r="H231" s="15">
        <v>2765.48</v>
      </c>
      <c r="I231" s="15">
        <v>4255.09</v>
      </c>
      <c r="J231" s="15">
        <v>3037.05</v>
      </c>
      <c r="K231" s="15">
        <v>3037.05</v>
      </c>
      <c r="L231" s="15">
        <v>3037.05</v>
      </c>
      <c r="M231" s="15">
        <v>3037.05</v>
      </c>
      <c r="N231" s="15">
        <v>3037.05</v>
      </c>
      <c r="O231" t="s">
        <v>3028</v>
      </c>
    </row>
    <row r="232" spans="1:15" x14ac:dyDescent="0.25">
      <c r="A232" s="10" t="s">
        <v>564</v>
      </c>
      <c r="B232" s="15">
        <v>1828.21</v>
      </c>
      <c r="C232" s="15">
        <v>2036.95</v>
      </c>
      <c r="D232" s="15">
        <v>1811.46</v>
      </c>
      <c r="E232" s="15">
        <v>3575.71</v>
      </c>
      <c r="F232" s="15">
        <v>617.76</v>
      </c>
      <c r="G232" s="15">
        <v>2069.91</v>
      </c>
      <c r="H232" s="15">
        <v>1819.79</v>
      </c>
      <c r="I232" s="15">
        <v>2531.7199999999998</v>
      </c>
      <c r="J232" s="15">
        <v>1952.54</v>
      </c>
      <c r="K232" s="15">
        <v>1952.96</v>
      </c>
      <c r="L232" s="15">
        <v>1978.32</v>
      </c>
      <c r="M232" s="15">
        <v>1949.98</v>
      </c>
      <c r="N232" s="15">
        <v>2050.14</v>
      </c>
      <c r="O232" t="s">
        <v>3028</v>
      </c>
    </row>
    <row r="233" spans="1:15" x14ac:dyDescent="0.25">
      <c r="A233" s="10" t="s">
        <v>566</v>
      </c>
      <c r="B233" s="15">
        <v>1202.71</v>
      </c>
      <c r="C233" s="15">
        <v>0</v>
      </c>
      <c r="D233" s="15">
        <v>0</v>
      </c>
      <c r="E233" s="15">
        <v>0</v>
      </c>
      <c r="F233" s="15">
        <v>0</v>
      </c>
      <c r="G233" s="15">
        <v>0</v>
      </c>
      <c r="H233" s="15">
        <v>0</v>
      </c>
      <c r="I233" s="15">
        <v>0</v>
      </c>
      <c r="J233" s="15">
        <v>0</v>
      </c>
      <c r="K233" s="15">
        <v>0</v>
      </c>
      <c r="L233" s="15">
        <v>0</v>
      </c>
      <c r="M233" s="15">
        <v>0</v>
      </c>
      <c r="N233" s="15">
        <v>601.35</v>
      </c>
      <c r="O233" t="s">
        <v>3028</v>
      </c>
    </row>
    <row r="234" spans="1:15" x14ac:dyDescent="0.25">
      <c r="A234" s="10" t="s">
        <v>568</v>
      </c>
      <c r="B234" s="15">
        <v>0</v>
      </c>
      <c r="C234" s="15">
        <v>0</v>
      </c>
      <c r="D234" s="15">
        <v>0</v>
      </c>
      <c r="E234" s="15">
        <v>0</v>
      </c>
      <c r="F234" s="15">
        <v>0</v>
      </c>
      <c r="G234" s="15">
        <v>0</v>
      </c>
      <c r="H234" s="15">
        <v>0</v>
      </c>
      <c r="I234" s="15">
        <v>0</v>
      </c>
      <c r="J234" s="15">
        <v>33800</v>
      </c>
      <c r="K234" s="15">
        <v>39000</v>
      </c>
      <c r="L234" s="15">
        <v>39000</v>
      </c>
      <c r="M234" s="15">
        <v>39000</v>
      </c>
      <c r="N234" s="15">
        <v>13000</v>
      </c>
      <c r="O234" t="s">
        <v>3028</v>
      </c>
    </row>
    <row r="235" spans="1:15" x14ac:dyDescent="0.25">
      <c r="A235" s="10" t="s">
        <v>570</v>
      </c>
      <c r="B235" s="15">
        <v>1555.96</v>
      </c>
      <c r="C235" s="15">
        <v>2128.64</v>
      </c>
      <c r="D235" s="15">
        <v>2232.87</v>
      </c>
      <c r="E235" s="15">
        <v>1811.16</v>
      </c>
      <c r="F235" s="15">
        <v>2035.26</v>
      </c>
      <c r="G235" s="15">
        <v>3532.5</v>
      </c>
      <c r="H235" s="15">
        <v>1319.68</v>
      </c>
      <c r="I235" s="15">
        <v>2522.11</v>
      </c>
      <c r="J235" s="15">
        <v>2423.63</v>
      </c>
      <c r="K235" s="15">
        <v>1983.47</v>
      </c>
      <c r="L235" s="15">
        <v>2126.36</v>
      </c>
      <c r="M235" s="15">
        <v>2504.92</v>
      </c>
      <c r="N235" s="15">
        <v>2167.75</v>
      </c>
      <c r="O235" t="s">
        <v>3028</v>
      </c>
    </row>
    <row r="236" spans="1:15" x14ac:dyDescent="0.25">
      <c r="A236" s="10" t="s">
        <v>572</v>
      </c>
      <c r="B236" s="15">
        <v>0</v>
      </c>
      <c r="C236" s="15">
        <v>0</v>
      </c>
      <c r="D236" s="15">
        <v>0</v>
      </c>
      <c r="E236" s="15">
        <v>0</v>
      </c>
      <c r="F236" s="15">
        <v>69222.94</v>
      </c>
      <c r="G236" s="15">
        <v>48584.09</v>
      </c>
      <c r="H236" s="15">
        <v>50697.01</v>
      </c>
      <c r="I236" s="15">
        <v>70731.16</v>
      </c>
      <c r="J236" s="15">
        <v>0</v>
      </c>
      <c r="K236" s="15">
        <v>0</v>
      </c>
      <c r="L236" s="15">
        <v>0</v>
      </c>
      <c r="M236" s="15">
        <v>0</v>
      </c>
      <c r="N236" s="15">
        <v>0</v>
      </c>
      <c r="O236" t="s">
        <v>3028</v>
      </c>
    </row>
    <row r="237" spans="1:15" x14ac:dyDescent="0.25">
      <c r="A237" s="10" t="s">
        <v>574</v>
      </c>
      <c r="B237" s="15">
        <v>0</v>
      </c>
      <c r="C237" s="15">
        <v>0</v>
      </c>
      <c r="D237" s="15">
        <v>0</v>
      </c>
      <c r="E237" s="15">
        <v>0</v>
      </c>
      <c r="F237" s="15">
        <v>0</v>
      </c>
      <c r="G237" s="15">
        <v>0</v>
      </c>
      <c r="H237" s="15">
        <v>0</v>
      </c>
      <c r="I237" s="15">
        <v>0</v>
      </c>
      <c r="J237" s="15">
        <v>0</v>
      </c>
      <c r="K237" s="15">
        <v>0</v>
      </c>
      <c r="L237" s="15">
        <v>0</v>
      </c>
      <c r="M237" s="15">
        <v>1349.88</v>
      </c>
      <c r="N237" s="15">
        <v>153.4</v>
      </c>
      <c r="O237" t="s">
        <v>3028</v>
      </c>
    </row>
    <row r="238" spans="1:15" x14ac:dyDescent="0.25">
      <c r="A238" s="10" t="s">
        <v>576</v>
      </c>
      <c r="B238" s="15">
        <v>5854.84</v>
      </c>
      <c r="C238" s="15">
        <v>4717.9399999999996</v>
      </c>
      <c r="D238" s="15">
        <v>4763.84</v>
      </c>
      <c r="E238" s="15">
        <v>4567.37</v>
      </c>
      <c r="F238" s="15">
        <v>4539.66</v>
      </c>
      <c r="G238" s="15">
        <v>4504.29</v>
      </c>
      <c r="H238" s="15">
        <v>4515.55</v>
      </c>
      <c r="I238" s="15">
        <v>5845.22</v>
      </c>
      <c r="J238" s="15">
        <v>4941.8999999999996</v>
      </c>
      <c r="K238" s="15">
        <v>5020.82</v>
      </c>
      <c r="L238" s="15">
        <v>5031.03</v>
      </c>
      <c r="M238" s="15">
        <v>8718.64</v>
      </c>
      <c r="N238" s="15">
        <v>5149.3900000000003</v>
      </c>
      <c r="O238" t="s">
        <v>3028</v>
      </c>
    </row>
    <row r="239" spans="1:15" x14ac:dyDescent="0.25">
      <c r="A239" s="10" t="s">
        <v>578</v>
      </c>
      <c r="B239" s="15">
        <v>13241.51</v>
      </c>
      <c r="C239" s="15">
        <v>31580.16</v>
      </c>
      <c r="D239" s="15">
        <v>16750.77</v>
      </c>
      <c r="E239" s="15">
        <v>26799.15</v>
      </c>
      <c r="F239" s="15">
        <v>25866.03</v>
      </c>
      <c r="G239" s="15">
        <v>27212.69</v>
      </c>
      <c r="H239" s="15">
        <v>26393.21</v>
      </c>
      <c r="I239" s="15">
        <v>39540.19</v>
      </c>
      <c r="J239" s="15">
        <v>26104.43</v>
      </c>
      <c r="K239" s="15">
        <v>26586.41</v>
      </c>
      <c r="L239" s="15">
        <v>26586.41</v>
      </c>
      <c r="M239" s="15">
        <v>26168.46</v>
      </c>
      <c r="N239" s="15">
        <v>15020.92</v>
      </c>
      <c r="O239" t="s">
        <v>3028</v>
      </c>
    </row>
    <row r="240" spans="1:15" x14ac:dyDescent="0.25">
      <c r="A240" s="10" t="s">
        <v>580</v>
      </c>
      <c r="B240" s="15">
        <v>18028.7</v>
      </c>
      <c r="C240" s="15">
        <v>43432.03</v>
      </c>
      <c r="D240" s="15">
        <v>24519.46</v>
      </c>
      <c r="E240" s="15">
        <v>34684.400000000001</v>
      </c>
      <c r="F240" s="15">
        <v>33372.11</v>
      </c>
      <c r="G240" s="15">
        <v>32911.279999999999</v>
      </c>
      <c r="H240" s="15">
        <v>33652.620000000003</v>
      </c>
      <c r="I240" s="15">
        <v>53433.34</v>
      </c>
      <c r="J240" s="15">
        <v>33547.599999999999</v>
      </c>
      <c r="K240" s="15">
        <v>34002.949999999997</v>
      </c>
      <c r="L240" s="15">
        <v>34002.949999999997</v>
      </c>
      <c r="M240" s="15">
        <v>33145.24</v>
      </c>
      <c r="N240" s="15">
        <v>20003.919999999998</v>
      </c>
      <c r="O240" t="s">
        <v>3028</v>
      </c>
    </row>
    <row r="241" spans="1:15" x14ac:dyDescent="0.25">
      <c r="A241" s="10" t="s">
        <v>582</v>
      </c>
      <c r="B241" s="15">
        <v>18963.330000000002</v>
      </c>
      <c r="C241" s="15">
        <v>34293.35</v>
      </c>
      <c r="D241" s="15">
        <v>24846.27</v>
      </c>
      <c r="E241" s="15">
        <v>25381.91</v>
      </c>
      <c r="F241" s="15">
        <v>33940.68</v>
      </c>
      <c r="G241" s="15">
        <v>33460.25</v>
      </c>
      <c r="H241" s="15">
        <v>34233.1</v>
      </c>
      <c r="I241" s="15">
        <v>56709.279999999999</v>
      </c>
      <c r="J241" s="15">
        <v>34493.35</v>
      </c>
      <c r="K241" s="15">
        <v>34940.19</v>
      </c>
      <c r="L241" s="15">
        <v>34940.19</v>
      </c>
      <c r="M241" s="15">
        <v>33581.269999999997</v>
      </c>
      <c r="N241" s="15">
        <v>20968.060000000001</v>
      </c>
      <c r="O241" t="s">
        <v>3028</v>
      </c>
    </row>
    <row r="242" spans="1:15" x14ac:dyDescent="0.25">
      <c r="A242" s="10" t="s">
        <v>584</v>
      </c>
      <c r="B242" s="15">
        <v>60455.31</v>
      </c>
      <c r="C242" s="15">
        <v>72639.28</v>
      </c>
      <c r="D242" s="15">
        <v>62256.61</v>
      </c>
      <c r="E242" s="15">
        <v>71281.320000000007</v>
      </c>
      <c r="F242" s="15">
        <v>70982.210000000006</v>
      </c>
      <c r="G242" s="15">
        <v>71281.320000000007</v>
      </c>
      <c r="H242" s="15">
        <v>71281.320000000007</v>
      </c>
      <c r="I242" s="15">
        <v>75751.12</v>
      </c>
      <c r="J242" s="15">
        <v>72771.259999999995</v>
      </c>
      <c r="K242" s="15">
        <v>72771.259999999995</v>
      </c>
      <c r="L242" s="15">
        <v>72771.259999999995</v>
      </c>
      <c r="M242" s="15">
        <v>72469.38</v>
      </c>
      <c r="N242" s="15">
        <v>0</v>
      </c>
      <c r="O242" t="s">
        <v>3028</v>
      </c>
    </row>
    <row r="243" spans="1:15" x14ac:dyDescent="0.25">
      <c r="A243" s="10" t="s">
        <v>586</v>
      </c>
      <c r="B243" s="15">
        <v>0</v>
      </c>
      <c r="C243" s="15">
        <v>0</v>
      </c>
      <c r="D243" s="15">
        <v>0</v>
      </c>
      <c r="E243" s="15">
        <v>5973</v>
      </c>
      <c r="F243" s="15">
        <v>6430.19</v>
      </c>
      <c r="G243" s="15">
        <v>6239.6</v>
      </c>
      <c r="H243" s="15">
        <v>6544.49</v>
      </c>
      <c r="I243" s="15">
        <v>8763.73</v>
      </c>
      <c r="J243" s="15">
        <v>4049.11</v>
      </c>
      <c r="K243" s="15">
        <v>7061.65</v>
      </c>
      <c r="L243" s="15">
        <v>5263.85</v>
      </c>
      <c r="M243" s="15">
        <v>6838.5</v>
      </c>
      <c r="N243" s="15">
        <v>4762.72</v>
      </c>
      <c r="O243" t="s">
        <v>3028</v>
      </c>
    </row>
    <row r="244" spans="1:15" x14ac:dyDescent="0.25">
      <c r="A244" s="10" t="s">
        <v>588</v>
      </c>
      <c r="B244" s="15">
        <v>12546.33</v>
      </c>
      <c r="C244" s="15">
        <v>10754</v>
      </c>
      <c r="D244" s="15">
        <v>12550.9</v>
      </c>
      <c r="E244" s="15">
        <v>12550.9</v>
      </c>
      <c r="F244" s="15">
        <v>12550.9</v>
      </c>
      <c r="G244" s="15">
        <v>12550.9</v>
      </c>
      <c r="H244" s="15">
        <v>14642.72</v>
      </c>
      <c r="I244" s="15">
        <v>15971.53</v>
      </c>
      <c r="J244" s="15">
        <v>13631.1</v>
      </c>
      <c r="K244" s="15">
        <v>13631.1</v>
      </c>
      <c r="L244" s="15">
        <v>13631.1</v>
      </c>
      <c r="M244" s="15">
        <v>13631.1</v>
      </c>
      <c r="N244" s="15">
        <v>13631.1</v>
      </c>
      <c r="O244" t="s">
        <v>3028</v>
      </c>
    </row>
    <row r="245" spans="1:15" x14ac:dyDescent="0.25">
      <c r="A245" s="10" t="s">
        <v>590</v>
      </c>
      <c r="B245" s="15">
        <v>793.51</v>
      </c>
      <c r="C245" s="15">
        <v>1368.97</v>
      </c>
      <c r="D245" s="15">
        <v>1342.87</v>
      </c>
      <c r="E245" s="15">
        <v>1352.25</v>
      </c>
      <c r="F245" s="15">
        <v>1357.81</v>
      </c>
      <c r="G245" s="15">
        <v>1370.32</v>
      </c>
      <c r="H245" s="15">
        <v>1404.65</v>
      </c>
      <c r="I245" s="15">
        <v>1768.35</v>
      </c>
      <c r="J245" s="15">
        <v>1501.25</v>
      </c>
      <c r="K245" s="15">
        <v>1528.98</v>
      </c>
      <c r="L245" s="15">
        <v>1519.77</v>
      </c>
      <c r="M245" s="15">
        <v>1607.75</v>
      </c>
      <c r="N245" s="15">
        <v>1509.51</v>
      </c>
      <c r="O245" t="s">
        <v>3028</v>
      </c>
    </row>
    <row r="246" spans="1:15" x14ac:dyDescent="0.25">
      <c r="A246" s="10" t="s">
        <v>592</v>
      </c>
      <c r="B246" s="15">
        <v>16989.93</v>
      </c>
      <c r="C246" s="15">
        <v>16989.93</v>
      </c>
      <c r="D246" s="15">
        <v>17089.93</v>
      </c>
      <c r="E246" s="15">
        <v>16989.93</v>
      </c>
      <c r="F246" s="15">
        <v>16989.93</v>
      </c>
      <c r="G246" s="15">
        <v>16989.93</v>
      </c>
      <c r="H246" s="15">
        <v>32092.09</v>
      </c>
      <c r="I246" s="15">
        <v>9143.9500000000007</v>
      </c>
      <c r="J246" s="15">
        <v>18070.13</v>
      </c>
      <c r="K246" s="15">
        <v>18070.13</v>
      </c>
      <c r="L246" s="15">
        <v>18070.13</v>
      </c>
      <c r="M246" s="15">
        <v>18070.13</v>
      </c>
      <c r="N246" s="15">
        <v>18070.13</v>
      </c>
      <c r="O246" t="s">
        <v>3028</v>
      </c>
    </row>
    <row r="247" spans="1:15" x14ac:dyDescent="0.25">
      <c r="A247" s="10" t="s">
        <v>594</v>
      </c>
      <c r="B247" s="15">
        <v>19253.68</v>
      </c>
      <c r="C247" s="15">
        <v>18916.88</v>
      </c>
      <c r="D247" s="15">
        <v>19052.89</v>
      </c>
      <c r="E247" s="15">
        <v>19085.28</v>
      </c>
      <c r="F247" s="15">
        <v>19253.68</v>
      </c>
      <c r="G247" s="15">
        <v>16462.12</v>
      </c>
      <c r="H247" s="15">
        <v>22237.79</v>
      </c>
      <c r="I247" s="15">
        <v>22646.35</v>
      </c>
      <c r="J247" s="15">
        <v>37352.589999999997</v>
      </c>
      <c r="K247" s="15">
        <v>7848.93</v>
      </c>
      <c r="L247" s="15">
        <v>15793.6</v>
      </c>
      <c r="M247" s="15">
        <v>18054.75</v>
      </c>
      <c r="N247" s="15">
        <v>19505.32</v>
      </c>
      <c r="O247" t="s">
        <v>3028</v>
      </c>
    </row>
    <row r="248" spans="1:15" x14ac:dyDescent="0.25">
      <c r="A248" s="10" t="s">
        <v>596</v>
      </c>
      <c r="B248" s="15">
        <v>8029.16</v>
      </c>
      <c r="C248" s="15">
        <v>7779.93</v>
      </c>
      <c r="D248" s="15">
        <v>8199.99</v>
      </c>
      <c r="E248" s="15">
        <v>9027.39</v>
      </c>
      <c r="F248" s="15">
        <v>9557.49</v>
      </c>
      <c r="G248" s="15">
        <v>17471.990000000002</v>
      </c>
      <c r="H248" s="15">
        <v>4333.1899999999996</v>
      </c>
      <c r="I248" s="15">
        <v>11341.21</v>
      </c>
      <c r="J248" s="15">
        <v>9753.77</v>
      </c>
      <c r="K248" s="15">
        <v>10285.76</v>
      </c>
      <c r="L248" s="15">
        <v>9191.92</v>
      </c>
      <c r="M248" s="15">
        <v>8658.8700000000008</v>
      </c>
      <c r="N248" s="15">
        <v>9618.89</v>
      </c>
      <c r="O248" t="s">
        <v>3028</v>
      </c>
    </row>
    <row r="249" spans="1:15" x14ac:dyDescent="0.25">
      <c r="A249" s="10" t="s">
        <v>598</v>
      </c>
      <c r="B249" s="15">
        <v>2703.93</v>
      </c>
      <c r="C249" s="15">
        <v>2184.8200000000002</v>
      </c>
      <c r="D249" s="15">
        <v>2159.91</v>
      </c>
      <c r="E249" s="15">
        <v>2114.98</v>
      </c>
      <c r="F249" s="15">
        <v>2114.08</v>
      </c>
      <c r="G249" s="15">
        <v>2108.5500000000002</v>
      </c>
      <c r="H249" s="15">
        <v>2106.4499999999998</v>
      </c>
      <c r="I249" s="15">
        <v>1134.67</v>
      </c>
      <c r="J249" s="15">
        <v>1694.73</v>
      </c>
      <c r="K249" s="15">
        <v>4638.16</v>
      </c>
      <c r="L249" s="15">
        <v>771.58</v>
      </c>
      <c r="M249" s="15">
        <v>2335.38</v>
      </c>
      <c r="N249" s="15">
        <v>2189.3200000000002</v>
      </c>
      <c r="O249" t="s">
        <v>3028</v>
      </c>
    </row>
    <row r="250" spans="1:15" x14ac:dyDescent="0.25">
      <c r="A250" s="10" t="s">
        <v>600</v>
      </c>
      <c r="B250" s="15">
        <v>1779.11</v>
      </c>
      <c r="C250" s="15">
        <v>1772.21</v>
      </c>
      <c r="D250" s="15">
        <v>1768.17</v>
      </c>
      <c r="E250" s="15">
        <v>1774.75</v>
      </c>
      <c r="F250" s="15">
        <v>1768.51</v>
      </c>
      <c r="G250" s="15">
        <v>3911.69</v>
      </c>
      <c r="H250" s="15">
        <v>409.89</v>
      </c>
      <c r="I250" s="15">
        <v>2366.48</v>
      </c>
      <c r="J250" s="15">
        <v>1942.45</v>
      </c>
      <c r="K250" s="15">
        <v>1958.12</v>
      </c>
      <c r="L250" s="15">
        <v>1941.68</v>
      </c>
      <c r="M250" s="15">
        <v>1938.67</v>
      </c>
      <c r="N250" s="15">
        <v>1962.3</v>
      </c>
      <c r="O250" t="s">
        <v>3028</v>
      </c>
    </row>
    <row r="251" spans="1:15" x14ac:dyDescent="0.25">
      <c r="A251" s="10" t="s">
        <v>602</v>
      </c>
      <c r="B251" s="15">
        <v>2451.35</v>
      </c>
      <c r="C251" s="15">
        <v>1384.55</v>
      </c>
      <c r="D251" s="15">
        <v>1614.74</v>
      </c>
      <c r="E251" s="15">
        <v>1531.73</v>
      </c>
      <c r="F251" s="15">
        <v>1390.96</v>
      </c>
      <c r="G251" s="15">
        <v>1561.45</v>
      </c>
      <c r="H251" s="15">
        <v>1384.55</v>
      </c>
      <c r="I251" s="15">
        <v>1809.8</v>
      </c>
      <c r="J251" s="15">
        <v>1714.4</v>
      </c>
      <c r="K251" s="15">
        <v>1527.54</v>
      </c>
      <c r="L251" s="15">
        <v>1569.19</v>
      </c>
      <c r="M251" s="15">
        <v>1847.49</v>
      </c>
      <c r="N251" s="15">
        <v>1716.24</v>
      </c>
      <c r="O251" t="s">
        <v>3028</v>
      </c>
    </row>
    <row r="252" spans="1:15" x14ac:dyDescent="0.25">
      <c r="A252" s="10" t="s">
        <v>604</v>
      </c>
      <c r="B252" s="15">
        <v>1300</v>
      </c>
      <c r="C252" s="15">
        <v>1301.27</v>
      </c>
      <c r="D252" s="15">
        <v>1300</v>
      </c>
      <c r="E252" s="15">
        <v>3050.61</v>
      </c>
      <c r="F252" s="15">
        <v>0.08</v>
      </c>
      <c r="G252" s="15">
        <v>1302.99</v>
      </c>
      <c r="H252" s="15">
        <v>1303.1400000000001</v>
      </c>
      <c r="I252" s="15">
        <v>1300.1099999999999</v>
      </c>
      <c r="J252" s="15">
        <v>1300.27</v>
      </c>
      <c r="K252" s="15">
        <v>1560.45</v>
      </c>
      <c r="L252" s="15">
        <v>1425.06</v>
      </c>
      <c r="M252" s="15">
        <v>1428.5</v>
      </c>
      <c r="N252" s="15">
        <v>1427.13</v>
      </c>
      <c r="O252" t="s">
        <v>3028</v>
      </c>
    </row>
    <row r="253" spans="1:15" x14ac:dyDescent="0.25">
      <c r="A253" s="10" t="s">
        <v>606</v>
      </c>
      <c r="B253" s="15">
        <v>0</v>
      </c>
      <c r="C253" s="15">
        <v>3853.08</v>
      </c>
      <c r="D253" s="15">
        <v>4602.33</v>
      </c>
      <c r="E253" s="15">
        <v>4809.2299999999996</v>
      </c>
      <c r="F253" s="15">
        <v>4379.04</v>
      </c>
      <c r="G253" s="15">
        <v>4557.34</v>
      </c>
      <c r="H253" s="15">
        <v>4481.2</v>
      </c>
      <c r="I253" s="15">
        <v>4675.8599999999997</v>
      </c>
      <c r="J253" s="15">
        <v>4485.07</v>
      </c>
      <c r="K253" s="15">
        <v>5261.56</v>
      </c>
      <c r="L253" s="15">
        <v>5309.01</v>
      </c>
      <c r="M253" s="15">
        <v>4979.07</v>
      </c>
      <c r="N253" s="15">
        <v>4557.88</v>
      </c>
      <c r="O253" t="s">
        <v>3028</v>
      </c>
    </row>
    <row r="254" spans="1:15" x14ac:dyDescent="0.25">
      <c r="A254" s="10" t="s">
        <v>608</v>
      </c>
      <c r="B254" s="15">
        <v>0</v>
      </c>
      <c r="C254" s="15">
        <v>0</v>
      </c>
      <c r="D254" s="15">
        <v>0</v>
      </c>
      <c r="E254" s="15">
        <v>0</v>
      </c>
      <c r="F254" s="15">
        <v>0</v>
      </c>
      <c r="G254" s="15">
        <v>0</v>
      </c>
      <c r="H254" s="15">
        <v>0</v>
      </c>
      <c r="I254" s="15">
        <v>0</v>
      </c>
      <c r="J254" s="15">
        <v>953.33</v>
      </c>
      <c r="K254" s="15">
        <v>1524.83</v>
      </c>
      <c r="L254" s="15">
        <v>1425.2</v>
      </c>
      <c r="M254" s="15">
        <v>1425.2</v>
      </c>
      <c r="N254" s="15">
        <v>475.71</v>
      </c>
      <c r="O254" t="s">
        <v>3028</v>
      </c>
    </row>
    <row r="255" spans="1:15" x14ac:dyDescent="0.25">
      <c r="A255" s="10" t="s">
        <v>610</v>
      </c>
      <c r="B255" s="15">
        <v>0</v>
      </c>
      <c r="C255" s="15">
        <v>0</v>
      </c>
      <c r="D255" s="15">
        <v>0</v>
      </c>
      <c r="E255" s="15">
        <v>2515.13</v>
      </c>
      <c r="F255" s="15">
        <v>3123.82</v>
      </c>
      <c r="G255" s="15">
        <v>3598.34</v>
      </c>
      <c r="H255" s="15">
        <v>3739.39</v>
      </c>
      <c r="I255" s="15">
        <v>5110.26</v>
      </c>
      <c r="J255" s="15">
        <v>4035.72</v>
      </c>
      <c r="K255" s="15">
        <v>3787.11</v>
      </c>
      <c r="L255" s="15">
        <v>3939.34</v>
      </c>
      <c r="M255" s="15">
        <v>3991.4</v>
      </c>
      <c r="N255" s="15">
        <v>2905.24</v>
      </c>
      <c r="O255" t="s">
        <v>3028</v>
      </c>
    </row>
    <row r="256" spans="1:15" x14ac:dyDescent="0.25">
      <c r="A256" s="10" t="s">
        <v>612</v>
      </c>
      <c r="B256" s="15">
        <v>1541.52</v>
      </c>
      <c r="C256" s="15">
        <v>2765.48</v>
      </c>
      <c r="D256" s="15">
        <v>2779.02</v>
      </c>
      <c r="E256" s="15">
        <v>5240.5200000000004</v>
      </c>
      <c r="F256" s="15">
        <v>921.9</v>
      </c>
      <c r="G256" s="15">
        <v>2765.48</v>
      </c>
      <c r="H256" s="15">
        <v>2765.48</v>
      </c>
      <c r="I256" s="15">
        <v>3718.71</v>
      </c>
      <c r="J256" s="15">
        <v>3037.05</v>
      </c>
      <c r="K256" s="15">
        <v>3037.05</v>
      </c>
      <c r="L256" s="15">
        <v>3037.05</v>
      </c>
      <c r="M256" s="15">
        <v>3070.19</v>
      </c>
      <c r="N256" s="15">
        <v>3075.08</v>
      </c>
      <c r="O256" t="s">
        <v>3028</v>
      </c>
    </row>
    <row r="257" spans="1:15" x14ac:dyDescent="0.25">
      <c r="A257" s="10" t="s">
        <v>614</v>
      </c>
      <c r="B257" s="15">
        <v>3539.37</v>
      </c>
      <c r="C257" s="15">
        <v>3423.58</v>
      </c>
      <c r="D257" s="15">
        <v>3423.58</v>
      </c>
      <c r="E257" s="15">
        <v>3423.58</v>
      </c>
      <c r="F257" s="15">
        <v>3429.86</v>
      </c>
      <c r="G257" s="15">
        <v>3423.58</v>
      </c>
      <c r="H257" s="15">
        <v>3423.58</v>
      </c>
      <c r="I257" s="15">
        <v>4432.18</v>
      </c>
      <c r="J257" s="15">
        <v>3759.78</v>
      </c>
      <c r="K257" s="15">
        <v>6466.98</v>
      </c>
      <c r="L257" s="15">
        <v>2381.19</v>
      </c>
      <c r="M257" s="15">
        <v>3759.78</v>
      </c>
      <c r="N257" s="15">
        <v>3771.63</v>
      </c>
      <c r="O257" t="s">
        <v>3028</v>
      </c>
    </row>
    <row r="258" spans="1:15" x14ac:dyDescent="0.25">
      <c r="A258" s="10" t="s">
        <v>616</v>
      </c>
      <c r="B258" s="15">
        <v>8542.8700000000008</v>
      </c>
      <c r="C258" s="15">
        <v>8542.8700000000008</v>
      </c>
      <c r="D258" s="15">
        <v>8542.8700000000008</v>
      </c>
      <c r="E258" s="15">
        <v>8542.8700000000008</v>
      </c>
      <c r="F258" s="15">
        <v>8542.8700000000008</v>
      </c>
      <c r="G258" s="15">
        <v>10441.290000000001</v>
      </c>
      <c r="H258" s="15">
        <v>8542.8700000000008</v>
      </c>
      <c r="I258" s="15">
        <v>1139.05</v>
      </c>
      <c r="J258" s="15">
        <v>1976.09</v>
      </c>
      <c r="K258" s="15">
        <v>0</v>
      </c>
      <c r="L258" s="15">
        <v>0</v>
      </c>
      <c r="M258" s="15">
        <v>0</v>
      </c>
      <c r="N258" s="15">
        <v>7036.34</v>
      </c>
      <c r="O258" t="s">
        <v>3028</v>
      </c>
    </row>
    <row r="259" spans="1:15" x14ac:dyDescent="0.25">
      <c r="A259" s="10" t="s">
        <v>618</v>
      </c>
      <c r="B259" s="15">
        <v>352.84</v>
      </c>
      <c r="C259" s="15">
        <v>2657.8</v>
      </c>
      <c r="D259" s="15">
        <v>2553.36</v>
      </c>
      <c r="E259" s="15">
        <v>2813.14</v>
      </c>
      <c r="F259" s="15">
        <v>2530.1799999999998</v>
      </c>
      <c r="G259" s="15">
        <v>2540.41</v>
      </c>
      <c r="H259" s="15">
        <v>2542.37</v>
      </c>
      <c r="I259" s="15">
        <v>3389.36</v>
      </c>
      <c r="J259" s="15">
        <v>2643.7</v>
      </c>
      <c r="K259" s="15">
        <v>2679.18</v>
      </c>
      <c r="L259" s="15">
        <v>2671.35</v>
      </c>
      <c r="M259" s="15">
        <v>6806.78</v>
      </c>
      <c r="N259" s="15">
        <v>2811.74</v>
      </c>
      <c r="O259" t="s">
        <v>3028</v>
      </c>
    </row>
    <row r="260" spans="1:15" x14ac:dyDescent="0.25">
      <c r="A260" s="10" t="s">
        <v>620</v>
      </c>
      <c r="B260" s="15">
        <v>1673.18</v>
      </c>
      <c r="C260" s="15">
        <v>1802.49</v>
      </c>
      <c r="D260" s="15">
        <v>1654.7</v>
      </c>
      <c r="E260" s="15">
        <v>2777.82</v>
      </c>
      <c r="F260" s="15">
        <v>484.9</v>
      </c>
      <c r="G260" s="15">
        <v>1351.63</v>
      </c>
      <c r="H260" s="15">
        <v>1354.92</v>
      </c>
      <c r="I260" s="15">
        <v>1805.88</v>
      </c>
      <c r="J260" s="15">
        <v>1511.74</v>
      </c>
      <c r="K260" s="15">
        <v>1531.34</v>
      </c>
      <c r="L260" s="15">
        <v>1652.57</v>
      </c>
      <c r="M260" s="15">
        <v>1636.1</v>
      </c>
      <c r="N260" s="15">
        <v>1622.9</v>
      </c>
      <c r="O260" t="s">
        <v>3028</v>
      </c>
    </row>
    <row r="261" spans="1:15" x14ac:dyDescent="0.25">
      <c r="A261" s="10" t="s">
        <v>622</v>
      </c>
      <c r="B261" s="15">
        <v>2872.22</v>
      </c>
      <c r="C261" s="15">
        <v>2894.29</v>
      </c>
      <c r="D261" s="15">
        <v>3117.11</v>
      </c>
      <c r="E261" s="15">
        <v>6721.42</v>
      </c>
      <c r="F261" s="15">
        <v>243.47</v>
      </c>
      <c r="G261" s="15">
        <v>2806.03</v>
      </c>
      <c r="H261" s="15">
        <v>2839.94</v>
      </c>
      <c r="I261" s="15">
        <v>3623.32</v>
      </c>
      <c r="J261" s="15">
        <v>3423.43</v>
      </c>
      <c r="K261" s="15">
        <v>3086.28</v>
      </c>
      <c r="L261" s="15">
        <v>3139.58</v>
      </c>
      <c r="M261" s="15">
        <v>3153.51</v>
      </c>
      <c r="N261" s="15">
        <v>3186.77</v>
      </c>
      <c r="O261" t="s">
        <v>3028</v>
      </c>
    </row>
    <row r="262" spans="1:15" x14ac:dyDescent="0.25">
      <c r="A262" s="10" t="s">
        <v>624</v>
      </c>
      <c r="B262" s="15">
        <v>7922.51</v>
      </c>
      <c r="C262" s="15">
        <v>3654.84</v>
      </c>
      <c r="D262" s="15">
        <v>4560.75</v>
      </c>
      <c r="E262" s="15">
        <v>3876.79</v>
      </c>
      <c r="F262" s="15">
        <v>4179.74</v>
      </c>
      <c r="G262" s="15">
        <v>4799.16</v>
      </c>
      <c r="H262" s="15">
        <v>3367.7</v>
      </c>
      <c r="I262" s="15">
        <v>10245.81</v>
      </c>
      <c r="J262" s="15">
        <v>843.68</v>
      </c>
      <c r="K262" s="15">
        <v>3645.32</v>
      </c>
      <c r="L262" s="15">
        <v>4923.01</v>
      </c>
      <c r="M262" s="15">
        <v>3953.73</v>
      </c>
      <c r="N262" s="15">
        <v>4698.79</v>
      </c>
      <c r="O262" t="s">
        <v>3028</v>
      </c>
    </row>
    <row r="263" spans="1:15" x14ac:dyDescent="0.25">
      <c r="A263" s="10" t="s">
        <v>626</v>
      </c>
      <c r="B263" s="15">
        <v>2834.87</v>
      </c>
      <c r="C263" s="15">
        <v>721.58</v>
      </c>
      <c r="D263" s="15">
        <v>0</v>
      </c>
      <c r="E263" s="15">
        <v>0</v>
      </c>
      <c r="F263" s="15">
        <v>0</v>
      </c>
      <c r="G263" s="15">
        <v>0</v>
      </c>
      <c r="H263" s="15">
        <v>0</v>
      </c>
      <c r="I263" s="15">
        <v>0</v>
      </c>
      <c r="J263" s="15">
        <v>0</v>
      </c>
      <c r="K263" s="15">
        <v>0</v>
      </c>
      <c r="L263" s="15">
        <v>0</v>
      </c>
      <c r="M263" s="15">
        <v>0</v>
      </c>
      <c r="N263" s="15">
        <v>433.76</v>
      </c>
      <c r="O263" t="s">
        <v>3028</v>
      </c>
    </row>
    <row r="264" spans="1:15" x14ac:dyDescent="0.25">
      <c r="A264" s="10" t="s">
        <v>628</v>
      </c>
      <c r="B264" s="15">
        <v>3053.88</v>
      </c>
      <c r="C264" s="15">
        <v>2952.8</v>
      </c>
      <c r="D264" s="15">
        <v>2635.03</v>
      </c>
      <c r="E264" s="15">
        <v>175.31</v>
      </c>
      <c r="F264" s="15">
        <v>0</v>
      </c>
      <c r="G264" s="15">
        <v>0</v>
      </c>
      <c r="H264" s="15">
        <v>0</v>
      </c>
      <c r="I264" s="15">
        <v>0</v>
      </c>
      <c r="J264" s="15">
        <v>0</v>
      </c>
      <c r="K264" s="15">
        <v>0</v>
      </c>
      <c r="L264" s="15">
        <v>0</v>
      </c>
      <c r="M264" s="15">
        <v>0</v>
      </c>
      <c r="N264" s="15">
        <v>1174.17</v>
      </c>
      <c r="O264" t="s">
        <v>3028</v>
      </c>
    </row>
    <row r="265" spans="1:15" x14ac:dyDescent="0.25">
      <c r="A265" s="10" t="s">
        <v>630</v>
      </c>
      <c r="B265" s="15">
        <v>1544.84</v>
      </c>
      <c r="C265" s="15">
        <v>1536.01</v>
      </c>
      <c r="D265" s="15">
        <v>1858.5</v>
      </c>
      <c r="E265" s="15">
        <v>1746.8</v>
      </c>
      <c r="F265" s="15">
        <v>1517.97</v>
      </c>
      <c r="G265" s="15">
        <v>1101.96</v>
      </c>
      <c r="H265" s="15">
        <v>742.31</v>
      </c>
      <c r="I265" s="15">
        <v>313.77</v>
      </c>
      <c r="J265" s="15">
        <v>0</v>
      </c>
      <c r="K265" s="15">
        <v>0</v>
      </c>
      <c r="L265" s="15">
        <v>0</v>
      </c>
      <c r="M265" s="15">
        <v>0</v>
      </c>
      <c r="N265" s="15">
        <v>982.5</v>
      </c>
      <c r="O265" t="s">
        <v>3028</v>
      </c>
    </row>
    <row r="266" spans="1:15" x14ac:dyDescent="0.25">
      <c r="A266" s="10" t="s">
        <v>632</v>
      </c>
      <c r="B266" s="15">
        <v>0</v>
      </c>
      <c r="C266" s="15">
        <v>0</v>
      </c>
      <c r="D266" s="15">
        <v>0</v>
      </c>
      <c r="E266" s="15">
        <v>0</v>
      </c>
      <c r="F266" s="15">
        <v>0</v>
      </c>
      <c r="G266" s="15">
        <v>0</v>
      </c>
      <c r="H266" s="15">
        <v>0</v>
      </c>
      <c r="I266" s="15">
        <v>1445.35</v>
      </c>
      <c r="J266" s="15">
        <v>1694.8</v>
      </c>
      <c r="K266" s="15">
        <v>1998.3</v>
      </c>
      <c r="L266" s="15">
        <v>1818.65</v>
      </c>
      <c r="M266" s="15">
        <v>1775.18</v>
      </c>
      <c r="N266" s="15">
        <v>728.26</v>
      </c>
      <c r="O266" t="s">
        <v>3028</v>
      </c>
    </row>
    <row r="267" spans="1:15" x14ac:dyDescent="0.25">
      <c r="A267" s="10" t="s">
        <v>634</v>
      </c>
      <c r="B267" s="15">
        <v>2206.54</v>
      </c>
      <c r="C267" s="15">
        <v>2104.15</v>
      </c>
      <c r="D267" s="15">
        <v>2104.15</v>
      </c>
      <c r="E267" s="15">
        <v>2122.1799999999998</v>
      </c>
      <c r="F267" s="15">
        <v>2114.4299999999998</v>
      </c>
      <c r="G267" s="15">
        <v>3258.8</v>
      </c>
      <c r="H267" s="15">
        <v>1753.46</v>
      </c>
      <c r="I267" s="15">
        <v>2816.11</v>
      </c>
      <c r="J267" s="15">
        <v>2310.7800000000002</v>
      </c>
      <c r="K267" s="15">
        <v>2310.7800000000002</v>
      </c>
      <c r="L267" s="15">
        <v>2321.41</v>
      </c>
      <c r="M267" s="15">
        <v>2311.4</v>
      </c>
      <c r="N267" s="15">
        <v>2325.6799999999998</v>
      </c>
      <c r="O267" t="s">
        <v>3028</v>
      </c>
    </row>
    <row r="268" spans="1:15" x14ac:dyDescent="0.25">
      <c r="A268" s="10" t="s">
        <v>636</v>
      </c>
      <c r="B268" s="15">
        <v>5094.17</v>
      </c>
      <c r="C268" s="15">
        <v>4708.34</v>
      </c>
      <c r="D268" s="15">
        <v>4651.4799999999996</v>
      </c>
      <c r="E268" s="15">
        <v>11456.01</v>
      </c>
      <c r="F268" s="15">
        <v>22.89</v>
      </c>
      <c r="G268" s="15">
        <v>4518.1000000000004</v>
      </c>
      <c r="H268" s="15">
        <v>4543.96</v>
      </c>
      <c r="I268" s="15">
        <v>6355.91</v>
      </c>
      <c r="J268" s="15">
        <v>5048.7299999999996</v>
      </c>
      <c r="K268" s="15">
        <v>4980.46</v>
      </c>
      <c r="L268" s="15">
        <v>5028.6000000000004</v>
      </c>
      <c r="M268" s="15">
        <v>5456.56</v>
      </c>
      <c r="N268" s="15">
        <v>5145.2700000000004</v>
      </c>
      <c r="O268" t="s">
        <v>3028</v>
      </c>
    </row>
    <row r="269" spans="1:15" x14ac:dyDescent="0.25">
      <c r="A269" s="10" t="s">
        <v>638</v>
      </c>
      <c r="B269" s="15">
        <v>3312.91</v>
      </c>
      <c r="C269" s="15">
        <v>3092.32</v>
      </c>
      <c r="D269" s="15">
        <v>4293.71</v>
      </c>
      <c r="E269" s="15">
        <v>3492.44</v>
      </c>
      <c r="F269" s="15">
        <v>2084.27</v>
      </c>
      <c r="G269" s="15">
        <v>3110.13</v>
      </c>
      <c r="H269" s="15">
        <v>3229.79</v>
      </c>
      <c r="I269" s="15">
        <v>4095.95</v>
      </c>
      <c r="J269" s="15">
        <v>3724.61</v>
      </c>
      <c r="K269" s="15">
        <v>3488.07</v>
      </c>
      <c r="L269" s="15">
        <v>3411.78</v>
      </c>
      <c r="M269" s="15">
        <v>3458.07</v>
      </c>
      <c r="N269" s="15">
        <v>3384.13</v>
      </c>
      <c r="O269" t="s">
        <v>3028</v>
      </c>
    </row>
    <row r="270" spans="1:15" x14ac:dyDescent="0.25">
      <c r="A270" s="10" t="s">
        <v>640</v>
      </c>
      <c r="B270" s="15">
        <v>2053.3000000000002</v>
      </c>
      <c r="C270" s="15">
        <v>1982.34</v>
      </c>
      <c r="D270" s="15">
        <v>2039.22</v>
      </c>
      <c r="E270" s="15">
        <v>2043.24</v>
      </c>
      <c r="F270" s="15">
        <v>2029.3</v>
      </c>
      <c r="G270" s="15">
        <v>2041.15</v>
      </c>
      <c r="H270" s="15">
        <v>2366.31</v>
      </c>
      <c r="I270" s="15">
        <v>2025.89</v>
      </c>
      <c r="J270" s="15">
        <v>2028.71</v>
      </c>
      <c r="K270" s="15">
        <v>2376.7600000000002</v>
      </c>
      <c r="L270" s="15">
        <v>2229.54</v>
      </c>
      <c r="M270" s="15">
        <v>5294.41</v>
      </c>
      <c r="N270" s="15">
        <v>2249.59</v>
      </c>
      <c r="O270" t="s">
        <v>3028</v>
      </c>
    </row>
    <row r="271" spans="1:15" x14ac:dyDescent="0.25">
      <c r="A271" s="10" t="s">
        <v>642</v>
      </c>
      <c r="B271" s="15">
        <v>1766.34</v>
      </c>
      <c r="C271" s="15">
        <v>1776.1</v>
      </c>
      <c r="D271" s="15">
        <v>1794.33</v>
      </c>
      <c r="E271" s="15">
        <v>4297.4799999999996</v>
      </c>
      <c r="F271" s="15">
        <v>8.7200000000000006</v>
      </c>
      <c r="G271" s="15">
        <v>1766.31</v>
      </c>
      <c r="H271" s="15">
        <v>1768.4</v>
      </c>
      <c r="I271" s="15">
        <v>2289.11</v>
      </c>
      <c r="J271" s="15">
        <v>2155.6</v>
      </c>
      <c r="K271" s="15">
        <v>1955.81</v>
      </c>
      <c r="L271" s="15">
        <v>1941.42</v>
      </c>
      <c r="M271" s="15">
        <v>1941.14</v>
      </c>
      <c r="N271" s="15">
        <v>1964.86</v>
      </c>
      <c r="O271" t="s">
        <v>3028</v>
      </c>
    </row>
    <row r="272" spans="1:15" x14ac:dyDescent="0.25">
      <c r="A272" s="10" t="s">
        <v>644</v>
      </c>
      <c r="B272" s="15">
        <v>6840.85</v>
      </c>
      <c r="C272" s="15">
        <v>7045.9</v>
      </c>
      <c r="D272" s="15">
        <v>6869.99</v>
      </c>
      <c r="E272" s="15">
        <v>7002.77</v>
      </c>
      <c r="F272" s="15">
        <v>6828.4</v>
      </c>
      <c r="G272" s="15">
        <v>6816.51</v>
      </c>
      <c r="H272" s="15">
        <v>6816.51</v>
      </c>
      <c r="I272" s="15">
        <v>8824.65</v>
      </c>
      <c r="J272" s="15">
        <v>17653.57</v>
      </c>
      <c r="K272" s="15">
        <v>563.13</v>
      </c>
      <c r="L272" s="15">
        <v>7236.36</v>
      </c>
      <c r="M272" s="15">
        <v>7485.89</v>
      </c>
      <c r="N272" s="15">
        <v>7557.61</v>
      </c>
      <c r="O272" t="s">
        <v>3028</v>
      </c>
    </row>
    <row r="273" spans="1:15" x14ac:dyDescent="0.25">
      <c r="A273" s="10" t="s">
        <v>646</v>
      </c>
      <c r="B273" s="15">
        <v>8691.49</v>
      </c>
      <c r="C273" s="15">
        <v>6441.79</v>
      </c>
      <c r="D273" s="15">
        <v>6382.23</v>
      </c>
      <c r="E273" s="15">
        <v>6306.82</v>
      </c>
      <c r="F273" s="15">
        <v>11706.63</v>
      </c>
      <c r="G273" s="15">
        <v>2499.8000000000002</v>
      </c>
      <c r="H273" s="15">
        <v>6235.97</v>
      </c>
      <c r="I273" s="15">
        <v>8232.6200000000008</v>
      </c>
      <c r="J273" s="15">
        <v>6940.39</v>
      </c>
      <c r="K273" s="15">
        <v>6940.79</v>
      </c>
      <c r="L273" s="15">
        <v>6951.07</v>
      </c>
      <c r="M273" s="15">
        <v>8624.86</v>
      </c>
      <c r="N273" s="15">
        <v>7090.64</v>
      </c>
      <c r="O273" t="s">
        <v>3028</v>
      </c>
    </row>
    <row r="274" spans="1:15" x14ac:dyDescent="0.25">
      <c r="A274" s="10" t="s">
        <v>648</v>
      </c>
      <c r="B274" s="15">
        <v>260</v>
      </c>
      <c r="C274" s="15">
        <v>0</v>
      </c>
      <c r="D274" s="15">
        <v>0</v>
      </c>
      <c r="E274" s="15">
        <v>0</v>
      </c>
      <c r="F274" s="15">
        <v>0</v>
      </c>
      <c r="G274" s="15">
        <v>0</v>
      </c>
      <c r="H274" s="15">
        <v>0</v>
      </c>
      <c r="I274" s="15">
        <v>0</v>
      </c>
      <c r="J274" s="15">
        <v>0</v>
      </c>
      <c r="K274" s="15">
        <v>0</v>
      </c>
      <c r="L274" s="15">
        <v>0</v>
      </c>
      <c r="M274" s="15">
        <v>0</v>
      </c>
      <c r="N274" s="15">
        <v>108.33</v>
      </c>
      <c r="O274" t="s">
        <v>3028</v>
      </c>
    </row>
    <row r="275" spans="1:15" x14ac:dyDescent="0.25">
      <c r="A275" s="10" t="s">
        <v>650</v>
      </c>
      <c r="B275" s="15">
        <v>8962.8700000000008</v>
      </c>
      <c r="C275" s="15">
        <v>7965.12</v>
      </c>
      <c r="D275" s="15">
        <v>5980.55</v>
      </c>
      <c r="E275" s="15">
        <v>5739.79</v>
      </c>
      <c r="F275" s="15">
        <v>8339.2099999999991</v>
      </c>
      <c r="G275" s="15">
        <v>5701.58</v>
      </c>
      <c r="H275" s="15">
        <v>12121.12</v>
      </c>
      <c r="I275" s="15">
        <v>4511.76</v>
      </c>
      <c r="J275" s="15">
        <v>6207.47</v>
      </c>
      <c r="K275" s="15">
        <v>6196.86</v>
      </c>
      <c r="L275" s="15">
        <v>6879.98</v>
      </c>
      <c r="M275" s="15">
        <v>6210.98</v>
      </c>
      <c r="N275" s="15">
        <v>7034.5</v>
      </c>
      <c r="O275" t="s">
        <v>3028</v>
      </c>
    </row>
    <row r="276" spans="1:15" x14ac:dyDescent="0.25">
      <c r="A276" s="10" t="s">
        <v>652</v>
      </c>
      <c r="B276" s="15">
        <v>0</v>
      </c>
      <c r="C276" s="15">
        <v>0</v>
      </c>
      <c r="D276" s="15">
        <v>0</v>
      </c>
      <c r="E276" s="15">
        <v>3447.62</v>
      </c>
      <c r="F276" s="15">
        <v>2992</v>
      </c>
      <c r="G276" s="15">
        <v>2180.5700000000002</v>
      </c>
      <c r="H276" s="15">
        <v>2239.2600000000002</v>
      </c>
      <c r="I276" s="15">
        <v>2909.51</v>
      </c>
      <c r="J276" s="15">
        <v>2331.33</v>
      </c>
      <c r="K276" s="15">
        <v>2303.7399999999998</v>
      </c>
      <c r="L276" s="15">
        <v>2447.9299999999998</v>
      </c>
      <c r="M276" s="15">
        <v>2442.4</v>
      </c>
      <c r="N276" s="15">
        <v>1984.48</v>
      </c>
      <c r="O276" t="s">
        <v>3028</v>
      </c>
    </row>
    <row r="277" spans="1:15" x14ac:dyDescent="0.25">
      <c r="A277" s="10" t="s">
        <v>654</v>
      </c>
      <c r="B277" s="15">
        <v>10862.4</v>
      </c>
      <c r="C277" s="15">
        <v>10862.4</v>
      </c>
      <c r="D277" s="15">
        <v>10862.4</v>
      </c>
      <c r="E277" s="15">
        <v>10862.4</v>
      </c>
      <c r="F277" s="15">
        <v>10862.4</v>
      </c>
      <c r="G277" s="15">
        <v>10862.4</v>
      </c>
      <c r="H277" s="15">
        <v>10862.4</v>
      </c>
      <c r="I277" s="15">
        <v>14062.47</v>
      </c>
      <c r="J277" s="15">
        <v>11929.09</v>
      </c>
      <c r="K277" s="15">
        <v>14580</v>
      </c>
      <c r="L277" s="15">
        <v>11929.09</v>
      </c>
      <c r="M277" s="15">
        <v>11929.09</v>
      </c>
      <c r="N277" s="15">
        <v>11929.09</v>
      </c>
      <c r="O277" t="s">
        <v>3028</v>
      </c>
    </row>
    <row r="278" spans="1:15" x14ac:dyDescent="0.25">
      <c r="A278" s="10" t="s">
        <v>656</v>
      </c>
      <c r="B278" s="15">
        <v>2775.45</v>
      </c>
      <c r="C278" s="15">
        <v>2872.53</v>
      </c>
      <c r="D278" s="15">
        <v>2620.77</v>
      </c>
      <c r="E278" s="15">
        <v>5021.8</v>
      </c>
      <c r="F278" s="15">
        <v>1095.3800000000001</v>
      </c>
      <c r="G278" s="15">
        <v>2642.55</v>
      </c>
      <c r="H278" s="15">
        <v>2731.51</v>
      </c>
      <c r="I278" s="15">
        <v>3571.89</v>
      </c>
      <c r="J278" s="15">
        <v>2861.56</v>
      </c>
      <c r="K278" s="15">
        <v>2915.02</v>
      </c>
      <c r="L278" s="15">
        <v>2956.11</v>
      </c>
      <c r="M278" s="15">
        <v>2916.69</v>
      </c>
      <c r="N278" s="15">
        <v>2932</v>
      </c>
      <c r="O278" t="s">
        <v>3028</v>
      </c>
    </row>
    <row r="279" spans="1:15" x14ac:dyDescent="0.25">
      <c r="A279" s="10" t="s">
        <v>658</v>
      </c>
      <c r="B279" s="15">
        <v>46646.73</v>
      </c>
      <c r="C279" s="15">
        <v>46646.73</v>
      </c>
      <c r="D279" s="15">
        <v>108842.37</v>
      </c>
      <c r="E279" s="15">
        <v>4664.67</v>
      </c>
      <c r="F279" s="15">
        <v>41982.06</v>
      </c>
      <c r="G279" s="15">
        <v>46646.73</v>
      </c>
      <c r="H279" s="15">
        <v>46646.73</v>
      </c>
      <c r="I279" s="15">
        <v>49887.33</v>
      </c>
      <c r="J279" s="15">
        <v>47726.93</v>
      </c>
      <c r="K279" s="15">
        <v>47726.93</v>
      </c>
      <c r="L279" s="15">
        <v>47726.93</v>
      </c>
      <c r="M279" s="15">
        <v>47726.93</v>
      </c>
      <c r="N279" s="15">
        <v>47726.93</v>
      </c>
      <c r="O279" t="s">
        <v>3028</v>
      </c>
    </row>
    <row r="280" spans="1:15" x14ac:dyDescent="0.25">
      <c r="A280" s="10" t="s">
        <v>660</v>
      </c>
      <c r="B280" s="15">
        <v>3183.16</v>
      </c>
      <c r="C280" s="15">
        <v>2965.14</v>
      </c>
      <c r="D280" s="15">
        <v>3153.93</v>
      </c>
      <c r="E280" s="15">
        <v>7297.54</v>
      </c>
      <c r="F280" s="15">
        <v>626.70000000000005</v>
      </c>
      <c r="G280" s="15">
        <v>3162.99</v>
      </c>
      <c r="H280" s="15">
        <v>3278.98</v>
      </c>
      <c r="I280" s="15">
        <v>4154.87</v>
      </c>
      <c r="J280" s="15">
        <v>3471.5</v>
      </c>
      <c r="K280" s="15">
        <v>3513.05</v>
      </c>
      <c r="L280" s="15">
        <v>3411.64</v>
      </c>
      <c r="M280" s="15">
        <v>3730.42</v>
      </c>
      <c r="N280" s="15">
        <v>3454.03</v>
      </c>
      <c r="O280" t="s">
        <v>3028</v>
      </c>
    </row>
    <row r="281" spans="1:15" x14ac:dyDescent="0.25">
      <c r="A281" s="10" t="s">
        <v>662</v>
      </c>
      <c r="B281" s="15">
        <v>1663.97</v>
      </c>
      <c r="C281" s="15">
        <v>1627.69</v>
      </c>
      <c r="D281" s="15">
        <v>1284.48</v>
      </c>
      <c r="E281" s="15">
        <v>3290.84</v>
      </c>
      <c r="F281" s="15">
        <v>0</v>
      </c>
      <c r="G281" s="15">
        <v>1335.6</v>
      </c>
      <c r="H281" s="15">
        <v>1350.39</v>
      </c>
      <c r="I281" s="15">
        <v>2044.91</v>
      </c>
      <c r="J281" s="15">
        <v>1483.04</v>
      </c>
      <c r="K281" s="15">
        <v>1968.25</v>
      </c>
      <c r="L281" s="15">
        <v>356.8</v>
      </c>
      <c r="M281" s="15">
        <v>0</v>
      </c>
      <c r="N281" s="15">
        <v>1489.47</v>
      </c>
      <c r="O281" t="s">
        <v>3028</v>
      </c>
    </row>
    <row r="282" spans="1:15" x14ac:dyDescent="0.25">
      <c r="A282" s="10" t="s">
        <v>664</v>
      </c>
      <c r="B282" s="15">
        <v>0</v>
      </c>
      <c r="C282" s="15">
        <v>0</v>
      </c>
      <c r="D282" s="15">
        <v>0</v>
      </c>
      <c r="E282" s="15">
        <v>0</v>
      </c>
      <c r="F282" s="15">
        <v>0</v>
      </c>
      <c r="G282" s="15">
        <v>5523.59</v>
      </c>
      <c r="H282" s="15">
        <v>9205.99</v>
      </c>
      <c r="I282" s="15">
        <v>11556.47</v>
      </c>
      <c r="J282" s="15">
        <v>1685</v>
      </c>
      <c r="K282" s="15">
        <v>0</v>
      </c>
      <c r="L282" s="15">
        <v>0</v>
      </c>
      <c r="M282" s="15">
        <v>0</v>
      </c>
      <c r="N282" s="15">
        <v>2527.5100000000002</v>
      </c>
      <c r="O282" t="s">
        <v>3028</v>
      </c>
    </row>
    <row r="283" spans="1:15" x14ac:dyDescent="0.25">
      <c r="A283" s="10" t="s">
        <v>666</v>
      </c>
      <c r="B283" s="15">
        <v>3675.56</v>
      </c>
      <c r="C283" s="15">
        <v>3240.86</v>
      </c>
      <c r="D283" s="15">
        <v>3971.32</v>
      </c>
      <c r="E283" s="15">
        <v>3285.5</v>
      </c>
      <c r="F283" s="15">
        <v>3306.77</v>
      </c>
      <c r="G283" s="15">
        <v>3374.7</v>
      </c>
      <c r="H283" s="15">
        <v>3302.51</v>
      </c>
      <c r="I283" s="15">
        <v>3179.5</v>
      </c>
      <c r="J283" s="15">
        <v>3147.14</v>
      </c>
      <c r="K283" s="15">
        <v>3887.44</v>
      </c>
      <c r="L283" s="15">
        <v>3643.09</v>
      </c>
      <c r="M283" s="15">
        <v>6109.19</v>
      </c>
      <c r="N283" s="15">
        <v>3641.52</v>
      </c>
      <c r="O283" t="s">
        <v>3028</v>
      </c>
    </row>
    <row r="284" spans="1:15" x14ac:dyDescent="0.25">
      <c r="A284" s="10" t="s">
        <v>668</v>
      </c>
      <c r="B284" s="15">
        <v>22642.959999999999</v>
      </c>
      <c r="C284" s="15">
        <v>22642.959999999999</v>
      </c>
      <c r="D284" s="15">
        <v>22642.959999999999</v>
      </c>
      <c r="E284" s="15">
        <v>22642.959999999999</v>
      </c>
      <c r="F284" s="15">
        <v>22642.959999999999</v>
      </c>
      <c r="G284" s="15">
        <v>22642.959999999999</v>
      </c>
      <c r="H284" s="15">
        <v>22642.959999999999</v>
      </c>
      <c r="I284" s="15">
        <v>25983.56</v>
      </c>
      <c r="J284" s="15">
        <v>29785.74</v>
      </c>
      <c r="K284" s="15">
        <v>23723.16</v>
      </c>
      <c r="L284" s="15">
        <v>0</v>
      </c>
      <c r="M284" s="15">
        <v>0</v>
      </c>
      <c r="N284" s="15">
        <v>23723.16</v>
      </c>
      <c r="O284" t="s">
        <v>3028</v>
      </c>
    </row>
    <row r="285" spans="1:15" x14ac:dyDescent="0.25">
      <c r="A285" s="10" t="s">
        <v>670</v>
      </c>
      <c r="B285" s="15">
        <v>2634.4</v>
      </c>
      <c r="C285" s="15">
        <v>7603.2</v>
      </c>
      <c r="D285" s="15">
        <v>7603.2</v>
      </c>
      <c r="E285" s="15">
        <v>7603.2</v>
      </c>
      <c r="F285" s="15">
        <v>7603.2</v>
      </c>
      <c r="G285" s="15">
        <v>7603.2</v>
      </c>
      <c r="H285" s="15">
        <v>8448</v>
      </c>
      <c r="I285" s="15">
        <v>7703.2</v>
      </c>
      <c r="J285" s="15">
        <v>7603.2</v>
      </c>
      <c r="K285" s="15">
        <v>9066.06</v>
      </c>
      <c r="L285" s="15">
        <v>8434.6299999999992</v>
      </c>
      <c r="M285" s="15">
        <v>8334.6299999999992</v>
      </c>
      <c r="N285" s="15">
        <v>8334.6299999999992</v>
      </c>
      <c r="O285" t="s">
        <v>3028</v>
      </c>
    </row>
    <row r="286" spans="1:15" x14ac:dyDescent="0.25">
      <c r="A286" s="10" t="s">
        <v>672</v>
      </c>
      <c r="B286" s="15">
        <v>5158.67</v>
      </c>
      <c r="C286" s="15">
        <v>4964.66</v>
      </c>
      <c r="D286" s="15">
        <v>4964.66</v>
      </c>
      <c r="E286" s="15">
        <v>4964.66</v>
      </c>
      <c r="F286" s="15">
        <v>4996.29</v>
      </c>
      <c r="G286" s="15">
        <v>9504.25</v>
      </c>
      <c r="H286" s="15">
        <v>1674.3</v>
      </c>
      <c r="I286" s="15">
        <v>6547.89</v>
      </c>
      <c r="J286" s="15">
        <v>5452.19</v>
      </c>
      <c r="K286" s="15">
        <v>6270.02</v>
      </c>
      <c r="L286" s="15">
        <v>6270.02</v>
      </c>
      <c r="M286" s="15">
        <v>6270.02</v>
      </c>
      <c r="N286" s="15">
        <v>6294.81</v>
      </c>
      <c r="O286" t="s">
        <v>3028</v>
      </c>
    </row>
    <row r="287" spans="1:15" x14ac:dyDescent="0.25">
      <c r="A287" s="10" t="s">
        <v>674</v>
      </c>
      <c r="B287" s="15">
        <v>0</v>
      </c>
      <c r="C287" s="15">
        <v>0</v>
      </c>
      <c r="D287" s="15">
        <v>0</v>
      </c>
      <c r="E287" s="15">
        <v>0</v>
      </c>
      <c r="F287" s="15">
        <v>0</v>
      </c>
      <c r="G287" s="15">
        <v>0</v>
      </c>
      <c r="H287" s="15">
        <v>1603.8</v>
      </c>
      <c r="I287" s="15">
        <v>1843.75</v>
      </c>
      <c r="J287" s="15">
        <v>2028.5</v>
      </c>
      <c r="K287" s="15">
        <v>2394.5500000000002</v>
      </c>
      <c r="L287" s="15">
        <v>2138.36</v>
      </c>
      <c r="M287" s="15">
        <v>2090.73</v>
      </c>
      <c r="N287" s="15">
        <v>1054.3800000000001</v>
      </c>
      <c r="O287" t="s">
        <v>3028</v>
      </c>
    </row>
    <row r="288" spans="1:15" x14ac:dyDescent="0.25">
      <c r="A288" s="10" t="s">
        <v>676</v>
      </c>
      <c r="B288" s="15">
        <v>3566.49</v>
      </c>
      <c r="C288" s="15">
        <v>3225.18</v>
      </c>
      <c r="D288" s="15">
        <v>0</v>
      </c>
      <c r="E288" s="15">
        <v>0</v>
      </c>
      <c r="F288" s="15">
        <v>0</v>
      </c>
      <c r="G288" s="15">
        <v>0</v>
      </c>
      <c r="H288" s="15">
        <v>0</v>
      </c>
      <c r="I288" s="15">
        <v>0</v>
      </c>
      <c r="J288" s="15">
        <v>6108.16</v>
      </c>
      <c r="K288" s="15">
        <v>1637.96</v>
      </c>
      <c r="L288" s="15">
        <v>3941.31</v>
      </c>
      <c r="M288" s="15">
        <v>3536.46</v>
      </c>
      <c r="N288" s="15">
        <v>1663.13</v>
      </c>
      <c r="O288" t="s">
        <v>3028</v>
      </c>
    </row>
    <row r="289" spans="1:15" x14ac:dyDescent="0.25">
      <c r="A289" s="10" t="s">
        <v>678</v>
      </c>
      <c r="B289" s="15">
        <v>9305.99</v>
      </c>
      <c r="C289" s="15">
        <v>9205.99</v>
      </c>
      <c r="D289" s="15">
        <v>17389.099999999999</v>
      </c>
      <c r="E289" s="15">
        <v>3068.66</v>
      </c>
      <c r="F289" s="15">
        <v>9205.99</v>
      </c>
      <c r="G289" s="15">
        <v>9205.99</v>
      </c>
      <c r="H289" s="15">
        <v>9205.99</v>
      </c>
      <c r="I289" s="15">
        <v>11918.08</v>
      </c>
      <c r="J289" s="15">
        <v>10110.02</v>
      </c>
      <c r="K289" s="15">
        <v>10110.02</v>
      </c>
      <c r="L289" s="15">
        <v>10110.02</v>
      </c>
      <c r="M289" s="15">
        <v>11233.36</v>
      </c>
      <c r="N289" s="15">
        <v>10110.02</v>
      </c>
      <c r="O289" t="s">
        <v>3028</v>
      </c>
    </row>
    <row r="290" spans="1:15" x14ac:dyDescent="0.25">
      <c r="A290" s="10" t="s">
        <v>680</v>
      </c>
      <c r="B290" s="15">
        <v>17728.11</v>
      </c>
      <c r="C290" s="15">
        <v>448.75</v>
      </c>
      <c r="D290" s="15">
        <v>6620.24</v>
      </c>
      <c r="E290" s="15">
        <v>6999.1</v>
      </c>
      <c r="F290" s="15">
        <v>7220.37</v>
      </c>
      <c r="G290" s="15">
        <v>7161.45</v>
      </c>
      <c r="H290" s="15">
        <v>6792.62</v>
      </c>
      <c r="I290" s="15">
        <v>8837.9500000000007</v>
      </c>
      <c r="J290" s="15">
        <v>7357.31</v>
      </c>
      <c r="K290" s="15">
        <v>7668.72</v>
      </c>
      <c r="L290" s="15">
        <v>7529.37</v>
      </c>
      <c r="M290" s="15">
        <v>7423.75</v>
      </c>
      <c r="N290" s="15">
        <v>7639.77</v>
      </c>
      <c r="O290" t="s">
        <v>3028</v>
      </c>
    </row>
    <row r="291" spans="1:15" x14ac:dyDescent="0.25">
      <c r="A291" s="10" t="s">
        <v>682</v>
      </c>
      <c r="B291" s="15">
        <v>2338.62</v>
      </c>
      <c r="C291" s="15">
        <v>5676.58</v>
      </c>
      <c r="D291" s="15">
        <v>7200.53</v>
      </c>
      <c r="E291" s="15">
        <v>6983.81</v>
      </c>
      <c r="F291" s="15">
        <v>7348.21</v>
      </c>
      <c r="G291" s="15">
        <v>6808.2</v>
      </c>
      <c r="H291" s="15">
        <v>6935.31</v>
      </c>
      <c r="I291" s="15">
        <v>8905.27</v>
      </c>
      <c r="J291" s="15">
        <v>7623.08</v>
      </c>
      <c r="K291" s="15">
        <v>7621.29</v>
      </c>
      <c r="L291" s="15">
        <v>14334.81</v>
      </c>
      <c r="M291" s="15">
        <v>3127.11</v>
      </c>
      <c r="N291" s="15">
        <v>7169.5</v>
      </c>
      <c r="O291" t="s">
        <v>3028</v>
      </c>
    </row>
    <row r="292" spans="1:15" x14ac:dyDescent="0.25">
      <c r="A292" s="10" t="s">
        <v>684</v>
      </c>
      <c r="B292" s="15">
        <v>2295.39</v>
      </c>
      <c r="C292" s="15">
        <v>2324.9</v>
      </c>
      <c r="D292" s="15">
        <v>2401.63</v>
      </c>
      <c r="E292" s="15">
        <v>2137</v>
      </c>
      <c r="F292" s="15">
        <v>2112</v>
      </c>
      <c r="G292" s="15">
        <v>2112</v>
      </c>
      <c r="H292" s="15">
        <v>5033.68</v>
      </c>
      <c r="I292" s="15">
        <v>85.84</v>
      </c>
      <c r="J292" s="15">
        <v>2112</v>
      </c>
      <c r="K292" s="15">
        <v>2518.34</v>
      </c>
      <c r="L292" s="15">
        <v>2434.61</v>
      </c>
      <c r="M292" s="15">
        <v>2315.17</v>
      </c>
      <c r="N292" s="15">
        <v>2383.8000000000002</v>
      </c>
      <c r="O292" t="s">
        <v>3028</v>
      </c>
    </row>
    <row r="293" spans="1:15" x14ac:dyDescent="0.25">
      <c r="A293" s="10" t="s">
        <v>686</v>
      </c>
      <c r="B293" s="15">
        <v>2170.84</v>
      </c>
      <c r="C293" s="15">
        <v>2834.45</v>
      </c>
      <c r="D293" s="15">
        <v>2610.21</v>
      </c>
      <c r="E293" s="15">
        <v>2431.06</v>
      </c>
      <c r="F293" s="15">
        <v>3764.11</v>
      </c>
      <c r="G293" s="15">
        <v>1594.68</v>
      </c>
      <c r="H293" s="15">
        <v>2200.91</v>
      </c>
      <c r="I293" s="15">
        <v>3088.74</v>
      </c>
      <c r="J293" s="15">
        <v>2348.73</v>
      </c>
      <c r="K293" s="15">
        <v>2355.25</v>
      </c>
      <c r="L293" s="15">
        <v>2850.13</v>
      </c>
      <c r="M293" s="15">
        <v>2540.9</v>
      </c>
      <c r="N293" s="15">
        <v>2570.3200000000002</v>
      </c>
      <c r="O293" t="s">
        <v>3028</v>
      </c>
    </row>
    <row r="294" spans="1:15" x14ac:dyDescent="0.25">
      <c r="A294" s="10" t="s">
        <v>688</v>
      </c>
      <c r="B294" s="15">
        <v>3501.05</v>
      </c>
      <c r="C294" s="15">
        <v>3284.8</v>
      </c>
      <c r="D294" s="15">
        <v>3283.99</v>
      </c>
      <c r="E294" s="15">
        <v>3567.12</v>
      </c>
      <c r="F294" s="15">
        <v>3209.24</v>
      </c>
      <c r="G294" s="15">
        <v>3519.88</v>
      </c>
      <c r="H294" s="15">
        <v>3892.74</v>
      </c>
      <c r="I294" s="15">
        <v>4706.1400000000003</v>
      </c>
      <c r="J294" s="15">
        <v>5809.7</v>
      </c>
      <c r="K294" s="15">
        <v>2994.56</v>
      </c>
      <c r="L294" s="15">
        <v>5037.42</v>
      </c>
      <c r="M294" s="15">
        <v>4565.1400000000003</v>
      </c>
      <c r="N294" s="15">
        <v>3937.86</v>
      </c>
      <c r="O294" t="s">
        <v>3028</v>
      </c>
    </row>
    <row r="295" spans="1:15" x14ac:dyDescent="0.25">
      <c r="A295" s="10" t="s">
        <v>693</v>
      </c>
      <c r="B295" s="15">
        <v>2410.4899999999998</v>
      </c>
      <c r="C295" s="15">
        <v>2323.98</v>
      </c>
      <c r="D295" s="15">
        <v>2327.7600000000002</v>
      </c>
      <c r="E295" s="15">
        <v>2114.08</v>
      </c>
      <c r="F295" s="15">
        <v>2315.4499999999998</v>
      </c>
      <c r="G295" s="15">
        <v>4141.49</v>
      </c>
      <c r="H295" s="15">
        <v>704</v>
      </c>
      <c r="I295" s="15">
        <v>2112.5700000000002</v>
      </c>
      <c r="J295" s="15">
        <v>2318.0300000000002</v>
      </c>
      <c r="K295" s="15">
        <v>2538.16</v>
      </c>
      <c r="L295" s="15">
        <v>2324.31</v>
      </c>
      <c r="M295" s="15">
        <v>2315.17</v>
      </c>
      <c r="N295" s="15">
        <v>2399.13</v>
      </c>
      <c r="O295" t="s">
        <v>3028</v>
      </c>
    </row>
    <row r="296" spans="1:15" x14ac:dyDescent="0.25">
      <c r="A296" s="10" t="s">
        <v>695</v>
      </c>
      <c r="B296" s="15">
        <v>2571.7399999999998</v>
      </c>
      <c r="C296" s="15">
        <v>329.49</v>
      </c>
      <c r="D296" s="15">
        <v>0</v>
      </c>
      <c r="E296" s="15">
        <v>0</v>
      </c>
      <c r="F296" s="15">
        <v>0</v>
      </c>
      <c r="G296" s="15">
        <v>0</v>
      </c>
      <c r="H296" s="15">
        <v>0</v>
      </c>
      <c r="I296" s="15">
        <v>0</v>
      </c>
      <c r="J296" s="15">
        <v>0</v>
      </c>
      <c r="K296" s="15">
        <v>0</v>
      </c>
      <c r="L296" s="15">
        <v>0</v>
      </c>
      <c r="M296" s="15">
        <v>0</v>
      </c>
      <c r="N296" s="15">
        <v>804.23</v>
      </c>
      <c r="O296" t="s">
        <v>3028</v>
      </c>
    </row>
    <row r="297" spans="1:15" x14ac:dyDescent="0.25">
      <c r="A297" s="10" t="s">
        <v>697</v>
      </c>
      <c r="B297" s="15">
        <v>9190.73</v>
      </c>
      <c r="C297" s="15">
        <v>9190.73</v>
      </c>
      <c r="D297" s="15">
        <v>9190.73</v>
      </c>
      <c r="E297" s="15">
        <v>9190.73</v>
      </c>
      <c r="F297" s="15">
        <v>9190.73</v>
      </c>
      <c r="G297" s="15">
        <v>9190.73</v>
      </c>
      <c r="H297" s="15">
        <v>13275.5</v>
      </c>
      <c r="I297" s="15">
        <v>8935.02</v>
      </c>
      <c r="J297" s="15">
        <v>10093.26</v>
      </c>
      <c r="K297" s="15">
        <v>10093.26</v>
      </c>
      <c r="L297" s="15">
        <v>10093.26</v>
      </c>
      <c r="M297" s="15">
        <v>12336.21</v>
      </c>
      <c r="N297" s="15">
        <v>10093.26</v>
      </c>
      <c r="O297" t="s">
        <v>3028</v>
      </c>
    </row>
    <row r="298" spans="1:15" x14ac:dyDescent="0.25">
      <c r="A298" s="10" t="s">
        <v>699</v>
      </c>
      <c r="B298" s="15">
        <v>4817.79</v>
      </c>
      <c r="C298" s="15">
        <v>6009.37</v>
      </c>
      <c r="D298" s="15">
        <v>5322.07</v>
      </c>
      <c r="E298" s="15">
        <v>4791.88</v>
      </c>
      <c r="F298" s="15">
        <v>4277.83</v>
      </c>
      <c r="G298" s="15">
        <v>9036.36</v>
      </c>
      <c r="H298" s="15">
        <v>1850.91</v>
      </c>
      <c r="I298" s="15">
        <v>5805.99</v>
      </c>
      <c r="J298" s="15">
        <v>5386.71</v>
      </c>
      <c r="K298" s="15">
        <v>4729.96</v>
      </c>
      <c r="L298" s="15">
        <v>5314.4</v>
      </c>
      <c r="M298" s="15">
        <v>4775.54</v>
      </c>
      <c r="N298" s="15">
        <v>5176.92</v>
      </c>
      <c r="O298" t="s">
        <v>3028</v>
      </c>
    </row>
    <row r="299" spans="1:15" x14ac:dyDescent="0.25">
      <c r="A299" s="10" t="s">
        <v>701</v>
      </c>
      <c r="B299" s="15">
        <v>8377.57</v>
      </c>
      <c r="C299" s="15">
        <v>4944.78</v>
      </c>
      <c r="D299" s="15">
        <v>1145.6500000000001</v>
      </c>
      <c r="E299" s="15">
        <v>0</v>
      </c>
      <c r="F299" s="15">
        <v>0</v>
      </c>
      <c r="G299" s="15">
        <v>0</v>
      </c>
      <c r="H299" s="15">
        <v>0</v>
      </c>
      <c r="I299" s="15">
        <v>0</v>
      </c>
      <c r="J299" s="15">
        <v>0</v>
      </c>
      <c r="K299" s="15">
        <v>0</v>
      </c>
      <c r="L299" s="15">
        <v>0</v>
      </c>
      <c r="M299" s="15">
        <v>0</v>
      </c>
      <c r="N299" s="15">
        <v>2297.87</v>
      </c>
      <c r="O299" t="s">
        <v>3028</v>
      </c>
    </row>
    <row r="300" spans="1:15" x14ac:dyDescent="0.25">
      <c r="A300" s="10" t="s">
        <v>703</v>
      </c>
      <c r="B300" s="15">
        <v>9557.31</v>
      </c>
      <c r="C300" s="15">
        <v>10612.54</v>
      </c>
      <c r="D300" s="15">
        <v>10561.02</v>
      </c>
      <c r="E300" s="15">
        <v>8988.76</v>
      </c>
      <c r="F300" s="15">
        <v>9046.75</v>
      </c>
      <c r="G300" s="15">
        <v>8921.85</v>
      </c>
      <c r="H300" s="15">
        <v>18110.75</v>
      </c>
      <c r="I300" s="15">
        <v>10060.6</v>
      </c>
      <c r="J300" s="15">
        <v>7960.85</v>
      </c>
      <c r="K300" s="15">
        <v>13625.73</v>
      </c>
      <c r="L300" s="15">
        <v>11222.81</v>
      </c>
      <c r="M300" s="15">
        <v>9606.09</v>
      </c>
      <c r="N300" s="15">
        <v>10743.83</v>
      </c>
      <c r="O300" t="s">
        <v>3028</v>
      </c>
    </row>
    <row r="301" spans="1:15" x14ac:dyDescent="0.25">
      <c r="A301" s="10" t="s">
        <v>705</v>
      </c>
      <c r="B301" s="15">
        <v>0</v>
      </c>
      <c r="C301" s="15">
        <v>0</v>
      </c>
      <c r="D301" s="15">
        <v>0</v>
      </c>
      <c r="E301" s="15">
        <v>0</v>
      </c>
      <c r="F301" s="15">
        <v>0</v>
      </c>
      <c r="G301" s="15">
        <v>0</v>
      </c>
      <c r="H301" s="15">
        <v>0</v>
      </c>
      <c r="I301" s="15">
        <v>0</v>
      </c>
      <c r="J301" s="15">
        <v>0</v>
      </c>
      <c r="K301" s="15">
        <v>0</v>
      </c>
      <c r="L301" s="15">
        <v>0</v>
      </c>
      <c r="M301" s="15">
        <v>0</v>
      </c>
      <c r="N301" s="15">
        <v>393</v>
      </c>
      <c r="O301" t="s">
        <v>3028</v>
      </c>
    </row>
    <row r="302" spans="1:15" x14ac:dyDescent="0.25">
      <c r="A302" s="10" t="s">
        <v>707</v>
      </c>
      <c r="B302" s="15">
        <v>1141.3499999999999</v>
      </c>
      <c r="C302" s="15">
        <v>1316.57</v>
      </c>
      <c r="D302" s="15">
        <v>880.04</v>
      </c>
      <c r="E302" s="15">
        <v>3170.28</v>
      </c>
      <c r="F302" s="15">
        <v>0</v>
      </c>
      <c r="G302" s="15">
        <v>1184.68</v>
      </c>
      <c r="H302" s="15">
        <v>1142.5</v>
      </c>
      <c r="I302" s="15">
        <v>1675.43</v>
      </c>
      <c r="J302" s="15">
        <v>532.08000000000004</v>
      </c>
      <c r="K302" s="15">
        <v>4.92</v>
      </c>
      <c r="L302" s="15">
        <v>337.25</v>
      </c>
      <c r="M302" s="15">
        <v>0</v>
      </c>
      <c r="N302" s="15">
        <v>1094.1099999999999</v>
      </c>
      <c r="O302" t="s">
        <v>3028</v>
      </c>
    </row>
    <row r="303" spans="1:15" x14ac:dyDescent="0.25">
      <c r="A303" s="10" t="s">
        <v>709</v>
      </c>
      <c r="B303" s="15">
        <v>0</v>
      </c>
      <c r="C303" s="15">
        <v>0</v>
      </c>
      <c r="D303" s="15">
        <v>0</v>
      </c>
      <c r="E303" s="15">
        <v>0</v>
      </c>
      <c r="F303" s="15">
        <v>0</v>
      </c>
      <c r="G303" s="15">
        <v>0</v>
      </c>
      <c r="H303" s="15">
        <v>0</v>
      </c>
      <c r="I303" s="15">
        <v>0</v>
      </c>
      <c r="J303" s="15">
        <v>2659.82</v>
      </c>
      <c r="K303" s="15">
        <v>3160.9</v>
      </c>
      <c r="L303" s="15">
        <v>3375.54</v>
      </c>
      <c r="M303" s="15">
        <v>3328.49</v>
      </c>
      <c r="N303" s="15">
        <v>1078.32</v>
      </c>
      <c r="O303" t="s">
        <v>3028</v>
      </c>
    </row>
    <row r="304" spans="1:15" x14ac:dyDescent="0.25">
      <c r="A304" s="10" t="s">
        <v>711</v>
      </c>
      <c r="B304" s="15">
        <v>2146.06</v>
      </c>
      <c r="C304" s="15">
        <v>2579.7600000000002</v>
      </c>
      <c r="D304" s="15">
        <v>5326.95</v>
      </c>
      <c r="E304" s="15">
        <v>293.33999999999997</v>
      </c>
      <c r="F304" s="15">
        <v>1884.37</v>
      </c>
      <c r="G304" s="15">
        <v>2159.36</v>
      </c>
      <c r="H304" s="15">
        <v>2168.75</v>
      </c>
      <c r="I304" s="15">
        <v>2768.89</v>
      </c>
      <c r="J304" s="15">
        <v>2324.23</v>
      </c>
      <c r="K304" s="15">
        <v>2303.44</v>
      </c>
      <c r="L304" s="15">
        <v>2476.8200000000002</v>
      </c>
      <c r="M304" s="15">
        <v>2338.34</v>
      </c>
      <c r="N304" s="15">
        <v>2417.2199999999998</v>
      </c>
      <c r="O304" t="s">
        <v>3028</v>
      </c>
    </row>
    <row r="305" spans="1:15" x14ac:dyDescent="0.25">
      <c r="A305" s="10" t="s">
        <v>713</v>
      </c>
      <c r="B305" s="15">
        <v>3966.43</v>
      </c>
      <c r="C305" s="15">
        <v>4303.97</v>
      </c>
      <c r="D305" s="15">
        <v>3678.83</v>
      </c>
      <c r="E305" s="15">
        <v>2957.2</v>
      </c>
      <c r="F305" s="15">
        <v>2962.62</v>
      </c>
      <c r="G305" s="15">
        <v>7832.19</v>
      </c>
      <c r="H305" s="15">
        <v>197.15</v>
      </c>
      <c r="I305" s="15">
        <v>3839.37</v>
      </c>
      <c r="J305" s="15">
        <v>3412.63</v>
      </c>
      <c r="K305" s="15">
        <v>3340</v>
      </c>
      <c r="L305" s="15">
        <v>3348.93</v>
      </c>
      <c r="M305" s="15">
        <v>3393.74</v>
      </c>
      <c r="N305" s="15">
        <v>3591.45</v>
      </c>
      <c r="O305" t="s">
        <v>3028</v>
      </c>
    </row>
    <row r="306" spans="1:15" x14ac:dyDescent="0.25">
      <c r="A306" s="10" t="s">
        <v>715</v>
      </c>
      <c r="B306" s="15">
        <v>1993.76</v>
      </c>
      <c r="C306" s="15">
        <v>2245.69</v>
      </c>
      <c r="D306" s="15">
        <v>2171.75</v>
      </c>
      <c r="E306" s="15">
        <v>4362.21</v>
      </c>
      <c r="F306" s="15">
        <v>22.44</v>
      </c>
      <c r="G306" s="15">
        <v>1770.82</v>
      </c>
      <c r="H306" s="15">
        <v>1775.15</v>
      </c>
      <c r="I306" s="15">
        <v>2287.61</v>
      </c>
      <c r="J306" s="15">
        <v>1941</v>
      </c>
      <c r="K306" s="15">
        <v>1885.53</v>
      </c>
      <c r="L306" s="15">
        <v>2411.98</v>
      </c>
      <c r="M306" s="15">
        <v>2325.4</v>
      </c>
      <c r="N306" s="15">
        <v>2117.1799999999998</v>
      </c>
      <c r="O306" t="s">
        <v>3028</v>
      </c>
    </row>
    <row r="307" spans="1:15" x14ac:dyDescent="0.25">
      <c r="A307" s="10" t="s">
        <v>720</v>
      </c>
      <c r="B307" s="15">
        <v>1301.3900000000001</v>
      </c>
      <c r="C307" s="15">
        <v>1578.6</v>
      </c>
      <c r="D307" s="15">
        <v>1582.24</v>
      </c>
      <c r="E307" s="15">
        <v>1580.86</v>
      </c>
      <c r="F307" s="15">
        <v>1581.85</v>
      </c>
      <c r="G307" s="15">
        <v>1789.47</v>
      </c>
      <c r="H307" s="15">
        <v>1583.05</v>
      </c>
      <c r="I307" s="15">
        <v>1579.02</v>
      </c>
      <c r="J307" s="15">
        <v>3711.6</v>
      </c>
      <c r="K307" s="15">
        <v>415.4</v>
      </c>
      <c r="L307" s="15">
        <v>1672.58</v>
      </c>
      <c r="M307" s="15">
        <v>1747.36</v>
      </c>
      <c r="N307" s="15">
        <v>1753.53</v>
      </c>
      <c r="O307" t="s">
        <v>3028</v>
      </c>
    </row>
    <row r="308" spans="1:15" x14ac:dyDescent="0.25">
      <c r="A308" s="10" t="s">
        <v>722</v>
      </c>
      <c r="B308" s="15">
        <v>2086.48</v>
      </c>
      <c r="C308" s="15">
        <v>1928.35</v>
      </c>
      <c r="D308" s="15">
        <v>1938.61</v>
      </c>
      <c r="E308" s="15">
        <v>3715.73</v>
      </c>
      <c r="F308" s="15">
        <v>706.31</v>
      </c>
      <c r="G308" s="15">
        <v>1933.33</v>
      </c>
      <c r="H308" s="15">
        <v>1984.08</v>
      </c>
      <c r="I308" s="15">
        <v>2611.86</v>
      </c>
      <c r="J308" s="15">
        <v>2116.87</v>
      </c>
      <c r="K308" s="15">
        <v>2285.38</v>
      </c>
      <c r="L308" s="15">
        <v>2068.4699999999998</v>
      </c>
      <c r="M308" s="15">
        <v>2174.6</v>
      </c>
      <c r="N308" s="15">
        <v>2148.63</v>
      </c>
      <c r="O308" t="s">
        <v>3028</v>
      </c>
    </row>
    <row r="309" spans="1:15" x14ac:dyDescent="0.25">
      <c r="A309" s="10" t="s">
        <v>724</v>
      </c>
      <c r="B309" s="15">
        <v>4373.96</v>
      </c>
      <c r="C309" s="15">
        <v>4519.83</v>
      </c>
      <c r="D309" s="15">
        <v>4499.8</v>
      </c>
      <c r="E309" s="15">
        <v>4797.4399999999996</v>
      </c>
      <c r="F309" s="15">
        <v>4489.2700000000004</v>
      </c>
      <c r="G309" s="15">
        <v>5154.51</v>
      </c>
      <c r="H309" s="15">
        <v>4583.29</v>
      </c>
      <c r="I309" s="15">
        <v>5821.98</v>
      </c>
      <c r="J309" s="15">
        <v>4910.72</v>
      </c>
      <c r="K309" s="15">
        <v>9126.82</v>
      </c>
      <c r="L309" s="15">
        <v>3464.33</v>
      </c>
      <c r="M309" s="15">
        <v>5373.74</v>
      </c>
      <c r="N309" s="15">
        <v>5106.16</v>
      </c>
      <c r="O309" t="s">
        <v>3028</v>
      </c>
    </row>
    <row r="310" spans="1:15" x14ac:dyDescent="0.25">
      <c r="A310" s="10" t="s">
        <v>726</v>
      </c>
      <c r="B310" s="15">
        <v>2092.7199999999998</v>
      </c>
      <c r="C310" s="15">
        <v>2476.5100000000002</v>
      </c>
      <c r="D310" s="15">
        <v>2611.3000000000002</v>
      </c>
      <c r="E310" s="15">
        <v>2302.02</v>
      </c>
      <c r="F310" s="15">
        <v>2874.42</v>
      </c>
      <c r="G310" s="15">
        <v>2073.42</v>
      </c>
      <c r="H310" s="15">
        <v>2320.04</v>
      </c>
      <c r="I310" s="15">
        <v>3157.93</v>
      </c>
      <c r="J310" s="15">
        <v>3162.68</v>
      </c>
      <c r="K310" s="15">
        <v>3656.64</v>
      </c>
      <c r="L310" s="15">
        <v>3159.52</v>
      </c>
      <c r="M310" s="15">
        <v>3644.66</v>
      </c>
      <c r="N310" s="15">
        <v>3209.67</v>
      </c>
      <c r="O310" t="s">
        <v>3028</v>
      </c>
    </row>
    <row r="311" spans="1:15" x14ac:dyDescent="0.25">
      <c r="A311" s="10" t="s">
        <v>728</v>
      </c>
      <c r="B311" s="15">
        <v>3152.54</v>
      </c>
      <c r="C311" s="15">
        <v>3206.17</v>
      </c>
      <c r="D311" s="15">
        <v>2611.0300000000002</v>
      </c>
      <c r="E311" s="15">
        <v>6118.08</v>
      </c>
      <c r="F311" s="15">
        <v>350.18</v>
      </c>
      <c r="G311" s="15">
        <v>2637</v>
      </c>
      <c r="H311" s="15">
        <v>2702.1</v>
      </c>
      <c r="I311" s="15">
        <v>3572.32</v>
      </c>
      <c r="J311" s="15">
        <v>2879.86</v>
      </c>
      <c r="K311" s="15">
        <v>3012.73</v>
      </c>
      <c r="L311" s="15">
        <v>3116.26</v>
      </c>
      <c r="M311" s="15">
        <v>2916.63</v>
      </c>
      <c r="N311" s="15">
        <v>3017.6</v>
      </c>
      <c r="O311" t="s">
        <v>3028</v>
      </c>
    </row>
    <row r="312" spans="1:15" x14ac:dyDescent="0.25">
      <c r="A312" s="10" t="s">
        <v>730</v>
      </c>
      <c r="B312" s="15">
        <v>9205.99</v>
      </c>
      <c r="C312" s="15">
        <v>9205.99</v>
      </c>
      <c r="D312" s="15">
        <v>9205.99</v>
      </c>
      <c r="E312" s="15">
        <v>9205.99</v>
      </c>
      <c r="F312" s="15">
        <v>9205.99</v>
      </c>
      <c r="G312" s="15">
        <v>9205.99</v>
      </c>
      <c r="H312" s="15">
        <v>9205.99</v>
      </c>
      <c r="I312" s="15">
        <v>20996.44</v>
      </c>
      <c r="J312" s="15">
        <v>3370.01</v>
      </c>
      <c r="K312" s="15">
        <v>10110.02</v>
      </c>
      <c r="L312" s="15">
        <v>10110.02</v>
      </c>
      <c r="M312" s="15">
        <v>10110.02</v>
      </c>
      <c r="N312" s="15">
        <v>10110.02</v>
      </c>
      <c r="O312" t="s">
        <v>3028</v>
      </c>
    </row>
    <row r="313" spans="1:15" x14ac:dyDescent="0.25">
      <c r="A313" s="10" t="s">
        <v>732</v>
      </c>
      <c r="B313" s="15">
        <v>4545.7</v>
      </c>
      <c r="C313" s="15">
        <v>3902.07</v>
      </c>
      <c r="D313" s="15">
        <v>4068.01</v>
      </c>
      <c r="E313" s="15">
        <v>4018.47</v>
      </c>
      <c r="F313" s="15">
        <v>4215.7</v>
      </c>
      <c r="G313" s="15">
        <v>4172.16</v>
      </c>
      <c r="H313" s="15">
        <v>7759.68</v>
      </c>
      <c r="I313" s="15">
        <v>3573.22</v>
      </c>
      <c r="J313" s="15">
        <v>4793.99</v>
      </c>
      <c r="K313" s="15">
        <v>4320.83</v>
      </c>
      <c r="L313" s="15">
        <v>4298.88</v>
      </c>
      <c r="M313" s="15">
        <v>4311.57</v>
      </c>
      <c r="N313" s="15">
        <v>4471.6899999999996</v>
      </c>
      <c r="O313" t="s">
        <v>3028</v>
      </c>
    </row>
    <row r="314" spans="1:15" x14ac:dyDescent="0.25">
      <c r="A314" s="10" t="s">
        <v>734</v>
      </c>
      <c r="B314" s="15">
        <v>5175.87</v>
      </c>
      <c r="C314" s="15">
        <v>3317.92</v>
      </c>
      <c r="D314" s="15">
        <v>3352.35</v>
      </c>
      <c r="E314" s="15">
        <v>3317.92</v>
      </c>
      <c r="F314" s="15">
        <v>3335.58</v>
      </c>
      <c r="G314" s="15">
        <v>7875.52</v>
      </c>
      <c r="H314" s="15">
        <v>221.19</v>
      </c>
      <c r="I314" s="15">
        <v>4201.34</v>
      </c>
      <c r="J314" s="15">
        <v>3645.31</v>
      </c>
      <c r="K314" s="15">
        <v>3840.9</v>
      </c>
      <c r="L314" s="15">
        <v>3643.74</v>
      </c>
      <c r="M314" s="15">
        <v>3643.74</v>
      </c>
      <c r="N314" s="15">
        <v>3839.35</v>
      </c>
      <c r="O314" t="s">
        <v>3028</v>
      </c>
    </row>
    <row r="315" spans="1:15" x14ac:dyDescent="0.25">
      <c r="A315" s="10" t="s">
        <v>736</v>
      </c>
      <c r="B315" s="15">
        <v>7809.34</v>
      </c>
      <c r="C315" s="15">
        <v>4131.12</v>
      </c>
      <c r="D315" s="15">
        <v>5477.52</v>
      </c>
      <c r="E315" s="15">
        <v>4955.03</v>
      </c>
      <c r="F315" s="15">
        <v>5192.91</v>
      </c>
      <c r="G315" s="15">
        <v>5204.8</v>
      </c>
      <c r="H315" s="15">
        <v>5162.2700000000004</v>
      </c>
      <c r="I315" s="15">
        <v>6727.05</v>
      </c>
      <c r="J315" s="15">
        <v>5669.2</v>
      </c>
      <c r="K315" s="15">
        <v>5924.5</v>
      </c>
      <c r="L315" s="15">
        <v>5687.09</v>
      </c>
      <c r="M315" s="15">
        <v>5669.2</v>
      </c>
      <c r="N315" s="15">
        <v>5766.78</v>
      </c>
      <c r="O315" t="s">
        <v>3028</v>
      </c>
    </row>
    <row r="316" spans="1:15" x14ac:dyDescent="0.25">
      <c r="A316" s="10" t="s">
        <v>738</v>
      </c>
      <c r="B316" s="15">
        <v>0</v>
      </c>
      <c r="C316" s="15">
        <v>0</v>
      </c>
      <c r="D316" s="15">
        <v>1040</v>
      </c>
      <c r="E316" s="15">
        <v>1300</v>
      </c>
      <c r="F316" s="15">
        <v>1303.3699999999999</v>
      </c>
      <c r="G316" s="15">
        <v>1307.55</v>
      </c>
      <c r="H316" s="15">
        <v>1301.8900000000001</v>
      </c>
      <c r="I316" s="15">
        <v>1300.1099999999999</v>
      </c>
      <c r="J316" s="15">
        <v>1304.2</v>
      </c>
      <c r="K316" s="15">
        <v>1615</v>
      </c>
      <c r="L316" s="15">
        <v>1425.06</v>
      </c>
      <c r="M316" s="15">
        <v>1427.95</v>
      </c>
      <c r="N316" s="15">
        <v>1194.74</v>
      </c>
      <c r="O316" t="s">
        <v>3028</v>
      </c>
    </row>
    <row r="317" spans="1:15" x14ac:dyDescent="0.25">
      <c r="A317" s="10" t="s">
        <v>740</v>
      </c>
      <c r="B317" s="15">
        <v>2814.63</v>
      </c>
      <c r="C317" s="15">
        <v>2708.61</v>
      </c>
      <c r="D317" s="15">
        <v>2603</v>
      </c>
      <c r="E317" s="15">
        <v>4966.21</v>
      </c>
      <c r="F317" s="15">
        <v>1005.23</v>
      </c>
      <c r="G317" s="15">
        <v>2729.09</v>
      </c>
      <c r="H317" s="15">
        <v>2682.06</v>
      </c>
      <c r="I317" s="15">
        <v>3574.56</v>
      </c>
      <c r="J317" s="15">
        <v>3060.02</v>
      </c>
      <c r="K317" s="15">
        <v>2969.95</v>
      </c>
      <c r="L317" s="15">
        <v>2957.85</v>
      </c>
      <c r="M317" s="15">
        <v>2971.89</v>
      </c>
      <c r="N317" s="15">
        <v>2929.99</v>
      </c>
      <c r="O317" t="s">
        <v>3028</v>
      </c>
    </row>
    <row r="318" spans="1:15" x14ac:dyDescent="0.25">
      <c r="A318" s="10" t="s">
        <v>742</v>
      </c>
      <c r="B318" s="15">
        <v>7779.93</v>
      </c>
      <c r="C318" s="15">
        <v>7779.93</v>
      </c>
      <c r="D318" s="15">
        <v>7779.93</v>
      </c>
      <c r="E318" s="15">
        <v>16597.18</v>
      </c>
      <c r="F318" s="15">
        <v>1555.99</v>
      </c>
      <c r="G318" s="15">
        <v>7779.93</v>
      </c>
      <c r="H318" s="15">
        <v>7779.93</v>
      </c>
      <c r="I318" s="15">
        <v>9307.91</v>
      </c>
      <c r="J318" s="15">
        <v>9307.91</v>
      </c>
      <c r="K318" s="15">
        <v>8543.92</v>
      </c>
      <c r="L318" s="15">
        <v>8543.92</v>
      </c>
      <c r="M318" s="15">
        <v>8543.92</v>
      </c>
      <c r="N318" s="15">
        <v>8543.92</v>
      </c>
      <c r="O318" t="s">
        <v>3028</v>
      </c>
    </row>
    <row r="319" spans="1:15" x14ac:dyDescent="0.25">
      <c r="A319" s="10" t="s">
        <v>744</v>
      </c>
      <c r="B319" s="15">
        <v>2766.25</v>
      </c>
      <c r="C319" s="15">
        <v>2766.25</v>
      </c>
      <c r="D319" s="15">
        <v>2766.25</v>
      </c>
      <c r="E319" s="15">
        <v>2766.25</v>
      </c>
      <c r="F319" s="15">
        <v>2766.25</v>
      </c>
      <c r="G319" s="15">
        <v>6521.29</v>
      </c>
      <c r="H319" s="15">
        <v>0</v>
      </c>
      <c r="I319" s="15">
        <v>3677.35</v>
      </c>
      <c r="J319" s="15">
        <v>3037.9</v>
      </c>
      <c r="K319" s="15">
        <v>3092.25</v>
      </c>
      <c r="L319" s="15">
        <v>3037.9</v>
      </c>
      <c r="M319" s="15">
        <v>3037.9</v>
      </c>
      <c r="N319" s="15">
        <v>3042.43</v>
      </c>
      <c r="O319" t="s">
        <v>3028</v>
      </c>
    </row>
    <row r="320" spans="1:15" x14ac:dyDescent="0.25">
      <c r="A320" s="10" t="s">
        <v>746</v>
      </c>
      <c r="B320" s="15">
        <v>8244.56</v>
      </c>
      <c r="C320" s="15">
        <v>1387.96</v>
      </c>
      <c r="D320" s="15">
        <v>3101.09</v>
      </c>
      <c r="E320" s="15">
        <v>3085.68</v>
      </c>
      <c r="F320" s="15">
        <v>3072.63</v>
      </c>
      <c r="G320" s="15">
        <v>7324.57</v>
      </c>
      <c r="H320" s="15">
        <v>59.7</v>
      </c>
      <c r="I320" s="15">
        <v>3784.54</v>
      </c>
      <c r="J320" s="15">
        <v>3323.17</v>
      </c>
      <c r="K320" s="15">
        <v>2492.77</v>
      </c>
      <c r="L320" s="15">
        <v>4936.47</v>
      </c>
      <c r="M320" s="15">
        <v>3069.86</v>
      </c>
      <c r="N320" s="15">
        <v>3386.67</v>
      </c>
      <c r="O320" t="s">
        <v>3028</v>
      </c>
    </row>
    <row r="321" spans="1:15" x14ac:dyDescent="0.25">
      <c r="A321" s="10" t="s">
        <v>748</v>
      </c>
      <c r="B321" s="15">
        <v>1579.83</v>
      </c>
      <c r="C321" s="15">
        <v>1798.59</v>
      </c>
      <c r="D321" s="15">
        <v>1823.32</v>
      </c>
      <c r="E321" s="15">
        <v>1827.95</v>
      </c>
      <c r="F321" s="15">
        <v>1806.91</v>
      </c>
      <c r="G321" s="15">
        <v>1834.93</v>
      </c>
      <c r="H321" s="15">
        <v>1839.63</v>
      </c>
      <c r="I321" s="15">
        <v>2353.71</v>
      </c>
      <c r="J321" s="15">
        <v>1982.58</v>
      </c>
      <c r="K321" s="15">
        <v>1975.21</v>
      </c>
      <c r="L321" s="15">
        <v>3788.45</v>
      </c>
      <c r="M321" s="15">
        <v>658.4</v>
      </c>
      <c r="N321" s="15">
        <v>2013.47</v>
      </c>
      <c r="O321" t="s">
        <v>3028</v>
      </c>
    </row>
    <row r="322" spans="1:15" x14ac:dyDescent="0.25">
      <c r="A322" s="10" t="s">
        <v>750</v>
      </c>
      <c r="B322" s="15">
        <v>3799.6</v>
      </c>
      <c r="C322" s="15">
        <v>4593.43</v>
      </c>
      <c r="D322" s="15">
        <v>4562.43</v>
      </c>
      <c r="E322" s="15">
        <v>4333.24</v>
      </c>
      <c r="F322" s="15">
        <v>514.79999999999995</v>
      </c>
      <c r="G322" s="15">
        <v>0</v>
      </c>
      <c r="H322" s="15">
        <v>0</v>
      </c>
      <c r="I322" s="15">
        <v>0</v>
      </c>
      <c r="J322" s="15">
        <v>0</v>
      </c>
      <c r="K322" s="15">
        <v>0</v>
      </c>
      <c r="L322" s="15">
        <v>0</v>
      </c>
      <c r="M322" s="15">
        <v>0</v>
      </c>
      <c r="N322" s="15">
        <v>1698.16</v>
      </c>
      <c r="O322" t="s">
        <v>3028</v>
      </c>
    </row>
    <row r="323" spans="1:15" x14ac:dyDescent="0.25">
      <c r="A323" s="10" t="s">
        <v>752</v>
      </c>
      <c r="B323" s="15">
        <v>2800.29</v>
      </c>
      <c r="C323" s="15">
        <v>2766.25</v>
      </c>
      <c r="D323" s="15">
        <v>2774.65</v>
      </c>
      <c r="E323" s="15">
        <v>2766.25</v>
      </c>
      <c r="F323" s="15">
        <v>2766.25</v>
      </c>
      <c r="G323" s="15">
        <v>2766.25</v>
      </c>
      <c r="H323" s="15">
        <v>5228.92</v>
      </c>
      <c r="I323" s="15">
        <v>2146.4499999999998</v>
      </c>
      <c r="J323" s="15">
        <v>3037.9</v>
      </c>
      <c r="K323" s="15">
        <v>3037.9</v>
      </c>
      <c r="L323" s="15">
        <v>3037.9</v>
      </c>
      <c r="M323" s="15">
        <v>3037.9</v>
      </c>
      <c r="N323" s="15">
        <v>3070.78</v>
      </c>
      <c r="O323" t="s">
        <v>3028</v>
      </c>
    </row>
    <row r="324" spans="1:15" x14ac:dyDescent="0.25">
      <c r="A324" s="10" t="s">
        <v>754</v>
      </c>
      <c r="B324" s="15">
        <v>1844.15</v>
      </c>
      <c r="C324" s="15">
        <v>1924.04</v>
      </c>
      <c r="D324" s="15">
        <v>1993.83</v>
      </c>
      <c r="E324" s="15">
        <v>1884.18</v>
      </c>
      <c r="F324" s="15">
        <v>1800.3</v>
      </c>
      <c r="G324" s="15">
        <v>2007.25</v>
      </c>
      <c r="H324" s="15">
        <v>3012.84</v>
      </c>
      <c r="I324" s="15">
        <v>1914.09</v>
      </c>
      <c r="J324" s="15">
        <v>2132.52</v>
      </c>
      <c r="K324" s="15">
        <v>1968.7</v>
      </c>
      <c r="L324" s="15">
        <v>1980</v>
      </c>
      <c r="M324" s="15">
        <v>1953.87</v>
      </c>
      <c r="N324" s="15">
        <v>2045.82</v>
      </c>
      <c r="O324" t="s">
        <v>3028</v>
      </c>
    </row>
    <row r="325" spans="1:15" x14ac:dyDescent="0.25">
      <c r="A325" s="10" t="s">
        <v>756</v>
      </c>
      <c r="B325" s="15">
        <v>6918.39</v>
      </c>
      <c r="C325" s="15">
        <v>5913</v>
      </c>
      <c r="D325" s="15">
        <v>5913</v>
      </c>
      <c r="E325" s="15">
        <v>5913</v>
      </c>
      <c r="F325" s="15">
        <v>5913</v>
      </c>
      <c r="G325" s="15">
        <v>13944.37</v>
      </c>
      <c r="H325" s="15">
        <v>394.2</v>
      </c>
      <c r="I325" s="15">
        <v>7465.71</v>
      </c>
      <c r="J325" s="15">
        <v>6523.5</v>
      </c>
      <c r="K325" s="15">
        <v>6493.66</v>
      </c>
      <c r="L325" s="15">
        <v>6493.66</v>
      </c>
      <c r="M325" s="15">
        <v>6493.66</v>
      </c>
      <c r="N325" s="15">
        <v>6586.3</v>
      </c>
      <c r="O325" t="s">
        <v>3028</v>
      </c>
    </row>
    <row r="326" spans="1:15" x14ac:dyDescent="0.25">
      <c r="A326" s="10" t="s">
        <v>758</v>
      </c>
      <c r="B326" s="15">
        <v>7603.2</v>
      </c>
      <c r="C326" s="15">
        <v>7603.2</v>
      </c>
      <c r="D326" s="15">
        <v>7603.2</v>
      </c>
      <c r="E326" s="15">
        <v>7603.2</v>
      </c>
      <c r="F326" s="15">
        <v>7603.2</v>
      </c>
      <c r="G326" s="15">
        <v>7603.2</v>
      </c>
      <c r="H326" s="15">
        <v>7603.2</v>
      </c>
      <c r="I326" s="15">
        <v>7703.2</v>
      </c>
      <c r="J326" s="15">
        <v>7603.2</v>
      </c>
      <c r="K326" s="15">
        <v>9066.06</v>
      </c>
      <c r="L326" s="15">
        <v>8334.6299999999992</v>
      </c>
      <c r="M326" s="15">
        <v>10186.77</v>
      </c>
      <c r="N326" s="15">
        <v>8334.6299999999992</v>
      </c>
      <c r="O326" t="s">
        <v>3028</v>
      </c>
    </row>
    <row r="327" spans="1:15" x14ac:dyDescent="0.25">
      <c r="A327" s="10" t="s">
        <v>760</v>
      </c>
      <c r="B327" s="15">
        <v>2232.3000000000002</v>
      </c>
      <c r="C327" s="15">
        <v>2197.3000000000002</v>
      </c>
      <c r="D327" s="15">
        <v>2201.9499999999998</v>
      </c>
      <c r="E327" s="15">
        <v>2443.0300000000002</v>
      </c>
      <c r="F327" s="15">
        <v>2027.79</v>
      </c>
      <c r="G327" s="15">
        <v>2238.5300000000002</v>
      </c>
      <c r="H327" s="15">
        <v>2208.46</v>
      </c>
      <c r="I327" s="15">
        <v>2949.93</v>
      </c>
      <c r="J327" s="15">
        <v>2727.58</v>
      </c>
      <c r="K327" s="15">
        <v>2456.14</v>
      </c>
      <c r="L327" s="15">
        <v>3516.61</v>
      </c>
      <c r="M327" s="15">
        <v>1563.8</v>
      </c>
      <c r="N327" s="15">
        <v>2388.25</v>
      </c>
      <c r="O327" t="s">
        <v>3028</v>
      </c>
    </row>
    <row r="328" spans="1:15" x14ac:dyDescent="0.25">
      <c r="A328" s="10" t="s">
        <v>762</v>
      </c>
      <c r="B328" s="15">
        <v>2081.13</v>
      </c>
      <c r="C328" s="15">
        <v>2312.14</v>
      </c>
      <c r="D328" s="15">
        <v>2093.5</v>
      </c>
      <c r="E328" s="15">
        <v>1786.95</v>
      </c>
      <c r="F328" s="15">
        <v>1883.22</v>
      </c>
      <c r="G328" s="15">
        <v>4655.67</v>
      </c>
      <c r="H328" s="15">
        <v>192.67</v>
      </c>
      <c r="I328" s="15">
        <v>1712.1</v>
      </c>
      <c r="J328" s="15">
        <v>1925.79</v>
      </c>
      <c r="K328" s="15">
        <v>2432.8000000000002</v>
      </c>
      <c r="L328" s="15">
        <v>1024.51</v>
      </c>
      <c r="M328" s="15">
        <v>0</v>
      </c>
      <c r="N328" s="15">
        <v>2209.42</v>
      </c>
      <c r="O328" t="s">
        <v>3028</v>
      </c>
    </row>
    <row r="329" spans="1:15" x14ac:dyDescent="0.25">
      <c r="A329" s="10" t="s">
        <v>764</v>
      </c>
      <c r="B329" s="15">
        <v>0</v>
      </c>
      <c r="C329" s="15">
        <v>0</v>
      </c>
      <c r="D329" s="15">
        <v>0</v>
      </c>
      <c r="E329" s="15">
        <v>0</v>
      </c>
      <c r="F329" s="15">
        <v>0</v>
      </c>
      <c r="G329" s="15">
        <v>0</v>
      </c>
      <c r="H329" s="15">
        <v>0</v>
      </c>
      <c r="I329" s="15">
        <v>0</v>
      </c>
      <c r="J329" s="15">
        <v>0</v>
      </c>
      <c r="K329" s="15">
        <v>0</v>
      </c>
      <c r="L329" s="15">
        <v>1013.67</v>
      </c>
      <c r="M329" s="15">
        <v>1742.27</v>
      </c>
      <c r="N329" s="15">
        <v>271.89999999999998</v>
      </c>
      <c r="O329" t="s">
        <v>3028</v>
      </c>
    </row>
    <row r="330" spans="1:15" x14ac:dyDescent="0.25">
      <c r="A330" s="10" t="s">
        <v>766</v>
      </c>
      <c r="B330" s="15">
        <v>1968.91</v>
      </c>
      <c r="C330" s="15">
        <v>1882.24</v>
      </c>
      <c r="D330" s="15">
        <v>1861</v>
      </c>
      <c r="E330" s="15">
        <v>3486.32</v>
      </c>
      <c r="F330" s="15">
        <v>612.63</v>
      </c>
      <c r="G330" s="15">
        <v>1813.55</v>
      </c>
      <c r="H330" s="15">
        <v>1817.37</v>
      </c>
      <c r="I330" s="15">
        <v>2364.37</v>
      </c>
      <c r="J330" s="15">
        <v>1949.18</v>
      </c>
      <c r="K330" s="15">
        <v>1983.09</v>
      </c>
      <c r="L330" s="15">
        <v>1971.43</v>
      </c>
      <c r="M330" s="15">
        <v>1963.21</v>
      </c>
      <c r="N330" s="15">
        <v>2013.97</v>
      </c>
      <c r="O330" t="s">
        <v>3028</v>
      </c>
    </row>
    <row r="331" spans="1:15" x14ac:dyDescent="0.25">
      <c r="A331" s="10" t="s">
        <v>768</v>
      </c>
      <c r="B331" s="15">
        <v>0</v>
      </c>
      <c r="C331" s="15">
        <v>0</v>
      </c>
      <c r="D331" s="15">
        <v>1040</v>
      </c>
      <c r="E331" s="15">
        <v>1300.3900000000001</v>
      </c>
      <c r="F331" s="15">
        <v>1302.17</v>
      </c>
      <c r="G331" s="15">
        <v>1304.55</v>
      </c>
      <c r="H331" s="15">
        <v>1316.07</v>
      </c>
      <c r="I331" s="15">
        <v>1539.71</v>
      </c>
      <c r="J331" s="15">
        <v>1336.62</v>
      </c>
      <c r="K331" s="15">
        <v>1566.35</v>
      </c>
      <c r="L331" s="15">
        <v>1502.78</v>
      </c>
      <c r="M331" s="15">
        <v>1434.83</v>
      </c>
      <c r="N331" s="15">
        <v>1223.23</v>
      </c>
      <c r="O331" t="s">
        <v>3028</v>
      </c>
    </row>
    <row r="332" spans="1:15" x14ac:dyDescent="0.25">
      <c r="A332" s="10" t="s">
        <v>770</v>
      </c>
      <c r="B332" s="15">
        <v>7311.84</v>
      </c>
      <c r="C332" s="15">
        <v>5536.27</v>
      </c>
      <c r="D332" s="15">
        <v>6013.67</v>
      </c>
      <c r="E332" s="15">
        <v>5536.27</v>
      </c>
      <c r="F332" s="15">
        <v>5536.27</v>
      </c>
      <c r="G332" s="15">
        <v>10539.78</v>
      </c>
      <c r="H332" s="15">
        <v>1845.42</v>
      </c>
      <c r="I332" s="15">
        <v>5536.5</v>
      </c>
      <c r="J332" s="15">
        <v>5536.27</v>
      </c>
      <c r="K332" s="15">
        <v>6610.14</v>
      </c>
      <c r="L332" s="15">
        <v>6068.86</v>
      </c>
      <c r="M332" s="15">
        <v>6068.86</v>
      </c>
      <c r="N332" s="15">
        <v>6144.98</v>
      </c>
      <c r="O332" t="s">
        <v>3028</v>
      </c>
    </row>
    <row r="333" spans="1:15" x14ac:dyDescent="0.25">
      <c r="A333" s="10" t="s">
        <v>772</v>
      </c>
      <c r="B333" s="15">
        <v>3011.04</v>
      </c>
      <c r="C333" s="15">
        <v>3480.24</v>
      </c>
      <c r="D333" s="15">
        <v>3294.47</v>
      </c>
      <c r="E333" s="15">
        <v>3316.68</v>
      </c>
      <c r="F333" s="15">
        <v>2997.27</v>
      </c>
      <c r="G333" s="15">
        <v>5510.7</v>
      </c>
      <c r="H333" s="15">
        <v>1680.05</v>
      </c>
      <c r="I333" s="15">
        <v>3955.18</v>
      </c>
      <c r="J333" s="15">
        <v>3350.79</v>
      </c>
      <c r="K333" s="15">
        <v>3391.24</v>
      </c>
      <c r="L333" s="15">
        <v>3542.83</v>
      </c>
      <c r="M333" s="15">
        <v>3147.37</v>
      </c>
      <c r="N333" s="15">
        <v>3389.03</v>
      </c>
      <c r="O333" t="s">
        <v>3028</v>
      </c>
    </row>
    <row r="334" spans="1:15" x14ac:dyDescent="0.25">
      <c r="A334" s="10" t="s">
        <v>774</v>
      </c>
      <c r="B334" s="15">
        <v>1829.28</v>
      </c>
      <c r="C334" s="15">
        <v>2350.42</v>
      </c>
      <c r="D334" s="15">
        <v>2238.21</v>
      </c>
      <c r="E334" s="15">
        <v>1853.04</v>
      </c>
      <c r="F334" s="15">
        <v>1853.83</v>
      </c>
      <c r="G334" s="15">
        <v>4615.4399999999996</v>
      </c>
      <c r="H334" s="15">
        <v>233.96</v>
      </c>
      <c r="I334" s="15">
        <v>2444.77</v>
      </c>
      <c r="J334" s="15">
        <v>2229.2800000000002</v>
      </c>
      <c r="K334" s="15">
        <v>2095.96</v>
      </c>
      <c r="L334" s="15">
        <v>2315.7800000000002</v>
      </c>
      <c r="M334" s="15">
        <v>2064.4</v>
      </c>
      <c r="N334" s="15">
        <v>2186.4899999999998</v>
      </c>
      <c r="O334" t="s">
        <v>3028</v>
      </c>
    </row>
    <row r="335" spans="1:15" x14ac:dyDescent="0.25">
      <c r="A335" s="10" t="s">
        <v>776</v>
      </c>
      <c r="B335" s="15">
        <v>2786.93</v>
      </c>
      <c r="C335" s="15">
        <v>2949.74</v>
      </c>
      <c r="D335" s="15">
        <v>6282.73</v>
      </c>
      <c r="E335" s="15">
        <v>451.31</v>
      </c>
      <c r="F335" s="15">
        <v>2175.2199999999998</v>
      </c>
      <c r="G335" s="15">
        <v>2316.2600000000002</v>
      </c>
      <c r="H335" s="15">
        <v>2265.85</v>
      </c>
      <c r="I335" s="15">
        <v>2720.86</v>
      </c>
      <c r="J335" s="15">
        <v>2278.37</v>
      </c>
      <c r="K335" s="15">
        <v>2284.9899999999998</v>
      </c>
      <c r="L335" s="15">
        <v>2524.5100000000002</v>
      </c>
      <c r="M335" s="15">
        <v>2493.65</v>
      </c>
      <c r="N335" s="15">
        <v>2622.4</v>
      </c>
      <c r="O335" t="s">
        <v>3028</v>
      </c>
    </row>
    <row r="336" spans="1:15" x14ac:dyDescent="0.25">
      <c r="A336" s="10" t="s">
        <v>778</v>
      </c>
      <c r="B336" s="15">
        <v>9205.99</v>
      </c>
      <c r="C336" s="15">
        <v>9205.99</v>
      </c>
      <c r="D336" s="15">
        <v>16161.63</v>
      </c>
      <c r="E336" s="15">
        <v>4296.13</v>
      </c>
      <c r="F336" s="15">
        <v>9205.99</v>
      </c>
      <c r="G336" s="15">
        <v>9205.99</v>
      </c>
      <c r="H336" s="15">
        <v>9205.99</v>
      </c>
      <c r="I336" s="15">
        <v>11918.08</v>
      </c>
      <c r="J336" s="15">
        <v>10110.02</v>
      </c>
      <c r="K336" s="15">
        <v>10110.02</v>
      </c>
      <c r="L336" s="15">
        <v>10110.02</v>
      </c>
      <c r="M336" s="15">
        <v>10110.02</v>
      </c>
      <c r="N336" s="15">
        <v>10110.02</v>
      </c>
      <c r="O336" t="s">
        <v>3028</v>
      </c>
    </row>
    <row r="337" spans="1:15" x14ac:dyDescent="0.25">
      <c r="A337" s="10" t="s">
        <v>780</v>
      </c>
      <c r="B337" s="15">
        <v>1300.1600000000001</v>
      </c>
      <c r="C337" s="15">
        <v>1300.02</v>
      </c>
      <c r="D337" s="15">
        <v>1300.06</v>
      </c>
      <c r="E337" s="15">
        <v>1306.27</v>
      </c>
      <c r="F337" s="15">
        <v>1303.33</v>
      </c>
      <c r="G337" s="15">
        <v>1300.25</v>
      </c>
      <c r="H337" s="15">
        <v>1303.78</v>
      </c>
      <c r="I337" s="15">
        <v>1303.68</v>
      </c>
      <c r="J337" s="15">
        <v>1315.57</v>
      </c>
      <c r="K337" s="15">
        <v>1567.29</v>
      </c>
      <c r="L337" s="15">
        <v>1432.05</v>
      </c>
      <c r="M337" s="15">
        <v>1435.39</v>
      </c>
      <c r="N337" s="15">
        <v>1430.92</v>
      </c>
      <c r="O337" t="s">
        <v>3028</v>
      </c>
    </row>
    <row r="338" spans="1:15" x14ac:dyDescent="0.25">
      <c r="A338" s="10" t="s">
        <v>782</v>
      </c>
      <c r="B338" s="15">
        <v>656.44</v>
      </c>
      <c r="C338" s="15">
        <v>1982.56</v>
      </c>
      <c r="D338" s="15">
        <v>2669.1</v>
      </c>
      <c r="E338" s="15">
        <v>1106.5999999999999</v>
      </c>
      <c r="F338" s="15">
        <v>1457.61</v>
      </c>
      <c r="G338" s="15">
        <v>1499.94</v>
      </c>
      <c r="H338" s="15">
        <v>1557.51</v>
      </c>
      <c r="I338" s="15">
        <v>1699.77</v>
      </c>
      <c r="J338" s="15">
        <v>1794.1</v>
      </c>
      <c r="K338" s="15">
        <v>2239.98</v>
      </c>
      <c r="L338" s="15">
        <v>2077.17</v>
      </c>
      <c r="M338" s="15">
        <v>1693.81</v>
      </c>
      <c r="N338" s="15">
        <v>1817.18</v>
      </c>
      <c r="O338" t="s">
        <v>3028</v>
      </c>
    </row>
    <row r="339" spans="1:15" x14ac:dyDescent="0.25">
      <c r="A339" s="10" t="s">
        <v>784</v>
      </c>
      <c r="B339" s="15">
        <v>1418.27</v>
      </c>
      <c r="C339" s="15">
        <v>1518.64</v>
      </c>
      <c r="D339" s="15">
        <v>1621.81</v>
      </c>
      <c r="E339" s="15">
        <v>1577.71</v>
      </c>
      <c r="F339" s="15">
        <v>1585.93</v>
      </c>
      <c r="G339" s="15">
        <v>3469.2</v>
      </c>
      <c r="H339" s="15">
        <v>263.24</v>
      </c>
      <c r="I339" s="15">
        <v>1752.69</v>
      </c>
      <c r="J339" s="15">
        <v>1606.37</v>
      </c>
      <c r="K339" s="15">
        <v>1586.88</v>
      </c>
      <c r="L339" s="15">
        <v>1586.67</v>
      </c>
      <c r="M339" s="15">
        <v>1907.06</v>
      </c>
      <c r="N339" s="15">
        <v>1666.18</v>
      </c>
      <c r="O339" t="s">
        <v>3028</v>
      </c>
    </row>
    <row r="340" spans="1:15" x14ac:dyDescent="0.25">
      <c r="A340" s="10" t="s">
        <v>788</v>
      </c>
      <c r="B340" s="15">
        <v>2030.22</v>
      </c>
      <c r="C340" s="15">
        <v>2861.06</v>
      </c>
      <c r="D340" s="15">
        <v>3713.81</v>
      </c>
      <c r="E340" s="15">
        <v>1733.24</v>
      </c>
      <c r="F340" s="15">
        <v>2185.67</v>
      </c>
      <c r="G340" s="15">
        <v>1990.34</v>
      </c>
      <c r="H340" s="15">
        <v>2023.22</v>
      </c>
      <c r="I340" s="15">
        <v>2182.83</v>
      </c>
      <c r="J340" s="15">
        <v>2170.64</v>
      </c>
      <c r="K340" s="15">
        <v>2891.61</v>
      </c>
      <c r="L340" s="15">
        <v>1058.32</v>
      </c>
      <c r="M340" s="15">
        <v>0</v>
      </c>
      <c r="N340" s="15">
        <v>2491.46</v>
      </c>
      <c r="O340" t="s">
        <v>3028</v>
      </c>
    </row>
    <row r="341" spans="1:15" x14ac:dyDescent="0.25">
      <c r="A341" s="10" t="s">
        <v>790</v>
      </c>
      <c r="B341" s="15">
        <v>1096.8</v>
      </c>
      <c r="C341" s="15">
        <v>1310.54</v>
      </c>
      <c r="D341" s="15">
        <v>1314.02</v>
      </c>
      <c r="E341" s="15">
        <v>2511.9699999999998</v>
      </c>
      <c r="F341" s="15">
        <v>440.24</v>
      </c>
      <c r="G341" s="15">
        <v>1315.21</v>
      </c>
      <c r="H341" s="15">
        <v>1765.51</v>
      </c>
      <c r="I341" s="15">
        <v>2479.9699999999998</v>
      </c>
      <c r="J341" s="15">
        <v>1681.34</v>
      </c>
      <c r="K341" s="15">
        <v>1812.19</v>
      </c>
      <c r="L341" s="15">
        <v>1959.08</v>
      </c>
      <c r="M341" s="15">
        <v>1939.76</v>
      </c>
      <c r="N341" s="15">
        <v>1962.16</v>
      </c>
      <c r="O341" t="s">
        <v>3028</v>
      </c>
    </row>
    <row r="342" spans="1:15" x14ac:dyDescent="0.25">
      <c r="A342" s="10" t="s">
        <v>792</v>
      </c>
      <c r="B342" s="15">
        <v>2639.37</v>
      </c>
      <c r="C342" s="15">
        <v>2322.62</v>
      </c>
      <c r="D342" s="15">
        <v>2087.23</v>
      </c>
      <c r="E342" s="15">
        <v>4687.75</v>
      </c>
      <c r="F342" s="15">
        <v>194.13</v>
      </c>
      <c r="G342" s="15">
        <v>1842.81</v>
      </c>
      <c r="H342" s="15">
        <v>1925.76</v>
      </c>
      <c r="I342" s="15">
        <v>3337.87</v>
      </c>
      <c r="J342" s="15">
        <v>3020.53</v>
      </c>
      <c r="K342" s="15">
        <v>2328.56</v>
      </c>
      <c r="L342" s="15">
        <v>2783.99</v>
      </c>
      <c r="M342" s="15">
        <v>2127.56</v>
      </c>
      <c r="N342" s="15">
        <v>2453.58</v>
      </c>
      <c r="O342" t="s">
        <v>3028</v>
      </c>
    </row>
    <row r="343" spans="1:15" x14ac:dyDescent="0.25">
      <c r="A343" s="10" t="s">
        <v>794</v>
      </c>
      <c r="B343" s="15">
        <v>6678.32</v>
      </c>
      <c r="C343" s="15">
        <v>6729.27</v>
      </c>
      <c r="D343" s="15">
        <v>8465.7000000000007</v>
      </c>
      <c r="E343" s="15">
        <v>7504.76</v>
      </c>
      <c r="F343" s="15">
        <v>7262.19</v>
      </c>
      <c r="G343" s="15">
        <v>6416.02</v>
      </c>
      <c r="H343" s="15">
        <v>6564.92</v>
      </c>
      <c r="I343" s="15">
        <v>15638.21</v>
      </c>
      <c r="J343" s="15">
        <v>3906.2</v>
      </c>
      <c r="K343" s="15">
        <v>7419.34</v>
      </c>
      <c r="L343" s="15">
        <v>7895.65</v>
      </c>
      <c r="M343" s="15">
        <v>7979.83</v>
      </c>
      <c r="N343" s="15">
        <v>7540.31</v>
      </c>
      <c r="O343" t="s">
        <v>3028</v>
      </c>
    </row>
    <row r="344" spans="1:15" x14ac:dyDescent="0.25">
      <c r="A344" s="10" t="s">
        <v>796</v>
      </c>
      <c r="B344" s="15">
        <v>2421.98</v>
      </c>
      <c r="C344" s="15">
        <v>3247.28</v>
      </c>
      <c r="D344" s="15">
        <v>3091.02</v>
      </c>
      <c r="E344" s="15">
        <v>2715.54</v>
      </c>
      <c r="F344" s="15">
        <v>2933.19</v>
      </c>
      <c r="G344" s="15">
        <v>3018.81</v>
      </c>
      <c r="H344" s="15">
        <v>2450.46</v>
      </c>
      <c r="I344" s="15">
        <v>1247.71</v>
      </c>
      <c r="J344" s="15">
        <v>537.13</v>
      </c>
      <c r="K344" s="15">
        <v>0</v>
      </c>
      <c r="L344" s="15">
        <v>0</v>
      </c>
      <c r="M344" s="15">
        <v>0</v>
      </c>
      <c r="N344" s="15">
        <v>2223.5500000000002</v>
      </c>
      <c r="O344" t="s">
        <v>3028</v>
      </c>
    </row>
    <row r="345" spans="1:15" x14ac:dyDescent="0.25">
      <c r="A345" s="10" t="s">
        <v>798</v>
      </c>
      <c r="B345" s="15">
        <v>3455.1</v>
      </c>
      <c r="C345" s="15">
        <v>3579.58</v>
      </c>
      <c r="D345" s="15">
        <v>2780.04</v>
      </c>
      <c r="E345" s="15">
        <v>2700.48</v>
      </c>
      <c r="F345" s="15">
        <v>2830.67</v>
      </c>
      <c r="G345" s="15">
        <v>2684.93</v>
      </c>
      <c r="H345" s="15">
        <v>2735.2</v>
      </c>
      <c r="I345" s="15">
        <v>4746.66</v>
      </c>
      <c r="J345" s="15">
        <v>7727.6</v>
      </c>
      <c r="K345" s="15">
        <v>758.35</v>
      </c>
      <c r="L345" s="15">
        <v>2781.2</v>
      </c>
      <c r="M345" s="15">
        <v>4081.52</v>
      </c>
      <c r="N345" s="15">
        <v>3369.09</v>
      </c>
      <c r="O345" t="s">
        <v>3028</v>
      </c>
    </row>
    <row r="346" spans="1:15" x14ac:dyDescent="0.25">
      <c r="A346" s="10" t="s">
        <v>800</v>
      </c>
      <c r="B346" s="15">
        <v>0</v>
      </c>
      <c r="C346" s="15">
        <v>0</v>
      </c>
      <c r="D346" s="15">
        <v>0</v>
      </c>
      <c r="E346" s="15">
        <v>5125.72</v>
      </c>
      <c r="F346" s="15">
        <v>8542.8700000000008</v>
      </c>
      <c r="G346" s="15">
        <v>8542.8700000000008</v>
      </c>
      <c r="H346" s="15">
        <v>8542.8700000000008</v>
      </c>
      <c r="I346" s="15">
        <v>11059.6</v>
      </c>
      <c r="J346" s="15">
        <v>9381.7800000000007</v>
      </c>
      <c r="K346" s="15">
        <v>9381.7800000000007</v>
      </c>
      <c r="L346" s="15">
        <v>9381.7800000000007</v>
      </c>
      <c r="M346" s="15">
        <v>9381.7800000000007</v>
      </c>
      <c r="N346" s="15">
        <v>7036.34</v>
      </c>
      <c r="O346" t="s">
        <v>3028</v>
      </c>
    </row>
    <row r="347" spans="1:15" x14ac:dyDescent="0.25">
      <c r="A347" s="10" t="s">
        <v>805</v>
      </c>
      <c r="B347" s="15">
        <v>7191.1</v>
      </c>
      <c r="C347" s="15">
        <v>3885.21</v>
      </c>
      <c r="D347" s="15">
        <v>4740.8500000000004</v>
      </c>
      <c r="E347" s="15">
        <v>3883.67</v>
      </c>
      <c r="F347" s="15">
        <v>4539.6400000000003</v>
      </c>
      <c r="G347" s="15">
        <v>9873.35</v>
      </c>
      <c r="H347" s="15">
        <v>781.82</v>
      </c>
      <c r="I347" s="15">
        <v>5313.12</v>
      </c>
      <c r="J347" s="15">
        <v>4536.75</v>
      </c>
      <c r="K347" s="15">
        <v>4661.6099999999997</v>
      </c>
      <c r="L347" s="15">
        <v>5175.24</v>
      </c>
      <c r="M347" s="15">
        <v>4546.8500000000004</v>
      </c>
      <c r="N347" s="15">
        <v>4872.33</v>
      </c>
      <c r="O347" t="s">
        <v>3028</v>
      </c>
    </row>
    <row r="348" spans="1:15" x14ac:dyDescent="0.25">
      <c r="A348" s="10" t="s">
        <v>807</v>
      </c>
      <c r="B348" s="15">
        <v>5649.13</v>
      </c>
      <c r="C348" s="15">
        <v>4487.8599999999997</v>
      </c>
      <c r="D348" s="15">
        <v>1567.48</v>
      </c>
      <c r="E348" s="15">
        <v>0</v>
      </c>
      <c r="F348" s="15">
        <v>0</v>
      </c>
      <c r="G348" s="15">
        <v>0</v>
      </c>
      <c r="H348" s="15">
        <v>0</v>
      </c>
      <c r="I348" s="15">
        <v>0</v>
      </c>
      <c r="J348" s="15">
        <v>0</v>
      </c>
      <c r="K348" s="15">
        <v>0</v>
      </c>
      <c r="L348" s="15">
        <v>0</v>
      </c>
      <c r="M348" s="15">
        <v>0</v>
      </c>
      <c r="N348" s="15">
        <v>1621.03</v>
      </c>
      <c r="O348" t="s">
        <v>3028</v>
      </c>
    </row>
    <row r="349" spans="1:15" x14ac:dyDescent="0.25">
      <c r="A349" s="10" t="s">
        <v>809</v>
      </c>
      <c r="B349" s="15">
        <v>3018.16</v>
      </c>
      <c r="C349" s="15">
        <v>3018.16</v>
      </c>
      <c r="D349" s="15">
        <v>3018.16</v>
      </c>
      <c r="E349" s="15">
        <v>3018.16</v>
      </c>
      <c r="F349" s="15">
        <v>3018.16</v>
      </c>
      <c r="G349" s="15">
        <v>3018.16</v>
      </c>
      <c r="H349" s="15">
        <v>5700.97</v>
      </c>
      <c r="I349" s="15">
        <v>1961.05</v>
      </c>
      <c r="J349" s="15">
        <v>3314.54</v>
      </c>
      <c r="K349" s="15">
        <v>3314.54</v>
      </c>
      <c r="L349" s="15">
        <v>3314.54</v>
      </c>
      <c r="M349" s="15">
        <v>3314.54</v>
      </c>
      <c r="N349" s="15">
        <v>3314.54</v>
      </c>
      <c r="O349" t="s">
        <v>3028</v>
      </c>
    </row>
    <row r="350" spans="1:15" x14ac:dyDescent="0.25">
      <c r="A350" s="10" t="s">
        <v>811</v>
      </c>
      <c r="B350" s="15">
        <v>3251.52</v>
      </c>
      <c r="C350" s="15">
        <v>2787.06</v>
      </c>
      <c r="D350" s="15">
        <v>3085.69</v>
      </c>
      <c r="E350" s="15">
        <v>6330.83</v>
      </c>
      <c r="F350" s="15">
        <v>520.66</v>
      </c>
      <c r="G350" s="15">
        <v>2872.6</v>
      </c>
      <c r="H350" s="15">
        <v>2729.15</v>
      </c>
      <c r="I350" s="15">
        <v>3416.61</v>
      </c>
      <c r="J350" s="15">
        <v>2887.57</v>
      </c>
      <c r="K350" s="15">
        <v>3089.34</v>
      </c>
      <c r="L350" s="15">
        <v>2935.11</v>
      </c>
      <c r="M350" s="15">
        <v>2957.25</v>
      </c>
      <c r="N350" s="15">
        <v>3035.84</v>
      </c>
      <c r="O350" t="s">
        <v>3028</v>
      </c>
    </row>
    <row r="351" spans="1:15" x14ac:dyDescent="0.25">
      <c r="A351" s="10" t="s">
        <v>813</v>
      </c>
      <c r="B351" s="15">
        <v>9205.99</v>
      </c>
      <c r="C351" s="15">
        <v>9205.99</v>
      </c>
      <c r="D351" s="15">
        <v>9205.99</v>
      </c>
      <c r="E351" s="15">
        <v>9205.99</v>
      </c>
      <c r="F351" s="15">
        <v>9205.99</v>
      </c>
      <c r="G351" s="15">
        <v>9205.99</v>
      </c>
      <c r="H351" s="15">
        <v>21480.639999999999</v>
      </c>
      <c r="I351" s="15">
        <v>3013.44</v>
      </c>
      <c r="J351" s="15">
        <v>10110.02</v>
      </c>
      <c r="K351" s="15">
        <v>10110.02</v>
      </c>
      <c r="L351" s="15">
        <v>10110.02</v>
      </c>
      <c r="M351" s="15">
        <v>10110.02</v>
      </c>
      <c r="N351" s="15">
        <v>10110.02</v>
      </c>
      <c r="O351" t="s">
        <v>3028</v>
      </c>
    </row>
    <row r="352" spans="1:15" x14ac:dyDescent="0.25">
      <c r="A352" s="10" t="s">
        <v>815</v>
      </c>
      <c r="B352" s="15">
        <v>1289.8699999999999</v>
      </c>
      <c r="C352" s="15">
        <v>1304.6199999999999</v>
      </c>
      <c r="D352" s="15">
        <v>1306.4100000000001</v>
      </c>
      <c r="E352" s="15">
        <v>1301.43</v>
      </c>
      <c r="F352" s="15">
        <v>1179.06</v>
      </c>
      <c r="G352" s="15">
        <v>1302.7</v>
      </c>
      <c r="H352" s="15">
        <v>1346.12</v>
      </c>
      <c r="I352" s="15">
        <v>1346.12</v>
      </c>
      <c r="J352" s="15">
        <v>1300.18</v>
      </c>
      <c r="K352" s="15">
        <v>3505.93</v>
      </c>
      <c r="L352" s="15">
        <v>142.5</v>
      </c>
      <c r="M352" s="15">
        <v>1332.81</v>
      </c>
      <c r="N352" s="15">
        <v>1427.51</v>
      </c>
      <c r="O352" t="s">
        <v>3028</v>
      </c>
    </row>
    <row r="353" spans="1:15" x14ac:dyDescent="0.25">
      <c r="A353" s="10" t="s">
        <v>817</v>
      </c>
      <c r="B353" s="15">
        <v>0</v>
      </c>
      <c r="C353" s="15">
        <v>2174.0500000000002</v>
      </c>
      <c r="D353" s="15">
        <v>2789.7</v>
      </c>
      <c r="E353" s="15">
        <v>2798.64</v>
      </c>
      <c r="F353" s="15">
        <v>2569.63</v>
      </c>
      <c r="G353" s="15">
        <v>2541.6799999999998</v>
      </c>
      <c r="H353" s="15">
        <v>2537.44</v>
      </c>
      <c r="I353" s="15">
        <v>3131.77</v>
      </c>
      <c r="J353" s="15">
        <v>2780.45</v>
      </c>
      <c r="K353" s="15">
        <v>2689.69</v>
      </c>
      <c r="L353" s="15">
        <v>2639.74</v>
      </c>
      <c r="M353" s="15">
        <v>3174.66</v>
      </c>
      <c r="N353" s="15">
        <v>2585.62</v>
      </c>
      <c r="O353" t="s">
        <v>3028</v>
      </c>
    </row>
    <row r="354" spans="1:15" x14ac:dyDescent="0.25">
      <c r="A354" s="10" t="s">
        <v>819</v>
      </c>
      <c r="B354" s="15">
        <v>1716.35</v>
      </c>
      <c r="C354" s="15">
        <v>1752.08</v>
      </c>
      <c r="D354" s="15">
        <v>1765.56</v>
      </c>
      <c r="E354" s="15">
        <v>1702.74</v>
      </c>
      <c r="F354" s="15">
        <v>1633.49</v>
      </c>
      <c r="G354" s="15">
        <v>1710.65</v>
      </c>
      <c r="H354" s="15">
        <v>1744.83</v>
      </c>
      <c r="I354" s="15">
        <v>1754.39</v>
      </c>
      <c r="J354" s="15">
        <v>1742.06</v>
      </c>
      <c r="K354" s="15">
        <v>2064.04</v>
      </c>
      <c r="L354" s="15">
        <v>3237.04</v>
      </c>
      <c r="M354" s="15">
        <v>1189.6099999999999</v>
      </c>
      <c r="N354" s="15">
        <v>1857.1</v>
      </c>
      <c r="O354" t="s">
        <v>3028</v>
      </c>
    </row>
    <row r="355" spans="1:15" x14ac:dyDescent="0.25">
      <c r="A355" s="10" t="s">
        <v>821</v>
      </c>
      <c r="B355" s="15">
        <v>5196.1499999999996</v>
      </c>
      <c r="C355" s="15">
        <v>3581.32</v>
      </c>
      <c r="D355" s="15">
        <v>3455.33</v>
      </c>
      <c r="E355" s="15">
        <v>3565.62</v>
      </c>
      <c r="F355" s="15">
        <v>9443.08</v>
      </c>
      <c r="G355" s="15">
        <v>698.38</v>
      </c>
      <c r="H355" s="15">
        <v>3399.87</v>
      </c>
      <c r="I355" s="15">
        <v>5182.57</v>
      </c>
      <c r="J355" s="15">
        <v>3910.75</v>
      </c>
      <c r="K355" s="15">
        <v>3985.84</v>
      </c>
      <c r="L355" s="15">
        <v>4780.58</v>
      </c>
      <c r="M355" s="15">
        <v>4906.78</v>
      </c>
      <c r="N355" s="15">
        <v>4271.5</v>
      </c>
      <c r="O355" t="s">
        <v>3028</v>
      </c>
    </row>
    <row r="356" spans="1:15" x14ac:dyDescent="0.25">
      <c r="A356" s="10" t="s">
        <v>823</v>
      </c>
      <c r="B356" s="15">
        <v>4339.16</v>
      </c>
      <c r="C356" s="15">
        <v>4635.3</v>
      </c>
      <c r="D356" s="15">
        <v>4361.6099999999997</v>
      </c>
      <c r="E356" s="15">
        <v>4382.29</v>
      </c>
      <c r="F356" s="15">
        <v>4406.26</v>
      </c>
      <c r="G356" s="15">
        <v>7294.26</v>
      </c>
      <c r="H356" s="15">
        <v>3945.15</v>
      </c>
      <c r="I356" s="15">
        <v>6402.53</v>
      </c>
      <c r="J356" s="15">
        <v>4810.8599999999997</v>
      </c>
      <c r="K356" s="15">
        <v>4880.1099999999997</v>
      </c>
      <c r="L356" s="15">
        <v>4944.62</v>
      </c>
      <c r="M356" s="15">
        <v>4807.47</v>
      </c>
      <c r="N356" s="15">
        <v>4883.91</v>
      </c>
      <c r="O356" t="s">
        <v>3028</v>
      </c>
    </row>
    <row r="357" spans="1:15" x14ac:dyDescent="0.25">
      <c r="A357" s="10" t="s">
        <v>825</v>
      </c>
      <c r="B357" s="15">
        <v>774.88</v>
      </c>
      <c r="C357" s="15">
        <v>2771.07</v>
      </c>
      <c r="D357" s="15">
        <v>4006.91</v>
      </c>
      <c r="E357" s="15">
        <v>3118.88</v>
      </c>
      <c r="F357" s="15">
        <v>3336.15</v>
      </c>
      <c r="G357" s="15">
        <v>3009.58</v>
      </c>
      <c r="H357" s="15">
        <v>3039.81</v>
      </c>
      <c r="I357" s="15">
        <v>3692.59</v>
      </c>
      <c r="J357" s="15">
        <v>3980.81</v>
      </c>
      <c r="K357" s="15">
        <v>4220.2299999999996</v>
      </c>
      <c r="L357" s="15">
        <v>8425.06</v>
      </c>
      <c r="M357" s="15">
        <v>759.55</v>
      </c>
      <c r="N357" s="15">
        <v>3709.13</v>
      </c>
      <c r="O357" t="s">
        <v>3028</v>
      </c>
    </row>
    <row r="358" spans="1:15" x14ac:dyDescent="0.25">
      <c r="A358" s="10" t="s">
        <v>830</v>
      </c>
      <c r="B358" s="15">
        <v>0</v>
      </c>
      <c r="C358" s="15">
        <v>1787.52</v>
      </c>
      <c r="D358" s="15">
        <v>1964.97</v>
      </c>
      <c r="E358" s="15">
        <v>4558.5600000000004</v>
      </c>
      <c r="F358" s="15">
        <v>916.15</v>
      </c>
      <c r="G358" s="15">
        <v>1720.02</v>
      </c>
      <c r="H358" s="15">
        <v>1813.76</v>
      </c>
      <c r="I358" s="15">
        <v>2282.4499999999998</v>
      </c>
      <c r="J358" s="15">
        <v>1939.5</v>
      </c>
      <c r="K358" s="15">
        <v>1941.62</v>
      </c>
      <c r="L358" s="15">
        <v>2107.73</v>
      </c>
      <c r="M358" s="15">
        <v>1937.61</v>
      </c>
      <c r="N358" s="15">
        <v>1875.98</v>
      </c>
      <c r="O358" t="s">
        <v>3028</v>
      </c>
    </row>
    <row r="359" spans="1:15" x14ac:dyDescent="0.25">
      <c r="A359" s="10" t="s">
        <v>832</v>
      </c>
      <c r="B359" s="15">
        <v>6172.79</v>
      </c>
      <c r="C359" s="15">
        <v>6172.79</v>
      </c>
      <c r="D359" s="15">
        <v>7098.7</v>
      </c>
      <c r="E359" s="15">
        <v>14433.82</v>
      </c>
      <c r="F359" s="15">
        <v>2395.83</v>
      </c>
      <c r="G359" s="15">
        <v>7098.7</v>
      </c>
      <c r="H359" s="15">
        <v>7098.7</v>
      </c>
      <c r="I359" s="15">
        <v>9922.77</v>
      </c>
      <c r="J359" s="15">
        <v>8528.59</v>
      </c>
      <c r="K359" s="15">
        <v>8528.59</v>
      </c>
      <c r="L359" s="15">
        <v>8528.59</v>
      </c>
      <c r="M359" s="15">
        <v>8528.59</v>
      </c>
      <c r="N359" s="15">
        <v>8528.59</v>
      </c>
      <c r="O359" t="s">
        <v>3028</v>
      </c>
    </row>
    <row r="360" spans="1:15" x14ac:dyDescent="0.25">
      <c r="A360" s="10" t="s">
        <v>834</v>
      </c>
      <c r="B360" s="15">
        <v>1298</v>
      </c>
      <c r="C360" s="15">
        <v>1303</v>
      </c>
      <c r="D360" s="15">
        <v>1306.76</v>
      </c>
      <c r="E360" s="15">
        <v>1308.56</v>
      </c>
      <c r="F360" s="15">
        <v>1303.3699999999999</v>
      </c>
      <c r="G360" s="15">
        <v>1318.68</v>
      </c>
      <c r="H360" s="15">
        <v>1307.29</v>
      </c>
      <c r="I360" s="15">
        <v>1302.08</v>
      </c>
      <c r="J360" s="15">
        <v>1928.38</v>
      </c>
      <c r="K360" s="15">
        <v>1428.68</v>
      </c>
      <c r="L360" s="15">
        <v>1438.44</v>
      </c>
      <c r="M360" s="15">
        <v>1431.26</v>
      </c>
      <c r="N360" s="15">
        <v>1432.12</v>
      </c>
      <c r="O360" t="s">
        <v>3028</v>
      </c>
    </row>
    <row r="361" spans="1:15" x14ac:dyDescent="0.25">
      <c r="A361" s="10" t="s">
        <v>838</v>
      </c>
      <c r="B361" s="15">
        <v>3294.53</v>
      </c>
      <c r="C361" s="15">
        <v>3079.77</v>
      </c>
      <c r="D361" s="15">
        <v>3114.34</v>
      </c>
      <c r="E361" s="15">
        <v>3109.54</v>
      </c>
      <c r="F361" s="15">
        <v>5004.6499999999996</v>
      </c>
      <c r="G361" s="15">
        <v>2081.58</v>
      </c>
      <c r="H361" s="15">
        <v>3299</v>
      </c>
      <c r="I361" s="15">
        <v>5494.01</v>
      </c>
      <c r="J361" s="15">
        <v>3417.44</v>
      </c>
      <c r="K361" s="15">
        <v>3462.18</v>
      </c>
      <c r="L361" s="15">
        <v>3536.68</v>
      </c>
      <c r="M361" s="15">
        <v>3537.7</v>
      </c>
      <c r="N361" s="15">
        <v>3359</v>
      </c>
      <c r="O361" t="s">
        <v>3028</v>
      </c>
    </row>
    <row r="362" spans="1:15" x14ac:dyDescent="0.25">
      <c r="A362" s="10" t="s">
        <v>840</v>
      </c>
      <c r="B362" s="15">
        <v>2355.54</v>
      </c>
      <c r="C362" s="15">
        <v>2213.5300000000002</v>
      </c>
      <c r="D362" s="15">
        <v>1846.93</v>
      </c>
      <c r="E362" s="15">
        <v>2284.16</v>
      </c>
      <c r="F362" s="15">
        <v>1910.44</v>
      </c>
      <c r="G362" s="15">
        <v>2037.62</v>
      </c>
      <c r="H362" s="15">
        <v>2037.15</v>
      </c>
      <c r="I362" s="15">
        <v>2767.84</v>
      </c>
      <c r="J362" s="15">
        <v>5658.73</v>
      </c>
      <c r="K362" s="15">
        <v>229.65</v>
      </c>
      <c r="L362" s="15">
        <v>2035.09</v>
      </c>
      <c r="M362" s="15">
        <v>2334.2800000000002</v>
      </c>
      <c r="N362" s="15">
        <v>2302.85</v>
      </c>
      <c r="O362" t="s">
        <v>3028</v>
      </c>
    </row>
    <row r="363" spans="1:15" x14ac:dyDescent="0.25">
      <c r="A363" s="10" t="s">
        <v>842</v>
      </c>
      <c r="B363" s="15">
        <v>2882.76</v>
      </c>
      <c r="C363" s="15">
        <v>2664.12</v>
      </c>
      <c r="D363" s="15">
        <v>2780.13</v>
      </c>
      <c r="E363" s="15">
        <v>58.88</v>
      </c>
      <c r="F363" s="15">
        <v>0</v>
      </c>
      <c r="G363" s="15">
        <v>0</v>
      </c>
      <c r="H363" s="15">
        <v>0</v>
      </c>
      <c r="I363" s="15">
        <v>0</v>
      </c>
      <c r="J363" s="15">
        <v>0</v>
      </c>
      <c r="K363" s="15">
        <v>0</v>
      </c>
      <c r="L363" s="15">
        <v>0</v>
      </c>
      <c r="M363" s="15">
        <v>0</v>
      </c>
      <c r="N363" s="15">
        <v>841.2</v>
      </c>
      <c r="O363" t="s">
        <v>3028</v>
      </c>
    </row>
    <row r="364" spans="1:15" x14ac:dyDescent="0.25">
      <c r="A364" s="10" t="s">
        <v>844</v>
      </c>
      <c r="B364" s="15">
        <v>2647.76</v>
      </c>
      <c r="C364" s="15">
        <v>2427.31</v>
      </c>
      <c r="D364" s="15">
        <v>2356.9</v>
      </c>
      <c r="E364" s="15">
        <v>3961.81</v>
      </c>
      <c r="F364" s="15">
        <v>732.86</v>
      </c>
      <c r="G364" s="15">
        <v>1784.39</v>
      </c>
      <c r="H364" s="15">
        <v>1779.67</v>
      </c>
      <c r="I364" s="15">
        <v>2578.37</v>
      </c>
      <c r="J364" s="15">
        <v>2048.25</v>
      </c>
      <c r="K364" s="15">
        <v>2017.63</v>
      </c>
      <c r="L364" s="15">
        <v>2040</v>
      </c>
      <c r="M364" s="15">
        <v>2004.3</v>
      </c>
      <c r="N364" s="15">
        <v>2242.35</v>
      </c>
      <c r="O364" t="s">
        <v>3028</v>
      </c>
    </row>
    <row r="365" spans="1:15" x14ac:dyDescent="0.25">
      <c r="A365" s="10" t="s">
        <v>846</v>
      </c>
      <c r="B365" s="15">
        <v>2839.52</v>
      </c>
      <c r="C365" s="15">
        <v>2697.85</v>
      </c>
      <c r="D365" s="15">
        <v>2620.59</v>
      </c>
      <c r="E365" s="15">
        <v>2669.87</v>
      </c>
      <c r="F365" s="15">
        <v>2640.41</v>
      </c>
      <c r="G365" s="15">
        <v>6216.24</v>
      </c>
      <c r="H365" s="15">
        <v>723.86</v>
      </c>
      <c r="I365" s="15">
        <v>2908.22</v>
      </c>
      <c r="J365" s="15">
        <v>3683.82</v>
      </c>
      <c r="K365" s="15">
        <v>3093.72</v>
      </c>
      <c r="L365" s="15">
        <v>3718.24</v>
      </c>
      <c r="M365" s="15">
        <v>2963.77</v>
      </c>
      <c r="N365" s="15">
        <v>2988.49</v>
      </c>
      <c r="O365" t="s">
        <v>3028</v>
      </c>
    </row>
    <row r="366" spans="1:15" x14ac:dyDescent="0.25">
      <c r="A366" s="10" t="s">
        <v>848</v>
      </c>
      <c r="B366" s="15">
        <v>16857.8</v>
      </c>
      <c r="C366" s="15">
        <v>16857.8</v>
      </c>
      <c r="D366" s="15">
        <v>16857.8</v>
      </c>
      <c r="E366" s="15">
        <v>10114.68</v>
      </c>
      <c r="F366" s="15">
        <v>0</v>
      </c>
      <c r="G366" s="15">
        <v>0</v>
      </c>
      <c r="H366" s="15">
        <v>0</v>
      </c>
      <c r="I366" s="15">
        <v>0</v>
      </c>
      <c r="J366" s="15">
        <v>0</v>
      </c>
      <c r="K366" s="15">
        <v>0</v>
      </c>
      <c r="L366" s="15">
        <v>0</v>
      </c>
      <c r="M366" s="15">
        <v>0</v>
      </c>
      <c r="N366" s="15">
        <v>7024.09</v>
      </c>
      <c r="O366" t="s">
        <v>3028</v>
      </c>
    </row>
    <row r="367" spans="1:15" x14ac:dyDescent="0.25">
      <c r="A367" s="10" t="s">
        <v>850</v>
      </c>
      <c r="B367" s="15">
        <v>2079.31</v>
      </c>
      <c r="C367" s="15">
        <v>2326.4899999999998</v>
      </c>
      <c r="D367" s="15">
        <v>2035.4</v>
      </c>
      <c r="E367" s="15">
        <v>2108.96</v>
      </c>
      <c r="F367" s="15">
        <v>3190.97</v>
      </c>
      <c r="G367" s="15">
        <v>1356.15</v>
      </c>
      <c r="H367" s="15">
        <v>1385.52</v>
      </c>
      <c r="I367" s="15">
        <v>276.35000000000002</v>
      </c>
      <c r="J367" s="15">
        <v>0</v>
      </c>
      <c r="K367" s="15">
        <v>1709.36</v>
      </c>
      <c r="L367" s="15">
        <v>2283.1999999999998</v>
      </c>
      <c r="M367" s="15">
        <v>2445.61</v>
      </c>
      <c r="N367" s="15">
        <v>1863.68</v>
      </c>
      <c r="O367" t="s">
        <v>3028</v>
      </c>
    </row>
    <row r="368" spans="1:15" x14ac:dyDescent="0.25">
      <c r="A368" s="10" t="s">
        <v>852</v>
      </c>
      <c r="B368" s="15">
        <v>2299.06</v>
      </c>
      <c r="C368" s="15">
        <v>2011.04</v>
      </c>
      <c r="D368" s="15">
        <v>1908.53</v>
      </c>
      <c r="E368" s="15">
        <v>1859.37</v>
      </c>
      <c r="F368" s="15">
        <v>1890.78</v>
      </c>
      <c r="G368" s="15">
        <v>2295.0300000000002</v>
      </c>
      <c r="H368" s="15">
        <v>4507.8999999999996</v>
      </c>
      <c r="I368" s="15">
        <v>827.2</v>
      </c>
      <c r="J368" s="15">
        <v>1957.47</v>
      </c>
      <c r="K368" s="15">
        <v>2068.12</v>
      </c>
      <c r="L368" s="15">
        <v>2519.31</v>
      </c>
      <c r="M368" s="15">
        <v>2681.38</v>
      </c>
      <c r="N368" s="15">
        <v>2232.9699999999998</v>
      </c>
      <c r="O368" t="s">
        <v>3028</v>
      </c>
    </row>
    <row r="369" spans="1:15" x14ac:dyDescent="0.25">
      <c r="A369" s="10" t="s">
        <v>854</v>
      </c>
      <c r="B369" s="15">
        <v>2720.38</v>
      </c>
      <c r="C369" s="15">
        <v>2946.53</v>
      </c>
      <c r="D369" s="15">
        <v>1433.94</v>
      </c>
      <c r="E369" s="15">
        <v>0</v>
      </c>
      <c r="F369" s="15">
        <v>0</v>
      </c>
      <c r="G369" s="15">
        <v>0</v>
      </c>
      <c r="H369" s="15">
        <v>0</v>
      </c>
      <c r="I369" s="15">
        <v>0</v>
      </c>
      <c r="J369" s="15">
        <v>0</v>
      </c>
      <c r="K369" s="15">
        <v>0</v>
      </c>
      <c r="L369" s="15">
        <v>0</v>
      </c>
      <c r="M369" s="15">
        <v>0</v>
      </c>
      <c r="N369" s="15">
        <v>939.51</v>
      </c>
      <c r="O369" t="s">
        <v>3028</v>
      </c>
    </row>
    <row r="370" spans="1:15" x14ac:dyDescent="0.25">
      <c r="A370" s="10" t="s">
        <v>856</v>
      </c>
      <c r="B370" s="15">
        <v>5096.38</v>
      </c>
      <c r="C370" s="15">
        <v>5611.63</v>
      </c>
      <c r="D370" s="15">
        <v>5770.42</v>
      </c>
      <c r="E370" s="15">
        <v>4973.22</v>
      </c>
      <c r="F370" s="15">
        <v>4974.17</v>
      </c>
      <c r="G370" s="15">
        <v>7428.2</v>
      </c>
      <c r="H370" s="15">
        <v>5308.11</v>
      </c>
      <c r="I370" s="15">
        <v>6777.04</v>
      </c>
      <c r="J370" s="15">
        <v>6489.19</v>
      </c>
      <c r="K370" s="15">
        <v>6062.62</v>
      </c>
      <c r="L370" s="15">
        <v>5955.8</v>
      </c>
      <c r="M370" s="15">
        <v>6936.28</v>
      </c>
      <c r="N370" s="15">
        <v>6185.06</v>
      </c>
      <c r="O370" t="s">
        <v>3028</v>
      </c>
    </row>
    <row r="371" spans="1:15" x14ac:dyDescent="0.25">
      <c r="A371" s="10" t="s">
        <v>858</v>
      </c>
      <c r="B371" s="15">
        <v>1206.75</v>
      </c>
      <c r="C371" s="15">
        <v>1325.94</v>
      </c>
      <c r="D371" s="15">
        <v>314.33999999999997</v>
      </c>
      <c r="E371" s="15">
        <v>0</v>
      </c>
      <c r="F371" s="15">
        <v>0</v>
      </c>
      <c r="G371" s="15">
        <v>0</v>
      </c>
      <c r="H371" s="15">
        <v>0</v>
      </c>
      <c r="I371" s="15">
        <v>0</v>
      </c>
      <c r="J371" s="15">
        <v>0</v>
      </c>
      <c r="K371" s="15">
        <v>0</v>
      </c>
      <c r="L371" s="15">
        <v>0</v>
      </c>
      <c r="M371" s="15">
        <v>0</v>
      </c>
      <c r="N371" s="15">
        <v>443.12</v>
      </c>
      <c r="O371" t="s">
        <v>3028</v>
      </c>
    </row>
    <row r="372" spans="1:15" x14ac:dyDescent="0.25">
      <c r="A372" s="10" t="s">
        <v>860</v>
      </c>
      <c r="B372" s="15">
        <v>4969.82</v>
      </c>
      <c r="C372" s="15">
        <v>4878.75</v>
      </c>
      <c r="D372" s="15">
        <v>5050.2</v>
      </c>
      <c r="E372" s="15">
        <v>5342.06</v>
      </c>
      <c r="F372" s="15">
        <v>4448.42</v>
      </c>
      <c r="G372" s="15">
        <v>4486.9399999999996</v>
      </c>
      <c r="H372" s="15">
        <v>8452.34</v>
      </c>
      <c r="I372" s="15">
        <v>4001.66</v>
      </c>
      <c r="J372" s="15">
        <v>5103.62</v>
      </c>
      <c r="K372" s="15">
        <v>5089.24</v>
      </c>
      <c r="L372" s="15">
        <v>4758.1499999999996</v>
      </c>
      <c r="M372" s="15">
        <v>4769.54</v>
      </c>
      <c r="N372" s="15">
        <v>4980.1499999999996</v>
      </c>
      <c r="O372" t="s">
        <v>3028</v>
      </c>
    </row>
    <row r="373" spans="1:15" x14ac:dyDescent="0.25">
      <c r="A373" s="10" t="s">
        <v>862</v>
      </c>
      <c r="B373" s="15">
        <v>0</v>
      </c>
      <c r="C373" s="15">
        <v>2559.5700000000002</v>
      </c>
      <c r="D373" s="15">
        <v>3162.61</v>
      </c>
      <c r="E373" s="15">
        <v>3724.07</v>
      </c>
      <c r="F373" s="15">
        <v>3253.38</v>
      </c>
      <c r="G373" s="15">
        <v>3708.92</v>
      </c>
      <c r="H373" s="15">
        <v>3702.71</v>
      </c>
      <c r="I373" s="15">
        <v>4214.8999999999996</v>
      </c>
      <c r="J373" s="15">
        <v>3525.66</v>
      </c>
      <c r="K373" s="15">
        <v>3820.78</v>
      </c>
      <c r="L373" s="15">
        <v>3594.22</v>
      </c>
      <c r="M373" s="15">
        <v>3308.15</v>
      </c>
      <c r="N373" s="15">
        <v>3353.82</v>
      </c>
      <c r="O373" t="s">
        <v>3028</v>
      </c>
    </row>
    <row r="374" spans="1:15" x14ac:dyDescent="0.25">
      <c r="A374" s="10" t="s">
        <v>864</v>
      </c>
      <c r="B374" s="15">
        <v>0</v>
      </c>
      <c r="C374" s="15">
        <v>1184.5</v>
      </c>
      <c r="D374" s="15">
        <v>1746.66</v>
      </c>
      <c r="E374" s="15">
        <v>2143.0100000000002</v>
      </c>
      <c r="F374" s="15">
        <v>1698.64</v>
      </c>
      <c r="G374" s="15">
        <v>1707.21</v>
      </c>
      <c r="H374" s="15">
        <v>1678.08</v>
      </c>
      <c r="I374" s="15">
        <v>2802.51</v>
      </c>
      <c r="J374" s="15">
        <v>1899.05</v>
      </c>
      <c r="K374" s="15">
        <v>2031.83</v>
      </c>
      <c r="L374" s="15">
        <v>1818.43</v>
      </c>
      <c r="M374" s="15">
        <v>1836.71</v>
      </c>
      <c r="N374" s="15">
        <v>1782.5</v>
      </c>
      <c r="O374" t="s">
        <v>3028</v>
      </c>
    </row>
    <row r="375" spans="1:15" x14ac:dyDescent="0.25">
      <c r="A375" s="10" t="s">
        <v>866</v>
      </c>
      <c r="B375" s="15">
        <v>3605.92</v>
      </c>
      <c r="C375" s="15">
        <v>2931.25</v>
      </c>
      <c r="D375" s="15">
        <v>2983.13</v>
      </c>
      <c r="E375" s="15">
        <v>6250.25</v>
      </c>
      <c r="F375" s="15">
        <v>1034.4000000000001</v>
      </c>
      <c r="G375" s="15">
        <v>3105.51</v>
      </c>
      <c r="H375" s="15">
        <v>3205.46</v>
      </c>
      <c r="I375" s="15">
        <v>4493.8900000000003</v>
      </c>
      <c r="J375" s="15">
        <v>3496.88</v>
      </c>
      <c r="K375" s="15">
        <v>3873.78</v>
      </c>
      <c r="L375" s="15">
        <v>3619.66</v>
      </c>
      <c r="M375" s="15">
        <v>3961.08</v>
      </c>
      <c r="N375" s="15">
        <v>3618.86</v>
      </c>
      <c r="O375" t="s">
        <v>3028</v>
      </c>
    </row>
    <row r="376" spans="1:15" x14ac:dyDescent="0.25">
      <c r="A376" s="10" t="s">
        <v>868</v>
      </c>
      <c r="B376" s="15">
        <v>1960.63</v>
      </c>
      <c r="C376" s="15">
        <v>1780.32</v>
      </c>
      <c r="D376" s="15">
        <v>2142.31</v>
      </c>
      <c r="E376" s="15">
        <v>2153.83</v>
      </c>
      <c r="F376" s="15">
        <v>1779.47</v>
      </c>
      <c r="G376" s="15">
        <v>4674.3999999999996</v>
      </c>
      <c r="H376" s="15">
        <v>489.21</v>
      </c>
      <c r="I376" s="15">
        <v>2502.46</v>
      </c>
      <c r="J376" s="15">
        <v>2345.4299999999998</v>
      </c>
      <c r="K376" s="15">
        <v>2175.09</v>
      </c>
      <c r="L376" s="15">
        <v>2208.54</v>
      </c>
      <c r="M376" s="15">
        <v>1179.02</v>
      </c>
      <c r="N376" s="15">
        <v>2191.5700000000002</v>
      </c>
      <c r="O376" t="s">
        <v>3028</v>
      </c>
    </row>
    <row r="377" spans="1:15" x14ac:dyDescent="0.25">
      <c r="A377" s="10" t="s">
        <v>870</v>
      </c>
      <c r="B377" s="15">
        <v>2377.4</v>
      </c>
      <c r="C377" s="15">
        <v>1718.39</v>
      </c>
      <c r="D377" s="15">
        <v>1970.99</v>
      </c>
      <c r="E377" s="15">
        <v>1829.27</v>
      </c>
      <c r="F377" s="15">
        <v>1806.08</v>
      </c>
      <c r="G377" s="15">
        <v>3101.5</v>
      </c>
      <c r="H377" s="15">
        <v>2497.4</v>
      </c>
      <c r="I377" s="15">
        <v>3377.87</v>
      </c>
      <c r="J377" s="15">
        <v>2572.62</v>
      </c>
      <c r="K377" s="15">
        <v>2713.02</v>
      </c>
      <c r="L377" s="15">
        <v>3383.72</v>
      </c>
      <c r="M377" s="15">
        <v>4340.37</v>
      </c>
      <c r="N377" s="15">
        <v>2569.35</v>
      </c>
      <c r="O377" t="s">
        <v>3028</v>
      </c>
    </row>
    <row r="378" spans="1:15" x14ac:dyDescent="0.25">
      <c r="A378" s="10" t="s">
        <v>872</v>
      </c>
      <c r="B378" s="15">
        <v>7883.86</v>
      </c>
      <c r="C378" s="15">
        <v>5897.21</v>
      </c>
      <c r="D378" s="15">
        <v>6461.72</v>
      </c>
      <c r="E378" s="15">
        <v>6274.61</v>
      </c>
      <c r="F378" s="15">
        <v>6916.44</v>
      </c>
      <c r="G378" s="15">
        <v>6718.66</v>
      </c>
      <c r="H378" s="15">
        <v>6705.97</v>
      </c>
      <c r="I378" s="15">
        <v>12442.28</v>
      </c>
      <c r="J378" s="15">
        <v>4130.7</v>
      </c>
      <c r="K378" s="15">
        <v>6915.51</v>
      </c>
      <c r="L378" s="15">
        <v>6546.75</v>
      </c>
      <c r="M378" s="15">
        <v>6974.28</v>
      </c>
      <c r="N378" s="15">
        <v>7072.19</v>
      </c>
      <c r="O378" t="s">
        <v>3028</v>
      </c>
    </row>
    <row r="379" spans="1:15" x14ac:dyDescent="0.25">
      <c r="A379" s="10" t="s">
        <v>874</v>
      </c>
      <c r="B379" s="15">
        <v>2452.9499999999998</v>
      </c>
      <c r="C379" s="15">
        <v>2542.7199999999998</v>
      </c>
      <c r="D379" s="15">
        <v>2515.7600000000002</v>
      </c>
      <c r="E379" s="15">
        <v>2213.36</v>
      </c>
      <c r="F379" s="15">
        <v>2284.34</v>
      </c>
      <c r="G379" s="15">
        <v>2155.1799999999998</v>
      </c>
      <c r="H379" s="15">
        <v>2380.85</v>
      </c>
      <c r="I379" s="15">
        <v>3105.05</v>
      </c>
      <c r="J379" s="15">
        <v>5735.62</v>
      </c>
      <c r="K379" s="15">
        <v>440.67</v>
      </c>
      <c r="L379" s="15">
        <v>2091.7199999999998</v>
      </c>
      <c r="M379" s="15">
        <v>2608.56</v>
      </c>
      <c r="N379" s="15">
        <v>2547.81</v>
      </c>
      <c r="O379" t="s">
        <v>3028</v>
      </c>
    </row>
    <row r="380" spans="1:15" x14ac:dyDescent="0.25">
      <c r="A380" s="10" t="s">
        <v>876</v>
      </c>
      <c r="B380" s="15">
        <v>1711.74</v>
      </c>
      <c r="C380" s="15">
        <v>430.96</v>
      </c>
      <c r="D380" s="15">
        <v>0</v>
      </c>
      <c r="E380" s="15">
        <v>0</v>
      </c>
      <c r="F380" s="15">
        <v>0</v>
      </c>
      <c r="G380" s="15">
        <v>0</v>
      </c>
      <c r="H380" s="15">
        <v>0</v>
      </c>
      <c r="I380" s="15">
        <v>0</v>
      </c>
      <c r="J380" s="15">
        <v>0</v>
      </c>
      <c r="K380" s="15">
        <v>0</v>
      </c>
      <c r="L380" s="15">
        <v>0</v>
      </c>
      <c r="M380" s="15">
        <v>0</v>
      </c>
      <c r="N380" s="15">
        <v>235.1</v>
      </c>
      <c r="O380" t="s">
        <v>3028</v>
      </c>
    </row>
    <row r="381" spans="1:15" x14ac:dyDescent="0.25">
      <c r="A381" s="10" t="s">
        <v>878</v>
      </c>
      <c r="B381" s="15">
        <v>1799.29</v>
      </c>
      <c r="C381" s="15">
        <v>1828.94</v>
      </c>
      <c r="D381" s="15">
        <v>1819.69</v>
      </c>
      <c r="E381" s="15">
        <v>4398.68</v>
      </c>
      <c r="F381" s="15">
        <v>183.87</v>
      </c>
      <c r="G381" s="15">
        <v>1788.74</v>
      </c>
      <c r="H381" s="15">
        <v>1816.81</v>
      </c>
      <c r="I381" s="15">
        <v>2347.58</v>
      </c>
      <c r="J381" s="15">
        <v>2176.71</v>
      </c>
      <c r="K381" s="15">
        <v>2032.6</v>
      </c>
      <c r="L381" s="15">
        <v>1985.45</v>
      </c>
      <c r="M381" s="15">
        <v>1986.85</v>
      </c>
      <c r="N381" s="15">
        <v>2038.33</v>
      </c>
      <c r="O381" t="s">
        <v>3028</v>
      </c>
    </row>
    <row r="382" spans="1:15" x14ac:dyDescent="0.25">
      <c r="A382" s="10" t="s">
        <v>880</v>
      </c>
      <c r="B382" s="15">
        <v>2100.9499999999998</v>
      </c>
      <c r="C382" s="15">
        <v>2810.28</v>
      </c>
      <c r="D382" s="15">
        <v>2783.18</v>
      </c>
      <c r="E382" s="15">
        <v>2144.9</v>
      </c>
      <c r="F382" s="15">
        <v>2200.94</v>
      </c>
      <c r="G382" s="15">
        <v>2178.7800000000002</v>
      </c>
      <c r="H382" s="15">
        <v>4324.43</v>
      </c>
      <c r="I382" s="15">
        <v>2212.2399999999998</v>
      </c>
      <c r="J382" s="15">
        <v>2535.6799999999998</v>
      </c>
      <c r="K382" s="15">
        <v>2419.23</v>
      </c>
      <c r="L382" s="15">
        <v>2631.51</v>
      </c>
      <c r="M382" s="15">
        <v>2621.77</v>
      </c>
      <c r="N382" s="15">
        <v>2560.23</v>
      </c>
      <c r="O382" t="s">
        <v>3028</v>
      </c>
    </row>
    <row r="383" spans="1:15" x14ac:dyDescent="0.25">
      <c r="A383" s="10" t="s">
        <v>882</v>
      </c>
      <c r="B383" s="15">
        <v>3937.69</v>
      </c>
      <c r="C383" s="15">
        <v>3868.26</v>
      </c>
      <c r="D383" s="15">
        <v>3926</v>
      </c>
      <c r="E383" s="15">
        <v>3864.71</v>
      </c>
      <c r="F383" s="15">
        <v>3873.15</v>
      </c>
      <c r="G383" s="15">
        <v>3864.71</v>
      </c>
      <c r="H383" s="15">
        <v>3877.36</v>
      </c>
      <c r="I383" s="15">
        <v>5060.05</v>
      </c>
      <c r="J383" s="15">
        <v>4750.16</v>
      </c>
      <c r="K383" s="15">
        <v>4244.22</v>
      </c>
      <c r="L383" s="15">
        <v>4244.22</v>
      </c>
      <c r="M383" s="15">
        <v>7186.73</v>
      </c>
      <c r="N383" s="15">
        <v>4305.42</v>
      </c>
      <c r="O383" t="s">
        <v>3028</v>
      </c>
    </row>
    <row r="384" spans="1:15" x14ac:dyDescent="0.25">
      <c r="A384" s="10" t="s">
        <v>884</v>
      </c>
      <c r="B384" s="15">
        <v>5070.4799999999996</v>
      </c>
      <c r="C384" s="15">
        <v>4690.18</v>
      </c>
      <c r="D384" s="15">
        <v>4861.18</v>
      </c>
      <c r="E384" s="15">
        <v>4615.4399999999996</v>
      </c>
      <c r="F384" s="15">
        <v>4647.54</v>
      </c>
      <c r="G384" s="15">
        <v>7708.15</v>
      </c>
      <c r="H384" s="15">
        <v>4086.87</v>
      </c>
      <c r="I384" s="15">
        <v>6249.88</v>
      </c>
      <c r="J384" s="15">
        <v>5119.45</v>
      </c>
      <c r="K384" s="15">
        <v>5332.99</v>
      </c>
      <c r="L384" s="15">
        <v>5097.47</v>
      </c>
      <c r="M384" s="15">
        <v>5872.43</v>
      </c>
      <c r="N384" s="15">
        <v>5264.75</v>
      </c>
      <c r="O384" t="s">
        <v>3028</v>
      </c>
    </row>
    <row r="385" spans="1:15" x14ac:dyDescent="0.25">
      <c r="A385" s="10" t="s">
        <v>886</v>
      </c>
      <c r="B385" s="15">
        <v>2768.99</v>
      </c>
      <c r="C385" s="15">
        <v>2832.14</v>
      </c>
      <c r="D385" s="15">
        <v>2978.66</v>
      </c>
      <c r="E385" s="15">
        <v>2905.8</v>
      </c>
      <c r="F385" s="15">
        <v>2961.21</v>
      </c>
      <c r="G385" s="15">
        <v>2950.59</v>
      </c>
      <c r="H385" s="15">
        <v>2964.22</v>
      </c>
      <c r="I385" s="15">
        <v>7114.32</v>
      </c>
      <c r="J385" s="15">
        <v>896.93</v>
      </c>
      <c r="K385" s="15">
        <v>2640.23</v>
      </c>
      <c r="L385" s="15">
        <v>3919.46</v>
      </c>
      <c r="M385" s="15">
        <v>3173.18</v>
      </c>
      <c r="N385" s="15">
        <v>3181.7</v>
      </c>
      <c r="O385" t="s">
        <v>3028</v>
      </c>
    </row>
    <row r="386" spans="1:15" x14ac:dyDescent="0.25">
      <c r="A386" s="10" t="s">
        <v>888</v>
      </c>
      <c r="B386" s="15">
        <v>1352.55</v>
      </c>
      <c r="C386" s="15">
        <v>2041.56</v>
      </c>
      <c r="D386" s="15">
        <v>1193.75</v>
      </c>
      <c r="E386" s="15">
        <v>2685.82</v>
      </c>
      <c r="F386" s="15">
        <v>475.52</v>
      </c>
      <c r="G386" s="15">
        <v>1342.73</v>
      </c>
      <c r="H386" s="15">
        <v>1361.1</v>
      </c>
      <c r="I386" s="15">
        <v>1756.33</v>
      </c>
      <c r="J386" s="15">
        <v>1484.95</v>
      </c>
      <c r="K386" s="15">
        <v>2008.24</v>
      </c>
      <c r="L386" s="15">
        <v>2179.75</v>
      </c>
      <c r="M386" s="15">
        <v>1989.71</v>
      </c>
      <c r="N386" s="15">
        <v>2018.8</v>
      </c>
      <c r="O386" t="s">
        <v>3028</v>
      </c>
    </row>
    <row r="387" spans="1:15" x14ac:dyDescent="0.25">
      <c r="A387" s="10" t="s">
        <v>890</v>
      </c>
      <c r="B387" s="15">
        <v>0</v>
      </c>
      <c r="C387" s="15">
        <v>0</v>
      </c>
      <c r="D387" s="15">
        <v>0</v>
      </c>
      <c r="E387" s="15">
        <v>0</v>
      </c>
      <c r="F387" s="15">
        <v>2303.66</v>
      </c>
      <c r="G387" s="15">
        <v>2694.72</v>
      </c>
      <c r="H387" s="15">
        <v>2487.31</v>
      </c>
      <c r="I387" s="15">
        <v>3350.58</v>
      </c>
      <c r="J387" s="15">
        <v>2621.66</v>
      </c>
      <c r="K387" s="15">
        <v>2627.63</v>
      </c>
      <c r="L387" s="15">
        <v>2627.26</v>
      </c>
      <c r="M387" s="15">
        <v>2866.78</v>
      </c>
      <c r="N387" s="15">
        <v>1827.24</v>
      </c>
      <c r="O387" t="s">
        <v>3028</v>
      </c>
    </row>
    <row r="388" spans="1:15" x14ac:dyDescent="0.25">
      <c r="A388" s="10" t="s">
        <v>892</v>
      </c>
      <c r="B388" s="15">
        <v>7055.15</v>
      </c>
      <c r="C388" s="15">
        <v>6374.46</v>
      </c>
      <c r="D388" s="15">
        <v>6349.98</v>
      </c>
      <c r="E388" s="15">
        <v>6542.14</v>
      </c>
      <c r="F388" s="15">
        <v>10184.01</v>
      </c>
      <c r="G388" s="15">
        <v>4782.0200000000004</v>
      </c>
      <c r="H388" s="15">
        <v>6486.33</v>
      </c>
      <c r="I388" s="15">
        <v>8576.6</v>
      </c>
      <c r="J388" s="15">
        <v>7140.17</v>
      </c>
      <c r="K388" s="15">
        <v>7537.29</v>
      </c>
      <c r="L388" s="15">
        <v>7494.26</v>
      </c>
      <c r="M388" s="15">
        <v>8954.43</v>
      </c>
      <c r="N388" s="15">
        <v>7127.01</v>
      </c>
      <c r="O388" t="s">
        <v>3028</v>
      </c>
    </row>
    <row r="389" spans="1:15" x14ac:dyDescent="0.25">
      <c r="A389" s="10" t="s">
        <v>894</v>
      </c>
      <c r="B389" s="15">
        <v>1884.47</v>
      </c>
      <c r="C389" s="15">
        <v>1860.3</v>
      </c>
      <c r="D389" s="15">
        <v>2205.29</v>
      </c>
      <c r="E389" s="15">
        <v>1977.81</v>
      </c>
      <c r="F389" s="15">
        <v>1858.09</v>
      </c>
      <c r="G389" s="15">
        <v>1948.27</v>
      </c>
      <c r="H389" s="15">
        <v>1838.78</v>
      </c>
      <c r="I389" s="15">
        <v>2497.0300000000002</v>
      </c>
      <c r="J389" s="15">
        <v>3486.07</v>
      </c>
      <c r="K389" s="15">
        <v>1357.83</v>
      </c>
      <c r="L389" s="15">
        <v>1996.84</v>
      </c>
      <c r="M389" s="15">
        <v>1984.78</v>
      </c>
      <c r="N389" s="15">
        <v>2079.08</v>
      </c>
      <c r="O389" t="s">
        <v>3028</v>
      </c>
    </row>
    <row r="390" spans="1:15" x14ac:dyDescent="0.25">
      <c r="A390" s="10" t="s">
        <v>896</v>
      </c>
      <c r="B390" s="15">
        <v>1772.22</v>
      </c>
      <c r="C390" s="15">
        <v>1789.05</v>
      </c>
      <c r="D390" s="15">
        <v>1749.19</v>
      </c>
      <c r="E390" s="15">
        <v>1751.42</v>
      </c>
      <c r="F390" s="15">
        <v>1746.16</v>
      </c>
      <c r="G390" s="15">
        <v>1822.51</v>
      </c>
      <c r="H390" s="15">
        <v>1778.93</v>
      </c>
      <c r="I390" s="15">
        <v>2261.34</v>
      </c>
      <c r="J390" s="15">
        <v>1956.38</v>
      </c>
      <c r="K390" s="15">
        <v>2004.87</v>
      </c>
      <c r="L390" s="15">
        <v>1940.19</v>
      </c>
      <c r="M390" s="15">
        <v>2004.87</v>
      </c>
      <c r="N390" s="15">
        <v>1938.39</v>
      </c>
      <c r="O390" t="s">
        <v>3028</v>
      </c>
    </row>
    <row r="391" spans="1:15" x14ac:dyDescent="0.25">
      <c r="A391" s="10" t="s">
        <v>898</v>
      </c>
      <c r="B391" s="15">
        <v>1912.41</v>
      </c>
      <c r="C391" s="15">
        <v>1844.4</v>
      </c>
      <c r="D391" s="15">
        <v>1722.37</v>
      </c>
      <c r="E391" s="15">
        <v>1750.63</v>
      </c>
      <c r="F391" s="15">
        <v>1866.12</v>
      </c>
      <c r="G391" s="15">
        <v>2081.29</v>
      </c>
      <c r="H391" s="15">
        <v>1948.81</v>
      </c>
      <c r="I391" s="15">
        <v>3208.38</v>
      </c>
      <c r="J391" s="15">
        <v>3860</v>
      </c>
      <c r="K391" s="15">
        <v>1624.93</v>
      </c>
      <c r="L391" s="15">
        <v>2272.65</v>
      </c>
      <c r="M391" s="15">
        <v>2193.8200000000002</v>
      </c>
      <c r="N391" s="15">
        <v>2221.31</v>
      </c>
      <c r="O391" t="s">
        <v>3028</v>
      </c>
    </row>
    <row r="392" spans="1:15" x14ac:dyDescent="0.25">
      <c r="A392" s="10" t="s">
        <v>900</v>
      </c>
      <c r="B392" s="15">
        <v>2223.2800000000002</v>
      </c>
      <c r="C392" s="15">
        <v>2077.27</v>
      </c>
      <c r="D392" s="15">
        <v>1940.67</v>
      </c>
      <c r="E392" s="15">
        <v>4484.7</v>
      </c>
      <c r="F392" s="15">
        <v>46.92</v>
      </c>
      <c r="G392" s="15">
        <v>1769.37</v>
      </c>
      <c r="H392" s="15">
        <v>1781.96</v>
      </c>
      <c r="I392" s="15">
        <v>2311.41</v>
      </c>
      <c r="J392" s="15">
        <v>2205.48</v>
      </c>
      <c r="K392" s="15">
        <v>2096.1799999999998</v>
      </c>
      <c r="L392" s="15">
        <v>1941.51</v>
      </c>
      <c r="M392" s="15">
        <v>2130.64</v>
      </c>
      <c r="N392" s="15">
        <v>2102.0700000000002</v>
      </c>
      <c r="O392" t="s">
        <v>3028</v>
      </c>
    </row>
    <row r="393" spans="1:15" x14ac:dyDescent="0.25">
      <c r="A393" s="10" t="s">
        <v>902</v>
      </c>
      <c r="B393" s="15">
        <v>0</v>
      </c>
      <c r="C393" s="15">
        <v>0</v>
      </c>
      <c r="D393" s="15">
        <v>1903.7</v>
      </c>
      <c r="E393" s="15">
        <v>2953.42</v>
      </c>
      <c r="F393" s="15">
        <v>2390</v>
      </c>
      <c r="G393" s="15">
        <v>2379.62</v>
      </c>
      <c r="H393" s="15">
        <v>2379.62</v>
      </c>
      <c r="I393" s="15">
        <v>3080.66</v>
      </c>
      <c r="J393" s="15">
        <v>2619.19</v>
      </c>
      <c r="K393" s="15">
        <v>2785.73</v>
      </c>
      <c r="L393" s="15">
        <v>2635.69</v>
      </c>
      <c r="M393" s="15">
        <v>2613.3000000000002</v>
      </c>
      <c r="N393" s="15">
        <v>2247.02</v>
      </c>
      <c r="O393" t="s">
        <v>3028</v>
      </c>
    </row>
    <row r="394" spans="1:15" x14ac:dyDescent="0.25">
      <c r="A394" s="10" t="s">
        <v>904</v>
      </c>
      <c r="B394" s="15">
        <v>3587.56</v>
      </c>
      <c r="C394" s="15">
        <v>2813.88</v>
      </c>
      <c r="D394" s="15">
        <v>2688.12</v>
      </c>
      <c r="E394" s="15">
        <v>2119.0500000000002</v>
      </c>
      <c r="F394" s="15">
        <v>1828.65</v>
      </c>
      <c r="G394" s="15">
        <v>1808.4</v>
      </c>
      <c r="H394" s="15">
        <v>3473.64</v>
      </c>
      <c r="I394" s="15">
        <v>1330.46</v>
      </c>
      <c r="J394" s="15">
        <v>1962.25</v>
      </c>
      <c r="K394" s="15">
        <v>1976.33</v>
      </c>
      <c r="L394" s="15">
        <v>1894.96</v>
      </c>
      <c r="M394" s="15">
        <v>2017.58</v>
      </c>
      <c r="N394" s="15">
        <v>2327.46</v>
      </c>
      <c r="O394" t="s">
        <v>3028</v>
      </c>
    </row>
    <row r="395" spans="1:15" x14ac:dyDescent="0.25">
      <c r="A395" s="10" t="s">
        <v>906</v>
      </c>
      <c r="B395" s="15">
        <v>4540.45</v>
      </c>
      <c r="C395" s="15">
        <v>3963.19</v>
      </c>
      <c r="D395" s="15">
        <v>3329.88</v>
      </c>
      <c r="E395" s="15">
        <v>2958.02</v>
      </c>
      <c r="F395" s="15">
        <v>3993.49</v>
      </c>
      <c r="G395" s="15">
        <v>2838.24</v>
      </c>
      <c r="H395" s="15">
        <v>2838.24</v>
      </c>
      <c r="I395" s="15">
        <v>3733.07</v>
      </c>
      <c r="J395" s="15">
        <v>3721</v>
      </c>
      <c r="K395" s="15">
        <v>3117.78</v>
      </c>
      <c r="L395" s="15">
        <v>3136.91</v>
      </c>
      <c r="M395" s="15">
        <v>3116.96</v>
      </c>
      <c r="N395" s="15">
        <v>3485.9</v>
      </c>
      <c r="O395" t="s">
        <v>3028</v>
      </c>
    </row>
    <row r="396" spans="1:15" x14ac:dyDescent="0.25">
      <c r="A396" s="10" t="s">
        <v>908</v>
      </c>
      <c r="B396" s="15">
        <v>4466.8599999999997</v>
      </c>
      <c r="C396" s="15">
        <v>3363.24</v>
      </c>
      <c r="D396" s="15">
        <v>3729.52</v>
      </c>
      <c r="E396" s="15">
        <v>3380.62</v>
      </c>
      <c r="F396" s="15">
        <v>3687.5</v>
      </c>
      <c r="G396" s="15">
        <v>4847.8999999999996</v>
      </c>
      <c r="H396" s="15">
        <v>8606.7999999999993</v>
      </c>
      <c r="I396" s="15">
        <v>2303.0500000000002</v>
      </c>
      <c r="J396" s="15">
        <v>3449.67</v>
      </c>
      <c r="K396" s="15">
        <v>3657.81</v>
      </c>
      <c r="L396" s="15">
        <v>3738.09</v>
      </c>
      <c r="M396" s="15">
        <v>3871.36</v>
      </c>
      <c r="N396" s="15">
        <v>4062.3</v>
      </c>
      <c r="O396" t="s">
        <v>3028</v>
      </c>
    </row>
    <row r="397" spans="1:15" x14ac:dyDescent="0.25">
      <c r="A397" s="10" t="s">
        <v>910</v>
      </c>
      <c r="B397" s="15">
        <v>0</v>
      </c>
      <c r="C397" s="15">
        <v>0</v>
      </c>
      <c r="D397" s="15">
        <v>0</v>
      </c>
      <c r="E397" s="15">
        <v>0</v>
      </c>
      <c r="F397" s="15">
        <v>0</v>
      </c>
      <c r="G397" s="15">
        <v>0</v>
      </c>
      <c r="H397" s="15">
        <v>0</v>
      </c>
      <c r="I397" s="15">
        <v>0</v>
      </c>
      <c r="J397" s="15">
        <v>0</v>
      </c>
      <c r="K397" s="15">
        <v>0</v>
      </c>
      <c r="L397" s="15">
        <v>1045.04</v>
      </c>
      <c r="M397" s="15">
        <v>1425.06</v>
      </c>
      <c r="N397" s="15">
        <v>237.51</v>
      </c>
      <c r="O397" t="s">
        <v>3028</v>
      </c>
    </row>
    <row r="398" spans="1:15" x14ac:dyDescent="0.25">
      <c r="A398" s="10" t="s">
        <v>912</v>
      </c>
      <c r="B398" s="15">
        <v>2802.58</v>
      </c>
      <c r="C398" s="15">
        <v>615.39</v>
      </c>
      <c r="D398" s="15">
        <v>1319.94</v>
      </c>
      <c r="E398" s="15">
        <v>1327.92</v>
      </c>
      <c r="F398" s="15">
        <v>1309.6099999999999</v>
      </c>
      <c r="G398" s="15">
        <v>1364.65</v>
      </c>
      <c r="H398" s="15">
        <v>1605.17</v>
      </c>
      <c r="I398" s="15">
        <v>1784.35</v>
      </c>
      <c r="J398" s="15">
        <v>1664.02</v>
      </c>
      <c r="K398" s="15">
        <v>1516.74</v>
      </c>
      <c r="L398" s="15">
        <v>1673.37</v>
      </c>
      <c r="M398" s="15">
        <v>1659</v>
      </c>
      <c r="N398" s="15">
        <v>1563.71</v>
      </c>
      <c r="O398" t="s">
        <v>3028</v>
      </c>
    </row>
    <row r="399" spans="1:15" x14ac:dyDescent="0.25">
      <c r="A399" s="10" t="s">
        <v>914</v>
      </c>
      <c r="B399" s="15">
        <v>1804.55</v>
      </c>
      <c r="C399" s="15">
        <v>2024.92</v>
      </c>
      <c r="D399" s="15">
        <v>2023.46</v>
      </c>
      <c r="E399" s="15">
        <v>4347.16</v>
      </c>
      <c r="F399" s="15">
        <v>177.15</v>
      </c>
      <c r="G399" s="15">
        <v>1784.77</v>
      </c>
      <c r="H399" s="15">
        <v>1854.87</v>
      </c>
      <c r="I399" s="15">
        <v>2402.14</v>
      </c>
      <c r="J399" s="15">
        <v>2001.32</v>
      </c>
      <c r="K399" s="15">
        <v>2063.29</v>
      </c>
      <c r="L399" s="15">
        <v>2195.2800000000002</v>
      </c>
      <c r="M399" s="15">
        <v>1990.2</v>
      </c>
      <c r="N399" s="15">
        <v>2074.31</v>
      </c>
      <c r="O399" t="s">
        <v>3028</v>
      </c>
    </row>
    <row r="400" spans="1:15" x14ac:dyDescent="0.25">
      <c r="A400" s="10" t="s">
        <v>916</v>
      </c>
      <c r="B400" s="15">
        <v>2412.1999999999998</v>
      </c>
      <c r="C400" s="15">
        <v>2236.9699999999998</v>
      </c>
      <c r="D400" s="15">
        <v>1933.62</v>
      </c>
      <c r="E400" s="15">
        <v>4385.7299999999996</v>
      </c>
      <c r="F400" s="15">
        <v>171.5</v>
      </c>
      <c r="G400" s="15">
        <v>1767.07</v>
      </c>
      <c r="H400" s="15">
        <v>1782.04</v>
      </c>
      <c r="I400" s="15">
        <v>2480.41</v>
      </c>
      <c r="J400" s="15">
        <v>2454.33</v>
      </c>
      <c r="K400" s="15">
        <v>2121.5300000000002</v>
      </c>
      <c r="L400" s="15">
        <v>1939.76</v>
      </c>
      <c r="M400" s="15">
        <v>2258.65</v>
      </c>
      <c r="N400" s="15">
        <v>2133.39</v>
      </c>
      <c r="O400" t="s">
        <v>3028</v>
      </c>
    </row>
    <row r="401" spans="1:15" x14ac:dyDescent="0.25">
      <c r="A401" s="10" t="s">
        <v>918</v>
      </c>
      <c r="B401" s="15">
        <v>1678.74</v>
      </c>
      <c r="C401" s="15">
        <v>1719.44</v>
      </c>
      <c r="D401" s="15">
        <v>1518.3</v>
      </c>
      <c r="E401" s="15">
        <v>0</v>
      </c>
      <c r="F401" s="15">
        <v>0</v>
      </c>
      <c r="G401" s="15">
        <v>0</v>
      </c>
      <c r="H401" s="15">
        <v>0</v>
      </c>
      <c r="I401" s="15">
        <v>0</v>
      </c>
      <c r="J401" s="15">
        <v>0</v>
      </c>
      <c r="K401" s="15">
        <v>0</v>
      </c>
      <c r="L401" s="15">
        <v>0</v>
      </c>
      <c r="M401" s="15">
        <v>0</v>
      </c>
      <c r="N401" s="15">
        <v>351.77</v>
      </c>
      <c r="O401" t="s">
        <v>3028</v>
      </c>
    </row>
    <row r="402" spans="1:15" x14ac:dyDescent="0.25">
      <c r="A402" s="10" t="s">
        <v>920</v>
      </c>
      <c r="B402" s="15">
        <v>260</v>
      </c>
      <c r="C402" s="15">
        <v>0</v>
      </c>
      <c r="D402" s="15">
        <v>0</v>
      </c>
      <c r="E402" s="15">
        <v>0</v>
      </c>
      <c r="F402" s="15">
        <v>0</v>
      </c>
      <c r="G402" s="15">
        <v>0</v>
      </c>
      <c r="H402" s="15">
        <v>0</v>
      </c>
      <c r="I402" s="15">
        <v>0</v>
      </c>
      <c r="J402" s="15">
        <v>0</v>
      </c>
      <c r="K402" s="15">
        <v>0</v>
      </c>
      <c r="L402" s="15">
        <v>0</v>
      </c>
      <c r="M402" s="15">
        <v>0</v>
      </c>
      <c r="N402" s="15">
        <v>108.33</v>
      </c>
      <c r="O402" t="s">
        <v>3028</v>
      </c>
    </row>
    <row r="403" spans="1:15" x14ac:dyDescent="0.25">
      <c r="A403" s="10" t="s">
        <v>922</v>
      </c>
      <c r="B403" s="15">
        <v>4698.03</v>
      </c>
      <c r="C403" s="15">
        <v>5591.58</v>
      </c>
      <c r="D403" s="15">
        <v>4517.4399999999996</v>
      </c>
      <c r="E403" s="15">
        <v>4309.24</v>
      </c>
      <c r="F403" s="15">
        <v>10000.700000000001</v>
      </c>
      <c r="G403" s="15">
        <v>1231.5899999999999</v>
      </c>
      <c r="H403" s="15">
        <v>4244.7299999999996</v>
      </c>
      <c r="I403" s="15">
        <v>5714.24</v>
      </c>
      <c r="J403" s="15">
        <v>4863.13</v>
      </c>
      <c r="K403" s="15">
        <v>4631.87</v>
      </c>
      <c r="L403" s="15">
        <v>5038.38</v>
      </c>
      <c r="M403" s="15">
        <v>4740.5200000000004</v>
      </c>
      <c r="N403" s="15">
        <v>4892.33</v>
      </c>
      <c r="O403" t="s">
        <v>3028</v>
      </c>
    </row>
    <row r="404" spans="1:15" x14ac:dyDescent="0.25">
      <c r="A404" s="10" t="s">
        <v>924</v>
      </c>
      <c r="B404" s="15">
        <v>0</v>
      </c>
      <c r="C404" s="15">
        <v>0</v>
      </c>
      <c r="D404" s="15">
        <v>0</v>
      </c>
      <c r="E404" s="15">
        <v>0</v>
      </c>
      <c r="F404" s="15">
        <v>0</v>
      </c>
      <c r="G404" s="15">
        <v>0</v>
      </c>
      <c r="H404" s="15">
        <v>0</v>
      </c>
      <c r="I404" s="15">
        <v>0</v>
      </c>
      <c r="J404" s="15">
        <v>0</v>
      </c>
      <c r="K404" s="15">
        <v>0</v>
      </c>
      <c r="L404" s="15">
        <v>1156.28</v>
      </c>
      <c r="M404" s="15">
        <v>1693.62</v>
      </c>
      <c r="N404" s="15">
        <v>261.58</v>
      </c>
      <c r="O404" t="s">
        <v>3028</v>
      </c>
    </row>
    <row r="405" spans="1:15" x14ac:dyDescent="0.25">
      <c r="A405" s="10" t="s">
        <v>926</v>
      </c>
      <c r="B405" s="15">
        <v>2850.04</v>
      </c>
      <c r="C405" s="15">
        <v>1527.12</v>
      </c>
      <c r="D405" s="15">
        <v>479.26</v>
      </c>
      <c r="E405" s="15">
        <v>0</v>
      </c>
      <c r="F405" s="15">
        <v>0</v>
      </c>
      <c r="G405" s="15">
        <v>0</v>
      </c>
      <c r="H405" s="15">
        <v>0</v>
      </c>
      <c r="I405" s="15">
        <v>0</v>
      </c>
      <c r="J405" s="15">
        <v>0</v>
      </c>
      <c r="K405" s="15">
        <v>0</v>
      </c>
      <c r="L405" s="15">
        <v>0</v>
      </c>
      <c r="M405" s="15">
        <v>0</v>
      </c>
      <c r="N405" s="15">
        <v>639.11</v>
      </c>
      <c r="O405" t="s">
        <v>3028</v>
      </c>
    </row>
    <row r="406" spans="1:15" x14ac:dyDescent="0.25">
      <c r="A406" s="10" t="s">
        <v>928</v>
      </c>
      <c r="B406" s="15">
        <v>2168.3200000000002</v>
      </c>
      <c r="C406" s="15">
        <v>2032.42</v>
      </c>
      <c r="D406" s="15">
        <v>2128.31</v>
      </c>
      <c r="E406" s="15">
        <v>3992.16</v>
      </c>
      <c r="F406" s="15">
        <v>953.85</v>
      </c>
      <c r="G406" s="15">
        <v>2095.69</v>
      </c>
      <c r="H406" s="15">
        <v>2077.17</v>
      </c>
      <c r="I406" s="15">
        <v>2918.08</v>
      </c>
      <c r="J406" s="15">
        <v>2370.8200000000002</v>
      </c>
      <c r="K406" s="15">
        <v>2266.11</v>
      </c>
      <c r="L406" s="15">
        <v>2280.6</v>
      </c>
      <c r="M406" s="15">
        <v>2267.23</v>
      </c>
      <c r="N406" s="15">
        <v>2263.52</v>
      </c>
      <c r="O406" t="s">
        <v>3028</v>
      </c>
    </row>
    <row r="407" spans="1:15" x14ac:dyDescent="0.25">
      <c r="A407" s="10" t="s">
        <v>930</v>
      </c>
      <c r="B407" s="15">
        <v>2748.19</v>
      </c>
      <c r="C407" s="15">
        <v>2580.87</v>
      </c>
      <c r="D407" s="15">
        <v>2446.65</v>
      </c>
      <c r="E407" s="15">
        <v>2541.64</v>
      </c>
      <c r="F407" s="15">
        <v>2205.1</v>
      </c>
      <c r="G407" s="15">
        <v>2271.64</v>
      </c>
      <c r="H407" s="15">
        <v>2279.2800000000002</v>
      </c>
      <c r="I407" s="15">
        <v>2868.53</v>
      </c>
      <c r="J407" s="15">
        <v>2486.7399999999998</v>
      </c>
      <c r="K407" s="15">
        <v>5593.97</v>
      </c>
      <c r="L407" s="15">
        <v>786.63</v>
      </c>
      <c r="M407" s="15">
        <v>2421.64</v>
      </c>
      <c r="N407" s="15">
        <v>2606.29</v>
      </c>
      <c r="O407" t="s">
        <v>3028</v>
      </c>
    </row>
    <row r="408" spans="1:15" x14ac:dyDescent="0.25">
      <c r="A408" s="10" t="s">
        <v>932</v>
      </c>
      <c r="B408" s="15">
        <v>2478.59</v>
      </c>
      <c r="C408" s="15">
        <v>2931.45</v>
      </c>
      <c r="D408" s="15">
        <v>2326.2399999999998</v>
      </c>
      <c r="E408" s="15">
        <v>1931.45</v>
      </c>
      <c r="F408" s="15">
        <v>240.91</v>
      </c>
      <c r="G408" s="15">
        <v>0</v>
      </c>
      <c r="H408" s="15">
        <v>0</v>
      </c>
      <c r="I408" s="15">
        <v>0</v>
      </c>
      <c r="J408" s="15">
        <v>0</v>
      </c>
      <c r="K408" s="15">
        <v>0</v>
      </c>
      <c r="L408" s="15">
        <v>0</v>
      </c>
      <c r="M408" s="15">
        <v>0</v>
      </c>
      <c r="N408" s="15">
        <v>841.71</v>
      </c>
      <c r="O408" t="s">
        <v>3028</v>
      </c>
    </row>
    <row r="409" spans="1:15" x14ac:dyDescent="0.25">
      <c r="A409" s="10" t="s">
        <v>934</v>
      </c>
      <c r="B409" s="15">
        <v>3242.69</v>
      </c>
      <c r="C409" s="15">
        <v>3304.36</v>
      </c>
      <c r="D409" s="15">
        <v>5980.02</v>
      </c>
      <c r="E409" s="15">
        <v>1564.43</v>
      </c>
      <c r="F409" s="15">
        <v>3242.69</v>
      </c>
      <c r="G409" s="15">
        <v>3355.16</v>
      </c>
      <c r="H409" s="15">
        <v>3272.47</v>
      </c>
      <c r="I409" s="15">
        <v>4290.6899999999996</v>
      </c>
      <c r="J409" s="15">
        <v>3960.63</v>
      </c>
      <c r="K409" s="15">
        <v>3561.12</v>
      </c>
      <c r="L409" s="15">
        <v>3610.89</v>
      </c>
      <c r="M409" s="15">
        <v>6775.58</v>
      </c>
      <c r="N409" s="15">
        <v>3638.06</v>
      </c>
      <c r="O409" t="s">
        <v>3028</v>
      </c>
    </row>
    <row r="410" spans="1:15" x14ac:dyDescent="0.25">
      <c r="A410" s="10" t="s">
        <v>936</v>
      </c>
      <c r="B410" s="15">
        <v>2871.05</v>
      </c>
      <c r="C410" s="15">
        <v>2717.42</v>
      </c>
      <c r="D410" s="15">
        <v>2710.25</v>
      </c>
      <c r="E410" s="15">
        <v>5206.92</v>
      </c>
      <c r="F410" s="15">
        <v>1168.94</v>
      </c>
      <c r="G410" s="15">
        <v>2661.23</v>
      </c>
      <c r="H410" s="15">
        <v>2699.56</v>
      </c>
      <c r="I410" s="15">
        <v>3637.13</v>
      </c>
      <c r="J410" s="15">
        <v>2928.11</v>
      </c>
      <c r="K410" s="15">
        <v>2983.93</v>
      </c>
      <c r="L410" s="15">
        <v>2997.22</v>
      </c>
      <c r="M410" s="15">
        <v>2955.32</v>
      </c>
      <c r="N410" s="15">
        <v>2975.95</v>
      </c>
      <c r="O410" t="s">
        <v>3028</v>
      </c>
    </row>
    <row r="411" spans="1:15" x14ac:dyDescent="0.25">
      <c r="A411" s="10" t="s">
        <v>938</v>
      </c>
      <c r="B411" s="15">
        <v>1397.6</v>
      </c>
      <c r="C411" s="15">
        <v>2471.5300000000002</v>
      </c>
      <c r="D411" s="15">
        <v>2476.7199999999998</v>
      </c>
      <c r="E411" s="15">
        <v>2584.5700000000002</v>
      </c>
      <c r="F411" s="15">
        <v>2698.3</v>
      </c>
      <c r="G411" s="15">
        <v>2472.9499999999998</v>
      </c>
      <c r="H411" s="15">
        <v>2617.96</v>
      </c>
      <c r="I411" s="15">
        <v>3439</v>
      </c>
      <c r="J411" s="15">
        <v>2711.14</v>
      </c>
      <c r="K411" s="15">
        <v>2891.84</v>
      </c>
      <c r="L411" s="15">
        <v>3343.6</v>
      </c>
      <c r="M411" s="15">
        <v>2747.84</v>
      </c>
      <c r="N411" s="15">
        <v>2836.5</v>
      </c>
      <c r="O411" t="s">
        <v>3028</v>
      </c>
    </row>
    <row r="412" spans="1:15" x14ac:dyDescent="0.25">
      <c r="A412" s="10" t="s">
        <v>940</v>
      </c>
      <c r="B412" s="15">
        <v>2230.69</v>
      </c>
      <c r="C412" s="15">
        <v>2006.35</v>
      </c>
      <c r="D412" s="15">
        <v>2035.42</v>
      </c>
      <c r="E412" s="15">
        <v>2319.88</v>
      </c>
      <c r="F412" s="15">
        <v>1901.39</v>
      </c>
      <c r="G412" s="15">
        <v>2290.61</v>
      </c>
      <c r="H412" s="15">
        <v>5126.3500000000004</v>
      </c>
      <c r="I412" s="15">
        <v>1227.1600000000001</v>
      </c>
      <c r="J412" s="15">
        <v>2187.9499999999998</v>
      </c>
      <c r="K412" s="15">
        <v>2362.1799999999998</v>
      </c>
      <c r="L412" s="15">
        <v>2213.67</v>
      </c>
      <c r="M412" s="15">
        <v>2435.65</v>
      </c>
      <c r="N412" s="15">
        <v>2336.6999999999998</v>
      </c>
      <c r="O412" t="s">
        <v>3028</v>
      </c>
    </row>
    <row r="413" spans="1:15" x14ac:dyDescent="0.25">
      <c r="A413" s="10" t="s">
        <v>942</v>
      </c>
      <c r="B413" s="15">
        <v>1832.84</v>
      </c>
      <c r="C413" s="15">
        <v>1833.57</v>
      </c>
      <c r="D413" s="15">
        <v>1829.34</v>
      </c>
      <c r="E413" s="15">
        <v>4132.66</v>
      </c>
      <c r="F413" s="15">
        <v>218.8</v>
      </c>
      <c r="G413" s="15">
        <v>1815.48</v>
      </c>
      <c r="H413" s="15">
        <v>1863.94</v>
      </c>
      <c r="I413" s="15">
        <v>1098.6199999999999</v>
      </c>
      <c r="J413" s="15">
        <v>0</v>
      </c>
      <c r="K413" s="15">
        <v>0</v>
      </c>
      <c r="L413" s="15">
        <v>0</v>
      </c>
      <c r="M413" s="15">
        <v>0</v>
      </c>
      <c r="N413" s="15">
        <v>1177.9100000000001</v>
      </c>
      <c r="O413" t="s">
        <v>3028</v>
      </c>
    </row>
    <row r="414" spans="1:15" x14ac:dyDescent="0.25">
      <c r="A414" s="10" t="s">
        <v>944</v>
      </c>
      <c r="B414" s="15">
        <v>0</v>
      </c>
      <c r="C414" s="15">
        <v>0</v>
      </c>
      <c r="D414" s="15">
        <v>0</v>
      </c>
      <c r="E414" s="15">
        <v>0</v>
      </c>
      <c r="F414" s="15">
        <v>0</v>
      </c>
      <c r="G414" s="15">
        <v>0</v>
      </c>
      <c r="H414" s="15">
        <v>0</v>
      </c>
      <c r="I414" s="15">
        <v>0</v>
      </c>
      <c r="J414" s="15">
        <v>0</v>
      </c>
      <c r="K414" s="15">
        <v>0</v>
      </c>
      <c r="L414" s="15">
        <v>2310.7800000000002</v>
      </c>
      <c r="M414" s="15">
        <v>2310.7800000000002</v>
      </c>
      <c r="N414" s="15">
        <v>385.13</v>
      </c>
      <c r="O414" t="s">
        <v>3028</v>
      </c>
    </row>
    <row r="415" spans="1:15" x14ac:dyDescent="0.25">
      <c r="A415" s="10" t="s">
        <v>946</v>
      </c>
      <c r="B415" s="15">
        <v>1675.14</v>
      </c>
      <c r="C415" s="15">
        <v>2315.86</v>
      </c>
      <c r="D415" s="15">
        <v>1994.3</v>
      </c>
      <c r="E415" s="15">
        <v>4801.1499999999996</v>
      </c>
      <c r="F415" s="15">
        <v>0</v>
      </c>
      <c r="G415" s="15">
        <v>1787.9</v>
      </c>
      <c r="H415" s="15">
        <v>1830.78</v>
      </c>
      <c r="I415" s="15">
        <v>2338.7199999999998</v>
      </c>
      <c r="J415" s="15">
        <v>2108.94</v>
      </c>
      <c r="K415" s="15">
        <v>2551.59</v>
      </c>
      <c r="L415" s="15">
        <v>3021.17</v>
      </c>
      <c r="M415" s="15">
        <v>2460.81</v>
      </c>
      <c r="N415" s="15">
        <v>2264.5100000000002</v>
      </c>
      <c r="O415" t="s">
        <v>3028</v>
      </c>
    </row>
    <row r="416" spans="1:15" x14ac:dyDescent="0.25">
      <c r="A416" s="10" t="s">
        <v>948</v>
      </c>
      <c r="B416" s="15">
        <v>1337.97</v>
      </c>
      <c r="C416" s="15">
        <v>1363.49</v>
      </c>
      <c r="D416" s="15">
        <v>1355.9</v>
      </c>
      <c r="E416" s="15">
        <v>1378.81</v>
      </c>
      <c r="F416" s="15">
        <v>1395.77</v>
      </c>
      <c r="G416" s="15">
        <v>1335.27</v>
      </c>
      <c r="H416" s="15">
        <v>1389.25</v>
      </c>
      <c r="I416" s="15">
        <v>1909.44</v>
      </c>
      <c r="J416" s="15">
        <v>1535.75</v>
      </c>
      <c r="K416" s="15">
        <v>1476.41</v>
      </c>
      <c r="L416" s="15">
        <v>1480.64</v>
      </c>
      <c r="M416" s="15">
        <v>1498.36</v>
      </c>
      <c r="N416" s="15">
        <v>1516.34</v>
      </c>
      <c r="O416" t="s">
        <v>3028</v>
      </c>
    </row>
    <row r="417" spans="1:15" x14ac:dyDescent="0.25">
      <c r="A417" s="10" t="s">
        <v>954</v>
      </c>
      <c r="B417" s="15">
        <v>0</v>
      </c>
      <c r="C417" s="15">
        <v>0</v>
      </c>
      <c r="D417" s="15">
        <v>0</v>
      </c>
      <c r="E417" s="15">
        <v>0</v>
      </c>
      <c r="F417" s="15">
        <v>0</v>
      </c>
      <c r="G417" s="15">
        <v>0</v>
      </c>
      <c r="H417" s="15">
        <v>0</v>
      </c>
      <c r="I417" s="15">
        <v>996.67</v>
      </c>
      <c r="J417" s="15">
        <v>96.84</v>
      </c>
      <c r="K417" s="15">
        <v>0</v>
      </c>
      <c r="L417" s="15">
        <v>0</v>
      </c>
      <c r="M417" s="15">
        <v>0</v>
      </c>
      <c r="N417" s="15">
        <v>119.01</v>
      </c>
      <c r="O417" t="s">
        <v>3028</v>
      </c>
    </row>
    <row r="418" spans="1:15" x14ac:dyDescent="0.25">
      <c r="A418" s="10" t="s">
        <v>956</v>
      </c>
      <c r="B418" s="15">
        <v>0</v>
      </c>
      <c r="C418" s="15">
        <v>0</v>
      </c>
      <c r="D418" s="15">
        <v>0</v>
      </c>
      <c r="E418" s="15">
        <v>0</v>
      </c>
      <c r="F418" s="15">
        <v>0</v>
      </c>
      <c r="G418" s="15">
        <v>0</v>
      </c>
      <c r="H418" s="15">
        <v>0</v>
      </c>
      <c r="I418" s="15">
        <v>0</v>
      </c>
      <c r="J418" s="15">
        <v>0</v>
      </c>
      <c r="K418" s="15">
        <v>0</v>
      </c>
      <c r="L418" s="15">
        <v>1156.28</v>
      </c>
      <c r="M418" s="15">
        <v>1554.94</v>
      </c>
      <c r="N418" s="15">
        <v>250.02</v>
      </c>
      <c r="O418" t="s">
        <v>3028</v>
      </c>
    </row>
    <row r="419" spans="1:15" x14ac:dyDescent="0.25">
      <c r="A419" s="10" t="s">
        <v>958</v>
      </c>
      <c r="B419" s="15">
        <v>2678.45</v>
      </c>
      <c r="C419" s="15">
        <v>1951.29</v>
      </c>
      <c r="D419" s="15">
        <v>2325.25</v>
      </c>
      <c r="E419" s="15">
        <v>5176.1000000000004</v>
      </c>
      <c r="F419" s="15">
        <v>0</v>
      </c>
      <c r="G419" s="15">
        <v>0</v>
      </c>
      <c r="H419" s="15">
        <v>0</v>
      </c>
      <c r="I419" s="15">
        <v>0</v>
      </c>
      <c r="J419" s="15">
        <v>0</v>
      </c>
      <c r="K419" s="15">
        <v>0</v>
      </c>
      <c r="L419" s="15">
        <v>0</v>
      </c>
      <c r="M419" s="15">
        <v>0</v>
      </c>
      <c r="N419" s="15">
        <v>730.91</v>
      </c>
      <c r="O419" t="s">
        <v>3028</v>
      </c>
    </row>
    <row r="420" spans="1:15" x14ac:dyDescent="0.25">
      <c r="A420" s="10" t="s">
        <v>960</v>
      </c>
      <c r="B420" s="15">
        <v>0</v>
      </c>
      <c r="C420" s="15">
        <v>0</v>
      </c>
      <c r="D420" s="15">
        <v>0</v>
      </c>
      <c r="E420" s="15">
        <v>0</v>
      </c>
      <c r="F420" s="15">
        <v>0</v>
      </c>
      <c r="G420" s="15">
        <v>0</v>
      </c>
      <c r="H420" s="15">
        <v>0</v>
      </c>
      <c r="I420" s="15">
        <v>0</v>
      </c>
      <c r="J420" s="15">
        <v>0</v>
      </c>
      <c r="K420" s="15">
        <v>1824.57</v>
      </c>
      <c r="L420" s="15">
        <v>2056.12</v>
      </c>
      <c r="M420" s="15">
        <v>1988.8</v>
      </c>
      <c r="N420" s="15">
        <v>504.31</v>
      </c>
      <c r="O420" t="s">
        <v>3028</v>
      </c>
    </row>
    <row r="421" spans="1:15" x14ac:dyDescent="0.25">
      <c r="A421" s="10" t="s">
        <v>962</v>
      </c>
      <c r="B421" s="15">
        <v>1986.39</v>
      </c>
      <c r="C421" s="15">
        <v>2593.62</v>
      </c>
      <c r="D421" s="15">
        <v>663.57</v>
      </c>
      <c r="E421" s="15">
        <v>0</v>
      </c>
      <c r="F421" s="15">
        <v>0</v>
      </c>
      <c r="G421" s="15">
        <v>0</v>
      </c>
      <c r="H421" s="15">
        <v>0</v>
      </c>
      <c r="I421" s="15">
        <v>0</v>
      </c>
      <c r="J421" s="15">
        <v>0</v>
      </c>
      <c r="K421" s="15">
        <v>0</v>
      </c>
      <c r="L421" s="15">
        <v>0</v>
      </c>
      <c r="M421" s="15">
        <v>0</v>
      </c>
      <c r="N421" s="15">
        <v>733.13</v>
      </c>
      <c r="O421" t="s">
        <v>3028</v>
      </c>
    </row>
    <row r="422" spans="1:15" x14ac:dyDescent="0.25">
      <c r="A422" s="10" t="s">
        <v>964</v>
      </c>
      <c r="B422" s="15">
        <v>0</v>
      </c>
      <c r="C422" s="15">
        <v>0</v>
      </c>
      <c r="D422" s="15">
        <v>0</v>
      </c>
      <c r="E422" s="15">
        <v>0</v>
      </c>
      <c r="F422" s="15">
        <v>0</v>
      </c>
      <c r="G422" s="15">
        <v>0</v>
      </c>
      <c r="H422" s="15">
        <v>1184.5</v>
      </c>
      <c r="I422" s="15">
        <v>1793.86</v>
      </c>
      <c r="J422" s="15">
        <v>1586.72</v>
      </c>
      <c r="K422" s="15">
        <v>1452.42</v>
      </c>
      <c r="L422" s="15">
        <v>1447.69</v>
      </c>
      <c r="M422" s="15">
        <v>1496.6</v>
      </c>
      <c r="N422" s="15">
        <v>758.87</v>
      </c>
      <c r="O422" t="s">
        <v>3028</v>
      </c>
    </row>
    <row r="423" spans="1:15" x14ac:dyDescent="0.25">
      <c r="A423" s="10" t="s">
        <v>966</v>
      </c>
      <c r="B423" s="15">
        <v>0</v>
      </c>
      <c r="C423" s="15">
        <v>0</v>
      </c>
      <c r="D423" s="15">
        <v>0</v>
      </c>
      <c r="E423" s="15">
        <v>0</v>
      </c>
      <c r="F423" s="15">
        <v>0</v>
      </c>
      <c r="G423" s="15">
        <v>0</v>
      </c>
      <c r="H423" s="15">
        <v>0</v>
      </c>
      <c r="I423" s="15">
        <v>0</v>
      </c>
      <c r="J423" s="15">
        <v>0</v>
      </c>
      <c r="K423" s="15">
        <v>0</v>
      </c>
      <c r="L423" s="15">
        <v>1045.04</v>
      </c>
      <c r="M423" s="15">
        <v>1427.26</v>
      </c>
      <c r="N423" s="15">
        <v>237.69</v>
      </c>
      <c r="O423" t="s">
        <v>3028</v>
      </c>
    </row>
    <row r="424" spans="1:15" x14ac:dyDescent="0.25">
      <c r="A424" s="10" t="s">
        <v>968</v>
      </c>
      <c r="B424" s="15">
        <v>3706.01</v>
      </c>
      <c r="C424" s="15">
        <v>2841.9</v>
      </c>
      <c r="D424" s="15">
        <v>3437.56</v>
      </c>
      <c r="E424" s="15">
        <v>2552.8000000000002</v>
      </c>
      <c r="F424" s="15">
        <v>2996.63</v>
      </c>
      <c r="G424" s="15">
        <v>5259.95</v>
      </c>
      <c r="H424" s="15">
        <v>1026.23</v>
      </c>
      <c r="I424" s="15">
        <v>3427.4</v>
      </c>
      <c r="J424" s="15">
        <v>2877.21</v>
      </c>
      <c r="K424" s="15">
        <v>2904.97</v>
      </c>
      <c r="L424" s="15">
        <v>3229.01</v>
      </c>
      <c r="M424" s="15">
        <v>3226.53</v>
      </c>
      <c r="N424" s="15">
        <v>3166.24</v>
      </c>
      <c r="O424" t="s">
        <v>3028</v>
      </c>
    </row>
    <row r="425" spans="1:15" x14ac:dyDescent="0.25">
      <c r="A425" s="10" t="s">
        <v>970</v>
      </c>
      <c r="B425" s="15">
        <v>917.17</v>
      </c>
      <c r="C425" s="15">
        <v>2428.48</v>
      </c>
      <c r="D425" s="15">
        <v>2706.02</v>
      </c>
      <c r="E425" s="15">
        <v>2809.95</v>
      </c>
      <c r="F425" s="15">
        <v>2634.21</v>
      </c>
      <c r="G425" s="15">
        <v>6235.06</v>
      </c>
      <c r="H425" s="15">
        <v>720.25</v>
      </c>
      <c r="I425" s="15">
        <v>2784.24</v>
      </c>
      <c r="J425" s="15">
        <v>3083.84</v>
      </c>
      <c r="K425" s="15">
        <v>3355.54</v>
      </c>
      <c r="L425" s="15">
        <v>3081.02</v>
      </c>
      <c r="M425" s="15">
        <v>2922.86</v>
      </c>
      <c r="N425" s="15">
        <v>2837.01</v>
      </c>
      <c r="O425" t="s">
        <v>3028</v>
      </c>
    </row>
    <row r="426" spans="1:15" x14ac:dyDescent="0.25">
      <c r="A426" s="10" t="s">
        <v>972</v>
      </c>
      <c r="B426" s="15">
        <v>0</v>
      </c>
      <c r="C426" s="15">
        <v>0</v>
      </c>
      <c r="D426" s="15">
        <v>0</v>
      </c>
      <c r="E426" s="15">
        <v>1184.5</v>
      </c>
      <c r="F426" s="15">
        <v>1357.27</v>
      </c>
      <c r="G426" s="15">
        <v>1327.55</v>
      </c>
      <c r="H426" s="15">
        <v>1330.94</v>
      </c>
      <c r="I426" s="15">
        <v>1851.13</v>
      </c>
      <c r="J426" s="15">
        <v>1466.41</v>
      </c>
      <c r="K426" s="15">
        <v>1478.57</v>
      </c>
      <c r="L426" s="15">
        <v>1473.37</v>
      </c>
      <c r="M426" s="15">
        <v>1468.35</v>
      </c>
      <c r="N426" s="15">
        <v>1111.49</v>
      </c>
      <c r="O426" t="s">
        <v>3028</v>
      </c>
    </row>
    <row r="427" spans="1:15" x14ac:dyDescent="0.25">
      <c r="A427" s="10" t="s">
        <v>974</v>
      </c>
      <c r="B427" s="15">
        <v>2278.4</v>
      </c>
      <c r="C427" s="15">
        <v>2327.4499999999998</v>
      </c>
      <c r="D427" s="15">
        <v>2427.23</v>
      </c>
      <c r="E427" s="15">
        <v>2548.84</v>
      </c>
      <c r="F427" s="15">
        <v>3724.66</v>
      </c>
      <c r="G427" s="15">
        <v>1863.67</v>
      </c>
      <c r="H427" s="15">
        <v>2328.33</v>
      </c>
      <c r="I427" s="15">
        <v>3194.65</v>
      </c>
      <c r="J427" s="15">
        <v>2487.75</v>
      </c>
      <c r="K427" s="15">
        <v>2494.08</v>
      </c>
      <c r="L427" s="15">
        <v>3326.27</v>
      </c>
      <c r="M427" s="15">
        <v>2814.94</v>
      </c>
      <c r="N427" s="15">
        <v>2650.29</v>
      </c>
      <c r="O427" t="s">
        <v>3028</v>
      </c>
    </row>
    <row r="428" spans="1:15" x14ac:dyDescent="0.25">
      <c r="A428" s="10" t="s">
        <v>976</v>
      </c>
      <c r="B428" s="15">
        <v>12956.69</v>
      </c>
      <c r="C428" s="15">
        <v>12466.26</v>
      </c>
      <c r="D428" s="15">
        <v>12506.76</v>
      </c>
      <c r="E428" s="15">
        <v>29573.86</v>
      </c>
      <c r="F428" s="15">
        <v>78.8</v>
      </c>
      <c r="G428" s="15">
        <v>8542.8700000000008</v>
      </c>
      <c r="H428" s="15">
        <v>8542.8700000000008</v>
      </c>
      <c r="I428" s="15">
        <v>11059.6</v>
      </c>
      <c r="J428" s="15">
        <v>9381.7800000000007</v>
      </c>
      <c r="K428" s="15">
        <v>9381.7800000000007</v>
      </c>
      <c r="L428" s="15">
        <v>9381.7800000000007</v>
      </c>
      <c r="M428" s="15">
        <v>9381.7800000000007</v>
      </c>
      <c r="N428" s="15">
        <v>10871.83</v>
      </c>
      <c r="O428" t="s">
        <v>3028</v>
      </c>
    </row>
    <row r="429" spans="1:15" x14ac:dyDescent="0.25">
      <c r="A429" s="10" t="s">
        <v>978</v>
      </c>
      <c r="B429" s="15">
        <v>6265.1</v>
      </c>
      <c r="C429" s="15">
        <v>5156.04</v>
      </c>
      <c r="D429" s="15">
        <v>6611.66</v>
      </c>
      <c r="E429" s="15">
        <v>5123.6000000000004</v>
      </c>
      <c r="F429" s="15">
        <v>5132.22</v>
      </c>
      <c r="G429" s="15">
        <v>5054.1899999999996</v>
      </c>
      <c r="H429" s="15">
        <v>5282.56</v>
      </c>
      <c r="I429" s="15">
        <v>7982.69</v>
      </c>
      <c r="J429" s="15">
        <v>5807.28</v>
      </c>
      <c r="K429" s="15">
        <v>5843.34</v>
      </c>
      <c r="L429" s="15">
        <v>5545.22</v>
      </c>
      <c r="M429" s="15">
        <v>5598.16</v>
      </c>
      <c r="N429" s="15">
        <v>5897.22</v>
      </c>
      <c r="O429" t="s">
        <v>3028</v>
      </c>
    </row>
    <row r="430" spans="1:15" x14ac:dyDescent="0.25">
      <c r="A430" s="10" t="s">
        <v>980</v>
      </c>
      <c r="B430" s="15">
        <v>2181.83</v>
      </c>
      <c r="C430" s="15">
        <v>2104.15</v>
      </c>
      <c r="D430" s="15">
        <v>2110.37</v>
      </c>
      <c r="E430" s="15">
        <v>2104.15</v>
      </c>
      <c r="F430" s="15">
        <v>2115.17</v>
      </c>
      <c r="G430" s="15">
        <v>4920.1000000000004</v>
      </c>
      <c r="H430" s="15">
        <v>141.24</v>
      </c>
      <c r="I430" s="15">
        <v>2653.54</v>
      </c>
      <c r="J430" s="15">
        <v>2310.7800000000002</v>
      </c>
      <c r="K430" s="15">
        <v>2310.7800000000002</v>
      </c>
      <c r="L430" s="15">
        <v>2310.7800000000002</v>
      </c>
      <c r="M430" s="15">
        <v>2310.7800000000002</v>
      </c>
      <c r="N430" s="15">
        <v>2319.41</v>
      </c>
      <c r="O430" t="s">
        <v>3028</v>
      </c>
    </row>
    <row r="431" spans="1:15" x14ac:dyDescent="0.25">
      <c r="A431" s="10" t="s">
        <v>982</v>
      </c>
      <c r="B431" s="15">
        <v>0</v>
      </c>
      <c r="C431" s="15">
        <v>0</v>
      </c>
      <c r="D431" s="15">
        <v>1052.8900000000001</v>
      </c>
      <c r="E431" s="15">
        <v>1322.15</v>
      </c>
      <c r="F431" s="15">
        <v>1331.43</v>
      </c>
      <c r="G431" s="15">
        <v>227.52</v>
      </c>
      <c r="H431" s="15">
        <v>0</v>
      </c>
      <c r="I431" s="15">
        <v>0</v>
      </c>
      <c r="J431" s="15">
        <v>22.34</v>
      </c>
      <c r="K431" s="15">
        <v>0</v>
      </c>
      <c r="L431" s="15">
        <v>0</v>
      </c>
      <c r="M431" s="15">
        <v>0</v>
      </c>
      <c r="N431" s="15">
        <v>366.53</v>
      </c>
      <c r="O431" t="s">
        <v>3028</v>
      </c>
    </row>
    <row r="432" spans="1:15" x14ac:dyDescent="0.25">
      <c r="A432" s="10" t="s">
        <v>984</v>
      </c>
      <c r="B432" s="15">
        <v>1825.08</v>
      </c>
      <c r="C432" s="15">
        <v>1280.83</v>
      </c>
      <c r="D432" s="15">
        <v>1002.01</v>
      </c>
      <c r="E432" s="15">
        <v>0</v>
      </c>
      <c r="F432" s="15">
        <v>0</v>
      </c>
      <c r="G432" s="15">
        <v>0</v>
      </c>
      <c r="H432" s="15">
        <v>0</v>
      </c>
      <c r="I432" s="15">
        <v>0</v>
      </c>
      <c r="J432" s="15">
        <v>0</v>
      </c>
      <c r="K432" s="15">
        <v>0</v>
      </c>
      <c r="L432" s="15">
        <v>0</v>
      </c>
      <c r="M432" s="15">
        <v>0</v>
      </c>
      <c r="N432" s="15">
        <v>453.36</v>
      </c>
      <c r="O432" t="s">
        <v>3028</v>
      </c>
    </row>
    <row r="433" spans="1:15" x14ac:dyDescent="0.25">
      <c r="A433" s="10" t="s">
        <v>986</v>
      </c>
      <c r="B433" s="15">
        <v>2315.1799999999998</v>
      </c>
      <c r="C433" s="15">
        <v>2539.56</v>
      </c>
      <c r="D433" s="15">
        <v>2330.44</v>
      </c>
      <c r="E433" s="15">
        <v>2334.2399999999998</v>
      </c>
      <c r="F433" s="15">
        <v>3784.7</v>
      </c>
      <c r="G433" s="15">
        <v>1589.92</v>
      </c>
      <c r="H433" s="15">
        <v>2097.83</v>
      </c>
      <c r="I433" s="15">
        <v>2704.09</v>
      </c>
      <c r="J433" s="15">
        <v>2267.19</v>
      </c>
      <c r="K433" s="15">
        <v>2306.02</v>
      </c>
      <c r="L433" s="15">
        <v>2547.12</v>
      </c>
      <c r="M433" s="15">
        <v>2284.91</v>
      </c>
      <c r="N433" s="15">
        <v>2421.48</v>
      </c>
      <c r="O433" t="s">
        <v>3028</v>
      </c>
    </row>
    <row r="434" spans="1:15" x14ac:dyDescent="0.25">
      <c r="A434" s="10" t="s">
        <v>988</v>
      </c>
      <c r="B434" s="15">
        <v>0</v>
      </c>
      <c r="C434" s="15">
        <v>1184.5</v>
      </c>
      <c r="D434" s="15">
        <v>1345.2</v>
      </c>
      <c r="E434" s="15">
        <v>1396.63</v>
      </c>
      <c r="F434" s="15">
        <v>1355.54</v>
      </c>
      <c r="G434" s="15">
        <v>1558.48</v>
      </c>
      <c r="H434" s="15">
        <v>1359.96</v>
      </c>
      <c r="I434" s="15">
        <v>1779.12</v>
      </c>
      <c r="J434" s="15">
        <v>1644.52</v>
      </c>
      <c r="K434" s="15">
        <v>1663.32</v>
      </c>
      <c r="L434" s="15">
        <v>1485.36</v>
      </c>
      <c r="M434" s="15">
        <v>1483.22</v>
      </c>
      <c r="N434" s="15">
        <v>1411.94</v>
      </c>
      <c r="O434" t="s">
        <v>3028</v>
      </c>
    </row>
    <row r="435" spans="1:15" x14ac:dyDescent="0.25">
      <c r="A435" s="10" t="s">
        <v>990</v>
      </c>
      <c r="B435" s="15">
        <v>0</v>
      </c>
      <c r="C435" s="15">
        <v>0</v>
      </c>
      <c r="D435" s="15">
        <v>0</v>
      </c>
      <c r="E435" s="15">
        <v>0</v>
      </c>
      <c r="F435" s="15">
        <v>0</v>
      </c>
      <c r="G435" s="15">
        <v>0</v>
      </c>
      <c r="H435" s="15">
        <v>0</v>
      </c>
      <c r="I435" s="15">
        <v>0</v>
      </c>
      <c r="J435" s="15">
        <v>3275.65</v>
      </c>
      <c r="K435" s="15">
        <v>4224.63</v>
      </c>
      <c r="L435" s="15">
        <v>4299.53</v>
      </c>
      <c r="M435" s="15">
        <v>4180.93</v>
      </c>
      <c r="N435" s="15">
        <v>1405.14</v>
      </c>
      <c r="O435" t="s">
        <v>3028</v>
      </c>
    </row>
    <row r="436" spans="1:15" x14ac:dyDescent="0.25">
      <c r="A436" s="10" t="s">
        <v>992</v>
      </c>
      <c r="B436" s="15">
        <v>3030.95</v>
      </c>
      <c r="C436" s="15">
        <v>2757.35</v>
      </c>
      <c r="D436" s="15">
        <v>1565.54</v>
      </c>
      <c r="E436" s="15">
        <v>0</v>
      </c>
      <c r="F436" s="15">
        <v>0</v>
      </c>
      <c r="G436" s="15">
        <v>0</v>
      </c>
      <c r="H436" s="15">
        <v>0</v>
      </c>
      <c r="I436" s="15">
        <v>0</v>
      </c>
      <c r="J436" s="15">
        <v>0</v>
      </c>
      <c r="K436" s="15">
        <v>0</v>
      </c>
      <c r="L436" s="15">
        <v>0</v>
      </c>
      <c r="M436" s="15">
        <v>0</v>
      </c>
      <c r="N436" s="15">
        <v>968.41</v>
      </c>
      <c r="O436" t="s">
        <v>3028</v>
      </c>
    </row>
    <row r="437" spans="1:15" x14ac:dyDescent="0.25">
      <c r="A437" s="10" t="s">
        <v>994</v>
      </c>
      <c r="B437" s="15">
        <v>1344.91</v>
      </c>
      <c r="C437" s="15">
        <v>1363.52</v>
      </c>
      <c r="D437" s="15">
        <v>1382.15</v>
      </c>
      <c r="E437" s="15">
        <v>1356.45</v>
      </c>
      <c r="F437" s="15">
        <v>2238.41</v>
      </c>
      <c r="G437" s="15">
        <v>1333.78</v>
      </c>
      <c r="H437" s="15">
        <v>1825.39</v>
      </c>
      <c r="I437" s="15">
        <v>2667.25</v>
      </c>
      <c r="J437" s="15">
        <v>2344</v>
      </c>
      <c r="K437" s="15">
        <v>2550.27</v>
      </c>
      <c r="L437" s="15">
        <v>2144.67</v>
      </c>
      <c r="M437" s="15">
        <v>2053.0700000000002</v>
      </c>
      <c r="N437" s="15">
        <v>2155.98</v>
      </c>
      <c r="O437" t="s">
        <v>3028</v>
      </c>
    </row>
    <row r="438" spans="1:15" x14ac:dyDescent="0.25">
      <c r="A438" s="10" t="s">
        <v>996</v>
      </c>
      <c r="B438" s="15">
        <v>1354.17</v>
      </c>
      <c r="C438" s="15">
        <v>2982.38</v>
      </c>
      <c r="D438" s="15">
        <v>3232.01</v>
      </c>
      <c r="E438" s="15">
        <v>5885.41</v>
      </c>
      <c r="F438" s="15">
        <v>1088.55</v>
      </c>
      <c r="G438" s="15">
        <v>2848.4</v>
      </c>
      <c r="H438" s="15">
        <v>2888.3</v>
      </c>
      <c r="I438" s="15">
        <v>3745.87</v>
      </c>
      <c r="J438" s="15">
        <v>3266.36</v>
      </c>
      <c r="K438" s="15">
        <v>3194.79</v>
      </c>
      <c r="L438" s="15">
        <v>3165.84</v>
      </c>
      <c r="M438" s="15">
        <v>3164.84</v>
      </c>
      <c r="N438" s="15">
        <v>3185.21</v>
      </c>
      <c r="O438" t="s">
        <v>3028</v>
      </c>
    </row>
    <row r="439" spans="1:15" x14ac:dyDescent="0.25">
      <c r="A439" s="10" t="s">
        <v>998</v>
      </c>
      <c r="B439" s="15">
        <v>3891.54</v>
      </c>
      <c r="C439" s="15">
        <v>3595.02</v>
      </c>
      <c r="D439" s="15">
        <v>3595.02</v>
      </c>
      <c r="E439" s="15">
        <v>3595.02</v>
      </c>
      <c r="F439" s="15">
        <v>3595.02</v>
      </c>
      <c r="G439" s="15">
        <v>6873.34</v>
      </c>
      <c r="H439" s="15">
        <v>1198.3399999999999</v>
      </c>
      <c r="I439" s="15">
        <v>4739.5200000000004</v>
      </c>
      <c r="J439" s="15">
        <v>3948.05</v>
      </c>
      <c r="K439" s="15">
        <v>3948.05</v>
      </c>
      <c r="L439" s="15">
        <v>3948.05</v>
      </c>
      <c r="M439" s="15">
        <v>3948.05</v>
      </c>
      <c r="N439" s="15">
        <v>3974.64</v>
      </c>
      <c r="O439" t="s">
        <v>3028</v>
      </c>
    </row>
    <row r="440" spans="1:15" x14ac:dyDescent="0.25">
      <c r="A440" s="10" t="s">
        <v>1000</v>
      </c>
      <c r="B440" s="15">
        <v>0</v>
      </c>
      <c r="C440" s="15">
        <v>0</v>
      </c>
      <c r="D440" s="15">
        <v>0</v>
      </c>
      <c r="E440" s="15">
        <v>0</v>
      </c>
      <c r="F440" s="15">
        <v>0</v>
      </c>
      <c r="G440" s="15">
        <v>0</v>
      </c>
      <c r="H440" s="15">
        <v>0</v>
      </c>
      <c r="I440" s="15">
        <v>1108.0999999999999</v>
      </c>
      <c r="J440" s="15">
        <v>1465.75</v>
      </c>
      <c r="K440" s="15">
        <v>1495.18</v>
      </c>
      <c r="L440" s="15">
        <v>1480.71</v>
      </c>
      <c r="M440" s="15">
        <v>1492.51</v>
      </c>
      <c r="N440" s="15">
        <v>614.96</v>
      </c>
      <c r="O440" t="s">
        <v>3028</v>
      </c>
    </row>
    <row r="441" spans="1:15" x14ac:dyDescent="0.25">
      <c r="A441" s="10" t="s">
        <v>1002</v>
      </c>
      <c r="B441" s="15">
        <v>2157.8200000000002</v>
      </c>
      <c r="C441" s="15">
        <v>2116.16</v>
      </c>
      <c r="D441" s="15">
        <v>2046.81</v>
      </c>
      <c r="E441" s="15">
        <v>2067.42</v>
      </c>
      <c r="F441" s="15">
        <v>3194.35</v>
      </c>
      <c r="G441" s="15">
        <v>1493.89</v>
      </c>
      <c r="H441" s="15">
        <v>2108.29</v>
      </c>
      <c r="I441" s="15">
        <v>2847.03</v>
      </c>
      <c r="J441" s="15">
        <v>2187.7399999999998</v>
      </c>
      <c r="K441" s="15">
        <v>2322.5</v>
      </c>
      <c r="L441" s="15">
        <v>2284.2399999999998</v>
      </c>
      <c r="M441" s="15">
        <v>2312.5700000000002</v>
      </c>
      <c r="N441" s="15">
        <v>2234.8000000000002</v>
      </c>
      <c r="O441" t="s">
        <v>3028</v>
      </c>
    </row>
    <row r="442" spans="1:15" x14ac:dyDescent="0.25">
      <c r="A442" s="10" t="s">
        <v>1004</v>
      </c>
      <c r="B442" s="15">
        <v>2894.83</v>
      </c>
      <c r="C442" s="15">
        <v>2735.75</v>
      </c>
      <c r="D442" s="15">
        <v>2660.53</v>
      </c>
      <c r="E442" s="15">
        <v>4929.33</v>
      </c>
      <c r="F442" s="15">
        <v>1331.46</v>
      </c>
      <c r="G442" s="15">
        <v>2746.29</v>
      </c>
      <c r="H442" s="15">
        <v>2744.89</v>
      </c>
      <c r="I442" s="15">
        <v>3418.91</v>
      </c>
      <c r="J442" s="15">
        <v>2905.74</v>
      </c>
      <c r="K442" s="15">
        <v>2895.9</v>
      </c>
      <c r="L442" s="15">
        <v>2937.3</v>
      </c>
      <c r="M442" s="15">
        <v>2836.64</v>
      </c>
      <c r="N442" s="15">
        <v>2926.41</v>
      </c>
      <c r="O442" t="s">
        <v>3028</v>
      </c>
    </row>
    <row r="443" spans="1:15" x14ac:dyDescent="0.25">
      <c r="A443" s="10" t="s">
        <v>1006</v>
      </c>
      <c r="B443" s="15">
        <v>1806.76</v>
      </c>
      <c r="C443" s="15">
        <v>1929.91</v>
      </c>
      <c r="D443" s="15">
        <v>1826.08</v>
      </c>
      <c r="E443" s="15">
        <v>1819.01</v>
      </c>
      <c r="F443" s="15">
        <v>1946.35</v>
      </c>
      <c r="G443" s="15">
        <v>1830.34</v>
      </c>
      <c r="H443" s="15">
        <v>1848.17</v>
      </c>
      <c r="I443" s="15">
        <v>3284.1</v>
      </c>
      <c r="J443" s="15">
        <v>3258.83</v>
      </c>
      <c r="K443" s="15">
        <v>1826.1</v>
      </c>
      <c r="L443" s="15">
        <v>2154.19</v>
      </c>
      <c r="M443" s="15">
        <v>1995.08</v>
      </c>
      <c r="N443" s="15">
        <v>2136</v>
      </c>
      <c r="O443" t="s">
        <v>3028</v>
      </c>
    </row>
    <row r="444" spans="1:15" x14ac:dyDescent="0.25">
      <c r="A444" s="10" t="s">
        <v>1008</v>
      </c>
      <c r="B444" s="15">
        <v>2507.0100000000002</v>
      </c>
      <c r="C444" s="15">
        <v>2171.35</v>
      </c>
      <c r="D444" s="15">
        <v>4862.79</v>
      </c>
      <c r="E444" s="15">
        <v>460.62</v>
      </c>
      <c r="F444" s="15">
        <v>1820.64</v>
      </c>
      <c r="G444" s="15">
        <v>2036.41</v>
      </c>
      <c r="H444" s="15">
        <v>2388.4699999999998</v>
      </c>
      <c r="I444" s="15">
        <v>3239.6</v>
      </c>
      <c r="J444" s="15">
        <v>2456.92</v>
      </c>
      <c r="K444" s="15">
        <v>2636.74</v>
      </c>
      <c r="L444" s="15">
        <v>2521.4499999999998</v>
      </c>
      <c r="M444" s="15">
        <v>2208.4</v>
      </c>
      <c r="N444" s="15">
        <v>2450.5500000000002</v>
      </c>
      <c r="O444" t="s">
        <v>3028</v>
      </c>
    </row>
    <row r="445" spans="1:15" x14ac:dyDescent="0.25">
      <c r="A445" s="10" t="s">
        <v>1010</v>
      </c>
      <c r="B445" s="15">
        <v>3648.98</v>
      </c>
      <c r="C445" s="15">
        <v>2851.62</v>
      </c>
      <c r="D445" s="15">
        <v>2845.68</v>
      </c>
      <c r="E445" s="15">
        <v>2845.68</v>
      </c>
      <c r="F445" s="15">
        <v>2845.68</v>
      </c>
      <c r="G445" s="15">
        <v>5488.05</v>
      </c>
      <c r="H445" s="15">
        <v>948.56</v>
      </c>
      <c r="I445" s="15">
        <v>3756.12</v>
      </c>
      <c r="J445" s="15">
        <v>3125.13</v>
      </c>
      <c r="K445" s="15">
        <v>3160.85</v>
      </c>
      <c r="L445" s="15">
        <v>3125.13</v>
      </c>
      <c r="M445" s="15">
        <v>3133.94</v>
      </c>
      <c r="N445" s="15">
        <v>3206.12</v>
      </c>
      <c r="O445" t="s">
        <v>3028</v>
      </c>
    </row>
    <row r="446" spans="1:15" x14ac:dyDescent="0.25">
      <c r="A446" s="10" t="s">
        <v>1012</v>
      </c>
      <c r="B446" s="15">
        <v>1339.97</v>
      </c>
      <c r="C446" s="15">
        <v>1357.51</v>
      </c>
      <c r="D446" s="15">
        <v>1510.06</v>
      </c>
      <c r="E446" s="15">
        <v>1309.0999999999999</v>
      </c>
      <c r="F446" s="15">
        <v>1437.57</v>
      </c>
      <c r="G446" s="15">
        <v>1372.28</v>
      </c>
      <c r="H446" s="15">
        <v>1367.47</v>
      </c>
      <c r="I446" s="15">
        <v>1747.59</v>
      </c>
      <c r="J446" s="15">
        <v>1601.62</v>
      </c>
      <c r="K446" s="15">
        <v>1490.12</v>
      </c>
      <c r="L446" s="15">
        <v>529.96</v>
      </c>
      <c r="M446" s="15">
        <v>0</v>
      </c>
      <c r="N446" s="15">
        <v>1405.62</v>
      </c>
      <c r="O446" t="s">
        <v>3028</v>
      </c>
    </row>
    <row r="447" spans="1:15" x14ac:dyDescent="0.25">
      <c r="A447" s="10" t="s">
        <v>1014</v>
      </c>
      <c r="B447" s="15">
        <v>5183.72</v>
      </c>
      <c r="C447" s="15">
        <v>4936.5600000000004</v>
      </c>
      <c r="D447" s="15">
        <v>4946.8</v>
      </c>
      <c r="E447" s="15">
        <v>4923.4399999999996</v>
      </c>
      <c r="F447" s="15">
        <v>4834.18</v>
      </c>
      <c r="G447" s="15">
        <v>11693.43</v>
      </c>
      <c r="H447" s="15">
        <v>744.11</v>
      </c>
      <c r="I447" s="15">
        <v>5601.74</v>
      </c>
      <c r="J447" s="15">
        <v>5333</v>
      </c>
      <c r="K447" s="15">
        <v>5235.9799999999996</v>
      </c>
      <c r="L447" s="15">
        <v>4483.8900000000003</v>
      </c>
      <c r="M447" s="15">
        <v>4590.0200000000004</v>
      </c>
      <c r="N447" s="15">
        <v>5155.7</v>
      </c>
      <c r="O447" t="s">
        <v>3028</v>
      </c>
    </row>
    <row r="448" spans="1:15" x14ac:dyDescent="0.25">
      <c r="A448" s="10" t="s">
        <v>1016</v>
      </c>
      <c r="B448" s="15">
        <v>0</v>
      </c>
      <c r="C448" s="15">
        <v>0</v>
      </c>
      <c r="D448" s="15">
        <v>0</v>
      </c>
      <c r="E448" s="15">
        <v>0</v>
      </c>
      <c r="F448" s="15">
        <v>0</v>
      </c>
      <c r="G448" s="15">
        <v>0</v>
      </c>
      <c r="H448" s="15">
        <v>0</v>
      </c>
      <c r="I448" s="15">
        <v>1445.35</v>
      </c>
      <c r="J448" s="15">
        <v>1742.16</v>
      </c>
      <c r="K448" s="15">
        <v>1395.32</v>
      </c>
      <c r="L448" s="15">
        <v>1487.88</v>
      </c>
      <c r="M448" s="15">
        <v>1675.76</v>
      </c>
      <c r="N448" s="15">
        <v>645.54</v>
      </c>
      <c r="O448" t="s">
        <v>3028</v>
      </c>
    </row>
    <row r="449" spans="1:15" x14ac:dyDescent="0.25">
      <c r="A449" s="10" t="s">
        <v>1018</v>
      </c>
      <c r="B449" s="15">
        <v>2775.26</v>
      </c>
      <c r="C449" s="15">
        <v>2316.89</v>
      </c>
      <c r="D449" s="15">
        <v>2518.1999999999998</v>
      </c>
      <c r="E449" s="15">
        <v>7063.67</v>
      </c>
      <c r="F449" s="15">
        <v>215.02</v>
      </c>
      <c r="G449" s="15">
        <v>2334.2600000000002</v>
      </c>
      <c r="H449" s="15">
        <v>2372.8000000000002</v>
      </c>
      <c r="I449" s="15">
        <v>3146.26</v>
      </c>
      <c r="J449" s="15">
        <v>3596.94</v>
      </c>
      <c r="K449" s="15">
        <v>3296.95</v>
      </c>
      <c r="L449" s="15">
        <v>3236</v>
      </c>
      <c r="M449" s="15">
        <v>3120.48</v>
      </c>
      <c r="N449" s="15">
        <v>3290.2</v>
      </c>
      <c r="O449" t="s">
        <v>3028</v>
      </c>
    </row>
    <row r="450" spans="1:15" x14ac:dyDescent="0.25">
      <c r="A450" s="10" t="s">
        <v>1020</v>
      </c>
      <c r="B450" s="15">
        <v>4094.53</v>
      </c>
      <c r="C450" s="15">
        <v>3882.62</v>
      </c>
      <c r="D450" s="15">
        <v>3885.89</v>
      </c>
      <c r="E450" s="15">
        <v>3882.62</v>
      </c>
      <c r="F450" s="15">
        <v>3882.62</v>
      </c>
      <c r="G450" s="15">
        <v>6070.18</v>
      </c>
      <c r="H450" s="15">
        <v>3235.52</v>
      </c>
      <c r="I450" s="15">
        <v>5650.04</v>
      </c>
      <c r="J450" s="15">
        <v>4263.8900000000003</v>
      </c>
      <c r="K450" s="15">
        <v>4280.63</v>
      </c>
      <c r="L450" s="15">
        <v>4263.8900000000003</v>
      </c>
      <c r="M450" s="15">
        <v>4263.8900000000003</v>
      </c>
      <c r="N450" s="15">
        <v>4334.1000000000004</v>
      </c>
      <c r="O450" t="s">
        <v>3028</v>
      </c>
    </row>
    <row r="451" spans="1:15" x14ac:dyDescent="0.25">
      <c r="A451" s="10" t="s">
        <v>1022</v>
      </c>
      <c r="B451" s="15">
        <v>0</v>
      </c>
      <c r="C451" s="15">
        <v>6582.38</v>
      </c>
      <c r="D451" s="15">
        <v>6809.36</v>
      </c>
      <c r="E451" s="15">
        <v>6809.36</v>
      </c>
      <c r="F451" s="15">
        <v>6809.36</v>
      </c>
      <c r="G451" s="15">
        <v>6809.36</v>
      </c>
      <c r="H451" s="15">
        <v>6809.36</v>
      </c>
      <c r="I451" s="15">
        <v>8815.4</v>
      </c>
      <c r="J451" s="15">
        <v>7478.04</v>
      </c>
      <c r="K451" s="15">
        <v>7478.04</v>
      </c>
      <c r="L451" s="15">
        <v>7478.04</v>
      </c>
      <c r="M451" s="15">
        <v>30732.720000000001</v>
      </c>
      <c r="N451" s="15">
        <v>6854.87</v>
      </c>
      <c r="O451" t="s">
        <v>3028</v>
      </c>
    </row>
    <row r="452" spans="1:15" x14ac:dyDescent="0.25">
      <c r="A452" s="10" t="s">
        <v>1024</v>
      </c>
      <c r="B452" s="15">
        <v>275.88</v>
      </c>
      <c r="C452" s="15">
        <v>3862.28</v>
      </c>
      <c r="D452" s="15">
        <v>4138.16</v>
      </c>
      <c r="E452" s="15">
        <v>4138.16</v>
      </c>
      <c r="F452" s="15">
        <v>6483.12</v>
      </c>
      <c r="G452" s="15">
        <v>3172.59</v>
      </c>
      <c r="H452" s="15">
        <v>4138.16</v>
      </c>
      <c r="I452" s="15">
        <v>5388.88</v>
      </c>
      <c r="J452" s="15">
        <v>4544.53</v>
      </c>
      <c r="K452" s="15">
        <v>4544.53</v>
      </c>
      <c r="L452" s="15">
        <v>4544.53</v>
      </c>
      <c r="M452" s="15">
        <v>4544.53</v>
      </c>
      <c r="N452" s="15">
        <v>4544.53</v>
      </c>
      <c r="O452" t="s">
        <v>3028</v>
      </c>
    </row>
    <row r="453" spans="1:15" x14ac:dyDescent="0.25">
      <c r="A453" s="10" t="s">
        <v>1026</v>
      </c>
      <c r="B453" s="15">
        <v>2224.46</v>
      </c>
      <c r="C453" s="15">
        <v>2593.5300000000002</v>
      </c>
      <c r="D453" s="15">
        <v>1960.52</v>
      </c>
      <c r="E453" s="15">
        <v>2484.1999999999998</v>
      </c>
      <c r="F453" s="15">
        <v>2096.02</v>
      </c>
      <c r="G453" s="15">
        <v>2305.23</v>
      </c>
      <c r="H453" s="15">
        <v>2294.96</v>
      </c>
      <c r="I453" s="15">
        <v>2456.65</v>
      </c>
      <c r="J453" s="15">
        <v>5336.33</v>
      </c>
      <c r="K453" s="15">
        <v>1349.58</v>
      </c>
      <c r="L453" s="15">
        <v>2231.62</v>
      </c>
      <c r="M453" s="15">
        <v>2536.58</v>
      </c>
      <c r="N453" s="15">
        <v>2529.17</v>
      </c>
      <c r="O453" t="s">
        <v>3028</v>
      </c>
    </row>
    <row r="454" spans="1:15" x14ac:dyDescent="0.25">
      <c r="A454" s="10" t="s">
        <v>1028</v>
      </c>
      <c r="B454" s="15">
        <v>1803.14</v>
      </c>
      <c r="C454" s="15">
        <v>1860.15</v>
      </c>
      <c r="D454" s="15">
        <v>1854.37</v>
      </c>
      <c r="E454" s="15">
        <v>4327.8500000000004</v>
      </c>
      <c r="F454" s="15">
        <v>54.76</v>
      </c>
      <c r="G454" s="15">
        <v>1792.51</v>
      </c>
      <c r="H454" s="15">
        <v>1824.33</v>
      </c>
      <c r="I454" s="15">
        <v>2355.46</v>
      </c>
      <c r="J454" s="15">
        <v>2000.32</v>
      </c>
      <c r="K454" s="15">
        <v>1983.77</v>
      </c>
      <c r="L454" s="15">
        <v>1987.02</v>
      </c>
      <c r="M454" s="15">
        <v>2040.25</v>
      </c>
      <c r="N454" s="15">
        <v>2006.27</v>
      </c>
      <c r="O454" t="s">
        <v>3028</v>
      </c>
    </row>
    <row r="455" spans="1:15" x14ac:dyDescent="0.25">
      <c r="A455" s="10" t="s">
        <v>1030</v>
      </c>
      <c r="B455" s="15">
        <v>2559.5100000000002</v>
      </c>
      <c r="C455" s="15">
        <v>2261.38</v>
      </c>
      <c r="D455" s="15">
        <v>2036.33</v>
      </c>
      <c r="E455" s="15">
        <v>1856.8</v>
      </c>
      <c r="F455" s="15">
        <v>1895.26</v>
      </c>
      <c r="G455" s="15">
        <v>3526.59</v>
      </c>
      <c r="H455" s="15">
        <v>2334.5</v>
      </c>
      <c r="I455" s="15">
        <v>3445.3</v>
      </c>
      <c r="J455" s="15">
        <v>5378.47</v>
      </c>
      <c r="K455" s="15">
        <v>1018.12</v>
      </c>
      <c r="L455" s="15">
        <v>2784.05</v>
      </c>
      <c r="M455" s="15">
        <v>2917.87</v>
      </c>
      <c r="N455" s="15">
        <v>2858.07</v>
      </c>
      <c r="O455" t="s">
        <v>3028</v>
      </c>
    </row>
    <row r="456" spans="1:15" x14ac:dyDescent="0.25">
      <c r="A456" s="10" t="s">
        <v>1032</v>
      </c>
      <c r="B456" s="15">
        <v>5596.03</v>
      </c>
      <c r="C456" s="15">
        <v>5301.57</v>
      </c>
      <c r="D456" s="15">
        <v>5534.66</v>
      </c>
      <c r="E456" s="15">
        <v>6545.85</v>
      </c>
      <c r="F456" s="15">
        <v>4800.51</v>
      </c>
      <c r="G456" s="15">
        <v>4730.3999999999996</v>
      </c>
      <c r="H456" s="15">
        <v>4738.1400000000003</v>
      </c>
      <c r="I456" s="15">
        <v>6149.98</v>
      </c>
      <c r="J456" s="15">
        <v>5273.77</v>
      </c>
      <c r="K456" s="15">
        <v>5216.7</v>
      </c>
      <c r="L456" s="15">
        <v>5237.09</v>
      </c>
      <c r="M456" s="15">
        <v>5278.99</v>
      </c>
      <c r="N456" s="15">
        <v>5442.24</v>
      </c>
      <c r="O456" t="s">
        <v>3028</v>
      </c>
    </row>
    <row r="457" spans="1:15" x14ac:dyDescent="0.25">
      <c r="A457" s="10" t="s">
        <v>1034</v>
      </c>
      <c r="B457" s="15">
        <v>2706.28</v>
      </c>
      <c r="C457" s="15">
        <v>2616.73</v>
      </c>
      <c r="D457" s="15">
        <v>2760.64</v>
      </c>
      <c r="E457" s="15">
        <v>2779.53</v>
      </c>
      <c r="F457" s="15">
        <v>2632.07</v>
      </c>
      <c r="G457" s="15">
        <v>2627.09</v>
      </c>
      <c r="H457" s="15">
        <v>2694.1</v>
      </c>
      <c r="I457" s="15">
        <v>3439.72</v>
      </c>
      <c r="J457" s="15">
        <v>6045.07</v>
      </c>
      <c r="K457" s="15">
        <v>2471.34</v>
      </c>
      <c r="L457" s="15">
        <v>2563.83</v>
      </c>
      <c r="M457" s="15">
        <v>2446.1</v>
      </c>
      <c r="N457" s="15">
        <v>3382.72</v>
      </c>
      <c r="O457" t="s">
        <v>3028</v>
      </c>
    </row>
    <row r="458" spans="1:15" x14ac:dyDescent="0.25">
      <c r="A458" s="10" t="s">
        <v>1038</v>
      </c>
      <c r="B458" s="15">
        <v>2106.4499999999998</v>
      </c>
      <c r="C458" s="15">
        <v>3102.83</v>
      </c>
      <c r="D458" s="15">
        <v>4732.53</v>
      </c>
      <c r="E458" s="15">
        <v>4259</v>
      </c>
      <c r="F458" s="15">
        <v>3321.33</v>
      </c>
      <c r="G458" s="15">
        <v>3867.13</v>
      </c>
      <c r="H458" s="15">
        <v>5657.97</v>
      </c>
      <c r="I458" s="15">
        <v>3649.05</v>
      </c>
      <c r="J458" s="15">
        <v>3967.39</v>
      </c>
      <c r="K458" s="15">
        <v>4061.02</v>
      </c>
      <c r="L458" s="15">
        <v>4150.13</v>
      </c>
      <c r="M458" s="15">
        <v>3865.47</v>
      </c>
      <c r="N458" s="15">
        <v>4112.76</v>
      </c>
      <c r="O458" t="s">
        <v>3028</v>
      </c>
    </row>
    <row r="459" spans="1:15" x14ac:dyDescent="0.25">
      <c r="A459" s="10" t="s">
        <v>1040</v>
      </c>
      <c r="B459" s="15">
        <v>2105.9499999999998</v>
      </c>
      <c r="C459" s="15">
        <v>2201.5700000000002</v>
      </c>
      <c r="D459" s="15">
        <v>2285.06</v>
      </c>
      <c r="E459" s="15">
        <v>2207.7199999999998</v>
      </c>
      <c r="F459" s="15">
        <v>1990.29</v>
      </c>
      <c r="G459" s="15">
        <v>2249.14</v>
      </c>
      <c r="H459" s="15">
        <v>3783.97</v>
      </c>
      <c r="I459" s="15">
        <v>2394.83</v>
      </c>
      <c r="J459" s="15">
        <v>2342.75</v>
      </c>
      <c r="K459" s="15">
        <v>2513.0500000000002</v>
      </c>
      <c r="L459" s="15">
        <v>2329.31</v>
      </c>
      <c r="M459" s="15">
        <v>2430.52</v>
      </c>
      <c r="N459" s="15">
        <v>2395.86</v>
      </c>
      <c r="O459" t="s">
        <v>3028</v>
      </c>
    </row>
    <row r="460" spans="1:15" x14ac:dyDescent="0.25">
      <c r="A460" s="10" t="s">
        <v>1042</v>
      </c>
      <c r="B460" s="15">
        <v>3166.1</v>
      </c>
      <c r="C460" s="15">
        <v>3322.06</v>
      </c>
      <c r="D460" s="15">
        <v>3175.25</v>
      </c>
      <c r="E460" s="15">
        <v>2981.97</v>
      </c>
      <c r="F460" s="15">
        <v>6032.69</v>
      </c>
      <c r="G460" s="15">
        <v>43.7</v>
      </c>
      <c r="H460" s="15">
        <v>2568.12</v>
      </c>
      <c r="I460" s="15">
        <v>3248.94</v>
      </c>
      <c r="J460" s="15">
        <v>2654.62</v>
      </c>
      <c r="K460" s="15">
        <v>2652.3</v>
      </c>
      <c r="L460" s="15">
        <v>2899.17</v>
      </c>
      <c r="M460" s="15">
        <v>2725.26</v>
      </c>
      <c r="N460" s="15">
        <v>2964.35</v>
      </c>
      <c r="O460" t="s">
        <v>3028</v>
      </c>
    </row>
    <row r="461" spans="1:15" x14ac:dyDescent="0.25">
      <c r="A461" s="10" t="s">
        <v>1047</v>
      </c>
      <c r="B461" s="15">
        <v>1318.76</v>
      </c>
      <c r="C461" s="15">
        <v>1309.75</v>
      </c>
      <c r="D461" s="15">
        <v>1310.5999999999999</v>
      </c>
      <c r="E461" s="15">
        <v>1307.53</v>
      </c>
      <c r="F461" s="15">
        <v>1310.01</v>
      </c>
      <c r="G461" s="15">
        <v>1310.18</v>
      </c>
      <c r="H461" s="15">
        <v>1310.43</v>
      </c>
      <c r="I461" s="15">
        <v>1306.46</v>
      </c>
      <c r="J461" s="15">
        <v>3063.64</v>
      </c>
      <c r="K461" s="15">
        <v>350.61</v>
      </c>
      <c r="L461" s="15">
        <v>1379.33</v>
      </c>
      <c r="M461" s="15">
        <v>1431.4</v>
      </c>
      <c r="N461" s="15">
        <v>1435.87</v>
      </c>
      <c r="O461" t="s">
        <v>3028</v>
      </c>
    </row>
    <row r="462" spans="1:15" x14ac:dyDescent="0.25">
      <c r="A462" s="10" t="s">
        <v>1049</v>
      </c>
      <c r="B462" s="15">
        <v>4866.1400000000003</v>
      </c>
      <c r="C462" s="15">
        <v>11014.48</v>
      </c>
      <c r="D462" s="15">
        <v>243.99</v>
      </c>
      <c r="E462" s="15">
        <v>4633.82</v>
      </c>
      <c r="F462" s="15">
        <v>4674.07</v>
      </c>
      <c r="G462" s="15">
        <v>4637.2700000000004</v>
      </c>
      <c r="H462" s="15">
        <v>4620.5</v>
      </c>
      <c r="I462" s="15">
        <v>5994.28</v>
      </c>
      <c r="J462" s="15">
        <v>5654.66</v>
      </c>
      <c r="K462" s="15">
        <v>5093.21</v>
      </c>
      <c r="L462" s="15">
        <v>5134.6099999999997</v>
      </c>
      <c r="M462" s="15">
        <v>5114.3500000000004</v>
      </c>
      <c r="N462" s="15">
        <v>5178.7700000000004</v>
      </c>
      <c r="O462" t="s">
        <v>3028</v>
      </c>
    </row>
    <row r="463" spans="1:15" x14ac:dyDescent="0.25">
      <c r="A463" s="10" t="s">
        <v>1051</v>
      </c>
      <c r="B463" s="15">
        <v>0</v>
      </c>
      <c r="C463" s="15">
        <v>0</v>
      </c>
      <c r="D463" s="15">
        <v>0</v>
      </c>
      <c r="E463" s="15">
        <v>0</v>
      </c>
      <c r="F463" s="15">
        <v>0</v>
      </c>
      <c r="G463" s="15">
        <v>0</v>
      </c>
      <c r="H463" s="15">
        <v>2096.41</v>
      </c>
      <c r="I463" s="15">
        <v>2776.64</v>
      </c>
      <c r="J463" s="15">
        <v>2586.13</v>
      </c>
      <c r="K463" s="15">
        <v>2585.54</v>
      </c>
      <c r="L463" s="15">
        <v>2601.46</v>
      </c>
      <c r="M463" s="15">
        <v>3139.51</v>
      </c>
      <c r="N463" s="15">
        <v>1338.09</v>
      </c>
      <c r="O463" t="s">
        <v>3028</v>
      </c>
    </row>
    <row r="464" spans="1:15" x14ac:dyDescent="0.25">
      <c r="A464" s="10" t="s">
        <v>1053</v>
      </c>
      <c r="B464" s="15">
        <v>2292.44</v>
      </c>
      <c r="C464" s="15">
        <v>2236.02</v>
      </c>
      <c r="D464" s="15">
        <v>2206.0300000000002</v>
      </c>
      <c r="E464" s="15">
        <v>0</v>
      </c>
      <c r="F464" s="15">
        <v>0</v>
      </c>
      <c r="G464" s="15">
        <v>0</v>
      </c>
      <c r="H464" s="15">
        <v>2056.31</v>
      </c>
      <c r="I464" s="15">
        <v>2624.87</v>
      </c>
      <c r="J464" s="15">
        <v>2582.86</v>
      </c>
      <c r="K464" s="15">
        <v>2486.69</v>
      </c>
      <c r="L464" s="15">
        <v>2611.4899999999998</v>
      </c>
      <c r="M464" s="15">
        <v>3620.57</v>
      </c>
      <c r="N464" s="15">
        <v>1803.41</v>
      </c>
      <c r="O464" t="s">
        <v>3028</v>
      </c>
    </row>
    <row r="465" spans="1:15" x14ac:dyDescent="0.25">
      <c r="A465" s="10" t="s">
        <v>1057</v>
      </c>
      <c r="B465" s="15">
        <v>2588.4699999999998</v>
      </c>
      <c r="C465" s="15">
        <v>2846.32</v>
      </c>
      <c r="D465" s="15">
        <v>5823.86</v>
      </c>
      <c r="E465" s="15">
        <v>491.84</v>
      </c>
      <c r="F465" s="15">
        <v>1910.26</v>
      </c>
      <c r="G465" s="15">
        <v>2346.59</v>
      </c>
      <c r="H465" s="15">
        <v>2199.5100000000002</v>
      </c>
      <c r="I465" s="15">
        <v>3020.81</v>
      </c>
      <c r="J465" s="15">
        <v>2374.1</v>
      </c>
      <c r="K465" s="15">
        <v>2583.4899999999998</v>
      </c>
      <c r="L465" s="15">
        <v>3155.21</v>
      </c>
      <c r="M465" s="15">
        <v>3123.15</v>
      </c>
      <c r="N465" s="15">
        <v>2707.01</v>
      </c>
      <c r="O465" t="s">
        <v>3028</v>
      </c>
    </row>
    <row r="466" spans="1:15" x14ac:dyDescent="0.25">
      <c r="A466" s="10" t="s">
        <v>1059</v>
      </c>
      <c r="B466" s="15">
        <v>1315.71</v>
      </c>
      <c r="C466" s="15">
        <v>1316.73</v>
      </c>
      <c r="D466" s="15">
        <v>1301.75</v>
      </c>
      <c r="E466" s="15">
        <v>1304.68</v>
      </c>
      <c r="F466" s="15">
        <v>1301.2</v>
      </c>
      <c r="G466" s="15">
        <v>1313</v>
      </c>
      <c r="H466" s="15">
        <v>1307.32</v>
      </c>
      <c r="I466" s="15">
        <v>1300</v>
      </c>
      <c r="J466" s="15">
        <v>260</v>
      </c>
      <c r="K466" s="15">
        <v>0</v>
      </c>
      <c r="L466" s="15">
        <v>0</v>
      </c>
      <c r="M466" s="15">
        <v>0</v>
      </c>
      <c r="N466" s="15">
        <v>980.05</v>
      </c>
      <c r="O466" t="s">
        <v>3028</v>
      </c>
    </row>
    <row r="467" spans="1:15" x14ac:dyDescent="0.25">
      <c r="A467" s="10" t="s">
        <v>1061</v>
      </c>
      <c r="B467" s="15">
        <v>2830.39</v>
      </c>
      <c r="C467" s="15">
        <v>2189.4899999999998</v>
      </c>
      <c r="D467" s="15">
        <v>2633.56</v>
      </c>
      <c r="E467" s="15">
        <v>4825.1499999999996</v>
      </c>
      <c r="F467" s="15">
        <v>1150.1500000000001</v>
      </c>
      <c r="G467" s="15">
        <v>2726.33</v>
      </c>
      <c r="H467" s="15">
        <v>2750.62</v>
      </c>
      <c r="I467" s="15">
        <v>3556.27</v>
      </c>
      <c r="J467" s="15">
        <v>3026.34</v>
      </c>
      <c r="K467" s="15">
        <v>2963.28</v>
      </c>
      <c r="L467" s="15">
        <v>3049.7</v>
      </c>
      <c r="M467" s="15">
        <v>3050.37</v>
      </c>
      <c r="N467" s="15">
        <v>2915.93</v>
      </c>
      <c r="O467" t="s">
        <v>3028</v>
      </c>
    </row>
    <row r="468" spans="1:15" x14ac:dyDescent="0.25">
      <c r="A468" s="10" t="s">
        <v>1063</v>
      </c>
      <c r="B468" s="15">
        <v>0</v>
      </c>
      <c r="C468" s="15">
        <v>0</v>
      </c>
      <c r="D468" s="15">
        <v>0</v>
      </c>
      <c r="E468" s="15">
        <v>0</v>
      </c>
      <c r="F468" s="15">
        <v>0</v>
      </c>
      <c r="G468" s="15">
        <v>0</v>
      </c>
      <c r="H468" s="15">
        <v>0</v>
      </c>
      <c r="I468" s="15">
        <v>0</v>
      </c>
      <c r="J468" s="15">
        <v>1252.6400000000001</v>
      </c>
      <c r="K468" s="15">
        <v>1533.67</v>
      </c>
      <c r="L468" s="15">
        <v>1486.58</v>
      </c>
      <c r="M468" s="15">
        <v>1483.69</v>
      </c>
      <c r="N468" s="15">
        <v>495.97</v>
      </c>
      <c r="O468" t="s">
        <v>3028</v>
      </c>
    </row>
    <row r="469" spans="1:15" x14ac:dyDescent="0.25">
      <c r="A469" s="10" t="s">
        <v>1065</v>
      </c>
      <c r="B469" s="15">
        <v>1387.95</v>
      </c>
      <c r="C469" s="15">
        <v>1301.93</v>
      </c>
      <c r="D469" s="15">
        <v>170.95</v>
      </c>
      <c r="E469" s="15">
        <v>0</v>
      </c>
      <c r="F469" s="15">
        <v>0</v>
      </c>
      <c r="G469" s="15">
        <v>0</v>
      </c>
      <c r="H469" s="15">
        <v>0</v>
      </c>
      <c r="I469" s="15">
        <v>0</v>
      </c>
      <c r="J469" s="15">
        <v>0</v>
      </c>
      <c r="K469" s="15">
        <v>0</v>
      </c>
      <c r="L469" s="15">
        <v>0</v>
      </c>
      <c r="M469" s="15">
        <v>0</v>
      </c>
      <c r="N469" s="15">
        <v>338.75</v>
      </c>
      <c r="O469" t="s">
        <v>3028</v>
      </c>
    </row>
    <row r="470" spans="1:15" x14ac:dyDescent="0.25">
      <c r="A470" s="10" t="s">
        <v>1067</v>
      </c>
      <c r="B470" s="15">
        <v>4814.76</v>
      </c>
      <c r="C470" s="15">
        <v>1268.73</v>
      </c>
      <c r="D470" s="15">
        <v>1423.24</v>
      </c>
      <c r="E470" s="15">
        <v>0</v>
      </c>
      <c r="F470" s="15">
        <v>0</v>
      </c>
      <c r="G470" s="15">
        <v>0</v>
      </c>
      <c r="H470" s="15">
        <v>0</v>
      </c>
      <c r="I470" s="15">
        <v>0</v>
      </c>
      <c r="J470" s="15">
        <v>0</v>
      </c>
      <c r="K470" s="15">
        <v>0</v>
      </c>
      <c r="L470" s="15">
        <v>0</v>
      </c>
      <c r="M470" s="15">
        <v>0</v>
      </c>
      <c r="N470" s="15">
        <v>783.43</v>
      </c>
      <c r="O470" t="s">
        <v>3028</v>
      </c>
    </row>
    <row r="471" spans="1:15" x14ac:dyDescent="0.25">
      <c r="A471" s="10" t="s">
        <v>1069</v>
      </c>
      <c r="B471" s="15">
        <v>3205.66</v>
      </c>
      <c r="C471" s="15">
        <v>3135.09</v>
      </c>
      <c r="D471" s="15">
        <v>3082.98</v>
      </c>
      <c r="E471" s="15">
        <v>3143.76</v>
      </c>
      <c r="F471" s="15">
        <v>2994.5</v>
      </c>
      <c r="G471" s="15">
        <v>3233.87</v>
      </c>
      <c r="H471" s="15">
        <v>3117.51</v>
      </c>
      <c r="I471" s="15">
        <v>4010.48</v>
      </c>
      <c r="J471" s="15">
        <v>3372.44</v>
      </c>
      <c r="K471" s="15">
        <v>3453.24</v>
      </c>
      <c r="L471" s="15">
        <v>6776.33</v>
      </c>
      <c r="M471" s="15">
        <v>1323.42</v>
      </c>
      <c r="N471" s="15">
        <v>3363.26</v>
      </c>
      <c r="O471" t="s">
        <v>3028</v>
      </c>
    </row>
    <row r="472" spans="1:15" x14ac:dyDescent="0.25">
      <c r="A472" s="10" t="s">
        <v>1071</v>
      </c>
      <c r="B472" s="15">
        <v>1194.3900000000001</v>
      </c>
      <c r="C472" s="15">
        <v>1467.42</v>
      </c>
      <c r="D472" s="15">
        <v>1834.95</v>
      </c>
      <c r="E472" s="15">
        <v>1364.7</v>
      </c>
      <c r="F472" s="15">
        <v>1347.38</v>
      </c>
      <c r="G472" s="15">
        <v>1562.49</v>
      </c>
      <c r="H472" s="15">
        <v>1336.99</v>
      </c>
      <c r="I472" s="15">
        <v>2344.39</v>
      </c>
      <c r="J472" s="15">
        <v>1958.45</v>
      </c>
      <c r="K472" s="15">
        <v>1943.45</v>
      </c>
      <c r="L472" s="15">
        <v>2753.35</v>
      </c>
      <c r="M472" s="15">
        <v>3106.33</v>
      </c>
      <c r="N472" s="15">
        <v>2344.9899999999998</v>
      </c>
      <c r="O472" t="s">
        <v>3028</v>
      </c>
    </row>
    <row r="473" spans="1:15" x14ac:dyDescent="0.25">
      <c r="A473" s="10" t="s">
        <v>1073</v>
      </c>
      <c r="B473" s="15">
        <v>3134.56</v>
      </c>
      <c r="C473" s="15">
        <v>3227.95</v>
      </c>
      <c r="D473" s="15">
        <v>3417.22</v>
      </c>
      <c r="E473" s="15">
        <v>2858.86</v>
      </c>
      <c r="F473" s="15">
        <v>2956.29</v>
      </c>
      <c r="G473" s="15">
        <v>3115.68</v>
      </c>
      <c r="H473" s="15">
        <v>2794.59</v>
      </c>
      <c r="I473" s="15">
        <v>4106.97</v>
      </c>
      <c r="J473" s="15">
        <v>6427.22</v>
      </c>
      <c r="K473" s="15">
        <v>2373.39</v>
      </c>
      <c r="L473" s="15">
        <v>3732.18</v>
      </c>
      <c r="M473" s="15">
        <v>3226.22</v>
      </c>
      <c r="N473" s="15">
        <v>3458.81</v>
      </c>
      <c r="O473" t="s">
        <v>3028</v>
      </c>
    </row>
    <row r="474" spans="1:15" x14ac:dyDescent="0.25">
      <c r="A474" s="10" t="s">
        <v>1075</v>
      </c>
      <c r="B474" s="15">
        <v>5667.18</v>
      </c>
      <c r="C474" s="15">
        <v>5913</v>
      </c>
      <c r="D474" s="15">
        <v>5913</v>
      </c>
      <c r="E474" s="15">
        <v>5913</v>
      </c>
      <c r="F474" s="15">
        <v>5934.16</v>
      </c>
      <c r="G474" s="15">
        <v>6064.26</v>
      </c>
      <c r="H474" s="15">
        <v>5913</v>
      </c>
      <c r="I474" s="15">
        <v>8418.56</v>
      </c>
      <c r="J474" s="15">
        <v>6493.66</v>
      </c>
      <c r="K474" s="15">
        <v>6493.66</v>
      </c>
      <c r="L474" s="15">
        <v>6493.66</v>
      </c>
      <c r="M474" s="15">
        <v>9518.33</v>
      </c>
      <c r="N474" s="15">
        <v>6709.86</v>
      </c>
      <c r="O474" t="s">
        <v>3028</v>
      </c>
    </row>
    <row r="475" spans="1:15" x14ac:dyDescent="0.25">
      <c r="A475" s="10" t="s">
        <v>1077</v>
      </c>
      <c r="B475" s="15">
        <v>1895.47</v>
      </c>
      <c r="C475" s="15">
        <v>2218.2600000000002</v>
      </c>
      <c r="D475" s="15">
        <v>1931.8</v>
      </c>
      <c r="E475" s="15">
        <v>1836.28</v>
      </c>
      <c r="F475" s="15">
        <v>1601.62</v>
      </c>
      <c r="G475" s="15">
        <v>1835.4</v>
      </c>
      <c r="H475" s="15">
        <v>606.86</v>
      </c>
      <c r="I475" s="15">
        <v>0</v>
      </c>
      <c r="J475" s="15">
        <v>0</v>
      </c>
      <c r="K475" s="15">
        <v>0</v>
      </c>
      <c r="L475" s="15">
        <v>0</v>
      </c>
      <c r="M475" s="15">
        <v>0</v>
      </c>
      <c r="N475" s="15">
        <v>1137.3499999999999</v>
      </c>
      <c r="O475" t="s">
        <v>3028</v>
      </c>
    </row>
    <row r="476" spans="1:15" x14ac:dyDescent="0.25">
      <c r="A476" s="10" t="s">
        <v>1079</v>
      </c>
      <c r="B476" s="15">
        <v>2371.75</v>
      </c>
      <c r="C476" s="15">
        <v>2316.92</v>
      </c>
      <c r="D476" s="15">
        <v>1848.77</v>
      </c>
      <c r="E476" s="15">
        <v>3712.22</v>
      </c>
      <c r="F476" s="15">
        <v>625.92999999999995</v>
      </c>
      <c r="G476" s="15">
        <v>1796.61</v>
      </c>
      <c r="H476" s="15">
        <v>1790.23</v>
      </c>
      <c r="I476" s="15">
        <v>2556.4299999999998</v>
      </c>
      <c r="J476" s="15">
        <v>1981.98</v>
      </c>
      <c r="K476" s="15">
        <v>1992.24</v>
      </c>
      <c r="L476" s="15">
        <v>2008.16</v>
      </c>
      <c r="M476" s="15">
        <v>1965.51</v>
      </c>
      <c r="N476" s="15">
        <v>2062.52</v>
      </c>
      <c r="O476" t="s">
        <v>3028</v>
      </c>
    </row>
    <row r="477" spans="1:15" x14ac:dyDescent="0.25">
      <c r="A477" s="10" t="s">
        <v>1081</v>
      </c>
      <c r="B477" s="15">
        <v>2955.38</v>
      </c>
      <c r="C477" s="15">
        <v>2768.95</v>
      </c>
      <c r="D477" s="15">
        <v>2766.88</v>
      </c>
      <c r="E477" s="15">
        <v>5546.11</v>
      </c>
      <c r="F477" s="15">
        <v>1165.33</v>
      </c>
      <c r="G477" s="15">
        <v>2957.2</v>
      </c>
      <c r="H477" s="15">
        <v>2957.48</v>
      </c>
      <c r="I477" s="15">
        <v>3828.42</v>
      </c>
      <c r="J477" s="15">
        <v>6188.97</v>
      </c>
      <c r="K477" s="15">
        <v>1125.05</v>
      </c>
      <c r="L477" s="15">
        <v>3334</v>
      </c>
      <c r="M477" s="15">
        <v>3298.68</v>
      </c>
      <c r="N477" s="15">
        <v>3281.89</v>
      </c>
      <c r="O477" t="s">
        <v>3028</v>
      </c>
    </row>
    <row r="478" spans="1:15" x14ac:dyDescent="0.25">
      <c r="A478" s="10" t="s">
        <v>1083</v>
      </c>
      <c r="B478" s="15">
        <v>1119.3900000000001</v>
      </c>
      <c r="C478" s="15">
        <v>1303.46</v>
      </c>
      <c r="D478" s="15">
        <v>1305.82</v>
      </c>
      <c r="E478" s="15">
        <v>1308.82</v>
      </c>
      <c r="F478" s="15">
        <v>1303.1300000000001</v>
      </c>
      <c r="G478" s="15">
        <v>1304.79</v>
      </c>
      <c r="H478" s="15">
        <v>1303.26</v>
      </c>
      <c r="I478" s="15">
        <v>1300</v>
      </c>
      <c r="J478" s="15">
        <v>1305.3499999999999</v>
      </c>
      <c r="K478" s="15">
        <v>1624.68</v>
      </c>
      <c r="L478" s="15">
        <v>1426.42</v>
      </c>
      <c r="M478" s="15">
        <v>1427.26</v>
      </c>
      <c r="N478" s="15">
        <v>1434.84</v>
      </c>
      <c r="O478" t="s">
        <v>3028</v>
      </c>
    </row>
    <row r="479" spans="1:15" x14ac:dyDescent="0.25">
      <c r="A479" s="10" t="s">
        <v>1085</v>
      </c>
      <c r="B479" s="15">
        <v>1743.81</v>
      </c>
      <c r="C479" s="15">
        <v>1809.93</v>
      </c>
      <c r="D479" s="15">
        <v>1800.45</v>
      </c>
      <c r="E479" s="15">
        <v>1807.67</v>
      </c>
      <c r="F479" s="15">
        <v>1799.26</v>
      </c>
      <c r="G479" s="15">
        <v>2890.93</v>
      </c>
      <c r="H479" s="15">
        <v>1402.75</v>
      </c>
      <c r="I479" s="15">
        <v>1756.68</v>
      </c>
      <c r="J479" s="15">
        <v>1765.53</v>
      </c>
      <c r="K479" s="15">
        <v>1968.97</v>
      </c>
      <c r="L479" s="15">
        <v>1753.49</v>
      </c>
      <c r="M479" s="15">
        <v>2147.2600000000002</v>
      </c>
      <c r="N479" s="15">
        <v>1925.48</v>
      </c>
      <c r="O479" t="s">
        <v>3028</v>
      </c>
    </row>
    <row r="480" spans="1:15" x14ac:dyDescent="0.25">
      <c r="A480" s="10" t="s">
        <v>1087</v>
      </c>
      <c r="B480" s="15">
        <v>2152.29</v>
      </c>
      <c r="C480" s="15">
        <v>2252.6799999999998</v>
      </c>
      <c r="D480" s="15">
        <v>2222.6999999999998</v>
      </c>
      <c r="E480" s="15">
        <v>2169.85</v>
      </c>
      <c r="F480" s="15">
        <v>263.05</v>
      </c>
      <c r="G480" s="15">
        <v>0</v>
      </c>
      <c r="H480" s="15">
        <v>0</v>
      </c>
      <c r="I480" s="15">
        <v>0</v>
      </c>
      <c r="J480" s="15">
        <v>0</v>
      </c>
      <c r="K480" s="15">
        <v>0</v>
      </c>
      <c r="L480" s="15">
        <v>0</v>
      </c>
      <c r="M480" s="15">
        <v>0</v>
      </c>
      <c r="N480" s="15">
        <v>865</v>
      </c>
      <c r="O480" t="s">
        <v>3028</v>
      </c>
    </row>
    <row r="481" spans="1:15" x14ac:dyDescent="0.25">
      <c r="A481" s="10" t="s">
        <v>1089</v>
      </c>
      <c r="B481" s="15">
        <v>1822.69</v>
      </c>
      <c r="C481" s="15">
        <v>1818.99</v>
      </c>
      <c r="D481" s="15">
        <v>1819.3</v>
      </c>
      <c r="E481" s="15">
        <v>1834.11</v>
      </c>
      <c r="F481" s="15">
        <v>3028.24</v>
      </c>
      <c r="G481" s="15">
        <v>1482.03</v>
      </c>
      <c r="H481" s="15">
        <v>2186.42</v>
      </c>
      <c r="I481" s="15">
        <v>2474.8000000000002</v>
      </c>
      <c r="J481" s="15">
        <v>1987.62</v>
      </c>
      <c r="K481" s="15">
        <v>2147.39</v>
      </c>
      <c r="L481" s="15">
        <v>2177.37</v>
      </c>
      <c r="M481" s="15">
        <v>1984.06</v>
      </c>
      <c r="N481" s="15">
        <v>2066.9699999999998</v>
      </c>
      <c r="O481" t="s">
        <v>3028</v>
      </c>
    </row>
    <row r="482" spans="1:15" x14ac:dyDescent="0.25">
      <c r="A482" s="10" t="s">
        <v>1091</v>
      </c>
      <c r="B482" s="15">
        <v>4225</v>
      </c>
      <c r="C482" s="15">
        <v>4038.64</v>
      </c>
      <c r="D482" s="15">
        <v>4022.87</v>
      </c>
      <c r="E482" s="15">
        <v>4024.83</v>
      </c>
      <c r="F482" s="15">
        <v>4600.96</v>
      </c>
      <c r="G482" s="15">
        <v>4436.71</v>
      </c>
      <c r="H482" s="15">
        <v>9856.01</v>
      </c>
      <c r="I482" s="15">
        <v>1425.1</v>
      </c>
      <c r="J482" s="15">
        <v>4591.82</v>
      </c>
      <c r="K482" s="15">
        <v>4698.6099999999997</v>
      </c>
      <c r="L482" s="15">
        <v>4694.09</v>
      </c>
      <c r="M482" s="15">
        <v>4508.42</v>
      </c>
      <c r="N482" s="15">
        <v>4605.3999999999996</v>
      </c>
      <c r="O482" t="s">
        <v>3028</v>
      </c>
    </row>
    <row r="483" spans="1:15" x14ac:dyDescent="0.25">
      <c r="A483" s="10" t="s">
        <v>1093</v>
      </c>
      <c r="B483" s="15">
        <v>2325.71</v>
      </c>
      <c r="C483" s="15">
        <v>2731.54</v>
      </c>
      <c r="D483" s="15">
        <v>2577.19</v>
      </c>
      <c r="E483" s="15">
        <v>2580.1</v>
      </c>
      <c r="F483" s="15">
        <v>1963.41</v>
      </c>
      <c r="G483" s="15">
        <v>1865.4</v>
      </c>
      <c r="H483" s="15">
        <v>2317.1999999999998</v>
      </c>
      <c r="I483" s="15">
        <v>2387.8200000000002</v>
      </c>
      <c r="J483" s="15">
        <v>3656.69</v>
      </c>
      <c r="K483" s="15">
        <v>2376.63</v>
      </c>
      <c r="L483" s="15">
        <v>2818.14</v>
      </c>
      <c r="M483" s="15">
        <v>2668.82</v>
      </c>
      <c r="N483" s="15">
        <v>2551.98</v>
      </c>
      <c r="O483" t="s">
        <v>3028</v>
      </c>
    </row>
    <row r="484" spans="1:15" x14ac:dyDescent="0.25">
      <c r="A484" s="10" t="s">
        <v>1095</v>
      </c>
      <c r="B484" s="15">
        <v>2766.25</v>
      </c>
      <c r="C484" s="15">
        <v>2766.25</v>
      </c>
      <c r="D484" s="15">
        <v>646.63</v>
      </c>
      <c r="E484" s="15">
        <v>0</v>
      </c>
      <c r="F484" s="15">
        <v>0</v>
      </c>
      <c r="G484" s="15">
        <v>0</v>
      </c>
      <c r="H484" s="15">
        <v>0</v>
      </c>
      <c r="I484" s="15">
        <v>0</v>
      </c>
      <c r="J484" s="15">
        <v>0</v>
      </c>
      <c r="K484" s="15">
        <v>0</v>
      </c>
      <c r="L484" s="15">
        <v>0</v>
      </c>
      <c r="M484" s="15">
        <v>0</v>
      </c>
      <c r="N484" s="15">
        <v>922.21</v>
      </c>
      <c r="O484" t="s">
        <v>3028</v>
      </c>
    </row>
    <row r="485" spans="1:15" x14ac:dyDescent="0.25">
      <c r="A485" s="10" t="s">
        <v>1097</v>
      </c>
      <c r="B485" s="15">
        <v>10538.57</v>
      </c>
      <c r="C485" s="15">
        <v>10338.57</v>
      </c>
      <c r="D485" s="15">
        <v>10338.57</v>
      </c>
      <c r="E485" s="15">
        <v>24123.33</v>
      </c>
      <c r="F485" s="15">
        <v>0</v>
      </c>
      <c r="G485" s="15">
        <v>10338.57</v>
      </c>
      <c r="H485" s="15">
        <v>10338.57</v>
      </c>
      <c r="I485" s="15">
        <v>13384.32</v>
      </c>
      <c r="J485" s="15">
        <v>11353.82</v>
      </c>
      <c r="K485" s="15">
        <v>11353.82</v>
      </c>
      <c r="L485" s="15">
        <v>11353.82</v>
      </c>
      <c r="M485" s="15">
        <v>11353.82</v>
      </c>
      <c r="N485" s="15">
        <v>11353.82</v>
      </c>
      <c r="O485" t="s">
        <v>3028</v>
      </c>
    </row>
    <row r="486" spans="1:15" x14ac:dyDescent="0.25">
      <c r="A486" s="10" t="s">
        <v>1099</v>
      </c>
      <c r="B486" s="15">
        <v>2797.71</v>
      </c>
      <c r="C486" s="15">
        <v>2704.78</v>
      </c>
      <c r="D486" s="15">
        <v>3694.87</v>
      </c>
      <c r="E486" s="15">
        <v>2716.62</v>
      </c>
      <c r="F486" s="15">
        <v>2670.4</v>
      </c>
      <c r="G486" s="15">
        <v>2704.88</v>
      </c>
      <c r="H486" s="15">
        <v>6439.62</v>
      </c>
      <c r="I486" s="15">
        <v>1955.45</v>
      </c>
      <c r="J486" s="15">
        <v>3105.42</v>
      </c>
      <c r="K486" s="15">
        <v>2606.69</v>
      </c>
      <c r="L486" s="15">
        <v>4398.28</v>
      </c>
      <c r="M486" s="15">
        <v>3555.2</v>
      </c>
      <c r="N486" s="15">
        <v>3242.32</v>
      </c>
      <c r="O486" t="s">
        <v>3028</v>
      </c>
    </row>
    <row r="487" spans="1:15" x14ac:dyDescent="0.25">
      <c r="A487" s="10" t="s">
        <v>1101</v>
      </c>
      <c r="B487" s="15">
        <v>2172.66</v>
      </c>
      <c r="C487" s="15">
        <v>1844.61</v>
      </c>
      <c r="D487" s="15">
        <v>1867.04</v>
      </c>
      <c r="E487" s="15">
        <v>1874.79</v>
      </c>
      <c r="F487" s="15">
        <v>1859.46</v>
      </c>
      <c r="G487" s="15">
        <v>3397.14</v>
      </c>
      <c r="H487" s="15">
        <v>1485.26</v>
      </c>
      <c r="I487" s="15">
        <v>2733.86</v>
      </c>
      <c r="J487" s="15">
        <v>1969.03</v>
      </c>
      <c r="K487" s="15">
        <v>2220.4</v>
      </c>
      <c r="L487" s="15">
        <v>1988.91</v>
      </c>
      <c r="M487" s="15">
        <v>2184.0700000000002</v>
      </c>
      <c r="N487" s="15">
        <v>2098.84</v>
      </c>
      <c r="O487" t="s">
        <v>3028</v>
      </c>
    </row>
    <row r="488" spans="1:15" x14ac:dyDescent="0.25">
      <c r="A488" s="10" t="s">
        <v>1103</v>
      </c>
      <c r="B488" s="15">
        <v>3021.34</v>
      </c>
      <c r="C488" s="15">
        <v>5382.7</v>
      </c>
      <c r="D488" s="15">
        <v>6264.55</v>
      </c>
      <c r="E488" s="15">
        <v>6313.27</v>
      </c>
      <c r="F488" s="15">
        <v>5925.8</v>
      </c>
      <c r="G488" s="15">
        <v>5240.22</v>
      </c>
      <c r="H488" s="15">
        <v>5794.62</v>
      </c>
      <c r="I488" s="15">
        <v>6028.75</v>
      </c>
      <c r="J488" s="15">
        <v>5898.54</v>
      </c>
      <c r="K488" s="15">
        <v>6674.91</v>
      </c>
      <c r="L488" s="15">
        <v>6547.67</v>
      </c>
      <c r="M488" s="15">
        <v>6081.09</v>
      </c>
      <c r="N488" s="15">
        <v>6342.28</v>
      </c>
      <c r="O488" t="s">
        <v>3028</v>
      </c>
    </row>
    <row r="489" spans="1:15" x14ac:dyDescent="0.25">
      <c r="A489" s="10" t="s">
        <v>1105</v>
      </c>
      <c r="B489" s="15">
        <v>1302.5999999999999</v>
      </c>
      <c r="C489" s="15">
        <v>1300</v>
      </c>
      <c r="D489" s="15">
        <v>1300</v>
      </c>
      <c r="E489" s="15">
        <v>1300.1300000000001</v>
      </c>
      <c r="F489" s="15">
        <v>1300</v>
      </c>
      <c r="G489" s="15">
        <v>2026.43</v>
      </c>
      <c r="H489" s="15">
        <v>1083.33</v>
      </c>
      <c r="I489" s="15">
        <v>1300.1099999999999</v>
      </c>
      <c r="J489" s="15">
        <v>1302.4000000000001</v>
      </c>
      <c r="K489" s="15">
        <v>1560.65</v>
      </c>
      <c r="L489" s="15">
        <v>1425.06</v>
      </c>
      <c r="M489" s="15">
        <v>1425.36</v>
      </c>
      <c r="N489" s="15">
        <v>1426.9</v>
      </c>
      <c r="O489" t="s">
        <v>3028</v>
      </c>
    </row>
    <row r="490" spans="1:15" x14ac:dyDescent="0.25">
      <c r="A490" s="10" t="s">
        <v>1107</v>
      </c>
      <c r="B490" s="15">
        <v>0</v>
      </c>
      <c r="C490" s="15">
        <v>0</v>
      </c>
      <c r="D490" s="15">
        <v>0</v>
      </c>
      <c r="E490" s="15">
        <v>0</v>
      </c>
      <c r="F490" s="15">
        <v>0</v>
      </c>
      <c r="G490" s="15">
        <v>0</v>
      </c>
      <c r="H490" s="15">
        <v>0</v>
      </c>
      <c r="I490" s="15">
        <v>0</v>
      </c>
      <c r="J490" s="15">
        <v>0</v>
      </c>
      <c r="K490" s="15">
        <v>0</v>
      </c>
      <c r="L490" s="15">
        <v>1045.04</v>
      </c>
      <c r="M490" s="15">
        <v>1454.36</v>
      </c>
      <c r="N490" s="15">
        <v>240.05</v>
      </c>
      <c r="O490" t="s">
        <v>3028</v>
      </c>
    </row>
    <row r="491" spans="1:15" x14ac:dyDescent="0.25">
      <c r="A491" s="10" t="s">
        <v>1109</v>
      </c>
      <c r="B491" s="15">
        <v>2028.32</v>
      </c>
      <c r="C491" s="15">
        <v>2207.65</v>
      </c>
      <c r="D491" s="15">
        <v>508.98</v>
      </c>
      <c r="E491" s="15">
        <v>0</v>
      </c>
      <c r="F491" s="15">
        <v>0</v>
      </c>
      <c r="G491" s="15">
        <v>0</v>
      </c>
      <c r="H491" s="15">
        <v>0</v>
      </c>
      <c r="I491" s="15">
        <v>0</v>
      </c>
      <c r="J491" s="15">
        <v>0</v>
      </c>
      <c r="K491" s="15">
        <v>0</v>
      </c>
      <c r="L491" s="15">
        <v>0</v>
      </c>
      <c r="M491" s="15">
        <v>0</v>
      </c>
      <c r="N491" s="15">
        <v>481.67</v>
      </c>
      <c r="O491" t="s">
        <v>3028</v>
      </c>
    </row>
    <row r="492" spans="1:15" x14ac:dyDescent="0.25">
      <c r="A492" s="10" t="s">
        <v>1111</v>
      </c>
      <c r="B492" s="15">
        <v>673.48</v>
      </c>
      <c r="C492" s="15">
        <v>475.24</v>
      </c>
      <c r="D492" s="15">
        <v>0</v>
      </c>
      <c r="E492" s="15">
        <v>0</v>
      </c>
      <c r="F492" s="15">
        <v>0</v>
      </c>
      <c r="G492" s="15">
        <v>0</v>
      </c>
      <c r="H492" s="15">
        <v>0</v>
      </c>
      <c r="I492" s="15">
        <v>0</v>
      </c>
      <c r="J492" s="15">
        <v>0</v>
      </c>
      <c r="K492" s="15">
        <v>0</v>
      </c>
      <c r="L492" s="15">
        <v>0</v>
      </c>
      <c r="M492" s="15">
        <v>0</v>
      </c>
      <c r="N492" s="15">
        <v>264.45</v>
      </c>
      <c r="O492" t="s">
        <v>3028</v>
      </c>
    </row>
    <row r="493" spans="1:15" x14ac:dyDescent="0.25">
      <c r="A493" s="10" t="s">
        <v>1113</v>
      </c>
      <c r="B493" s="15">
        <v>1803.72</v>
      </c>
      <c r="C493" s="15">
        <v>2122.7800000000002</v>
      </c>
      <c r="D493" s="15">
        <v>1772.6</v>
      </c>
      <c r="E493" s="15">
        <v>1885.32</v>
      </c>
      <c r="F493" s="15">
        <v>1440.44</v>
      </c>
      <c r="G493" s="15">
        <v>1450.2</v>
      </c>
      <c r="H493" s="15">
        <v>2540.5100000000002</v>
      </c>
      <c r="I493" s="15">
        <v>2705.13</v>
      </c>
      <c r="J493" s="15">
        <v>5828.51</v>
      </c>
      <c r="K493" s="15">
        <v>1174.04</v>
      </c>
      <c r="L493" s="15">
        <v>2217.42</v>
      </c>
      <c r="M493" s="15">
        <v>3275.93</v>
      </c>
      <c r="N493" s="15">
        <v>2709.58</v>
      </c>
      <c r="O493" t="s">
        <v>3028</v>
      </c>
    </row>
    <row r="494" spans="1:15" x14ac:dyDescent="0.25">
      <c r="A494" s="10" t="s">
        <v>1115</v>
      </c>
      <c r="B494" s="15">
        <v>3928.98</v>
      </c>
      <c r="C494" s="15">
        <v>3936.91</v>
      </c>
      <c r="D494" s="15">
        <v>3835.39</v>
      </c>
      <c r="E494" s="15">
        <v>3934.66</v>
      </c>
      <c r="F494" s="15">
        <v>3782.46</v>
      </c>
      <c r="G494" s="15">
        <v>3989.32</v>
      </c>
      <c r="H494" s="15">
        <v>4372.88</v>
      </c>
      <c r="I494" s="15">
        <v>5532.16</v>
      </c>
      <c r="J494" s="15">
        <v>6736.73</v>
      </c>
      <c r="K494" s="15">
        <v>4676.5</v>
      </c>
      <c r="L494" s="15">
        <v>5741.46</v>
      </c>
      <c r="M494" s="15">
        <v>5651.35</v>
      </c>
      <c r="N494" s="15">
        <v>5711.56</v>
      </c>
      <c r="O494" t="s">
        <v>3028</v>
      </c>
    </row>
    <row r="495" spans="1:15" x14ac:dyDescent="0.25">
      <c r="A495" s="10" t="s">
        <v>1117</v>
      </c>
      <c r="B495" s="15">
        <v>6738.19</v>
      </c>
      <c r="C495" s="15">
        <v>5966.3</v>
      </c>
      <c r="D495" s="15">
        <v>5754.33</v>
      </c>
      <c r="E495" s="15">
        <v>6536.59</v>
      </c>
      <c r="F495" s="15">
        <v>6358.36</v>
      </c>
      <c r="G495" s="15">
        <v>6564.07</v>
      </c>
      <c r="H495" s="15">
        <v>6986.54</v>
      </c>
      <c r="I495" s="15">
        <v>8409.66</v>
      </c>
      <c r="J495" s="15">
        <v>6259.74</v>
      </c>
      <c r="K495" s="15">
        <v>8699.0300000000007</v>
      </c>
      <c r="L495" s="15">
        <v>11654.57</v>
      </c>
      <c r="M495" s="15">
        <v>5007.79</v>
      </c>
      <c r="N495" s="15">
        <v>7102.36</v>
      </c>
      <c r="O495" t="s">
        <v>3028</v>
      </c>
    </row>
    <row r="496" spans="1:15" x14ac:dyDescent="0.25">
      <c r="A496" s="10" t="s">
        <v>1119</v>
      </c>
      <c r="B496" s="15">
        <v>1318.95</v>
      </c>
      <c r="C496" s="15">
        <v>1303.46</v>
      </c>
      <c r="D496" s="15">
        <v>1580.44</v>
      </c>
      <c r="E496" s="15">
        <v>1585.41</v>
      </c>
      <c r="F496" s="15">
        <v>1583.59</v>
      </c>
      <c r="G496" s="15">
        <v>3708.23</v>
      </c>
      <c r="H496" s="15">
        <v>109.48</v>
      </c>
      <c r="I496" s="15">
        <v>1473.1</v>
      </c>
      <c r="J496" s="15">
        <v>1571.69</v>
      </c>
      <c r="K496" s="15">
        <v>1968.35</v>
      </c>
      <c r="L496" s="15">
        <v>1731.81</v>
      </c>
      <c r="M496" s="15">
        <v>1734.33</v>
      </c>
      <c r="N496" s="15">
        <v>1741.89</v>
      </c>
      <c r="O496" t="s">
        <v>3028</v>
      </c>
    </row>
    <row r="497" spans="1:15" x14ac:dyDescent="0.25">
      <c r="A497" s="10" t="s">
        <v>1121</v>
      </c>
      <c r="B497" s="15">
        <v>3067.29</v>
      </c>
      <c r="C497" s="15">
        <v>2886.78</v>
      </c>
      <c r="D497" s="15">
        <v>2845.68</v>
      </c>
      <c r="E497" s="15">
        <v>2858.51</v>
      </c>
      <c r="F497" s="15">
        <v>2876.98</v>
      </c>
      <c r="G497" s="15">
        <v>2882.2</v>
      </c>
      <c r="H497" s="15">
        <v>2845.68</v>
      </c>
      <c r="I497" s="15">
        <v>3689.24</v>
      </c>
      <c r="J497" s="15">
        <v>3125.13</v>
      </c>
      <c r="K497" s="15">
        <v>5963.11</v>
      </c>
      <c r="L497" s="15">
        <v>1041.71</v>
      </c>
      <c r="M497" s="15">
        <v>3131.67</v>
      </c>
      <c r="N497" s="15">
        <v>3159.04</v>
      </c>
      <c r="O497" t="s">
        <v>3028</v>
      </c>
    </row>
    <row r="498" spans="1:15" x14ac:dyDescent="0.25">
      <c r="A498" s="10" t="s">
        <v>1123</v>
      </c>
      <c r="B498" s="15">
        <v>3317.43</v>
      </c>
      <c r="C498" s="15">
        <v>3828.84</v>
      </c>
      <c r="D498" s="15">
        <v>3019.38</v>
      </c>
      <c r="E498" s="15">
        <v>3551.71</v>
      </c>
      <c r="F498" s="15">
        <v>2979.71</v>
      </c>
      <c r="G498" s="15">
        <v>8351.3700000000008</v>
      </c>
      <c r="H498" s="15">
        <v>596.15</v>
      </c>
      <c r="I498" s="15">
        <v>3776.52</v>
      </c>
      <c r="J498" s="15">
        <v>3732.48</v>
      </c>
      <c r="K498" s="15">
        <v>3798.06</v>
      </c>
      <c r="L498" s="15">
        <v>3501.2</v>
      </c>
      <c r="M498" s="15">
        <v>3824.99</v>
      </c>
      <c r="N498" s="15">
        <v>3639.67</v>
      </c>
      <c r="O498" t="s">
        <v>3028</v>
      </c>
    </row>
    <row r="499" spans="1:15" x14ac:dyDescent="0.25">
      <c r="A499" s="10" t="s">
        <v>1125</v>
      </c>
      <c r="B499" s="15">
        <v>10338.57</v>
      </c>
      <c r="C499" s="15">
        <v>10338.57</v>
      </c>
      <c r="D499" s="15">
        <v>10338.57</v>
      </c>
      <c r="E499" s="15">
        <v>19528.41</v>
      </c>
      <c r="F499" s="15">
        <v>3446.19</v>
      </c>
      <c r="G499" s="15">
        <v>10338.57</v>
      </c>
      <c r="H499" s="15">
        <v>10683.19</v>
      </c>
      <c r="I499" s="15">
        <v>13695.1</v>
      </c>
      <c r="J499" s="15">
        <v>11353.82</v>
      </c>
      <c r="K499" s="15">
        <v>11732.28</v>
      </c>
      <c r="L499" s="15">
        <v>11353.82</v>
      </c>
      <c r="M499" s="15">
        <v>11353.82</v>
      </c>
      <c r="N499" s="15">
        <v>11353.82</v>
      </c>
      <c r="O499" t="s">
        <v>3028</v>
      </c>
    </row>
    <row r="500" spans="1:15" x14ac:dyDescent="0.25">
      <c r="A500" s="10" t="s">
        <v>1127</v>
      </c>
      <c r="B500" s="15">
        <v>5558.85</v>
      </c>
      <c r="C500" s="15">
        <v>5694</v>
      </c>
      <c r="D500" s="15">
        <v>5694</v>
      </c>
      <c r="E500" s="15">
        <v>5694</v>
      </c>
      <c r="F500" s="15">
        <v>5694</v>
      </c>
      <c r="G500" s="15">
        <v>7061.13</v>
      </c>
      <c r="H500" s="15">
        <v>5694</v>
      </c>
      <c r="I500" s="15">
        <v>8184.41</v>
      </c>
      <c r="J500" s="15">
        <v>7653.1</v>
      </c>
      <c r="K500" s="15">
        <v>6910.27</v>
      </c>
      <c r="L500" s="15">
        <v>6897.69</v>
      </c>
      <c r="M500" s="15">
        <v>6905.35</v>
      </c>
      <c r="N500" s="15">
        <v>6964.7</v>
      </c>
      <c r="O500" t="s">
        <v>3028</v>
      </c>
    </row>
    <row r="501" spans="1:15" x14ac:dyDescent="0.25">
      <c r="A501" s="10" t="s">
        <v>1129</v>
      </c>
      <c r="B501" s="15">
        <v>1316.11</v>
      </c>
      <c r="C501" s="15">
        <v>1316.11</v>
      </c>
      <c r="D501" s="15">
        <v>1316.11</v>
      </c>
      <c r="E501" s="15">
        <v>1316.11</v>
      </c>
      <c r="F501" s="15">
        <v>1316.11</v>
      </c>
      <c r="G501" s="15">
        <v>263.22000000000003</v>
      </c>
      <c r="H501" s="15">
        <v>0</v>
      </c>
      <c r="I501" s="15">
        <v>0</v>
      </c>
      <c r="J501" s="15">
        <v>25.85</v>
      </c>
      <c r="K501" s="15">
        <v>0</v>
      </c>
      <c r="L501" s="15">
        <v>0</v>
      </c>
      <c r="M501" s="15">
        <v>0</v>
      </c>
      <c r="N501" s="15">
        <v>722.68</v>
      </c>
      <c r="O501" t="s">
        <v>3028</v>
      </c>
    </row>
    <row r="502" spans="1:15" x14ac:dyDescent="0.25">
      <c r="A502" s="10" t="s">
        <v>1131</v>
      </c>
      <c r="B502" s="15">
        <v>1718.83</v>
      </c>
      <c r="C502" s="15">
        <v>1619.29</v>
      </c>
      <c r="D502" s="15">
        <v>1589.54</v>
      </c>
      <c r="E502" s="15">
        <v>1575.77</v>
      </c>
      <c r="F502" s="15">
        <v>1601.47</v>
      </c>
      <c r="G502" s="15">
        <v>1670.58</v>
      </c>
      <c r="H502" s="15">
        <v>1594.83</v>
      </c>
      <c r="I502" s="15">
        <v>1765.44</v>
      </c>
      <c r="J502" s="15">
        <v>1558.46</v>
      </c>
      <c r="K502" s="15">
        <v>1860.62</v>
      </c>
      <c r="L502" s="15">
        <v>1854.47</v>
      </c>
      <c r="M502" s="15">
        <v>4094.77</v>
      </c>
      <c r="N502" s="15">
        <v>1779.76</v>
      </c>
      <c r="O502" t="s">
        <v>3028</v>
      </c>
    </row>
    <row r="503" spans="1:15" x14ac:dyDescent="0.25">
      <c r="A503" s="10" t="s">
        <v>1133</v>
      </c>
      <c r="B503" s="15">
        <v>4267.5200000000004</v>
      </c>
      <c r="C503" s="15">
        <v>4343.0600000000004</v>
      </c>
      <c r="D503" s="15">
        <v>4156.16</v>
      </c>
      <c r="E503" s="15">
        <v>4223.2299999999996</v>
      </c>
      <c r="F503" s="15">
        <v>4203.96</v>
      </c>
      <c r="G503" s="15">
        <v>4207.41</v>
      </c>
      <c r="H503" s="15">
        <v>4168.84</v>
      </c>
      <c r="I503" s="15">
        <v>5356.24</v>
      </c>
      <c r="J503" s="15">
        <v>4569.47</v>
      </c>
      <c r="K503" s="15">
        <v>4575.6400000000003</v>
      </c>
      <c r="L503" s="15">
        <v>4541.87</v>
      </c>
      <c r="M503" s="15">
        <v>4546.47</v>
      </c>
      <c r="N503" s="15">
        <v>4603.47</v>
      </c>
      <c r="O503" t="s">
        <v>3028</v>
      </c>
    </row>
    <row r="504" spans="1:15" x14ac:dyDescent="0.25">
      <c r="A504" s="10" t="s">
        <v>1135</v>
      </c>
      <c r="B504" s="15">
        <v>738.21</v>
      </c>
      <c r="C504" s="15">
        <v>0</v>
      </c>
      <c r="D504" s="15">
        <v>0</v>
      </c>
      <c r="E504" s="15">
        <v>0</v>
      </c>
      <c r="F504" s="15">
        <v>0</v>
      </c>
      <c r="G504" s="15">
        <v>0</v>
      </c>
      <c r="H504" s="15">
        <v>0</v>
      </c>
      <c r="I504" s="15">
        <v>0</v>
      </c>
      <c r="J504" s="15">
        <v>0</v>
      </c>
      <c r="K504" s="15">
        <v>0</v>
      </c>
      <c r="L504" s="15">
        <v>0</v>
      </c>
      <c r="M504" s="15">
        <v>0</v>
      </c>
      <c r="N504" s="15">
        <v>300.08999999999997</v>
      </c>
      <c r="O504" t="s">
        <v>3028</v>
      </c>
    </row>
    <row r="505" spans="1:15" x14ac:dyDescent="0.25">
      <c r="A505" s="10" t="s">
        <v>1137</v>
      </c>
      <c r="B505" s="15">
        <v>1145.98</v>
      </c>
      <c r="C505" s="15">
        <v>1736.49</v>
      </c>
      <c r="D505" s="15">
        <v>1497.79</v>
      </c>
      <c r="E505" s="15">
        <v>1506.63</v>
      </c>
      <c r="F505" s="15">
        <v>1513.88</v>
      </c>
      <c r="G505" s="15">
        <v>1686.08</v>
      </c>
      <c r="H505" s="15">
        <v>1378.57</v>
      </c>
      <c r="I505" s="15">
        <v>2123.1</v>
      </c>
      <c r="J505" s="15">
        <v>1816.92</v>
      </c>
      <c r="K505" s="15">
        <v>1514.72</v>
      </c>
      <c r="L505" s="15">
        <v>1611.81</v>
      </c>
      <c r="M505" s="15">
        <v>1913.1</v>
      </c>
      <c r="N505" s="15">
        <v>1698.97</v>
      </c>
      <c r="O505" t="s">
        <v>3028</v>
      </c>
    </row>
    <row r="506" spans="1:15" x14ac:dyDescent="0.25">
      <c r="A506" s="10" t="s">
        <v>1139</v>
      </c>
      <c r="B506" s="15">
        <v>2941.82</v>
      </c>
      <c r="C506" s="15">
        <v>2238.1</v>
      </c>
      <c r="D506" s="15">
        <v>2200.42</v>
      </c>
      <c r="E506" s="15">
        <v>2177.7600000000002</v>
      </c>
      <c r="F506" s="15">
        <v>2024.72</v>
      </c>
      <c r="G506" s="15">
        <v>4705.74</v>
      </c>
      <c r="H506" s="15">
        <v>730.73</v>
      </c>
      <c r="I506" s="15">
        <v>2725.77</v>
      </c>
      <c r="J506" s="15">
        <v>2459.48</v>
      </c>
      <c r="K506" s="15">
        <v>2218.1999999999998</v>
      </c>
      <c r="L506" s="15">
        <v>2343.98</v>
      </c>
      <c r="M506" s="15">
        <v>2196.16</v>
      </c>
      <c r="N506" s="15">
        <v>2411.2800000000002</v>
      </c>
      <c r="O506" t="s">
        <v>3028</v>
      </c>
    </row>
    <row r="507" spans="1:15" x14ac:dyDescent="0.25">
      <c r="A507" s="10" t="s">
        <v>1141</v>
      </c>
      <c r="B507" s="15">
        <v>6389.56</v>
      </c>
      <c r="C507" s="15">
        <v>6180.66</v>
      </c>
      <c r="D507" s="15">
        <v>5631.47</v>
      </c>
      <c r="E507" s="15">
        <v>5374.51</v>
      </c>
      <c r="F507" s="15">
        <v>5729.58</v>
      </c>
      <c r="G507" s="15">
        <v>9756.35</v>
      </c>
      <c r="H507" s="15">
        <v>4207.55</v>
      </c>
      <c r="I507" s="15">
        <v>5234.96</v>
      </c>
      <c r="J507" s="15">
        <v>5379.34</v>
      </c>
      <c r="K507" s="15">
        <v>6290.92</v>
      </c>
      <c r="L507" s="15">
        <v>6445.78</v>
      </c>
      <c r="M507" s="15">
        <v>6122.62</v>
      </c>
      <c r="N507" s="15">
        <v>6120.34</v>
      </c>
      <c r="O507" t="s">
        <v>3028</v>
      </c>
    </row>
    <row r="508" spans="1:15" x14ac:dyDescent="0.25">
      <c r="A508" s="10" t="s">
        <v>1143</v>
      </c>
      <c r="B508" s="15">
        <v>3117.77</v>
      </c>
      <c r="C508" s="15">
        <v>3206.11</v>
      </c>
      <c r="D508" s="15">
        <v>3769.42</v>
      </c>
      <c r="E508" s="15">
        <v>3546.22</v>
      </c>
      <c r="F508" s="15">
        <v>3573.03</v>
      </c>
      <c r="G508" s="15">
        <v>2789.58</v>
      </c>
      <c r="H508" s="15">
        <v>5932.52</v>
      </c>
      <c r="I508" s="15">
        <v>3712.23</v>
      </c>
      <c r="J508" s="15">
        <v>3660.48</v>
      </c>
      <c r="K508" s="15">
        <v>3779.11</v>
      </c>
      <c r="L508" s="15">
        <v>3696.32</v>
      </c>
      <c r="M508" s="15">
        <v>3643.74</v>
      </c>
      <c r="N508" s="15">
        <v>3827.6</v>
      </c>
      <c r="O508" t="s">
        <v>3028</v>
      </c>
    </row>
    <row r="509" spans="1:15" x14ac:dyDescent="0.25">
      <c r="A509" s="10" t="s">
        <v>1145</v>
      </c>
      <c r="B509" s="15">
        <v>2078.39</v>
      </c>
      <c r="C509" s="15">
        <v>2527.69</v>
      </c>
      <c r="D509" s="15">
        <v>2593.56</v>
      </c>
      <c r="E509" s="15">
        <v>2077.08</v>
      </c>
      <c r="F509" s="15">
        <v>2096.9299999999998</v>
      </c>
      <c r="G509" s="15">
        <v>2085.71</v>
      </c>
      <c r="H509" s="15">
        <v>5007.72</v>
      </c>
      <c r="I509" s="15">
        <v>695.18</v>
      </c>
      <c r="J509" s="15">
        <v>2259.0100000000002</v>
      </c>
      <c r="K509" s="15">
        <v>2323.48</v>
      </c>
      <c r="L509" s="15">
        <v>2317.27</v>
      </c>
      <c r="M509" s="15">
        <v>2479.08</v>
      </c>
      <c r="N509" s="15">
        <v>2391.09</v>
      </c>
      <c r="O509" t="s">
        <v>3028</v>
      </c>
    </row>
    <row r="510" spans="1:15" x14ac:dyDescent="0.25">
      <c r="A510" s="10" t="s">
        <v>1147</v>
      </c>
      <c r="B510" s="15">
        <v>296.74</v>
      </c>
      <c r="C510" s="15">
        <v>3195.34</v>
      </c>
      <c r="D510" s="15">
        <v>3423.58</v>
      </c>
      <c r="E510" s="15">
        <v>3423.58</v>
      </c>
      <c r="F510" s="15">
        <v>3425.07</v>
      </c>
      <c r="G510" s="15">
        <v>3428.92</v>
      </c>
      <c r="H510" s="15">
        <v>3423.58</v>
      </c>
      <c r="I510" s="15">
        <v>4432.71</v>
      </c>
      <c r="J510" s="15">
        <v>3759.78</v>
      </c>
      <c r="K510" s="15">
        <v>3768.31</v>
      </c>
      <c r="L510" s="15">
        <v>3766.9</v>
      </c>
      <c r="M510" s="15">
        <v>3759.78</v>
      </c>
      <c r="N510" s="15">
        <v>3767.89</v>
      </c>
      <c r="O510" t="s">
        <v>3028</v>
      </c>
    </row>
    <row r="511" spans="1:15" x14ac:dyDescent="0.25">
      <c r="A511" s="10" t="s">
        <v>1149</v>
      </c>
      <c r="B511" s="15">
        <v>2097.0700000000002</v>
      </c>
      <c r="C511" s="15">
        <v>2464.38</v>
      </c>
      <c r="D511" s="15">
        <v>2153.84</v>
      </c>
      <c r="E511" s="15">
        <v>2179.39</v>
      </c>
      <c r="F511" s="15">
        <v>3188.61</v>
      </c>
      <c r="G511" s="15">
        <v>1896.94</v>
      </c>
      <c r="H511" s="15">
        <v>2191.42</v>
      </c>
      <c r="I511" s="15">
        <v>3277.96</v>
      </c>
      <c r="J511" s="15">
        <v>2305.2399999999998</v>
      </c>
      <c r="K511" s="15">
        <v>2735.74</v>
      </c>
      <c r="L511" s="15">
        <v>3102.4</v>
      </c>
      <c r="M511" s="15">
        <v>2623.2</v>
      </c>
      <c r="N511" s="15">
        <v>2533.4</v>
      </c>
      <c r="O511" t="s">
        <v>3028</v>
      </c>
    </row>
    <row r="512" spans="1:15" x14ac:dyDescent="0.25">
      <c r="A512" s="10" t="s">
        <v>1151</v>
      </c>
      <c r="B512" s="15">
        <v>246.49</v>
      </c>
      <c r="C512" s="15">
        <v>0</v>
      </c>
      <c r="D512" s="15">
        <v>0</v>
      </c>
      <c r="E512" s="15">
        <v>0</v>
      </c>
      <c r="F512" s="15">
        <v>0</v>
      </c>
      <c r="G512" s="15">
        <v>0</v>
      </c>
      <c r="H512" s="15">
        <v>0</v>
      </c>
      <c r="I512" s="15">
        <v>0</v>
      </c>
      <c r="J512" s="15">
        <v>0</v>
      </c>
      <c r="K512" s="15">
        <v>0</v>
      </c>
      <c r="L512" s="15">
        <v>0</v>
      </c>
      <c r="M512" s="15">
        <v>0</v>
      </c>
      <c r="N512" s="15">
        <v>223.88</v>
      </c>
      <c r="O512" t="s">
        <v>3028</v>
      </c>
    </row>
    <row r="513" spans="1:15" x14ac:dyDescent="0.25">
      <c r="A513" s="10" t="s">
        <v>1153</v>
      </c>
      <c r="B513" s="15">
        <v>1864.71</v>
      </c>
      <c r="C513" s="15">
        <v>1808.34</v>
      </c>
      <c r="D513" s="15">
        <v>1858.4</v>
      </c>
      <c r="E513" s="15">
        <v>4272.22</v>
      </c>
      <c r="F513" s="15">
        <v>318.17</v>
      </c>
      <c r="G513" s="15">
        <v>1708.56</v>
      </c>
      <c r="H513" s="15">
        <v>1625.49</v>
      </c>
      <c r="I513" s="15">
        <v>2611.81</v>
      </c>
      <c r="J513" s="15">
        <v>2076.0100000000002</v>
      </c>
      <c r="K513" s="15">
        <v>2271.2199999999998</v>
      </c>
      <c r="L513" s="15">
        <v>1952.18</v>
      </c>
      <c r="M513" s="15">
        <v>2087.89</v>
      </c>
      <c r="N513" s="15">
        <v>2072.67</v>
      </c>
      <c r="O513" t="s">
        <v>3028</v>
      </c>
    </row>
    <row r="514" spans="1:15" x14ac:dyDescent="0.25">
      <c r="A514" s="10" t="s">
        <v>1155</v>
      </c>
      <c r="B514" s="15">
        <v>1852.15</v>
      </c>
      <c r="C514" s="15">
        <v>2136.0500000000002</v>
      </c>
      <c r="D514" s="15">
        <v>1854.48</v>
      </c>
      <c r="E514" s="15">
        <v>3249.33</v>
      </c>
      <c r="F514" s="15">
        <v>1048.82</v>
      </c>
      <c r="G514" s="15">
        <v>2037.07</v>
      </c>
      <c r="H514" s="15">
        <v>2095.58</v>
      </c>
      <c r="I514" s="15">
        <v>2671.45</v>
      </c>
      <c r="J514" s="15">
        <v>2107.9299999999998</v>
      </c>
      <c r="K514" s="15">
        <v>2624.74</v>
      </c>
      <c r="L514" s="15">
        <v>1986.7</v>
      </c>
      <c r="M514" s="15">
        <v>1995.84</v>
      </c>
      <c r="N514" s="15">
        <v>2148.7199999999998</v>
      </c>
      <c r="O514" t="s">
        <v>3028</v>
      </c>
    </row>
    <row r="515" spans="1:15" x14ac:dyDescent="0.25">
      <c r="A515" s="10" t="s">
        <v>1159</v>
      </c>
      <c r="B515" s="15">
        <v>0</v>
      </c>
      <c r="C515" s="15">
        <v>0</v>
      </c>
      <c r="D515" s="15">
        <v>0</v>
      </c>
      <c r="E515" s="15">
        <v>0</v>
      </c>
      <c r="F515" s="15">
        <v>0</v>
      </c>
      <c r="G515" s="15">
        <v>0</v>
      </c>
      <c r="H515" s="15">
        <v>877.41</v>
      </c>
      <c r="I515" s="15">
        <v>1665.37</v>
      </c>
      <c r="J515" s="15">
        <v>1449.73</v>
      </c>
      <c r="K515" s="15">
        <v>1510.65</v>
      </c>
      <c r="L515" s="15">
        <v>1471.41</v>
      </c>
      <c r="M515" s="15">
        <v>1458.65</v>
      </c>
      <c r="N515" s="15">
        <v>742.93</v>
      </c>
      <c r="O515" t="s">
        <v>3028</v>
      </c>
    </row>
    <row r="516" spans="1:15" x14ac:dyDescent="0.25">
      <c r="A516" s="10" t="s">
        <v>1161</v>
      </c>
      <c r="B516" s="15">
        <v>0</v>
      </c>
      <c r="C516" s="15">
        <v>0</v>
      </c>
      <c r="D516" s="15">
        <v>0</v>
      </c>
      <c r="E516" s="15">
        <v>0</v>
      </c>
      <c r="F516" s="15">
        <v>0</v>
      </c>
      <c r="G516" s="15">
        <v>0</v>
      </c>
      <c r="H516" s="15">
        <v>0</v>
      </c>
      <c r="I516" s="15">
        <v>0</v>
      </c>
      <c r="J516" s="15">
        <v>0</v>
      </c>
      <c r="K516" s="15">
        <v>1814.2</v>
      </c>
      <c r="L516" s="15">
        <v>2251.6999999999998</v>
      </c>
      <c r="M516" s="15">
        <v>2474.38</v>
      </c>
      <c r="N516" s="15">
        <v>556.01</v>
      </c>
      <c r="O516" t="s">
        <v>3028</v>
      </c>
    </row>
    <row r="517" spans="1:15" x14ac:dyDescent="0.25">
      <c r="A517" s="10" t="s">
        <v>1163</v>
      </c>
      <c r="B517" s="15">
        <v>1358.71</v>
      </c>
      <c r="C517" s="15">
        <v>1365.4</v>
      </c>
      <c r="D517" s="15">
        <v>1362.3</v>
      </c>
      <c r="E517" s="15">
        <v>3182.99</v>
      </c>
      <c r="F517" s="15">
        <v>37.04</v>
      </c>
      <c r="G517" s="15">
        <v>1334.45</v>
      </c>
      <c r="H517" s="15">
        <v>1355.57</v>
      </c>
      <c r="I517" s="15">
        <v>159.37</v>
      </c>
      <c r="J517" s="15">
        <v>279.8</v>
      </c>
      <c r="K517" s="15">
        <v>0</v>
      </c>
      <c r="L517" s="15">
        <v>0</v>
      </c>
      <c r="M517" s="15">
        <v>0</v>
      </c>
      <c r="N517" s="15">
        <v>991.82</v>
      </c>
      <c r="O517" t="s">
        <v>3028</v>
      </c>
    </row>
    <row r="518" spans="1:15" x14ac:dyDescent="0.25">
      <c r="A518" s="10" t="s">
        <v>1165</v>
      </c>
      <c r="B518" s="15">
        <v>4378.3999999999996</v>
      </c>
      <c r="C518" s="15">
        <v>4757.41</v>
      </c>
      <c r="D518" s="15">
        <v>4521.8599999999997</v>
      </c>
      <c r="E518" s="15">
        <v>4876.0600000000004</v>
      </c>
      <c r="F518" s="15">
        <v>3711.38</v>
      </c>
      <c r="G518" s="15">
        <v>10054.9</v>
      </c>
      <c r="H518" s="15">
        <v>1295.1400000000001</v>
      </c>
      <c r="I518" s="15">
        <v>4462.46</v>
      </c>
      <c r="J518" s="15">
        <v>4577.42</v>
      </c>
      <c r="K518" s="15">
        <v>4598.67</v>
      </c>
      <c r="L518" s="15">
        <v>4716.6400000000003</v>
      </c>
      <c r="M518" s="15">
        <v>5269.48</v>
      </c>
      <c r="N518" s="15">
        <v>4681.8999999999996</v>
      </c>
      <c r="O518" t="s">
        <v>3028</v>
      </c>
    </row>
    <row r="519" spans="1:15" x14ac:dyDescent="0.25">
      <c r="A519" s="10" t="s">
        <v>1167</v>
      </c>
      <c r="B519" s="15">
        <v>1849.69</v>
      </c>
      <c r="C519" s="15">
        <v>2190.4499999999998</v>
      </c>
      <c r="D519" s="15">
        <v>1857.78</v>
      </c>
      <c r="E519" s="15">
        <v>1969.77</v>
      </c>
      <c r="F519" s="15">
        <v>2341.3200000000002</v>
      </c>
      <c r="G519" s="15">
        <v>2264.79</v>
      </c>
      <c r="H519" s="15">
        <v>4798.37</v>
      </c>
      <c r="I519" s="15">
        <v>722.58</v>
      </c>
      <c r="J519" s="15">
        <v>1967.43</v>
      </c>
      <c r="K519" s="15">
        <v>2120.59</v>
      </c>
      <c r="L519" s="15">
        <v>2862.68</v>
      </c>
      <c r="M519" s="15">
        <v>2634.08</v>
      </c>
      <c r="N519" s="15">
        <v>2278.0500000000002</v>
      </c>
      <c r="O519" t="s">
        <v>3028</v>
      </c>
    </row>
    <row r="520" spans="1:15" x14ac:dyDescent="0.25">
      <c r="A520" s="10" t="s">
        <v>1169</v>
      </c>
      <c r="B520" s="15">
        <v>4874.34</v>
      </c>
      <c r="C520" s="15">
        <v>1991.98</v>
      </c>
      <c r="D520" s="15">
        <v>2845.68</v>
      </c>
      <c r="E520" s="15">
        <v>2902.4</v>
      </c>
      <c r="F520" s="15">
        <v>2845.68</v>
      </c>
      <c r="G520" s="15">
        <v>2845.68</v>
      </c>
      <c r="H520" s="15">
        <v>2846.45</v>
      </c>
      <c r="I520" s="15">
        <v>3684.11</v>
      </c>
      <c r="J520" s="15">
        <v>3125.13</v>
      </c>
      <c r="K520" s="15">
        <v>3125.13</v>
      </c>
      <c r="L520" s="15">
        <v>3126.54</v>
      </c>
      <c r="M520" s="15">
        <v>3137.34</v>
      </c>
      <c r="N520" s="15">
        <v>3139.54</v>
      </c>
      <c r="O520" t="s">
        <v>3028</v>
      </c>
    </row>
    <row r="521" spans="1:15" x14ac:dyDescent="0.25">
      <c r="A521" s="10" t="s">
        <v>1171</v>
      </c>
      <c r="B521" s="15">
        <v>2142.4899999999998</v>
      </c>
      <c r="C521" s="15">
        <v>2173.98</v>
      </c>
      <c r="D521" s="15">
        <v>2141.5700000000002</v>
      </c>
      <c r="E521" s="15">
        <v>2149.21</v>
      </c>
      <c r="F521" s="15">
        <v>2161.38</v>
      </c>
      <c r="G521" s="15">
        <v>3507.52</v>
      </c>
      <c r="H521" s="15">
        <v>1737.59</v>
      </c>
      <c r="I521" s="15">
        <v>2843.51</v>
      </c>
      <c r="J521" s="15">
        <v>2322.9899999999998</v>
      </c>
      <c r="K521" s="15">
        <v>2333.5</v>
      </c>
      <c r="L521" s="15">
        <v>2320.0300000000002</v>
      </c>
      <c r="M521" s="15">
        <v>2308.48</v>
      </c>
      <c r="N521" s="15">
        <v>2343.91</v>
      </c>
      <c r="O521" t="s">
        <v>3028</v>
      </c>
    </row>
    <row r="522" spans="1:15" x14ac:dyDescent="0.25">
      <c r="A522" s="10" t="s">
        <v>1173</v>
      </c>
      <c r="B522" s="15">
        <v>1742.79</v>
      </c>
      <c r="C522" s="15">
        <v>1745.89</v>
      </c>
      <c r="D522" s="15">
        <v>1757.62</v>
      </c>
      <c r="E522" s="15">
        <v>1707.68</v>
      </c>
      <c r="F522" s="15">
        <v>216.67</v>
      </c>
      <c r="G522" s="15">
        <v>0</v>
      </c>
      <c r="H522" s="15">
        <v>0</v>
      </c>
      <c r="I522" s="15">
        <v>0</v>
      </c>
      <c r="J522" s="15">
        <v>0</v>
      </c>
      <c r="K522" s="15">
        <v>0</v>
      </c>
      <c r="L522" s="15">
        <v>0</v>
      </c>
      <c r="M522" s="15">
        <v>0</v>
      </c>
      <c r="N522" s="15">
        <v>687.85</v>
      </c>
      <c r="O522" t="s">
        <v>3028</v>
      </c>
    </row>
    <row r="523" spans="1:15" x14ac:dyDescent="0.25">
      <c r="A523" s="10" t="s">
        <v>1175</v>
      </c>
      <c r="B523" s="15">
        <v>3633.02</v>
      </c>
      <c r="C523" s="15">
        <v>3814.86</v>
      </c>
      <c r="D523" s="15">
        <v>3577.37</v>
      </c>
      <c r="E523" s="15">
        <v>3530.06</v>
      </c>
      <c r="F523" s="15">
        <v>3072.8</v>
      </c>
      <c r="G523" s="15">
        <v>3099</v>
      </c>
      <c r="H523" s="15">
        <v>5923.55</v>
      </c>
      <c r="I523" s="15">
        <v>2664.07</v>
      </c>
      <c r="J523" s="15">
        <v>3357.61</v>
      </c>
      <c r="K523" s="15">
        <v>3403.17</v>
      </c>
      <c r="L523" s="15">
        <v>4182.46</v>
      </c>
      <c r="M523" s="15">
        <v>3627.45</v>
      </c>
      <c r="N523" s="15">
        <v>3592.43</v>
      </c>
      <c r="O523" t="s">
        <v>3028</v>
      </c>
    </row>
    <row r="524" spans="1:15" x14ac:dyDescent="0.25">
      <c r="A524" s="10" t="s">
        <v>1177</v>
      </c>
      <c r="B524" s="15">
        <v>2964.24</v>
      </c>
      <c r="C524" s="15">
        <v>2515.5</v>
      </c>
      <c r="D524" s="15">
        <v>2529.9299999999998</v>
      </c>
      <c r="E524" s="15">
        <v>2515.5</v>
      </c>
      <c r="F524" s="15">
        <v>2576.96</v>
      </c>
      <c r="G524" s="15">
        <v>2520.52</v>
      </c>
      <c r="H524" s="15">
        <v>2590.5100000000002</v>
      </c>
      <c r="I524" s="15">
        <v>3274.24</v>
      </c>
      <c r="J524" s="15">
        <v>2770.9</v>
      </c>
      <c r="K524" s="15">
        <v>2825.21</v>
      </c>
      <c r="L524" s="15">
        <v>92.08</v>
      </c>
      <c r="M524" s="15">
        <v>0</v>
      </c>
      <c r="N524" s="15">
        <v>2358.17</v>
      </c>
      <c r="O524" t="s">
        <v>3028</v>
      </c>
    </row>
    <row r="525" spans="1:15" x14ac:dyDescent="0.25">
      <c r="A525" s="10" t="s">
        <v>1179</v>
      </c>
      <c r="B525" s="15">
        <v>1659.56</v>
      </c>
      <c r="C525" s="15">
        <v>1752.91</v>
      </c>
      <c r="D525" s="15">
        <v>1772.68</v>
      </c>
      <c r="E525" s="15">
        <v>3673.07</v>
      </c>
      <c r="F525" s="15">
        <v>448.7</v>
      </c>
      <c r="G525" s="15">
        <v>1443.74</v>
      </c>
      <c r="H525" s="15">
        <v>1852.53</v>
      </c>
      <c r="I525" s="15">
        <v>2819.02</v>
      </c>
      <c r="J525" s="15">
        <v>2216.5300000000002</v>
      </c>
      <c r="K525" s="15">
        <v>2661.53</v>
      </c>
      <c r="L525" s="15">
        <v>2440.9699999999998</v>
      </c>
      <c r="M525" s="15">
        <v>2368.2800000000002</v>
      </c>
      <c r="N525" s="15">
        <v>2303.27</v>
      </c>
      <c r="O525" t="s">
        <v>3028</v>
      </c>
    </row>
    <row r="526" spans="1:15" x14ac:dyDescent="0.25">
      <c r="A526" s="10" t="s">
        <v>1181</v>
      </c>
      <c r="B526" s="15">
        <v>10338.57</v>
      </c>
      <c r="C526" s="15">
        <v>10338.57</v>
      </c>
      <c r="D526" s="15">
        <v>10338.57</v>
      </c>
      <c r="E526" s="15">
        <v>10338.57</v>
      </c>
      <c r="F526" s="15">
        <v>10338.57</v>
      </c>
      <c r="G526" s="15">
        <v>10338.57</v>
      </c>
      <c r="H526" s="15">
        <v>10338.57</v>
      </c>
      <c r="I526" s="15">
        <v>13484.32</v>
      </c>
      <c r="J526" s="15">
        <v>11353.82</v>
      </c>
      <c r="K526" s="15">
        <v>11353.82</v>
      </c>
      <c r="L526" s="15">
        <v>11353.82</v>
      </c>
      <c r="M526" s="15">
        <v>11353.82</v>
      </c>
      <c r="N526" s="15">
        <v>11353.82</v>
      </c>
      <c r="O526" t="s">
        <v>3028</v>
      </c>
    </row>
    <row r="527" spans="1:15" x14ac:dyDescent="0.25">
      <c r="A527" s="10" t="s">
        <v>1183</v>
      </c>
      <c r="B527" s="15">
        <v>307.08999999999997</v>
      </c>
      <c r="C527" s="15">
        <v>0</v>
      </c>
      <c r="D527" s="15">
        <v>0</v>
      </c>
      <c r="E527" s="15">
        <v>0</v>
      </c>
      <c r="F527" s="15">
        <v>0</v>
      </c>
      <c r="G527" s="15">
        <v>0</v>
      </c>
      <c r="H527" s="15">
        <v>0</v>
      </c>
      <c r="I527" s="15">
        <v>0</v>
      </c>
      <c r="J527" s="15">
        <v>0</v>
      </c>
      <c r="K527" s="15">
        <v>0</v>
      </c>
      <c r="L527" s="15">
        <v>0</v>
      </c>
      <c r="M527" s="15">
        <v>0</v>
      </c>
      <c r="N527" s="15">
        <v>109.68</v>
      </c>
      <c r="O527" t="s">
        <v>3028</v>
      </c>
    </row>
    <row r="528" spans="1:15" x14ac:dyDescent="0.25">
      <c r="A528" s="10" t="s">
        <v>1185</v>
      </c>
      <c r="B528" s="15">
        <v>1711.01</v>
      </c>
      <c r="C528" s="15">
        <v>1840.75</v>
      </c>
      <c r="D528" s="15">
        <v>1713.19</v>
      </c>
      <c r="E528" s="15">
        <v>1899.91</v>
      </c>
      <c r="F528" s="15">
        <v>1849.16</v>
      </c>
      <c r="G528" s="15">
        <v>3252.69</v>
      </c>
      <c r="H528" s="15">
        <v>1065.01</v>
      </c>
      <c r="I528" s="15">
        <v>2421.0700000000002</v>
      </c>
      <c r="J528" s="15">
        <v>2001.06</v>
      </c>
      <c r="K528" s="15">
        <v>1978.37</v>
      </c>
      <c r="L528" s="15">
        <v>1989.31</v>
      </c>
      <c r="M528" s="15">
        <v>1993.42</v>
      </c>
      <c r="N528" s="15">
        <v>2014.9</v>
      </c>
      <c r="O528" t="s">
        <v>3028</v>
      </c>
    </row>
    <row r="529" spans="1:15" x14ac:dyDescent="0.25">
      <c r="A529" s="10" t="s">
        <v>1187</v>
      </c>
      <c r="B529" s="15">
        <v>1750.39</v>
      </c>
      <c r="C529" s="15">
        <v>1714.85</v>
      </c>
      <c r="D529" s="15">
        <v>1686.6</v>
      </c>
      <c r="E529" s="15">
        <v>3797.73</v>
      </c>
      <c r="F529" s="15">
        <v>372.05</v>
      </c>
      <c r="G529" s="15">
        <v>1458.88</v>
      </c>
      <c r="H529" s="15">
        <v>1701.07</v>
      </c>
      <c r="I529" s="15">
        <v>2301.04</v>
      </c>
      <c r="J529" s="15">
        <v>1825.29</v>
      </c>
      <c r="K529" s="15">
        <v>1857.23</v>
      </c>
      <c r="L529" s="15">
        <v>1695.51</v>
      </c>
      <c r="M529" s="15">
        <v>1758.99</v>
      </c>
      <c r="N529" s="15">
        <v>1832.6</v>
      </c>
      <c r="O529" t="s">
        <v>3028</v>
      </c>
    </row>
    <row r="530" spans="1:15" x14ac:dyDescent="0.25">
      <c r="A530" s="10" t="s">
        <v>1191</v>
      </c>
      <c r="B530" s="15">
        <v>3996.63</v>
      </c>
      <c r="C530" s="15">
        <v>3433.03</v>
      </c>
      <c r="D530" s="15">
        <v>8459.18</v>
      </c>
      <c r="E530" s="15">
        <v>1079.07</v>
      </c>
      <c r="F530" s="15">
        <v>2786.55</v>
      </c>
      <c r="G530" s="15">
        <v>3376.93</v>
      </c>
      <c r="H530" s="15">
        <v>3685.72</v>
      </c>
      <c r="I530" s="15">
        <v>4846.04</v>
      </c>
      <c r="J530" s="15">
        <v>4001.16</v>
      </c>
      <c r="K530" s="15">
        <v>3861.63</v>
      </c>
      <c r="L530" s="15">
        <v>3814.05</v>
      </c>
      <c r="M530" s="15">
        <v>4115</v>
      </c>
      <c r="N530" s="15">
        <v>3932.85</v>
      </c>
      <c r="O530" t="s">
        <v>3028</v>
      </c>
    </row>
    <row r="531" spans="1:15" x14ac:dyDescent="0.25">
      <c r="A531" s="10" t="s">
        <v>1193</v>
      </c>
      <c r="B531" s="15">
        <v>0</v>
      </c>
      <c r="C531" s="15">
        <v>0</v>
      </c>
      <c r="D531" s="15">
        <v>0</v>
      </c>
      <c r="E531" s="15">
        <v>0</v>
      </c>
      <c r="F531" s="15">
        <v>0</v>
      </c>
      <c r="G531" s="15">
        <v>4916.05</v>
      </c>
      <c r="H531" s="15">
        <v>5899.26</v>
      </c>
      <c r="I531" s="15">
        <v>5899.26</v>
      </c>
      <c r="J531" s="15">
        <v>5899.26</v>
      </c>
      <c r="K531" s="15">
        <v>5899.26</v>
      </c>
      <c r="L531" s="15">
        <v>5899.26</v>
      </c>
      <c r="M531" s="15">
        <v>5899.26</v>
      </c>
      <c r="N531" s="15">
        <v>3441.24</v>
      </c>
      <c r="O531" t="s">
        <v>3028</v>
      </c>
    </row>
    <row r="532" spans="1:15" x14ac:dyDescent="0.25">
      <c r="A532" s="10" t="s">
        <v>1195</v>
      </c>
      <c r="B532" s="15">
        <v>2281.56</v>
      </c>
      <c r="C532" s="15">
        <v>2560.11</v>
      </c>
      <c r="D532" s="15">
        <v>2365.0700000000002</v>
      </c>
      <c r="E532" s="15">
        <v>2384.25</v>
      </c>
      <c r="F532" s="15">
        <v>2153.39</v>
      </c>
      <c r="G532" s="15">
        <v>3412.69</v>
      </c>
      <c r="H532" s="15">
        <v>1724.19</v>
      </c>
      <c r="I532" s="15">
        <v>3081.36</v>
      </c>
      <c r="J532" s="15">
        <v>417.44</v>
      </c>
      <c r="K532" s="15">
        <v>0</v>
      </c>
      <c r="L532" s="15">
        <v>0</v>
      </c>
      <c r="M532" s="15">
        <v>0</v>
      </c>
      <c r="N532" s="15">
        <v>2071.5500000000002</v>
      </c>
      <c r="O532" t="s">
        <v>3028</v>
      </c>
    </row>
    <row r="533" spans="1:15" x14ac:dyDescent="0.25">
      <c r="A533" s="10" t="s">
        <v>1197</v>
      </c>
      <c r="B533" s="15">
        <v>2846.79</v>
      </c>
      <c r="C533" s="15">
        <v>2788.11</v>
      </c>
      <c r="D533" s="15">
        <v>2774.34</v>
      </c>
      <c r="E533" s="15">
        <v>2915.37</v>
      </c>
      <c r="F533" s="15">
        <v>2784.31</v>
      </c>
      <c r="G533" s="15">
        <v>2797.85</v>
      </c>
      <c r="H533" s="15">
        <v>5306.2</v>
      </c>
      <c r="I533" s="15">
        <v>1905.96</v>
      </c>
      <c r="J533" s="15">
        <v>4800.66</v>
      </c>
      <c r="K533" s="15">
        <v>4588.75</v>
      </c>
      <c r="L533" s="15">
        <v>4346.95</v>
      </c>
      <c r="M533" s="15">
        <v>4338.7</v>
      </c>
      <c r="N533" s="15">
        <v>4390.4399999999996</v>
      </c>
      <c r="O533" t="s">
        <v>3028</v>
      </c>
    </row>
    <row r="534" spans="1:15" x14ac:dyDescent="0.25">
      <c r="A534" s="10" t="s">
        <v>1199</v>
      </c>
      <c r="B534" s="15">
        <v>1463.48</v>
      </c>
      <c r="C534" s="15">
        <v>1467.71</v>
      </c>
      <c r="D534" s="15">
        <v>1348.83</v>
      </c>
      <c r="E534" s="15">
        <v>3140.92</v>
      </c>
      <c r="F534" s="15">
        <v>6.51</v>
      </c>
      <c r="G534" s="15">
        <v>1316.17</v>
      </c>
      <c r="H534" s="15">
        <v>1324.49</v>
      </c>
      <c r="I534" s="15">
        <v>1706.44</v>
      </c>
      <c r="J534" s="15">
        <v>1613.53</v>
      </c>
      <c r="K534" s="15">
        <v>1447.72</v>
      </c>
      <c r="L534" s="15">
        <v>1447.89</v>
      </c>
      <c r="M534" s="15">
        <v>1453.86</v>
      </c>
      <c r="N534" s="15">
        <v>1492.87</v>
      </c>
      <c r="O534" t="s">
        <v>3028</v>
      </c>
    </row>
    <row r="535" spans="1:15" x14ac:dyDescent="0.25">
      <c r="A535" s="10" t="s">
        <v>1201</v>
      </c>
      <c r="B535" s="15">
        <v>0</v>
      </c>
      <c r="C535" s="15">
        <v>0</v>
      </c>
      <c r="D535" s="15">
        <v>0</v>
      </c>
      <c r="E535" s="15">
        <v>0</v>
      </c>
      <c r="F535" s="15">
        <v>0</v>
      </c>
      <c r="G535" s="15">
        <v>0</v>
      </c>
      <c r="H535" s="15">
        <v>0</v>
      </c>
      <c r="I535" s="15">
        <v>0</v>
      </c>
      <c r="J535" s="15">
        <v>1126.67</v>
      </c>
      <c r="K535" s="15">
        <v>1836.94</v>
      </c>
      <c r="L535" s="15">
        <v>1916.2</v>
      </c>
      <c r="M535" s="15">
        <v>2234.52</v>
      </c>
      <c r="N535" s="15">
        <v>608.70000000000005</v>
      </c>
      <c r="O535" t="s">
        <v>3028</v>
      </c>
    </row>
    <row r="536" spans="1:15" x14ac:dyDescent="0.25">
      <c r="A536" s="10" t="s">
        <v>1203</v>
      </c>
      <c r="B536" s="15">
        <v>1706.46</v>
      </c>
      <c r="C536" s="15">
        <v>2092.4</v>
      </c>
      <c r="D536" s="15">
        <v>503.08</v>
      </c>
      <c r="E536" s="15">
        <v>0</v>
      </c>
      <c r="F536" s="15">
        <v>0</v>
      </c>
      <c r="G536" s="15">
        <v>0</v>
      </c>
      <c r="H536" s="15">
        <v>0</v>
      </c>
      <c r="I536" s="15">
        <v>0</v>
      </c>
      <c r="J536" s="15">
        <v>0</v>
      </c>
      <c r="K536" s="15">
        <v>0</v>
      </c>
      <c r="L536" s="15">
        <v>0</v>
      </c>
      <c r="M536" s="15">
        <v>0</v>
      </c>
      <c r="N536" s="15">
        <v>637.54999999999995</v>
      </c>
      <c r="O536" t="s">
        <v>3028</v>
      </c>
    </row>
    <row r="537" spans="1:15" x14ac:dyDescent="0.25">
      <c r="A537" s="10" t="s">
        <v>1205</v>
      </c>
      <c r="B537" s="15">
        <v>0</v>
      </c>
      <c r="C537" s="15">
        <v>0</v>
      </c>
      <c r="D537" s="15">
        <v>0</v>
      </c>
      <c r="E537" s="15">
        <v>0</v>
      </c>
      <c r="F537" s="15">
        <v>0</v>
      </c>
      <c r="G537" s="15">
        <v>0</v>
      </c>
      <c r="H537" s="15">
        <v>0</v>
      </c>
      <c r="I537" s="15">
        <v>0</v>
      </c>
      <c r="J537" s="15">
        <v>4333.33</v>
      </c>
      <c r="K537" s="15">
        <v>5000</v>
      </c>
      <c r="L537" s="15">
        <v>5000</v>
      </c>
      <c r="M537" s="15">
        <v>5000</v>
      </c>
      <c r="N537" s="15">
        <v>1666.67</v>
      </c>
      <c r="O537" t="s">
        <v>3028</v>
      </c>
    </row>
    <row r="538" spans="1:15" x14ac:dyDescent="0.25">
      <c r="A538" s="10" t="s">
        <v>1207</v>
      </c>
      <c r="B538" s="15">
        <v>4064.6</v>
      </c>
      <c r="C538" s="15">
        <v>4090.48</v>
      </c>
      <c r="D538" s="15">
        <v>4113.8999999999996</v>
      </c>
      <c r="E538" s="15">
        <v>4361.8999999999996</v>
      </c>
      <c r="F538" s="15">
        <v>4015.63</v>
      </c>
      <c r="G538" s="15">
        <v>7566.51</v>
      </c>
      <c r="H538" s="15">
        <v>1921.45</v>
      </c>
      <c r="I538" s="15">
        <v>5335.75</v>
      </c>
      <c r="J538" s="15">
        <v>4557.1000000000004</v>
      </c>
      <c r="K538" s="15">
        <v>4902.67</v>
      </c>
      <c r="L538" s="15">
        <v>4463.97</v>
      </c>
      <c r="M538" s="15">
        <v>4428.51</v>
      </c>
      <c r="N538" s="15">
        <v>4540.59</v>
      </c>
      <c r="O538" t="s">
        <v>3028</v>
      </c>
    </row>
    <row r="539" spans="1:15" x14ac:dyDescent="0.25">
      <c r="A539" s="10" t="s">
        <v>1209</v>
      </c>
      <c r="B539" s="15">
        <v>4496.12</v>
      </c>
      <c r="C539" s="15">
        <v>4058.24</v>
      </c>
      <c r="D539" s="15">
        <v>4189.32</v>
      </c>
      <c r="E539" s="15">
        <v>4104.84</v>
      </c>
      <c r="F539" s="15">
        <v>4081.45</v>
      </c>
      <c r="G539" s="15">
        <v>9217.7800000000007</v>
      </c>
      <c r="H539" s="15">
        <v>580.79999999999995</v>
      </c>
      <c r="I539" s="15">
        <v>5398.83</v>
      </c>
      <c r="J539" s="15">
        <v>4441.55</v>
      </c>
      <c r="K539" s="15">
        <v>4589.6000000000004</v>
      </c>
      <c r="L539" s="15">
        <v>4441.55</v>
      </c>
      <c r="M539" s="15">
        <v>4441.55</v>
      </c>
      <c r="N539" s="15">
        <v>4531.83</v>
      </c>
      <c r="O539" t="s">
        <v>3028</v>
      </c>
    </row>
    <row r="540" spans="1:15" x14ac:dyDescent="0.25">
      <c r="A540" s="10" t="s">
        <v>1211</v>
      </c>
      <c r="B540" s="15">
        <v>2793.55</v>
      </c>
      <c r="C540" s="15">
        <v>2762.72</v>
      </c>
      <c r="D540" s="15">
        <v>2411.69</v>
      </c>
      <c r="E540" s="15">
        <v>5199.2700000000004</v>
      </c>
      <c r="F540" s="15">
        <v>1014.65</v>
      </c>
      <c r="G540" s="15">
        <v>2704.1</v>
      </c>
      <c r="H540" s="15">
        <v>2815.18</v>
      </c>
      <c r="I540" s="15">
        <v>3712.29</v>
      </c>
      <c r="J540" s="15">
        <v>2977.69</v>
      </c>
      <c r="K540" s="15">
        <v>3591.99</v>
      </c>
      <c r="L540" s="15">
        <v>2991.02</v>
      </c>
      <c r="M540" s="15">
        <v>2658.13</v>
      </c>
      <c r="N540" s="15">
        <v>2999.1</v>
      </c>
      <c r="O540" t="s">
        <v>3028</v>
      </c>
    </row>
    <row r="541" spans="1:15" x14ac:dyDescent="0.25">
      <c r="A541" s="10" t="s">
        <v>1213</v>
      </c>
      <c r="B541" s="15">
        <v>2915.62</v>
      </c>
      <c r="C541" s="15">
        <v>2765.48</v>
      </c>
      <c r="D541" s="15">
        <v>2765.48</v>
      </c>
      <c r="E541" s="15">
        <v>2765.48</v>
      </c>
      <c r="F541" s="15">
        <v>2777.06</v>
      </c>
      <c r="G541" s="15">
        <v>2769.8</v>
      </c>
      <c r="H541" s="15">
        <v>2772.52</v>
      </c>
      <c r="I541" s="15">
        <v>5340.27</v>
      </c>
      <c r="J541" s="15">
        <v>2043.13</v>
      </c>
      <c r="K541" s="15">
        <v>3268.45</v>
      </c>
      <c r="L541" s="15">
        <v>3156.46</v>
      </c>
      <c r="M541" s="15">
        <v>3071.84</v>
      </c>
      <c r="N541" s="15">
        <v>3080.99</v>
      </c>
      <c r="O541" t="s">
        <v>3028</v>
      </c>
    </row>
    <row r="542" spans="1:15" x14ac:dyDescent="0.25">
      <c r="A542" s="10" t="s">
        <v>1215</v>
      </c>
      <c r="B542" s="15">
        <v>1380.79</v>
      </c>
      <c r="C542" s="15">
        <v>1376.33</v>
      </c>
      <c r="D542" s="15">
        <v>1346.2</v>
      </c>
      <c r="E542" s="15">
        <v>1392.83</v>
      </c>
      <c r="F542" s="15">
        <v>1349.47</v>
      </c>
      <c r="G542" s="15">
        <v>1568.24</v>
      </c>
      <c r="H542" s="15">
        <v>1816.89</v>
      </c>
      <c r="I542" s="15">
        <v>4076.51</v>
      </c>
      <c r="J542" s="15">
        <v>1360.01</v>
      </c>
      <c r="K542" s="15">
        <v>1990.54</v>
      </c>
      <c r="L542" s="15">
        <v>1987.25</v>
      </c>
      <c r="M542" s="15">
        <v>2120.5100000000002</v>
      </c>
      <c r="N542" s="15">
        <v>2065.36</v>
      </c>
      <c r="O542" t="s">
        <v>3028</v>
      </c>
    </row>
    <row r="543" spans="1:15" x14ac:dyDescent="0.25">
      <c r="A543" s="10" t="s">
        <v>1217</v>
      </c>
      <c r="B543" s="15">
        <v>4308.54</v>
      </c>
      <c r="C543" s="15">
        <v>4637.74</v>
      </c>
      <c r="D543" s="15">
        <v>4636.17</v>
      </c>
      <c r="E543" s="15">
        <v>4254.18</v>
      </c>
      <c r="F543" s="15">
        <v>4180.8500000000004</v>
      </c>
      <c r="G543" s="15">
        <v>4226.87</v>
      </c>
      <c r="H543" s="15">
        <v>4159.8</v>
      </c>
      <c r="I543" s="15">
        <v>4190.57</v>
      </c>
      <c r="J543" s="15">
        <v>4177.55</v>
      </c>
      <c r="K543" s="15">
        <v>4973.17</v>
      </c>
      <c r="L543" s="15">
        <v>4579.3100000000004</v>
      </c>
      <c r="M543" s="15">
        <v>4559.97</v>
      </c>
      <c r="N543" s="15">
        <v>4682.67</v>
      </c>
      <c r="O543" t="s">
        <v>3028</v>
      </c>
    </row>
    <row r="544" spans="1:15" x14ac:dyDescent="0.25">
      <c r="A544" s="10" t="s">
        <v>1219</v>
      </c>
      <c r="B544" s="15">
        <v>2759.78</v>
      </c>
      <c r="C544" s="15">
        <v>2777.14</v>
      </c>
      <c r="D544" s="15">
        <v>2282.38</v>
      </c>
      <c r="E544" s="15">
        <v>2133.04</v>
      </c>
      <c r="F544" s="15">
        <v>2353.92</v>
      </c>
      <c r="G544" s="15">
        <v>2112</v>
      </c>
      <c r="H544" s="15">
        <v>2123.7600000000002</v>
      </c>
      <c r="I544" s="15">
        <v>2318.36</v>
      </c>
      <c r="J544" s="15">
        <v>3841.23</v>
      </c>
      <c r="K544" s="15">
        <v>1831.98</v>
      </c>
      <c r="L544" s="15">
        <v>2538.5100000000002</v>
      </c>
      <c r="M544" s="15">
        <v>2315.17</v>
      </c>
      <c r="N544" s="15">
        <v>2473.2199999999998</v>
      </c>
      <c r="O544" t="s">
        <v>3028</v>
      </c>
    </row>
    <row r="545" spans="1:15" x14ac:dyDescent="0.25">
      <c r="A545" s="10" t="s">
        <v>1221</v>
      </c>
      <c r="B545" s="15">
        <v>2104.04</v>
      </c>
      <c r="C545" s="15">
        <v>2230.02</v>
      </c>
      <c r="D545" s="15">
        <v>2236.6799999999998</v>
      </c>
      <c r="E545" s="15">
        <v>2262.4299999999998</v>
      </c>
      <c r="F545" s="15">
        <v>2224.39</v>
      </c>
      <c r="G545" s="15">
        <v>3380.53</v>
      </c>
      <c r="H545" s="15">
        <v>2116.13</v>
      </c>
      <c r="I545" s="15">
        <v>3070.98</v>
      </c>
      <c r="J545" s="15">
        <v>2433.3200000000002</v>
      </c>
      <c r="K545" s="15">
        <v>2528.85</v>
      </c>
      <c r="L545" s="15">
        <v>2449.66</v>
      </c>
      <c r="M545" s="15">
        <v>2485.42</v>
      </c>
      <c r="N545" s="15">
        <v>2470.66</v>
      </c>
      <c r="O545" t="s">
        <v>3028</v>
      </c>
    </row>
    <row r="546" spans="1:15" x14ac:dyDescent="0.25">
      <c r="A546" s="10" t="s">
        <v>1223</v>
      </c>
      <c r="B546" s="15">
        <v>2152.39</v>
      </c>
      <c r="C546" s="15">
        <v>2154.69</v>
      </c>
      <c r="D546" s="15">
        <v>1918.63</v>
      </c>
      <c r="E546" s="15">
        <v>1767.26</v>
      </c>
      <c r="F546" s="15">
        <v>1773.99</v>
      </c>
      <c r="G546" s="15">
        <v>4310.26</v>
      </c>
      <c r="H546" s="15">
        <v>119.76</v>
      </c>
      <c r="I546" s="15">
        <v>2242.42</v>
      </c>
      <c r="J546" s="15">
        <v>1941.61</v>
      </c>
      <c r="K546" s="15">
        <v>1938</v>
      </c>
      <c r="L546" s="15">
        <v>1918.07</v>
      </c>
      <c r="M546" s="15">
        <v>2027.19</v>
      </c>
      <c r="N546" s="15">
        <v>2032.53</v>
      </c>
      <c r="O546" t="s">
        <v>3028</v>
      </c>
    </row>
    <row r="547" spans="1:15" x14ac:dyDescent="0.25">
      <c r="A547" s="10" t="s">
        <v>1225</v>
      </c>
      <c r="B547" s="15">
        <v>1299.8399999999999</v>
      </c>
      <c r="C547" s="15">
        <v>1299.82</v>
      </c>
      <c r="D547" s="15">
        <v>1167.1400000000001</v>
      </c>
      <c r="E547" s="15">
        <v>1310.33</v>
      </c>
      <c r="F547" s="15">
        <v>1301.5999999999999</v>
      </c>
      <c r="G547" s="15">
        <v>1301.1099999999999</v>
      </c>
      <c r="H547" s="15">
        <v>3057.9</v>
      </c>
      <c r="I547" s="15">
        <v>7.74</v>
      </c>
      <c r="J547" s="15">
        <v>1306.67</v>
      </c>
      <c r="K547" s="15">
        <v>1565.77</v>
      </c>
      <c r="L547" s="15">
        <v>1429.97</v>
      </c>
      <c r="M547" s="15">
        <v>1426.67</v>
      </c>
      <c r="N547" s="15">
        <v>1430.64</v>
      </c>
      <c r="O547" t="s">
        <v>3028</v>
      </c>
    </row>
    <row r="548" spans="1:15" x14ac:dyDescent="0.25">
      <c r="A548" s="10" t="s">
        <v>1227</v>
      </c>
      <c r="B548" s="15">
        <v>4940.54</v>
      </c>
      <c r="C548" s="15">
        <v>7823.05</v>
      </c>
      <c r="D548" s="15">
        <v>117.04</v>
      </c>
      <c r="E548" s="15">
        <v>3318.22</v>
      </c>
      <c r="F548" s="15">
        <v>3319.66</v>
      </c>
      <c r="G548" s="15">
        <v>3320.22</v>
      </c>
      <c r="H548" s="15">
        <v>3335.42</v>
      </c>
      <c r="I548" s="15">
        <v>4297.32</v>
      </c>
      <c r="J548" s="15">
        <v>3643.74</v>
      </c>
      <c r="K548" s="15">
        <v>3686.66</v>
      </c>
      <c r="L548" s="15">
        <v>3649.65</v>
      </c>
      <c r="M548" s="15">
        <v>3643.74</v>
      </c>
      <c r="N548" s="15">
        <v>3796.02</v>
      </c>
      <c r="O548" t="s">
        <v>3028</v>
      </c>
    </row>
    <row r="549" spans="1:15" x14ac:dyDescent="0.25">
      <c r="A549" s="10" t="s">
        <v>1229</v>
      </c>
      <c r="B549" s="15">
        <v>4476.2700000000004</v>
      </c>
      <c r="C549" s="15">
        <v>4380</v>
      </c>
      <c r="D549" s="15">
        <v>4380</v>
      </c>
      <c r="E549" s="15">
        <v>4380</v>
      </c>
      <c r="F549" s="15">
        <v>4380</v>
      </c>
      <c r="G549" s="15">
        <v>4380</v>
      </c>
      <c r="H549" s="15">
        <v>4380</v>
      </c>
      <c r="I549" s="15">
        <v>5670.36</v>
      </c>
      <c r="J549" s="15">
        <v>11258.75</v>
      </c>
      <c r="K549" s="15">
        <v>160.34</v>
      </c>
      <c r="L549" s="15">
        <v>4680.1499999999996</v>
      </c>
      <c r="M549" s="15">
        <v>4843.3599999999997</v>
      </c>
      <c r="N549" s="15">
        <v>4824.05</v>
      </c>
      <c r="O549" t="s">
        <v>3028</v>
      </c>
    </row>
    <row r="550" spans="1:15" x14ac:dyDescent="0.25">
      <c r="A550" s="10" t="s">
        <v>1231</v>
      </c>
      <c r="B550" s="15">
        <v>8845.43</v>
      </c>
      <c r="C550" s="15">
        <v>7603.2</v>
      </c>
      <c r="D550" s="15">
        <v>10087.66</v>
      </c>
      <c r="E550" s="15">
        <v>7603.2</v>
      </c>
      <c r="F550" s="15">
        <v>7603.2</v>
      </c>
      <c r="G550" s="15">
        <v>8845.43</v>
      </c>
      <c r="H550" s="15">
        <v>7603.2</v>
      </c>
      <c r="I550" s="15">
        <v>7603.2</v>
      </c>
      <c r="J550" s="15">
        <v>9694.83</v>
      </c>
      <c r="K550" s="15">
        <v>8987.7800000000007</v>
      </c>
      <c r="L550" s="15">
        <v>8334.6299999999992</v>
      </c>
      <c r="M550" s="15">
        <v>8334.6299999999992</v>
      </c>
      <c r="N550" s="15">
        <v>8334.6299999999992</v>
      </c>
      <c r="O550" t="s">
        <v>3028</v>
      </c>
    </row>
    <row r="551" spans="1:15" x14ac:dyDescent="0.25">
      <c r="A551" s="10" t="s">
        <v>1233</v>
      </c>
      <c r="B551" s="15">
        <v>0</v>
      </c>
      <c r="C551" s="15">
        <v>0</v>
      </c>
      <c r="D551" s="15">
        <v>2102.4</v>
      </c>
      <c r="E551" s="15">
        <v>2741.64</v>
      </c>
      <c r="F551" s="15">
        <v>2732.57</v>
      </c>
      <c r="G551" s="15">
        <v>3077.57</v>
      </c>
      <c r="H551" s="15">
        <v>2955.37</v>
      </c>
      <c r="I551" s="15">
        <v>4137.41</v>
      </c>
      <c r="J551" s="15">
        <v>3470.91</v>
      </c>
      <c r="K551" s="15">
        <v>489.45</v>
      </c>
      <c r="L551" s="15">
        <v>0</v>
      </c>
      <c r="M551" s="15">
        <v>0</v>
      </c>
      <c r="N551" s="15">
        <v>2133.48</v>
      </c>
      <c r="O551" t="s">
        <v>3028</v>
      </c>
    </row>
    <row r="552" spans="1:15" x14ac:dyDescent="0.25">
      <c r="A552" s="10" t="s">
        <v>1235</v>
      </c>
      <c r="B552" s="15">
        <v>1785.89</v>
      </c>
      <c r="C552" s="15">
        <v>1787.47</v>
      </c>
      <c r="D552" s="15">
        <v>1973.97</v>
      </c>
      <c r="E552" s="15">
        <v>1766.31</v>
      </c>
      <c r="F552" s="15">
        <v>1783.95</v>
      </c>
      <c r="G552" s="15">
        <v>1775.14</v>
      </c>
      <c r="H552" s="15">
        <v>4201.18</v>
      </c>
      <c r="I552" s="15">
        <v>786.46</v>
      </c>
      <c r="J552" s="15">
        <v>1939.76</v>
      </c>
      <c r="K552" s="15">
        <v>1968.2</v>
      </c>
      <c r="L552" s="15">
        <v>1975.59</v>
      </c>
      <c r="M552" s="15">
        <v>2043.17</v>
      </c>
      <c r="N552" s="15">
        <v>1997.98</v>
      </c>
      <c r="O552" t="s">
        <v>3028</v>
      </c>
    </row>
    <row r="553" spans="1:15" x14ac:dyDescent="0.25">
      <c r="A553" s="10" t="s">
        <v>1237</v>
      </c>
      <c r="B553" s="15">
        <v>2473.9</v>
      </c>
      <c r="C553" s="15">
        <v>2507.58</v>
      </c>
      <c r="D553" s="15">
        <v>2377.64</v>
      </c>
      <c r="E553" s="15">
        <v>2238.36</v>
      </c>
      <c r="F553" s="15">
        <v>2113.61</v>
      </c>
      <c r="G553" s="15">
        <v>2115.21</v>
      </c>
      <c r="H553" s="15">
        <v>2114.31</v>
      </c>
      <c r="I553" s="15">
        <v>2175.65</v>
      </c>
      <c r="J553" s="15">
        <v>5155.3900000000003</v>
      </c>
      <c r="K553" s="15">
        <v>608.53</v>
      </c>
      <c r="L553" s="15">
        <v>2238</v>
      </c>
      <c r="M553" s="15">
        <v>2315.17</v>
      </c>
      <c r="N553" s="15">
        <v>2409.87</v>
      </c>
      <c r="O553" t="s">
        <v>3028</v>
      </c>
    </row>
    <row r="554" spans="1:15" x14ac:dyDescent="0.25">
      <c r="A554" s="10" t="s">
        <v>1239</v>
      </c>
      <c r="B554" s="15">
        <v>4007.72</v>
      </c>
      <c r="C554" s="15">
        <v>4170.5200000000004</v>
      </c>
      <c r="D554" s="15">
        <v>4029.36</v>
      </c>
      <c r="E554" s="15">
        <v>4009.03</v>
      </c>
      <c r="F554" s="15">
        <v>3955.81</v>
      </c>
      <c r="G554" s="15">
        <v>7751.03</v>
      </c>
      <c r="H554" s="15">
        <v>1395.16</v>
      </c>
      <c r="I554" s="15">
        <v>5286.32</v>
      </c>
      <c r="J554" s="15">
        <v>4271.28</v>
      </c>
      <c r="K554" s="15">
        <v>4400.09</v>
      </c>
      <c r="L554" s="15">
        <v>4347.71</v>
      </c>
      <c r="M554" s="15">
        <v>4442.2</v>
      </c>
      <c r="N554" s="15">
        <v>4404.3999999999996</v>
      </c>
      <c r="O554" t="s">
        <v>3028</v>
      </c>
    </row>
    <row r="555" spans="1:15" x14ac:dyDescent="0.25">
      <c r="A555" s="10" t="s">
        <v>1241</v>
      </c>
      <c r="B555" s="15">
        <v>978.07</v>
      </c>
      <c r="C555" s="15">
        <v>2898.68</v>
      </c>
      <c r="D555" s="15">
        <v>2838.24</v>
      </c>
      <c r="E555" s="15">
        <v>2934.42</v>
      </c>
      <c r="F555" s="15">
        <v>2917.01</v>
      </c>
      <c r="G555" s="15">
        <v>2858.66</v>
      </c>
      <c r="H555" s="15">
        <v>2968.8</v>
      </c>
      <c r="I555" s="15">
        <v>4596.6899999999996</v>
      </c>
      <c r="J555" s="15">
        <v>3145.34</v>
      </c>
      <c r="K555" s="15">
        <v>3189.86</v>
      </c>
      <c r="L555" s="15">
        <v>3150.69</v>
      </c>
      <c r="M555" s="15">
        <v>3198.5</v>
      </c>
      <c r="N555" s="15">
        <v>3173.93</v>
      </c>
      <c r="O555" t="s">
        <v>3028</v>
      </c>
    </row>
    <row r="556" spans="1:15" x14ac:dyDescent="0.25">
      <c r="A556" s="10" t="s">
        <v>1243</v>
      </c>
      <c r="B556" s="15">
        <v>1820.27</v>
      </c>
      <c r="C556" s="15">
        <v>2092.7600000000002</v>
      </c>
      <c r="D556" s="15">
        <v>1829.19</v>
      </c>
      <c r="E556" s="15">
        <v>1822.05</v>
      </c>
      <c r="F556" s="15">
        <v>1649.48</v>
      </c>
      <c r="G556" s="15">
        <v>2005.94</v>
      </c>
      <c r="H556" s="15">
        <v>4358.1099999999997</v>
      </c>
      <c r="I556" s="15">
        <v>634.26</v>
      </c>
      <c r="J556" s="15">
        <v>1957.17</v>
      </c>
      <c r="K556" s="15">
        <v>2018.18</v>
      </c>
      <c r="L556" s="15">
        <v>2005.94</v>
      </c>
      <c r="M556" s="15">
        <v>2107.56</v>
      </c>
      <c r="N556" s="15">
        <v>2033.3</v>
      </c>
      <c r="O556" t="s">
        <v>3028</v>
      </c>
    </row>
    <row r="557" spans="1:15" x14ac:dyDescent="0.25">
      <c r="A557" s="10" t="s">
        <v>1245</v>
      </c>
      <c r="B557" s="15">
        <v>260</v>
      </c>
      <c r="C557" s="15">
        <v>0</v>
      </c>
      <c r="D557" s="15">
        <v>0</v>
      </c>
      <c r="E557" s="15">
        <v>0</v>
      </c>
      <c r="F557" s="15">
        <v>0</v>
      </c>
      <c r="G557" s="15">
        <v>0</v>
      </c>
      <c r="H557" s="15">
        <v>0</v>
      </c>
      <c r="I557" s="15">
        <v>0</v>
      </c>
      <c r="J557" s="15">
        <v>0</v>
      </c>
      <c r="K557" s="15">
        <v>0</v>
      </c>
      <c r="L557" s="15">
        <v>0</v>
      </c>
      <c r="M557" s="15">
        <v>0</v>
      </c>
      <c r="N557" s="15">
        <v>108.33</v>
      </c>
      <c r="O557" t="s">
        <v>3028</v>
      </c>
    </row>
    <row r="558" spans="1:15" x14ac:dyDescent="0.25">
      <c r="A558" s="10" t="s">
        <v>1247</v>
      </c>
      <c r="B558" s="15">
        <v>2150.86</v>
      </c>
      <c r="C558" s="15">
        <v>2140.29</v>
      </c>
      <c r="D558" s="15">
        <v>2353.69</v>
      </c>
      <c r="E558" s="15">
        <v>3866.2</v>
      </c>
      <c r="F558" s="15">
        <v>1248.69</v>
      </c>
      <c r="G558" s="15">
        <v>2459.88</v>
      </c>
      <c r="H558" s="15">
        <v>2134.08</v>
      </c>
      <c r="I558" s="15">
        <v>3018.19</v>
      </c>
      <c r="J558" s="15">
        <v>2360.31</v>
      </c>
      <c r="K558" s="15">
        <v>2362.7600000000002</v>
      </c>
      <c r="L558" s="15">
        <v>2494.4</v>
      </c>
      <c r="M558" s="15">
        <v>2787.42</v>
      </c>
      <c r="N558" s="15">
        <v>2465.8200000000002</v>
      </c>
      <c r="O558" t="s">
        <v>3028</v>
      </c>
    </row>
    <row r="559" spans="1:15" x14ac:dyDescent="0.25">
      <c r="A559" s="10" t="s">
        <v>1249</v>
      </c>
      <c r="B559" s="15">
        <v>0</v>
      </c>
      <c r="C559" s="15">
        <v>0</v>
      </c>
      <c r="D559" s="15">
        <v>0</v>
      </c>
      <c r="E559" s="15">
        <v>0</v>
      </c>
      <c r="F559" s="15">
        <v>0</v>
      </c>
      <c r="G559" s="15">
        <v>0</v>
      </c>
      <c r="H559" s="15">
        <v>0</v>
      </c>
      <c r="I559" s="15">
        <v>1256.67</v>
      </c>
      <c r="J559" s="15">
        <v>1317.47</v>
      </c>
      <c r="K559" s="15">
        <v>1592.77</v>
      </c>
      <c r="L559" s="15">
        <v>1644.12</v>
      </c>
      <c r="M559" s="15">
        <v>1469.61</v>
      </c>
      <c r="N559" s="15">
        <v>620.88</v>
      </c>
      <c r="O559" t="s">
        <v>3028</v>
      </c>
    </row>
    <row r="560" spans="1:15" x14ac:dyDescent="0.25">
      <c r="A560" s="10" t="s">
        <v>1251</v>
      </c>
      <c r="B560" s="15">
        <v>1813.6</v>
      </c>
      <c r="C560" s="15">
        <v>2098.2199999999998</v>
      </c>
      <c r="D560" s="15">
        <v>2128.83</v>
      </c>
      <c r="E560" s="15">
        <v>3545.17</v>
      </c>
      <c r="F560" s="15">
        <v>807.53</v>
      </c>
      <c r="G560" s="15">
        <v>1788.64</v>
      </c>
      <c r="H560" s="15">
        <v>2203.16</v>
      </c>
      <c r="I560" s="15">
        <v>2675.34</v>
      </c>
      <c r="J560" s="15">
        <v>1951.07</v>
      </c>
      <c r="K560" s="15">
        <v>2000.54</v>
      </c>
      <c r="L560" s="15">
        <v>1958.29</v>
      </c>
      <c r="M560" s="15">
        <v>2022.53</v>
      </c>
      <c r="N560" s="15">
        <v>2128.0700000000002</v>
      </c>
      <c r="O560" t="s">
        <v>3028</v>
      </c>
    </row>
    <row r="561" spans="1:15" x14ac:dyDescent="0.25">
      <c r="A561" s="10" t="s">
        <v>1253</v>
      </c>
      <c r="B561" s="15">
        <v>0</v>
      </c>
      <c r="C561" s="15">
        <v>1213.33</v>
      </c>
      <c r="D561" s="15">
        <v>1309.9100000000001</v>
      </c>
      <c r="E561" s="15">
        <v>1307.79</v>
      </c>
      <c r="F561" s="15">
        <v>1317.48</v>
      </c>
      <c r="G561" s="15">
        <v>1313.89</v>
      </c>
      <c r="H561" s="15">
        <v>1344.58</v>
      </c>
      <c r="I561" s="15">
        <v>1343.25</v>
      </c>
      <c r="J561" s="15">
        <v>1337.25</v>
      </c>
      <c r="K561" s="15">
        <v>1627.45</v>
      </c>
      <c r="L561" s="15">
        <v>1612.81</v>
      </c>
      <c r="M561" s="15">
        <v>1489.06</v>
      </c>
      <c r="N561" s="15">
        <v>1349.41</v>
      </c>
      <c r="O561" t="s">
        <v>3028</v>
      </c>
    </row>
    <row r="562" spans="1:15" x14ac:dyDescent="0.25">
      <c r="A562" s="10" t="s">
        <v>1255</v>
      </c>
      <c r="B562" s="15">
        <v>3993.5</v>
      </c>
      <c r="C562" s="15">
        <v>3882.62</v>
      </c>
      <c r="D562" s="15">
        <v>3882.62</v>
      </c>
      <c r="E562" s="15">
        <v>3915.18</v>
      </c>
      <c r="F562" s="15">
        <v>3930.06</v>
      </c>
      <c r="G562" s="15">
        <v>3896.43</v>
      </c>
      <c r="H562" s="15">
        <v>3882.62</v>
      </c>
      <c r="I562" s="15">
        <v>5027.7700000000004</v>
      </c>
      <c r="J562" s="15">
        <v>8121.11</v>
      </c>
      <c r="K562" s="15">
        <v>1566.43</v>
      </c>
      <c r="L562" s="15">
        <v>4263.8900000000003</v>
      </c>
      <c r="M562" s="15">
        <v>4277.45</v>
      </c>
      <c r="N562" s="15">
        <v>4296.4799999999996</v>
      </c>
      <c r="O562" t="s">
        <v>3028</v>
      </c>
    </row>
    <row r="563" spans="1:15" x14ac:dyDescent="0.25">
      <c r="A563" s="10" t="s">
        <v>1257</v>
      </c>
      <c r="B563" s="15">
        <v>5380.78</v>
      </c>
      <c r="C563" s="15">
        <v>5067.3599999999997</v>
      </c>
      <c r="D563" s="15">
        <v>5073.9399999999996</v>
      </c>
      <c r="E563" s="15">
        <v>5819.3</v>
      </c>
      <c r="F563" s="15">
        <v>5768.7</v>
      </c>
      <c r="G563" s="15">
        <v>5823.64</v>
      </c>
      <c r="H563" s="15">
        <v>5783.08</v>
      </c>
      <c r="I563" s="15">
        <v>7632.43</v>
      </c>
      <c r="J563" s="15">
        <v>6329.11</v>
      </c>
      <c r="K563" s="15">
        <v>6409.2</v>
      </c>
      <c r="L563" s="15">
        <v>8573.4699999999993</v>
      </c>
      <c r="M563" s="15">
        <v>6510.92</v>
      </c>
      <c r="N563" s="15">
        <v>6464.93</v>
      </c>
      <c r="O563" t="s">
        <v>3028</v>
      </c>
    </row>
    <row r="564" spans="1:15" x14ac:dyDescent="0.25">
      <c r="A564" s="10" t="s">
        <v>1259</v>
      </c>
      <c r="B564" s="15">
        <v>0</v>
      </c>
      <c r="C564" s="15">
        <v>2104.15</v>
      </c>
      <c r="D564" s="15">
        <v>2104.15</v>
      </c>
      <c r="E564" s="15">
        <v>2104.15</v>
      </c>
      <c r="F564" s="15">
        <v>2104.15</v>
      </c>
      <c r="G564" s="15">
        <v>2157.61</v>
      </c>
      <c r="H564" s="15">
        <v>2104.15</v>
      </c>
      <c r="I564" s="15">
        <v>2729.29</v>
      </c>
      <c r="J564" s="15">
        <v>2313.9899999999998</v>
      </c>
      <c r="K564" s="15">
        <v>2358.37</v>
      </c>
      <c r="L564" s="15">
        <v>2600.16</v>
      </c>
      <c r="M564" s="15">
        <v>2313.9299999999998</v>
      </c>
      <c r="N564" s="15">
        <v>2152.09</v>
      </c>
      <c r="O564" t="s">
        <v>3028</v>
      </c>
    </row>
    <row r="565" spans="1:15" x14ac:dyDescent="0.25">
      <c r="A565" s="10" t="s">
        <v>1261</v>
      </c>
      <c r="B565" s="15">
        <v>3891.74</v>
      </c>
      <c r="C565" s="15">
        <v>3882.62</v>
      </c>
      <c r="D565" s="15">
        <v>3882.62</v>
      </c>
      <c r="E565" s="15">
        <v>3882.62</v>
      </c>
      <c r="F565" s="15">
        <v>3882.62</v>
      </c>
      <c r="G565" s="15">
        <v>3882.62</v>
      </c>
      <c r="H565" s="15">
        <v>3882.62</v>
      </c>
      <c r="I565" s="15">
        <v>5026.43</v>
      </c>
      <c r="J565" s="15">
        <v>4269.8</v>
      </c>
      <c r="K565" s="15">
        <v>4264.8500000000004</v>
      </c>
      <c r="L565" s="15">
        <v>4264.88</v>
      </c>
      <c r="M565" s="15">
        <v>4407.04</v>
      </c>
      <c r="N565" s="15">
        <v>4265.46</v>
      </c>
      <c r="O565" t="s">
        <v>3028</v>
      </c>
    </row>
    <row r="566" spans="1:15" x14ac:dyDescent="0.25">
      <c r="A566" s="10" t="s">
        <v>1263</v>
      </c>
      <c r="B566" s="15">
        <v>2135.81</v>
      </c>
      <c r="C566" s="15">
        <v>1954.74</v>
      </c>
      <c r="D566" s="15">
        <v>1998.2</v>
      </c>
      <c r="E566" s="15">
        <v>4670.2299999999996</v>
      </c>
      <c r="F566" s="15">
        <v>277.61</v>
      </c>
      <c r="G566" s="15">
        <v>1948.93</v>
      </c>
      <c r="H566" s="15">
        <v>1998.09</v>
      </c>
      <c r="I566" s="15">
        <v>2747.99</v>
      </c>
      <c r="J566" s="15">
        <v>2204.23</v>
      </c>
      <c r="K566" s="15">
        <v>2053.94</v>
      </c>
      <c r="L566" s="15">
        <v>2171.0300000000002</v>
      </c>
      <c r="M566" s="15">
        <v>2202.85</v>
      </c>
      <c r="N566" s="15">
        <v>2183.63</v>
      </c>
      <c r="O566" t="s">
        <v>3028</v>
      </c>
    </row>
    <row r="567" spans="1:15" x14ac:dyDescent="0.25">
      <c r="A567" s="10" t="s">
        <v>1265</v>
      </c>
      <c r="B567" s="15">
        <v>4138.16</v>
      </c>
      <c r="C567" s="15">
        <v>4138.16</v>
      </c>
      <c r="D567" s="15">
        <v>4138.16</v>
      </c>
      <c r="E567" s="15">
        <v>4138.16</v>
      </c>
      <c r="F567" s="15">
        <v>4138.16</v>
      </c>
      <c r="G567" s="15">
        <v>4138.16</v>
      </c>
      <c r="H567" s="15">
        <v>4138.16</v>
      </c>
      <c r="I567" s="15">
        <v>8942.41</v>
      </c>
      <c r="J567" s="15">
        <v>1969.3</v>
      </c>
      <c r="K567" s="15">
        <v>4544.53</v>
      </c>
      <c r="L567" s="15">
        <v>4544.53</v>
      </c>
      <c r="M567" s="15">
        <v>4544.53</v>
      </c>
      <c r="N567" s="15">
        <v>4544.53</v>
      </c>
      <c r="O567" t="s">
        <v>3028</v>
      </c>
    </row>
    <row r="568" spans="1:15" x14ac:dyDescent="0.25">
      <c r="A568" s="10" t="s">
        <v>1267</v>
      </c>
      <c r="B568" s="15">
        <v>1760.16</v>
      </c>
      <c r="C568" s="15">
        <v>2040.56</v>
      </c>
      <c r="D568" s="15">
        <v>1684.05</v>
      </c>
      <c r="E568" s="15">
        <v>1481.38</v>
      </c>
      <c r="F568" s="15">
        <v>1376.08</v>
      </c>
      <c r="G568" s="15">
        <v>1425.54</v>
      </c>
      <c r="H568" s="15">
        <v>1517.1</v>
      </c>
      <c r="I568" s="15">
        <v>1693.51</v>
      </c>
      <c r="J568" s="15">
        <v>1639.64</v>
      </c>
      <c r="K568" s="15">
        <v>1950.48</v>
      </c>
      <c r="L568" s="15">
        <v>1935.95</v>
      </c>
      <c r="M568" s="15">
        <v>0</v>
      </c>
      <c r="N568" s="15">
        <v>1644.78</v>
      </c>
      <c r="O568" t="s">
        <v>3028</v>
      </c>
    </row>
    <row r="569" spans="1:15" x14ac:dyDescent="0.25">
      <c r="A569" s="10" t="s">
        <v>1269</v>
      </c>
      <c r="B569" s="15">
        <v>0</v>
      </c>
      <c r="C569" s="15">
        <v>0</v>
      </c>
      <c r="D569" s="15">
        <v>0</v>
      </c>
      <c r="E569" s="15">
        <v>0</v>
      </c>
      <c r="F569" s="15">
        <v>0</v>
      </c>
      <c r="G569" s="15">
        <v>0</v>
      </c>
      <c r="H569" s="15">
        <v>560</v>
      </c>
      <c r="I569" s="15">
        <v>620</v>
      </c>
      <c r="J569" s="15">
        <v>600</v>
      </c>
      <c r="K569" s="15">
        <v>620</v>
      </c>
      <c r="L569" s="15">
        <v>600</v>
      </c>
      <c r="M569" s="15">
        <v>620</v>
      </c>
      <c r="N569" s="15">
        <v>300</v>
      </c>
      <c r="O569" t="s">
        <v>3028</v>
      </c>
    </row>
    <row r="570" spans="1:15" x14ac:dyDescent="0.25">
      <c r="A570" s="10" t="s">
        <v>1271</v>
      </c>
      <c r="B570" s="15">
        <v>4840.1499999999996</v>
      </c>
      <c r="C570" s="15">
        <v>4164.32</v>
      </c>
      <c r="D570" s="15">
        <v>4144.6899999999996</v>
      </c>
      <c r="E570" s="15">
        <v>4189.49</v>
      </c>
      <c r="F570" s="15">
        <v>4139.1000000000004</v>
      </c>
      <c r="G570" s="15">
        <v>4162.43</v>
      </c>
      <c r="H570" s="15">
        <v>4167.32</v>
      </c>
      <c r="I570" s="15">
        <v>6507.96</v>
      </c>
      <c r="J570" s="15">
        <v>4668.93</v>
      </c>
      <c r="K570" s="15">
        <v>4545.5600000000004</v>
      </c>
      <c r="L570" s="15">
        <v>4553.76</v>
      </c>
      <c r="M570" s="15">
        <v>4685.24</v>
      </c>
      <c r="N570" s="15">
        <v>4645.8999999999996</v>
      </c>
      <c r="O570" t="s">
        <v>3028</v>
      </c>
    </row>
    <row r="571" spans="1:15" x14ac:dyDescent="0.25">
      <c r="A571" s="10" t="s">
        <v>1273</v>
      </c>
      <c r="B571" s="15">
        <v>8542.34</v>
      </c>
      <c r="C571" s="15">
        <v>8542.34</v>
      </c>
      <c r="D571" s="15">
        <v>8542.34</v>
      </c>
      <c r="E571" s="15">
        <v>8542.34</v>
      </c>
      <c r="F571" s="15">
        <v>8542.34</v>
      </c>
      <c r="G571" s="15">
        <v>8542.34</v>
      </c>
      <c r="H571" s="15">
        <v>8542.34</v>
      </c>
      <c r="I571" s="15">
        <v>11294.87</v>
      </c>
      <c r="J571" s="15">
        <v>7688.11</v>
      </c>
      <c r="K571" s="15">
        <v>10213.27</v>
      </c>
      <c r="L571" s="15">
        <v>9364.11</v>
      </c>
      <c r="M571" s="15">
        <v>9364.11</v>
      </c>
      <c r="N571" s="15">
        <v>9364.11</v>
      </c>
      <c r="O571" t="s">
        <v>3028</v>
      </c>
    </row>
    <row r="572" spans="1:15" x14ac:dyDescent="0.25">
      <c r="A572" s="10" t="s">
        <v>1275</v>
      </c>
      <c r="B572" s="15">
        <v>3470.41</v>
      </c>
      <c r="C572" s="15">
        <v>3069.32</v>
      </c>
      <c r="D572" s="15">
        <v>2851.41</v>
      </c>
      <c r="E572" s="15">
        <v>2860.76</v>
      </c>
      <c r="F572" s="15">
        <v>2838.24</v>
      </c>
      <c r="G572" s="15">
        <v>2838.24</v>
      </c>
      <c r="H572" s="15">
        <v>2838.24</v>
      </c>
      <c r="I572" s="15">
        <v>3713.26</v>
      </c>
      <c r="J572" s="15">
        <v>3281.3</v>
      </c>
      <c r="K572" s="15">
        <v>3116.96</v>
      </c>
      <c r="L572" s="15">
        <v>3116.96</v>
      </c>
      <c r="M572" s="15">
        <v>3220.86</v>
      </c>
      <c r="N572" s="15">
        <v>3234.25</v>
      </c>
      <c r="O572" t="s">
        <v>3028</v>
      </c>
    </row>
    <row r="573" spans="1:15" x14ac:dyDescent="0.25">
      <c r="A573" s="10" t="s">
        <v>1277</v>
      </c>
      <c r="B573" s="15">
        <v>1338.74</v>
      </c>
      <c r="C573" s="15">
        <v>1392.86</v>
      </c>
      <c r="D573" s="15">
        <v>1284.03</v>
      </c>
      <c r="E573" s="15">
        <v>1591.01</v>
      </c>
      <c r="F573" s="15">
        <v>1441.93</v>
      </c>
      <c r="G573" s="15">
        <v>1424.07</v>
      </c>
      <c r="H573" s="15">
        <v>266.77</v>
      </c>
      <c r="I573" s="15">
        <v>0</v>
      </c>
      <c r="J573" s="15">
        <v>166.03</v>
      </c>
      <c r="K573" s="15">
        <v>0</v>
      </c>
      <c r="L573" s="15">
        <v>0</v>
      </c>
      <c r="M573" s="15">
        <v>0</v>
      </c>
      <c r="N573" s="15">
        <v>910.85</v>
      </c>
      <c r="O573" t="s">
        <v>3028</v>
      </c>
    </row>
    <row r="574" spans="1:15" x14ac:dyDescent="0.25">
      <c r="A574" s="10" t="s">
        <v>1279</v>
      </c>
      <c r="B574" s="15">
        <v>3591.11</v>
      </c>
      <c r="C574" s="15">
        <v>3143.19</v>
      </c>
      <c r="D574" s="15">
        <v>3177.51</v>
      </c>
      <c r="E574" s="15">
        <v>2906.61</v>
      </c>
      <c r="F574" s="15">
        <v>2875.87</v>
      </c>
      <c r="G574" s="15">
        <v>5714.32</v>
      </c>
      <c r="H574" s="15">
        <v>1048.18</v>
      </c>
      <c r="I574" s="15">
        <v>2969.11</v>
      </c>
      <c r="J574" s="15">
        <v>2887.4</v>
      </c>
      <c r="K574" s="15">
        <v>3411.44</v>
      </c>
      <c r="L574" s="15">
        <v>3170.14</v>
      </c>
      <c r="M574" s="15">
        <v>3133.67</v>
      </c>
      <c r="N574" s="15">
        <v>3223.45</v>
      </c>
      <c r="O574" t="s">
        <v>3028</v>
      </c>
    </row>
    <row r="575" spans="1:15" x14ac:dyDescent="0.25">
      <c r="A575" s="10" t="s">
        <v>1281</v>
      </c>
      <c r="B575" s="15">
        <v>2288.5700000000002</v>
      </c>
      <c r="C575" s="15">
        <v>2104.15</v>
      </c>
      <c r="D575" s="15">
        <v>2104.15</v>
      </c>
      <c r="E575" s="15">
        <v>4543.57</v>
      </c>
      <c r="F575" s="15">
        <v>425</v>
      </c>
      <c r="G575" s="15">
        <v>2104.15</v>
      </c>
      <c r="H575" s="15">
        <v>2120.6</v>
      </c>
      <c r="I575" s="15">
        <v>2828.84</v>
      </c>
      <c r="J575" s="15">
        <v>2341.84</v>
      </c>
      <c r="K575" s="15">
        <v>2333.16</v>
      </c>
      <c r="L575" s="15">
        <v>2415.17</v>
      </c>
      <c r="M575" s="15">
        <v>2405.69</v>
      </c>
      <c r="N575" s="15">
        <v>2354.31</v>
      </c>
      <c r="O575" t="s">
        <v>3028</v>
      </c>
    </row>
    <row r="576" spans="1:15" x14ac:dyDescent="0.25">
      <c r="A576" s="10" t="s">
        <v>1283</v>
      </c>
      <c r="B576" s="15">
        <v>6392.13</v>
      </c>
      <c r="C576" s="15">
        <v>4457.4799999999996</v>
      </c>
      <c r="D576" s="15">
        <v>4127.01</v>
      </c>
      <c r="E576" s="15">
        <v>10556.75</v>
      </c>
      <c r="F576" s="15">
        <v>825.24</v>
      </c>
      <c r="G576" s="15">
        <v>4262.46</v>
      </c>
      <c r="H576" s="15">
        <v>4269.38</v>
      </c>
      <c r="I576" s="15">
        <v>6129.6</v>
      </c>
      <c r="J576" s="15">
        <v>4603.3100000000004</v>
      </c>
      <c r="K576" s="15">
        <v>4560.1899999999996</v>
      </c>
      <c r="L576" s="15">
        <v>4441.9799999999996</v>
      </c>
      <c r="M576" s="15">
        <v>4415.6899999999996</v>
      </c>
      <c r="N576" s="15">
        <v>4880.55</v>
      </c>
      <c r="O576" t="s">
        <v>3028</v>
      </c>
    </row>
    <row r="577" spans="1:15" x14ac:dyDescent="0.25">
      <c r="A577" s="10" t="s">
        <v>1285</v>
      </c>
      <c r="B577" s="15">
        <v>5752.84</v>
      </c>
      <c r="C577" s="15">
        <v>5694</v>
      </c>
      <c r="D577" s="15">
        <v>5694</v>
      </c>
      <c r="E577" s="15">
        <v>5694</v>
      </c>
      <c r="F577" s="15">
        <v>2847</v>
      </c>
      <c r="G577" s="15">
        <v>0</v>
      </c>
      <c r="H577" s="15">
        <v>0</v>
      </c>
      <c r="I577" s="15">
        <v>0</v>
      </c>
      <c r="J577" s="15">
        <v>0</v>
      </c>
      <c r="K577" s="15">
        <v>0</v>
      </c>
      <c r="L577" s="15">
        <v>0</v>
      </c>
      <c r="M577" s="15">
        <v>0</v>
      </c>
      <c r="N577" s="15">
        <v>2373.61</v>
      </c>
      <c r="O577" t="s">
        <v>3028</v>
      </c>
    </row>
    <row r="578" spans="1:15" x14ac:dyDescent="0.25">
      <c r="A578" s="10" t="s">
        <v>1287</v>
      </c>
      <c r="B578" s="15">
        <v>0</v>
      </c>
      <c r="C578" s="15">
        <v>0</v>
      </c>
      <c r="D578" s="15">
        <v>0</v>
      </c>
      <c r="E578" s="15">
        <v>0</v>
      </c>
      <c r="F578" s="15">
        <v>0</v>
      </c>
      <c r="G578" s="15">
        <v>0</v>
      </c>
      <c r="H578" s="15">
        <v>0</v>
      </c>
      <c r="I578" s="15">
        <v>5392.01</v>
      </c>
      <c r="J578" s="15">
        <v>10110.01</v>
      </c>
      <c r="K578" s="15">
        <v>11233.34</v>
      </c>
      <c r="L578" s="15">
        <v>10110.01</v>
      </c>
      <c r="M578" s="15">
        <v>10110.01</v>
      </c>
      <c r="N578" s="15">
        <v>4212.5</v>
      </c>
      <c r="O578" t="s">
        <v>3028</v>
      </c>
    </row>
    <row r="579" spans="1:15" x14ac:dyDescent="0.25">
      <c r="A579" s="10" t="s">
        <v>1289</v>
      </c>
      <c r="B579" s="15">
        <v>1622.31</v>
      </c>
      <c r="C579" s="15">
        <v>1698.45</v>
      </c>
      <c r="D579" s="15">
        <v>1609.38</v>
      </c>
      <c r="E579" s="15">
        <v>1738.35</v>
      </c>
      <c r="F579" s="15">
        <v>1852.43</v>
      </c>
      <c r="G579" s="15">
        <v>1681.89</v>
      </c>
      <c r="H579" s="15">
        <v>2149.75</v>
      </c>
      <c r="I579" s="15">
        <v>2592.9</v>
      </c>
      <c r="J579" s="15">
        <v>2814.63</v>
      </c>
      <c r="K579" s="15">
        <v>1275.0899999999999</v>
      </c>
      <c r="L579" s="15">
        <v>2395.25</v>
      </c>
      <c r="M579" s="15">
        <v>2122.08</v>
      </c>
      <c r="N579" s="15">
        <v>1977.78</v>
      </c>
      <c r="O579" t="s">
        <v>3028</v>
      </c>
    </row>
    <row r="580" spans="1:15" x14ac:dyDescent="0.25">
      <c r="A580" s="10" t="s">
        <v>1291</v>
      </c>
      <c r="B580" s="15">
        <v>3485.6</v>
      </c>
      <c r="C580" s="15">
        <v>3321.39</v>
      </c>
      <c r="D580" s="15">
        <v>3364.11</v>
      </c>
      <c r="E580" s="15">
        <v>3323.91</v>
      </c>
      <c r="F580" s="15">
        <v>3411.45</v>
      </c>
      <c r="G580" s="15">
        <v>3737.87</v>
      </c>
      <c r="H580" s="15">
        <v>3317.92</v>
      </c>
      <c r="I580" s="15">
        <v>4421.92</v>
      </c>
      <c r="J580" s="15">
        <v>3679.44</v>
      </c>
      <c r="K580" s="15">
        <v>3834.11</v>
      </c>
      <c r="L580" s="15">
        <v>3676.6</v>
      </c>
      <c r="M580" s="15">
        <v>5311.74</v>
      </c>
      <c r="N580" s="15">
        <v>3742.24</v>
      </c>
      <c r="O580" t="s">
        <v>3028</v>
      </c>
    </row>
    <row r="581" spans="1:15" x14ac:dyDescent="0.25">
      <c r="A581" s="10" t="s">
        <v>1293</v>
      </c>
      <c r="B581" s="15">
        <v>3554.78</v>
      </c>
      <c r="C581" s="15">
        <v>3431.29</v>
      </c>
      <c r="D581" s="15">
        <v>3050.38</v>
      </c>
      <c r="E581" s="15">
        <v>2858.67</v>
      </c>
      <c r="F581" s="15">
        <v>2865.76</v>
      </c>
      <c r="G581" s="15">
        <v>2858.67</v>
      </c>
      <c r="H581" s="15">
        <v>5845.13</v>
      </c>
      <c r="I581" s="15">
        <v>952.89</v>
      </c>
      <c r="J581" s="15">
        <v>2902.21</v>
      </c>
      <c r="K581" s="15">
        <v>3440.67</v>
      </c>
      <c r="L581" s="15">
        <v>3232.89</v>
      </c>
      <c r="M581" s="15">
        <v>3137.56</v>
      </c>
      <c r="N581" s="15">
        <v>3233.14</v>
      </c>
      <c r="O581" t="s">
        <v>3028</v>
      </c>
    </row>
    <row r="582" spans="1:15" x14ac:dyDescent="0.25">
      <c r="A582" s="10" t="s">
        <v>1295</v>
      </c>
      <c r="B582" s="15">
        <v>1720.59</v>
      </c>
      <c r="C582" s="15">
        <v>1565</v>
      </c>
      <c r="D582" s="15">
        <v>3166.04</v>
      </c>
      <c r="E582" s="15">
        <v>175.54</v>
      </c>
      <c r="F582" s="15">
        <v>1200.58</v>
      </c>
      <c r="G582" s="15">
        <v>1468.42</v>
      </c>
      <c r="H582" s="15">
        <v>1594.06</v>
      </c>
      <c r="I582" s="15">
        <v>1892.86</v>
      </c>
      <c r="J582" s="15">
        <v>1584.25</v>
      </c>
      <c r="K582" s="15">
        <v>1645.7</v>
      </c>
      <c r="L582" s="15">
        <v>1856.37</v>
      </c>
      <c r="M582" s="15">
        <v>1908.44</v>
      </c>
      <c r="N582" s="15">
        <v>1674.1</v>
      </c>
      <c r="O582" t="s">
        <v>3028</v>
      </c>
    </row>
    <row r="583" spans="1:15" x14ac:dyDescent="0.25">
      <c r="A583" s="10" t="s">
        <v>1297</v>
      </c>
      <c r="B583" s="15">
        <v>0</v>
      </c>
      <c r="C583" s="15">
        <v>0</v>
      </c>
      <c r="D583" s="15">
        <v>0</v>
      </c>
      <c r="E583" s="15">
        <v>0</v>
      </c>
      <c r="F583" s="15">
        <v>0</v>
      </c>
      <c r="G583" s="15">
        <v>1316.11</v>
      </c>
      <c r="H583" s="15">
        <v>1316.11</v>
      </c>
      <c r="I583" s="15">
        <v>1843.84</v>
      </c>
      <c r="J583" s="15">
        <v>1512.15</v>
      </c>
      <c r="K583" s="15">
        <v>1487.45</v>
      </c>
      <c r="L583" s="15">
        <v>1579.6</v>
      </c>
      <c r="M583" s="15">
        <v>1593.14</v>
      </c>
      <c r="N583" s="15">
        <v>887.37</v>
      </c>
      <c r="O583" t="s">
        <v>3028</v>
      </c>
    </row>
    <row r="584" spans="1:15" x14ac:dyDescent="0.25">
      <c r="A584" s="10" t="s">
        <v>1299</v>
      </c>
      <c r="B584" s="15">
        <v>2207.3000000000002</v>
      </c>
      <c r="C584" s="15">
        <v>2168.69</v>
      </c>
      <c r="D584" s="15">
        <v>4144.59</v>
      </c>
      <c r="E584" s="15">
        <v>263.87</v>
      </c>
      <c r="F584" s="15">
        <v>1793.44</v>
      </c>
      <c r="G584" s="15">
        <v>1827.27</v>
      </c>
      <c r="H584" s="15">
        <v>1823.8</v>
      </c>
      <c r="I584" s="15">
        <v>2361.88</v>
      </c>
      <c r="J584" s="15">
        <v>1980.63</v>
      </c>
      <c r="K584" s="15">
        <v>2166.91</v>
      </c>
      <c r="L584" s="15">
        <v>1978.42</v>
      </c>
      <c r="M584" s="15">
        <v>1978.09</v>
      </c>
      <c r="N584" s="15">
        <v>2071.1</v>
      </c>
      <c r="O584" t="s">
        <v>3028</v>
      </c>
    </row>
    <row r="585" spans="1:15" x14ac:dyDescent="0.25">
      <c r="A585" s="10" t="s">
        <v>1301</v>
      </c>
      <c r="B585" s="15">
        <v>0</v>
      </c>
      <c r="C585" s="15">
        <v>0</v>
      </c>
      <c r="D585" s="15">
        <v>0</v>
      </c>
      <c r="E585" s="15">
        <v>0</v>
      </c>
      <c r="F585" s="15">
        <v>0</v>
      </c>
      <c r="G585" s="15">
        <v>0</v>
      </c>
      <c r="H585" s="15">
        <v>213.33</v>
      </c>
      <c r="I585" s="15">
        <v>640</v>
      </c>
      <c r="J585" s="15">
        <v>640</v>
      </c>
      <c r="K585" s="15">
        <v>640</v>
      </c>
      <c r="L585" s="15">
        <v>640</v>
      </c>
      <c r="M585" s="15">
        <v>640</v>
      </c>
      <c r="N585" s="15">
        <v>266.67</v>
      </c>
      <c r="O585" t="s">
        <v>3028</v>
      </c>
    </row>
    <row r="586" spans="1:15" x14ac:dyDescent="0.25">
      <c r="A586" s="10" t="s">
        <v>92</v>
      </c>
      <c r="B586" s="15">
        <v>68962</v>
      </c>
      <c r="C586" s="15">
        <v>68962</v>
      </c>
      <c r="D586" s="15">
        <v>68962</v>
      </c>
      <c r="E586" s="15">
        <v>68962</v>
      </c>
      <c r="F586" s="15">
        <v>68962</v>
      </c>
      <c r="G586" s="15">
        <v>68962</v>
      </c>
      <c r="H586" s="15">
        <v>68962</v>
      </c>
      <c r="I586" s="15">
        <v>193438.23</v>
      </c>
      <c r="J586" s="15">
        <v>70042.2</v>
      </c>
      <c r="K586" s="15">
        <v>70042.2</v>
      </c>
      <c r="L586" s="15">
        <v>70042.2</v>
      </c>
      <c r="M586" s="15">
        <v>70042.2</v>
      </c>
      <c r="N586" s="15">
        <v>0</v>
      </c>
      <c r="O586" t="s">
        <v>3028</v>
      </c>
    </row>
    <row r="587" spans="1:15" x14ac:dyDescent="0.25">
      <c r="A587" s="10" t="s">
        <v>1304</v>
      </c>
      <c r="B587" s="15">
        <v>2141.2199999999998</v>
      </c>
      <c r="C587" s="15">
        <v>2387.7199999999998</v>
      </c>
      <c r="D587" s="15">
        <v>2119.7199999999998</v>
      </c>
      <c r="E587" s="15">
        <v>1939.52</v>
      </c>
      <c r="F587" s="15">
        <v>1910.4</v>
      </c>
      <c r="G587" s="15">
        <v>1842.66</v>
      </c>
      <c r="H587" s="15">
        <v>4631.6899999999996</v>
      </c>
      <c r="I587" s="15">
        <v>106.5</v>
      </c>
      <c r="J587" s="15">
        <v>1852.04</v>
      </c>
      <c r="K587" s="15">
        <v>2385.0100000000002</v>
      </c>
      <c r="L587" s="15">
        <v>2560.25</v>
      </c>
      <c r="M587" s="15">
        <v>2288</v>
      </c>
      <c r="N587" s="15">
        <v>2229.04</v>
      </c>
      <c r="O587" t="s">
        <v>3028</v>
      </c>
    </row>
    <row r="588" spans="1:15" x14ac:dyDescent="0.25">
      <c r="A588" s="10" t="s">
        <v>1306</v>
      </c>
      <c r="B588" s="15">
        <v>3374.7</v>
      </c>
      <c r="C588" s="15">
        <v>3116.15</v>
      </c>
      <c r="D588" s="15">
        <v>3365.88</v>
      </c>
      <c r="E588" s="15">
        <v>3090.71</v>
      </c>
      <c r="F588" s="15">
        <v>3096.52</v>
      </c>
      <c r="G588" s="15">
        <v>4977.8599999999997</v>
      </c>
      <c r="H588" s="15">
        <v>2884.87</v>
      </c>
      <c r="I588" s="15">
        <v>4376.17</v>
      </c>
      <c r="J588" s="15">
        <v>3443.35</v>
      </c>
      <c r="K588" s="15">
        <v>3223.29</v>
      </c>
      <c r="L588" s="15">
        <v>3284.35</v>
      </c>
      <c r="M588" s="15">
        <v>3563.56</v>
      </c>
      <c r="N588" s="15">
        <v>3477.06</v>
      </c>
      <c r="O588" t="s">
        <v>3028</v>
      </c>
    </row>
    <row r="589" spans="1:15" x14ac:dyDescent="0.25">
      <c r="A589" s="10" t="s">
        <v>1308</v>
      </c>
      <c r="B589" s="15">
        <v>3016.11</v>
      </c>
      <c r="C589" s="15">
        <v>1567.72</v>
      </c>
      <c r="D589" s="15">
        <v>1515.38</v>
      </c>
      <c r="E589" s="15">
        <v>1514.61</v>
      </c>
      <c r="F589" s="15">
        <v>1525.92</v>
      </c>
      <c r="G589" s="15">
        <v>1514.61</v>
      </c>
      <c r="H589" s="15">
        <v>1514.61</v>
      </c>
      <c r="I589" s="15">
        <v>1960.8</v>
      </c>
      <c r="J589" s="15">
        <v>2464.5100000000002</v>
      </c>
      <c r="K589" s="15">
        <v>2118.31</v>
      </c>
      <c r="L589" s="15">
        <v>4278.75</v>
      </c>
      <c r="M589" s="15">
        <v>997.84</v>
      </c>
      <c r="N589" s="15">
        <v>2344.67</v>
      </c>
      <c r="O589" t="s">
        <v>3028</v>
      </c>
    </row>
    <row r="590" spans="1:15" x14ac:dyDescent="0.25">
      <c r="A590" s="10" t="s">
        <v>1312</v>
      </c>
      <c r="B590" s="15">
        <v>3488.35</v>
      </c>
      <c r="C590" s="15">
        <v>3053.71</v>
      </c>
      <c r="D590" s="15">
        <v>2580.5300000000002</v>
      </c>
      <c r="E590" s="15">
        <v>2678.92</v>
      </c>
      <c r="F590" s="15">
        <v>2520.5700000000002</v>
      </c>
      <c r="G590" s="15">
        <v>4463.3599999999997</v>
      </c>
      <c r="H590" s="15">
        <v>1088.25</v>
      </c>
      <c r="I590" s="15">
        <v>3043.26</v>
      </c>
      <c r="J590" s="15">
        <v>3652.34</v>
      </c>
      <c r="K590" s="15">
        <v>3991.74</v>
      </c>
      <c r="L590" s="15">
        <v>3812.12</v>
      </c>
      <c r="M590" s="15">
        <v>4463.03</v>
      </c>
      <c r="N590" s="15">
        <v>3281.4</v>
      </c>
      <c r="O590" t="s">
        <v>3028</v>
      </c>
    </row>
    <row r="591" spans="1:15" x14ac:dyDescent="0.25">
      <c r="A591" s="10" t="s">
        <v>1314</v>
      </c>
      <c r="B591" s="15">
        <v>0</v>
      </c>
      <c r="C591" s="15">
        <v>0</v>
      </c>
      <c r="D591" s="15">
        <v>0</v>
      </c>
      <c r="E591" s="15">
        <v>0</v>
      </c>
      <c r="F591" s="15">
        <v>0</v>
      </c>
      <c r="G591" s="15">
        <v>0</v>
      </c>
      <c r="H591" s="15">
        <v>0</v>
      </c>
      <c r="I591" s="15">
        <v>0</v>
      </c>
      <c r="J591" s="15">
        <v>0</v>
      </c>
      <c r="K591" s="15">
        <v>0</v>
      </c>
      <c r="L591" s="15">
        <v>4058.54</v>
      </c>
      <c r="M591" s="15">
        <v>8117.07</v>
      </c>
      <c r="N591" s="15">
        <v>1352.85</v>
      </c>
      <c r="O591" t="s">
        <v>3028</v>
      </c>
    </row>
    <row r="592" spans="1:15" x14ac:dyDescent="0.25">
      <c r="A592" s="10" t="s">
        <v>1316</v>
      </c>
      <c r="B592" s="15">
        <v>0</v>
      </c>
      <c r="C592" s="15">
        <v>0</v>
      </c>
      <c r="D592" s="15">
        <v>745.8</v>
      </c>
      <c r="E592" s="15">
        <v>1475.3</v>
      </c>
      <c r="F592" s="15">
        <v>1544.33</v>
      </c>
      <c r="G592" s="15">
        <v>1418.99</v>
      </c>
      <c r="H592" s="15">
        <v>1410.84</v>
      </c>
      <c r="I592" s="15">
        <v>1768.03</v>
      </c>
      <c r="J592" s="15">
        <v>1489.85</v>
      </c>
      <c r="K592" s="15">
        <v>1505.58</v>
      </c>
      <c r="L592" s="15">
        <v>1483.48</v>
      </c>
      <c r="M592" s="15">
        <v>1759.76</v>
      </c>
      <c r="N592" s="15">
        <v>1300.5999999999999</v>
      </c>
      <c r="O592" t="s">
        <v>3028</v>
      </c>
    </row>
    <row r="593" spans="1:15" x14ac:dyDescent="0.25">
      <c r="A593" s="10" t="s">
        <v>1318</v>
      </c>
      <c r="B593" s="15">
        <v>3637.23</v>
      </c>
      <c r="C593" s="15">
        <v>3595.02</v>
      </c>
      <c r="D593" s="15">
        <v>3595.02</v>
      </c>
      <c r="E593" s="15">
        <v>3595.02</v>
      </c>
      <c r="F593" s="15">
        <v>3648.67</v>
      </c>
      <c r="G593" s="15">
        <v>3595.02</v>
      </c>
      <c r="H593" s="15">
        <v>6827.23</v>
      </c>
      <c r="I593" s="15">
        <v>2339</v>
      </c>
      <c r="J593" s="15">
        <v>3948.05</v>
      </c>
      <c r="K593" s="15">
        <v>3948.05</v>
      </c>
      <c r="L593" s="15">
        <v>3948.05</v>
      </c>
      <c r="M593" s="15">
        <v>3948.05</v>
      </c>
      <c r="N593" s="15">
        <v>3956.67</v>
      </c>
      <c r="O593" t="s">
        <v>3028</v>
      </c>
    </row>
    <row r="594" spans="1:15" x14ac:dyDescent="0.25">
      <c r="A594" s="10" t="s">
        <v>1320</v>
      </c>
      <c r="B594" s="15">
        <v>2130.52</v>
      </c>
      <c r="C594" s="15">
        <v>1862.72</v>
      </c>
      <c r="D594" s="15">
        <v>3940.13</v>
      </c>
      <c r="E594" s="15">
        <v>0</v>
      </c>
      <c r="F594" s="15">
        <v>1622.89</v>
      </c>
      <c r="G594" s="15">
        <v>1882.39</v>
      </c>
      <c r="H594" s="15">
        <v>1984.7</v>
      </c>
      <c r="I594" s="15">
        <v>2643.19</v>
      </c>
      <c r="J594" s="15">
        <v>2076.84</v>
      </c>
      <c r="K594" s="15">
        <v>2085.86</v>
      </c>
      <c r="L594" s="15">
        <v>2190.44</v>
      </c>
      <c r="M594" s="15">
        <v>2195.1</v>
      </c>
      <c r="N594" s="15">
        <v>2142.63</v>
      </c>
      <c r="O594" t="s">
        <v>3028</v>
      </c>
    </row>
    <row r="595" spans="1:15" x14ac:dyDescent="0.25">
      <c r="A595" s="10" t="s">
        <v>1322</v>
      </c>
      <c r="B595" s="15">
        <v>0</v>
      </c>
      <c r="C595" s="15">
        <v>0</v>
      </c>
      <c r="D595" s="15">
        <v>0</v>
      </c>
      <c r="E595" s="15">
        <v>0</v>
      </c>
      <c r="F595" s="15">
        <v>0</v>
      </c>
      <c r="G595" s="15">
        <v>0</v>
      </c>
      <c r="H595" s="15">
        <v>0</v>
      </c>
      <c r="I595" s="15">
        <v>996.67</v>
      </c>
      <c r="J595" s="15">
        <v>1300</v>
      </c>
      <c r="K595" s="15">
        <v>1795.45</v>
      </c>
      <c r="L595" s="15">
        <v>1924.91</v>
      </c>
      <c r="M595" s="15">
        <v>2177.7199999999998</v>
      </c>
      <c r="N595" s="15">
        <v>718.6</v>
      </c>
      <c r="O595" t="s">
        <v>3028</v>
      </c>
    </row>
    <row r="596" spans="1:15" x14ac:dyDescent="0.25">
      <c r="A596" s="10" t="s">
        <v>1324</v>
      </c>
      <c r="B596" s="15">
        <v>1316.81</v>
      </c>
      <c r="C596" s="15">
        <v>1397</v>
      </c>
      <c r="D596" s="15">
        <v>1343.31</v>
      </c>
      <c r="E596" s="15">
        <v>3156.3</v>
      </c>
      <c r="F596" s="15">
        <v>48.94</v>
      </c>
      <c r="G596" s="15">
        <v>1319.65</v>
      </c>
      <c r="H596" s="15">
        <v>1341</v>
      </c>
      <c r="I596" s="15">
        <v>1747.09</v>
      </c>
      <c r="J596" s="15">
        <v>1418.62</v>
      </c>
      <c r="K596" s="15">
        <v>1461.49</v>
      </c>
      <c r="L596" s="15">
        <v>1537.83</v>
      </c>
      <c r="M596" s="15">
        <v>1517.91</v>
      </c>
      <c r="N596" s="15">
        <v>1490.91</v>
      </c>
      <c r="O596" t="s">
        <v>3028</v>
      </c>
    </row>
    <row r="597" spans="1:15" x14ac:dyDescent="0.25">
      <c r="A597" s="10" t="s">
        <v>1326</v>
      </c>
      <c r="B597" s="15">
        <v>4686.58</v>
      </c>
      <c r="C597" s="15">
        <v>4678.28</v>
      </c>
      <c r="D597" s="15">
        <v>0</v>
      </c>
      <c r="E597" s="15">
        <v>3723.04</v>
      </c>
      <c r="F597" s="15">
        <v>6850.42</v>
      </c>
      <c r="G597" s="15">
        <v>4653.8</v>
      </c>
      <c r="H597" s="15">
        <v>4653.8</v>
      </c>
      <c r="I597" s="15">
        <v>10856.51</v>
      </c>
      <c r="J597" s="15">
        <v>2214.6799999999998</v>
      </c>
      <c r="K597" s="15">
        <v>5110.8</v>
      </c>
      <c r="L597" s="15">
        <v>5110.8</v>
      </c>
      <c r="M597" s="15">
        <v>5110.8</v>
      </c>
      <c r="N597" s="15">
        <v>4738.68</v>
      </c>
      <c r="O597" t="s">
        <v>3028</v>
      </c>
    </row>
    <row r="598" spans="1:15" x14ac:dyDescent="0.25">
      <c r="A598" s="10" t="s">
        <v>1328</v>
      </c>
      <c r="B598" s="15">
        <v>3087.06</v>
      </c>
      <c r="C598" s="15">
        <v>3675.49</v>
      </c>
      <c r="D598" s="15">
        <v>2936.72</v>
      </c>
      <c r="E598" s="15">
        <v>2863.89</v>
      </c>
      <c r="F598" s="15">
        <v>2183.8200000000002</v>
      </c>
      <c r="G598" s="15">
        <v>2498.77</v>
      </c>
      <c r="H598" s="15">
        <v>5788.99</v>
      </c>
      <c r="I598" s="15">
        <v>459.47</v>
      </c>
      <c r="J598" s="15">
        <v>2354.35</v>
      </c>
      <c r="K598" s="15">
        <v>3359.74</v>
      </c>
      <c r="L598" s="15">
        <v>2703.24</v>
      </c>
      <c r="M598" s="15">
        <v>3288.53</v>
      </c>
      <c r="N598" s="15">
        <v>2985.32</v>
      </c>
      <c r="O598" t="s">
        <v>3028</v>
      </c>
    </row>
    <row r="599" spans="1:15" x14ac:dyDescent="0.25">
      <c r="A599" s="10" t="s">
        <v>1330</v>
      </c>
      <c r="B599" s="15">
        <v>1144.74</v>
      </c>
      <c r="C599" s="15">
        <v>1599</v>
      </c>
      <c r="D599" s="15">
        <v>1481.95</v>
      </c>
      <c r="E599" s="15">
        <v>1399.25</v>
      </c>
      <c r="F599" s="15">
        <v>1369.31</v>
      </c>
      <c r="G599" s="15">
        <v>1394.31</v>
      </c>
      <c r="H599" s="15">
        <v>1391.64</v>
      </c>
      <c r="I599" s="15">
        <v>2177.5</v>
      </c>
      <c r="J599" s="15">
        <v>1883.37</v>
      </c>
      <c r="K599" s="15">
        <v>1853.78</v>
      </c>
      <c r="L599" s="15">
        <v>2319.91</v>
      </c>
      <c r="M599" s="15">
        <v>1650.11</v>
      </c>
      <c r="N599" s="15">
        <v>1683.81</v>
      </c>
      <c r="O599" t="s">
        <v>3028</v>
      </c>
    </row>
    <row r="600" spans="1:15" x14ac:dyDescent="0.25">
      <c r="A600" s="10" t="s">
        <v>1332</v>
      </c>
      <c r="B600" s="15">
        <v>1859.94</v>
      </c>
      <c r="C600" s="15">
        <v>1876</v>
      </c>
      <c r="D600" s="15">
        <v>1870.16</v>
      </c>
      <c r="E600" s="15">
        <v>1680.25</v>
      </c>
      <c r="F600" s="15">
        <v>1538.16</v>
      </c>
      <c r="G600" s="15">
        <v>1549.1</v>
      </c>
      <c r="H600" s="15">
        <v>1669.29</v>
      </c>
      <c r="I600" s="15">
        <v>1626.37</v>
      </c>
      <c r="J600" s="15">
        <v>1761.09</v>
      </c>
      <c r="K600" s="15">
        <v>2135.4699999999998</v>
      </c>
      <c r="L600" s="15">
        <v>1851.7</v>
      </c>
      <c r="M600" s="15">
        <v>1844.95</v>
      </c>
      <c r="N600" s="15">
        <v>1880</v>
      </c>
      <c r="O600" t="s">
        <v>3028</v>
      </c>
    </row>
    <row r="601" spans="1:15" x14ac:dyDescent="0.25">
      <c r="A601" s="10" t="s">
        <v>1334</v>
      </c>
      <c r="B601" s="15">
        <v>0</v>
      </c>
      <c r="C601" s="15">
        <v>0</v>
      </c>
      <c r="D601" s="15">
        <v>0</v>
      </c>
      <c r="E601" s="15">
        <v>0</v>
      </c>
      <c r="F601" s="15">
        <v>0</v>
      </c>
      <c r="G601" s="15">
        <v>0</v>
      </c>
      <c r="H601" s="15">
        <v>0</v>
      </c>
      <c r="I601" s="15">
        <v>0</v>
      </c>
      <c r="J601" s="15">
        <v>1126.67</v>
      </c>
      <c r="K601" s="15">
        <v>1712.4</v>
      </c>
      <c r="L601" s="15">
        <v>1714.09</v>
      </c>
      <c r="M601" s="15">
        <v>1803.72</v>
      </c>
      <c r="N601" s="15">
        <v>546.16</v>
      </c>
      <c r="O601" t="s">
        <v>3028</v>
      </c>
    </row>
    <row r="602" spans="1:15" x14ac:dyDescent="0.25">
      <c r="A602" s="10" t="s">
        <v>1336</v>
      </c>
      <c r="B602" s="15">
        <v>8949.5400000000009</v>
      </c>
      <c r="C602" s="15">
        <v>5998.62</v>
      </c>
      <c r="D602" s="15">
        <v>5736.84</v>
      </c>
      <c r="E602" s="15">
        <v>6310.94</v>
      </c>
      <c r="F602" s="15">
        <v>5528.51</v>
      </c>
      <c r="G602" s="15">
        <v>6894.09</v>
      </c>
      <c r="H602" s="15">
        <v>5466.21</v>
      </c>
      <c r="I602" s="15">
        <v>7409.31</v>
      </c>
      <c r="J602" s="15">
        <v>15731.68</v>
      </c>
      <c r="K602" s="15">
        <v>298.93</v>
      </c>
      <c r="L602" s="15">
        <v>5797.31</v>
      </c>
      <c r="M602" s="15">
        <v>6002.99</v>
      </c>
      <c r="N602" s="15">
        <v>6679.82</v>
      </c>
      <c r="O602" t="s">
        <v>3028</v>
      </c>
    </row>
    <row r="603" spans="1:15" x14ac:dyDescent="0.25">
      <c r="A603" s="10" t="s">
        <v>1338</v>
      </c>
      <c r="B603" s="15">
        <v>2028.37</v>
      </c>
      <c r="C603" s="15">
        <v>1775.51</v>
      </c>
      <c r="D603" s="15">
        <v>1828.31</v>
      </c>
      <c r="E603" s="15">
        <v>1783.52</v>
      </c>
      <c r="F603" s="15">
        <v>1791</v>
      </c>
      <c r="G603" s="15">
        <v>4036.95</v>
      </c>
      <c r="H603" s="15">
        <v>649.73</v>
      </c>
      <c r="I603" s="15">
        <v>2429.62</v>
      </c>
      <c r="J603" s="15">
        <v>1965.6</v>
      </c>
      <c r="K603" s="15">
        <v>1949.87</v>
      </c>
      <c r="L603" s="15">
        <v>1998.75</v>
      </c>
      <c r="M603" s="15">
        <v>1951.82</v>
      </c>
      <c r="N603" s="15">
        <v>2019.51</v>
      </c>
      <c r="O603" t="s">
        <v>3028</v>
      </c>
    </row>
    <row r="604" spans="1:15" x14ac:dyDescent="0.25">
      <c r="A604" s="10" t="s">
        <v>1340</v>
      </c>
      <c r="B604" s="15">
        <v>2499.12</v>
      </c>
      <c r="C604" s="15">
        <v>2348.85</v>
      </c>
      <c r="D604" s="15">
        <v>1993.74</v>
      </c>
      <c r="E604" s="15">
        <v>1993.07</v>
      </c>
      <c r="F604" s="15">
        <v>2276.17</v>
      </c>
      <c r="G604" s="15">
        <v>2055.2800000000002</v>
      </c>
      <c r="H604" s="15">
        <v>2096.5500000000002</v>
      </c>
      <c r="I604" s="15">
        <v>2596.89</v>
      </c>
      <c r="J604" s="15">
        <v>2447.2199999999998</v>
      </c>
      <c r="K604" s="15">
        <v>2222.21</v>
      </c>
      <c r="L604" s="15">
        <v>2350.37</v>
      </c>
      <c r="M604" s="15">
        <v>1203.6600000000001</v>
      </c>
      <c r="N604" s="15">
        <v>2349.33</v>
      </c>
      <c r="O604" t="s">
        <v>3028</v>
      </c>
    </row>
    <row r="605" spans="1:15" x14ac:dyDescent="0.25">
      <c r="A605" s="10" t="s">
        <v>1342</v>
      </c>
      <c r="B605" s="15">
        <v>1320.99</v>
      </c>
      <c r="C605" s="15">
        <v>1300.71</v>
      </c>
      <c r="D605" s="15">
        <v>1306.45</v>
      </c>
      <c r="E605" s="15">
        <v>1314.53</v>
      </c>
      <c r="F605" s="15">
        <v>1302.5899999999999</v>
      </c>
      <c r="G605" s="15">
        <v>1302.93</v>
      </c>
      <c r="H605" s="15">
        <v>1309</v>
      </c>
      <c r="I605" s="15">
        <v>1461.99</v>
      </c>
      <c r="J605" s="15">
        <v>2264.91</v>
      </c>
      <c r="K605" s="15">
        <v>1539.92</v>
      </c>
      <c r="L605" s="15">
        <v>1965.07</v>
      </c>
      <c r="M605" s="15">
        <v>1885.71</v>
      </c>
      <c r="N605" s="15">
        <v>1567.47</v>
      </c>
      <c r="O605" t="s">
        <v>3028</v>
      </c>
    </row>
    <row r="606" spans="1:15" x14ac:dyDescent="0.25">
      <c r="A606" s="10" t="s">
        <v>1344</v>
      </c>
      <c r="B606" s="15">
        <v>2163.29</v>
      </c>
      <c r="C606" s="15">
        <v>2477.89</v>
      </c>
      <c r="D606" s="15">
        <v>2503.4299999999998</v>
      </c>
      <c r="E606" s="15">
        <v>2341.88</v>
      </c>
      <c r="F606" s="15">
        <v>2027.02</v>
      </c>
      <c r="G606" s="15">
        <v>2151.21</v>
      </c>
      <c r="H606" s="15">
        <v>2582.09</v>
      </c>
      <c r="I606" s="15">
        <v>2936.66</v>
      </c>
      <c r="J606" s="15">
        <v>2826.07</v>
      </c>
      <c r="K606" s="15">
        <v>5538.85</v>
      </c>
      <c r="L606" s="15">
        <v>732.43</v>
      </c>
      <c r="M606" s="15">
        <v>2467.9699999999998</v>
      </c>
      <c r="N606" s="15">
        <v>2560.87</v>
      </c>
      <c r="O606" t="s">
        <v>3028</v>
      </c>
    </row>
    <row r="607" spans="1:15" x14ac:dyDescent="0.25">
      <c r="A607" s="10" t="s">
        <v>1346</v>
      </c>
      <c r="B607" s="15">
        <v>2067.56</v>
      </c>
      <c r="C607" s="15">
        <v>2199.85</v>
      </c>
      <c r="D607" s="15">
        <v>2300.15</v>
      </c>
      <c r="E607" s="15">
        <v>2273.79</v>
      </c>
      <c r="F607" s="15">
        <v>2710.71</v>
      </c>
      <c r="G607" s="15">
        <v>2089.91</v>
      </c>
      <c r="H607" s="15">
        <v>2130.2199999999998</v>
      </c>
      <c r="I607" s="15">
        <v>3252.51</v>
      </c>
      <c r="J607" s="15">
        <v>2344.67</v>
      </c>
      <c r="K607" s="15">
        <v>764.4</v>
      </c>
      <c r="L607" s="15">
        <v>0</v>
      </c>
      <c r="M607" s="15">
        <v>0</v>
      </c>
      <c r="N607" s="15">
        <v>1822.89</v>
      </c>
      <c r="O607" t="s">
        <v>3028</v>
      </c>
    </row>
    <row r="608" spans="1:15" x14ac:dyDescent="0.25">
      <c r="A608" s="10" t="s">
        <v>1348</v>
      </c>
      <c r="B608" s="15">
        <v>0</v>
      </c>
      <c r="C608" s="15">
        <v>1184.5</v>
      </c>
      <c r="D608" s="15">
        <v>1346.63</v>
      </c>
      <c r="E608" s="15">
        <v>1477.46</v>
      </c>
      <c r="F608" s="15">
        <v>1438.81</v>
      </c>
      <c r="G608" s="15">
        <v>1338.7</v>
      </c>
      <c r="H608" s="15">
        <v>1334.06</v>
      </c>
      <c r="I608" s="15">
        <v>1741.96</v>
      </c>
      <c r="J608" s="15">
        <v>1458.37</v>
      </c>
      <c r="K608" s="15">
        <v>1447.93</v>
      </c>
      <c r="L608" s="15">
        <v>1445.28</v>
      </c>
      <c r="M608" s="15">
        <v>1503.16</v>
      </c>
      <c r="N608" s="15">
        <v>1370.09</v>
      </c>
      <c r="O608" t="s">
        <v>3028</v>
      </c>
    </row>
    <row r="609" spans="1:15" x14ac:dyDescent="0.25">
      <c r="A609" s="10" t="s">
        <v>1353</v>
      </c>
      <c r="B609" s="15">
        <v>0</v>
      </c>
      <c r="C609" s="15">
        <v>0</v>
      </c>
      <c r="D609" s="15">
        <v>0</v>
      </c>
      <c r="E609" s="15">
        <v>0</v>
      </c>
      <c r="F609" s="15">
        <v>0</v>
      </c>
      <c r="G609" s="15">
        <v>0</v>
      </c>
      <c r="H609" s="15">
        <v>0</v>
      </c>
      <c r="I609" s="15">
        <v>0</v>
      </c>
      <c r="J609" s="15">
        <v>0</v>
      </c>
      <c r="K609" s="15">
        <v>0</v>
      </c>
      <c r="L609" s="15">
        <v>0</v>
      </c>
      <c r="M609" s="15">
        <v>1563.04</v>
      </c>
      <c r="N609" s="15">
        <v>177.62</v>
      </c>
      <c r="O609" t="s">
        <v>3028</v>
      </c>
    </row>
    <row r="610" spans="1:15" x14ac:dyDescent="0.25">
      <c r="A610" s="10" t="s">
        <v>1355</v>
      </c>
      <c r="B610" s="15">
        <v>1361.95</v>
      </c>
      <c r="C610" s="15">
        <v>1370.74</v>
      </c>
      <c r="D610" s="15">
        <v>1509.05</v>
      </c>
      <c r="E610" s="15">
        <v>1439.4</v>
      </c>
      <c r="F610" s="15">
        <v>1391.14</v>
      </c>
      <c r="G610" s="15">
        <v>1399.35</v>
      </c>
      <c r="H610" s="15">
        <v>1410.63</v>
      </c>
      <c r="I610" s="15">
        <v>1917.75</v>
      </c>
      <c r="J610" s="15">
        <v>1508.21</v>
      </c>
      <c r="K610" s="15">
        <v>1520.24</v>
      </c>
      <c r="L610" s="15">
        <v>2758.9</v>
      </c>
      <c r="M610" s="15">
        <v>2403.39</v>
      </c>
      <c r="N610" s="15">
        <v>2120.7399999999998</v>
      </c>
      <c r="O610" t="s">
        <v>3028</v>
      </c>
    </row>
    <row r="611" spans="1:15" x14ac:dyDescent="0.25">
      <c r="A611" s="10" t="s">
        <v>1357</v>
      </c>
      <c r="B611" s="15">
        <v>2581.11</v>
      </c>
      <c r="C611" s="15">
        <v>2770.8</v>
      </c>
      <c r="D611" s="15">
        <v>2765.48</v>
      </c>
      <c r="E611" s="15">
        <v>2765.48</v>
      </c>
      <c r="F611" s="15">
        <v>2765.48</v>
      </c>
      <c r="G611" s="15">
        <v>2961.53</v>
      </c>
      <c r="H611" s="15">
        <v>3425.22</v>
      </c>
      <c r="I611" s="15">
        <v>3663.78</v>
      </c>
      <c r="J611" s="15">
        <v>3037.05</v>
      </c>
      <c r="K611" s="15">
        <v>3037.05</v>
      </c>
      <c r="L611" s="15">
        <v>3037.05</v>
      </c>
      <c r="M611" s="15">
        <v>3037.05</v>
      </c>
      <c r="N611" s="15">
        <v>3058.79</v>
      </c>
      <c r="O611" t="s">
        <v>3028</v>
      </c>
    </row>
    <row r="612" spans="1:15" x14ac:dyDescent="0.25">
      <c r="A612" s="10" t="s">
        <v>1359</v>
      </c>
      <c r="B612" s="15">
        <v>2075.94</v>
      </c>
      <c r="C612" s="15">
        <v>2137.12</v>
      </c>
      <c r="D612" s="15">
        <v>2329.67</v>
      </c>
      <c r="E612" s="15">
        <v>2129.5500000000002</v>
      </c>
      <c r="F612" s="15">
        <v>2683.58</v>
      </c>
      <c r="G612" s="15">
        <v>2098.0100000000002</v>
      </c>
      <c r="H612" s="15">
        <v>2105.88</v>
      </c>
      <c r="I612" s="15">
        <v>3376.43</v>
      </c>
      <c r="J612" s="15">
        <v>2291.71</v>
      </c>
      <c r="K612" s="15">
        <v>2444.71</v>
      </c>
      <c r="L612" s="15">
        <v>2859.87</v>
      </c>
      <c r="M612" s="15">
        <v>2295.92</v>
      </c>
      <c r="N612" s="15">
        <v>2448.94</v>
      </c>
      <c r="O612" t="s">
        <v>3028</v>
      </c>
    </row>
    <row r="613" spans="1:15" x14ac:dyDescent="0.25">
      <c r="A613" s="10" t="s">
        <v>1361</v>
      </c>
      <c r="B613" s="15">
        <v>2109.16</v>
      </c>
      <c r="C613" s="15">
        <v>2104.4499999999998</v>
      </c>
      <c r="D613" s="15">
        <v>2271.94</v>
      </c>
      <c r="E613" s="15">
        <v>5475.71</v>
      </c>
      <c r="F613" s="15">
        <v>46.47</v>
      </c>
      <c r="G613" s="15">
        <v>2095.7199999999998</v>
      </c>
      <c r="H613" s="15">
        <v>2118.91</v>
      </c>
      <c r="I613" s="15">
        <v>3129.28</v>
      </c>
      <c r="J613" s="15">
        <v>2758.22</v>
      </c>
      <c r="K613" s="15">
        <v>2768.96</v>
      </c>
      <c r="L613" s="15">
        <v>3089.43</v>
      </c>
      <c r="M613" s="15">
        <v>2696.92</v>
      </c>
      <c r="N613" s="15">
        <v>2558.02</v>
      </c>
      <c r="O613" t="s">
        <v>3028</v>
      </c>
    </row>
    <row r="614" spans="1:15" x14ac:dyDescent="0.25">
      <c r="A614" s="10" t="s">
        <v>1363</v>
      </c>
      <c r="B614" s="15">
        <v>1576.65</v>
      </c>
      <c r="C614" s="15">
        <v>1582.94</v>
      </c>
      <c r="D614" s="15">
        <v>1582.31</v>
      </c>
      <c r="E614" s="15">
        <v>373.57</v>
      </c>
      <c r="F614" s="15">
        <v>0</v>
      </c>
      <c r="G614" s="15">
        <v>0</v>
      </c>
      <c r="H614" s="15">
        <v>0</v>
      </c>
      <c r="I614" s="15">
        <v>0</v>
      </c>
      <c r="J614" s="15">
        <v>0</v>
      </c>
      <c r="K614" s="15">
        <v>0</v>
      </c>
      <c r="L614" s="15">
        <v>0</v>
      </c>
      <c r="M614" s="15">
        <v>0</v>
      </c>
      <c r="N614" s="15">
        <v>535.98</v>
      </c>
      <c r="O614" t="s">
        <v>3028</v>
      </c>
    </row>
    <row r="615" spans="1:15" x14ac:dyDescent="0.25">
      <c r="A615" s="10" t="s">
        <v>1365</v>
      </c>
      <c r="B615" s="15">
        <v>2630.75</v>
      </c>
      <c r="C615" s="15">
        <v>2374.66</v>
      </c>
      <c r="D615" s="15">
        <v>2402.91</v>
      </c>
      <c r="E615" s="15">
        <v>2483.4499999999998</v>
      </c>
      <c r="F615" s="15">
        <v>2472.06</v>
      </c>
      <c r="G615" s="15">
        <v>2528.4299999999998</v>
      </c>
      <c r="H615" s="15">
        <v>4509.6899999999996</v>
      </c>
      <c r="I615" s="15">
        <v>2513.38</v>
      </c>
      <c r="J615" s="15">
        <v>2644.26</v>
      </c>
      <c r="K615" s="15">
        <v>2741.67</v>
      </c>
      <c r="L615" s="15">
        <v>2632.54</v>
      </c>
      <c r="M615" s="15">
        <v>2682.52</v>
      </c>
      <c r="N615" s="15">
        <v>2731.77</v>
      </c>
      <c r="O615" t="s">
        <v>3028</v>
      </c>
    </row>
    <row r="616" spans="1:15" x14ac:dyDescent="0.25">
      <c r="A616" s="10" t="s">
        <v>1367</v>
      </c>
      <c r="B616" s="15">
        <v>279.13</v>
      </c>
      <c r="C616" s="15">
        <v>1476.74</v>
      </c>
      <c r="D616" s="15">
        <v>1613.12</v>
      </c>
      <c r="E616" s="15">
        <v>1652.36</v>
      </c>
      <c r="F616" s="15">
        <v>1651.5</v>
      </c>
      <c r="G616" s="15">
        <v>1530.58</v>
      </c>
      <c r="H616" s="15">
        <v>1727.87</v>
      </c>
      <c r="I616" s="15">
        <v>1718.49</v>
      </c>
      <c r="J616" s="15">
        <v>1652.69</v>
      </c>
      <c r="K616" s="15">
        <v>1991.97</v>
      </c>
      <c r="L616" s="15">
        <v>1809.4</v>
      </c>
      <c r="M616" s="15">
        <v>2705.03</v>
      </c>
      <c r="N616" s="15">
        <v>1805.62</v>
      </c>
      <c r="O616" t="s">
        <v>3028</v>
      </c>
    </row>
    <row r="617" spans="1:15" x14ac:dyDescent="0.25">
      <c r="A617" s="10" t="s">
        <v>1369</v>
      </c>
      <c r="B617" s="15">
        <v>0</v>
      </c>
      <c r="C617" s="15">
        <v>0</v>
      </c>
      <c r="D617" s="15">
        <v>0</v>
      </c>
      <c r="E617" s="15">
        <v>0</v>
      </c>
      <c r="F617" s="15">
        <v>0</v>
      </c>
      <c r="G617" s="15">
        <v>0</v>
      </c>
      <c r="H617" s="15">
        <v>877.41</v>
      </c>
      <c r="I617" s="15">
        <v>1574.65</v>
      </c>
      <c r="J617" s="15">
        <v>1487.12</v>
      </c>
      <c r="K617" s="15">
        <v>1527.53</v>
      </c>
      <c r="L617" s="15">
        <v>1630.57</v>
      </c>
      <c r="M617" s="15">
        <v>1641.47</v>
      </c>
      <c r="N617" s="15">
        <v>768.39</v>
      </c>
      <c r="O617" t="s">
        <v>3028</v>
      </c>
    </row>
    <row r="618" spans="1:15" x14ac:dyDescent="0.25">
      <c r="A618" s="10" t="s">
        <v>1371</v>
      </c>
      <c r="B618" s="15">
        <v>2044.67</v>
      </c>
      <c r="C618" s="15">
        <v>1803.84</v>
      </c>
      <c r="D618" s="15">
        <v>1858.05</v>
      </c>
      <c r="E618" s="15">
        <v>1840.23</v>
      </c>
      <c r="F618" s="15">
        <v>2957.97</v>
      </c>
      <c r="G618" s="15">
        <v>1354.17</v>
      </c>
      <c r="H618" s="15">
        <v>1835.8</v>
      </c>
      <c r="I618" s="15">
        <v>2380.42</v>
      </c>
      <c r="J618" s="15">
        <v>2157.37</v>
      </c>
      <c r="K618" s="15">
        <v>1943.31</v>
      </c>
      <c r="L618" s="15">
        <v>2080.7600000000002</v>
      </c>
      <c r="M618" s="15">
        <v>2231.8000000000002</v>
      </c>
      <c r="N618" s="15">
        <v>2050.27</v>
      </c>
      <c r="O618" t="s">
        <v>3028</v>
      </c>
    </row>
    <row r="619" spans="1:15" x14ac:dyDescent="0.25">
      <c r="A619" s="10" t="s">
        <v>1373</v>
      </c>
      <c r="B619" s="15">
        <v>1942.27</v>
      </c>
      <c r="C619" s="15">
        <v>1964.06</v>
      </c>
      <c r="D619" s="15">
        <v>1779.46</v>
      </c>
      <c r="E619" s="15">
        <v>4270.5</v>
      </c>
      <c r="F619" s="15">
        <v>0</v>
      </c>
      <c r="G619" s="15">
        <v>1767.9</v>
      </c>
      <c r="H619" s="15">
        <v>1948.56</v>
      </c>
      <c r="I619" s="15">
        <v>2542.91</v>
      </c>
      <c r="J619" s="15">
        <v>1988.06</v>
      </c>
      <c r="K619" s="15">
        <v>1837.69</v>
      </c>
      <c r="L619" s="15">
        <v>2393.6</v>
      </c>
      <c r="M619" s="15">
        <v>1946.26</v>
      </c>
      <c r="N619" s="15">
        <v>2075.64</v>
      </c>
      <c r="O619" t="s">
        <v>3028</v>
      </c>
    </row>
    <row r="620" spans="1:15" x14ac:dyDescent="0.25">
      <c r="A620" s="10" t="s">
        <v>1375</v>
      </c>
      <c r="B620" s="15">
        <v>1734.51</v>
      </c>
      <c r="C620" s="15">
        <v>2328.36</v>
      </c>
      <c r="D620" s="15">
        <v>2020.32</v>
      </c>
      <c r="E620" s="15">
        <v>1827.62</v>
      </c>
      <c r="F620" s="15">
        <v>1956.42</v>
      </c>
      <c r="G620" s="15">
        <v>2009.98</v>
      </c>
      <c r="H620" s="15">
        <v>1945.46</v>
      </c>
      <c r="I620" s="15">
        <v>1974.04</v>
      </c>
      <c r="J620" s="15">
        <v>1943.98</v>
      </c>
      <c r="K620" s="15">
        <v>2362.83</v>
      </c>
      <c r="L620" s="15">
        <v>3671.26</v>
      </c>
      <c r="M620" s="15">
        <v>1602.75</v>
      </c>
      <c r="N620" s="15">
        <v>2160.46</v>
      </c>
      <c r="O620" t="s">
        <v>3028</v>
      </c>
    </row>
    <row r="621" spans="1:15" x14ac:dyDescent="0.25">
      <c r="A621" s="10" t="s">
        <v>1377</v>
      </c>
      <c r="B621" s="15">
        <v>0</v>
      </c>
      <c r="C621" s="15">
        <v>0</v>
      </c>
      <c r="D621" s="15">
        <v>0</v>
      </c>
      <c r="E621" s="15">
        <v>0</v>
      </c>
      <c r="F621" s="15">
        <v>0</v>
      </c>
      <c r="G621" s="15">
        <v>2003.08</v>
      </c>
      <c r="H621" s="15">
        <v>2436.4</v>
      </c>
      <c r="I621" s="15">
        <v>3086.73</v>
      </c>
      <c r="J621" s="15">
        <v>2868.57</v>
      </c>
      <c r="K621" s="15">
        <v>2756.44</v>
      </c>
      <c r="L621" s="15">
        <v>2842.51</v>
      </c>
      <c r="M621" s="15">
        <v>2824.35</v>
      </c>
      <c r="N621" s="15">
        <v>1604.99</v>
      </c>
      <c r="O621" t="s">
        <v>3028</v>
      </c>
    </row>
    <row r="622" spans="1:15" x14ac:dyDescent="0.25">
      <c r="A622" s="10" t="s">
        <v>1379</v>
      </c>
      <c r="B622" s="15">
        <v>1316.24</v>
      </c>
      <c r="C622" s="15">
        <v>1297.1300000000001</v>
      </c>
      <c r="D622" s="15">
        <v>1229.6099999999999</v>
      </c>
      <c r="E622" s="15">
        <v>1252.8599999999999</v>
      </c>
      <c r="F622" s="15">
        <v>0</v>
      </c>
      <c r="G622" s="15">
        <v>0</v>
      </c>
      <c r="H622" s="15">
        <v>176.28</v>
      </c>
      <c r="I622" s="15">
        <v>0</v>
      </c>
      <c r="J622" s="15">
        <v>17.309999999999999</v>
      </c>
      <c r="K622" s="15">
        <v>0</v>
      </c>
      <c r="L622" s="15">
        <v>0</v>
      </c>
      <c r="M622" s="15">
        <v>0</v>
      </c>
      <c r="N622" s="15">
        <v>606.07000000000005</v>
      </c>
      <c r="O622" t="s">
        <v>3028</v>
      </c>
    </row>
    <row r="623" spans="1:15" x14ac:dyDescent="0.25">
      <c r="A623" s="10" t="s">
        <v>1381</v>
      </c>
      <c r="B623" s="15">
        <v>1763.08</v>
      </c>
      <c r="C623" s="15">
        <v>1598.54</v>
      </c>
      <c r="D623" s="15">
        <v>1462.76</v>
      </c>
      <c r="E623" s="15">
        <v>2694.66</v>
      </c>
      <c r="F623" s="15">
        <v>442.18</v>
      </c>
      <c r="G623" s="15">
        <v>1319.7</v>
      </c>
      <c r="H623" s="15">
        <v>1467.63</v>
      </c>
      <c r="I623" s="15">
        <v>1726.09</v>
      </c>
      <c r="J623" s="15">
        <v>1452.37</v>
      </c>
      <c r="K623" s="15">
        <v>1487.1</v>
      </c>
      <c r="L623" s="15">
        <v>1605.62</v>
      </c>
      <c r="M623" s="15">
        <v>1462.73</v>
      </c>
      <c r="N623" s="15">
        <v>1559.82</v>
      </c>
      <c r="O623" t="s">
        <v>3028</v>
      </c>
    </row>
    <row r="624" spans="1:15" x14ac:dyDescent="0.25">
      <c r="A624" s="10" t="s">
        <v>1383</v>
      </c>
      <c r="B624" s="15">
        <v>617.76</v>
      </c>
      <c r="C624" s="15">
        <v>0</v>
      </c>
      <c r="D624" s="15">
        <v>0</v>
      </c>
      <c r="E624" s="15">
        <v>0</v>
      </c>
      <c r="F624" s="15">
        <v>0</v>
      </c>
      <c r="G624" s="15">
        <v>0</v>
      </c>
      <c r="H624" s="15">
        <v>0</v>
      </c>
      <c r="I624" s="15">
        <v>0</v>
      </c>
      <c r="J624" s="15">
        <v>0</v>
      </c>
      <c r="K624" s="15">
        <v>0</v>
      </c>
      <c r="L624" s="15">
        <v>0</v>
      </c>
      <c r="M624" s="15">
        <v>0</v>
      </c>
      <c r="N624" s="15">
        <v>257.39999999999998</v>
      </c>
      <c r="O624" t="s">
        <v>3028</v>
      </c>
    </row>
    <row r="625" spans="1:15" x14ac:dyDescent="0.25">
      <c r="A625" s="10" t="s">
        <v>1385</v>
      </c>
      <c r="B625" s="15">
        <v>1300</v>
      </c>
      <c r="C625" s="15">
        <v>1301.5</v>
      </c>
      <c r="D625" s="15">
        <v>0</v>
      </c>
      <c r="E625" s="15">
        <v>1949.99</v>
      </c>
      <c r="F625" s="15">
        <v>216.67</v>
      </c>
      <c r="G625" s="15">
        <v>0</v>
      </c>
      <c r="H625" s="15">
        <v>0</v>
      </c>
      <c r="I625" s="15">
        <v>0</v>
      </c>
      <c r="J625" s="15">
        <v>0</v>
      </c>
      <c r="K625" s="15">
        <v>0</v>
      </c>
      <c r="L625" s="15">
        <v>0</v>
      </c>
      <c r="M625" s="15">
        <v>0</v>
      </c>
      <c r="N625" s="15">
        <v>541.79999999999995</v>
      </c>
      <c r="O625" t="s">
        <v>3028</v>
      </c>
    </row>
    <row r="626" spans="1:15" x14ac:dyDescent="0.25">
      <c r="A626" s="10" t="s">
        <v>1387</v>
      </c>
      <c r="B626" s="15">
        <v>1322.84</v>
      </c>
      <c r="C626" s="15">
        <v>1323.37</v>
      </c>
      <c r="D626" s="15">
        <v>1317.74</v>
      </c>
      <c r="E626" s="15">
        <v>2527.44</v>
      </c>
      <c r="F626" s="15">
        <v>451.12</v>
      </c>
      <c r="G626" s="15">
        <v>1420.94</v>
      </c>
      <c r="H626" s="15">
        <v>1626.89</v>
      </c>
      <c r="I626" s="15">
        <v>2158.14</v>
      </c>
      <c r="J626" s="15">
        <v>1449.86</v>
      </c>
      <c r="K626" s="15">
        <v>1449.77</v>
      </c>
      <c r="L626" s="15">
        <v>1460.64</v>
      </c>
      <c r="M626" s="15">
        <v>1447.32</v>
      </c>
      <c r="N626" s="15">
        <v>1527.98</v>
      </c>
      <c r="O626" t="s">
        <v>3028</v>
      </c>
    </row>
    <row r="627" spans="1:15" x14ac:dyDescent="0.25">
      <c r="A627" s="10" t="s">
        <v>1389</v>
      </c>
      <c r="B627" s="15">
        <v>956.36</v>
      </c>
      <c r="C627" s="15">
        <v>2160.27</v>
      </c>
      <c r="D627" s="15">
        <v>2314.58</v>
      </c>
      <c r="E627" s="15">
        <v>2314.58</v>
      </c>
      <c r="F627" s="15">
        <v>2314.58</v>
      </c>
      <c r="G627" s="15">
        <v>2352.71</v>
      </c>
      <c r="H627" s="15">
        <v>4073.77</v>
      </c>
      <c r="I627" s="15">
        <v>2404.29</v>
      </c>
      <c r="J627" s="15">
        <v>2541.87</v>
      </c>
      <c r="K627" s="15">
        <v>2555.85</v>
      </c>
      <c r="L627" s="15">
        <v>2578.5500000000002</v>
      </c>
      <c r="M627" s="15">
        <v>2549.0300000000002</v>
      </c>
      <c r="N627" s="15">
        <v>2622.36</v>
      </c>
      <c r="O627" t="s">
        <v>3028</v>
      </c>
    </row>
    <row r="628" spans="1:15" x14ac:dyDescent="0.25">
      <c r="A628" s="10" t="s">
        <v>1391</v>
      </c>
      <c r="B628" s="15">
        <v>2116.1999999999998</v>
      </c>
      <c r="C628" s="15">
        <v>2104.15</v>
      </c>
      <c r="D628" s="15">
        <v>2104.15</v>
      </c>
      <c r="E628" s="15">
        <v>2766.25</v>
      </c>
      <c r="F628" s="15">
        <v>2766.25</v>
      </c>
      <c r="G628" s="15">
        <v>2766.25</v>
      </c>
      <c r="H628" s="15">
        <v>2766.25</v>
      </c>
      <c r="I628" s="15">
        <v>6318.2</v>
      </c>
      <c r="J628" s="15">
        <v>1721.48</v>
      </c>
      <c r="K628" s="15">
        <v>3069.71</v>
      </c>
      <c r="L628" s="15">
        <v>3037.9</v>
      </c>
      <c r="M628" s="15">
        <v>3037.9</v>
      </c>
      <c r="N628" s="15">
        <v>3070.49</v>
      </c>
      <c r="O628" t="s">
        <v>3028</v>
      </c>
    </row>
    <row r="629" spans="1:15" x14ac:dyDescent="0.25">
      <c r="A629" s="10" t="s">
        <v>1393</v>
      </c>
      <c r="B629" s="15">
        <v>2778.46</v>
      </c>
      <c r="C629" s="15">
        <v>2694.31</v>
      </c>
      <c r="D629" s="15">
        <v>2652.18</v>
      </c>
      <c r="E629" s="15">
        <v>2722.51</v>
      </c>
      <c r="F629" s="15">
        <v>2697.37</v>
      </c>
      <c r="G629" s="15">
        <v>6323.15</v>
      </c>
      <c r="H629" s="15">
        <v>812.41</v>
      </c>
      <c r="I629" s="15">
        <v>3593.19</v>
      </c>
      <c r="J629" s="15">
        <v>2914.97</v>
      </c>
      <c r="K629" s="15">
        <v>1228.6500000000001</v>
      </c>
      <c r="L629" s="15">
        <v>0</v>
      </c>
      <c r="M629" s="15">
        <v>0</v>
      </c>
      <c r="N629" s="15">
        <v>2668.78</v>
      </c>
      <c r="O629" t="s">
        <v>3028</v>
      </c>
    </row>
    <row r="630" spans="1:15" x14ac:dyDescent="0.25">
      <c r="A630" s="10" t="s">
        <v>1395</v>
      </c>
      <c r="B630" s="15">
        <v>1817.63</v>
      </c>
      <c r="C630" s="15">
        <v>1834.63</v>
      </c>
      <c r="D630" s="15">
        <v>1933.33</v>
      </c>
      <c r="E630" s="15">
        <v>3564.98</v>
      </c>
      <c r="F630" s="15">
        <v>641.38</v>
      </c>
      <c r="G630" s="15">
        <v>1807.64</v>
      </c>
      <c r="H630" s="15">
        <v>1816.01</v>
      </c>
      <c r="I630" s="15">
        <v>2528.39</v>
      </c>
      <c r="J630" s="15">
        <v>1998.04</v>
      </c>
      <c r="K630" s="15">
        <v>1979.16</v>
      </c>
      <c r="L630" s="15">
        <v>1988.65</v>
      </c>
      <c r="M630" s="15">
        <v>1989.8</v>
      </c>
      <c r="N630" s="15">
        <v>2020.71</v>
      </c>
      <c r="O630" t="s">
        <v>3028</v>
      </c>
    </row>
    <row r="631" spans="1:15" x14ac:dyDescent="0.25">
      <c r="A631" s="10" t="s">
        <v>1397</v>
      </c>
      <c r="B631" s="15">
        <v>2566.9299999999998</v>
      </c>
      <c r="C631" s="15">
        <v>4847.55</v>
      </c>
      <c r="D631" s="15">
        <v>1036.1199999999999</v>
      </c>
      <c r="E631" s="15">
        <v>2526.65</v>
      </c>
      <c r="F631" s="15">
        <v>2522.4</v>
      </c>
      <c r="G631" s="15">
        <v>2529.88</v>
      </c>
      <c r="H631" s="15">
        <v>2709.92</v>
      </c>
      <c r="I631" s="15">
        <v>4956.09</v>
      </c>
      <c r="J631" s="15">
        <v>4815.3900000000003</v>
      </c>
      <c r="K631" s="15">
        <v>4454.41</v>
      </c>
      <c r="L631" s="15">
        <v>4483.7700000000004</v>
      </c>
      <c r="M631" s="15">
        <v>4484.6099999999997</v>
      </c>
      <c r="N631" s="15">
        <v>2826.83</v>
      </c>
      <c r="O631" t="s">
        <v>3028</v>
      </c>
    </row>
    <row r="632" spans="1:15" x14ac:dyDescent="0.25">
      <c r="A632" s="10" t="s">
        <v>1399</v>
      </c>
      <c r="B632" s="15">
        <v>1266.46</v>
      </c>
      <c r="C632" s="15">
        <v>1606.27</v>
      </c>
      <c r="D632" s="15">
        <v>3355.84</v>
      </c>
      <c r="E632" s="15">
        <v>160.63999999999999</v>
      </c>
      <c r="F632" s="15">
        <v>1234.54</v>
      </c>
      <c r="G632" s="15">
        <v>1333.9</v>
      </c>
      <c r="H632" s="15">
        <v>1329.64</v>
      </c>
      <c r="I632" s="15">
        <v>1456.24</v>
      </c>
      <c r="J632" s="15">
        <v>1433.47</v>
      </c>
      <c r="K632" s="15">
        <v>1721.26</v>
      </c>
      <c r="L632" s="15">
        <v>1893.31</v>
      </c>
      <c r="M632" s="15">
        <v>2026.02</v>
      </c>
      <c r="N632" s="15">
        <v>1621.27</v>
      </c>
      <c r="O632" t="s">
        <v>3028</v>
      </c>
    </row>
    <row r="633" spans="1:15" x14ac:dyDescent="0.25">
      <c r="A633" s="10" t="s">
        <v>1401</v>
      </c>
      <c r="B633" s="15">
        <v>2820.04</v>
      </c>
      <c r="C633" s="15">
        <v>2826.22</v>
      </c>
      <c r="D633" s="15">
        <v>676.31</v>
      </c>
      <c r="E633" s="15">
        <v>0</v>
      </c>
      <c r="F633" s="15">
        <v>0</v>
      </c>
      <c r="G633" s="15">
        <v>0</v>
      </c>
      <c r="H633" s="15">
        <v>0</v>
      </c>
      <c r="I633" s="15">
        <v>0</v>
      </c>
      <c r="J633" s="15">
        <v>0</v>
      </c>
      <c r="K633" s="15">
        <v>0</v>
      </c>
      <c r="L633" s="15">
        <v>0</v>
      </c>
      <c r="M633" s="15">
        <v>0</v>
      </c>
      <c r="N633" s="15">
        <v>934.29</v>
      </c>
      <c r="O633" t="s">
        <v>3028</v>
      </c>
    </row>
    <row r="634" spans="1:15" x14ac:dyDescent="0.25">
      <c r="A634" s="10" t="s">
        <v>1403</v>
      </c>
      <c r="B634" s="15">
        <v>3835.78</v>
      </c>
      <c r="C634" s="15">
        <v>3253.12</v>
      </c>
      <c r="D634" s="15">
        <v>7535.37</v>
      </c>
      <c r="E634" s="15">
        <v>70.78</v>
      </c>
      <c r="F634" s="15">
        <v>2945.09</v>
      </c>
      <c r="G634" s="15">
        <v>2858.67</v>
      </c>
      <c r="H634" s="15">
        <v>2858.67</v>
      </c>
      <c r="I634" s="15">
        <v>2962.06</v>
      </c>
      <c r="J634" s="15">
        <v>3137.54</v>
      </c>
      <c r="K634" s="15">
        <v>3439.99</v>
      </c>
      <c r="L634" s="15">
        <v>3186.53</v>
      </c>
      <c r="M634" s="15">
        <v>3213.24</v>
      </c>
      <c r="N634" s="15">
        <v>3292</v>
      </c>
      <c r="O634" t="s">
        <v>3028</v>
      </c>
    </row>
    <row r="635" spans="1:15" x14ac:dyDescent="0.25">
      <c r="A635" s="10" t="s">
        <v>1405</v>
      </c>
      <c r="B635" s="15">
        <v>1141</v>
      </c>
      <c r="C635" s="15">
        <v>1507.88</v>
      </c>
      <c r="D635" s="15">
        <v>1369.83</v>
      </c>
      <c r="E635" s="15">
        <v>1464.7</v>
      </c>
      <c r="F635" s="15">
        <v>1414.22</v>
      </c>
      <c r="G635" s="15">
        <v>1303.48</v>
      </c>
      <c r="H635" s="15">
        <v>1411.29</v>
      </c>
      <c r="I635" s="15">
        <v>1842.46</v>
      </c>
      <c r="J635" s="15">
        <v>1604.68</v>
      </c>
      <c r="K635" s="15">
        <v>1673.3</v>
      </c>
      <c r="L635" s="15">
        <v>1589.44</v>
      </c>
      <c r="M635" s="15">
        <v>1593.53</v>
      </c>
      <c r="N635" s="15">
        <v>1575.06</v>
      </c>
      <c r="O635" t="s">
        <v>3028</v>
      </c>
    </row>
    <row r="636" spans="1:15" x14ac:dyDescent="0.25">
      <c r="A636" s="10" t="s">
        <v>1407</v>
      </c>
      <c r="B636" s="15">
        <v>0</v>
      </c>
      <c r="C636" s="15">
        <v>0</v>
      </c>
      <c r="D636" s="15">
        <v>0</v>
      </c>
      <c r="E636" s="15">
        <v>0</v>
      </c>
      <c r="F636" s="15">
        <v>2179.5700000000002</v>
      </c>
      <c r="G636" s="15">
        <v>3055.75</v>
      </c>
      <c r="H636" s="15">
        <v>2972.14</v>
      </c>
      <c r="I636" s="15">
        <v>3855.93</v>
      </c>
      <c r="J636" s="15">
        <v>3264</v>
      </c>
      <c r="K636" s="15">
        <v>3264</v>
      </c>
      <c r="L636" s="15">
        <v>3264</v>
      </c>
      <c r="M636" s="15">
        <v>3264</v>
      </c>
      <c r="N636" s="15">
        <v>2184.27</v>
      </c>
      <c r="O636" t="s">
        <v>3028</v>
      </c>
    </row>
    <row r="637" spans="1:15" x14ac:dyDescent="0.25">
      <c r="A637" s="10" t="s">
        <v>1409</v>
      </c>
      <c r="B637" s="15">
        <v>1557.62</v>
      </c>
      <c r="C637" s="15">
        <v>1557.62</v>
      </c>
      <c r="D637" s="15">
        <v>1557.62</v>
      </c>
      <c r="E637" s="15">
        <v>1575.6</v>
      </c>
      <c r="F637" s="15">
        <v>1562.37</v>
      </c>
      <c r="G637" s="15">
        <v>1559.78</v>
      </c>
      <c r="H637" s="15">
        <v>1561.31</v>
      </c>
      <c r="I637" s="15">
        <v>2017.06</v>
      </c>
      <c r="J637" s="15">
        <v>3994.45</v>
      </c>
      <c r="K637" s="15">
        <v>57.02</v>
      </c>
      <c r="L637" s="15">
        <v>1653.56</v>
      </c>
      <c r="M637" s="15">
        <v>1711.35</v>
      </c>
      <c r="N637" s="15">
        <v>1713.26</v>
      </c>
      <c r="O637" t="s">
        <v>3028</v>
      </c>
    </row>
    <row r="638" spans="1:15" x14ac:dyDescent="0.25">
      <c r="A638" s="10" t="s">
        <v>1411</v>
      </c>
      <c r="B638" s="15">
        <v>1805.34</v>
      </c>
      <c r="C638" s="15">
        <v>1902.03</v>
      </c>
      <c r="D638" s="15">
        <v>1553.21</v>
      </c>
      <c r="E638" s="15">
        <v>1899.34</v>
      </c>
      <c r="F638" s="15">
        <v>1528.05</v>
      </c>
      <c r="G638" s="15">
        <v>1332.72</v>
      </c>
      <c r="H638" s="15">
        <v>1704.38</v>
      </c>
      <c r="I638" s="15">
        <v>1807.1</v>
      </c>
      <c r="J638" s="15">
        <v>1442.19</v>
      </c>
      <c r="K638" s="15">
        <v>1805.38</v>
      </c>
      <c r="L638" s="15">
        <v>1892.7</v>
      </c>
      <c r="M638" s="15">
        <v>2257.9299999999998</v>
      </c>
      <c r="N638" s="15">
        <v>1849.14</v>
      </c>
      <c r="O638" t="s">
        <v>3028</v>
      </c>
    </row>
    <row r="639" spans="1:15" x14ac:dyDescent="0.25">
      <c r="A639" s="10" t="s">
        <v>1413</v>
      </c>
      <c r="B639" s="15">
        <v>0</v>
      </c>
      <c r="C639" s="15">
        <v>0</v>
      </c>
      <c r="D639" s="15">
        <v>0</v>
      </c>
      <c r="E639" s="15">
        <v>0</v>
      </c>
      <c r="F639" s="15">
        <v>0</v>
      </c>
      <c r="G639" s="15">
        <v>0</v>
      </c>
      <c r="H639" s="15">
        <v>0</v>
      </c>
      <c r="I639" s="15">
        <v>996.67</v>
      </c>
      <c r="J639" s="15">
        <v>1353.45</v>
      </c>
      <c r="K639" s="15">
        <v>1799.88</v>
      </c>
      <c r="L639" s="15">
        <v>1928.6</v>
      </c>
      <c r="M639" s="15">
        <v>2155.0100000000002</v>
      </c>
      <c r="N639" s="15">
        <v>722.2</v>
      </c>
      <c r="O639" t="s">
        <v>3028</v>
      </c>
    </row>
    <row r="640" spans="1:15" x14ac:dyDescent="0.25">
      <c r="A640" s="10" t="s">
        <v>1415</v>
      </c>
      <c r="B640" s="15">
        <v>1799.42</v>
      </c>
      <c r="C640" s="15">
        <v>1828.1</v>
      </c>
      <c r="D640" s="15">
        <v>1825.08</v>
      </c>
      <c r="E640" s="15">
        <v>3951.43</v>
      </c>
      <c r="F640" s="15">
        <v>494.4</v>
      </c>
      <c r="G640" s="15">
        <v>1800.2</v>
      </c>
      <c r="H640" s="15">
        <v>1811.26</v>
      </c>
      <c r="I640" s="15">
        <v>2352.31</v>
      </c>
      <c r="J640" s="15">
        <v>1992.91</v>
      </c>
      <c r="K640" s="15">
        <v>1976.41</v>
      </c>
      <c r="L640" s="15">
        <v>1989.22</v>
      </c>
      <c r="M640" s="15">
        <v>1983.85</v>
      </c>
      <c r="N640" s="15">
        <v>1989.83</v>
      </c>
      <c r="O640" t="s">
        <v>3028</v>
      </c>
    </row>
    <row r="641" spans="1:15" x14ac:dyDescent="0.25">
      <c r="A641" s="10" t="s">
        <v>1417</v>
      </c>
      <c r="B641" s="15">
        <v>262.82</v>
      </c>
      <c r="C641" s="15">
        <v>1748.87</v>
      </c>
      <c r="D641" s="15">
        <v>2106.8000000000002</v>
      </c>
      <c r="E641" s="15">
        <v>2006.1</v>
      </c>
      <c r="F641" s="15">
        <v>1873.7</v>
      </c>
      <c r="G641" s="15">
        <v>1944.7</v>
      </c>
      <c r="H641" s="15">
        <v>1941.96</v>
      </c>
      <c r="I641" s="15">
        <v>1955.28</v>
      </c>
      <c r="J641" s="15">
        <v>127.21</v>
      </c>
      <c r="K641" s="15">
        <v>0</v>
      </c>
      <c r="L641" s="15">
        <v>0</v>
      </c>
      <c r="M641" s="15">
        <v>0</v>
      </c>
      <c r="N641" s="15">
        <v>1286.03</v>
      </c>
      <c r="O641" t="s">
        <v>3028</v>
      </c>
    </row>
    <row r="642" spans="1:15" x14ac:dyDescent="0.25">
      <c r="A642" s="10" t="s">
        <v>1419</v>
      </c>
      <c r="B642" s="15">
        <v>2130.0500000000002</v>
      </c>
      <c r="C642" s="15">
        <v>2104.15</v>
      </c>
      <c r="D642" s="15">
        <v>2104.15</v>
      </c>
      <c r="E642" s="15">
        <v>2104.15</v>
      </c>
      <c r="F642" s="15">
        <v>2133.17</v>
      </c>
      <c r="G642" s="15">
        <v>2107.4299999999998</v>
      </c>
      <c r="H642" s="15">
        <v>2104.15</v>
      </c>
      <c r="I642" s="15">
        <v>2724.37</v>
      </c>
      <c r="J642" s="15">
        <v>2329.42</v>
      </c>
      <c r="K642" s="15">
        <v>2355.7600000000002</v>
      </c>
      <c r="L642" s="15">
        <v>2310.7800000000002</v>
      </c>
      <c r="M642" s="15">
        <v>3322.96</v>
      </c>
      <c r="N642" s="15">
        <v>2321.34</v>
      </c>
      <c r="O642" t="s">
        <v>3028</v>
      </c>
    </row>
    <row r="643" spans="1:15" x14ac:dyDescent="0.25">
      <c r="A643" s="10" t="s">
        <v>1421</v>
      </c>
      <c r="B643" s="15">
        <v>2097.0100000000002</v>
      </c>
      <c r="C643" s="15">
        <v>2553.2399999999998</v>
      </c>
      <c r="D643" s="15">
        <v>1999.11</v>
      </c>
      <c r="E643" s="15">
        <v>2059.73</v>
      </c>
      <c r="F643" s="15">
        <v>2464.77</v>
      </c>
      <c r="G643" s="15">
        <v>1717.39</v>
      </c>
      <c r="H643" s="15">
        <v>1933.09</v>
      </c>
      <c r="I643" s="15">
        <v>2674.32</v>
      </c>
      <c r="J643" s="15">
        <v>2138.9</v>
      </c>
      <c r="K643" s="15">
        <v>2012.37</v>
      </c>
      <c r="L643" s="15">
        <v>1952</v>
      </c>
      <c r="M643" s="15">
        <v>2062.27</v>
      </c>
      <c r="N643" s="15">
        <v>2185.08</v>
      </c>
      <c r="O643" t="s">
        <v>3028</v>
      </c>
    </row>
    <row r="644" spans="1:15" x14ac:dyDescent="0.25">
      <c r="A644" s="10" t="s">
        <v>1423</v>
      </c>
      <c r="B644" s="15">
        <v>2101.81</v>
      </c>
      <c r="C644" s="15">
        <v>1953.29</v>
      </c>
      <c r="D644" s="15">
        <v>1977.08</v>
      </c>
      <c r="E644" s="15">
        <v>2104.17</v>
      </c>
      <c r="F644" s="15">
        <v>1975</v>
      </c>
      <c r="G644" s="15">
        <v>1984.08</v>
      </c>
      <c r="H644" s="15">
        <v>2026.56</v>
      </c>
      <c r="I644" s="15">
        <v>2693.39</v>
      </c>
      <c r="J644" s="15">
        <v>4149.8900000000003</v>
      </c>
      <c r="K644" s="15">
        <v>1323.8</v>
      </c>
      <c r="L644" s="15">
        <v>2193.5300000000002</v>
      </c>
      <c r="M644" s="15">
        <v>2234.38</v>
      </c>
      <c r="N644" s="15">
        <v>2190.67</v>
      </c>
      <c r="O644" t="s">
        <v>3028</v>
      </c>
    </row>
    <row r="645" spans="1:15" x14ac:dyDescent="0.25">
      <c r="A645" s="10" t="s">
        <v>1425</v>
      </c>
      <c r="B645" s="15">
        <v>1967.64</v>
      </c>
      <c r="C645" s="15">
        <v>1921.6</v>
      </c>
      <c r="D645" s="15">
        <v>1929.06</v>
      </c>
      <c r="E645" s="15">
        <v>1929.05</v>
      </c>
      <c r="F645" s="15">
        <v>1921.6</v>
      </c>
      <c r="G645" s="15">
        <v>1921.6</v>
      </c>
      <c r="H645" s="15">
        <v>1921.6</v>
      </c>
      <c r="I645" s="15">
        <v>2487.6999999999998</v>
      </c>
      <c r="J645" s="15">
        <v>2672.1</v>
      </c>
      <c r="K645" s="15">
        <v>2039.96</v>
      </c>
      <c r="L645" s="15">
        <v>2110.3000000000002</v>
      </c>
      <c r="M645" s="15">
        <v>2110.3000000000002</v>
      </c>
      <c r="N645" s="15">
        <v>2117.2399999999998</v>
      </c>
      <c r="O645" t="s">
        <v>3028</v>
      </c>
    </row>
    <row r="646" spans="1:15" x14ac:dyDescent="0.25">
      <c r="A646" s="10" t="s">
        <v>1427</v>
      </c>
      <c r="B646" s="15">
        <v>0</v>
      </c>
      <c r="C646" s="15">
        <v>0</v>
      </c>
      <c r="D646" s="15">
        <v>0</v>
      </c>
      <c r="E646" s="15">
        <v>0</v>
      </c>
      <c r="F646" s="15">
        <v>965.15</v>
      </c>
      <c r="G646" s="15">
        <v>1348.64</v>
      </c>
      <c r="H646" s="15">
        <v>1358.44</v>
      </c>
      <c r="I646" s="15">
        <v>1874.63</v>
      </c>
      <c r="J646" s="15">
        <v>1449.86</v>
      </c>
      <c r="K646" s="15">
        <v>1447.7</v>
      </c>
      <c r="L646" s="15">
        <v>1606.24</v>
      </c>
      <c r="M646" s="15">
        <v>1446.8</v>
      </c>
      <c r="N646" s="15">
        <v>998.92</v>
      </c>
      <c r="O646" t="s">
        <v>3028</v>
      </c>
    </row>
    <row r="647" spans="1:15" x14ac:dyDescent="0.25">
      <c r="A647" s="10" t="s">
        <v>1429</v>
      </c>
      <c r="B647" s="15">
        <v>1509.54</v>
      </c>
      <c r="C647" s="15">
        <v>1507.43</v>
      </c>
      <c r="D647" s="15">
        <v>1367.85</v>
      </c>
      <c r="E647" s="15">
        <v>1458.66</v>
      </c>
      <c r="F647" s="15">
        <v>1458.75</v>
      </c>
      <c r="G647" s="15">
        <v>3328.85</v>
      </c>
      <c r="H647" s="15">
        <v>199.02</v>
      </c>
      <c r="I647" s="15">
        <v>1719.15</v>
      </c>
      <c r="J647" s="15">
        <v>1623.83</v>
      </c>
      <c r="K647" s="15">
        <v>1473.11</v>
      </c>
      <c r="L647" s="15">
        <v>1367.21</v>
      </c>
      <c r="M647" s="15">
        <v>0</v>
      </c>
      <c r="N647" s="15">
        <v>1317.26</v>
      </c>
      <c r="O647" t="s">
        <v>3028</v>
      </c>
    </row>
    <row r="648" spans="1:15" x14ac:dyDescent="0.25">
      <c r="A648" s="10" t="s">
        <v>1431</v>
      </c>
      <c r="B648" s="15">
        <v>351.33</v>
      </c>
      <c r="C648" s="15">
        <v>599.33000000000004</v>
      </c>
      <c r="D648" s="15">
        <v>640.66999999999996</v>
      </c>
      <c r="E648" s="15">
        <v>620</v>
      </c>
      <c r="F648" s="15">
        <v>640.66999999999996</v>
      </c>
      <c r="G648" s="15">
        <v>620</v>
      </c>
      <c r="H648" s="15">
        <v>640.66999999999996</v>
      </c>
      <c r="I648" s="15">
        <v>20.67</v>
      </c>
      <c r="J648" s="15">
        <v>0</v>
      </c>
      <c r="K648" s="15">
        <v>0</v>
      </c>
      <c r="L648" s="15">
        <v>0</v>
      </c>
      <c r="M648" s="15">
        <v>0</v>
      </c>
      <c r="N648" s="15">
        <v>361.67</v>
      </c>
      <c r="O648" t="s">
        <v>3028</v>
      </c>
    </row>
    <row r="649" spans="1:15" x14ac:dyDescent="0.25">
      <c r="A649" s="10" t="s">
        <v>1433</v>
      </c>
      <c r="B649" s="15">
        <v>0</v>
      </c>
      <c r="C649" s="15">
        <v>0</v>
      </c>
      <c r="D649" s="15">
        <v>0</v>
      </c>
      <c r="E649" s="15">
        <v>0</v>
      </c>
      <c r="F649" s="15">
        <v>0</v>
      </c>
      <c r="G649" s="15">
        <v>0</v>
      </c>
      <c r="H649" s="15">
        <v>877.41</v>
      </c>
      <c r="I649" s="15">
        <v>1710.01</v>
      </c>
      <c r="J649" s="15">
        <v>1495.51</v>
      </c>
      <c r="K649" s="15">
        <v>1500.73</v>
      </c>
      <c r="L649" s="15">
        <v>1484.78</v>
      </c>
      <c r="M649" s="15">
        <v>1497.97</v>
      </c>
      <c r="N649" s="15">
        <v>754.15</v>
      </c>
      <c r="O649" t="s">
        <v>3028</v>
      </c>
    </row>
    <row r="650" spans="1:15" x14ac:dyDescent="0.25">
      <c r="A650" s="10" t="s">
        <v>1435</v>
      </c>
      <c r="B650" s="15">
        <v>1272.23</v>
      </c>
      <c r="C650" s="15">
        <v>1829.21</v>
      </c>
      <c r="D650" s="15">
        <v>1691.99</v>
      </c>
      <c r="E650" s="15">
        <v>1722.27</v>
      </c>
      <c r="F650" s="15">
        <v>1635.83</v>
      </c>
      <c r="G650" s="15">
        <v>1785.06</v>
      </c>
      <c r="H650" s="15">
        <v>1823.93</v>
      </c>
      <c r="I650" s="15">
        <v>0</v>
      </c>
      <c r="J650" s="15">
        <v>621.89</v>
      </c>
      <c r="K650" s="15">
        <v>43.25</v>
      </c>
      <c r="L650" s="15">
        <v>0</v>
      </c>
      <c r="M650" s="15">
        <v>0</v>
      </c>
      <c r="N650" s="15">
        <v>1326.83</v>
      </c>
      <c r="O650" t="s">
        <v>3028</v>
      </c>
    </row>
    <row r="651" spans="1:15" x14ac:dyDescent="0.25">
      <c r="A651" s="10" t="s">
        <v>1437</v>
      </c>
      <c r="B651" s="15">
        <v>2189.31</v>
      </c>
      <c r="C651" s="15">
        <v>2370.27</v>
      </c>
      <c r="D651" s="15">
        <v>2055.17</v>
      </c>
      <c r="E651" s="15">
        <v>4595.75</v>
      </c>
      <c r="F651" s="15">
        <v>43.86</v>
      </c>
      <c r="G651" s="15">
        <v>1791.95</v>
      </c>
      <c r="H651" s="15">
        <v>1841.78</v>
      </c>
      <c r="I651" s="15">
        <v>2352.63</v>
      </c>
      <c r="J651" s="15">
        <v>2209.73</v>
      </c>
      <c r="K651" s="15">
        <v>1996</v>
      </c>
      <c r="L651" s="15">
        <v>1989.22</v>
      </c>
      <c r="M651" s="15">
        <v>1989.59</v>
      </c>
      <c r="N651" s="15">
        <v>2136.15</v>
      </c>
      <c r="O651" t="s">
        <v>3028</v>
      </c>
    </row>
    <row r="652" spans="1:15" x14ac:dyDescent="0.25">
      <c r="A652" s="10" t="s">
        <v>1442</v>
      </c>
      <c r="B652" s="15">
        <v>2343.0700000000002</v>
      </c>
      <c r="C652" s="15">
        <v>2618.16</v>
      </c>
      <c r="D652" s="15">
        <v>2298.06</v>
      </c>
      <c r="E652" s="15">
        <v>2692.89</v>
      </c>
      <c r="F652" s="15">
        <v>2373.98</v>
      </c>
      <c r="G652" s="15">
        <v>6259.86</v>
      </c>
      <c r="H652" s="15">
        <v>586.35</v>
      </c>
      <c r="I652" s="15">
        <v>3046</v>
      </c>
      <c r="J652" s="15">
        <v>2838.16</v>
      </c>
      <c r="K652" s="15">
        <v>2838.14</v>
      </c>
      <c r="L652" s="15">
        <v>2854.81</v>
      </c>
      <c r="M652" s="15">
        <v>2589</v>
      </c>
      <c r="N652" s="15">
        <v>2763.67</v>
      </c>
      <c r="O652" t="s">
        <v>3028</v>
      </c>
    </row>
    <row r="653" spans="1:15" x14ac:dyDescent="0.25">
      <c r="A653" s="10" t="s">
        <v>1444</v>
      </c>
      <c r="B653" s="15">
        <v>0</v>
      </c>
      <c r="C653" s="15">
        <v>0</v>
      </c>
      <c r="D653" s="15">
        <v>1052.8900000000001</v>
      </c>
      <c r="E653" s="15">
        <v>1316.11</v>
      </c>
      <c r="F653" s="15">
        <v>1316.11</v>
      </c>
      <c r="G653" s="15">
        <v>1316.11</v>
      </c>
      <c r="H653" s="15">
        <v>1316.11</v>
      </c>
      <c r="I653" s="15">
        <v>1703.83</v>
      </c>
      <c r="J653" s="15">
        <v>1448.24</v>
      </c>
      <c r="K653" s="15">
        <v>1495.39</v>
      </c>
      <c r="L653" s="15">
        <v>1445.35</v>
      </c>
      <c r="M653" s="15">
        <v>1445.35</v>
      </c>
      <c r="N653" s="15">
        <v>1208.8699999999999</v>
      </c>
      <c r="O653" t="s">
        <v>3028</v>
      </c>
    </row>
    <row r="654" spans="1:15" x14ac:dyDescent="0.25">
      <c r="A654" s="10" t="s">
        <v>1446</v>
      </c>
      <c r="B654" s="15">
        <v>1632</v>
      </c>
      <c r="C654" s="15">
        <v>1805.04</v>
      </c>
      <c r="D654" s="15">
        <v>436.23</v>
      </c>
      <c r="E654" s="15">
        <v>0</v>
      </c>
      <c r="F654" s="15">
        <v>0</v>
      </c>
      <c r="G654" s="15">
        <v>0</v>
      </c>
      <c r="H654" s="15">
        <v>0</v>
      </c>
      <c r="I654" s="15">
        <v>0</v>
      </c>
      <c r="J654" s="15">
        <v>0</v>
      </c>
      <c r="K654" s="15">
        <v>0</v>
      </c>
      <c r="L654" s="15">
        <v>0</v>
      </c>
      <c r="M654" s="15">
        <v>0</v>
      </c>
      <c r="N654" s="15">
        <v>450.46</v>
      </c>
      <c r="O654" t="s">
        <v>3028</v>
      </c>
    </row>
    <row r="655" spans="1:15" x14ac:dyDescent="0.25">
      <c r="A655" s="10" t="s">
        <v>1448</v>
      </c>
      <c r="B655" s="15">
        <v>2647.49</v>
      </c>
      <c r="C655" s="15">
        <v>2478.15</v>
      </c>
      <c r="D655" s="15">
        <v>2618.83</v>
      </c>
      <c r="E655" s="15">
        <v>1821.61</v>
      </c>
      <c r="F655" s="15">
        <v>2493.8000000000002</v>
      </c>
      <c r="G655" s="15">
        <v>6295.34</v>
      </c>
      <c r="H655" s="15">
        <v>900.72</v>
      </c>
      <c r="I655" s="15">
        <v>2675.52</v>
      </c>
      <c r="J655" s="15">
        <v>2758.11</v>
      </c>
      <c r="K655" s="15">
        <v>2973.66</v>
      </c>
      <c r="L655" s="15">
        <v>2951.39</v>
      </c>
      <c r="M655" s="15">
        <v>2781.01</v>
      </c>
      <c r="N655" s="15">
        <v>2759.74</v>
      </c>
      <c r="O655" t="s">
        <v>3028</v>
      </c>
    </row>
    <row r="656" spans="1:15" x14ac:dyDescent="0.25">
      <c r="A656" s="10" t="s">
        <v>1450</v>
      </c>
      <c r="B656" s="15">
        <v>1761.64</v>
      </c>
      <c r="C656" s="15">
        <v>1794.7</v>
      </c>
      <c r="D656" s="15">
        <v>1824.5</v>
      </c>
      <c r="E656" s="15">
        <v>2548.39</v>
      </c>
      <c r="F656" s="15">
        <v>1261.76</v>
      </c>
      <c r="G656" s="15">
        <v>1854.09</v>
      </c>
      <c r="H656" s="15">
        <v>1733.63</v>
      </c>
      <c r="I656" s="15">
        <v>2365.04</v>
      </c>
      <c r="J656" s="15">
        <v>2083.8200000000002</v>
      </c>
      <c r="K656" s="15">
        <v>1898.38</v>
      </c>
      <c r="L656" s="15">
        <v>1894.62</v>
      </c>
      <c r="M656" s="15">
        <v>2079.71</v>
      </c>
      <c r="N656" s="15">
        <v>1951.27</v>
      </c>
      <c r="O656" t="s">
        <v>3028</v>
      </c>
    </row>
    <row r="657" spans="1:15" x14ac:dyDescent="0.25">
      <c r="A657" s="10" t="s">
        <v>1452</v>
      </c>
      <c r="B657" s="15">
        <v>1993.27</v>
      </c>
      <c r="C657" s="15">
        <v>1975.34</v>
      </c>
      <c r="D657" s="15">
        <v>4239.91</v>
      </c>
      <c r="E657" s="15">
        <v>263.93</v>
      </c>
      <c r="F657" s="15">
        <v>1203.3800000000001</v>
      </c>
      <c r="G657" s="15">
        <v>1397.81</v>
      </c>
      <c r="H657" s="15">
        <v>219.35</v>
      </c>
      <c r="I657" s="15">
        <v>0</v>
      </c>
      <c r="J657" s="15">
        <v>158.81</v>
      </c>
      <c r="K657" s="15">
        <v>0</v>
      </c>
      <c r="L657" s="15">
        <v>0</v>
      </c>
      <c r="M657" s="15">
        <v>0</v>
      </c>
      <c r="N657" s="15">
        <v>1067.6400000000001</v>
      </c>
      <c r="O657" t="s">
        <v>3028</v>
      </c>
    </row>
    <row r="658" spans="1:15" x14ac:dyDescent="0.25">
      <c r="A658" s="10" t="s">
        <v>1454</v>
      </c>
      <c r="B658" s="15">
        <v>1418.36</v>
      </c>
      <c r="C658" s="15">
        <v>1316.11</v>
      </c>
      <c r="D658" s="15">
        <v>1337.54</v>
      </c>
      <c r="E658" s="15">
        <v>1321.45</v>
      </c>
      <c r="F658" s="15">
        <v>1325.88</v>
      </c>
      <c r="G658" s="15">
        <v>3120.79</v>
      </c>
      <c r="H658" s="15">
        <v>161.08000000000001</v>
      </c>
      <c r="I658" s="15">
        <v>1691.32</v>
      </c>
      <c r="J658" s="15">
        <v>1451.99</v>
      </c>
      <c r="K658" s="15">
        <v>1445.35</v>
      </c>
      <c r="L658" s="15">
        <v>1445.35</v>
      </c>
      <c r="M658" s="15">
        <v>1447.06</v>
      </c>
      <c r="N658" s="15">
        <v>1470.62</v>
      </c>
      <c r="O658" t="s">
        <v>3028</v>
      </c>
    </row>
    <row r="659" spans="1:15" x14ac:dyDescent="0.25">
      <c r="A659" s="10" t="s">
        <v>1456</v>
      </c>
      <c r="B659" s="15">
        <v>1701.5</v>
      </c>
      <c r="C659" s="15">
        <v>1711.13</v>
      </c>
      <c r="D659" s="15">
        <v>1371.89</v>
      </c>
      <c r="E659" s="15">
        <v>43.87</v>
      </c>
      <c r="F659" s="15">
        <v>0</v>
      </c>
      <c r="G659" s="15">
        <v>0</v>
      </c>
      <c r="H659" s="15">
        <v>0</v>
      </c>
      <c r="I659" s="15">
        <v>0</v>
      </c>
      <c r="J659" s="15">
        <v>0</v>
      </c>
      <c r="K659" s="15">
        <v>0</v>
      </c>
      <c r="L659" s="15">
        <v>0</v>
      </c>
      <c r="M659" s="15">
        <v>0</v>
      </c>
      <c r="N659" s="15">
        <v>528.85</v>
      </c>
      <c r="O659" t="s">
        <v>3028</v>
      </c>
    </row>
    <row r="660" spans="1:15" x14ac:dyDescent="0.25">
      <c r="A660" s="10" t="s">
        <v>1458</v>
      </c>
      <c r="B660" s="15">
        <v>0</v>
      </c>
      <c r="C660" s="15">
        <v>0</v>
      </c>
      <c r="D660" s="15">
        <v>0</v>
      </c>
      <c r="E660" s="15">
        <v>2790</v>
      </c>
      <c r="F660" s="15">
        <v>3100</v>
      </c>
      <c r="G660" s="15">
        <v>3138.44</v>
      </c>
      <c r="H660" s="15">
        <v>3100</v>
      </c>
      <c r="I660" s="15">
        <v>4105.01</v>
      </c>
      <c r="J660" s="15">
        <v>3420.66</v>
      </c>
      <c r="K660" s="15">
        <v>3468.3</v>
      </c>
      <c r="L660" s="15">
        <v>3540.82</v>
      </c>
      <c r="M660" s="15">
        <v>3407.82</v>
      </c>
      <c r="N660" s="15">
        <v>2582.7600000000002</v>
      </c>
      <c r="O660" t="s">
        <v>3028</v>
      </c>
    </row>
    <row r="661" spans="1:15" x14ac:dyDescent="0.25">
      <c r="A661" s="10" t="s">
        <v>1460</v>
      </c>
      <c r="B661" s="15">
        <v>1864.54</v>
      </c>
      <c r="C661" s="15">
        <v>1974.21</v>
      </c>
      <c r="D661" s="15">
        <v>3814.2</v>
      </c>
      <c r="E661" s="15">
        <v>503.03</v>
      </c>
      <c r="F661" s="15">
        <v>1246.76</v>
      </c>
      <c r="G661" s="15">
        <v>1962.04</v>
      </c>
      <c r="H661" s="15">
        <v>2070.81</v>
      </c>
      <c r="I661" s="15">
        <v>2546.92</v>
      </c>
      <c r="J661" s="15">
        <v>1908.37</v>
      </c>
      <c r="K661" s="15">
        <v>2601.77</v>
      </c>
      <c r="L661" s="15">
        <v>1729.46</v>
      </c>
      <c r="M661" s="15">
        <v>2037.76</v>
      </c>
      <c r="N661" s="15">
        <v>2059.91</v>
      </c>
      <c r="O661" t="s">
        <v>3028</v>
      </c>
    </row>
    <row r="662" spans="1:15" x14ac:dyDescent="0.25">
      <c r="A662" s="10" t="s">
        <v>1462</v>
      </c>
      <c r="B662" s="15">
        <v>1207.54</v>
      </c>
      <c r="C662" s="15">
        <v>1357.1</v>
      </c>
      <c r="D662" s="15">
        <v>3359.29</v>
      </c>
      <c r="E662" s="15">
        <v>192.73</v>
      </c>
      <c r="F662" s="15">
        <v>1189.6099999999999</v>
      </c>
      <c r="G662" s="15">
        <v>1399.03</v>
      </c>
      <c r="H662" s="15">
        <v>1374.26</v>
      </c>
      <c r="I662" s="15">
        <v>2058.5</v>
      </c>
      <c r="J662" s="15">
        <v>1640.83</v>
      </c>
      <c r="K662" s="15">
        <v>1475.75</v>
      </c>
      <c r="L662" s="15">
        <v>1455.17</v>
      </c>
      <c r="M662" s="15">
        <v>1447.32</v>
      </c>
      <c r="N662" s="15">
        <v>1536.3</v>
      </c>
      <c r="O662" t="s">
        <v>3028</v>
      </c>
    </row>
    <row r="663" spans="1:15" x14ac:dyDescent="0.25">
      <c r="A663" s="10" t="s">
        <v>1464</v>
      </c>
      <c r="B663" s="15">
        <v>2144.27</v>
      </c>
      <c r="C663" s="15">
        <v>2104.15</v>
      </c>
      <c r="D663" s="15">
        <v>2104.15</v>
      </c>
      <c r="E663" s="15">
        <v>2104.15</v>
      </c>
      <c r="F663" s="15">
        <v>2104.15</v>
      </c>
      <c r="G663" s="15">
        <v>2104.15</v>
      </c>
      <c r="H663" s="15">
        <v>2104.15</v>
      </c>
      <c r="I663" s="15">
        <v>2987.6</v>
      </c>
      <c r="J663" s="15">
        <v>5427.58</v>
      </c>
      <c r="K663" s="15">
        <v>77.03</v>
      </c>
      <c r="L663" s="15">
        <v>2233.75</v>
      </c>
      <c r="M663" s="15">
        <v>2310.7800000000002</v>
      </c>
      <c r="N663" s="15">
        <v>2336.34</v>
      </c>
      <c r="O663" t="s">
        <v>3028</v>
      </c>
    </row>
    <row r="664" spans="1:15" x14ac:dyDescent="0.25">
      <c r="A664" s="10" t="s">
        <v>1466</v>
      </c>
      <c r="B664" s="15">
        <v>1384.85</v>
      </c>
      <c r="C664" s="15">
        <v>1667.85</v>
      </c>
      <c r="D664" s="15">
        <v>1460.78</v>
      </c>
      <c r="E664" s="15">
        <v>1490.38</v>
      </c>
      <c r="F664" s="15">
        <v>1392.88</v>
      </c>
      <c r="G664" s="15">
        <v>96.39</v>
      </c>
      <c r="H664" s="15">
        <v>0</v>
      </c>
      <c r="I664" s="15">
        <v>0</v>
      </c>
      <c r="J664" s="15">
        <v>9.4700000000000006</v>
      </c>
      <c r="K664" s="15">
        <v>0</v>
      </c>
      <c r="L664" s="15">
        <v>0</v>
      </c>
      <c r="M664" s="15">
        <v>0</v>
      </c>
      <c r="N664" s="15">
        <v>797.88</v>
      </c>
      <c r="O664" t="s">
        <v>3028</v>
      </c>
    </row>
    <row r="665" spans="1:15" x14ac:dyDescent="0.25">
      <c r="A665" s="10" t="s">
        <v>1468</v>
      </c>
      <c r="B665" s="15">
        <v>1847.61</v>
      </c>
      <c r="C665" s="15">
        <v>1831.95</v>
      </c>
      <c r="D665" s="15">
        <v>1820.77</v>
      </c>
      <c r="E665" s="15">
        <v>1831.14</v>
      </c>
      <c r="F665" s="15">
        <v>1820.65</v>
      </c>
      <c r="G665" s="15">
        <v>1722.06</v>
      </c>
      <c r="H665" s="15">
        <v>1932.51</v>
      </c>
      <c r="I665" s="15">
        <v>2557.14</v>
      </c>
      <c r="J665" s="15">
        <v>1992.39</v>
      </c>
      <c r="K665" s="15">
        <v>1896.17</v>
      </c>
      <c r="L665" s="15">
        <v>1989.74</v>
      </c>
      <c r="M665" s="15">
        <v>1987.73</v>
      </c>
      <c r="N665" s="15">
        <v>2023.38</v>
      </c>
      <c r="O665" t="s">
        <v>3028</v>
      </c>
    </row>
    <row r="666" spans="1:15" x14ac:dyDescent="0.25">
      <c r="A666" s="10" t="s">
        <v>1470</v>
      </c>
      <c r="B666" s="15">
        <v>0</v>
      </c>
      <c r="C666" s="15">
        <v>0</v>
      </c>
      <c r="D666" s="15">
        <v>1272.24</v>
      </c>
      <c r="E666" s="15">
        <v>1404.37</v>
      </c>
      <c r="F666" s="15">
        <v>1419.64</v>
      </c>
      <c r="G666" s="15">
        <v>1405.17</v>
      </c>
      <c r="H666" s="15">
        <v>1492.89</v>
      </c>
      <c r="I666" s="15">
        <v>2120.1</v>
      </c>
      <c r="J666" s="15">
        <v>1393.3</v>
      </c>
      <c r="K666" s="15">
        <v>1547.26</v>
      </c>
      <c r="L666" s="15">
        <v>1489.28</v>
      </c>
      <c r="M666" s="15">
        <v>1506.55</v>
      </c>
      <c r="N666" s="15">
        <v>1302.08</v>
      </c>
      <c r="O666" t="s">
        <v>3028</v>
      </c>
    </row>
    <row r="667" spans="1:15" x14ac:dyDescent="0.25">
      <c r="A667" s="10" t="s">
        <v>1472</v>
      </c>
      <c r="B667" s="15">
        <v>0</v>
      </c>
      <c r="C667" s="15">
        <v>0</v>
      </c>
      <c r="D667" s="15">
        <v>0</v>
      </c>
      <c r="E667" s="15">
        <v>745.8</v>
      </c>
      <c r="F667" s="15">
        <v>1376.14</v>
      </c>
      <c r="G667" s="15">
        <v>1536.11</v>
      </c>
      <c r="H667" s="15">
        <v>1429.68</v>
      </c>
      <c r="I667" s="15">
        <v>1795.02</v>
      </c>
      <c r="J667" s="15">
        <v>1496.23</v>
      </c>
      <c r="K667" s="15">
        <v>1547.52</v>
      </c>
      <c r="L667" s="15">
        <v>1509.35</v>
      </c>
      <c r="M667" s="15">
        <v>1494.1</v>
      </c>
      <c r="N667" s="15">
        <v>1149.24</v>
      </c>
      <c r="O667" t="s">
        <v>3028</v>
      </c>
    </row>
    <row r="668" spans="1:15" x14ac:dyDescent="0.25">
      <c r="A668" s="10" t="s">
        <v>1474</v>
      </c>
      <c r="B668" s="15">
        <v>1327.92</v>
      </c>
      <c r="C668" s="15">
        <v>1360.55</v>
      </c>
      <c r="D668" s="15">
        <v>1331.84</v>
      </c>
      <c r="E668" s="15">
        <v>1349.64</v>
      </c>
      <c r="F668" s="15">
        <v>1349.78</v>
      </c>
      <c r="G668" s="15">
        <v>1353.78</v>
      </c>
      <c r="H668" s="15">
        <v>2222.9899999999998</v>
      </c>
      <c r="I668" s="15">
        <v>1521.1</v>
      </c>
      <c r="J668" s="15">
        <v>1521.92</v>
      </c>
      <c r="K668" s="15">
        <v>1453.04</v>
      </c>
      <c r="L668" s="15">
        <v>0</v>
      </c>
      <c r="M668" s="15">
        <v>0</v>
      </c>
      <c r="N668" s="15">
        <v>1228.67</v>
      </c>
      <c r="O668" t="s">
        <v>3028</v>
      </c>
    </row>
    <row r="669" spans="1:15" x14ac:dyDescent="0.25">
      <c r="A669" s="10" t="s">
        <v>1476</v>
      </c>
      <c r="B669" s="15">
        <v>0</v>
      </c>
      <c r="C669" s="15">
        <v>0</v>
      </c>
      <c r="D669" s="15">
        <v>0</v>
      </c>
      <c r="E669" s="15">
        <v>1521</v>
      </c>
      <c r="F669" s="15">
        <v>1701.95</v>
      </c>
      <c r="G669" s="15">
        <v>1850.74</v>
      </c>
      <c r="H669" s="15">
        <v>1828.48</v>
      </c>
      <c r="I669" s="15">
        <v>2226.9</v>
      </c>
      <c r="J669" s="15">
        <v>1863.69</v>
      </c>
      <c r="K669" s="15">
        <v>1855.96</v>
      </c>
      <c r="L669" s="15">
        <v>2019.93</v>
      </c>
      <c r="M669" s="15">
        <v>1865.41</v>
      </c>
      <c r="N669" s="15">
        <v>1438.34</v>
      </c>
      <c r="O669" t="s">
        <v>3028</v>
      </c>
    </row>
    <row r="670" spans="1:15" x14ac:dyDescent="0.25">
      <c r="A670" s="10" t="s">
        <v>1478</v>
      </c>
      <c r="B670" s="15">
        <v>1083.6500000000001</v>
      </c>
      <c r="C670" s="15">
        <v>1357.48</v>
      </c>
      <c r="D670" s="15">
        <v>1411.43</v>
      </c>
      <c r="E670" s="15">
        <v>1431.39</v>
      </c>
      <c r="F670" s="15">
        <v>1395.35</v>
      </c>
      <c r="G670" s="15">
        <v>1417.23</v>
      </c>
      <c r="H670" s="15">
        <v>1487.08</v>
      </c>
      <c r="I670" s="15">
        <v>1623.05</v>
      </c>
      <c r="J670" s="15">
        <v>2142.9499999999998</v>
      </c>
      <c r="K670" s="15">
        <v>1469.48</v>
      </c>
      <c r="L670" s="15">
        <v>1504.84</v>
      </c>
      <c r="M670" s="15">
        <v>1481.9</v>
      </c>
      <c r="N670" s="15">
        <v>1554.13</v>
      </c>
      <c r="O670" t="s">
        <v>3028</v>
      </c>
    </row>
    <row r="671" spans="1:15" x14ac:dyDescent="0.25">
      <c r="A671" s="10" t="s">
        <v>1480</v>
      </c>
      <c r="B671" s="15">
        <v>1503.58</v>
      </c>
      <c r="C671" s="15">
        <v>1549.55</v>
      </c>
      <c r="D671" s="15">
        <v>1681.93</v>
      </c>
      <c r="E671" s="15">
        <v>1569.29</v>
      </c>
      <c r="F671" s="15">
        <v>1583.23</v>
      </c>
      <c r="G671" s="15">
        <v>1435.92</v>
      </c>
      <c r="H671" s="15">
        <v>3714.82</v>
      </c>
      <c r="I671" s="15">
        <v>1316.67</v>
      </c>
      <c r="J671" s="15">
        <v>1662.04</v>
      </c>
      <c r="K671" s="15">
        <v>2137.16</v>
      </c>
      <c r="L671" s="15">
        <v>1853.36</v>
      </c>
      <c r="M671" s="15">
        <v>2617.33</v>
      </c>
      <c r="N671" s="15">
        <v>1899.8</v>
      </c>
      <c r="O671" t="s">
        <v>3028</v>
      </c>
    </row>
    <row r="672" spans="1:15" x14ac:dyDescent="0.25">
      <c r="A672" s="10" t="s">
        <v>1482</v>
      </c>
      <c r="B672" s="15">
        <v>1337.75</v>
      </c>
      <c r="C672" s="15">
        <v>1343.59</v>
      </c>
      <c r="D672" s="15">
        <v>1349.97</v>
      </c>
      <c r="E672" s="15">
        <v>1256.8900000000001</v>
      </c>
      <c r="F672" s="15">
        <v>1818.15</v>
      </c>
      <c r="G672" s="15">
        <v>1317.93</v>
      </c>
      <c r="H672" s="15">
        <v>1385.51</v>
      </c>
      <c r="I672" s="15">
        <v>2870.13</v>
      </c>
      <c r="J672" s="15">
        <v>1120.3800000000001</v>
      </c>
      <c r="K672" s="15">
        <v>1510.05</v>
      </c>
      <c r="L672" s="15">
        <v>2893.91</v>
      </c>
      <c r="M672" s="15">
        <v>2282.4</v>
      </c>
      <c r="N672" s="15">
        <v>2103.96</v>
      </c>
      <c r="O672" t="s">
        <v>3028</v>
      </c>
    </row>
    <row r="673" spans="1:15" x14ac:dyDescent="0.25">
      <c r="A673" s="10" t="s">
        <v>1484</v>
      </c>
      <c r="B673" s="15">
        <v>2310.85</v>
      </c>
      <c r="C673" s="15">
        <v>1793.19</v>
      </c>
      <c r="D673" s="15">
        <v>4072.64</v>
      </c>
      <c r="E673" s="15">
        <v>238.37</v>
      </c>
      <c r="F673" s="15">
        <v>1782.42</v>
      </c>
      <c r="G673" s="15">
        <v>1839.06</v>
      </c>
      <c r="H673" s="15">
        <v>1846.76</v>
      </c>
      <c r="I673" s="15">
        <v>2508.16</v>
      </c>
      <c r="J673" s="15">
        <v>2069.62</v>
      </c>
      <c r="K673" s="15">
        <v>1958.89</v>
      </c>
      <c r="L673" s="15">
        <v>1961.71</v>
      </c>
      <c r="M673" s="15">
        <v>1963.75</v>
      </c>
      <c r="N673" s="15">
        <v>2002.95</v>
      </c>
      <c r="O673" t="s">
        <v>3028</v>
      </c>
    </row>
    <row r="674" spans="1:15" x14ac:dyDescent="0.25">
      <c r="A674" s="10" t="s">
        <v>1486</v>
      </c>
      <c r="B674" s="15">
        <v>1396.97</v>
      </c>
      <c r="C674" s="15">
        <v>1316.11</v>
      </c>
      <c r="D674" s="15">
        <v>1316.11</v>
      </c>
      <c r="E674" s="15">
        <v>1316.11</v>
      </c>
      <c r="F674" s="15">
        <v>1316.11</v>
      </c>
      <c r="G674" s="15">
        <v>1316.11</v>
      </c>
      <c r="H674" s="15">
        <v>1316.11</v>
      </c>
      <c r="I674" s="15">
        <v>1721.13</v>
      </c>
      <c r="J674" s="15">
        <v>2756.52</v>
      </c>
      <c r="K674" s="15">
        <v>529.96</v>
      </c>
      <c r="L674" s="15">
        <v>1720.61</v>
      </c>
      <c r="M674" s="15">
        <v>1575.94</v>
      </c>
      <c r="N674" s="15">
        <v>1599.28</v>
      </c>
      <c r="O674" t="s">
        <v>3028</v>
      </c>
    </row>
    <row r="675" spans="1:15" x14ac:dyDescent="0.25">
      <c r="A675" s="10" t="s">
        <v>1488</v>
      </c>
      <c r="B675" s="15">
        <v>1316.11</v>
      </c>
      <c r="C675" s="15">
        <v>1316.11</v>
      </c>
      <c r="D675" s="15">
        <v>1316.11</v>
      </c>
      <c r="E675" s="15">
        <v>2104.15</v>
      </c>
      <c r="F675" s="15">
        <v>2104.15</v>
      </c>
      <c r="G675" s="15">
        <v>2104.15</v>
      </c>
      <c r="H675" s="15">
        <v>2104.15</v>
      </c>
      <c r="I675" s="15">
        <v>2986.16</v>
      </c>
      <c r="J675" s="15">
        <v>3648.37</v>
      </c>
      <c r="K675" s="15">
        <v>2002.68</v>
      </c>
      <c r="L675" s="15">
        <v>2310.7800000000002</v>
      </c>
      <c r="M675" s="15">
        <v>2310.7800000000002</v>
      </c>
      <c r="N675" s="15">
        <v>2354.23</v>
      </c>
      <c r="O675" t="s">
        <v>3028</v>
      </c>
    </row>
    <row r="676" spans="1:15" x14ac:dyDescent="0.25">
      <c r="A676" s="10" t="s">
        <v>1490</v>
      </c>
      <c r="B676" s="15">
        <v>526.44000000000005</v>
      </c>
      <c r="C676" s="15">
        <v>0</v>
      </c>
      <c r="D676" s="15">
        <v>0</v>
      </c>
      <c r="E676" s="15">
        <v>0</v>
      </c>
      <c r="F676" s="15">
        <v>0</v>
      </c>
      <c r="G676" s="15">
        <v>0</v>
      </c>
      <c r="H676" s="15">
        <v>0</v>
      </c>
      <c r="I676" s="15">
        <v>0</v>
      </c>
      <c r="J676" s="15">
        <v>0</v>
      </c>
      <c r="K676" s="15">
        <v>0</v>
      </c>
      <c r="L676" s="15">
        <v>0</v>
      </c>
      <c r="M676" s="15">
        <v>0</v>
      </c>
      <c r="N676" s="15">
        <v>219.35</v>
      </c>
      <c r="O676" t="s">
        <v>3028</v>
      </c>
    </row>
    <row r="677" spans="1:15" x14ac:dyDescent="0.25">
      <c r="A677" s="10" t="s">
        <v>1492</v>
      </c>
      <c r="B677" s="15">
        <v>1831.72</v>
      </c>
      <c r="C677" s="15">
        <v>1795.22</v>
      </c>
      <c r="D677" s="15">
        <v>1800.59</v>
      </c>
      <c r="E677" s="15">
        <v>1809.8</v>
      </c>
      <c r="F677" s="15">
        <v>1817.57</v>
      </c>
      <c r="G677" s="15">
        <v>2018.58</v>
      </c>
      <c r="H677" s="15">
        <v>3029.91</v>
      </c>
      <c r="I677" s="15">
        <v>1917.15</v>
      </c>
      <c r="J677" s="15">
        <v>1957.93</v>
      </c>
      <c r="K677" s="15">
        <v>1980.9</v>
      </c>
      <c r="L677" s="15">
        <v>1980.52</v>
      </c>
      <c r="M677" s="15">
        <v>1954.05</v>
      </c>
      <c r="N677" s="15">
        <v>1998.18</v>
      </c>
      <c r="O677" t="s">
        <v>3028</v>
      </c>
    </row>
    <row r="678" spans="1:15" x14ac:dyDescent="0.25">
      <c r="A678" s="10" t="s">
        <v>1494</v>
      </c>
      <c r="B678" s="15">
        <v>1871.84</v>
      </c>
      <c r="C678" s="15">
        <v>1775.9</v>
      </c>
      <c r="D678" s="15">
        <v>1829.65</v>
      </c>
      <c r="E678" s="15">
        <v>1799.77</v>
      </c>
      <c r="F678" s="15">
        <v>1778.33</v>
      </c>
      <c r="G678" s="15">
        <v>4229.33</v>
      </c>
      <c r="H678" s="15">
        <v>145.05000000000001</v>
      </c>
      <c r="I678" s="15">
        <v>2265.48</v>
      </c>
      <c r="J678" s="15">
        <v>2093.33</v>
      </c>
      <c r="K678" s="15">
        <v>1940.61</v>
      </c>
      <c r="L678" s="15">
        <v>1968.27</v>
      </c>
      <c r="M678" s="15">
        <v>2021.41</v>
      </c>
      <c r="N678" s="15">
        <v>1989.3</v>
      </c>
      <c r="O678" t="s">
        <v>3028</v>
      </c>
    </row>
    <row r="679" spans="1:15" x14ac:dyDescent="0.25">
      <c r="A679" s="10" t="s">
        <v>1496</v>
      </c>
      <c r="B679" s="15">
        <v>1331.56</v>
      </c>
      <c r="C679" s="15">
        <v>1378.2</v>
      </c>
      <c r="D679" s="15">
        <v>1338.99</v>
      </c>
      <c r="E679" s="15">
        <v>1337</v>
      </c>
      <c r="F679" s="15">
        <v>1317.84</v>
      </c>
      <c r="G679" s="15">
        <v>1335.28</v>
      </c>
      <c r="H679" s="15">
        <v>1367.09</v>
      </c>
      <c r="I679" s="15">
        <v>1839.56</v>
      </c>
      <c r="J679" s="15">
        <v>1447.85</v>
      </c>
      <c r="K679" s="15">
        <v>3022.02</v>
      </c>
      <c r="L679" s="15">
        <v>399.76</v>
      </c>
      <c r="M679" s="15">
        <v>1445.35</v>
      </c>
      <c r="N679" s="15">
        <v>1476.06</v>
      </c>
      <c r="O679" t="s">
        <v>3028</v>
      </c>
    </row>
    <row r="680" spans="1:15" x14ac:dyDescent="0.25">
      <c r="A680" s="10" t="s">
        <v>1498</v>
      </c>
      <c r="B680" s="15">
        <v>0</v>
      </c>
      <c r="C680" s="15">
        <v>0</v>
      </c>
      <c r="D680" s="15">
        <v>0</v>
      </c>
      <c r="E680" s="15">
        <v>340</v>
      </c>
      <c r="F680" s="15">
        <v>628.80999999999995</v>
      </c>
      <c r="G680" s="15">
        <v>600</v>
      </c>
      <c r="H680" s="15">
        <v>620</v>
      </c>
      <c r="I680" s="15">
        <v>620</v>
      </c>
      <c r="J680" s="15">
        <v>600</v>
      </c>
      <c r="K680" s="15">
        <v>619</v>
      </c>
      <c r="L680" s="15">
        <v>600</v>
      </c>
      <c r="M680" s="15">
        <v>620</v>
      </c>
      <c r="N680" s="15">
        <v>450.74</v>
      </c>
      <c r="O680" t="s">
        <v>3028</v>
      </c>
    </row>
    <row r="681" spans="1:15" x14ac:dyDescent="0.25">
      <c r="A681" s="10" t="s">
        <v>1500</v>
      </c>
      <c r="B681" s="15">
        <v>1476.89</v>
      </c>
      <c r="C681" s="15">
        <v>1354.63</v>
      </c>
      <c r="D681" s="15">
        <v>1362.86</v>
      </c>
      <c r="E681" s="15">
        <v>1363.46</v>
      </c>
      <c r="F681" s="15">
        <v>1359.75</v>
      </c>
      <c r="G681" s="15">
        <v>1366.33</v>
      </c>
      <c r="H681" s="15">
        <v>1355.11</v>
      </c>
      <c r="I681" s="15">
        <v>1721.3</v>
      </c>
      <c r="J681" s="15">
        <v>2180.67</v>
      </c>
      <c r="K681" s="15">
        <v>1254.96</v>
      </c>
      <c r="L681" s="15">
        <v>1451.28</v>
      </c>
      <c r="M681" s="15">
        <v>1461.08</v>
      </c>
      <c r="N681" s="15">
        <v>1487.92</v>
      </c>
      <c r="O681" t="s">
        <v>3028</v>
      </c>
    </row>
    <row r="682" spans="1:15" x14ac:dyDescent="0.25">
      <c r="A682" s="10" t="s">
        <v>1502</v>
      </c>
      <c r="B682" s="15">
        <v>0</v>
      </c>
      <c r="C682" s="15">
        <v>0</v>
      </c>
      <c r="D682" s="15">
        <v>0</v>
      </c>
      <c r="E682" s="15">
        <v>0</v>
      </c>
      <c r="F682" s="15">
        <v>0</v>
      </c>
      <c r="G682" s="15">
        <v>620</v>
      </c>
      <c r="H682" s="15">
        <v>640.66999999999996</v>
      </c>
      <c r="I682" s="15">
        <v>640.66999999999996</v>
      </c>
      <c r="J682" s="15">
        <v>620</v>
      </c>
      <c r="K682" s="15">
        <v>640.66999999999996</v>
      </c>
      <c r="L682" s="15">
        <v>620</v>
      </c>
      <c r="M682" s="15">
        <v>640.66999999999996</v>
      </c>
      <c r="N682" s="15">
        <v>361.67</v>
      </c>
      <c r="O682" t="s">
        <v>3028</v>
      </c>
    </row>
    <row r="683" spans="1:15" x14ac:dyDescent="0.25">
      <c r="A683" s="10" t="s">
        <v>1504</v>
      </c>
      <c r="B683" s="15">
        <v>1217.9000000000001</v>
      </c>
      <c r="C683" s="15">
        <v>1635.71</v>
      </c>
      <c r="D683" s="15">
        <v>1632.52</v>
      </c>
      <c r="E683" s="15">
        <v>1525.04</v>
      </c>
      <c r="F683" s="15">
        <v>1378.25</v>
      </c>
      <c r="G683" s="15">
        <v>1375.22</v>
      </c>
      <c r="H683" s="15">
        <v>1382.64</v>
      </c>
      <c r="I683" s="15">
        <v>1718.8</v>
      </c>
      <c r="J683" s="15">
        <v>1456.3</v>
      </c>
      <c r="K683" s="15">
        <v>1465.65</v>
      </c>
      <c r="L683" s="15">
        <v>1459.82</v>
      </c>
      <c r="M683" s="15">
        <v>1607.69</v>
      </c>
      <c r="N683" s="15">
        <v>1564.22</v>
      </c>
      <c r="O683" t="s">
        <v>3028</v>
      </c>
    </row>
    <row r="684" spans="1:15" x14ac:dyDescent="0.25">
      <c r="A684" s="10" t="s">
        <v>1506</v>
      </c>
      <c r="B684" s="15">
        <v>0</v>
      </c>
      <c r="C684" s="15">
        <v>422.64</v>
      </c>
      <c r="D684" s="15">
        <v>1251.98</v>
      </c>
      <c r="E684" s="15">
        <v>1042.51</v>
      </c>
      <c r="F684" s="15">
        <v>1077.26</v>
      </c>
      <c r="G684" s="15">
        <v>1029.51</v>
      </c>
      <c r="H684" s="15">
        <v>1091.82</v>
      </c>
      <c r="I684" s="15">
        <v>1595.93</v>
      </c>
      <c r="J684" s="15">
        <v>1144.8900000000001</v>
      </c>
      <c r="K684" s="15">
        <v>1183.05</v>
      </c>
      <c r="L684" s="15">
        <v>1160.3599999999999</v>
      </c>
      <c r="M684" s="15">
        <v>1100.71</v>
      </c>
      <c r="N684" s="15">
        <v>1023.21</v>
      </c>
      <c r="O684" t="s">
        <v>3028</v>
      </c>
    </row>
    <row r="685" spans="1:15" x14ac:dyDescent="0.25">
      <c r="A685" s="10" t="s">
        <v>1508</v>
      </c>
      <c r="B685" s="15">
        <v>1316.85</v>
      </c>
      <c r="C685" s="15">
        <v>1321.31</v>
      </c>
      <c r="D685" s="15">
        <v>1533.7</v>
      </c>
      <c r="E685" s="15">
        <v>2505.7800000000002</v>
      </c>
      <c r="F685" s="15">
        <v>413.63</v>
      </c>
      <c r="G685" s="15">
        <v>1331.91</v>
      </c>
      <c r="H685" s="15">
        <v>1323.65</v>
      </c>
      <c r="I685" s="15">
        <v>1714.87</v>
      </c>
      <c r="J685" s="15">
        <v>1447.51</v>
      </c>
      <c r="K685" s="15">
        <v>1453.68</v>
      </c>
      <c r="L685" s="15">
        <v>1452.52</v>
      </c>
      <c r="M685" s="15">
        <v>1433.2</v>
      </c>
      <c r="N685" s="15">
        <v>1476.65</v>
      </c>
      <c r="O685" t="s">
        <v>3028</v>
      </c>
    </row>
    <row r="686" spans="1:15" x14ac:dyDescent="0.25">
      <c r="A686" s="10" t="s">
        <v>1510</v>
      </c>
      <c r="B686" s="15">
        <v>3290.49</v>
      </c>
      <c r="C686" s="15">
        <v>3434.83</v>
      </c>
      <c r="D686" s="15">
        <v>5623.24</v>
      </c>
      <c r="E686" s="15">
        <v>291.13</v>
      </c>
      <c r="F686" s="15">
        <v>2208.6</v>
      </c>
      <c r="G686" s="15">
        <v>2183.02</v>
      </c>
      <c r="H686" s="15">
        <v>2315.6</v>
      </c>
      <c r="I686" s="15">
        <v>2514.02</v>
      </c>
      <c r="J686" s="15">
        <v>3216.27</v>
      </c>
      <c r="K686" s="15">
        <v>3506.12</v>
      </c>
      <c r="L686" s="15">
        <v>3342.34</v>
      </c>
      <c r="M686" s="15">
        <v>2852.49</v>
      </c>
      <c r="N686" s="15">
        <v>2950.54</v>
      </c>
      <c r="O686" t="s">
        <v>3028</v>
      </c>
    </row>
    <row r="687" spans="1:15" x14ac:dyDescent="0.25">
      <c r="A687" s="10" t="s">
        <v>1512</v>
      </c>
      <c r="B687" s="15">
        <v>705.53</v>
      </c>
      <c r="C687" s="15">
        <v>2104.15</v>
      </c>
      <c r="D687" s="15">
        <v>2194.6799999999998</v>
      </c>
      <c r="E687" s="15">
        <v>2167.91</v>
      </c>
      <c r="F687" s="15">
        <v>2105.25</v>
      </c>
      <c r="G687" s="15">
        <v>2116.19</v>
      </c>
      <c r="H687" s="15">
        <v>2291.7600000000002</v>
      </c>
      <c r="I687" s="15">
        <v>2888.31</v>
      </c>
      <c r="J687" s="15">
        <v>2658.37</v>
      </c>
      <c r="K687" s="15">
        <v>2593.38</v>
      </c>
      <c r="L687" s="15">
        <v>2336.83</v>
      </c>
      <c r="M687" s="15">
        <v>2338.31</v>
      </c>
      <c r="N687" s="15">
        <v>2405.4499999999998</v>
      </c>
      <c r="O687" t="s">
        <v>3028</v>
      </c>
    </row>
    <row r="688" spans="1:15" x14ac:dyDescent="0.25">
      <c r="A688" s="10" t="s">
        <v>1514</v>
      </c>
      <c r="B688" s="15">
        <v>1317.71</v>
      </c>
      <c r="C688" s="15">
        <v>1317.35</v>
      </c>
      <c r="D688" s="15">
        <v>3131.92</v>
      </c>
      <c r="E688" s="15">
        <v>143.24</v>
      </c>
      <c r="F688" s="15">
        <v>1190.7</v>
      </c>
      <c r="G688" s="15">
        <v>1414.83</v>
      </c>
      <c r="H688" s="15">
        <v>1320.6</v>
      </c>
      <c r="I688" s="15">
        <v>2045.16</v>
      </c>
      <c r="J688" s="15">
        <v>1449.49</v>
      </c>
      <c r="K688" s="15">
        <v>1452.03</v>
      </c>
      <c r="L688" s="15">
        <v>1558.62</v>
      </c>
      <c r="M688" s="15">
        <v>1451.4</v>
      </c>
      <c r="N688" s="15">
        <v>1495.9</v>
      </c>
      <c r="O688" t="s">
        <v>3028</v>
      </c>
    </row>
    <row r="689" spans="1:15" x14ac:dyDescent="0.25">
      <c r="A689" s="10" t="s">
        <v>1516</v>
      </c>
      <c r="B689" s="15">
        <v>2552.83</v>
      </c>
      <c r="C689" s="15">
        <v>441.23</v>
      </c>
      <c r="D689" s="15">
        <v>1316.11</v>
      </c>
      <c r="E689" s="15">
        <v>1316.11</v>
      </c>
      <c r="F689" s="15">
        <v>1316.11</v>
      </c>
      <c r="G689" s="15">
        <v>1316.11</v>
      </c>
      <c r="H689" s="15">
        <v>1316.11</v>
      </c>
      <c r="I689" s="15">
        <v>1703.83</v>
      </c>
      <c r="J689" s="15">
        <v>1445.35</v>
      </c>
      <c r="K689" s="15">
        <v>1445.35</v>
      </c>
      <c r="L689" s="15">
        <v>1445.35</v>
      </c>
      <c r="M689" s="15">
        <v>3568.77</v>
      </c>
      <c r="N689" s="15">
        <v>1448.34</v>
      </c>
      <c r="O689" t="s">
        <v>3028</v>
      </c>
    </row>
    <row r="690" spans="1:15" x14ac:dyDescent="0.25">
      <c r="A690" s="10" t="s">
        <v>1518</v>
      </c>
      <c r="B690" s="15">
        <v>0</v>
      </c>
      <c r="C690" s="15">
        <v>422.64</v>
      </c>
      <c r="D690" s="15">
        <v>1248.27</v>
      </c>
      <c r="E690" s="15">
        <v>1042.51</v>
      </c>
      <c r="F690" s="15">
        <v>1077.26</v>
      </c>
      <c r="G690" s="15">
        <v>1029.51</v>
      </c>
      <c r="H690" s="15">
        <v>1091.82</v>
      </c>
      <c r="I690" s="15">
        <v>1565.46</v>
      </c>
      <c r="J690" s="15">
        <v>1144.8900000000001</v>
      </c>
      <c r="K690" s="15">
        <v>1183.05</v>
      </c>
      <c r="L690" s="15">
        <v>1160.3599999999999</v>
      </c>
      <c r="M690" s="15">
        <v>766.93</v>
      </c>
      <c r="N690" s="15">
        <v>993.17</v>
      </c>
      <c r="O690" t="s">
        <v>3028</v>
      </c>
    </row>
    <row r="691" spans="1:15" x14ac:dyDescent="0.25">
      <c r="A691" s="10" t="s">
        <v>1520</v>
      </c>
      <c r="B691" s="15">
        <v>2156.04</v>
      </c>
      <c r="C691" s="15">
        <v>2011.14</v>
      </c>
      <c r="D691" s="15">
        <v>1914.73</v>
      </c>
      <c r="E691" s="15">
        <v>1827</v>
      </c>
      <c r="F691" s="15">
        <v>3511.07</v>
      </c>
      <c r="G691" s="15">
        <v>1028.18</v>
      </c>
      <c r="H691" s="15">
        <v>2148.9899999999998</v>
      </c>
      <c r="I691" s="15">
        <v>2806.75</v>
      </c>
      <c r="J691" s="15">
        <v>2226.6799999999998</v>
      </c>
      <c r="K691" s="15">
        <v>2026.6</v>
      </c>
      <c r="L691" s="15">
        <v>2078.8200000000002</v>
      </c>
      <c r="M691" s="15">
        <v>2506.3000000000002</v>
      </c>
      <c r="N691" s="15">
        <v>2186.89</v>
      </c>
      <c r="O691" t="s">
        <v>3028</v>
      </c>
    </row>
    <row r="692" spans="1:15" x14ac:dyDescent="0.25">
      <c r="A692" s="10" t="s">
        <v>1522</v>
      </c>
      <c r="B692" s="15">
        <v>554.9</v>
      </c>
      <c r="C692" s="15">
        <v>580</v>
      </c>
      <c r="D692" s="15">
        <v>637.34</v>
      </c>
      <c r="E692" s="15">
        <v>600</v>
      </c>
      <c r="F692" s="15">
        <v>624.96</v>
      </c>
      <c r="G692" s="15">
        <v>1403.17</v>
      </c>
      <c r="H692" s="15">
        <v>60</v>
      </c>
      <c r="I692" s="15">
        <v>580</v>
      </c>
      <c r="J692" s="15">
        <v>0</v>
      </c>
      <c r="K692" s="15">
        <v>0</v>
      </c>
      <c r="L692" s="15">
        <v>0</v>
      </c>
      <c r="M692" s="15">
        <v>0</v>
      </c>
      <c r="N692" s="15">
        <v>401.77</v>
      </c>
      <c r="O692" t="s">
        <v>3028</v>
      </c>
    </row>
    <row r="693" spans="1:15" x14ac:dyDescent="0.25">
      <c r="A693" s="10" t="s">
        <v>1524</v>
      </c>
      <c r="B693" s="15">
        <v>0</v>
      </c>
      <c r="C693" s="15">
        <v>0</v>
      </c>
      <c r="D693" s="15">
        <v>0</v>
      </c>
      <c r="E693" s="15">
        <v>0</v>
      </c>
      <c r="F693" s="15">
        <v>0</v>
      </c>
      <c r="G693" s="15">
        <v>0</v>
      </c>
      <c r="H693" s="15">
        <v>213.33</v>
      </c>
      <c r="I693" s="15">
        <v>852</v>
      </c>
      <c r="J693" s="15">
        <v>640</v>
      </c>
      <c r="K693" s="15">
        <v>640</v>
      </c>
      <c r="L693" s="15">
        <v>640</v>
      </c>
      <c r="M693" s="15">
        <v>640</v>
      </c>
      <c r="N693" s="15">
        <v>266.67</v>
      </c>
      <c r="O693" t="s">
        <v>3028</v>
      </c>
    </row>
    <row r="694" spans="1:15" x14ac:dyDescent="0.25">
      <c r="A694" s="10" t="s">
        <v>1526</v>
      </c>
      <c r="B694" s="15">
        <v>1040.74</v>
      </c>
      <c r="C694" s="15">
        <v>1421.1</v>
      </c>
      <c r="D694" s="15">
        <v>1991.31</v>
      </c>
      <c r="E694" s="15">
        <v>2080</v>
      </c>
      <c r="F694" s="15">
        <v>1967.24</v>
      </c>
      <c r="G694" s="15">
        <v>1919.33</v>
      </c>
      <c r="H694" s="15">
        <v>1827.05</v>
      </c>
      <c r="I694" s="15">
        <v>2229.4899999999998</v>
      </c>
      <c r="J694" s="15">
        <v>1862.4</v>
      </c>
      <c r="K694" s="15">
        <v>1859.2</v>
      </c>
      <c r="L694" s="15">
        <v>2026.08</v>
      </c>
      <c r="M694" s="15">
        <v>1864.56</v>
      </c>
      <c r="N694" s="15">
        <v>1947.32</v>
      </c>
      <c r="O694" t="s">
        <v>3028</v>
      </c>
    </row>
    <row r="695" spans="1:15" x14ac:dyDescent="0.25">
      <c r="A695" s="10" t="s">
        <v>1528</v>
      </c>
      <c r="B695" s="15">
        <v>0</v>
      </c>
      <c r="C695" s="15">
        <v>0</v>
      </c>
      <c r="D695" s="15">
        <v>0</v>
      </c>
      <c r="E695" s="15">
        <v>0</v>
      </c>
      <c r="F695" s="15">
        <v>0</v>
      </c>
      <c r="G695" s="15">
        <v>0</v>
      </c>
      <c r="H695" s="15">
        <v>877.41</v>
      </c>
      <c r="I695" s="15">
        <v>1666.81</v>
      </c>
      <c r="J695" s="15">
        <v>1539.35</v>
      </c>
      <c r="K695" s="15">
        <v>1456.83</v>
      </c>
      <c r="L695" s="15">
        <v>1458.8</v>
      </c>
      <c r="M695" s="15">
        <v>1914.54</v>
      </c>
      <c r="N695" s="15">
        <v>782.97</v>
      </c>
      <c r="O695" t="s">
        <v>3028</v>
      </c>
    </row>
    <row r="696" spans="1:15" x14ac:dyDescent="0.25">
      <c r="A696" s="10" t="s">
        <v>1530</v>
      </c>
      <c r="B696" s="15">
        <v>0</v>
      </c>
      <c r="C696" s="15">
        <v>0</v>
      </c>
      <c r="D696" s="15">
        <v>0</v>
      </c>
      <c r="E696" s="15">
        <v>0</v>
      </c>
      <c r="F696" s="15">
        <v>0</v>
      </c>
      <c r="G696" s="15">
        <v>0</v>
      </c>
      <c r="H696" s="15">
        <v>213.33</v>
      </c>
      <c r="I696" s="15">
        <v>640</v>
      </c>
      <c r="J696" s="15">
        <v>640</v>
      </c>
      <c r="K696" s="15">
        <v>640</v>
      </c>
      <c r="L696" s="15">
        <v>640</v>
      </c>
      <c r="M696" s="15">
        <v>640</v>
      </c>
      <c r="N696" s="15">
        <v>266.67</v>
      </c>
      <c r="O696" t="s">
        <v>3028</v>
      </c>
    </row>
    <row r="697" spans="1:15" x14ac:dyDescent="0.25">
      <c r="A697" s="10" t="s">
        <v>1532</v>
      </c>
      <c r="B697" s="15">
        <v>0</v>
      </c>
      <c r="C697" s="15">
        <v>0</v>
      </c>
      <c r="D697" s="15">
        <v>0</v>
      </c>
      <c r="E697" s="15">
        <v>0</v>
      </c>
      <c r="F697" s="15">
        <v>0</v>
      </c>
      <c r="G697" s="15">
        <v>0</v>
      </c>
      <c r="H697" s="15">
        <v>213.33</v>
      </c>
      <c r="I697" s="15">
        <v>640</v>
      </c>
      <c r="J697" s="15">
        <v>640</v>
      </c>
      <c r="K697" s="15">
        <v>640</v>
      </c>
      <c r="L697" s="15">
        <v>640</v>
      </c>
      <c r="M697" s="15">
        <v>640</v>
      </c>
      <c r="N697" s="15">
        <v>266.67</v>
      </c>
      <c r="O697" t="s">
        <v>3028</v>
      </c>
    </row>
    <row r="698" spans="1:15" x14ac:dyDescent="0.25">
      <c r="A698" s="10" t="s">
        <v>1534</v>
      </c>
      <c r="B698" s="15">
        <v>351.33</v>
      </c>
      <c r="C698" s="15">
        <v>599.33000000000004</v>
      </c>
      <c r="D698" s="15">
        <v>640.66999999999996</v>
      </c>
      <c r="E698" s="15">
        <v>620</v>
      </c>
      <c r="F698" s="15">
        <v>640.66999999999996</v>
      </c>
      <c r="G698" s="15">
        <v>620</v>
      </c>
      <c r="H698" s="15">
        <v>640.66999999999996</v>
      </c>
      <c r="I698" s="15">
        <v>640.66999999999996</v>
      </c>
      <c r="J698" s="15">
        <v>620</v>
      </c>
      <c r="K698" s="15">
        <v>640.66999999999996</v>
      </c>
      <c r="L698" s="15">
        <v>620</v>
      </c>
      <c r="M698" s="15">
        <v>640.66999999999996</v>
      </c>
      <c r="N698" s="15">
        <v>620</v>
      </c>
      <c r="O698" t="s">
        <v>3028</v>
      </c>
    </row>
    <row r="699" spans="1:15" x14ac:dyDescent="0.25">
      <c r="A699" s="10" t="s">
        <v>1536</v>
      </c>
      <c r="B699" s="15">
        <v>0</v>
      </c>
      <c r="C699" s="15">
        <v>0</v>
      </c>
      <c r="D699" s="15">
        <v>0</v>
      </c>
      <c r="E699" s="15">
        <v>0</v>
      </c>
      <c r="F699" s="15">
        <v>0</v>
      </c>
      <c r="G699" s="15">
        <v>0</v>
      </c>
      <c r="H699" s="15">
        <v>213.33</v>
      </c>
      <c r="I699" s="15">
        <v>640</v>
      </c>
      <c r="J699" s="15">
        <v>640</v>
      </c>
      <c r="K699" s="15">
        <v>640</v>
      </c>
      <c r="L699" s="15">
        <v>640</v>
      </c>
      <c r="M699" s="15">
        <v>640</v>
      </c>
      <c r="N699" s="15">
        <v>266.67</v>
      </c>
      <c r="O699" t="s">
        <v>3028</v>
      </c>
    </row>
    <row r="700" spans="1:15" x14ac:dyDescent="0.25">
      <c r="A700" s="10" t="s">
        <v>1538</v>
      </c>
      <c r="B700" s="15">
        <v>0</v>
      </c>
      <c r="C700" s="15">
        <v>0</v>
      </c>
      <c r="D700" s="15">
        <v>0</v>
      </c>
      <c r="E700" s="15">
        <v>0</v>
      </c>
      <c r="F700" s="15">
        <v>0</v>
      </c>
      <c r="G700" s="15">
        <v>0</v>
      </c>
      <c r="H700" s="15">
        <v>0</v>
      </c>
      <c r="I700" s="15">
        <v>0</v>
      </c>
      <c r="J700" s="15">
        <v>0</v>
      </c>
      <c r="K700" s="15">
        <v>580</v>
      </c>
      <c r="L700" s="15">
        <v>600</v>
      </c>
      <c r="M700" s="15">
        <v>620</v>
      </c>
      <c r="N700" s="15">
        <v>150</v>
      </c>
      <c r="O700" t="s">
        <v>3028</v>
      </c>
    </row>
    <row r="701" spans="1:15" x14ac:dyDescent="0.25">
      <c r="A701" s="10" t="s">
        <v>1540</v>
      </c>
      <c r="B701" s="15">
        <v>0</v>
      </c>
      <c r="C701" s="15">
        <v>0</v>
      </c>
      <c r="D701" s="15">
        <v>0</v>
      </c>
      <c r="E701" s="15">
        <v>0</v>
      </c>
      <c r="F701" s="15">
        <v>0</v>
      </c>
      <c r="G701" s="15">
        <v>0</v>
      </c>
      <c r="H701" s="15">
        <v>213.33</v>
      </c>
      <c r="I701" s="15">
        <v>640</v>
      </c>
      <c r="J701" s="15">
        <v>640</v>
      </c>
      <c r="K701" s="15">
        <v>640</v>
      </c>
      <c r="L701" s="15">
        <v>640</v>
      </c>
      <c r="M701" s="15">
        <v>640</v>
      </c>
      <c r="N701" s="15">
        <v>266.67</v>
      </c>
      <c r="O701" t="s">
        <v>3028</v>
      </c>
    </row>
    <row r="702" spans="1:15" x14ac:dyDescent="0.25">
      <c r="A702" s="10" t="s">
        <v>1542</v>
      </c>
      <c r="B702" s="15">
        <v>554.9</v>
      </c>
      <c r="C702" s="15">
        <v>580</v>
      </c>
      <c r="D702" s="15">
        <v>638.54</v>
      </c>
      <c r="E702" s="15">
        <v>600</v>
      </c>
      <c r="F702" s="15">
        <v>631.70000000000005</v>
      </c>
      <c r="G702" s="15">
        <v>1403.13</v>
      </c>
      <c r="H702" s="15">
        <v>60</v>
      </c>
      <c r="I702" s="15">
        <v>580</v>
      </c>
      <c r="J702" s="15">
        <v>0</v>
      </c>
      <c r="K702" s="15">
        <v>0</v>
      </c>
      <c r="L702" s="15">
        <v>0</v>
      </c>
      <c r="M702" s="15">
        <v>0</v>
      </c>
      <c r="N702" s="15">
        <v>402.36</v>
      </c>
      <c r="O702" t="s">
        <v>3028</v>
      </c>
    </row>
    <row r="703" spans="1:15" x14ac:dyDescent="0.25">
      <c r="A703" s="10" t="s">
        <v>1544</v>
      </c>
      <c r="B703" s="15">
        <v>0</v>
      </c>
      <c r="C703" s="15">
        <v>0</v>
      </c>
      <c r="D703" s="15">
        <v>0</v>
      </c>
      <c r="E703" s="15">
        <v>0</v>
      </c>
      <c r="F703" s="15">
        <v>0</v>
      </c>
      <c r="G703" s="15">
        <v>1332.21</v>
      </c>
      <c r="H703" s="15">
        <v>1333.69</v>
      </c>
      <c r="I703" s="15">
        <v>1899.17</v>
      </c>
      <c r="J703" s="15">
        <v>1595.75</v>
      </c>
      <c r="K703" s="15">
        <v>1473.23</v>
      </c>
      <c r="L703" s="15">
        <v>1664.75</v>
      </c>
      <c r="M703" s="15">
        <v>1445.35</v>
      </c>
      <c r="N703" s="15">
        <v>895.57</v>
      </c>
      <c r="O703" t="s">
        <v>3028</v>
      </c>
    </row>
    <row r="704" spans="1:15" x14ac:dyDescent="0.25">
      <c r="A704" s="10" t="s">
        <v>1546</v>
      </c>
      <c r="B704" s="15">
        <v>9860.23</v>
      </c>
      <c r="C704" s="15">
        <v>10612.54</v>
      </c>
      <c r="D704" s="15">
        <v>16590.32</v>
      </c>
      <c r="E704" s="15">
        <v>5895.85</v>
      </c>
      <c r="F704" s="15">
        <v>10844.5</v>
      </c>
      <c r="G704" s="15">
        <v>8921.85</v>
      </c>
      <c r="H704" s="15">
        <v>10994.32</v>
      </c>
      <c r="I704" s="15">
        <v>14008.65</v>
      </c>
      <c r="J704" s="15">
        <v>7960.85</v>
      </c>
      <c r="K704" s="15">
        <v>12482.61</v>
      </c>
      <c r="L704" s="15">
        <v>9672.44</v>
      </c>
      <c r="M704" s="15">
        <v>9423.2900000000009</v>
      </c>
      <c r="N704" s="15">
        <v>10670.56</v>
      </c>
      <c r="O704" t="s">
        <v>3028</v>
      </c>
    </row>
    <row r="705" spans="1:15" x14ac:dyDescent="0.25">
      <c r="A705" s="10" t="s">
        <v>1548</v>
      </c>
      <c r="B705" s="15">
        <v>1333.01</v>
      </c>
      <c r="C705" s="15">
        <v>1383.28</v>
      </c>
      <c r="D705" s="15">
        <v>1367.97</v>
      </c>
      <c r="E705" s="15">
        <v>1357.51</v>
      </c>
      <c r="F705" s="15">
        <v>1274.6199999999999</v>
      </c>
      <c r="G705" s="15">
        <v>3244.86</v>
      </c>
      <c r="H705" s="15">
        <v>46.86</v>
      </c>
      <c r="I705" s="15">
        <v>1718.83</v>
      </c>
      <c r="J705" s="15">
        <v>1491.22</v>
      </c>
      <c r="K705" s="15">
        <v>1468.85</v>
      </c>
      <c r="L705" s="15">
        <v>2860.52</v>
      </c>
      <c r="M705" s="15">
        <v>2084.62</v>
      </c>
      <c r="N705" s="15">
        <v>2022.81</v>
      </c>
      <c r="O705" t="s">
        <v>3028</v>
      </c>
    </row>
    <row r="706" spans="1:15" x14ac:dyDescent="0.25">
      <c r="A706" s="10" t="s">
        <v>1550</v>
      </c>
      <c r="B706" s="15">
        <v>1797.5</v>
      </c>
      <c r="C706" s="15">
        <v>1781.46</v>
      </c>
      <c r="D706" s="15">
        <v>1800.62</v>
      </c>
      <c r="E706" s="15">
        <v>1795.81</v>
      </c>
      <c r="F706" s="15">
        <v>1797.42</v>
      </c>
      <c r="G706" s="15">
        <v>2736.58</v>
      </c>
      <c r="H706" s="15">
        <v>1480.36</v>
      </c>
      <c r="I706" s="15">
        <v>1784.61</v>
      </c>
      <c r="J706" s="15">
        <v>1791.55</v>
      </c>
      <c r="K706" s="15">
        <v>2136.9</v>
      </c>
      <c r="L706" s="15">
        <v>1950.67</v>
      </c>
      <c r="M706" s="15">
        <v>1954.67</v>
      </c>
      <c r="N706" s="15">
        <v>1960.04</v>
      </c>
      <c r="O706" t="s">
        <v>3028</v>
      </c>
    </row>
    <row r="707" spans="1:15" x14ac:dyDescent="0.25">
      <c r="A707" s="10" t="s">
        <v>1552</v>
      </c>
      <c r="B707" s="15">
        <v>39640.75</v>
      </c>
      <c r="C707" s="15">
        <v>6995.43</v>
      </c>
      <c r="D707" s="15">
        <v>20986.28</v>
      </c>
      <c r="E707" s="15">
        <v>20986.28</v>
      </c>
      <c r="F707" s="15">
        <v>20986.28</v>
      </c>
      <c r="G707" s="15">
        <v>20986.28</v>
      </c>
      <c r="H707" s="15">
        <v>20986.28</v>
      </c>
      <c r="I707" s="15">
        <v>24226.880000000001</v>
      </c>
      <c r="J707" s="15">
        <v>46330.93</v>
      </c>
      <c r="K707" s="15">
        <v>0</v>
      </c>
      <c r="L707" s="15">
        <v>0</v>
      </c>
      <c r="M707" s="15">
        <v>0</v>
      </c>
      <c r="N707" s="15">
        <v>16549.86</v>
      </c>
      <c r="O707" t="s">
        <v>3028</v>
      </c>
    </row>
    <row r="708" spans="1:15" x14ac:dyDescent="0.25">
      <c r="A708" s="10" t="s">
        <v>1554</v>
      </c>
      <c r="B708" s="15">
        <v>1791.54</v>
      </c>
      <c r="C708" s="15">
        <v>1821.7</v>
      </c>
      <c r="D708" s="15">
        <v>2646.73</v>
      </c>
      <c r="E708" s="15">
        <v>4396.45</v>
      </c>
      <c r="F708" s="15">
        <v>81.319999999999993</v>
      </c>
      <c r="G708" s="15">
        <v>1804.3</v>
      </c>
      <c r="H708" s="15">
        <v>1834.47</v>
      </c>
      <c r="I708" s="15">
        <v>2394.3000000000002</v>
      </c>
      <c r="J708" s="15">
        <v>1996.15</v>
      </c>
      <c r="K708" s="15">
        <v>2011.99</v>
      </c>
      <c r="L708" s="15">
        <v>1991.06</v>
      </c>
      <c r="M708" s="15">
        <v>1986.05</v>
      </c>
      <c r="N708" s="15">
        <v>2079.35</v>
      </c>
      <c r="O708" t="s">
        <v>3028</v>
      </c>
    </row>
    <row r="709" spans="1:15" x14ac:dyDescent="0.25">
      <c r="A709" s="10" t="s">
        <v>1556</v>
      </c>
      <c r="B709" s="15">
        <v>10844.5</v>
      </c>
      <c r="C709" s="15">
        <v>10612.54</v>
      </c>
      <c r="D709" s="15">
        <v>9978.4699999999993</v>
      </c>
      <c r="E709" s="15">
        <v>11694.57</v>
      </c>
      <c r="F709" s="15">
        <v>9046.75</v>
      </c>
      <c r="G709" s="15">
        <v>10594.69</v>
      </c>
      <c r="H709" s="15">
        <v>13551.14</v>
      </c>
      <c r="I709" s="15">
        <v>15578.29</v>
      </c>
      <c r="J709" s="15">
        <v>7960.85</v>
      </c>
      <c r="K709" s="15">
        <v>14456.9</v>
      </c>
      <c r="L709" s="15">
        <v>8748.98</v>
      </c>
      <c r="M709" s="15">
        <v>9606.09</v>
      </c>
      <c r="N709" s="15">
        <v>10713.3</v>
      </c>
      <c r="O709" t="s">
        <v>3028</v>
      </c>
    </row>
    <row r="710" spans="1:15" x14ac:dyDescent="0.25">
      <c r="A710" s="10" t="s">
        <v>1558</v>
      </c>
      <c r="B710" s="15">
        <v>34876.720000000001</v>
      </c>
      <c r="C710" s="15">
        <v>34876.720000000001</v>
      </c>
      <c r="D710" s="15">
        <v>34876.720000000001</v>
      </c>
      <c r="E710" s="15">
        <v>34876.720000000001</v>
      </c>
      <c r="F710" s="15">
        <v>34876.720000000001</v>
      </c>
      <c r="G710" s="15">
        <v>34876.720000000001</v>
      </c>
      <c r="H710" s="15">
        <v>34876.720000000001</v>
      </c>
      <c r="I710" s="15">
        <v>38117.32</v>
      </c>
      <c r="J710" s="15">
        <v>52736.82</v>
      </c>
      <c r="K710" s="15">
        <v>33800</v>
      </c>
      <c r="L710" s="15">
        <v>39000</v>
      </c>
      <c r="M710" s="15">
        <v>39000</v>
      </c>
      <c r="N710" s="15">
        <v>39000</v>
      </c>
      <c r="O710" t="s">
        <v>3028</v>
      </c>
    </row>
    <row r="711" spans="1:15" x14ac:dyDescent="0.25">
      <c r="A711" s="10" t="s">
        <v>1560</v>
      </c>
      <c r="B711" s="15">
        <v>6072.55</v>
      </c>
      <c r="C711" s="15">
        <v>5646.6</v>
      </c>
      <c r="D711" s="15">
        <v>5604.63</v>
      </c>
      <c r="E711" s="15">
        <v>5788.48</v>
      </c>
      <c r="F711" s="15">
        <v>5684.9</v>
      </c>
      <c r="G711" s="15">
        <v>5663.82</v>
      </c>
      <c r="H711" s="15">
        <v>5811.05</v>
      </c>
      <c r="I711" s="15">
        <v>12376.47</v>
      </c>
      <c r="J711" s="15">
        <v>3872.44</v>
      </c>
      <c r="K711" s="15">
        <v>6196.89</v>
      </c>
      <c r="L711" s="15">
        <v>5947.78</v>
      </c>
      <c r="M711" s="15">
        <v>6322.6</v>
      </c>
      <c r="N711" s="15">
        <v>6092.06</v>
      </c>
      <c r="O711" t="s">
        <v>3028</v>
      </c>
    </row>
    <row r="712" spans="1:15" x14ac:dyDescent="0.25">
      <c r="A712" s="10" t="s">
        <v>1562</v>
      </c>
      <c r="B712" s="15">
        <v>1797.13</v>
      </c>
      <c r="C712" s="15">
        <v>1824.13</v>
      </c>
      <c r="D712" s="15">
        <v>1822.04</v>
      </c>
      <c r="E712" s="15">
        <v>4252.5600000000004</v>
      </c>
      <c r="F712" s="15">
        <v>53.01</v>
      </c>
      <c r="G712" s="15">
        <v>1789.33</v>
      </c>
      <c r="H712" s="15">
        <v>1808.17</v>
      </c>
      <c r="I712" s="15">
        <v>2540.56</v>
      </c>
      <c r="J712" s="15">
        <v>1998.84</v>
      </c>
      <c r="K712" s="15">
        <v>2029.75</v>
      </c>
      <c r="L712" s="15">
        <v>2187.0300000000002</v>
      </c>
      <c r="M712" s="15">
        <v>2014.53</v>
      </c>
      <c r="N712" s="15">
        <v>2027.65</v>
      </c>
      <c r="O712" t="s">
        <v>3028</v>
      </c>
    </row>
    <row r="713" spans="1:15" x14ac:dyDescent="0.25">
      <c r="A713" s="10" t="s">
        <v>1564</v>
      </c>
      <c r="B713" s="15">
        <v>1483.69</v>
      </c>
      <c r="C713" s="15">
        <v>1365.12</v>
      </c>
      <c r="D713" s="15">
        <v>1484.41</v>
      </c>
      <c r="E713" s="15">
        <v>1388.03</v>
      </c>
      <c r="F713" s="15">
        <v>1396.05</v>
      </c>
      <c r="G713" s="15">
        <v>3539.27</v>
      </c>
      <c r="H713" s="15">
        <v>147.09</v>
      </c>
      <c r="I713" s="15">
        <v>1714.98</v>
      </c>
      <c r="J713" s="15">
        <v>1477.69</v>
      </c>
      <c r="K713" s="15">
        <v>1454.55</v>
      </c>
      <c r="L713" s="15">
        <v>1452</v>
      </c>
      <c r="M713" s="15">
        <v>1490.71</v>
      </c>
      <c r="N713" s="15">
        <v>1539.45</v>
      </c>
      <c r="O713" t="s">
        <v>3028</v>
      </c>
    </row>
    <row r="714" spans="1:15" x14ac:dyDescent="0.25">
      <c r="A714" s="10" t="s">
        <v>1566</v>
      </c>
      <c r="B714" s="15">
        <v>0</v>
      </c>
      <c r="C714" s="15">
        <v>0</v>
      </c>
      <c r="D714" s="15">
        <v>701.93</v>
      </c>
      <c r="E714" s="15">
        <v>1357.77</v>
      </c>
      <c r="F714" s="15">
        <v>1260.68</v>
      </c>
      <c r="G714" s="15">
        <v>1441.27</v>
      </c>
      <c r="H714" s="15">
        <v>1354.96</v>
      </c>
      <c r="I714" s="15">
        <v>1751.67</v>
      </c>
      <c r="J714" s="15">
        <v>1477.62</v>
      </c>
      <c r="K714" s="15">
        <v>1499.11</v>
      </c>
      <c r="L714" s="15">
        <v>1480.68</v>
      </c>
      <c r="M714" s="15">
        <v>1485.59</v>
      </c>
      <c r="N714" s="15">
        <v>1235.6400000000001</v>
      </c>
      <c r="O714" t="s">
        <v>3028</v>
      </c>
    </row>
    <row r="715" spans="1:15" x14ac:dyDescent="0.25">
      <c r="A715" s="10" t="s">
        <v>1568</v>
      </c>
      <c r="B715" s="15">
        <v>3515.1</v>
      </c>
      <c r="C715" s="15">
        <v>3518.06</v>
      </c>
      <c r="D715" s="15">
        <v>3206.3</v>
      </c>
      <c r="E715" s="15">
        <v>3119.11</v>
      </c>
      <c r="F715" s="15">
        <v>3037.08</v>
      </c>
      <c r="G715" s="15">
        <v>3077.92</v>
      </c>
      <c r="H715" s="15">
        <v>3310.06</v>
      </c>
      <c r="I715" s="15">
        <v>4186.8500000000004</v>
      </c>
      <c r="J715" s="15">
        <v>5636.55</v>
      </c>
      <c r="K715" s="15">
        <v>2322.38</v>
      </c>
      <c r="L715" s="15">
        <v>3453.97</v>
      </c>
      <c r="M715" s="15">
        <v>3394.25</v>
      </c>
      <c r="N715" s="15">
        <v>3430.44</v>
      </c>
      <c r="O715" t="s">
        <v>3028</v>
      </c>
    </row>
    <row r="716" spans="1:15" x14ac:dyDescent="0.25">
      <c r="A716" s="10" t="s">
        <v>1570</v>
      </c>
      <c r="B716" s="15">
        <v>1489.77</v>
      </c>
      <c r="C716" s="15">
        <v>1846.4</v>
      </c>
      <c r="D716" s="15">
        <v>1860.41</v>
      </c>
      <c r="E716" s="15">
        <v>1845.88</v>
      </c>
      <c r="F716" s="15">
        <v>1850.71</v>
      </c>
      <c r="G716" s="15">
        <v>1852.89</v>
      </c>
      <c r="H716" s="15">
        <v>1857.96</v>
      </c>
      <c r="I716" s="15">
        <v>2379.3200000000002</v>
      </c>
      <c r="J716" s="15">
        <v>3067.56</v>
      </c>
      <c r="K716" s="15">
        <v>1711.91</v>
      </c>
      <c r="L716" s="15">
        <v>2188.21</v>
      </c>
      <c r="M716" s="15">
        <v>1994.26</v>
      </c>
      <c r="N716" s="15">
        <v>2028.35</v>
      </c>
      <c r="O716" t="s">
        <v>3028</v>
      </c>
    </row>
    <row r="717" spans="1:15" x14ac:dyDescent="0.25">
      <c r="A717" s="10" t="s">
        <v>1572</v>
      </c>
      <c r="B717" s="15">
        <v>1576.28</v>
      </c>
      <c r="C717" s="15">
        <v>3901.01</v>
      </c>
      <c r="D717" s="15">
        <v>4695.2299999999996</v>
      </c>
      <c r="E717" s="15">
        <v>4431.71</v>
      </c>
      <c r="F717" s="15">
        <v>8546.27</v>
      </c>
      <c r="G717" s="15">
        <v>1467.93</v>
      </c>
      <c r="H717" s="15">
        <v>4163.6499999999996</v>
      </c>
      <c r="I717" s="15">
        <v>5500.32</v>
      </c>
      <c r="J717" s="15">
        <v>4497.1099999999997</v>
      </c>
      <c r="K717" s="15">
        <v>4546.32</v>
      </c>
      <c r="L717" s="15">
        <v>5167.5200000000004</v>
      </c>
      <c r="M717" s="15">
        <v>4912.09</v>
      </c>
      <c r="N717" s="15">
        <v>4514.1899999999996</v>
      </c>
      <c r="O717" t="s">
        <v>3028</v>
      </c>
    </row>
    <row r="718" spans="1:15" x14ac:dyDescent="0.25">
      <c r="A718" s="10" t="s">
        <v>1574</v>
      </c>
      <c r="B718" s="15">
        <v>3150.75</v>
      </c>
      <c r="C718" s="15">
        <v>2806.62</v>
      </c>
      <c r="D718" s="15">
        <v>3342.79</v>
      </c>
      <c r="E718" s="15">
        <v>3110.84</v>
      </c>
      <c r="F718" s="15">
        <v>3074.06</v>
      </c>
      <c r="G718" s="15">
        <v>3087.91</v>
      </c>
      <c r="H718" s="15">
        <v>2961.01</v>
      </c>
      <c r="I718" s="15">
        <v>4003.6</v>
      </c>
      <c r="J718" s="15">
        <v>3187.8</v>
      </c>
      <c r="K718" s="15">
        <v>3385.21</v>
      </c>
      <c r="L718" s="15">
        <v>3178.17</v>
      </c>
      <c r="M718" s="15">
        <v>6393.36</v>
      </c>
      <c r="N718" s="15">
        <v>3498.46</v>
      </c>
      <c r="O718" t="s">
        <v>3028</v>
      </c>
    </row>
    <row r="719" spans="1:15" x14ac:dyDescent="0.25">
      <c r="A719" s="10" t="s">
        <v>1576</v>
      </c>
      <c r="B719" s="15">
        <v>1365.36</v>
      </c>
      <c r="C719" s="15">
        <v>1492.88</v>
      </c>
      <c r="D719" s="15">
        <v>1368.67</v>
      </c>
      <c r="E719" s="15">
        <v>3674.71</v>
      </c>
      <c r="F719" s="15">
        <v>300.11</v>
      </c>
      <c r="G719" s="15">
        <v>1474.55</v>
      </c>
      <c r="H719" s="15">
        <v>1851.55</v>
      </c>
      <c r="I719" s="15">
        <v>2750.68</v>
      </c>
      <c r="J719" s="15">
        <v>1995.14</v>
      </c>
      <c r="K719" s="15">
        <v>2430.75</v>
      </c>
      <c r="L719" s="15">
        <v>2007.16</v>
      </c>
      <c r="M719" s="15">
        <v>2203.29</v>
      </c>
      <c r="N719" s="15">
        <v>2124.3200000000002</v>
      </c>
      <c r="O719" t="s">
        <v>3028</v>
      </c>
    </row>
    <row r="720" spans="1:15" x14ac:dyDescent="0.25">
      <c r="A720" s="10" t="s">
        <v>1578</v>
      </c>
      <c r="B720" s="15">
        <v>3482.36</v>
      </c>
      <c r="C720" s="15">
        <v>3125.59</v>
      </c>
      <c r="D720" s="15">
        <v>3503.52</v>
      </c>
      <c r="E720" s="15">
        <v>3142.82</v>
      </c>
      <c r="F720" s="15">
        <v>3263.5</v>
      </c>
      <c r="G720" s="15">
        <v>3207.24</v>
      </c>
      <c r="H720" s="15">
        <v>3552.44</v>
      </c>
      <c r="I720" s="15">
        <v>4546.5200000000004</v>
      </c>
      <c r="J720" s="15">
        <v>5862.93</v>
      </c>
      <c r="K720" s="15">
        <v>1588.05</v>
      </c>
      <c r="L720" s="15">
        <v>3396.21</v>
      </c>
      <c r="M720" s="15">
        <v>3976.08</v>
      </c>
      <c r="N720" s="15">
        <v>3495.4</v>
      </c>
      <c r="O720" t="s">
        <v>3028</v>
      </c>
    </row>
    <row r="721" spans="1:15" x14ac:dyDescent="0.25">
      <c r="A721" s="10" t="s">
        <v>1580</v>
      </c>
      <c r="B721" s="15">
        <v>0</v>
      </c>
      <c r="C721" s="15">
        <v>107.54</v>
      </c>
      <c r="D721" s="15">
        <v>0</v>
      </c>
      <c r="E721" s="15">
        <v>0</v>
      </c>
      <c r="F721" s="15">
        <v>0</v>
      </c>
      <c r="G721" s="15">
        <v>0</v>
      </c>
      <c r="H721" s="15">
        <v>0</v>
      </c>
      <c r="I721" s="15">
        <v>0</v>
      </c>
      <c r="J721" s="15">
        <v>0</v>
      </c>
      <c r="K721" s="15">
        <v>0</v>
      </c>
      <c r="L721" s="15">
        <v>0</v>
      </c>
      <c r="M721" s="15">
        <v>0</v>
      </c>
      <c r="N721" s="15">
        <v>268.85000000000002</v>
      </c>
      <c r="O721" t="s">
        <v>3028</v>
      </c>
    </row>
    <row r="722" spans="1:15" x14ac:dyDescent="0.25">
      <c r="A722" s="10" t="s">
        <v>1582</v>
      </c>
      <c r="B722" s="15">
        <v>3542.81</v>
      </c>
      <c r="C722" s="15">
        <v>3230.1</v>
      </c>
      <c r="D722" s="15">
        <v>3439.47</v>
      </c>
      <c r="E722" s="15">
        <v>3299.31</v>
      </c>
      <c r="F722" s="15">
        <v>5474.29</v>
      </c>
      <c r="G722" s="15">
        <v>1687.24</v>
      </c>
      <c r="H722" s="15">
        <v>3150.13</v>
      </c>
      <c r="I722" s="15">
        <v>4117.8</v>
      </c>
      <c r="J722" s="15">
        <v>3363.5</v>
      </c>
      <c r="K722" s="15">
        <v>3379.09</v>
      </c>
      <c r="L722" s="15">
        <v>3451.61</v>
      </c>
      <c r="M722" s="15">
        <v>3465.13</v>
      </c>
      <c r="N722" s="15">
        <v>3417.17</v>
      </c>
      <c r="O722" t="s">
        <v>3028</v>
      </c>
    </row>
    <row r="723" spans="1:15" x14ac:dyDescent="0.25">
      <c r="A723" s="10" t="s">
        <v>1584</v>
      </c>
      <c r="B723" s="15">
        <v>2202.67</v>
      </c>
      <c r="C723" s="15">
        <v>2229.6999999999998</v>
      </c>
      <c r="D723" s="15">
        <v>2249.7399999999998</v>
      </c>
      <c r="E723" s="15">
        <v>1978.33</v>
      </c>
      <c r="F723" s="15">
        <v>1904.54</v>
      </c>
      <c r="G723" s="15">
        <v>3192.57</v>
      </c>
      <c r="H723" s="15">
        <v>1488.96</v>
      </c>
      <c r="I723" s="15">
        <v>2450.0700000000002</v>
      </c>
      <c r="J723" s="15">
        <v>2135.0500000000002</v>
      </c>
      <c r="K723" s="15">
        <v>342.43</v>
      </c>
      <c r="L723" s="15">
        <v>0</v>
      </c>
      <c r="M723" s="15">
        <v>0</v>
      </c>
      <c r="N723" s="15">
        <v>1820.34</v>
      </c>
      <c r="O723" t="s">
        <v>3028</v>
      </c>
    </row>
    <row r="724" spans="1:15" x14ac:dyDescent="0.25">
      <c r="A724" s="10" t="s">
        <v>1586</v>
      </c>
      <c r="B724" s="15">
        <v>2049.86</v>
      </c>
      <c r="C724" s="15">
        <v>0</v>
      </c>
      <c r="D724" s="15">
        <v>0</v>
      </c>
      <c r="E724" s="15">
        <v>0</v>
      </c>
      <c r="F724" s="15">
        <v>0</v>
      </c>
      <c r="G724" s="15">
        <v>0</v>
      </c>
      <c r="H724" s="15">
        <v>0</v>
      </c>
      <c r="I724" s="15">
        <v>0</v>
      </c>
      <c r="J724" s="15">
        <v>0</v>
      </c>
      <c r="K724" s="15">
        <v>0</v>
      </c>
      <c r="L724" s="15">
        <v>0</v>
      </c>
      <c r="M724" s="15">
        <v>0</v>
      </c>
      <c r="N724" s="15">
        <v>311.14999999999998</v>
      </c>
      <c r="O724" t="s">
        <v>3028</v>
      </c>
    </row>
    <row r="725" spans="1:15" x14ac:dyDescent="0.25">
      <c r="A725" s="10" t="s">
        <v>1588</v>
      </c>
      <c r="B725" s="15">
        <v>1677.97</v>
      </c>
      <c r="C725" s="15">
        <v>1549.47</v>
      </c>
      <c r="D725" s="15">
        <v>1526.31</v>
      </c>
      <c r="E725" s="15">
        <v>1403.94</v>
      </c>
      <c r="F725" s="15">
        <v>1556.37</v>
      </c>
      <c r="G725" s="15">
        <v>1554.29</v>
      </c>
      <c r="H725" s="15">
        <v>2751.18</v>
      </c>
      <c r="I725" s="15">
        <v>2813.55</v>
      </c>
      <c r="J725" s="15">
        <v>2212.1</v>
      </c>
      <c r="K725" s="15">
        <v>2090.6</v>
      </c>
      <c r="L725" s="15">
        <v>2035.18</v>
      </c>
      <c r="M725" s="15">
        <v>2031.13</v>
      </c>
      <c r="N725" s="15">
        <v>2165.98</v>
      </c>
      <c r="O725" t="s">
        <v>3028</v>
      </c>
    </row>
    <row r="726" spans="1:15" x14ac:dyDescent="0.25">
      <c r="A726" s="10" t="s">
        <v>1590</v>
      </c>
      <c r="B726" s="15">
        <v>1627.09</v>
      </c>
      <c r="C726" s="15">
        <v>1673.25</v>
      </c>
      <c r="D726" s="15">
        <v>1879.52</v>
      </c>
      <c r="E726" s="15">
        <v>2089.0300000000002</v>
      </c>
      <c r="F726" s="15">
        <v>2076.65</v>
      </c>
      <c r="G726" s="15">
        <v>3892.89</v>
      </c>
      <c r="H726" s="15">
        <v>986.58</v>
      </c>
      <c r="I726" s="15">
        <v>1958.22</v>
      </c>
      <c r="J726" s="15">
        <v>2183.21</v>
      </c>
      <c r="K726" s="15">
        <v>2342.84</v>
      </c>
      <c r="L726" s="15">
        <v>1989.09</v>
      </c>
      <c r="M726" s="15">
        <v>2614.12</v>
      </c>
      <c r="N726" s="15">
        <v>2112.19</v>
      </c>
      <c r="O726" t="s">
        <v>3028</v>
      </c>
    </row>
    <row r="727" spans="1:15" x14ac:dyDescent="0.25">
      <c r="A727" s="10" t="s">
        <v>1592</v>
      </c>
      <c r="B727" s="15">
        <v>3491.13</v>
      </c>
      <c r="C727" s="15">
        <v>3132.53</v>
      </c>
      <c r="D727" s="15">
        <v>2829.71</v>
      </c>
      <c r="E727" s="15">
        <v>2881.5</v>
      </c>
      <c r="F727" s="15">
        <v>2850.22</v>
      </c>
      <c r="G727" s="15">
        <v>4941.37</v>
      </c>
      <c r="H727" s="15">
        <v>1846.05</v>
      </c>
      <c r="I727" s="15">
        <v>3779.16</v>
      </c>
      <c r="J727" s="15">
        <v>3125.02</v>
      </c>
      <c r="K727" s="15">
        <v>3149.59</v>
      </c>
      <c r="L727" s="15">
        <v>3351.57</v>
      </c>
      <c r="M727" s="15">
        <v>3168.39</v>
      </c>
      <c r="N727" s="15">
        <v>3151.23</v>
      </c>
      <c r="O727" t="s">
        <v>3028</v>
      </c>
    </row>
    <row r="728" spans="1:15" x14ac:dyDescent="0.25">
      <c r="A728" s="10" t="s">
        <v>1594</v>
      </c>
      <c r="B728" s="15">
        <v>20986.28</v>
      </c>
      <c r="C728" s="15">
        <v>34977.129999999997</v>
      </c>
      <c r="D728" s="15">
        <v>10493.14</v>
      </c>
      <c r="E728" s="15">
        <v>20986.28</v>
      </c>
      <c r="F728" s="15">
        <v>20986.28</v>
      </c>
      <c r="G728" s="15">
        <v>34977.129999999997</v>
      </c>
      <c r="H728" s="15">
        <v>10493.14</v>
      </c>
      <c r="I728" s="15">
        <v>24406.92</v>
      </c>
      <c r="J728" s="15">
        <v>23647.73</v>
      </c>
      <c r="K728" s="15">
        <v>23647.73</v>
      </c>
      <c r="L728" s="15">
        <v>23647.73</v>
      </c>
      <c r="M728" s="15">
        <v>23647.73</v>
      </c>
      <c r="N728" s="15">
        <v>23647.73</v>
      </c>
      <c r="O728" t="s">
        <v>3028</v>
      </c>
    </row>
    <row r="729" spans="1:15" x14ac:dyDescent="0.25">
      <c r="A729" s="10" t="s">
        <v>1596</v>
      </c>
      <c r="B729" s="15">
        <v>4784</v>
      </c>
      <c r="C729" s="15">
        <v>3828.18</v>
      </c>
      <c r="D729" s="15">
        <v>4287.62</v>
      </c>
      <c r="E729" s="15">
        <v>3903.2</v>
      </c>
      <c r="F729" s="15">
        <v>4065.13</v>
      </c>
      <c r="G729" s="15">
        <v>5046.83</v>
      </c>
      <c r="H729" s="15">
        <v>7550.39</v>
      </c>
      <c r="I729" s="15">
        <v>4748.24</v>
      </c>
      <c r="J729" s="15">
        <v>4205.97</v>
      </c>
      <c r="K729" s="15">
        <v>4132.4799999999996</v>
      </c>
      <c r="L729" s="15">
        <v>4857.34</v>
      </c>
      <c r="M729" s="15">
        <v>4421.3500000000004</v>
      </c>
      <c r="N729" s="15">
        <v>4536.37</v>
      </c>
      <c r="O729" t="s">
        <v>3028</v>
      </c>
    </row>
    <row r="730" spans="1:15" x14ac:dyDescent="0.25">
      <c r="A730" s="10" t="s">
        <v>1598</v>
      </c>
      <c r="B730" s="15">
        <v>1857.42</v>
      </c>
      <c r="C730" s="15">
        <v>1899.97</v>
      </c>
      <c r="D730" s="15">
        <v>1676.99</v>
      </c>
      <c r="E730" s="15">
        <v>1688.52</v>
      </c>
      <c r="F730" s="15">
        <v>1640.37</v>
      </c>
      <c r="G730" s="15">
        <v>2559.2399999999998</v>
      </c>
      <c r="H730" s="15">
        <v>1228.57</v>
      </c>
      <c r="I730" s="15">
        <v>2574.79</v>
      </c>
      <c r="J730" s="15">
        <v>1856.28</v>
      </c>
      <c r="K730" s="15">
        <v>1848.84</v>
      </c>
      <c r="L730" s="15">
        <v>1821.52</v>
      </c>
      <c r="M730" s="15">
        <v>2131.9299999999998</v>
      </c>
      <c r="N730" s="15">
        <v>1909.42</v>
      </c>
      <c r="O730" t="s">
        <v>3028</v>
      </c>
    </row>
    <row r="731" spans="1:15" x14ac:dyDescent="0.25">
      <c r="A731" s="10" t="s">
        <v>1600</v>
      </c>
      <c r="B731" s="15">
        <v>6164.67</v>
      </c>
      <c r="C731" s="15">
        <v>0</v>
      </c>
      <c r="D731" s="15">
        <v>3801.72</v>
      </c>
      <c r="E731" s="15">
        <v>4850.91</v>
      </c>
      <c r="F731" s="15">
        <v>4901.5200000000004</v>
      </c>
      <c r="G731" s="15">
        <v>6883.47</v>
      </c>
      <c r="H731" s="15">
        <v>13129.6</v>
      </c>
      <c r="I731" s="15">
        <v>2457.52</v>
      </c>
      <c r="J731" s="15">
        <v>5094.26</v>
      </c>
      <c r="K731" s="15">
        <v>5667.38</v>
      </c>
      <c r="L731" s="15">
        <v>5587.62</v>
      </c>
      <c r="M731" s="15">
        <v>7622.18</v>
      </c>
      <c r="N731" s="15">
        <v>5377.1</v>
      </c>
      <c r="O731" t="s">
        <v>3028</v>
      </c>
    </row>
    <row r="732" spans="1:15" x14ac:dyDescent="0.25">
      <c r="A732" s="10" t="s">
        <v>1605</v>
      </c>
      <c r="B732" s="15">
        <v>1862.1</v>
      </c>
      <c r="C732" s="15">
        <v>1905.03</v>
      </c>
      <c r="D732" s="15">
        <v>1896.84</v>
      </c>
      <c r="E732" s="15">
        <v>1890.95</v>
      </c>
      <c r="F732" s="15">
        <v>1952.74</v>
      </c>
      <c r="G732" s="15">
        <v>1906.37</v>
      </c>
      <c r="H732" s="15">
        <v>1904.09</v>
      </c>
      <c r="I732" s="15">
        <v>2435.65</v>
      </c>
      <c r="J732" s="15">
        <v>2105.94</v>
      </c>
      <c r="K732" s="15">
        <v>3417</v>
      </c>
      <c r="L732" s="15">
        <v>1422.4</v>
      </c>
      <c r="M732" s="15">
        <v>2098.6999999999998</v>
      </c>
      <c r="N732" s="15">
        <v>2079.04</v>
      </c>
      <c r="O732" t="s">
        <v>3028</v>
      </c>
    </row>
    <row r="733" spans="1:15" x14ac:dyDescent="0.25">
      <c r="A733" s="10" t="s">
        <v>1607</v>
      </c>
      <c r="B733" s="15">
        <v>4671.97</v>
      </c>
      <c r="C733" s="15">
        <v>4717.8999999999996</v>
      </c>
      <c r="D733" s="15">
        <v>10694.73</v>
      </c>
      <c r="E733" s="15">
        <v>984.99</v>
      </c>
      <c r="F733" s="15">
        <v>4534.0200000000004</v>
      </c>
      <c r="G733" s="15">
        <v>4986.75</v>
      </c>
      <c r="H733" s="15">
        <v>4643.87</v>
      </c>
      <c r="I733" s="15">
        <v>6086.98</v>
      </c>
      <c r="J733" s="15">
        <v>5153.9399999999996</v>
      </c>
      <c r="K733" s="15">
        <v>5205.3</v>
      </c>
      <c r="L733" s="15">
        <v>5174.29</v>
      </c>
      <c r="M733" s="15">
        <v>5561.11</v>
      </c>
      <c r="N733" s="15">
        <v>5201.3</v>
      </c>
      <c r="O733" t="s">
        <v>3028</v>
      </c>
    </row>
    <row r="734" spans="1:15" x14ac:dyDescent="0.25">
      <c r="A734" s="10" t="s">
        <v>1609</v>
      </c>
      <c r="B734" s="15">
        <v>2109.23</v>
      </c>
      <c r="C734" s="15">
        <v>2159.9699999999998</v>
      </c>
      <c r="D734" s="15">
        <v>2149.54</v>
      </c>
      <c r="E734" s="15">
        <v>2001.65</v>
      </c>
      <c r="F734" s="15">
        <v>2340.66</v>
      </c>
      <c r="G734" s="15">
        <v>5082.92</v>
      </c>
      <c r="H734" s="15">
        <v>351.6</v>
      </c>
      <c r="I734" s="15">
        <v>2660.84</v>
      </c>
      <c r="J734" s="15">
        <v>2322.39</v>
      </c>
      <c r="K734" s="15">
        <v>2353.14</v>
      </c>
      <c r="L734" s="15">
        <v>2317.41</v>
      </c>
      <c r="M734" s="15">
        <v>2361.17</v>
      </c>
      <c r="N734" s="15">
        <v>2359.64</v>
      </c>
      <c r="O734" t="s">
        <v>3028</v>
      </c>
    </row>
    <row r="735" spans="1:15" x14ac:dyDescent="0.25">
      <c r="A735" s="10" t="s">
        <v>1611</v>
      </c>
      <c r="B735" s="15">
        <v>0</v>
      </c>
      <c r="C735" s="15">
        <v>0</v>
      </c>
      <c r="D735" s="15">
        <v>0</v>
      </c>
      <c r="E735" s="15">
        <v>0</v>
      </c>
      <c r="F735" s="15">
        <v>0</v>
      </c>
      <c r="G735" s="15">
        <v>0</v>
      </c>
      <c r="H735" s="15">
        <v>0</v>
      </c>
      <c r="I735" s="15">
        <v>1397.17</v>
      </c>
      <c r="J735" s="15">
        <v>1464.31</v>
      </c>
      <c r="K735" s="15">
        <v>1514.73</v>
      </c>
      <c r="L735" s="15">
        <v>1767.42</v>
      </c>
      <c r="M735" s="15">
        <v>1486.75</v>
      </c>
      <c r="N735" s="15">
        <v>639.92999999999995</v>
      </c>
      <c r="O735" t="s">
        <v>3028</v>
      </c>
    </row>
    <row r="736" spans="1:15" x14ac:dyDescent="0.25">
      <c r="A736" s="10" t="s">
        <v>1613</v>
      </c>
      <c r="B736" s="15">
        <v>1144.74</v>
      </c>
      <c r="C736" s="15">
        <v>1936.97</v>
      </c>
      <c r="D736" s="15">
        <v>1835.42</v>
      </c>
      <c r="E736" s="15">
        <v>1720.07</v>
      </c>
      <c r="F736" s="15">
        <v>1364</v>
      </c>
      <c r="G736" s="15">
        <v>1518.25</v>
      </c>
      <c r="H736" s="15">
        <v>1360.11</v>
      </c>
      <c r="I736" s="15">
        <v>1912.22</v>
      </c>
      <c r="J736" s="15">
        <v>1929.98</v>
      </c>
      <c r="K736" s="15">
        <v>1750.13</v>
      </c>
      <c r="L736" s="15">
        <v>1478.98</v>
      </c>
      <c r="M736" s="15">
        <v>1572.8</v>
      </c>
      <c r="N736" s="15">
        <v>1708.43</v>
      </c>
      <c r="O736" t="s">
        <v>3028</v>
      </c>
    </row>
  </sheetData>
  <mergeCells count="1">
    <mergeCell ref="A1:N1"/>
  </mergeCells>
  <pageMargins left="0.511811024" right="0.511811024" top="0.78740157499999996" bottom="0.78740157499999996" header="0.31496062000000002" footer="0.31496062000000002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5"/>
  <dimension ref="A1:C2"/>
  <sheetViews>
    <sheetView topLeftCell="B1" workbookViewId="0">
      <selection activeCell="A3" sqref="A3"/>
    </sheetView>
  </sheetViews>
  <sheetFormatPr defaultRowHeight="15" x14ac:dyDescent="0.25"/>
  <cols>
    <col min="1" max="1" width="11.875" style="10" hidden="1" customWidth="1"/>
    <col min="2" max="2" width="11.875" style="10" customWidth="1"/>
    <col min="3" max="3" width="41.625" style="9" customWidth="1"/>
  </cols>
  <sheetData>
    <row r="1" spans="1:3" ht="47.85" customHeight="1" x14ac:dyDescent="0.25">
      <c r="A1" s="26" t="s">
        <v>68</v>
      </c>
      <c r="B1" s="26"/>
      <c r="C1" s="26"/>
    </row>
    <row r="2" spans="1:3" x14ac:dyDescent="0.25">
      <c r="A2" s="4"/>
      <c r="B2" s="4" t="s">
        <v>30</v>
      </c>
      <c r="C2" s="4" t="s">
        <v>10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9"/>
  <dimension ref="A1:E736"/>
  <sheetViews>
    <sheetView topLeftCell="B1" workbookViewId="0">
      <selection activeCell="C10" sqref="C10"/>
    </sheetView>
  </sheetViews>
  <sheetFormatPr defaultRowHeight="15" x14ac:dyDescent="0.25"/>
  <cols>
    <col min="1" max="1" width="11.875" style="10" hidden="1" customWidth="1"/>
    <col min="2" max="2" width="11.875" style="10" bestFit="1" customWidth="1"/>
    <col min="3" max="3" width="41.625" style="9" bestFit="1" customWidth="1"/>
    <col min="4" max="4" width="9.375" style="9" customWidth="1"/>
  </cols>
  <sheetData>
    <row r="1" spans="1:5" ht="47.85" customHeight="1" x14ac:dyDescent="0.25">
      <c r="A1" s="26" t="s">
        <v>69</v>
      </c>
      <c r="B1" s="27"/>
      <c r="C1" s="27"/>
      <c r="D1" s="27"/>
    </row>
    <row r="2" spans="1:5" ht="60" x14ac:dyDescent="0.25">
      <c r="A2" s="4"/>
      <c r="B2" s="4" t="s">
        <v>0</v>
      </c>
      <c r="C2" s="4" t="s">
        <v>23</v>
      </c>
      <c r="D2" s="4" t="s">
        <v>29</v>
      </c>
    </row>
    <row r="3" spans="1:5" x14ac:dyDescent="0.25">
      <c r="A3" s="10" t="s">
        <v>93</v>
      </c>
      <c r="B3" s="10" t="s">
        <v>93</v>
      </c>
      <c r="C3" s="9" t="s">
        <v>94</v>
      </c>
      <c r="D3" s="9" t="s">
        <v>3028</v>
      </c>
      <c r="E3" t="s">
        <v>3028</v>
      </c>
    </row>
    <row r="4" spans="1:5" x14ac:dyDescent="0.25">
      <c r="A4" s="10" t="s">
        <v>95</v>
      </c>
      <c r="B4" s="10" t="s">
        <v>95</v>
      </c>
      <c r="C4" s="9" t="s">
        <v>96</v>
      </c>
      <c r="D4" s="9" t="s">
        <v>3028</v>
      </c>
      <c r="E4" t="s">
        <v>3028</v>
      </c>
    </row>
    <row r="5" spans="1:5" x14ac:dyDescent="0.25">
      <c r="A5" s="10" t="s">
        <v>97</v>
      </c>
      <c r="B5" s="10" t="s">
        <v>97</v>
      </c>
      <c r="C5" s="9" t="s">
        <v>98</v>
      </c>
      <c r="D5" s="9" t="s">
        <v>3028</v>
      </c>
      <c r="E5" t="s">
        <v>3028</v>
      </c>
    </row>
    <row r="6" spans="1:5" x14ac:dyDescent="0.25">
      <c r="A6" s="10" t="s">
        <v>99</v>
      </c>
      <c r="B6" s="10" t="s">
        <v>99</v>
      </c>
      <c r="C6" s="9" t="s">
        <v>100</v>
      </c>
      <c r="D6" s="9" t="s">
        <v>3028</v>
      </c>
      <c r="E6" t="s">
        <v>3028</v>
      </c>
    </row>
    <row r="7" spans="1:5" x14ac:dyDescent="0.25">
      <c r="A7" s="10" t="s">
        <v>101</v>
      </c>
      <c r="B7" s="10" t="s">
        <v>101</v>
      </c>
      <c r="C7" s="9" t="s">
        <v>102</v>
      </c>
      <c r="D7" s="9" t="s">
        <v>3028</v>
      </c>
      <c r="E7" t="s">
        <v>3028</v>
      </c>
    </row>
    <row r="8" spans="1:5" x14ac:dyDescent="0.25">
      <c r="A8" s="10" t="s">
        <v>103</v>
      </c>
      <c r="B8" s="10" t="s">
        <v>103</v>
      </c>
      <c r="C8" s="9" t="s">
        <v>104</v>
      </c>
      <c r="D8" s="9" t="s">
        <v>3028</v>
      </c>
      <c r="E8" t="s">
        <v>3028</v>
      </c>
    </row>
    <row r="9" spans="1:5" x14ac:dyDescent="0.25">
      <c r="A9" s="10" t="s">
        <v>105</v>
      </c>
      <c r="B9" s="10" t="s">
        <v>105</v>
      </c>
      <c r="C9" s="9" t="s">
        <v>106</v>
      </c>
      <c r="D9" s="9" t="s">
        <v>3028</v>
      </c>
      <c r="E9" t="s">
        <v>3028</v>
      </c>
    </row>
    <row r="10" spans="1:5" x14ac:dyDescent="0.25">
      <c r="A10" s="10" t="s">
        <v>107</v>
      </c>
      <c r="B10" s="10" t="s">
        <v>107</v>
      </c>
      <c r="C10" s="9" t="s">
        <v>108</v>
      </c>
      <c r="D10" s="9" t="s">
        <v>3028</v>
      </c>
      <c r="E10" t="s">
        <v>3028</v>
      </c>
    </row>
    <row r="11" spans="1:5" x14ac:dyDescent="0.25">
      <c r="A11" s="10" t="s">
        <v>109</v>
      </c>
      <c r="B11" s="10" t="s">
        <v>109</v>
      </c>
      <c r="C11" s="9" t="s">
        <v>110</v>
      </c>
      <c r="D11" s="9" t="s">
        <v>3028</v>
      </c>
      <c r="E11" t="s">
        <v>3028</v>
      </c>
    </row>
    <row r="12" spans="1:5" x14ac:dyDescent="0.25">
      <c r="A12" s="10" t="s">
        <v>111</v>
      </c>
      <c r="B12" s="10" t="s">
        <v>111</v>
      </c>
      <c r="C12" s="9" t="s">
        <v>112</v>
      </c>
      <c r="D12" s="9" t="s">
        <v>3028</v>
      </c>
      <c r="E12" t="s">
        <v>3028</v>
      </c>
    </row>
    <row r="13" spans="1:5" x14ac:dyDescent="0.25">
      <c r="A13" s="10" t="s">
        <v>113</v>
      </c>
      <c r="B13" s="10" t="s">
        <v>113</v>
      </c>
      <c r="C13" s="9" t="s">
        <v>114</v>
      </c>
      <c r="D13" s="9" t="s">
        <v>3028</v>
      </c>
      <c r="E13" t="s">
        <v>3028</v>
      </c>
    </row>
    <row r="14" spans="1:5" x14ac:dyDescent="0.25">
      <c r="A14" s="10" t="s">
        <v>115</v>
      </c>
      <c r="B14" s="10" t="s">
        <v>115</v>
      </c>
      <c r="C14" s="9" t="s">
        <v>116</v>
      </c>
      <c r="D14" s="9" t="s">
        <v>3028</v>
      </c>
      <c r="E14" t="s">
        <v>3028</v>
      </c>
    </row>
    <row r="15" spans="1:5" x14ac:dyDescent="0.25">
      <c r="A15" s="10" t="s">
        <v>117</v>
      </c>
      <c r="B15" s="10" t="s">
        <v>117</v>
      </c>
      <c r="C15" s="9" t="s">
        <v>118</v>
      </c>
      <c r="D15" s="9" t="s">
        <v>3028</v>
      </c>
      <c r="E15" t="s">
        <v>3028</v>
      </c>
    </row>
    <row r="16" spans="1:5" x14ac:dyDescent="0.25">
      <c r="A16" s="10" t="s">
        <v>119</v>
      </c>
      <c r="B16" s="10" t="s">
        <v>119</v>
      </c>
      <c r="C16" s="9" t="s">
        <v>120</v>
      </c>
      <c r="D16" s="9" t="s">
        <v>3028</v>
      </c>
      <c r="E16" t="s">
        <v>3028</v>
      </c>
    </row>
    <row r="17" spans="1:5" x14ac:dyDescent="0.25">
      <c r="A17" s="10" t="s">
        <v>121</v>
      </c>
      <c r="B17" s="10" t="s">
        <v>121</v>
      </c>
      <c r="C17" s="9" t="s">
        <v>122</v>
      </c>
      <c r="D17" s="9" t="s">
        <v>3028</v>
      </c>
      <c r="E17" t="s">
        <v>3028</v>
      </c>
    </row>
    <row r="18" spans="1:5" x14ac:dyDescent="0.25">
      <c r="A18" s="10" t="s">
        <v>123</v>
      </c>
      <c r="B18" s="10" t="s">
        <v>123</v>
      </c>
      <c r="C18" s="9" t="s">
        <v>124</v>
      </c>
      <c r="D18" s="9" t="s">
        <v>3028</v>
      </c>
      <c r="E18" t="s">
        <v>3028</v>
      </c>
    </row>
    <row r="19" spans="1:5" x14ac:dyDescent="0.25">
      <c r="A19" s="10" t="s">
        <v>125</v>
      </c>
      <c r="B19" s="10" t="s">
        <v>125</v>
      </c>
      <c r="C19" s="9" t="s">
        <v>126</v>
      </c>
      <c r="D19" s="9" t="s">
        <v>3028</v>
      </c>
      <c r="E19" t="s">
        <v>3028</v>
      </c>
    </row>
    <row r="20" spans="1:5" x14ac:dyDescent="0.25">
      <c r="A20" s="10" t="s">
        <v>127</v>
      </c>
      <c r="B20" s="10" t="s">
        <v>127</v>
      </c>
      <c r="C20" s="9" t="s">
        <v>128</v>
      </c>
      <c r="D20" s="9" t="s">
        <v>3028</v>
      </c>
      <c r="E20" t="s">
        <v>3028</v>
      </c>
    </row>
    <row r="21" spans="1:5" x14ac:dyDescent="0.25">
      <c r="A21" s="10" t="s">
        <v>129</v>
      </c>
      <c r="B21" s="10" t="s">
        <v>129</v>
      </c>
      <c r="C21" s="9" t="s">
        <v>130</v>
      </c>
      <c r="D21" s="9" t="s">
        <v>3028</v>
      </c>
      <c r="E21" t="s">
        <v>3028</v>
      </c>
    </row>
    <row r="22" spans="1:5" x14ac:dyDescent="0.25">
      <c r="A22" s="10" t="s">
        <v>131</v>
      </c>
      <c r="B22" s="10" t="s">
        <v>131</v>
      </c>
      <c r="C22" s="9" t="s">
        <v>132</v>
      </c>
      <c r="D22" s="9" t="s">
        <v>3028</v>
      </c>
      <c r="E22" t="s">
        <v>3028</v>
      </c>
    </row>
    <row r="23" spans="1:5" x14ac:dyDescent="0.25">
      <c r="A23" s="10" t="s">
        <v>133</v>
      </c>
      <c r="B23" s="10" t="s">
        <v>133</v>
      </c>
      <c r="C23" s="9" t="s">
        <v>134</v>
      </c>
      <c r="D23" s="9" t="s">
        <v>3028</v>
      </c>
      <c r="E23" t="s">
        <v>3028</v>
      </c>
    </row>
    <row r="24" spans="1:5" x14ac:dyDescent="0.25">
      <c r="A24" s="10" t="s">
        <v>135</v>
      </c>
      <c r="B24" s="10" t="s">
        <v>135</v>
      </c>
      <c r="C24" s="9" t="s">
        <v>136</v>
      </c>
      <c r="D24" s="9" t="s">
        <v>3028</v>
      </c>
      <c r="E24" t="s">
        <v>3028</v>
      </c>
    </row>
    <row r="25" spans="1:5" x14ac:dyDescent="0.25">
      <c r="A25" s="10" t="s">
        <v>137</v>
      </c>
      <c r="B25" s="10" t="s">
        <v>137</v>
      </c>
      <c r="C25" s="9" t="s">
        <v>138</v>
      </c>
      <c r="D25" s="9" t="s">
        <v>3028</v>
      </c>
      <c r="E25" t="s">
        <v>3028</v>
      </c>
    </row>
    <row r="26" spans="1:5" x14ac:dyDescent="0.25">
      <c r="A26" s="10" t="s">
        <v>139</v>
      </c>
      <c r="B26" s="10" t="s">
        <v>139</v>
      </c>
      <c r="C26" s="9" t="s">
        <v>140</v>
      </c>
      <c r="D26" s="9" t="s">
        <v>3028</v>
      </c>
      <c r="E26" t="s">
        <v>3028</v>
      </c>
    </row>
    <row r="27" spans="1:5" x14ac:dyDescent="0.25">
      <c r="A27" s="10" t="s">
        <v>141</v>
      </c>
      <c r="B27" s="10" t="s">
        <v>141</v>
      </c>
      <c r="C27" s="9" t="s">
        <v>142</v>
      </c>
      <c r="D27" s="9" t="s">
        <v>3028</v>
      </c>
      <c r="E27" t="s">
        <v>3028</v>
      </c>
    </row>
    <row r="28" spans="1:5" x14ac:dyDescent="0.25">
      <c r="A28" s="10" t="s">
        <v>143</v>
      </c>
      <c r="B28" s="10" t="s">
        <v>143</v>
      </c>
      <c r="C28" s="9" t="s">
        <v>144</v>
      </c>
      <c r="D28" s="9" t="s">
        <v>3028</v>
      </c>
      <c r="E28" t="s">
        <v>3028</v>
      </c>
    </row>
    <row r="29" spans="1:5" x14ac:dyDescent="0.25">
      <c r="A29" s="10" t="s">
        <v>145</v>
      </c>
      <c r="B29" s="10" t="s">
        <v>145</v>
      </c>
      <c r="C29" s="9" t="s">
        <v>146</v>
      </c>
      <c r="D29" s="9" t="s">
        <v>3028</v>
      </c>
      <c r="E29" t="s">
        <v>3028</v>
      </c>
    </row>
    <row r="30" spans="1:5" x14ac:dyDescent="0.25">
      <c r="A30" s="10" t="s">
        <v>147</v>
      </c>
      <c r="B30" s="10" t="s">
        <v>147</v>
      </c>
      <c r="C30" s="9" t="s">
        <v>148</v>
      </c>
      <c r="D30" s="9" t="s">
        <v>3028</v>
      </c>
      <c r="E30" t="s">
        <v>3028</v>
      </c>
    </row>
    <row r="31" spans="1:5" x14ac:dyDescent="0.25">
      <c r="A31" s="10" t="s">
        <v>149</v>
      </c>
      <c r="B31" s="10" t="s">
        <v>149</v>
      </c>
      <c r="C31" s="9" t="s">
        <v>150</v>
      </c>
      <c r="D31" s="9" t="s">
        <v>3028</v>
      </c>
      <c r="E31" t="s">
        <v>3028</v>
      </c>
    </row>
    <row r="32" spans="1:5" x14ac:dyDescent="0.25">
      <c r="A32" s="10" t="s">
        <v>151</v>
      </c>
      <c r="B32" s="10" t="s">
        <v>151</v>
      </c>
      <c r="C32" s="9" t="s">
        <v>152</v>
      </c>
      <c r="D32" s="9" t="s">
        <v>3028</v>
      </c>
      <c r="E32" t="s">
        <v>3028</v>
      </c>
    </row>
    <row r="33" spans="1:5" x14ac:dyDescent="0.25">
      <c r="A33" s="10" t="s">
        <v>153</v>
      </c>
      <c r="B33" s="10" t="s">
        <v>153</v>
      </c>
      <c r="C33" s="9" t="s">
        <v>154</v>
      </c>
      <c r="D33" s="9" t="s">
        <v>3028</v>
      </c>
      <c r="E33" t="s">
        <v>3028</v>
      </c>
    </row>
    <row r="34" spans="1:5" x14ac:dyDescent="0.25">
      <c r="A34" s="10" t="s">
        <v>155</v>
      </c>
      <c r="B34" s="10" t="s">
        <v>155</v>
      </c>
      <c r="C34" s="9" t="s">
        <v>156</v>
      </c>
      <c r="D34" s="9" t="s">
        <v>3028</v>
      </c>
      <c r="E34" t="s">
        <v>3028</v>
      </c>
    </row>
    <row r="35" spans="1:5" x14ac:dyDescent="0.25">
      <c r="A35" s="10" t="s">
        <v>157</v>
      </c>
      <c r="B35" s="10" t="s">
        <v>157</v>
      </c>
      <c r="C35" s="9" t="s">
        <v>158</v>
      </c>
      <c r="D35" s="9" t="s">
        <v>3028</v>
      </c>
      <c r="E35" t="s">
        <v>3028</v>
      </c>
    </row>
    <row r="36" spans="1:5" x14ac:dyDescent="0.25">
      <c r="A36" s="10" t="s">
        <v>159</v>
      </c>
      <c r="B36" s="10" t="s">
        <v>159</v>
      </c>
      <c r="C36" s="9" t="s">
        <v>160</v>
      </c>
      <c r="D36" s="9" t="s">
        <v>3028</v>
      </c>
      <c r="E36" t="s">
        <v>3028</v>
      </c>
    </row>
    <row r="37" spans="1:5" x14ac:dyDescent="0.25">
      <c r="A37" s="10" t="s">
        <v>161</v>
      </c>
      <c r="B37" s="10" t="s">
        <v>161</v>
      </c>
      <c r="C37" s="9" t="s">
        <v>162</v>
      </c>
      <c r="D37" s="9" t="s">
        <v>3028</v>
      </c>
      <c r="E37" t="s">
        <v>3028</v>
      </c>
    </row>
    <row r="38" spans="1:5" x14ac:dyDescent="0.25">
      <c r="A38" s="10" t="s">
        <v>166</v>
      </c>
      <c r="B38" s="10" t="s">
        <v>166</v>
      </c>
      <c r="C38" s="9" t="s">
        <v>167</v>
      </c>
      <c r="D38" s="9" t="s">
        <v>3028</v>
      </c>
      <c r="E38" t="s">
        <v>3028</v>
      </c>
    </row>
    <row r="39" spans="1:5" x14ac:dyDescent="0.25">
      <c r="A39" s="10" t="s">
        <v>170</v>
      </c>
      <c r="B39" s="10" t="s">
        <v>170</v>
      </c>
      <c r="C39" s="9" t="s">
        <v>171</v>
      </c>
      <c r="D39" s="9" t="s">
        <v>3028</v>
      </c>
      <c r="E39" t="s">
        <v>3028</v>
      </c>
    </row>
    <row r="40" spans="1:5" x14ac:dyDescent="0.25">
      <c r="A40" s="10" t="s">
        <v>172</v>
      </c>
      <c r="B40" s="10" t="s">
        <v>172</v>
      </c>
      <c r="C40" s="9" t="s">
        <v>173</v>
      </c>
      <c r="D40" s="9" t="s">
        <v>3028</v>
      </c>
      <c r="E40" t="s">
        <v>3028</v>
      </c>
    </row>
    <row r="41" spans="1:5" x14ac:dyDescent="0.25">
      <c r="A41" s="10" t="s">
        <v>174</v>
      </c>
      <c r="B41" s="10" t="s">
        <v>174</v>
      </c>
      <c r="C41" s="9" t="s">
        <v>175</v>
      </c>
      <c r="D41" s="9" t="s">
        <v>3028</v>
      </c>
      <c r="E41" t="s">
        <v>3028</v>
      </c>
    </row>
    <row r="42" spans="1:5" x14ac:dyDescent="0.25">
      <c r="A42" s="10" t="s">
        <v>176</v>
      </c>
      <c r="B42" s="10" t="s">
        <v>176</v>
      </c>
      <c r="C42" s="9" t="s">
        <v>177</v>
      </c>
      <c r="D42" s="9" t="s">
        <v>3028</v>
      </c>
      <c r="E42" t="s">
        <v>3028</v>
      </c>
    </row>
    <row r="43" spans="1:5" x14ac:dyDescent="0.25">
      <c r="A43" s="10" t="s">
        <v>178</v>
      </c>
      <c r="B43" s="10" t="s">
        <v>178</v>
      </c>
      <c r="C43" s="9" t="s">
        <v>179</v>
      </c>
      <c r="D43" s="9" t="s">
        <v>3028</v>
      </c>
      <c r="E43" t="s">
        <v>3028</v>
      </c>
    </row>
    <row r="44" spans="1:5" x14ac:dyDescent="0.25">
      <c r="A44" s="10" t="s">
        <v>180</v>
      </c>
      <c r="B44" s="10" t="s">
        <v>180</v>
      </c>
      <c r="C44" s="9" t="s">
        <v>181</v>
      </c>
      <c r="D44" s="9" t="s">
        <v>3028</v>
      </c>
      <c r="E44" t="s">
        <v>3028</v>
      </c>
    </row>
    <row r="45" spans="1:5" x14ac:dyDescent="0.25">
      <c r="A45" s="10" t="s">
        <v>182</v>
      </c>
      <c r="B45" s="10" t="s">
        <v>182</v>
      </c>
      <c r="C45" s="9" t="s">
        <v>183</v>
      </c>
      <c r="D45" s="9" t="s">
        <v>3028</v>
      </c>
      <c r="E45" t="s">
        <v>3028</v>
      </c>
    </row>
    <row r="46" spans="1:5" x14ac:dyDescent="0.25">
      <c r="A46" s="10" t="s">
        <v>184</v>
      </c>
      <c r="B46" s="10" t="s">
        <v>184</v>
      </c>
      <c r="C46" s="9" t="s">
        <v>185</v>
      </c>
      <c r="D46" s="9" t="s">
        <v>3028</v>
      </c>
      <c r="E46" t="s">
        <v>3028</v>
      </c>
    </row>
    <row r="47" spans="1:5" x14ac:dyDescent="0.25">
      <c r="A47" s="10" t="s">
        <v>186</v>
      </c>
      <c r="B47" s="10" t="s">
        <v>186</v>
      </c>
      <c r="C47" s="9" t="s">
        <v>187</v>
      </c>
      <c r="D47" s="9" t="s">
        <v>3028</v>
      </c>
      <c r="E47" t="s">
        <v>3028</v>
      </c>
    </row>
    <row r="48" spans="1:5" x14ac:dyDescent="0.25">
      <c r="A48" s="10" t="s">
        <v>188</v>
      </c>
      <c r="B48" s="10" t="s">
        <v>188</v>
      </c>
      <c r="C48" s="9" t="s">
        <v>189</v>
      </c>
      <c r="D48" s="9" t="s">
        <v>3028</v>
      </c>
      <c r="E48" t="s">
        <v>3028</v>
      </c>
    </row>
    <row r="49" spans="1:5" x14ac:dyDescent="0.25">
      <c r="A49" s="10" t="s">
        <v>190</v>
      </c>
      <c r="B49" s="10" t="s">
        <v>190</v>
      </c>
      <c r="C49" s="9" t="s">
        <v>191</v>
      </c>
      <c r="D49" s="9" t="s">
        <v>3028</v>
      </c>
      <c r="E49" t="s">
        <v>3028</v>
      </c>
    </row>
    <row r="50" spans="1:5" x14ac:dyDescent="0.25">
      <c r="A50" s="10" t="s">
        <v>192</v>
      </c>
      <c r="B50" s="10" t="s">
        <v>192</v>
      </c>
      <c r="C50" s="9" t="s">
        <v>193</v>
      </c>
      <c r="D50" s="9" t="s">
        <v>3028</v>
      </c>
      <c r="E50" t="s">
        <v>3028</v>
      </c>
    </row>
    <row r="51" spans="1:5" x14ac:dyDescent="0.25">
      <c r="A51" s="10" t="s">
        <v>194</v>
      </c>
      <c r="B51" s="10" t="s">
        <v>194</v>
      </c>
      <c r="C51" s="9" t="s">
        <v>195</v>
      </c>
      <c r="D51" s="9" t="s">
        <v>3028</v>
      </c>
      <c r="E51" t="s">
        <v>3028</v>
      </c>
    </row>
    <row r="52" spans="1:5" x14ac:dyDescent="0.25">
      <c r="A52" s="10" t="s">
        <v>196</v>
      </c>
      <c r="B52" s="10" t="s">
        <v>196</v>
      </c>
      <c r="C52" s="9" t="s">
        <v>197</v>
      </c>
      <c r="D52" s="9" t="s">
        <v>3028</v>
      </c>
      <c r="E52" t="s">
        <v>3028</v>
      </c>
    </row>
    <row r="53" spans="1:5" x14ac:dyDescent="0.25">
      <c r="A53" s="10" t="s">
        <v>198</v>
      </c>
      <c r="B53" s="10" t="s">
        <v>198</v>
      </c>
      <c r="C53" s="9" t="s">
        <v>199</v>
      </c>
      <c r="D53" s="9" t="s">
        <v>3028</v>
      </c>
      <c r="E53" t="s">
        <v>3028</v>
      </c>
    </row>
    <row r="54" spans="1:5" x14ac:dyDescent="0.25">
      <c r="A54" s="10" t="s">
        <v>200</v>
      </c>
      <c r="B54" s="10" t="s">
        <v>200</v>
      </c>
      <c r="C54" s="9" t="s">
        <v>201</v>
      </c>
      <c r="D54" s="9" t="s">
        <v>3028</v>
      </c>
      <c r="E54" t="s">
        <v>3028</v>
      </c>
    </row>
    <row r="55" spans="1:5" x14ac:dyDescent="0.25">
      <c r="A55" s="10" t="s">
        <v>202</v>
      </c>
      <c r="B55" s="10" t="s">
        <v>202</v>
      </c>
      <c r="C55" s="9" t="s">
        <v>203</v>
      </c>
      <c r="D55" s="9" t="s">
        <v>3028</v>
      </c>
      <c r="E55" t="s">
        <v>3028</v>
      </c>
    </row>
    <row r="56" spans="1:5" x14ac:dyDescent="0.25">
      <c r="A56" s="10" t="s">
        <v>204</v>
      </c>
      <c r="B56" s="10" t="s">
        <v>204</v>
      </c>
      <c r="C56" s="9" t="s">
        <v>205</v>
      </c>
      <c r="D56" s="9" t="s">
        <v>3028</v>
      </c>
      <c r="E56" t="s">
        <v>3028</v>
      </c>
    </row>
    <row r="57" spans="1:5" x14ac:dyDescent="0.25">
      <c r="A57" s="10" t="s">
        <v>206</v>
      </c>
      <c r="B57" s="10" t="s">
        <v>206</v>
      </c>
      <c r="C57" s="9" t="s">
        <v>207</v>
      </c>
      <c r="D57" s="9" t="s">
        <v>3028</v>
      </c>
      <c r="E57" t="s">
        <v>3028</v>
      </c>
    </row>
    <row r="58" spans="1:5" x14ac:dyDescent="0.25">
      <c r="A58" s="10" t="s">
        <v>208</v>
      </c>
      <c r="B58" s="10" t="s">
        <v>208</v>
      </c>
      <c r="C58" s="9" t="s">
        <v>209</v>
      </c>
      <c r="D58" s="9" t="s">
        <v>3028</v>
      </c>
      <c r="E58" t="s">
        <v>3028</v>
      </c>
    </row>
    <row r="59" spans="1:5" x14ac:dyDescent="0.25">
      <c r="A59" s="10" t="s">
        <v>210</v>
      </c>
      <c r="B59" s="10" t="s">
        <v>210</v>
      </c>
      <c r="C59" s="9" t="s">
        <v>211</v>
      </c>
      <c r="D59" s="9" t="s">
        <v>3028</v>
      </c>
      <c r="E59" t="s">
        <v>3028</v>
      </c>
    </row>
    <row r="60" spans="1:5" x14ac:dyDescent="0.25">
      <c r="A60" s="10" t="s">
        <v>212</v>
      </c>
      <c r="B60" s="10" t="s">
        <v>212</v>
      </c>
      <c r="C60" s="9" t="s">
        <v>213</v>
      </c>
      <c r="D60" s="9" t="s">
        <v>3028</v>
      </c>
      <c r="E60" t="s">
        <v>3028</v>
      </c>
    </row>
    <row r="61" spans="1:5" x14ac:dyDescent="0.25">
      <c r="A61" s="10" t="s">
        <v>214</v>
      </c>
      <c r="B61" s="10" t="s">
        <v>214</v>
      </c>
      <c r="C61" s="9" t="s">
        <v>215</v>
      </c>
      <c r="D61" s="9" t="s">
        <v>3028</v>
      </c>
      <c r="E61" t="s">
        <v>3028</v>
      </c>
    </row>
    <row r="62" spans="1:5" x14ac:dyDescent="0.25">
      <c r="A62" s="10" t="s">
        <v>216</v>
      </c>
      <c r="B62" s="10" t="s">
        <v>216</v>
      </c>
      <c r="C62" s="9" t="s">
        <v>217</v>
      </c>
      <c r="D62" s="9" t="s">
        <v>3028</v>
      </c>
      <c r="E62" t="s">
        <v>3028</v>
      </c>
    </row>
    <row r="63" spans="1:5" x14ac:dyDescent="0.25">
      <c r="A63" s="10" t="s">
        <v>218</v>
      </c>
      <c r="B63" s="10" t="s">
        <v>218</v>
      </c>
      <c r="C63" s="9" t="s">
        <v>219</v>
      </c>
      <c r="D63" s="9" t="s">
        <v>3028</v>
      </c>
      <c r="E63" t="s">
        <v>3028</v>
      </c>
    </row>
    <row r="64" spans="1:5" x14ac:dyDescent="0.25">
      <c r="A64" s="10" t="s">
        <v>222</v>
      </c>
      <c r="B64" s="10" t="s">
        <v>222</v>
      </c>
      <c r="C64" s="9" t="s">
        <v>223</v>
      </c>
      <c r="D64" s="9" t="s">
        <v>3028</v>
      </c>
      <c r="E64" t="s">
        <v>3028</v>
      </c>
    </row>
    <row r="65" spans="1:5" x14ac:dyDescent="0.25">
      <c r="A65" s="10" t="s">
        <v>224</v>
      </c>
      <c r="B65" s="10" t="s">
        <v>224</v>
      </c>
      <c r="C65" s="9" t="s">
        <v>225</v>
      </c>
      <c r="D65" s="9" t="s">
        <v>3028</v>
      </c>
      <c r="E65" t="s">
        <v>3028</v>
      </c>
    </row>
    <row r="66" spans="1:5" x14ac:dyDescent="0.25">
      <c r="A66" s="10" t="s">
        <v>226</v>
      </c>
      <c r="B66" s="10" t="s">
        <v>226</v>
      </c>
      <c r="C66" s="9" t="s">
        <v>227</v>
      </c>
      <c r="D66" s="9" t="s">
        <v>3028</v>
      </c>
      <c r="E66" t="s">
        <v>3028</v>
      </c>
    </row>
    <row r="67" spans="1:5" x14ac:dyDescent="0.25">
      <c r="A67" s="10" t="s">
        <v>228</v>
      </c>
      <c r="B67" s="10" t="s">
        <v>228</v>
      </c>
      <c r="C67" s="9" t="s">
        <v>229</v>
      </c>
      <c r="D67" s="9" t="s">
        <v>3028</v>
      </c>
      <c r="E67" t="s">
        <v>3028</v>
      </c>
    </row>
    <row r="68" spans="1:5" x14ac:dyDescent="0.25">
      <c r="A68" s="10" t="s">
        <v>230</v>
      </c>
      <c r="B68" s="10" t="s">
        <v>230</v>
      </c>
      <c r="C68" s="9" t="s">
        <v>231</v>
      </c>
      <c r="D68" s="9" t="s">
        <v>3028</v>
      </c>
      <c r="E68" t="s">
        <v>3028</v>
      </c>
    </row>
    <row r="69" spans="1:5" x14ac:dyDescent="0.25">
      <c r="A69" s="10" t="s">
        <v>232</v>
      </c>
      <c r="B69" s="10" t="s">
        <v>232</v>
      </c>
      <c r="C69" s="9" t="s">
        <v>233</v>
      </c>
      <c r="D69" s="9" t="s">
        <v>3028</v>
      </c>
      <c r="E69" t="s">
        <v>3028</v>
      </c>
    </row>
    <row r="70" spans="1:5" x14ac:dyDescent="0.25">
      <c r="A70" s="10" t="s">
        <v>234</v>
      </c>
      <c r="B70" s="10" t="s">
        <v>234</v>
      </c>
      <c r="C70" s="9" t="s">
        <v>235</v>
      </c>
      <c r="D70" s="9" t="s">
        <v>3028</v>
      </c>
      <c r="E70" t="s">
        <v>3028</v>
      </c>
    </row>
    <row r="71" spans="1:5" x14ac:dyDescent="0.25">
      <c r="A71" s="10" t="s">
        <v>236</v>
      </c>
      <c r="B71" s="10" t="s">
        <v>236</v>
      </c>
      <c r="C71" s="9" t="s">
        <v>237</v>
      </c>
      <c r="D71" s="9" t="s">
        <v>3028</v>
      </c>
      <c r="E71" t="s">
        <v>3028</v>
      </c>
    </row>
    <row r="72" spans="1:5" x14ac:dyDescent="0.25">
      <c r="A72" s="10" t="s">
        <v>238</v>
      </c>
      <c r="B72" s="10" t="s">
        <v>238</v>
      </c>
      <c r="C72" s="9" t="s">
        <v>239</v>
      </c>
      <c r="D72" s="9" t="s">
        <v>3028</v>
      </c>
      <c r="E72" t="s">
        <v>3028</v>
      </c>
    </row>
    <row r="73" spans="1:5" x14ac:dyDescent="0.25">
      <c r="A73" s="10" t="s">
        <v>240</v>
      </c>
      <c r="B73" s="10" t="s">
        <v>240</v>
      </c>
      <c r="C73" s="9" t="s">
        <v>241</v>
      </c>
      <c r="D73" s="9" t="s">
        <v>3028</v>
      </c>
      <c r="E73" t="s">
        <v>3028</v>
      </c>
    </row>
    <row r="74" spans="1:5" x14ac:dyDescent="0.25">
      <c r="A74" s="10" t="s">
        <v>242</v>
      </c>
      <c r="B74" s="10" t="s">
        <v>242</v>
      </c>
      <c r="C74" s="9" t="s">
        <v>243</v>
      </c>
      <c r="D74" s="9" t="s">
        <v>3028</v>
      </c>
      <c r="E74" t="s">
        <v>3028</v>
      </c>
    </row>
    <row r="75" spans="1:5" x14ac:dyDescent="0.25">
      <c r="A75" s="10" t="s">
        <v>244</v>
      </c>
      <c r="B75" s="10" t="s">
        <v>244</v>
      </c>
      <c r="C75" s="9" t="s">
        <v>245</v>
      </c>
      <c r="D75" s="9" t="s">
        <v>3028</v>
      </c>
      <c r="E75" t="s">
        <v>3028</v>
      </c>
    </row>
    <row r="76" spans="1:5" x14ac:dyDescent="0.25">
      <c r="A76" s="10" t="s">
        <v>246</v>
      </c>
      <c r="B76" s="10" t="s">
        <v>246</v>
      </c>
      <c r="C76" s="9" t="s">
        <v>247</v>
      </c>
      <c r="D76" s="9" t="s">
        <v>3028</v>
      </c>
      <c r="E76" t="s">
        <v>3028</v>
      </c>
    </row>
    <row r="77" spans="1:5" x14ac:dyDescent="0.25">
      <c r="A77" s="10" t="s">
        <v>248</v>
      </c>
      <c r="B77" s="10" t="s">
        <v>248</v>
      </c>
      <c r="C77" s="9" t="s">
        <v>249</v>
      </c>
      <c r="D77" s="9" t="s">
        <v>3028</v>
      </c>
      <c r="E77" t="s">
        <v>3028</v>
      </c>
    </row>
    <row r="78" spans="1:5" x14ac:dyDescent="0.25">
      <c r="A78" s="10" t="s">
        <v>250</v>
      </c>
      <c r="B78" s="10" t="s">
        <v>250</v>
      </c>
      <c r="C78" s="9" t="s">
        <v>251</v>
      </c>
      <c r="D78" s="9" t="s">
        <v>3028</v>
      </c>
      <c r="E78" t="s">
        <v>3028</v>
      </c>
    </row>
    <row r="79" spans="1:5" x14ac:dyDescent="0.25">
      <c r="A79" s="10" t="s">
        <v>252</v>
      </c>
      <c r="B79" s="10" t="s">
        <v>252</v>
      </c>
      <c r="C79" s="9" t="s">
        <v>253</v>
      </c>
      <c r="D79" s="9" t="s">
        <v>3028</v>
      </c>
      <c r="E79" t="s">
        <v>3028</v>
      </c>
    </row>
    <row r="80" spans="1:5" x14ac:dyDescent="0.25">
      <c r="A80" s="10" t="s">
        <v>254</v>
      </c>
      <c r="B80" s="10" t="s">
        <v>254</v>
      </c>
      <c r="C80" s="9" t="s">
        <v>255</v>
      </c>
      <c r="D80" s="9" t="s">
        <v>3028</v>
      </c>
      <c r="E80" t="s">
        <v>3028</v>
      </c>
    </row>
    <row r="81" spans="1:5" x14ac:dyDescent="0.25">
      <c r="A81" s="10" t="s">
        <v>256</v>
      </c>
      <c r="B81" s="10" t="s">
        <v>256</v>
      </c>
      <c r="C81" s="9" t="s">
        <v>257</v>
      </c>
      <c r="D81" s="9" t="s">
        <v>3028</v>
      </c>
      <c r="E81" t="s">
        <v>3028</v>
      </c>
    </row>
    <row r="82" spans="1:5" x14ac:dyDescent="0.25">
      <c r="A82" s="10" t="s">
        <v>258</v>
      </c>
      <c r="B82" s="10" t="s">
        <v>258</v>
      </c>
      <c r="C82" s="9" t="s">
        <v>259</v>
      </c>
      <c r="D82" s="9" t="s">
        <v>3028</v>
      </c>
      <c r="E82" t="s">
        <v>3028</v>
      </c>
    </row>
    <row r="83" spans="1:5" x14ac:dyDescent="0.25">
      <c r="A83" s="10" t="s">
        <v>260</v>
      </c>
      <c r="B83" s="10" t="s">
        <v>260</v>
      </c>
      <c r="C83" s="9" t="s">
        <v>261</v>
      </c>
      <c r="D83" s="9" t="s">
        <v>3028</v>
      </c>
      <c r="E83" t="s">
        <v>3028</v>
      </c>
    </row>
    <row r="84" spans="1:5" x14ac:dyDescent="0.25">
      <c r="A84" s="10" t="s">
        <v>262</v>
      </c>
      <c r="B84" s="10" t="s">
        <v>262</v>
      </c>
      <c r="C84" s="9" t="s">
        <v>263</v>
      </c>
      <c r="D84" s="9" t="s">
        <v>3028</v>
      </c>
      <c r="E84" t="s">
        <v>3028</v>
      </c>
    </row>
    <row r="85" spans="1:5" x14ac:dyDescent="0.25">
      <c r="A85" s="10" t="s">
        <v>264</v>
      </c>
      <c r="B85" s="10" t="s">
        <v>264</v>
      </c>
      <c r="C85" s="9" t="s">
        <v>265</v>
      </c>
      <c r="D85" s="9" t="s">
        <v>3028</v>
      </c>
      <c r="E85" t="s">
        <v>3028</v>
      </c>
    </row>
    <row r="86" spans="1:5" x14ac:dyDescent="0.25">
      <c r="A86" s="10" t="s">
        <v>266</v>
      </c>
      <c r="B86" s="10" t="s">
        <v>266</v>
      </c>
      <c r="C86" s="9" t="s">
        <v>267</v>
      </c>
      <c r="D86" s="9" t="s">
        <v>3028</v>
      </c>
      <c r="E86" t="s">
        <v>3028</v>
      </c>
    </row>
    <row r="87" spans="1:5" x14ac:dyDescent="0.25">
      <c r="A87" s="10" t="s">
        <v>268</v>
      </c>
      <c r="B87" s="10" t="s">
        <v>268</v>
      </c>
      <c r="C87" s="9" t="s">
        <v>269</v>
      </c>
      <c r="D87" s="9" t="s">
        <v>3028</v>
      </c>
      <c r="E87" t="s">
        <v>3028</v>
      </c>
    </row>
    <row r="88" spans="1:5" x14ac:dyDescent="0.25">
      <c r="A88" s="10" t="s">
        <v>270</v>
      </c>
      <c r="B88" s="10" t="s">
        <v>270</v>
      </c>
      <c r="C88" s="9" t="s">
        <v>271</v>
      </c>
      <c r="D88" s="9" t="s">
        <v>3028</v>
      </c>
      <c r="E88" t="s">
        <v>3028</v>
      </c>
    </row>
    <row r="89" spans="1:5" x14ac:dyDescent="0.25">
      <c r="A89" s="10" t="s">
        <v>272</v>
      </c>
      <c r="B89" s="10" t="s">
        <v>272</v>
      </c>
      <c r="C89" s="9" t="s">
        <v>273</v>
      </c>
      <c r="D89" s="9" t="s">
        <v>3028</v>
      </c>
      <c r="E89" t="s">
        <v>3028</v>
      </c>
    </row>
    <row r="90" spans="1:5" x14ac:dyDescent="0.25">
      <c r="A90" s="10" t="s">
        <v>274</v>
      </c>
      <c r="B90" s="10" t="s">
        <v>274</v>
      </c>
      <c r="C90" s="9" t="s">
        <v>275</v>
      </c>
      <c r="D90" s="9" t="s">
        <v>3028</v>
      </c>
      <c r="E90" t="s">
        <v>3028</v>
      </c>
    </row>
    <row r="91" spans="1:5" x14ac:dyDescent="0.25">
      <c r="A91" s="10" t="s">
        <v>276</v>
      </c>
      <c r="B91" s="10" t="s">
        <v>276</v>
      </c>
      <c r="C91" s="9" t="s">
        <v>277</v>
      </c>
      <c r="D91" s="9" t="s">
        <v>3028</v>
      </c>
      <c r="E91" t="s">
        <v>3028</v>
      </c>
    </row>
    <row r="92" spans="1:5" x14ac:dyDescent="0.25">
      <c r="A92" s="10" t="s">
        <v>278</v>
      </c>
      <c r="B92" s="10" t="s">
        <v>278</v>
      </c>
      <c r="C92" s="9" t="s">
        <v>279</v>
      </c>
      <c r="D92" s="9" t="s">
        <v>3028</v>
      </c>
      <c r="E92" t="s">
        <v>3028</v>
      </c>
    </row>
    <row r="93" spans="1:5" x14ac:dyDescent="0.25">
      <c r="A93" s="10" t="s">
        <v>280</v>
      </c>
      <c r="B93" s="10" t="s">
        <v>280</v>
      </c>
      <c r="C93" s="9" t="s">
        <v>281</v>
      </c>
      <c r="D93" s="9" t="s">
        <v>3028</v>
      </c>
      <c r="E93" t="s">
        <v>3028</v>
      </c>
    </row>
    <row r="94" spans="1:5" x14ac:dyDescent="0.25">
      <c r="A94" s="10" t="s">
        <v>282</v>
      </c>
      <c r="B94" s="10" t="s">
        <v>282</v>
      </c>
      <c r="C94" s="9" t="s">
        <v>283</v>
      </c>
      <c r="D94" s="9" t="s">
        <v>3028</v>
      </c>
      <c r="E94" t="s">
        <v>3028</v>
      </c>
    </row>
    <row r="95" spans="1:5" x14ac:dyDescent="0.25">
      <c r="A95" s="10" t="s">
        <v>284</v>
      </c>
      <c r="B95" s="10" t="s">
        <v>284</v>
      </c>
      <c r="C95" s="9" t="s">
        <v>285</v>
      </c>
      <c r="D95" s="9" t="s">
        <v>3028</v>
      </c>
      <c r="E95" t="s">
        <v>3028</v>
      </c>
    </row>
    <row r="96" spans="1:5" x14ac:dyDescent="0.25">
      <c r="A96" s="10" t="s">
        <v>286</v>
      </c>
      <c r="B96" s="10" t="s">
        <v>286</v>
      </c>
      <c r="C96" s="9" t="s">
        <v>287</v>
      </c>
      <c r="D96" s="9" t="s">
        <v>3028</v>
      </c>
      <c r="E96" t="s">
        <v>3028</v>
      </c>
    </row>
    <row r="97" spans="1:5" x14ac:dyDescent="0.25">
      <c r="A97" s="10" t="s">
        <v>288</v>
      </c>
      <c r="B97" s="10" t="s">
        <v>288</v>
      </c>
      <c r="C97" s="9" t="s">
        <v>289</v>
      </c>
      <c r="D97" s="9" t="s">
        <v>3028</v>
      </c>
      <c r="E97" t="s">
        <v>3028</v>
      </c>
    </row>
    <row r="98" spans="1:5" x14ac:dyDescent="0.25">
      <c r="A98" s="10" t="s">
        <v>290</v>
      </c>
      <c r="B98" s="10" t="s">
        <v>290</v>
      </c>
      <c r="C98" s="9" t="s">
        <v>291</v>
      </c>
      <c r="D98" s="9" t="s">
        <v>3028</v>
      </c>
      <c r="E98" t="s">
        <v>3028</v>
      </c>
    </row>
    <row r="99" spans="1:5" x14ac:dyDescent="0.25">
      <c r="A99" s="10" t="s">
        <v>292</v>
      </c>
      <c r="B99" s="10" t="s">
        <v>292</v>
      </c>
      <c r="C99" s="9" t="s">
        <v>293</v>
      </c>
      <c r="D99" s="9" t="s">
        <v>3028</v>
      </c>
      <c r="E99" t="s">
        <v>3028</v>
      </c>
    </row>
    <row r="100" spans="1:5" x14ac:dyDescent="0.25">
      <c r="A100" s="10" t="s">
        <v>294</v>
      </c>
      <c r="B100" s="10" t="s">
        <v>294</v>
      </c>
      <c r="C100" s="9" t="s">
        <v>295</v>
      </c>
      <c r="D100" s="9" t="s">
        <v>3028</v>
      </c>
      <c r="E100" t="s">
        <v>3028</v>
      </c>
    </row>
    <row r="101" spans="1:5" x14ac:dyDescent="0.25">
      <c r="A101" s="10" t="s">
        <v>296</v>
      </c>
      <c r="B101" s="10" t="s">
        <v>296</v>
      </c>
      <c r="C101" s="9" t="s">
        <v>297</v>
      </c>
      <c r="D101" s="9" t="s">
        <v>3028</v>
      </c>
      <c r="E101" t="s">
        <v>3028</v>
      </c>
    </row>
    <row r="102" spans="1:5" x14ac:dyDescent="0.25">
      <c r="A102" s="10" t="s">
        <v>298</v>
      </c>
      <c r="B102" s="10" t="s">
        <v>298</v>
      </c>
      <c r="C102" s="9" t="s">
        <v>299</v>
      </c>
      <c r="D102" s="9" t="s">
        <v>3028</v>
      </c>
      <c r="E102" t="s">
        <v>3028</v>
      </c>
    </row>
    <row r="103" spans="1:5" x14ac:dyDescent="0.25">
      <c r="A103" s="10" t="s">
        <v>300</v>
      </c>
      <c r="B103" s="10" t="s">
        <v>300</v>
      </c>
      <c r="C103" s="9" t="s">
        <v>301</v>
      </c>
      <c r="D103" s="9" t="s">
        <v>3028</v>
      </c>
      <c r="E103" t="s">
        <v>3028</v>
      </c>
    </row>
    <row r="104" spans="1:5" x14ac:dyDescent="0.25">
      <c r="A104" s="10" t="s">
        <v>302</v>
      </c>
      <c r="B104" s="10" t="s">
        <v>302</v>
      </c>
      <c r="C104" s="9" t="s">
        <v>303</v>
      </c>
      <c r="D104" s="9" t="s">
        <v>3028</v>
      </c>
      <c r="E104" t="s">
        <v>3028</v>
      </c>
    </row>
    <row r="105" spans="1:5" x14ac:dyDescent="0.25">
      <c r="A105" s="10" t="s">
        <v>304</v>
      </c>
      <c r="B105" s="10" t="s">
        <v>304</v>
      </c>
      <c r="C105" s="9" t="s">
        <v>305</v>
      </c>
      <c r="D105" s="9" t="s">
        <v>3028</v>
      </c>
      <c r="E105" t="s">
        <v>3028</v>
      </c>
    </row>
    <row r="106" spans="1:5" x14ac:dyDescent="0.25">
      <c r="A106" s="10" t="s">
        <v>306</v>
      </c>
      <c r="B106" s="10" t="s">
        <v>306</v>
      </c>
      <c r="C106" s="9" t="s">
        <v>307</v>
      </c>
      <c r="D106" s="9" t="s">
        <v>3028</v>
      </c>
      <c r="E106" t="s">
        <v>3028</v>
      </c>
    </row>
    <row r="107" spans="1:5" x14ac:dyDescent="0.25">
      <c r="A107" s="10" t="s">
        <v>308</v>
      </c>
      <c r="B107" s="10" t="s">
        <v>308</v>
      </c>
      <c r="C107" s="9" t="s">
        <v>309</v>
      </c>
      <c r="D107" s="9" t="s">
        <v>3028</v>
      </c>
      <c r="E107" t="s">
        <v>3028</v>
      </c>
    </row>
    <row r="108" spans="1:5" x14ac:dyDescent="0.25">
      <c r="A108" s="10" t="s">
        <v>310</v>
      </c>
      <c r="B108" s="10" t="s">
        <v>310</v>
      </c>
      <c r="C108" s="9" t="s">
        <v>311</v>
      </c>
      <c r="D108" s="9" t="s">
        <v>3028</v>
      </c>
      <c r="E108" t="s">
        <v>3028</v>
      </c>
    </row>
    <row r="109" spans="1:5" x14ac:dyDescent="0.25">
      <c r="A109" s="10" t="s">
        <v>312</v>
      </c>
      <c r="B109" s="10" t="s">
        <v>312</v>
      </c>
      <c r="C109" s="9" t="s">
        <v>313</v>
      </c>
      <c r="D109" s="9" t="s">
        <v>3028</v>
      </c>
      <c r="E109" t="s">
        <v>3028</v>
      </c>
    </row>
    <row r="110" spans="1:5" x14ac:dyDescent="0.25">
      <c r="A110" s="10" t="s">
        <v>314</v>
      </c>
      <c r="B110" s="10" t="s">
        <v>314</v>
      </c>
      <c r="C110" s="9" t="s">
        <v>315</v>
      </c>
      <c r="D110" s="9" t="s">
        <v>3028</v>
      </c>
      <c r="E110" t="s">
        <v>3028</v>
      </c>
    </row>
    <row r="111" spans="1:5" x14ac:dyDescent="0.25">
      <c r="A111" s="10" t="s">
        <v>316</v>
      </c>
      <c r="B111" s="10" t="s">
        <v>316</v>
      </c>
      <c r="C111" s="9" t="s">
        <v>317</v>
      </c>
      <c r="D111" s="9" t="s">
        <v>3028</v>
      </c>
      <c r="E111" t="s">
        <v>3028</v>
      </c>
    </row>
    <row r="112" spans="1:5" x14ac:dyDescent="0.25">
      <c r="A112" s="10" t="s">
        <v>318</v>
      </c>
      <c r="B112" s="10" t="s">
        <v>318</v>
      </c>
      <c r="C112" s="9" t="s">
        <v>319</v>
      </c>
      <c r="D112" s="9" t="s">
        <v>3028</v>
      </c>
      <c r="E112" t="s">
        <v>3028</v>
      </c>
    </row>
    <row r="113" spans="1:5" x14ac:dyDescent="0.25">
      <c r="A113" s="10" t="s">
        <v>320</v>
      </c>
      <c r="B113" s="10" t="s">
        <v>320</v>
      </c>
      <c r="C113" s="9" t="s">
        <v>321</v>
      </c>
      <c r="D113" s="9" t="s">
        <v>3028</v>
      </c>
      <c r="E113" t="s">
        <v>3028</v>
      </c>
    </row>
    <row r="114" spans="1:5" x14ac:dyDescent="0.25">
      <c r="A114" s="10" t="s">
        <v>322</v>
      </c>
      <c r="B114" s="10" t="s">
        <v>322</v>
      </c>
      <c r="C114" s="9" t="s">
        <v>323</v>
      </c>
      <c r="D114" s="9" t="s">
        <v>3028</v>
      </c>
      <c r="E114" t="s">
        <v>3028</v>
      </c>
    </row>
    <row r="115" spans="1:5" x14ac:dyDescent="0.25">
      <c r="A115" s="10" t="s">
        <v>324</v>
      </c>
      <c r="B115" s="10" t="s">
        <v>324</v>
      </c>
      <c r="C115" s="9" t="s">
        <v>325</v>
      </c>
      <c r="D115" s="9" t="s">
        <v>3028</v>
      </c>
      <c r="E115" t="s">
        <v>3028</v>
      </c>
    </row>
    <row r="116" spans="1:5" x14ac:dyDescent="0.25">
      <c r="A116" s="10" t="s">
        <v>326</v>
      </c>
      <c r="B116" s="10" t="s">
        <v>326</v>
      </c>
      <c r="C116" s="9" t="s">
        <v>327</v>
      </c>
      <c r="D116" s="9" t="s">
        <v>3028</v>
      </c>
      <c r="E116" t="s">
        <v>3028</v>
      </c>
    </row>
    <row r="117" spans="1:5" x14ac:dyDescent="0.25">
      <c r="A117" s="10" t="s">
        <v>328</v>
      </c>
      <c r="B117" s="10" t="s">
        <v>328</v>
      </c>
      <c r="C117" s="9" t="s">
        <v>329</v>
      </c>
      <c r="D117" s="9" t="s">
        <v>3028</v>
      </c>
      <c r="E117" t="s">
        <v>3028</v>
      </c>
    </row>
    <row r="118" spans="1:5" x14ac:dyDescent="0.25">
      <c r="A118" s="10" t="s">
        <v>330</v>
      </c>
      <c r="B118" s="10" t="s">
        <v>330</v>
      </c>
      <c r="C118" s="9" t="s">
        <v>331</v>
      </c>
      <c r="D118" s="9" t="s">
        <v>3028</v>
      </c>
      <c r="E118" t="s">
        <v>3028</v>
      </c>
    </row>
    <row r="119" spans="1:5" x14ac:dyDescent="0.25">
      <c r="A119" s="10" t="s">
        <v>332</v>
      </c>
      <c r="B119" s="10" t="s">
        <v>332</v>
      </c>
      <c r="C119" s="9" t="s">
        <v>333</v>
      </c>
      <c r="D119" s="9" t="s">
        <v>3028</v>
      </c>
      <c r="E119" t="s">
        <v>3028</v>
      </c>
    </row>
    <row r="120" spans="1:5" x14ac:dyDescent="0.25">
      <c r="A120" s="10" t="s">
        <v>334</v>
      </c>
      <c r="B120" s="10" t="s">
        <v>334</v>
      </c>
      <c r="C120" s="9" t="s">
        <v>335</v>
      </c>
      <c r="D120" s="9" t="s">
        <v>3028</v>
      </c>
      <c r="E120" t="s">
        <v>3028</v>
      </c>
    </row>
    <row r="121" spans="1:5" x14ac:dyDescent="0.25">
      <c r="A121" s="10" t="s">
        <v>338</v>
      </c>
      <c r="B121" s="10" t="s">
        <v>338</v>
      </c>
      <c r="C121" s="9" t="s">
        <v>339</v>
      </c>
      <c r="D121" s="9" t="s">
        <v>3028</v>
      </c>
      <c r="E121" t="s">
        <v>3028</v>
      </c>
    </row>
    <row r="122" spans="1:5" x14ac:dyDescent="0.25">
      <c r="A122" s="10" t="s">
        <v>340</v>
      </c>
      <c r="B122" s="10" t="s">
        <v>340</v>
      </c>
      <c r="C122" s="9" t="s">
        <v>341</v>
      </c>
      <c r="D122" s="9" t="s">
        <v>3028</v>
      </c>
      <c r="E122" t="s">
        <v>3028</v>
      </c>
    </row>
    <row r="123" spans="1:5" x14ac:dyDescent="0.25">
      <c r="A123" s="10" t="s">
        <v>342</v>
      </c>
      <c r="B123" s="10" t="s">
        <v>342</v>
      </c>
      <c r="C123" s="9" t="s">
        <v>343</v>
      </c>
      <c r="D123" s="9" t="s">
        <v>3028</v>
      </c>
      <c r="E123" t="s">
        <v>3028</v>
      </c>
    </row>
    <row r="124" spans="1:5" x14ac:dyDescent="0.25">
      <c r="A124" s="10" t="s">
        <v>344</v>
      </c>
      <c r="B124" s="10" t="s">
        <v>344</v>
      </c>
      <c r="C124" s="9" t="s">
        <v>345</v>
      </c>
      <c r="D124" s="9" t="s">
        <v>3028</v>
      </c>
      <c r="E124" t="s">
        <v>3028</v>
      </c>
    </row>
    <row r="125" spans="1:5" x14ac:dyDescent="0.25">
      <c r="A125" s="10" t="s">
        <v>346</v>
      </c>
      <c r="B125" s="10" t="s">
        <v>346</v>
      </c>
      <c r="C125" s="9" t="s">
        <v>347</v>
      </c>
      <c r="D125" s="9" t="s">
        <v>3028</v>
      </c>
      <c r="E125" t="s">
        <v>3028</v>
      </c>
    </row>
    <row r="126" spans="1:5" x14ac:dyDescent="0.25">
      <c r="A126" s="10" t="s">
        <v>348</v>
      </c>
      <c r="B126" s="10" t="s">
        <v>348</v>
      </c>
      <c r="C126" s="9" t="s">
        <v>349</v>
      </c>
      <c r="D126" s="9" t="s">
        <v>3028</v>
      </c>
      <c r="E126" t="s">
        <v>3028</v>
      </c>
    </row>
    <row r="127" spans="1:5" x14ac:dyDescent="0.25">
      <c r="A127" s="10" t="s">
        <v>350</v>
      </c>
      <c r="B127" s="10" t="s">
        <v>350</v>
      </c>
      <c r="C127" s="9" t="s">
        <v>351</v>
      </c>
      <c r="D127" s="9" t="s">
        <v>3028</v>
      </c>
      <c r="E127" t="s">
        <v>3028</v>
      </c>
    </row>
    <row r="128" spans="1:5" x14ac:dyDescent="0.25">
      <c r="A128" s="10" t="s">
        <v>352</v>
      </c>
      <c r="B128" s="10" t="s">
        <v>352</v>
      </c>
      <c r="C128" s="9" t="s">
        <v>353</v>
      </c>
      <c r="D128" s="9" t="s">
        <v>3028</v>
      </c>
      <c r="E128" t="s">
        <v>3028</v>
      </c>
    </row>
    <row r="129" spans="1:5" x14ac:dyDescent="0.25">
      <c r="A129" s="10" t="s">
        <v>354</v>
      </c>
      <c r="B129" s="10" t="s">
        <v>354</v>
      </c>
      <c r="C129" s="9" t="s">
        <v>355</v>
      </c>
      <c r="D129" s="9" t="s">
        <v>3028</v>
      </c>
      <c r="E129" t="s">
        <v>3028</v>
      </c>
    </row>
    <row r="130" spans="1:5" x14ac:dyDescent="0.25">
      <c r="A130" s="10" t="s">
        <v>356</v>
      </c>
      <c r="B130" s="10" t="s">
        <v>356</v>
      </c>
      <c r="C130" s="9" t="s">
        <v>357</v>
      </c>
      <c r="D130" s="9" t="s">
        <v>3028</v>
      </c>
      <c r="E130" t="s">
        <v>3028</v>
      </c>
    </row>
    <row r="131" spans="1:5" x14ac:dyDescent="0.25">
      <c r="A131" s="10" t="s">
        <v>358</v>
      </c>
      <c r="B131" s="10" t="s">
        <v>358</v>
      </c>
      <c r="C131" s="9" t="s">
        <v>359</v>
      </c>
      <c r="D131" s="9" t="s">
        <v>3028</v>
      </c>
      <c r="E131" t="s">
        <v>3028</v>
      </c>
    </row>
    <row r="132" spans="1:5" x14ac:dyDescent="0.25">
      <c r="A132" s="10" t="s">
        <v>360</v>
      </c>
      <c r="B132" s="10" t="s">
        <v>360</v>
      </c>
      <c r="C132" s="9" t="s">
        <v>361</v>
      </c>
      <c r="D132" s="9" t="s">
        <v>3028</v>
      </c>
      <c r="E132" t="s">
        <v>3028</v>
      </c>
    </row>
    <row r="133" spans="1:5" x14ac:dyDescent="0.25">
      <c r="A133" s="10" t="s">
        <v>362</v>
      </c>
      <c r="B133" s="10" t="s">
        <v>362</v>
      </c>
      <c r="C133" s="9" t="s">
        <v>363</v>
      </c>
      <c r="D133" s="9" t="s">
        <v>3028</v>
      </c>
      <c r="E133" t="s">
        <v>3028</v>
      </c>
    </row>
    <row r="134" spans="1:5" x14ac:dyDescent="0.25">
      <c r="A134" s="10" t="s">
        <v>364</v>
      </c>
      <c r="B134" s="10" t="s">
        <v>364</v>
      </c>
      <c r="C134" s="9" t="s">
        <v>365</v>
      </c>
      <c r="D134" s="9" t="s">
        <v>3028</v>
      </c>
      <c r="E134" t="s">
        <v>3028</v>
      </c>
    </row>
    <row r="135" spans="1:5" x14ac:dyDescent="0.25">
      <c r="A135" s="10" t="s">
        <v>366</v>
      </c>
      <c r="B135" s="10" t="s">
        <v>366</v>
      </c>
      <c r="C135" s="9" t="s">
        <v>367</v>
      </c>
      <c r="D135" s="9" t="s">
        <v>3028</v>
      </c>
      <c r="E135" t="s">
        <v>3028</v>
      </c>
    </row>
    <row r="136" spans="1:5" x14ac:dyDescent="0.25">
      <c r="A136" s="10" t="s">
        <v>368</v>
      </c>
      <c r="B136" s="10" t="s">
        <v>368</v>
      </c>
      <c r="C136" s="9" t="s">
        <v>369</v>
      </c>
      <c r="D136" s="9" t="s">
        <v>3028</v>
      </c>
      <c r="E136" t="s">
        <v>3028</v>
      </c>
    </row>
    <row r="137" spans="1:5" x14ac:dyDescent="0.25">
      <c r="A137" s="10" t="s">
        <v>370</v>
      </c>
      <c r="B137" s="10" t="s">
        <v>370</v>
      </c>
      <c r="C137" s="9" t="s">
        <v>371</v>
      </c>
      <c r="D137" s="9" t="s">
        <v>3028</v>
      </c>
      <c r="E137" t="s">
        <v>3028</v>
      </c>
    </row>
    <row r="138" spans="1:5" x14ac:dyDescent="0.25">
      <c r="A138" s="10" t="s">
        <v>372</v>
      </c>
      <c r="B138" s="10" t="s">
        <v>372</v>
      </c>
      <c r="C138" s="9" t="s">
        <v>373</v>
      </c>
      <c r="D138" s="9" t="s">
        <v>3028</v>
      </c>
      <c r="E138" t="s">
        <v>3028</v>
      </c>
    </row>
    <row r="139" spans="1:5" x14ac:dyDescent="0.25">
      <c r="A139" s="10" t="s">
        <v>374</v>
      </c>
      <c r="B139" s="10" t="s">
        <v>374</v>
      </c>
      <c r="C139" s="9" t="s">
        <v>375</v>
      </c>
      <c r="D139" s="9" t="s">
        <v>3028</v>
      </c>
      <c r="E139" t="s">
        <v>3028</v>
      </c>
    </row>
    <row r="140" spans="1:5" x14ac:dyDescent="0.25">
      <c r="A140" s="10" t="s">
        <v>376</v>
      </c>
      <c r="B140" s="10" t="s">
        <v>376</v>
      </c>
      <c r="C140" s="9" t="s">
        <v>377</v>
      </c>
      <c r="D140" s="9" t="s">
        <v>3028</v>
      </c>
      <c r="E140" t="s">
        <v>3028</v>
      </c>
    </row>
    <row r="141" spans="1:5" x14ac:dyDescent="0.25">
      <c r="A141" s="10" t="s">
        <v>378</v>
      </c>
      <c r="B141" s="10" t="s">
        <v>378</v>
      </c>
      <c r="C141" s="9" t="s">
        <v>379</v>
      </c>
      <c r="D141" s="9" t="s">
        <v>3028</v>
      </c>
      <c r="E141" t="s">
        <v>3028</v>
      </c>
    </row>
    <row r="142" spans="1:5" x14ac:dyDescent="0.25">
      <c r="A142" s="10" t="s">
        <v>380</v>
      </c>
      <c r="B142" s="10" t="s">
        <v>380</v>
      </c>
      <c r="C142" s="9" t="s">
        <v>381</v>
      </c>
      <c r="D142" s="9" t="s">
        <v>3028</v>
      </c>
      <c r="E142" t="s">
        <v>3028</v>
      </c>
    </row>
    <row r="143" spans="1:5" x14ac:dyDescent="0.25">
      <c r="A143" s="10" t="s">
        <v>382</v>
      </c>
      <c r="B143" s="10" t="s">
        <v>382</v>
      </c>
      <c r="C143" s="9" t="s">
        <v>383</v>
      </c>
      <c r="D143" s="9" t="s">
        <v>3028</v>
      </c>
      <c r="E143" t="s">
        <v>3028</v>
      </c>
    </row>
    <row r="144" spans="1:5" x14ac:dyDescent="0.25">
      <c r="A144" s="10" t="s">
        <v>384</v>
      </c>
      <c r="B144" s="10" t="s">
        <v>384</v>
      </c>
      <c r="C144" s="9" t="s">
        <v>385</v>
      </c>
      <c r="D144" s="9" t="s">
        <v>3028</v>
      </c>
      <c r="E144" t="s">
        <v>3028</v>
      </c>
    </row>
    <row r="145" spans="1:5" x14ac:dyDescent="0.25">
      <c r="A145" s="10" t="s">
        <v>386</v>
      </c>
      <c r="B145" s="10" t="s">
        <v>386</v>
      </c>
      <c r="C145" s="9" t="s">
        <v>387</v>
      </c>
      <c r="D145" s="9" t="s">
        <v>3028</v>
      </c>
      <c r="E145" t="s">
        <v>3028</v>
      </c>
    </row>
    <row r="146" spans="1:5" x14ac:dyDescent="0.25">
      <c r="A146" s="10" t="s">
        <v>388</v>
      </c>
      <c r="B146" s="10" t="s">
        <v>388</v>
      </c>
      <c r="C146" s="9" t="s">
        <v>389</v>
      </c>
      <c r="D146" s="9" t="s">
        <v>3028</v>
      </c>
      <c r="E146" t="s">
        <v>3028</v>
      </c>
    </row>
    <row r="147" spans="1:5" x14ac:dyDescent="0.25">
      <c r="A147" s="10" t="s">
        <v>390</v>
      </c>
      <c r="B147" s="10" t="s">
        <v>390</v>
      </c>
      <c r="C147" s="9" t="s">
        <v>391</v>
      </c>
      <c r="D147" s="9" t="s">
        <v>3028</v>
      </c>
      <c r="E147" t="s">
        <v>3028</v>
      </c>
    </row>
    <row r="148" spans="1:5" x14ac:dyDescent="0.25">
      <c r="A148" s="10" t="s">
        <v>392</v>
      </c>
      <c r="B148" s="10" t="s">
        <v>392</v>
      </c>
      <c r="C148" s="9" t="s">
        <v>393</v>
      </c>
      <c r="D148" s="9" t="s">
        <v>3028</v>
      </c>
      <c r="E148" t="s">
        <v>3028</v>
      </c>
    </row>
    <row r="149" spans="1:5" x14ac:dyDescent="0.25">
      <c r="A149" s="10" t="s">
        <v>394</v>
      </c>
      <c r="B149" s="10" t="s">
        <v>394</v>
      </c>
      <c r="C149" s="9" t="s">
        <v>395</v>
      </c>
      <c r="D149" s="9" t="s">
        <v>3028</v>
      </c>
      <c r="E149" t="s">
        <v>3028</v>
      </c>
    </row>
    <row r="150" spans="1:5" x14ac:dyDescent="0.25">
      <c r="A150" s="10" t="s">
        <v>396</v>
      </c>
      <c r="B150" s="10" t="s">
        <v>396</v>
      </c>
      <c r="C150" s="9" t="s">
        <v>397</v>
      </c>
      <c r="D150" s="9" t="s">
        <v>3028</v>
      </c>
      <c r="E150" t="s">
        <v>3028</v>
      </c>
    </row>
    <row r="151" spans="1:5" x14ac:dyDescent="0.25">
      <c r="A151" s="10" t="s">
        <v>398</v>
      </c>
      <c r="B151" s="10" t="s">
        <v>398</v>
      </c>
      <c r="C151" s="9" t="s">
        <v>399</v>
      </c>
      <c r="D151" s="9" t="s">
        <v>3028</v>
      </c>
      <c r="E151" t="s">
        <v>3028</v>
      </c>
    </row>
    <row r="152" spans="1:5" x14ac:dyDescent="0.25">
      <c r="A152" s="10" t="s">
        <v>400</v>
      </c>
      <c r="B152" s="10" t="s">
        <v>400</v>
      </c>
      <c r="C152" s="9" t="s">
        <v>401</v>
      </c>
      <c r="D152" s="9" t="s">
        <v>3028</v>
      </c>
      <c r="E152" t="s">
        <v>3028</v>
      </c>
    </row>
    <row r="153" spans="1:5" x14ac:dyDescent="0.25">
      <c r="A153" s="10" t="s">
        <v>402</v>
      </c>
      <c r="B153" s="10" t="s">
        <v>402</v>
      </c>
      <c r="C153" s="9" t="s">
        <v>403</v>
      </c>
      <c r="D153" s="9" t="s">
        <v>3028</v>
      </c>
      <c r="E153" t="s">
        <v>3028</v>
      </c>
    </row>
    <row r="154" spans="1:5" x14ac:dyDescent="0.25">
      <c r="A154" s="10" t="s">
        <v>404</v>
      </c>
      <c r="B154" s="10" t="s">
        <v>404</v>
      </c>
      <c r="C154" s="9" t="s">
        <v>405</v>
      </c>
      <c r="D154" s="9" t="s">
        <v>3028</v>
      </c>
      <c r="E154" t="s">
        <v>3028</v>
      </c>
    </row>
    <row r="155" spans="1:5" x14ac:dyDescent="0.25">
      <c r="A155" s="10" t="s">
        <v>406</v>
      </c>
      <c r="B155" s="10" t="s">
        <v>406</v>
      </c>
      <c r="C155" s="9" t="s">
        <v>407</v>
      </c>
      <c r="D155" s="9" t="s">
        <v>3028</v>
      </c>
      <c r="E155" t="s">
        <v>3028</v>
      </c>
    </row>
    <row r="156" spans="1:5" x14ac:dyDescent="0.25">
      <c r="A156" s="10" t="s">
        <v>408</v>
      </c>
      <c r="B156" s="10" t="s">
        <v>408</v>
      </c>
      <c r="C156" s="9" t="s">
        <v>409</v>
      </c>
      <c r="D156" s="9" t="s">
        <v>3028</v>
      </c>
      <c r="E156" t="s">
        <v>3028</v>
      </c>
    </row>
    <row r="157" spans="1:5" x14ac:dyDescent="0.25">
      <c r="A157" s="10" t="s">
        <v>410</v>
      </c>
      <c r="B157" s="10" t="s">
        <v>410</v>
      </c>
      <c r="C157" s="9" t="s">
        <v>411</v>
      </c>
      <c r="D157" s="9" t="s">
        <v>3028</v>
      </c>
      <c r="E157" t="s">
        <v>3028</v>
      </c>
    </row>
    <row r="158" spans="1:5" x14ac:dyDescent="0.25">
      <c r="A158" s="10" t="s">
        <v>412</v>
      </c>
      <c r="B158" s="10" t="s">
        <v>412</v>
      </c>
      <c r="C158" s="9" t="s">
        <v>413</v>
      </c>
      <c r="D158" s="9" t="s">
        <v>3028</v>
      </c>
      <c r="E158" t="s">
        <v>3028</v>
      </c>
    </row>
    <row r="159" spans="1:5" x14ac:dyDescent="0.25">
      <c r="A159" s="10" t="s">
        <v>414</v>
      </c>
      <c r="B159" s="10" t="s">
        <v>414</v>
      </c>
      <c r="C159" s="9" t="s">
        <v>415</v>
      </c>
      <c r="D159" s="9" t="s">
        <v>3028</v>
      </c>
      <c r="E159" t="s">
        <v>3028</v>
      </c>
    </row>
    <row r="160" spans="1:5" x14ac:dyDescent="0.25">
      <c r="A160" s="10" t="s">
        <v>416</v>
      </c>
      <c r="B160" s="10" t="s">
        <v>416</v>
      </c>
      <c r="C160" s="9" t="s">
        <v>417</v>
      </c>
      <c r="D160" s="9" t="s">
        <v>3028</v>
      </c>
      <c r="E160" t="s">
        <v>3028</v>
      </c>
    </row>
    <row r="161" spans="1:5" x14ac:dyDescent="0.25">
      <c r="A161" s="10" t="s">
        <v>418</v>
      </c>
      <c r="B161" s="10" t="s">
        <v>418</v>
      </c>
      <c r="C161" s="9" t="s">
        <v>419</v>
      </c>
      <c r="D161" s="9" t="s">
        <v>3028</v>
      </c>
      <c r="E161" t="s">
        <v>3028</v>
      </c>
    </row>
    <row r="162" spans="1:5" x14ac:dyDescent="0.25">
      <c r="A162" s="10" t="s">
        <v>420</v>
      </c>
      <c r="B162" s="10" t="s">
        <v>420</v>
      </c>
      <c r="C162" s="9" t="s">
        <v>421</v>
      </c>
      <c r="D162" s="9" t="s">
        <v>3028</v>
      </c>
      <c r="E162" t="s">
        <v>3028</v>
      </c>
    </row>
    <row r="163" spans="1:5" x14ac:dyDescent="0.25">
      <c r="A163" s="10" t="s">
        <v>422</v>
      </c>
      <c r="B163" s="10" t="s">
        <v>422</v>
      </c>
      <c r="C163" s="9" t="s">
        <v>423</v>
      </c>
      <c r="D163" s="9" t="s">
        <v>3028</v>
      </c>
      <c r="E163" t="s">
        <v>3028</v>
      </c>
    </row>
    <row r="164" spans="1:5" x14ac:dyDescent="0.25">
      <c r="A164" s="10" t="s">
        <v>424</v>
      </c>
      <c r="B164" s="10" t="s">
        <v>424</v>
      </c>
      <c r="C164" s="9" t="s">
        <v>425</v>
      </c>
      <c r="D164" s="9" t="s">
        <v>3028</v>
      </c>
      <c r="E164" t="s">
        <v>3028</v>
      </c>
    </row>
    <row r="165" spans="1:5" x14ac:dyDescent="0.25">
      <c r="A165" s="10" t="s">
        <v>426</v>
      </c>
      <c r="B165" s="10" t="s">
        <v>426</v>
      </c>
      <c r="C165" s="9" t="s">
        <v>427</v>
      </c>
      <c r="D165" s="9" t="s">
        <v>3028</v>
      </c>
      <c r="E165" t="s">
        <v>3028</v>
      </c>
    </row>
    <row r="166" spans="1:5" x14ac:dyDescent="0.25">
      <c r="A166" s="10" t="s">
        <v>428</v>
      </c>
      <c r="B166" s="10" t="s">
        <v>428</v>
      </c>
      <c r="C166" s="9" t="s">
        <v>429</v>
      </c>
      <c r="D166" s="9" t="s">
        <v>3028</v>
      </c>
      <c r="E166" t="s">
        <v>3028</v>
      </c>
    </row>
    <row r="167" spans="1:5" x14ac:dyDescent="0.25">
      <c r="A167" s="10" t="s">
        <v>430</v>
      </c>
      <c r="B167" s="10" t="s">
        <v>430</v>
      </c>
      <c r="C167" s="9" t="s">
        <v>431</v>
      </c>
      <c r="D167" s="9" t="s">
        <v>3028</v>
      </c>
      <c r="E167" t="s">
        <v>3028</v>
      </c>
    </row>
    <row r="168" spans="1:5" x14ac:dyDescent="0.25">
      <c r="A168" s="10" t="s">
        <v>432</v>
      </c>
      <c r="B168" s="10" t="s">
        <v>432</v>
      </c>
      <c r="C168" s="9" t="s">
        <v>433</v>
      </c>
      <c r="D168" s="9" t="s">
        <v>3028</v>
      </c>
      <c r="E168" t="s">
        <v>3028</v>
      </c>
    </row>
    <row r="169" spans="1:5" x14ac:dyDescent="0.25">
      <c r="A169" s="10" t="s">
        <v>434</v>
      </c>
      <c r="B169" s="10" t="s">
        <v>434</v>
      </c>
      <c r="C169" s="9" t="s">
        <v>435</v>
      </c>
      <c r="D169" s="9" t="s">
        <v>3028</v>
      </c>
      <c r="E169" t="s">
        <v>3028</v>
      </c>
    </row>
    <row r="170" spans="1:5" x14ac:dyDescent="0.25">
      <c r="A170" s="10" t="s">
        <v>436</v>
      </c>
      <c r="B170" s="10" t="s">
        <v>436</v>
      </c>
      <c r="C170" s="9" t="s">
        <v>437</v>
      </c>
      <c r="D170" s="9" t="s">
        <v>3028</v>
      </c>
      <c r="E170" t="s">
        <v>3028</v>
      </c>
    </row>
    <row r="171" spans="1:5" x14ac:dyDescent="0.25">
      <c r="A171" s="10" t="s">
        <v>438</v>
      </c>
      <c r="B171" s="10" t="s">
        <v>438</v>
      </c>
      <c r="C171" s="9" t="s">
        <v>439</v>
      </c>
      <c r="D171" s="9" t="s">
        <v>3028</v>
      </c>
      <c r="E171" t="s">
        <v>3028</v>
      </c>
    </row>
    <row r="172" spans="1:5" x14ac:dyDescent="0.25">
      <c r="A172" s="10" t="s">
        <v>440</v>
      </c>
      <c r="B172" s="10" t="s">
        <v>440</v>
      </c>
      <c r="C172" s="9" t="s">
        <v>441</v>
      </c>
      <c r="D172" s="9" t="s">
        <v>3028</v>
      </c>
      <c r="E172" t="s">
        <v>3028</v>
      </c>
    </row>
    <row r="173" spans="1:5" x14ac:dyDescent="0.25">
      <c r="A173" s="10" t="s">
        <v>442</v>
      </c>
      <c r="B173" s="10" t="s">
        <v>442</v>
      </c>
      <c r="C173" s="9" t="s">
        <v>443</v>
      </c>
      <c r="D173" s="9" t="s">
        <v>3028</v>
      </c>
      <c r="E173" t="s">
        <v>3028</v>
      </c>
    </row>
    <row r="174" spans="1:5" x14ac:dyDescent="0.25">
      <c r="A174" s="10" t="s">
        <v>444</v>
      </c>
      <c r="B174" s="10" t="s">
        <v>444</v>
      </c>
      <c r="C174" s="9" t="s">
        <v>445</v>
      </c>
      <c r="D174" s="9" t="s">
        <v>3028</v>
      </c>
      <c r="E174" t="s">
        <v>3028</v>
      </c>
    </row>
    <row r="175" spans="1:5" x14ac:dyDescent="0.25">
      <c r="A175" s="10" t="s">
        <v>450</v>
      </c>
      <c r="B175" s="10" t="s">
        <v>450</v>
      </c>
      <c r="C175" s="9" t="s">
        <v>451</v>
      </c>
      <c r="D175" s="9" t="s">
        <v>3028</v>
      </c>
      <c r="E175" t="s">
        <v>3028</v>
      </c>
    </row>
    <row r="176" spans="1:5" x14ac:dyDescent="0.25">
      <c r="A176" s="10" t="s">
        <v>452</v>
      </c>
      <c r="B176" s="10" t="s">
        <v>452</v>
      </c>
      <c r="C176" s="9" t="s">
        <v>453</v>
      </c>
      <c r="D176" s="9" t="s">
        <v>3028</v>
      </c>
      <c r="E176" t="s">
        <v>3028</v>
      </c>
    </row>
    <row r="177" spans="1:5" x14ac:dyDescent="0.25">
      <c r="A177" s="10" t="s">
        <v>454</v>
      </c>
      <c r="B177" s="10" t="s">
        <v>454</v>
      </c>
      <c r="C177" s="9" t="s">
        <v>455</v>
      </c>
      <c r="D177" s="9" t="s">
        <v>3028</v>
      </c>
      <c r="E177" t="s">
        <v>3028</v>
      </c>
    </row>
    <row r="178" spans="1:5" x14ac:dyDescent="0.25">
      <c r="A178" s="10" t="s">
        <v>456</v>
      </c>
      <c r="B178" s="10" t="s">
        <v>456</v>
      </c>
      <c r="C178" s="9" t="s">
        <v>457</v>
      </c>
      <c r="D178" s="9" t="s">
        <v>3028</v>
      </c>
      <c r="E178" t="s">
        <v>3028</v>
      </c>
    </row>
    <row r="179" spans="1:5" x14ac:dyDescent="0.25">
      <c r="A179" s="10" t="s">
        <v>458</v>
      </c>
      <c r="B179" s="10" t="s">
        <v>458</v>
      </c>
      <c r="C179" s="9" t="s">
        <v>459</v>
      </c>
      <c r="D179" s="9" t="s">
        <v>3028</v>
      </c>
      <c r="E179" t="s">
        <v>3028</v>
      </c>
    </row>
    <row r="180" spans="1:5" x14ac:dyDescent="0.25">
      <c r="A180" s="10" t="s">
        <v>460</v>
      </c>
      <c r="B180" s="10" t="s">
        <v>460</v>
      </c>
      <c r="C180" s="9" t="s">
        <v>461</v>
      </c>
      <c r="D180" s="9" t="s">
        <v>3028</v>
      </c>
      <c r="E180" t="s">
        <v>3028</v>
      </c>
    </row>
    <row r="181" spans="1:5" x14ac:dyDescent="0.25">
      <c r="A181" s="10" t="s">
        <v>462</v>
      </c>
      <c r="B181" s="10" t="s">
        <v>462</v>
      </c>
      <c r="C181" s="9" t="s">
        <v>463</v>
      </c>
      <c r="D181" s="9" t="s">
        <v>3028</v>
      </c>
      <c r="E181" t="s">
        <v>3028</v>
      </c>
    </row>
    <row r="182" spans="1:5" x14ac:dyDescent="0.25">
      <c r="A182" s="10" t="s">
        <v>464</v>
      </c>
      <c r="B182" s="10" t="s">
        <v>464</v>
      </c>
      <c r="C182" s="9" t="s">
        <v>465</v>
      </c>
      <c r="D182" s="9" t="s">
        <v>3028</v>
      </c>
      <c r="E182" t="s">
        <v>3028</v>
      </c>
    </row>
    <row r="183" spans="1:5" x14ac:dyDescent="0.25">
      <c r="A183" s="10" t="s">
        <v>466</v>
      </c>
      <c r="B183" s="10" t="s">
        <v>466</v>
      </c>
      <c r="C183" s="9" t="s">
        <v>467</v>
      </c>
      <c r="D183" s="9" t="s">
        <v>3028</v>
      </c>
      <c r="E183" t="s">
        <v>3028</v>
      </c>
    </row>
    <row r="184" spans="1:5" x14ac:dyDescent="0.25">
      <c r="A184" s="10" t="s">
        <v>468</v>
      </c>
      <c r="B184" s="10" t="s">
        <v>468</v>
      </c>
      <c r="C184" s="9" t="s">
        <v>469</v>
      </c>
      <c r="D184" s="9" t="s">
        <v>3028</v>
      </c>
      <c r="E184" t="s">
        <v>3028</v>
      </c>
    </row>
    <row r="185" spans="1:5" x14ac:dyDescent="0.25">
      <c r="A185" s="10" t="s">
        <v>470</v>
      </c>
      <c r="B185" s="10" t="s">
        <v>470</v>
      </c>
      <c r="C185" s="9" t="s">
        <v>471</v>
      </c>
      <c r="D185" s="9" t="s">
        <v>3028</v>
      </c>
      <c r="E185" t="s">
        <v>3028</v>
      </c>
    </row>
    <row r="186" spans="1:5" x14ac:dyDescent="0.25">
      <c r="A186" s="10" t="s">
        <v>472</v>
      </c>
      <c r="B186" s="10" t="s">
        <v>472</v>
      </c>
      <c r="C186" s="9" t="s">
        <v>473</v>
      </c>
      <c r="D186" s="9" t="s">
        <v>3028</v>
      </c>
      <c r="E186" t="s">
        <v>3028</v>
      </c>
    </row>
    <row r="187" spans="1:5" x14ac:dyDescent="0.25">
      <c r="A187" s="10" t="s">
        <v>474</v>
      </c>
      <c r="B187" s="10" t="s">
        <v>474</v>
      </c>
      <c r="C187" s="9" t="s">
        <v>475</v>
      </c>
      <c r="D187" s="9" t="s">
        <v>3028</v>
      </c>
      <c r="E187" t="s">
        <v>3028</v>
      </c>
    </row>
    <row r="188" spans="1:5" x14ac:dyDescent="0.25">
      <c r="A188" s="10" t="s">
        <v>476</v>
      </c>
      <c r="B188" s="10" t="s">
        <v>476</v>
      </c>
      <c r="C188" s="9" t="s">
        <v>477</v>
      </c>
      <c r="D188" s="9" t="s">
        <v>3028</v>
      </c>
      <c r="E188" t="s">
        <v>3028</v>
      </c>
    </row>
    <row r="189" spans="1:5" x14ac:dyDescent="0.25">
      <c r="A189" s="10" t="s">
        <v>478</v>
      </c>
      <c r="B189" s="10" t="s">
        <v>478</v>
      </c>
      <c r="C189" s="9" t="s">
        <v>479</v>
      </c>
      <c r="D189" s="9" t="s">
        <v>3028</v>
      </c>
      <c r="E189" t="s">
        <v>3028</v>
      </c>
    </row>
    <row r="190" spans="1:5" x14ac:dyDescent="0.25">
      <c r="A190" s="10" t="s">
        <v>480</v>
      </c>
      <c r="B190" s="10" t="s">
        <v>480</v>
      </c>
      <c r="C190" s="9" t="s">
        <v>481</v>
      </c>
      <c r="D190" s="9" t="s">
        <v>3028</v>
      </c>
      <c r="E190" t="s">
        <v>3028</v>
      </c>
    </row>
    <row r="191" spans="1:5" x14ac:dyDescent="0.25">
      <c r="A191" s="10" t="s">
        <v>482</v>
      </c>
      <c r="B191" s="10" t="s">
        <v>482</v>
      </c>
      <c r="C191" s="9" t="s">
        <v>483</v>
      </c>
      <c r="D191" s="9" t="s">
        <v>3028</v>
      </c>
      <c r="E191" t="s">
        <v>3028</v>
      </c>
    </row>
    <row r="192" spans="1:5" x14ac:dyDescent="0.25">
      <c r="A192" s="10" t="s">
        <v>484</v>
      </c>
      <c r="B192" s="10" t="s">
        <v>484</v>
      </c>
      <c r="C192" s="9" t="s">
        <v>485</v>
      </c>
      <c r="D192" s="9" t="s">
        <v>3028</v>
      </c>
      <c r="E192" t="s">
        <v>3028</v>
      </c>
    </row>
    <row r="193" spans="1:5" x14ac:dyDescent="0.25">
      <c r="A193" s="10" t="s">
        <v>486</v>
      </c>
      <c r="B193" s="10" t="s">
        <v>486</v>
      </c>
      <c r="C193" s="9" t="s">
        <v>487</v>
      </c>
      <c r="D193" s="9" t="s">
        <v>3028</v>
      </c>
      <c r="E193" t="s">
        <v>3028</v>
      </c>
    </row>
    <row r="194" spans="1:5" x14ac:dyDescent="0.25">
      <c r="A194" s="10" t="s">
        <v>488</v>
      </c>
      <c r="B194" s="10" t="s">
        <v>488</v>
      </c>
      <c r="C194" s="9" t="s">
        <v>489</v>
      </c>
      <c r="D194" s="9" t="s">
        <v>3028</v>
      </c>
      <c r="E194" t="s">
        <v>3028</v>
      </c>
    </row>
    <row r="195" spans="1:5" x14ac:dyDescent="0.25">
      <c r="A195" s="10" t="s">
        <v>490</v>
      </c>
      <c r="B195" s="10" t="s">
        <v>490</v>
      </c>
      <c r="C195" s="9" t="s">
        <v>491</v>
      </c>
      <c r="D195" s="9" t="s">
        <v>3028</v>
      </c>
      <c r="E195" t="s">
        <v>3028</v>
      </c>
    </row>
    <row r="196" spans="1:5" x14ac:dyDescent="0.25">
      <c r="A196" s="10" t="s">
        <v>492</v>
      </c>
      <c r="B196" s="10" t="s">
        <v>492</v>
      </c>
      <c r="C196" s="9" t="s">
        <v>493</v>
      </c>
      <c r="D196" s="9" t="s">
        <v>3028</v>
      </c>
      <c r="E196" t="s">
        <v>3028</v>
      </c>
    </row>
    <row r="197" spans="1:5" x14ac:dyDescent="0.25">
      <c r="A197" s="10" t="s">
        <v>494</v>
      </c>
      <c r="B197" s="10" t="s">
        <v>494</v>
      </c>
      <c r="C197" s="9" t="s">
        <v>495</v>
      </c>
      <c r="D197" s="9" t="s">
        <v>3028</v>
      </c>
      <c r="E197" t="s">
        <v>3028</v>
      </c>
    </row>
    <row r="198" spans="1:5" x14ac:dyDescent="0.25">
      <c r="A198" s="10" t="s">
        <v>496</v>
      </c>
      <c r="B198" s="10" t="s">
        <v>496</v>
      </c>
      <c r="C198" s="9" t="s">
        <v>497</v>
      </c>
      <c r="D198" s="9" t="s">
        <v>3028</v>
      </c>
      <c r="E198" t="s">
        <v>3028</v>
      </c>
    </row>
    <row r="199" spans="1:5" x14ac:dyDescent="0.25">
      <c r="A199" s="10" t="s">
        <v>500</v>
      </c>
      <c r="B199" s="10" t="s">
        <v>500</v>
      </c>
      <c r="C199" s="9" t="s">
        <v>501</v>
      </c>
      <c r="D199" s="9" t="s">
        <v>3028</v>
      </c>
      <c r="E199" t="s">
        <v>3028</v>
      </c>
    </row>
    <row r="200" spans="1:5" x14ac:dyDescent="0.25">
      <c r="A200" s="10" t="s">
        <v>502</v>
      </c>
      <c r="B200" s="10" t="s">
        <v>502</v>
      </c>
      <c r="C200" s="9" t="s">
        <v>503</v>
      </c>
      <c r="D200" s="9" t="s">
        <v>3028</v>
      </c>
      <c r="E200" t="s">
        <v>3028</v>
      </c>
    </row>
    <row r="201" spans="1:5" x14ac:dyDescent="0.25">
      <c r="A201" s="10" t="s">
        <v>504</v>
      </c>
      <c r="B201" s="10" t="s">
        <v>504</v>
      </c>
      <c r="C201" s="9" t="s">
        <v>505</v>
      </c>
      <c r="D201" s="9" t="s">
        <v>3028</v>
      </c>
      <c r="E201" t="s">
        <v>3028</v>
      </c>
    </row>
    <row r="202" spans="1:5" x14ac:dyDescent="0.25">
      <c r="A202" s="10" t="s">
        <v>506</v>
      </c>
      <c r="B202" s="10" t="s">
        <v>506</v>
      </c>
      <c r="C202" s="9" t="s">
        <v>507</v>
      </c>
      <c r="D202" s="9" t="s">
        <v>3028</v>
      </c>
      <c r="E202" t="s">
        <v>3028</v>
      </c>
    </row>
    <row r="203" spans="1:5" x14ac:dyDescent="0.25">
      <c r="A203" s="10" t="s">
        <v>508</v>
      </c>
      <c r="B203" s="10" t="s">
        <v>508</v>
      </c>
      <c r="C203" s="9" t="s">
        <v>509</v>
      </c>
      <c r="D203" s="9" t="s">
        <v>3028</v>
      </c>
      <c r="E203" t="s">
        <v>3028</v>
      </c>
    </row>
    <row r="204" spans="1:5" x14ac:dyDescent="0.25">
      <c r="A204" s="10" t="s">
        <v>510</v>
      </c>
      <c r="B204" s="10" t="s">
        <v>510</v>
      </c>
      <c r="C204" s="9" t="s">
        <v>511</v>
      </c>
      <c r="D204" s="9" t="s">
        <v>3028</v>
      </c>
      <c r="E204" t="s">
        <v>3028</v>
      </c>
    </row>
    <row r="205" spans="1:5" x14ac:dyDescent="0.25">
      <c r="A205" s="10" t="s">
        <v>85</v>
      </c>
      <c r="B205" s="10" t="s">
        <v>85</v>
      </c>
      <c r="C205" s="9" t="s">
        <v>86</v>
      </c>
      <c r="D205" s="9" t="s">
        <v>3028</v>
      </c>
      <c r="E205" t="s">
        <v>3028</v>
      </c>
    </row>
    <row r="206" spans="1:5" x14ac:dyDescent="0.25">
      <c r="A206" s="10" t="s">
        <v>512</v>
      </c>
      <c r="B206" s="10" t="s">
        <v>512</v>
      </c>
      <c r="C206" s="9" t="s">
        <v>513</v>
      </c>
      <c r="D206" s="9" t="s">
        <v>3028</v>
      </c>
      <c r="E206" t="s">
        <v>3028</v>
      </c>
    </row>
    <row r="207" spans="1:5" x14ac:dyDescent="0.25">
      <c r="A207" s="10" t="s">
        <v>514</v>
      </c>
      <c r="B207" s="10" t="s">
        <v>514</v>
      </c>
      <c r="C207" s="9" t="s">
        <v>515</v>
      </c>
      <c r="D207" s="9" t="s">
        <v>3028</v>
      </c>
      <c r="E207" t="s">
        <v>3028</v>
      </c>
    </row>
    <row r="208" spans="1:5" x14ac:dyDescent="0.25">
      <c r="A208" s="10" t="s">
        <v>516</v>
      </c>
      <c r="B208" s="10" t="s">
        <v>516</v>
      </c>
      <c r="C208" s="9" t="s">
        <v>517</v>
      </c>
      <c r="D208" s="9" t="s">
        <v>3028</v>
      </c>
      <c r="E208" t="s">
        <v>3028</v>
      </c>
    </row>
    <row r="209" spans="1:5" x14ac:dyDescent="0.25">
      <c r="A209" s="10" t="s">
        <v>518</v>
      </c>
      <c r="B209" s="10" t="s">
        <v>518</v>
      </c>
      <c r="C209" s="9" t="s">
        <v>519</v>
      </c>
      <c r="D209" s="9" t="s">
        <v>3028</v>
      </c>
      <c r="E209" t="s">
        <v>3028</v>
      </c>
    </row>
    <row r="210" spans="1:5" x14ac:dyDescent="0.25">
      <c r="A210" s="10" t="s">
        <v>520</v>
      </c>
      <c r="B210" s="10" t="s">
        <v>520</v>
      </c>
      <c r="C210" s="9" t="s">
        <v>521</v>
      </c>
      <c r="D210" s="9" t="s">
        <v>3028</v>
      </c>
      <c r="E210" t="s">
        <v>3028</v>
      </c>
    </row>
    <row r="211" spans="1:5" x14ac:dyDescent="0.25">
      <c r="A211" s="10" t="s">
        <v>522</v>
      </c>
      <c r="B211" s="10" t="s">
        <v>522</v>
      </c>
      <c r="C211" s="9" t="s">
        <v>523</v>
      </c>
      <c r="D211" s="9" t="s">
        <v>3028</v>
      </c>
      <c r="E211" t="s">
        <v>3028</v>
      </c>
    </row>
    <row r="212" spans="1:5" x14ac:dyDescent="0.25">
      <c r="A212" s="10" t="s">
        <v>524</v>
      </c>
      <c r="B212" s="10" t="s">
        <v>524</v>
      </c>
      <c r="C212" s="9" t="s">
        <v>525</v>
      </c>
      <c r="D212" s="9" t="s">
        <v>3028</v>
      </c>
      <c r="E212" t="s">
        <v>3028</v>
      </c>
    </row>
    <row r="213" spans="1:5" x14ac:dyDescent="0.25">
      <c r="A213" s="10" t="s">
        <v>526</v>
      </c>
      <c r="B213" s="10" t="s">
        <v>526</v>
      </c>
      <c r="C213" s="9" t="s">
        <v>527</v>
      </c>
      <c r="D213" s="9" t="s">
        <v>3028</v>
      </c>
      <c r="E213" t="s">
        <v>3028</v>
      </c>
    </row>
    <row r="214" spans="1:5" x14ac:dyDescent="0.25">
      <c r="A214" s="10" t="s">
        <v>528</v>
      </c>
      <c r="B214" s="10" t="s">
        <v>528</v>
      </c>
      <c r="C214" s="9" t="s">
        <v>529</v>
      </c>
      <c r="D214" s="9" t="s">
        <v>3028</v>
      </c>
      <c r="E214" t="s">
        <v>3028</v>
      </c>
    </row>
    <row r="215" spans="1:5" x14ac:dyDescent="0.25">
      <c r="A215" s="10" t="s">
        <v>530</v>
      </c>
      <c r="B215" s="10" t="s">
        <v>530</v>
      </c>
      <c r="C215" s="9" t="s">
        <v>531</v>
      </c>
      <c r="D215" s="9" t="s">
        <v>3028</v>
      </c>
      <c r="E215" t="s">
        <v>3028</v>
      </c>
    </row>
    <row r="216" spans="1:5" x14ac:dyDescent="0.25">
      <c r="A216" s="10" t="s">
        <v>532</v>
      </c>
      <c r="B216" s="10" t="s">
        <v>532</v>
      </c>
      <c r="C216" s="9" t="s">
        <v>533</v>
      </c>
      <c r="D216" s="9" t="s">
        <v>3028</v>
      </c>
      <c r="E216" t="s">
        <v>3028</v>
      </c>
    </row>
    <row r="217" spans="1:5" x14ac:dyDescent="0.25">
      <c r="A217" s="10" t="s">
        <v>534</v>
      </c>
      <c r="B217" s="10" t="s">
        <v>534</v>
      </c>
      <c r="C217" s="9" t="s">
        <v>535</v>
      </c>
      <c r="D217" s="9" t="s">
        <v>3028</v>
      </c>
      <c r="E217" t="s">
        <v>3028</v>
      </c>
    </row>
    <row r="218" spans="1:5" x14ac:dyDescent="0.25">
      <c r="A218" s="10" t="s">
        <v>536</v>
      </c>
      <c r="B218" s="10" t="s">
        <v>536</v>
      </c>
      <c r="C218" s="9" t="s">
        <v>537</v>
      </c>
      <c r="D218" s="9" t="s">
        <v>3028</v>
      </c>
      <c r="E218" t="s">
        <v>3028</v>
      </c>
    </row>
    <row r="219" spans="1:5" x14ac:dyDescent="0.25">
      <c r="A219" s="10" t="s">
        <v>538</v>
      </c>
      <c r="B219" s="10" t="s">
        <v>538</v>
      </c>
      <c r="C219" s="9" t="s">
        <v>539</v>
      </c>
      <c r="D219" s="9" t="s">
        <v>3028</v>
      </c>
      <c r="E219" t="s">
        <v>3028</v>
      </c>
    </row>
    <row r="220" spans="1:5" x14ac:dyDescent="0.25">
      <c r="A220" s="10" t="s">
        <v>540</v>
      </c>
      <c r="B220" s="10" t="s">
        <v>540</v>
      </c>
      <c r="C220" s="9" t="s">
        <v>541</v>
      </c>
      <c r="D220" s="9" t="s">
        <v>3028</v>
      </c>
      <c r="E220" t="s">
        <v>3028</v>
      </c>
    </row>
    <row r="221" spans="1:5" x14ac:dyDescent="0.25">
      <c r="A221" s="10" t="s">
        <v>542</v>
      </c>
      <c r="B221" s="10" t="s">
        <v>542</v>
      </c>
      <c r="C221" s="9" t="s">
        <v>543</v>
      </c>
      <c r="D221" s="9" t="s">
        <v>3028</v>
      </c>
      <c r="E221" t="s">
        <v>3028</v>
      </c>
    </row>
    <row r="222" spans="1:5" x14ac:dyDescent="0.25">
      <c r="A222" s="10" t="s">
        <v>544</v>
      </c>
      <c r="B222" s="10" t="s">
        <v>544</v>
      </c>
      <c r="C222" s="9" t="s">
        <v>545</v>
      </c>
      <c r="D222" s="9" t="s">
        <v>3028</v>
      </c>
      <c r="E222" t="s">
        <v>3028</v>
      </c>
    </row>
    <row r="223" spans="1:5" x14ac:dyDescent="0.25">
      <c r="A223" s="10" t="s">
        <v>546</v>
      </c>
      <c r="B223" s="10" t="s">
        <v>546</v>
      </c>
      <c r="C223" s="9" t="s">
        <v>547</v>
      </c>
      <c r="D223" s="9" t="s">
        <v>3028</v>
      </c>
      <c r="E223" t="s">
        <v>3028</v>
      </c>
    </row>
    <row r="224" spans="1:5" x14ac:dyDescent="0.25">
      <c r="A224" s="10" t="s">
        <v>548</v>
      </c>
      <c r="B224" s="10" t="s">
        <v>548</v>
      </c>
      <c r="C224" s="9" t="s">
        <v>549</v>
      </c>
      <c r="D224" s="9" t="s">
        <v>3028</v>
      </c>
      <c r="E224" t="s">
        <v>3028</v>
      </c>
    </row>
    <row r="225" spans="1:5" x14ac:dyDescent="0.25">
      <c r="A225" s="10" t="s">
        <v>550</v>
      </c>
      <c r="B225" s="10" t="s">
        <v>550</v>
      </c>
      <c r="C225" s="9" t="s">
        <v>551</v>
      </c>
      <c r="D225" s="9" t="s">
        <v>3028</v>
      </c>
      <c r="E225" t="s">
        <v>3028</v>
      </c>
    </row>
    <row r="226" spans="1:5" x14ac:dyDescent="0.25">
      <c r="A226" s="10" t="s">
        <v>552</v>
      </c>
      <c r="B226" s="10" t="s">
        <v>552</v>
      </c>
      <c r="C226" s="9" t="s">
        <v>553</v>
      </c>
      <c r="D226" s="9" t="s">
        <v>3028</v>
      </c>
      <c r="E226" t="s">
        <v>3028</v>
      </c>
    </row>
    <row r="227" spans="1:5" x14ac:dyDescent="0.25">
      <c r="A227" s="10" t="s">
        <v>554</v>
      </c>
      <c r="B227" s="10" t="s">
        <v>554</v>
      </c>
      <c r="C227" s="9" t="s">
        <v>555</v>
      </c>
      <c r="D227" s="9" t="s">
        <v>3028</v>
      </c>
      <c r="E227" t="s">
        <v>3028</v>
      </c>
    </row>
    <row r="228" spans="1:5" x14ac:dyDescent="0.25">
      <c r="A228" s="10" t="s">
        <v>556</v>
      </c>
      <c r="B228" s="10" t="s">
        <v>556</v>
      </c>
      <c r="C228" s="9" t="s">
        <v>557</v>
      </c>
      <c r="D228" s="9" t="s">
        <v>3028</v>
      </c>
      <c r="E228" t="s">
        <v>3028</v>
      </c>
    </row>
    <row r="229" spans="1:5" x14ac:dyDescent="0.25">
      <c r="A229" s="10" t="s">
        <v>558</v>
      </c>
      <c r="B229" s="10" t="s">
        <v>558</v>
      </c>
      <c r="C229" s="9" t="s">
        <v>559</v>
      </c>
      <c r="D229" s="9" t="s">
        <v>3028</v>
      </c>
      <c r="E229" t="s">
        <v>3028</v>
      </c>
    </row>
    <row r="230" spans="1:5" x14ac:dyDescent="0.25">
      <c r="A230" s="10" t="s">
        <v>560</v>
      </c>
      <c r="B230" s="10" t="s">
        <v>560</v>
      </c>
      <c r="C230" s="9" t="s">
        <v>561</v>
      </c>
      <c r="D230" s="9" t="s">
        <v>3028</v>
      </c>
      <c r="E230" t="s">
        <v>3028</v>
      </c>
    </row>
    <row r="231" spans="1:5" x14ac:dyDescent="0.25">
      <c r="A231" s="10" t="s">
        <v>562</v>
      </c>
      <c r="B231" s="10" t="s">
        <v>562</v>
      </c>
      <c r="C231" s="9" t="s">
        <v>563</v>
      </c>
      <c r="D231" s="9" t="s">
        <v>3028</v>
      </c>
      <c r="E231" t="s">
        <v>3028</v>
      </c>
    </row>
    <row r="232" spans="1:5" x14ac:dyDescent="0.25">
      <c r="A232" s="10" t="s">
        <v>564</v>
      </c>
      <c r="B232" s="10" t="s">
        <v>564</v>
      </c>
      <c r="C232" s="9" t="s">
        <v>565</v>
      </c>
      <c r="D232" s="9" t="s">
        <v>3028</v>
      </c>
      <c r="E232" t="s">
        <v>3028</v>
      </c>
    </row>
    <row r="233" spans="1:5" x14ac:dyDescent="0.25">
      <c r="A233" s="10" t="s">
        <v>566</v>
      </c>
      <c r="B233" s="10" t="s">
        <v>566</v>
      </c>
      <c r="C233" s="9" t="s">
        <v>567</v>
      </c>
      <c r="D233" s="9" t="s">
        <v>3028</v>
      </c>
      <c r="E233" t="s">
        <v>3028</v>
      </c>
    </row>
    <row r="234" spans="1:5" x14ac:dyDescent="0.25">
      <c r="A234" s="10" t="s">
        <v>568</v>
      </c>
      <c r="B234" s="10" t="s">
        <v>568</v>
      </c>
      <c r="C234" s="9" t="s">
        <v>569</v>
      </c>
      <c r="D234" s="9" t="s">
        <v>3028</v>
      </c>
      <c r="E234" t="s">
        <v>3028</v>
      </c>
    </row>
    <row r="235" spans="1:5" x14ac:dyDescent="0.25">
      <c r="A235" s="10" t="s">
        <v>570</v>
      </c>
      <c r="B235" s="10" t="s">
        <v>570</v>
      </c>
      <c r="C235" s="9" t="s">
        <v>571</v>
      </c>
      <c r="D235" s="9" t="s">
        <v>3028</v>
      </c>
      <c r="E235" t="s">
        <v>3028</v>
      </c>
    </row>
    <row r="236" spans="1:5" x14ac:dyDescent="0.25">
      <c r="A236" s="10" t="s">
        <v>572</v>
      </c>
      <c r="B236" s="10" t="s">
        <v>572</v>
      </c>
      <c r="C236" s="9" t="s">
        <v>573</v>
      </c>
      <c r="D236" s="9" t="s">
        <v>3028</v>
      </c>
      <c r="E236" t="s">
        <v>3028</v>
      </c>
    </row>
    <row r="237" spans="1:5" x14ac:dyDescent="0.25">
      <c r="A237" s="10" t="s">
        <v>574</v>
      </c>
      <c r="B237" s="10" t="s">
        <v>574</v>
      </c>
      <c r="C237" s="9" t="s">
        <v>575</v>
      </c>
      <c r="D237" s="9" t="s">
        <v>3028</v>
      </c>
      <c r="E237" t="s">
        <v>3028</v>
      </c>
    </row>
    <row r="238" spans="1:5" x14ac:dyDescent="0.25">
      <c r="A238" s="10" t="s">
        <v>576</v>
      </c>
      <c r="B238" s="10" t="s">
        <v>576</v>
      </c>
      <c r="C238" s="9" t="s">
        <v>577</v>
      </c>
      <c r="D238" s="9" t="s">
        <v>3028</v>
      </c>
      <c r="E238" t="s">
        <v>3028</v>
      </c>
    </row>
    <row r="239" spans="1:5" x14ac:dyDescent="0.25">
      <c r="A239" s="10" t="s">
        <v>578</v>
      </c>
      <c r="B239" s="10" t="s">
        <v>578</v>
      </c>
      <c r="C239" s="9" t="s">
        <v>579</v>
      </c>
      <c r="D239" s="9" t="s">
        <v>3028</v>
      </c>
      <c r="E239" t="s">
        <v>3028</v>
      </c>
    </row>
    <row r="240" spans="1:5" x14ac:dyDescent="0.25">
      <c r="A240" s="10" t="s">
        <v>580</v>
      </c>
      <c r="B240" s="10" t="s">
        <v>580</v>
      </c>
      <c r="C240" s="9" t="s">
        <v>581</v>
      </c>
      <c r="D240" s="9" t="s">
        <v>3028</v>
      </c>
      <c r="E240" t="s">
        <v>3028</v>
      </c>
    </row>
    <row r="241" spans="1:5" x14ac:dyDescent="0.25">
      <c r="A241" s="10" t="s">
        <v>582</v>
      </c>
      <c r="B241" s="10" t="s">
        <v>582</v>
      </c>
      <c r="C241" s="9" t="s">
        <v>583</v>
      </c>
      <c r="D241" s="9" t="s">
        <v>3028</v>
      </c>
      <c r="E241" t="s">
        <v>3028</v>
      </c>
    </row>
    <row r="242" spans="1:5" x14ac:dyDescent="0.25">
      <c r="A242" s="10" t="s">
        <v>584</v>
      </c>
      <c r="B242" s="10" t="s">
        <v>584</v>
      </c>
      <c r="C242" s="9" t="s">
        <v>585</v>
      </c>
      <c r="D242" s="9" t="s">
        <v>3028</v>
      </c>
      <c r="E242" t="s">
        <v>3028</v>
      </c>
    </row>
    <row r="243" spans="1:5" x14ac:dyDescent="0.25">
      <c r="A243" s="10" t="s">
        <v>586</v>
      </c>
      <c r="B243" s="10" t="s">
        <v>586</v>
      </c>
      <c r="C243" s="9" t="s">
        <v>587</v>
      </c>
      <c r="D243" s="9" t="s">
        <v>3028</v>
      </c>
      <c r="E243" t="s">
        <v>3028</v>
      </c>
    </row>
    <row r="244" spans="1:5" x14ac:dyDescent="0.25">
      <c r="A244" s="10" t="s">
        <v>588</v>
      </c>
      <c r="B244" s="10" t="s">
        <v>588</v>
      </c>
      <c r="C244" s="9" t="s">
        <v>589</v>
      </c>
      <c r="D244" s="9" t="s">
        <v>3028</v>
      </c>
      <c r="E244" t="s">
        <v>3028</v>
      </c>
    </row>
    <row r="245" spans="1:5" x14ac:dyDescent="0.25">
      <c r="A245" s="10" t="s">
        <v>590</v>
      </c>
      <c r="B245" s="10" t="s">
        <v>590</v>
      </c>
      <c r="C245" s="9" t="s">
        <v>591</v>
      </c>
      <c r="D245" s="9" t="s">
        <v>3028</v>
      </c>
      <c r="E245" t="s">
        <v>3028</v>
      </c>
    </row>
    <row r="246" spans="1:5" x14ac:dyDescent="0.25">
      <c r="A246" s="10" t="s">
        <v>592</v>
      </c>
      <c r="B246" s="10" t="s">
        <v>592</v>
      </c>
      <c r="C246" s="9" t="s">
        <v>593</v>
      </c>
      <c r="D246" s="9" t="s">
        <v>3028</v>
      </c>
      <c r="E246" t="s">
        <v>3028</v>
      </c>
    </row>
    <row r="247" spans="1:5" x14ac:dyDescent="0.25">
      <c r="A247" s="10" t="s">
        <v>594</v>
      </c>
      <c r="B247" s="10" t="s">
        <v>594</v>
      </c>
      <c r="C247" s="9" t="s">
        <v>595</v>
      </c>
      <c r="D247" s="9" t="s">
        <v>3028</v>
      </c>
      <c r="E247" t="s">
        <v>3028</v>
      </c>
    </row>
    <row r="248" spans="1:5" x14ac:dyDescent="0.25">
      <c r="A248" s="10" t="s">
        <v>596</v>
      </c>
      <c r="B248" s="10" t="s">
        <v>596</v>
      </c>
      <c r="C248" s="9" t="s">
        <v>597</v>
      </c>
      <c r="D248" s="9" t="s">
        <v>3028</v>
      </c>
      <c r="E248" t="s">
        <v>3028</v>
      </c>
    </row>
    <row r="249" spans="1:5" x14ac:dyDescent="0.25">
      <c r="A249" s="10" t="s">
        <v>598</v>
      </c>
      <c r="B249" s="10" t="s">
        <v>598</v>
      </c>
      <c r="C249" s="9" t="s">
        <v>599</v>
      </c>
      <c r="D249" s="9" t="s">
        <v>3028</v>
      </c>
      <c r="E249" t="s">
        <v>3028</v>
      </c>
    </row>
    <row r="250" spans="1:5" x14ac:dyDescent="0.25">
      <c r="A250" s="10" t="s">
        <v>600</v>
      </c>
      <c r="B250" s="10" t="s">
        <v>600</v>
      </c>
      <c r="C250" s="9" t="s">
        <v>601</v>
      </c>
      <c r="D250" s="9" t="s">
        <v>3028</v>
      </c>
      <c r="E250" t="s">
        <v>3028</v>
      </c>
    </row>
    <row r="251" spans="1:5" x14ac:dyDescent="0.25">
      <c r="A251" s="10" t="s">
        <v>602</v>
      </c>
      <c r="B251" s="10" t="s">
        <v>602</v>
      </c>
      <c r="C251" s="9" t="s">
        <v>603</v>
      </c>
      <c r="D251" s="9" t="s">
        <v>3028</v>
      </c>
      <c r="E251" t="s">
        <v>3028</v>
      </c>
    </row>
    <row r="252" spans="1:5" x14ac:dyDescent="0.25">
      <c r="A252" s="10" t="s">
        <v>604</v>
      </c>
      <c r="B252" s="10" t="s">
        <v>604</v>
      </c>
      <c r="C252" s="9" t="s">
        <v>605</v>
      </c>
      <c r="D252" s="9" t="s">
        <v>3028</v>
      </c>
      <c r="E252" t="s">
        <v>3028</v>
      </c>
    </row>
    <row r="253" spans="1:5" x14ac:dyDescent="0.25">
      <c r="A253" s="10" t="s">
        <v>606</v>
      </c>
      <c r="B253" s="10" t="s">
        <v>606</v>
      </c>
      <c r="C253" s="9" t="s">
        <v>607</v>
      </c>
      <c r="D253" s="9" t="s">
        <v>3028</v>
      </c>
      <c r="E253" t="s">
        <v>3028</v>
      </c>
    </row>
    <row r="254" spans="1:5" x14ac:dyDescent="0.25">
      <c r="A254" s="10" t="s">
        <v>608</v>
      </c>
      <c r="B254" s="10" t="s">
        <v>608</v>
      </c>
      <c r="C254" s="9" t="s">
        <v>609</v>
      </c>
      <c r="D254" s="9" t="s">
        <v>3028</v>
      </c>
      <c r="E254" t="s">
        <v>3028</v>
      </c>
    </row>
    <row r="255" spans="1:5" x14ac:dyDescent="0.25">
      <c r="A255" s="10" t="s">
        <v>610</v>
      </c>
      <c r="B255" s="10" t="s">
        <v>610</v>
      </c>
      <c r="C255" s="9" t="s">
        <v>611</v>
      </c>
      <c r="D255" s="9" t="s">
        <v>3028</v>
      </c>
      <c r="E255" t="s">
        <v>3028</v>
      </c>
    </row>
    <row r="256" spans="1:5" x14ac:dyDescent="0.25">
      <c r="A256" s="10" t="s">
        <v>612</v>
      </c>
      <c r="B256" s="10" t="s">
        <v>612</v>
      </c>
      <c r="C256" s="9" t="s">
        <v>613</v>
      </c>
      <c r="D256" s="9" t="s">
        <v>3028</v>
      </c>
      <c r="E256" t="s">
        <v>3028</v>
      </c>
    </row>
    <row r="257" spans="1:5" x14ac:dyDescent="0.25">
      <c r="A257" s="10" t="s">
        <v>614</v>
      </c>
      <c r="B257" s="10" t="s">
        <v>614</v>
      </c>
      <c r="C257" s="9" t="s">
        <v>615</v>
      </c>
      <c r="D257" s="9" t="s">
        <v>3028</v>
      </c>
      <c r="E257" t="s">
        <v>3028</v>
      </c>
    </row>
    <row r="258" spans="1:5" x14ac:dyDescent="0.25">
      <c r="A258" s="10" t="s">
        <v>616</v>
      </c>
      <c r="B258" s="10" t="s">
        <v>616</v>
      </c>
      <c r="C258" s="9" t="s">
        <v>617</v>
      </c>
      <c r="D258" s="9" t="s">
        <v>3028</v>
      </c>
      <c r="E258" t="s">
        <v>3028</v>
      </c>
    </row>
    <row r="259" spans="1:5" x14ac:dyDescent="0.25">
      <c r="A259" s="10" t="s">
        <v>618</v>
      </c>
      <c r="B259" s="10" t="s">
        <v>618</v>
      </c>
      <c r="C259" s="9" t="s">
        <v>619</v>
      </c>
      <c r="D259" s="9" t="s">
        <v>3028</v>
      </c>
      <c r="E259" t="s">
        <v>3028</v>
      </c>
    </row>
    <row r="260" spans="1:5" x14ac:dyDescent="0.25">
      <c r="A260" s="10" t="s">
        <v>620</v>
      </c>
      <c r="B260" s="10" t="s">
        <v>620</v>
      </c>
      <c r="C260" s="9" t="s">
        <v>621</v>
      </c>
      <c r="D260" s="9" t="s">
        <v>3028</v>
      </c>
      <c r="E260" t="s">
        <v>3028</v>
      </c>
    </row>
    <row r="261" spans="1:5" x14ac:dyDescent="0.25">
      <c r="A261" s="10" t="s">
        <v>622</v>
      </c>
      <c r="B261" s="10" t="s">
        <v>622</v>
      </c>
      <c r="C261" s="9" t="s">
        <v>623</v>
      </c>
      <c r="D261" s="9" t="s">
        <v>3028</v>
      </c>
      <c r="E261" t="s">
        <v>3028</v>
      </c>
    </row>
    <row r="262" spans="1:5" x14ac:dyDescent="0.25">
      <c r="A262" s="10" t="s">
        <v>624</v>
      </c>
      <c r="B262" s="10" t="s">
        <v>624</v>
      </c>
      <c r="C262" s="9" t="s">
        <v>625</v>
      </c>
      <c r="D262" s="9" t="s">
        <v>3028</v>
      </c>
      <c r="E262" t="s">
        <v>3028</v>
      </c>
    </row>
    <row r="263" spans="1:5" x14ac:dyDescent="0.25">
      <c r="A263" s="10" t="s">
        <v>626</v>
      </c>
      <c r="B263" s="10" t="s">
        <v>626</v>
      </c>
      <c r="C263" s="9" t="s">
        <v>627</v>
      </c>
      <c r="D263" s="9" t="s">
        <v>3028</v>
      </c>
      <c r="E263" t="s">
        <v>3028</v>
      </c>
    </row>
    <row r="264" spans="1:5" x14ac:dyDescent="0.25">
      <c r="A264" s="10" t="s">
        <v>628</v>
      </c>
      <c r="B264" s="10" t="s">
        <v>628</v>
      </c>
      <c r="C264" s="9" t="s">
        <v>629</v>
      </c>
      <c r="D264" s="9" t="s">
        <v>3028</v>
      </c>
      <c r="E264" t="s">
        <v>3028</v>
      </c>
    </row>
    <row r="265" spans="1:5" x14ac:dyDescent="0.25">
      <c r="A265" s="10" t="s">
        <v>630</v>
      </c>
      <c r="B265" s="10" t="s">
        <v>630</v>
      </c>
      <c r="C265" s="9" t="s">
        <v>631</v>
      </c>
      <c r="D265" s="9" t="s">
        <v>3028</v>
      </c>
      <c r="E265" t="s">
        <v>3028</v>
      </c>
    </row>
    <row r="266" spans="1:5" x14ac:dyDescent="0.25">
      <c r="A266" s="10" t="s">
        <v>632</v>
      </c>
      <c r="B266" s="10" t="s">
        <v>632</v>
      </c>
      <c r="C266" s="9" t="s">
        <v>633</v>
      </c>
      <c r="D266" s="9" t="s">
        <v>3028</v>
      </c>
      <c r="E266" t="s">
        <v>3028</v>
      </c>
    </row>
    <row r="267" spans="1:5" x14ac:dyDescent="0.25">
      <c r="A267" s="10" t="s">
        <v>634</v>
      </c>
      <c r="B267" s="10" t="s">
        <v>634</v>
      </c>
      <c r="C267" s="9" t="s">
        <v>635</v>
      </c>
      <c r="D267" s="9" t="s">
        <v>3028</v>
      </c>
      <c r="E267" t="s">
        <v>3028</v>
      </c>
    </row>
    <row r="268" spans="1:5" x14ac:dyDescent="0.25">
      <c r="A268" s="10" t="s">
        <v>636</v>
      </c>
      <c r="B268" s="10" t="s">
        <v>636</v>
      </c>
      <c r="C268" s="9" t="s">
        <v>637</v>
      </c>
      <c r="D268" s="9" t="s">
        <v>3028</v>
      </c>
      <c r="E268" t="s">
        <v>3028</v>
      </c>
    </row>
    <row r="269" spans="1:5" x14ac:dyDescent="0.25">
      <c r="A269" s="10" t="s">
        <v>638</v>
      </c>
      <c r="B269" s="10" t="s">
        <v>638</v>
      </c>
      <c r="C269" s="9" t="s">
        <v>639</v>
      </c>
      <c r="D269" s="9" t="s">
        <v>3028</v>
      </c>
      <c r="E269" t="s">
        <v>3028</v>
      </c>
    </row>
    <row r="270" spans="1:5" x14ac:dyDescent="0.25">
      <c r="A270" s="10" t="s">
        <v>640</v>
      </c>
      <c r="B270" s="10" t="s">
        <v>640</v>
      </c>
      <c r="C270" s="9" t="s">
        <v>641</v>
      </c>
      <c r="D270" s="9" t="s">
        <v>3028</v>
      </c>
      <c r="E270" t="s">
        <v>3028</v>
      </c>
    </row>
    <row r="271" spans="1:5" x14ac:dyDescent="0.25">
      <c r="A271" s="10" t="s">
        <v>642</v>
      </c>
      <c r="B271" s="10" t="s">
        <v>642</v>
      </c>
      <c r="C271" s="9" t="s">
        <v>643</v>
      </c>
      <c r="D271" s="9" t="s">
        <v>3028</v>
      </c>
      <c r="E271" t="s">
        <v>3028</v>
      </c>
    </row>
    <row r="272" spans="1:5" x14ac:dyDescent="0.25">
      <c r="A272" s="10" t="s">
        <v>644</v>
      </c>
      <c r="B272" s="10" t="s">
        <v>644</v>
      </c>
      <c r="C272" s="9" t="s">
        <v>645</v>
      </c>
      <c r="D272" s="9" t="s">
        <v>3028</v>
      </c>
      <c r="E272" t="s">
        <v>3028</v>
      </c>
    </row>
    <row r="273" spans="1:5" x14ac:dyDescent="0.25">
      <c r="A273" s="10" t="s">
        <v>646</v>
      </c>
      <c r="B273" s="10" t="s">
        <v>646</v>
      </c>
      <c r="C273" s="9" t="s">
        <v>647</v>
      </c>
      <c r="D273" s="9" t="s">
        <v>3028</v>
      </c>
      <c r="E273" t="s">
        <v>3028</v>
      </c>
    </row>
    <row r="274" spans="1:5" x14ac:dyDescent="0.25">
      <c r="A274" s="10" t="s">
        <v>648</v>
      </c>
      <c r="B274" s="10" t="s">
        <v>648</v>
      </c>
      <c r="C274" s="9" t="s">
        <v>649</v>
      </c>
      <c r="D274" s="9" t="s">
        <v>3028</v>
      </c>
      <c r="E274" t="s">
        <v>3028</v>
      </c>
    </row>
    <row r="275" spans="1:5" x14ac:dyDescent="0.25">
      <c r="A275" s="10" t="s">
        <v>650</v>
      </c>
      <c r="B275" s="10" t="s">
        <v>650</v>
      </c>
      <c r="C275" s="9" t="s">
        <v>651</v>
      </c>
      <c r="D275" s="9" t="s">
        <v>3028</v>
      </c>
      <c r="E275" t="s">
        <v>3028</v>
      </c>
    </row>
    <row r="276" spans="1:5" x14ac:dyDescent="0.25">
      <c r="A276" s="10" t="s">
        <v>652</v>
      </c>
      <c r="B276" s="10" t="s">
        <v>652</v>
      </c>
      <c r="C276" s="9" t="s">
        <v>653</v>
      </c>
      <c r="D276" s="9" t="s">
        <v>3028</v>
      </c>
      <c r="E276" t="s">
        <v>3028</v>
      </c>
    </row>
    <row r="277" spans="1:5" x14ac:dyDescent="0.25">
      <c r="A277" s="10" t="s">
        <v>654</v>
      </c>
      <c r="B277" s="10" t="s">
        <v>654</v>
      </c>
      <c r="C277" s="9" t="s">
        <v>655</v>
      </c>
      <c r="D277" s="9" t="s">
        <v>3028</v>
      </c>
      <c r="E277" t="s">
        <v>3028</v>
      </c>
    </row>
    <row r="278" spans="1:5" x14ac:dyDescent="0.25">
      <c r="A278" s="10" t="s">
        <v>656</v>
      </c>
      <c r="B278" s="10" t="s">
        <v>656</v>
      </c>
      <c r="C278" s="9" t="s">
        <v>657</v>
      </c>
      <c r="D278" s="9" t="s">
        <v>3028</v>
      </c>
      <c r="E278" t="s">
        <v>3028</v>
      </c>
    </row>
    <row r="279" spans="1:5" x14ac:dyDescent="0.25">
      <c r="A279" s="10" t="s">
        <v>658</v>
      </c>
      <c r="B279" s="10" t="s">
        <v>658</v>
      </c>
      <c r="C279" s="9" t="s">
        <v>659</v>
      </c>
      <c r="D279" s="9" t="s">
        <v>3028</v>
      </c>
      <c r="E279" t="s">
        <v>3028</v>
      </c>
    </row>
    <row r="280" spans="1:5" x14ac:dyDescent="0.25">
      <c r="A280" s="10" t="s">
        <v>660</v>
      </c>
      <c r="B280" s="10" t="s">
        <v>660</v>
      </c>
      <c r="C280" s="9" t="s">
        <v>661</v>
      </c>
      <c r="D280" s="9" t="s">
        <v>3028</v>
      </c>
      <c r="E280" t="s">
        <v>3028</v>
      </c>
    </row>
    <row r="281" spans="1:5" x14ac:dyDescent="0.25">
      <c r="A281" s="10" t="s">
        <v>662</v>
      </c>
      <c r="B281" s="10" t="s">
        <v>662</v>
      </c>
      <c r="C281" s="9" t="s">
        <v>663</v>
      </c>
      <c r="D281" s="9" t="s">
        <v>3028</v>
      </c>
      <c r="E281" t="s">
        <v>3028</v>
      </c>
    </row>
    <row r="282" spans="1:5" x14ac:dyDescent="0.25">
      <c r="A282" s="10" t="s">
        <v>664</v>
      </c>
      <c r="B282" s="10" t="s">
        <v>664</v>
      </c>
      <c r="C282" s="9" t="s">
        <v>665</v>
      </c>
      <c r="D282" s="9" t="s">
        <v>3028</v>
      </c>
      <c r="E282" t="s">
        <v>3028</v>
      </c>
    </row>
    <row r="283" spans="1:5" x14ac:dyDescent="0.25">
      <c r="A283" s="10" t="s">
        <v>666</v>
      </c>
      <c r="B283" s="10" t="s">
        <v>666</v>
      </c>
      <c r="C283" s="9" t="s">
        <v>667</v>
      </c>
      <c r="D283" s="9" t="s">
        <v>3028</v>
      </c>
      <c r="E283" t="s">
        <v>3028</v>
      </c>
    </row>
    <row r="284" spans="1:5" x14ac:dyDescent="0.25">
      <c r="A284" s="10" t="s">
        <v>668</v>
      </c>
      <c r="B284" s="10" t="s">
        <v>668</v>
      </c>
      <c r="C284" s="9" t="s">
        <v>669</v>
      </c>
      <c r="D284" s="9" t="s">
        <v>3028</v>
      </c>
      <c r="E284" t="s">
        <v>3028</v>
      </c>
    </row>
    <row r="285" spans="1:5" x14ac:dyDescent="0.25">
      <c r="A285" s="10" t="s">
        <v>670</v>
      </c>
      <c r="B285" s="10" t="s">
        <v>670</v>
      </c>
      <c r="C285" s="9" t="s">
        <v>671</v>
      </c>
      <c r="D285" s="9" t="s">
        <v>3028</v>
      </c>
      <c r="E285" t="s">
        <v>3028</v>
      </c>
    </row>
    <row r="286" spans="1:5" x14ac:dyDescent="0.25">
      <c r="A286" s="10" t="s">
        <v>672</v>
      </c>
      <c r="B286" s="10" t="s">
        <v>672</v>
      </c>
      <c r="C286" s="9" t="s">
        <v>673</v>
      </c>
      <c r="D286" s="9" t="s">
        <v>3028</v>
      </c>
      <c r="E286" t="s">
        <v>3028</v>
      </c>
    </row>
    <row r="287" spans="1:5" x14ac:dyDescent="0.25">
      <c r="A287" s="10" t="s">
        <v>674</v>
      </c>
      <c r="B287" s="10" t="s">
        <v>674</v>
      </c>
      <c r="C287" s="9" t="s">
        <v>675</v>
      </c>
      <c r="D287" s="9" t="s">
        <v>3028</v>
      </c>
      <c r="E287" t="s">
        <v>3028</v>
      </c>
    </row>
    <row r="288" spans="1:5" x14ac:dyDescent="0.25">
      <c r="A288" s="10" t="s">
        <v>676</v>
      </c>
      <c r="B288" s="10" t="s">
        <v>676</v>
      </c>
      <c r="C288" s="9" t="s">
        <v>677</v>
      </c>
      <c r="D288" s="9" t="s">
        <v>3028</v>
      </c>
      <c r="E288" t="s">
        <v>3028</v>
      </c>
    </row>
    <row r="289" spans="1:5" x14ac:dyDescent="0.25">
      <c r="A289" s="10" t="s">
        <v>678</v>
      </c>
      <c r="B289" s="10" t="s">
        <v>678</v>
      </c>
      <c r="C289" s="9" t="s">
        <v>679</v>
      </c>
      <c r="D289" s="9" t="s">
        <v>3028</v>
      </c>
      <c r="E289" t="s">
        <v>3028</v>
      </c>
    </row>
    <row r="290" spans="1:5" x14ac:dyDescent="0.25">
      <c r="A290" s="10" t="s">
        <v>680</v>
      </c>
      <c r="B290" s="10" t="s">
        <v>680</v>
      </c>
      <c r="C290" s="9" t="s">
        <v>681</v>
      </c>
      <c r="D290" s="9" t="s">
        <v>3028</v>
      </c>
      <c r="E290" t="s">
        <v>3028</v>
      </c>
    </row>
    <row r="291" spans="1:5" x14ac:dyDescent="0.25">
      <c r="A291" s="10" t="s">
        <v>682</v>
      </c>
      <c r="B291" s="10" t="s">
        <v>682</v>
      </c>
      <c r="C291" s="9" t="s">
        <v>683</v>
      </c>
      <c r="D291" s="9" t="s">
        <v>3028</v>
      </c>
      <c r="E291" t="s">
        <v>3028</v>
      </c>
    </row>
    <row r="292" spans="1:5" x14ac:dyDescent="0.25">
      <c r="A292" s="10" t="s">
        <v>684</v>
      </c>
      <c r="B292" s="10" t="s">
        <v>684</v>
      </c>
      <c r="C292" s="9" t="s">
        <v>685</v>
      </c>
      <c r="D292" s="9" t="s">
        <v>3028</v>
      </c>
      <c r="E292" t="s">
        <v>3028</v>
      </c>
    </row>
    <row r="293" spans="1:5" x14ac:dyDescent="0.25">
      <c r="A293" s="10" t="s">
        <v>686</v>
      </c>
      <c r="B293" s="10" t="s">
        <v>686</v>
      </c>
      <c r="C293" s="9" t="s">
        <v>687</v>
      </c>
      <c r="D293" s="9" t="s">
        <v>3028</v>
      </c>
      <c r="E293" t="s">
        <v>3028</v>
      </c>
    </row>
    <row r="294" spans="1:5" x14ac:dyDescent="0.25">
      <c r="A294" s="10" t="s">
        <v>688</v>
      </c>
      <c r="B294" s="10" t="s">
        <v>688</v>
      </c>
      <c r="C294" s="9" t="s">
        <v>689</v>
      </c>
      <c r="D294" s="9" t="s">
        <v>3028</v>
      </c>
      <c r="E294" t="s">
        <v>3028</v>
      </c>
    </row>
    <row r="295" spans="1:5" x14ac:dyDescent="0.25">
      <c r="A295" s="10" t="s">
        <v>693</v>
      </c>
      <c r="B295" s="10" t="s">
        <v>693</v>
      </c>
      <c r="C295" s="9" t="s">
        <v>694</v>
      </c>
      <c r="D295" s="9" t="s">
        <v>3028</v>
      </c>
      <c r="E295" t="s">
        <v>3028</v>
      </c>
    </row>
    <row r="296" spans="1:5" x14ac:dyDescent="0.25">
      <c r="A296" s="10" t="s">
        <v>695</v>
      </c>
      <c r="B296" s="10" t="s">
        <v>695</v>
      </c>
      <c r="C296" s="9" t="s">
        <v>696</v>
      </c>
      <c r="D296" s="9" t="s">
        <v>3028</v>
      </c>
      <c r="E296" t="s">
        <v>3028</v>
      </c>
    </row>
    <row r="297" spans="1:5" x14ac:dyDescent="0.25">
      <c r="A297" s="10" t="s">
        <v>697</v>
      </c>
      <c r="B297" s="10" t="s">
        <v>697</v>
      </c>
      <c r="C297" s="9" t="s">
        <v>698</v>
      </c>
      <c r="D297" s="9" t="s">
        <v>3028</v>
      </c>
      <c r="E297" t="s">
        <v>3028</v>
      </c>
    </row>
    <row r="298" spans="1:5" x14ac:dyDescent="0.25">
      <c r="A298" s="10" t="s">
        <v>699</v>
      </c>
      <c r="B298" s="10" t="s">
        <v>699</v>
      </c>
      <c r="C298" s="9" t="s">
        <v>700</v>
      </c>
      <c r="D298" s="9" t="s">
        <v>3028</v>
      </c>
      <c r="E298" t="s">
        <v>3028</v>
      </c>
    </row>
    <row r="299" spans="1:5" x14ac:dyDescent="0.25">
      <c r="A299" s="10" t="s">
        <v>701</v>
      </c>
      <c r="B299" s="10" t="s">
        <v>701</v>
      </c>
      <c r="C299" s="9" t="s">
        <v>702</v>
      </c>
      <c r="D299" s="9" t="s">
        <v>3028</v>
      </c>
      <c r="E299" t="s">
        <v>3028</v>
      </c>
    </row>
    <row r="300" spans="1:5" x14ac:dyDescent="0.25">
      <c r="A300" s="10" t="s">
        <v>703</v>
      </c>
      <c r="B300" s="10" t="s">
        <v>703</v>
      </c>
      <c r="C300" s="9" t="s">
        <v>704</v>
      </c>
      <c r="D300" s="9" t="s">
        <v>3028</v>
      </c>
      <c r="E300" t="s">
        <v>3028</v>
      </c>
    </row>
    <row r="301" spans="1:5" x14ac:dyDescent="0.25">
      <c r="A301" s="10" t="s">
        <v>705</v>
      </c>
      <c r="B301" s="10" t="s">
        <v>705</v>
      </c>
      <c r="C301" s="9" t="s">
        <v>706</v>
      </c>
      <c r="D301" s="9" t="s">
        <v>3028</v>
      </c>
      <c r="E301" t="s">
        <v>3028</v>
      </c>
    </row>
    <row r="302" spans="1:5" x14ac:dyDescent="0.25">
      <c r="A302" s="10" t="s">
        <v>707</v>
      </c>
      <c r="B302" s="10" t="s">
        <v>707</v>
      </c>
      <c r="C302" s="9" t="s">
        <v>708</v>
      </c>
      <c r="D302" s="9" t="s">
        <v>3028</v>
      </c>
      <c r="E302" t="s">
        <v>3028</v>
      </c>
    </row>
    <row r="303" spans="1:5" x14ac:dyDescent="0.25">
      <c r="A303" s="10" t="s">
        <v>709</v>
      </c>
      <c r="B303" s="10" t="s">
        <v>709</v>
      </c>
      <c r="C303" s="9" t="s">
        <v>710</v>
      </c>
      <c r="D303" s="9" t="s">
        <v>3028</v>
      </c>
      <c r="E303" t="s">
        <v>3028</v>
      </c>
    </row>
    <row r="304" spans="1:5" x14ac:dyDescent="0.25">
      <c r="A304" s="10" t="s">
        <v>711</v>
      </c>
      <c r="B304" s="10" t="s">
        <v>711</v>
      </c>
      <c r="C304" s="9" t="s">
        <v>712</v>
      </c>
      <c r="D304" s="9" t="s">
        <v>3028</v>
      </c>
      <c r="E304" t="s">
        <v>3028</v>
      </c>
    </row>
    <row r="305" spans="1:5" x14ac:dyDescent="0.25">
      <c r="A305" s="10" t="s">
        <v>713</v>
      </c>
      <c r="B305" s="10" t="s">
        <v>713</v>
      </c>
      <c r="C305" s="9" t="s">
        <v>714</v>
      </c>
      <c r="D305" s="9" t="s">
        <v>3028</v>
      </c>
      <c r="E305" t="s">
        <v>3028</v>
      </c>
    </row>
    <row r="306" spans="1:5" x14ac:dyDescent="0.25">
      <c r="A306" s="10" t="s">
        <v>715</v>
      </c>
      <c r="B306" s="10" t="s">
        <v>715</v>
      </c>
      <c r="C306" s="9" t="s">
        <v>716</v>
      </c>
      <c r="D306" s="9" t="s">
        <v>3028</v>
      </c>
      <c r="E306" t="s">
        <v>3028</v>
      </c>
    </row>
    <row r="307" spans="1:5" x14ac:dyDescent="0.25">
      <c r="A307" s="10" t="s">
        <v>720</v>
      </c>
      <c r="B307" s="10" t="s">
        <v>720</v>
      </c>
      <c r="C307" s="9" t="s">
        <v>721</v>
      </c>
      <c r="D307" s="9" t="s">
        <v>3028</v>
      </c>
      <c r="E307" t="s">
        <v>3028</v>
      </c>
    </row>
    <row r="308" spans="1:5" x14ac:dyDescent="0.25">
      <c r="A308" s="10" t="s">
        <v>722</v>
      </c>
      <c r="B308" s="10" t="s">
        <v>722</v>
      </c>
      <c r="C308" s="9" t="s">
        <v>723</v>
      </c>
      <c r="D308" s="9" t="s">
        <v>3028</v>
      </c>
      <c r="E308" t="s">
        <v>3028</v>
      </c>
    </row>
    <row r="309" spans="1:5" x14ac:dyDescent="0.25">
      <c r="A309" s="10" t="s">
        <v>724</v>
      </c>
      <c r="B309" s="10" t="s">
        <v>724</v>
      </c>
      <c r="C309" s="9" t="s">
        <v>725</v>
      </c>
      <c r="D309" s="9" t="s">
        <v>3028</v>
      </c>
      <c r="E309" t="s">
        <v>3028</v>
      </c>
    </row>
    <row r="310" spans="1:5" x14ac:dyDescent="0.25">
      <c r="A310" s="10" t="s">
        <v>726</v>
      </c>
      <c r="B310" s="10" t="s">
        <v>726</v>
      </c>
      <c r="C310" s="9" t="s">
        <v>727</v>
      </c>
      <c r="D310" s="9" t="s">
        <v>3028</v>
      </c>
      <c r="E310" t="s">
        <v>3028</v>
      </c>
    </row>
    <row r="311" spans="1:5" x14ac:dyDescent="0.25">
      <c r="A311" s="10" t="s">
        <v>728</v>
      </c>
      <c r="B311" s="10" t="s">
        <v>728</v>
      </c>
      <c r="C311" s="9" t="s">
        <v>729</v>
      </c>
      <c r="D311" s="9" t="s">
        <v>3028</v>
      </c>
      <c r="E311" t="s">
        <v>3028</v>
      </c>
    </row>
    <row r="312" spans="1:5" x14ac:dyDescent="0.25">
      <c r="A312" s="10" t="s">
        <v>730</v>
      </c>
      <c r="B312" s="10" t="s">
        <v>730</v>
      </c>
      <c r="C312" s="9" t="s">
        <v>731</v>
      </c>
      <c r="D312" s="9" t="s">
        <v>3028</v>
      </c>
      <c r="E312" t="s">
        <v>3028</v>
      </c>
    </row>
    <row r="313" spans="1:5" x14ac:dyDescent="0.25">
      <c r="A313" s="10" t="s">
        <v>732</v>
      </c>
      <c r="B313" s="10" t="s">
        <v>732</v>
      </c>
      <c r="C313" s="9" t="s">
        <v>733</v>
      </c>
      <c r="D313" s="9" t="s">
        <v>3028</v>
      </c>
      <c r="E313" t="s">
        <v>3028</v>
      </c>
    </row>
    <row r="314" spans="1:5" x14ac:dyDescent="0.25">
      <c r="A314" s="10" t="s">
        <v>734</v>
      </c>
      <c r="B314" s="10" t="s">
        <v>734</v>
      </c>
      <c r="C314" s="9" t="s">
        <v>735</v>
      </c>
      <c r="D314" s="9" t="s">
        <v>3028</v>
      </c>
      <c r="E314" t="s">
        <v>3028</v>
      </c>
    </row>
    <row r="315" spans="1:5" x14ac:dyDescent="0.25">
      <c r="A315" s="10" t="s">
        <v>736</v>
      </c>
      <c r="B315" s="10" t="s">
        <v>736</v>
      </c>
      <c r="C315" s="9" t="s">
        <v>737</v>
      </c>
      <c r="D315" s="9" t="s">
        <v>3028</v>
      </c>
      <c r="E315" t="s">
        <v>3028</v>
      </c>
    </row>
    <row r="316" spans="1:5" x14ac:dyDescent="0.25">
      <c r="A316" s="10" t="s">
        <v>738</v>
      </c>
      <c r="B316" s="10" t="s">
        <v>738</v>
      </c>
      <c r="C316" s="9" t="s">
        <v>739</v>
      </c>
      <c r="D316" s="9" t="s">
        <v>3028</v>
      </c>
      <c r="E316" t="s">
        <v>3028</v>
      </c>
    </row>
    <row r="317" spans="1:5" x14ac:dyDescent="0.25">
      <c r="A317" s="10" t="s">
        <v>740</v>
      </c>
      <c r="B317" s="10" t="s">
        <v>740</v>
      </c>
      <c r="C317" s="9" t="s">
        <v>741</v>
      </c>
      <c r="D317" s="9" t="s">
        <v>3028</v>
      </c>
      <c r="E317" t="s">
        <v>3028</v>
      </c>
    </row>
    <row r="318" spans="1:5" x14ac:dyDescent="0.25">
      <c r="A318" s="10" t="s">
        <v>742</v>
      </c>
      <c r="B318" s="10" t="s">
        <v>742</v>
      </c>
      <c r="C318" s="9" t="s">
        <v>743</v>
      </c>
      <c r="D318" s="9" t="s">
        <v>3028</v>
      </c>
      <c r="E318" t="s">
        <v>3028</v>
      </c>
    </row>
    <row r="319" spans="1:5" x14ac:dyDescent="0.25">
      <c r="A319" s="10" t="s">
        <v>744</v>
      </c>
      <c r="B319" s="10" t="s">
        <v>744</v>
      </c>
      <c r="C319" s="9" t="s">
        <v>745</v>
      </c>
      <c r="D319" s="9" t="s">
        <v>3028</v>
      </c>
      <c r="E319" t="s">
        <v>3028</v>
      </c>
    </row>
    <row r="320" spans="1:5" x14ac:dyDescent="0.25">
      <c r="A320" s="10" t="s">
        <v>746</v>
      </c>
      <c r="B320" s="10" t="s">
        <v>746</v>
      </c>
      <c r="C320" s="9" t="s">
        <v>747</v>
      </c>
      <c r="D320" s="9" t="s">
        <v>3028</v>
      </c>
      <c r="E320" t="s">
        <v>3028</v>
      </c>
    </row>
    <row r="321" spans="1:5" x14ac:dyDescent="0.25">
      <c r="A321" s="10" t="s">
        <v>748</v>
      </c>
      <c r="B321" s="10" t="s">
        <v>748</v>
      </c>
      <c r="C321" s="9" t="s">
        <v>749</v>
      </c>
      <c r="D321" s="9" t="s">
        <v>3028</v>
      </c>
      <c r="E321" t="s">
        <v>3028</v>
      </c>
    </row>
    <row r="322" spans="1:5" x14ac:dyDescent="0.25">
      <c r="A322" s="10" t="s">
        <v>750</v>
      </c>
      <c r="B322" s="10" t="s">
        <v>750</v>
      </c>
      <c r="C322" s="9" t="s">
        <v>751</v>
      </c>
      <c r="D322" s="9" t="s">
        <v>3028</v>
      </c>
      <c r="E322" t="s">
        <v>3028</v>
      </c>
    </row>
    <row r="323" spans="1:5" x14ac:dyDescent="0.25">
      <c r="A323" s="10" t="s">
        <v>752</v>
      </c>
      <c r="B323" s="10" t="s">
        <v>752</v>
      </c>
      <c r="C323" s="9" t="s">
        <v>753</v>
      </c>
      <c r="D323" s="9" t="s">
        <v>3028</v>
      </c>
      <c r="E323" t="s">
        <v>3028</v>
      </c>
    </row>
    <row r="324" spans="1:5" x14ac:dyDescent="0.25">
      <c r="A324" s="10" t="s">
        <v>754</v>
      </c>
      <c r="B324" s="10" t="s">
        <v>754</v>
      </c>
      <c r="C324" s="9" t="s">
        <v>755</v>
      </c>
      <c r="D324" s="9" t="s">
        <v>3028</v>
      </c>
      <c r="E324" t="s">
        <v>3028</v>
      </c>
    </row>
    <row r="325" spans="1:5" x14ac:dyDescent="0.25">
      <c r="A325" s="10" t="s">
        <v>756</v>
      </c>
      <c r="B325" s="10" t="s">
        <v>756</v>
      </c>
      <c r="C325" s="9" t="s">
        <v>757</v>
      </c>
      <c r="D325" s="9" t="s">
        <v>3028</v>
      </c>
      <c r="E325" t="s">
        <v>3028</v>
      </c>
    </row>
    <row r="326" spans="1:5" x14ac:dyDescent="0.25">
      <c r="A326" s="10" t="s">
        <v>758</v>
      </c>
      <c r="B326" s="10" t="s">
        <v>758</v>
      </c>
      <c r="C326" s="9" t="s">
        <v>759</v>
      </c>
      <c r="D326" s="9" t="s">
        <v>3028</v>
      </c>
      <c r="E326" t="s">
        <v>3028</v>
      </c>
    </row>
    <row r="327" spans="1:5" x14ac:dyDescent="0.25">
      <c r="A327" s="10" t="s">
        <v>760</v>
      </c>
      <c r="B327" s="10" t="s">
        <v>760</v>
      </c>
      <c r="C327" s="9" t="s">
        <v>761</v>
      </c>
      <c r="D327" s="9" t="s">
        <v>3028</v>
      </c>
      <c r="E327" t="s">
        <v>3028</v>
      </c>
    </row>
    <row r="328" spans="1:5" x14ac:dyDescent="0.25">
      <c r="A328" s="10" t="s">
        <v>762</v>
      </c>
      <c r="B328" s="10" t="s">
        <v>762</v>
      </c>
      <c r="C328" s="9" t="s">
        <v>763</v>
      </c>
      <c r="D328" s="9" t="s">
        <v>3028</v>
      </c>
      <c r="E328" t="s">
        <v>3028</v>
      </c>
    </row>
    <row r="329" spans="1:5" x14ac:dyDescent="0.25">
      <c r="A329" s="10" t="s">
        <v>764</v>
      </c>
      <c r="B329" s="10" t="s">
        <v>764</v>
      </c>
      <c r="C329" s="9" t="s">
        <v>765</v>
      </c>
      <c r="D329" s="9" t="s">
        <v>3028</v>
      </c>
      <c r="E329" t="s">
        <v>3028</v>
      </c>
    </row>
    <row r="330" spans="1:5" x14ac:dyDescent="0.25">
      <c r="A330" s="10" t="s">
        <v>766</v>
      </c>
      <c r="B330" s="10" t="s">
        <v>766</v>
      </c>
      <c r="C330" s="9" t="s">
        <v>767</v>
      </c>
      <c r="D330" s="9" t="s">
        <v>3028</v>
      </c>
      <c r="E330" t="s">
        <v>3028</v>
      </c>
    </row>
    <row r="331" spans="1:5" x14ac:dyDescent="0.25">
      <c r="A331" s="10" t="s">
        <v>768</v>
      </c>
      <c r="B331" s="10" t="s">
        <v>768</v>
      </c>
      <c r="C331" s="9" t="s">
        <v>769</v>
      </c>
      <c r="D331" s="9" t="s">
        <v>3028</v>
      </c>
      <c r="E331" t="s">
        <v>3028</v>
      </c>
    </row>
    <row r="332" spans="1:5" x14ac:dyDescent="0.25">
      <c r="A332" s="10" t="s">
        <v>770</v>
      </c>
      <c r="B332" s="10" t="s">
        <v>770</v>
      </c>
      <c r="C332" s="9" t="s">
        <v>771</v>
      </c>
      <c r="D332" s="9" t="s">
        <v>3028</v>
      </c>
      <c r="E332" t="s">
        <v>3028</v>
      </c>
    </row>
    <row r="333" spans="1:5" x14ac:dyDescent="0.25">
      <c r="A333" s="10" t="s">
        <v>772</v>
      </c>
      <c r="B333" s="10" t="s">
        <v>772</v>
      </c>
      <c r="C333" s="9" t="s">
        <v>773</v>
      </c>
      <c r="D333" s="9" t="s">
        <v>3028</v>
      </c>
      <c r="E333" t="s">
        <v>3028</v>
      </c>
    </row>
    <row r="334" spans="1:5" x14ac:dyDescent="0.25">
      <c r="A334" s="10" t="s">
        <v>774</v>
      </c>
      <c r="B334" s="10" t="s">
        <v>774</v>
      </c>
      <c r="C334" s="9" t="s">
        <v>775</v>
      </c>
      <c r="D334" s="9" t="s">
        <v>3028</v>
      </c>
      <c r="E334" t="s">
        <v>3028</v>
      </c>
    </row>
    <row r="335" spans="1:5" x14ac:dyDescent="0.25">
      <c r="A335" s="10" t="s">
        <v>776</v>
      </c>
      <c r="B335" s="10" t="s">
        <v>776</v>
      </c>
      <c r="C335" s="9" t="s">
        <v>777</v>
      </c>
      <c r="D335" s="9" t="s">
        <v>3028</v>
      </c>
      <c r="E335" t="s">
        <v>3028</v>
      </c>
    </row>
    <row r="336" spans="1:5" x14ac:dyDescent="0.25">
      <c r="A336" s="10" t="s">
        <v>778</v>
      </c>
      <c r="B336" s="10" t="s">
        <v>778</v>
      </c>
      <c r="C336" s="9" t="s">
        <v>779</v>
      </c>
      <c r="D336" s="9" t="s">
        <v>3028</v>
      </c>
      <c r="E336" t="s">
        <v>3028</v>
      </c>
    </row>
    <row r="337" spans="1:5" x14ac:dyDescent="0.25">
      <c r="A337" s="10" t="s">
        <v>780</v>
      </c>
      <c r="B337" s="10" t="s">
        <v>780</v>
      </c>
      <c r="C337" s="9" t="s">
        <v>781</v>
      </c>
      <c r="D337" s="9" t="s">
        <v>3028</v>
      </c>
      <c r="E337" t="s">
        <v>3028</v>
      </c>
    </row>
    <row r="338" spans="1:5" x14ac:dyDescent="0.25">
      <c r="A338" s="10" t="s">
        <v>782</v>
      </c>
      <c r="B338" s="10" t="s">
        <v>782</v>
      </c>
      <c r="C338" s="9" t="s">
        <v>783</v>
      </c>
      <c r="D338" s="9" t="s">
        <v>3028</v>
      </c>
      <c r="E338" t="s">
        <v>3028</v>
      </c>
    </row>
    <row r="339" spans="1:5" x14ac:dyDescent="0.25">
      <c r="A339" s="10" t="s">
        <v>784</v>
      </c>
      <c r="B339" s="10" t="s">
        <v>784</v>
      </c>
      <c r="C339" s="9" t="s">
        <v>785</v>
      </c>
      <c r="D339" s="9" t="s">
        <v>3028</v>
      </c>
      <c r="E339" t="s">
        <v>3028</v>
      </c>
    </row>
    <row r="340" spans="1:5" x14ac:dyDescent="0.25">
      <c r="A340" s="10" t="s">
        <v>788</v>
      </c>
      <c r="B340" s="10" t="s">
        <v>788</v>
      </c>
      <c r="C340" s="9" t="s">
        <v>789</v>
      </c>
      <c r="D340" s="9" t="s">
        <v>3028</v>
      </c>
      <c r="E340" t="s">
        <v>3028</v>
      </c>
    </row>
    <row r="341" spans="1:5" x14ac:dyDescent="0.25">
      <c r="A341" s="10" t="s">
        <v>790</v>
      </c>
      <c r="B341" s="10" t="s">
        <v>790</v>
      </c>
      <c r="C341" s="9" t="s">
        <v>791</v>
      </c>
      <c r="D341" s="9" t="s">
        <v>3028</v>
      </c>
      <c r="E341" t="s">
        <v>3028</v>
      </c>
    </row>
    <row r="342" spans="1:5" x14ac:dyDescent="0.25">
      <c r="A342" s="10" t="s">
        <v>792</v>
      </c>
      <c r="B342" s="10" t="s">
        <v>792</v>
      </c>
      <c r="C342" s="9" t="s">
        <v>793</v>
      </c>
      <c r="D342" s="9" t="s">
        <v>3028</v>
      </c>
      <c r="E342" t="s">
        <v>3028</v>
      </c>
    </row>
    <row r="343" spans="1:5" x14ac:dyDescent="0.25">
      <c r="A343" s="10" t="s">
        <v>794</v>
      </c>
      <c r="B343" s="10" t="s">
        <v>794</v>
      </c>
      <c r="C343" s="9" t="s">
        <v>795</v>
      </c>
      <c r="D343" s="9" t="s">
        <v>3028</v>
      </c>
      <c r="E343" t="s">
        <v>3028</v>
      </c>
    </row>
    <row r="344" spans="1:5" x14ac:dyDescent="0.25">
      <c r="A344" s="10" t="s">
        <v>796</v>
      </c>
      <c r="B344" s="10" t="s">
        <v>796</v>
      </c>
      <c r="C344" s="9" t="s">
        <v>797</v>
      </c>
      <c r="D344" s="9" t="s">
        <v>3028</v>
      </c>
      <c r="E344" t="s">
        <v>3028</v>
      </c>
    </row>
    <row r="345" spans="1:5" x14ac:dyDescent="0.25">
      <c r="A345" s="10" t="s">
        <v>798</v>
      </c>
      <c r="B345" s="10" t="s">
        <v>798</v>
      </c>
      <c r="C345" s="9" t="s">
        <v>799</v>
      </c>
      <c r="D345" s="9" t="s">
        <v>3028</v>
      </c>
      <c r="E345" t="s">
        <v>3028</v>
      </c>
    </row>
    <row r="346" spans="1:5" x14ac:dyDescent="0.25">
      <c r="A346" s="10" t="s">
        <v>800</v>
      </c>
      <c r="B346" s="10" t="s">
        <v>800</v>
      </c>
      <c r="C346" s="9" t="s">
        <v>801</v>
      </c>
      <c r="D346" s="9" t="s">
        <v>3028</v>
      </c>
      <c r="E346" t="s">
        <v>3028</v>
      </c>
    </row>
    <row r="347" spans="1:5" x14ac:dyDescent="0.25">
      <c r="A347" s="10" t="s">
        <v>805</v>
      </c>
      <c r="B347" s="10" t="s">
        <v>805</v>
      </c>
      <c r="C347" s="9" t="s">
        <v>806</v>
      </c>
      <c r="D347" s="9" t="s">
        <v>3028</v>
      </c>
      <c r="E347" t="s">
        <v>3028</v>
      </c>
    </row>
    <row r="348" spans="1:5" x14ac:dyDescent="0.25">
      <c r="A348" s="10" t="s">
        <v>807</v>
      </c>
      <c r="B348" s="10" t="s">
        <v>807</v>
      </c>
      <c r="C348" s="9" t="s">
        <v>808</v>
      </c>
      <c r="D348" s="9" t="s">
        <v>3028</v>
      </c>
      <c r="E348" t="s">
        <v>3028</v>
      </c>
    </row>
    <row r="349" spans="1:5" x14ac:dyDescent="0.25">
      <c r="A349" s="10" t="s">
        <v>809</v>
      </c>
      <c r="B349" s="10" t="s">
        <v>809</v>
      </c>
      <c r="C349" s="9" t="s">
        <v>810</v>
      </c>
      <c r="D349" s="9" t="s">
        <v>3028</v>
      </c>
      <c r="E349" t="s">
        <v>3028</v>
      </c>
    </row>
    <row r="350" spans="1:5" x14ac:dyDescent="0.25">
      <c r="A350" s="10" t="s">
        <v>811</v>
      </c>
      <c r="B350" s="10" t="s">
        <v>811</v>
      </c>
      <c r="C350" s="9" t="s">
        <v>812</v>
      </c>
      <c r="D350" s="9" t="s">
        <v>3028</v>
      </c>
      <c r="E350" t="s">
        <v>3028</v>
      </c>
    </row>
    <row r="351" spans="1:5" x14ac:dyDescent="0.25">
      <c r="A351" s="10" t="s">
        <v>813</v>
      </c>
      <c r="B351" s="10" t="s">
        <v>813</v>
      </c>
      <c r="C351" s="9" t="s">
        <v>814</v>
      </c>
      <c r="D351" s="9" t="s">
        <v>3028</v>
      </c>
      <c r="E351" t="s">
        <v>3028</v>
      </c>
    </row>
    <row r="352" spans="1:5" x14ac:dyDescent="0.25">
      <c r="A352" s="10" t="s">
        <v>815</v>
      </c>
      <c r="B352" s="10" t="s">
        <v>815</v>
      </c>
      <c r="C352" s="9" t="s">
        <v>816</v>
      </c>
      <c r="D352" s="9" t="s">
        <v>3028</v>
      </c>
      <c r="E352" t="s">
        <v>3028</v>
      </c>
    </row>
    <row r="353" spans="1:5" x14ac:dyDescent="0.25">
      <c r="A353" s="10" t="s">
        <v>817</v>
      </c>
      <c r="B353" s="10" t="s">
        <v>817</v>
      </c>
      <c r="C353" s="9" t="s">
        <v>818</v>
      </c>
      <c r="D353" s="9" t="s">
        <v>3028</v>
      </c>
      <c r="E353" t="s">
        <v>3028</v>
      </c>
    </row>
    <row r="354" spans="1:5" x14ac:dyDescent="0.25">
      <c r="A354" s="10" t="s">
        <v>819</v>
      </c>
      <c r="B354" s="10" t="s">
        <v>819</v>
      </c>
      <c r="C354" s="9" t="s">
        <v>820</v>
      </c>
      <c r="D354" s="9" t="s">
        <v>3028</v>
      </c>
      <c r="E354" t="s">
        <v>3028</v>
      </c>
    </row>
    <row r="355" spans="1:5" x14ac:dyDescent="0.25">
      <c r="A355" s="10" t="s">
        <v>821</v>
      </c>
      <c r="B355" s="10" t="s">
        <v>821</v>
      </c>
      <c r="C355" s="9" t="s">
        <v>822</v>
      </c>
      <c r="D355" s="9" t="s">
        <v>3028</v>
      </c>
      <c r="E355" t="s">
        <v>3028</v>
      </c>
    </row>
    <row r="356" spans="1:5" x14ac:dyDescent="0.25">
      <c r="A356" s="10" t="s">
        <v>823</v>
      </c>
      <c r="B356" s="10" t="s">
        <v>823</v>
      </c>
      <c r="C356" s="9" t="s">
        <v>824</v>
      </c>
      <c r="D356" s="9" t="s">
        <v>3028</v>
      </c>
      <c r="E356" t="s">
        <v>3028</v>
      </c>
    </row>
    <row r="357" spans="1:5" x14ac:dyDescent="0.25">
      <c r="A357" s="10" t="s">
        <v>825</v>
      </c>
      <c r="B357" s="10" t="s">
        <v>825</v>
      </c>
      <c r="C357" s="9" t="s">
        <v>826</v>
      </c>
      <c r="D357" s="9" t="s">
        <v>3028</v>
      </c>
      <c r="E357" t="s">
        <v>3028</v>
      </c>
    </row>
    <row r="358" spans="1:5" x14ac:dyDescent="0.25">
      <c r="A358" s="10" t="s">
        <v>830</v>
      </c>
      <c r="B358" s="10" t="s">
        <v>830</v>
      </c>
      <c r="C358" s="9" t="s">
        <v>831</v>
      </c>
      <c r="D358" s="9" t="s">
        <v>3028</v>
      </c>
      <c r="E358" t="s">
        <v>3028</v>
      </c>
    </row>
    <row r="359" spans="1:5" x14ac:dyDescent="0.25">
      <c r="A359" s="10" t="s">
        <v>832</v>
      </c>
      <c r="B359" s="10" t="s">
        <v>832</v>
      </c>
      <c r="C359" s="9" t="s">
        <v>833</v>
      </c>
      <c r="D359" s="9" t="s">
        <v>3028</v>
      </c>
      <c r="E359" t="s">
        <v>3028</v>
      </c>
    </row>
    <row r="360" spans="1:5" x14ac:dyDescent="0.25">
      <c r="A360" s="10" t="s">
        <v>834</v>
      </c>
      <c r="B360" s="10" t="s">
        <v>834</v>
      </c>
      <c r="C360" s="9" t="s">
        <v>835</v>
      </c>
      <c r="D360" s="9" t="s">
        <v>3028</v>
      </c>
      <c r="E360" t="s">
        <v>3028</v>
      </c>
    </row>
    <row r="361" spans="1:5" x14ac:dyDescent="0.25">
      <c r="A361" s="10" t="s">
        <v>838</v>
      </c>
      <c r="B361" s="10" t="s">
        <v>838</v>
      </c>
      <c r="C361" s="9" t="s">
        <v>839</v>
      </c>
      <c r="D361" s="9" t="s">
        <v>3028</v>
      </c>
      <c r="E361" t="s">
        <v>3028</v>
      </c>
    </row>
    <row r="362" spans="1:5" x14ac:dyDescent="0.25">
      <c r="A362" s="10" t="s">
        <v>840</v>
      </c>
      <c r="B362" s="10" t="s">
        <v>840</v>
      </c>
      <c r="C362" s="9" t="s">
        <v>841</v>
      </c>
      <c r="D362" s="9" t="s">
        <v>3028</v>
      </c>
      <c r="E362" t="s">
        <v>3028</v>
      </c>
    </row>
    <row r="363" spans="1:5" x14ac:dyDescent="0.25">
      <c r="A363" s="10" t="s">
        <v>842</v>
      </c>
      <c r="B363" s="10" t="s">
        <v>842</v>
      </c>
      <c r="C363" s="9" t="s">
        <v>843</v>
      </c>
      <c r="D363" s="9" t="s">
        <v>3028</v>
      </c>
      <c r="E363" t="s">
        <v>3028</v>
      </c>
    </row>
    <row r="364" spans="1:5" x14ac:dyDescent="0.25">
      <c r="A364" s="10" t="s">
        <v>844</v>
      </c>
      <c r="B364" s="10" t="s">
        <v>844</v>
      </c>
      <c r="C364" s="9" t="s">
        <v>845</v>
      </c>
      <c r="D364" s="9" t="s">
        <v>3028</v>
      </c>
      <c r="E364" t="s">
        <v>3028</v>
      </c>
    </row>
    <row r="365" spans="1:5" x14ac:dyDescent="0.25">
      <c r="A365" s="10" t="s">
        <v>846</v>
      </c>
      <c r="B365" s="10" t="s">
        <v>846</v>
      </c>
      <c r="C365" s="9" t="s">
        <v>847</v>
      </c>
      <c r="D365" s="9" t="s">
        <v>3028</v>
      </c>
      <c r="E365" t="s">
        <v>3028</v>
      </c>
    </row>
    <row r="366" spans="1:5" x14ac:dyDescent="0.25">
      <c r="A366" s="10" t="s">
        <v>848</v>
      </c>
      <c r="B366" s="10" t="s">
        <v>848</v>
      </c>
      <c r="C366" s="9" t="s">
        <v>849</v>
      </c>
      <c r="D366" s="9" t="s">
        <v>3028</v>
      </c>
      <c r="E366" t="s">
        <v>3028</v>
      </c>
    </row>
    <row r="367" spans="1:5" x14ac:dyDescent="0.25">
      <c r="A367" s="10" t="s">
        <v>850</v>
      </c>
      <c r="B367" s="10" t="s">
        <v>850</v>
      </c>
      <c r="C367" s="9" t="s">
        <v>851</v>
      </c>
      <c r="D367" s="9" t="s">
        <v>3028</v>
      </c>
      <c r="E367" t="s">
        <v>3028</v>
      </c>
    </row>
    <row r="368" spans="1:5" x14ac:dyDescent="0.25">
      <c r="A368" s="10" t="s">
        <v>852</v>
      </c>
      <c r="B368" s="10" t="s">
        <v>852</v>
      </c>
      <c r="C368" s="9" t="s">
        <v>853</v>
      </c>
      <c r="D368" s="9" t="s">
        <v>3028</v>
      </c>
      <c r="E368" t="s">
        <v>3028</v>
      </c>
    </row>
    <row r="369" spans="1:5" x14ac:dyDescent="0.25">
      <c r="A369" s="10" t="s">
        <v>854</v>
      </c>
      <c r="B369" s="10" t="s">
        <v>854</v>
      </c>
      <c r="C369" s="9" t="s">
        <v>855</v>
      </c>
      <c r="D369" s="9" t="s">
        <v>3028</v>
      </c>
      <c r="E369" t="s">
        <v>3028</v>
      </c>
    </row>
    <row r="370" spans="1:5" x14ac:dyDescent="0.25">
      <c r="A370" s="10" t="s">
        <v>856</v>
      </c>
      <c r="B370" s="10" t="s">
        <v>856</v>
      </c>
      <c r="C370" s="9" t="s">
        <v>857</v>
      </c>
      <c r="D370" s="9" t="s">
        <v>3028</v>
      </c>
      <c r="E370" t="s">
        <v>3028</v>
      </c>
    </row>
    <row r="371" spans="1:5" x14ac:dyDescent="0.25">
      <c r="A371" s="10" t="s">
        <v>858</v>
      </c>
      <c r="B371" s="10" t="s">
        <v>858</v>
      </c>
      <c r="C371" s="9" t="s">
        <v>859</v>
      </c>
      <c r="D371" s="9" t="s">
        <v>3028</v>
      </c>
      <c r="E371" t="s">
        <v>3028</v>
      </c>
    </row>
    <row r="372" spans="1:5" x14ac:dyDescent="0.25">
      <c r="A372" s="10" t="s">
        <v>860</v>
      </c>
      <c r="B372" s="10" t="s">
        <v>860</v>
      </c>
      <c r="C372" s="9" t="s">
        <v>861</v>
      </c>
      <c r="D372" s="9" t="s">
        <v>3028</v>
      </c>
      <c r="E372" t="s">
        <v>3028</v>
      </c>
    </row>
    <row r="373" spans="1:5" x14ac:dyDescent="0.25">
      <c r="A373" s="10" t="s">
        <v>862</v>
      </c>
      <c r="B373" s="10" t="s">
        <v>862</v>
      </c>
      <c r="C373" s="9" t="s">
        <v>863</v>
      </c>
      <c r="D373" s="9" t="s">
        <v>3028</v>
      </c>
      <c r="E373" t="s">
        <v>3028</v>
      </c>
    </row>
    <row r="374" spans="1:5" x14ac:dyDescent="0.25">
      <c r="A374" s="10" t="s">
        <v>864</v>
      </c>
      <c r="B374" s="10" t="s">
        <v>864</v>
      </c>
      <c r="C374" s="9" t="s">
        <v>865</v>
      </c>
      <c r="D374" s="9" t="s">
        <v>3028</v>
      </c>
      <c r="E374" t="s">
        <v>3028</v>
      </c>
    </row>
    <row r="375" spans="1:5" x14ac:dyDescent="0.25">
      <c r="A375" s="10" t="s">
        <v>866</v>
      </c>
      <c r="B375" s="10" t="s">
        <v>866</v>
      </c>
      <c r="C375" s="9" t="s">
        <v>867</v>
      </c>
      <c r="D375" s="9" t="s">
        <v>3028</v>
      </c>
      <c r="E375" t="s">
        <v>3028</v>
      </c>
    </row>
    <row r="376" spans="1:5" x14ac:dyDescent="0.25">
      <c r="A376" s="10" t="s">
        <v>868</v>
      </c>
      <c r="B376" s="10" t="s">
        <v>868</v>
      </c>
      <c r="C376" s="9" t="s">
        <v>869</v>
      </c>
      <c r="D376" s="9" t="s">
        <v>3028</v>
      </c>
      <c r="E376" t="s">
        <v>3028</v>
      </c>
    </row>
    <row r="377" spans="1:5" x14ac:dyDescent="0.25">
      <c r="A377" s="10" t="s">
        <v>870</v>
      </c>
      <c r="B377" s="10" t="s">
        <v>870</v>
      </c>
      <c r="C377" s="9" t="s">
        <v>871</v>
      </c>
      <c r="D377" s="9" t="s">
        <v>3028</v>
      </c>
      <c r="E377" t="s">
        <v>3028</v>
      </c>
    </row>
    <row r="378" spans="1:5" x14ac:dyDescent="0.25">
      <c r="A378" s="10" t="s">
        <v>872</v>
      </c>
      <c r="B378" s="10" t="s">
        <v>872</v>
      </c>
      <c r="C378" s="9" t="s">
        <v>873</v>
      </c>
      <c r="D378" s="9" t="s">
        <v>3028</v>
      </c>
      <c r="E378" t="s">
        <v>3028</v>
      </c>
    </row>
    <row r="379" spans="1:5" x14ac:dyDescent="0.25">
      <c r="A379" s="10" t="s">
        <v>874</v>
      </c>
      <c r="B379" s="10" t="s">
        <v>874</v>
      </c>
      <c r="C379" s="9" t="s">
        <v>875</v>
      </c>
      <c r="D379" s="9" t="s">
        <v>3028</v>
      </c>
      <c r="E379" t="s">
        <v>3028</v>
      </c>
    </row>
    <row r="380" spans="1:5" x14ac:dyDescent="0.25">
      <c r="A380" s="10" t="s">
        <v>876</v>
      </c>
      <c r="B380" s="10" t="s">
        <v>876</v>
      </c>
      <c r="C380" s="9" t="s">
        <v>877</v>
      </c>
      <c r="D380" s="9" t="s">
        <v>3028</v>
      </c>
      <c r="E380" t="s">
        <v>3028</v>
      </c>
    </row>
    <row r="381" spans="1:5" x14ac:dyDescent="0.25">
      <c r="A381" s="10" t="s">
        <v>878</v>
      </c>
      <c r="B381" s="10" t="s">
        <v>878</v>
      </c>
      <c r="C381" s="9" t="s">
        <v>879</v>
      </c>
      <c r="D381" s="9" t="s">
        <v>3028</v>
      </c>
      <c r="E381" t="s">
        <v>3028</v>
      </c>
    </row>
    <row r="382" spans="1:5" x14ac:dyDescent="0.25">
      <c r="A382" s="10" t="s">
        <v>880</v>
      </c>
      <c r="B382" s="10" t="s">
        <v>880</v>
      </c>
      <c r="C382" s="9" t="s">
        <v>881</v>
      </c>
      <c r="D382" s="9" t="s">
        <v>3028</v>
      </c>
      <c r="E382" t="s">
        <v>3028</v>
      </c>
    </row>
    <row r="383" spans="1:5" x14ac:dyDescent="0.25">
      <c r="A383" s="10" t="s">
        <v>882</v>
      </c>
      <c r="B383" s="10" t="s">
        <v>882</v>
      </c>
      <c r="C383" s="9" t="s">
        <v>883</v>
      </c>
      <c r="D383" s="9" t="s">
        <v>3028</v>
      </c>
      <c r="E383" t="s">
        <v>3028</v>
      </c>
    </row>
    <row r="384" spans="1:5" x14ac:dyDescent="0.25">
      <c r="A384" s="10" t="s">
        <v>884</v>
      </c>
      <c r="B384" s="10" t="s">
        <v>884</v>
      </c>
      <c r="C384" s="9" t="s">
        <v>885</v>
      </c>
      <c r="D384" s="9" t="s">
        <v>3028</v>
      </c>
      <c r="E384" t="s">
        <v>3028</v>
      </c>
    </row>
    <row r="385" spans="1:5" x14ac:dyDescent="0.25">
      <c r="A385" s="10" t="s">
        <v>886</v>
      </c>
      <c r="B385" s="10" t="s">
        <v>886</v>
      </c>
      <c r="C385" s="9" t="s">
        <v>887</v>
      </c>
      <c r="D385" s="9" t="s">
        <v>3028</v>
      </c>
      <c r="E385" t="s">
        <v>3028</v>
      </c>
    </row>
    <row r="386" spans="1:5" x14ac:dyDescent="0.25">
      <c r="A386" s="10" t="s">
        <v>888</v>
      </c>
      <c r="B386" s="10" t="s">
        <v>888</v>
      </c>
      <c r="C386" s="9" t="s">
        <v>889</v>
      </c>
      <c r="D386" s="9" t="s">
        <v>3028</v>
      </c>
      <c r="E386" t="s">
        <v>3028</v>
      </c>
    </row>
    <row r="387" spans="1:5" x14ac:dyDescent="0.25">
      <c r="A387" s="10" t="s">
        <v>890</v>
      </c>
      <c r="B387" s="10" t="s">
        <v>890</v>
      </c>
      <c r="C387" s="9" t="s">
        <v>891</v>
      </c>
      <c r="D387" s="9" t="s">
        <v>3028</v>
      </c>
      <c r="E387" t="s">
        <v>3028</v>
      </c>
    </row>
    <row r="388" spans="1:5" x14ac:dyDescent="0.25">
      <c r="A388" s="10" t="s">
        <v>892</v>
      </c>
      <c r="B388" s="10" t="s">
        <v>892</v>
      </c>
      <c r="C388" s="9" t="s">
        <v>893</v>
      </c>
      <c r="D388" s="9" t="s">
        <v>3028</v>
      </c>
      <c r="E388" t="s">
        <v>3028</v>
      </c>
    </row>
    <row r="389" spans="1:5" x14ac:dyDescent="0.25">
      <c r="A389" s="10" t="s">
        <v>894</v>
      </c>
      <c r="B389" s="10" t="s">
        <v>894</v>
      </c>
      <c r="C389" s="9" t="s">
        <v>895</v>
      </c>
      <c r="D389" s="9" t="s">
        <v>3028</v>
      </c>
      <c r="E389" t="s">
        <v>3028</v>
      </c>
    </row>
    <row r="390" spans="1:5" x14ac:dyDescent="0.25">
      <c r="A390" s="10" t="s">
        <v>896</v>
      </c>
      <c r="B390" s="10" t="s">
        <v>896</v>
      </c>
      <c r="C390" s="9" t="s">
        <v>897</v>
      </c>
      <c r="D390" s="9" t="s">
        <v>3028</v>
      </c>
      <c r="E390" t="s">
        <v>3028</v>
      </c>
    </row>
    <row r="391" spans="1:5" x14ac:dyDescent="0.25">
      <c r="A391" s="10" t="s">
        <v>898</v>
      </c>
      <c r="B391" s="10" t="s">
        <v>898</v>
      </c>
      <c r="C391" s="9" t="s">
        <v>899</v>
      </c>
      <c r="D391" s="9" t="s">
        <v>3028</v>
      </c>
      <c r="E391" t="s">
        <v>3028</v>
      </c>
    </row>
    <row r="392" spans="1:5" x14ac:dyDescent="0.25">
      <c r="A392" s="10" t="s">
        <v>900</v>
      </c>
      <c r="B392" s="10" t="s">
        <v>900</v>
      </c>
      <c r="C392" s="9" t="s">
        <v>901</v>
      </c>
      <c r="D392" s="9" t="s">
        <v>3028</v>
      </c>
      <c r="E392" t="s">
        <v>3028</v>
      </c>
    </row>
    <row r="393" spans="1:5" x14ac:dyDescent="0.25">
      <c r="A393" s="10" t="s">
        <v>902</v>
      </c>
      <c r="B393" s="10" t="s">
        <v>902</v>
      </c>
      <c r="C393" s="9" t="s">
        <v>903</v>
      </c>
      <c r="D393" s="9" t="s">
        <v>3028</v>
      </c>
      <c r="E393" t="s">
        <v>3028</v>
      </c>
    </row>
    <row r="394" spans="1:5" x14ac:dyDescent="0.25">
      <c r="A394" s="10" t="s">
        <v>904</v>
      </c>
      <c r="B394" s="10" t="s">
        <v>904</v>
      </c>
      <c r="C394" s="9" t="s">
        <v>905</v>
      </c>
      <c r="D394" s="9" t="s">
        <v>3028</v>
      </c>
      <c r="E394" t="s">
        <v>3028</v>
      </c>
    </row>
    <row r="395" spans="1:5" x14ac:dyDescent="0.25">
      <c r="A395" s="10" t="s">
        <v>906</v>
      </c>
      <c r="B395" s="10" t="s">
        <v>906</v>
      </c>
      <c r="C395" s="9" t="s">
        <v>907</v>
      </c>
      <c r="D395" s="9" t="s">
        <v>3028</v>
      </c>
      <c r="E395" t="s">
        <v>3028</v>
      </c>
    </row>
    <row r="396" spans="1:5" x14ac:dyDescent="0.25">
      <c r="A396" s="10" t="s">
        <v>908</v>
      </c>
      <c r="B396" s="10" t="s">
        <v>908</v>
      </c>
      <c r="C396" s="9" t="s">
        <v>909</v>
      </c>
      <c r="D396" s="9" t="s">
        <v>3028</v>
      </c>
      <c r="E396" t="s">
        <v>3028</v>
      </c>
    </row>
    <row r="397" spans="1:5" x14ac:dyDescent="0.25">
      <c r="A397" s="10" t="s">
        <v>910</v>
      </c>
      <c r="B397" s="10" t="s">
        <v>910</v>
      </c>
      <c r="C397" s="9" t="s">
        <v>911</v>
      </c>
      <c r="D397" s="9" t="s">
        <v>3028</v>
      </c>
      <c r="E397" t="s">
        <v>3028</v>
      </c>
    </row>
    <row r="398" spans="1:5" x14ac:dyDescent="0.25">
      <c r="A398" s="10" t="s">
        <v>912</v>
      </c>
      <c r="B398" s="10" t="s">
        <v>912</v>
      </c>
      <c r="C398" s="9" t="s">
        <v>913</v>
      </c>
      <c r="D398" s="9" t="s">
        <v>3028</v>
      </c>
      <c r="E398" t="s">
        <v>3028</v>
      </c>
    </row>
    <row r="399" spans="1:5" x14ac:dyDescent="0.25">
      <c r="A399" s="10" t="s">
        <v>914</v>
      </c>
      <c r="B399" s="10" t="s">
        <v>914</v>
      </c>
      <c r="C399" s="9" t="s">
        <v>915</v>
      </c>
      <c r="D399" s="9" t="s">
        <v>3028</v>
      </c>
      <c r="E399" t="s">
        <v>3028</v>
      </c>
    </row>
    <row r="400" spans="1:5" x14ac:dyDescent="0.25">
      <c r="A400" s="10" t="s">
        <v>916</v>
      </c>
      <c r="B400" s="10" t="s">
        <v>916</v>
      </c>
      <c r="C400" s="9" t="s">
        <v>917</v>
      </c>
      <c r="D400" s="9" t="s">
        <v>3028</v>
      </c>
      <c r="E400" t="s">
        <v>3028</v>
      </c>
    </row>
    <row r="401" spans="1:5" x14ac:dyDescent="0.25">
      <c r="A401" s="10" t="s">
        <v>918</v>
      </c>
      <c r="B401" s="10" t="s">
        <v>918</v>
      </c>
      <c r="C401" s="9" t="s">
        <v>919</v>
      </c>
      <c r="D401" s="9" t="s">
        <v>3028</v>
      </c>
      <c r="E401" t="s">
        <v>3028</v>
      </c>
    </row>
    <row r="402" spans="1:5" x14ac:dyDescent="0.25">
      <c r="A402" s="10" t="s">
        <v>920</v>
      </c>
      <c r="B402" s="10" t="s">
        <v>920</v>
      </c>
      <c r="C402" s="9" t="s">
        <v>921</v>
      </c>
      <c r="D402" s="9" t="s">
        <v>3028</v>
      </c>
      <c r="E402" t="s">
        <v>3028</v>
      </c>
    </row>
    <row r="403" spans="1:5" x14ac:dyDescent="0.25">
      <c r="A403" s="10" t="s">
        <v>922</v>
      </c>
      <c r="B403" s="10" t="s">
        <v>922</v>
      </c>
      <c r="C403" s="9" t="s">
        <v>923</v>
      </c>
      <c r="D403" s="9" t="s">
        <v>3028</v>
      </c>
      <c r="E403" t="s">
        <v>3028</v>
      </c>
    </row>
    <row r="404" spans="1:5" x14ac:dyDescent="0.25">
      <c r="A404" s="10" t="s">
        <v>924</v>
      </c>
      <c r="B404" s="10" t="s">
        <v>924</v>
      </c>
      <c r="C404" s="9" t="s">
        <v>925</v>
      </c>
      <c r="D404" s="9" t="s">
        <v>3028</v>
      </c>
      <c r="E404" t="s">
        <v>3028</v>
      </c>
    </row>
    <row r="405" spans="1:5" x14ac:dyDescent="0.25">
      <c r="A405" s="10" t="s">
        <v>926</v>
      </c>
      <c r="B405" s="10" t="s">
        <v>926</v>
      </c>
      <c r="C405" s="9" t="s">
        <v>927</v>
      </c>
      <c r="D405" s="9" t="s">
        <v>3028</v>
      </c>
      <c r="E405" t="s">
        <v>3028</v>
      </c>
    </row>
    <row r="406" spans="1:5" x14ac:dyDescent="0.25">
      <c r="A406" s="10" t="s">
        <v>928</v>
      </c>
      <c r="B406" s="10" t="s">
        <v>928</v>
      </c>
      <c r="C406" s="9" t="s">
        <v>929</v>
      </c>
      <c r="D406" s="9" t="s">
        <v>3028</v>
      </c>
      <c r="E406" t="s">
        <v>3028</v>
      </c>
    </row>
    <row r="407" spans="1:5" x14ac:dyDescent="0.25">
      <c r="A407" s="10" t="s">
        <v>930</v>
      </c>
      <c r="B407" s="10" t="s">
        <v>930</v>
      </c>
      <c r="C407" s="9" t="s">
        <v>931</v>
      </c>
      <c r="D407" s="9" t="s">
        <v>3028</v>
      </c>
      <c r="E407" t="s">
        <v>3028</v>
      </c>
    </row>
    <row r="408" spans="1:5" x14ac:dyDescent="0.25">
      <c r="A408" s="10" t="s">
        <v>932</v>
      </c>
      <c r="B408" s="10" t="s">
        <v>932</v>
      </c>
      <c r="C408" s="9" t="s">
        <v>933</v>
      </c>
      <c r="D408" s="9" t="s">
        <v>3028</v>
      </c>
      <c r="E408" t="s">
        <v>3028</v>
      </c>
    </row>
    <row r="409" spans="1:5" x14ac:dyDescent="0.25">
      <c r="A409" s="10" t="s">
        <v>934</v>
      </c>
      <c r="B409" s="10" t="s">
        <v>934</v>
      </c>
      <c r="C409" s="9" t="s">
        <v>935</v>
      </c>
      <c r="D409" s="9" t="s">
        <v>3028</v>
      </c>
      <c r="E409" t="s">
        <v>3028</v>
      </c>
    </row>
    <row r="410" spans="1:5" x14ac:dyDescent="0.25">
      <c r="A410" s="10" t="s">
        <v>936</v>
      </c>
      <c r="B410" s="10" t="s">
        <v>936</v>
      </c>
      <c r="C410" s="9" t="s">
        <v>937</v>
      </c>
      <c r="D410" s="9" t="s">
        <v>3028</v>
      </c>
      <c r="E410" t="s">
        <v>3028</v>
      </c>
    </row>
    <row r="411" spans="1:5" x14ac:dyDescent="0.25">
      <c r="A411" s="10" t="s">
        <v>938</v>
      </c>
      <c r="B411" s="10" t="s">
        <v>938</v>
      </c>
      <c r="C411" s="9" t="s">
        <v>939</v>
      </c>
      <c r="D411" s="9" t="s">
        <v>3028</v>
      </c>
      <c r="E411" t="s">
        <v>3028</v>
      </c>
    </row>
    <row r="412" spans="1:5" x14ac:dyDescent="0.25">
      <c r="A412" s="10" t="s">
        <v>940</v>
      </c>
      <c r="B412" s="10" t="s">
        <v>940</v>
      </c>
      <c r="C412" s="9" t="s">
        <v>941</v>
      </c>
      <c r="D412" s="9" t="s">
        <v>3028</v>
      </c>
      <c r="E412" t="s">
        <v>3028</v>
      </c>
    </row>
    <row r="413" spans="1:5" x14ac:dyDescent="0.25">
      <c r="A413" s="10" t="s">
        <v>942</v>
      </c>
      <c r="B413" s="10" t="s">
        <v>942</v>
      </c>
      <c r="C413" s="9" t="s">
        <v>943</v>
      </c>
      <c r="D413" s="9" t="s">
        <v>3028</v>
      </c>
      <c r="E413" t="s">
        <v>3028</v>
      </c>
    </row>
    <row r="414" spans="1:5" x14ac:dyDescent="0.25">
      <c r="A414" s="10" t="s">
        <v>944</v>
      </c>
      <c r="B414" s="10" t="s">
        <v>944</v>
      </c>
      <c r="C414" s="9" t="s">
        <v>945</v>
      </c>
      <c r="D414" s="9" t="s">
        <v>3028</v>
      </c>
      <c r="E414" t="s">
        <v>3028</v>
      </c>
    </row>
    <row r="415" spans="1:5" x14ac:dyDescent="0.25">
      <c r="A415" s="10" t="s">
        <v>946</v>
      </c>
      <c r="B415" s="10" t="s">
        <v>946</v>
      </c>
      <c r="C415" s="9" t="s">
        <v>947</v>
      </c>
      <c r="D415" s="9" t="s">
        <v>3028</v>
      </c>
      <c r="E415" t="s">
        <v>3028</v>
      </c>
    </row>
    <row r="416" spans="1:5" x14ac:dyDescent="0.25">
      <c r="A416" s="10" t="s">
        <v>948</v>
      </c>
      <c r="B416" s="10" t="s">
        <v>948</v>
      </c>
      <c r="C416" s="9" t="s">
        <v>949</v>
      </c>
      <c r="D416" s="9" t="s">
        <v>3028</v>
      </c>
      <c r="E416" t="s">
        <v>3028</v>
      </c>
    </row>
    <row r="417" spans="1:5" x14ac:dyDescent="0.25">
      <c r="A417" s="10" t="s">
        <v>954</v>
      </c>
      <c r="B417" s="10" t="s">
        <v>954</v>
      </c>
      <c r="C417" s="9" t="s">
        <v>955</v>
      </c>
      <c r="D417" s="9" t="s">
        <v>3028</v>
      </c>
      <c r="E417" t="s">
        <v>3028</v>
      </c>
    </row>
    <row r="418" spans="1:5" x14ac:dyDescent="0.25">
      <c r="A418" s="10" t="s">
        <v>956</v>
      </c>
      <c r="B418" s="10" t="s">
        <v>956</v>
      </c>
      <c r="C418" s="9" t="s">
        <v>957</v>
      </c>
      <c r="D418" s="9" t="s">
        <v>3028</v>
      </c>
      <c r="E418" t="s">
        <v>3028</v>
      </c>
    </row>
    <row r="419" spans="1:5" x14ac:dyDescent="0.25">
      <c r="A419" s="10" t="s">
        <v>958</v>
      </c>
      <c r="B419" s="10" t="s">
        <v>958</v>
      </c>
      <c r="C419" s="9" t="s">
        <v>959</v>
      </c>
      <c r="D419" s="9" t="s">
        <v>3028</v>
      </c>
      <c r="E419" t="s">
        <v>3028</v>
      </c>
    </row>
    <row r="420" spans="1:5" x14ac:dyDescent="0.25">
      <c r="A420" s="10" t="s">
        <v>960</v>
      </c>
      <c r="B420" s="10" t="s">
        <v>960</v>
      </c>
      <c r="C420" s="9" t="s">
        <v>961</v>
      </c>
      <c r="D420" s="9" t="s">
        <v>3028</v>
      </c>
      <c r="E420" t="s">
        <v>3028</v>
      </c>
    </row>
    <row r="421" spans="1:5" x14ac:dyDescent="0.25">
      <c r="A421" s="10" t="s">
        <v>962</v>
      </c>
      <c r="B421" s="10" t="s">
        <v>962</v>
      </c>
      <c r="C421" s="9" t="s">
        <v>963</v>
      </c>
      <c r="D421" s="9" t="s">
        <v>3028</v>
      </c>
      <c r="E421" t="s">
        <v>3028</v>
      </c>
    </row>
    <row r="422" spans="1:5" x14ac:dyDescent="0.25">
      <c r="A422" s="10" t="s">
        <v>964</v>
      </c>
      <c r="B422" s="10" t="s">
        <v>964</v>
      </c>
      <c r="C422" s="9" t="s">
        <v>965</v>
      </c>
      <c r="D422" s="9" t="s">
        <v>3028</v>
      </c>
      <c r="E422" t="s">
        <v>3028</v>
      </c>
    </row>
    <row r="423" spans="1:5" x14ac:dyDescent="0.25">
      <c r="A423" s="10" t="s">
        <v>966</v>
      </c>
      <c r="B423" s="10" t="s">
        <v>966</v>
      </c>
      <c r="C423" s="9" t="s">
        <v>967</v>
      </c>
      <c r="D423" s="9" t="s">
        <v>3028</v>
      </c>
      <c r="E423" t="s">
        <v>3028</v>
      </c>
    </row>
    <row r="424" spans="1:5" x14ac:dyDescent="0.25">
      <c r="A424" s="10" t="s">
        <v>968</v>
      </c>
      <c r="B424" s="10" t="s">
        <v>968</v>
      </c>
      <c r="C424" s="9" t="s">
        <v>969</v>
      </c>
      <c r="D424" s="9" t="s">
        <v>3028</v>
      </c>
      <c r="E424" t="s">
        <v>3028</v>
      </c>
    </row>
    <row r="425" spans="1:5" x14ac:dyDescent="0.25">
      <c r="A425" s="10" t="s">
        <v>970</v>
      </c>
      <c r="B425" s="10" t="s">
        <v>970</v>
      </c>
      <c r="C425" s="9" t="s">
        <v>971</v>
      </c>
      <c r="D425" s="9" t="s">
        <v>3028</v>
      </c>
      <c r="E425" t="s">
        <v>3028</v>
      </c>
    </row>
    <row r="426" spans="1:5" x14ac:dyDescent="0.25">
      <c r="A426" s="10" t="s">
        <v>972</v>
      </c>
      <c r="B426" s="10" t="s">
        <v>972</v>
      </c>
      <c r="C426" s="9" t="s">
        <v>973</v>
      </c>
      <c r="D426" s="9" t="s">
        <v>3028</v>
      </c>
      <c r="E426" t="s">
        <v>3028</v>
      </c>
    </row>
    <row r="427" spans="1:5" x14ac:dyDescent="0.25">
      <c r="A427" s="10" t="s">
        <v>974</v>
      </c>
      <c r="B427" s="10" t="s">
        <v>974</v>
      </c>
      <c r="C427" s="9" t="s">
        <v>975</v>
      </c>
      <c r="D427" s="9" t="s">
        <v>3028</v>
      </c>
      <c r="E427" t="s">
        <v>3028</v>
      </c>
    </row>
    <row r="428" spans="1:5" x14ac:dyDescent="0.25">
      <c r="A428" s="10" t="s">
        <v>976</v>
      </c>
      <c r="B428" s="10" t="s">
        <v>976</v>
      </c>
      <c r="C428" s="9" t="s">
        <v>977</v>
      </c>
      <c r="D428" s="9" t="s">
        <v>3028</v>
      </c>
      <c r="E428" t="s">
        <v>3028</v>
      </c>
    </row>
    <row r="429" spans="1:5" x14ac:dyDescent="0.25">
      <c r="A429" s="10" t="s">
        <v>978</v>
      </c>
      <c r="B429" s="10" t="s">
        <v>978</v>
      </c>
      <c r="C429" s="9" t="s">
        <v>979</v>
      </c>
      <c r="D429" s="9" t="s">
        <v>3028</v>
      </c>
      <c r="E429" t="s">
        <v>3028</v>
      </c>
    </row>
    <row r="430" spans="1:5" x14ac:dyDescent="0.25">
      <c r="A430" s="10" t="s">
        <v>980</v>
      </c>
      <c r="B430" s="10" t="s">
        <v>980</v>
      </c>
      <c r="C430" s="9" t="s">
        <v>981</v>
      </c>
      <c r="D430" s="9" t="s">
        <v>3028</v>
      </c>
      <c r="E430" t="s">
        <v>3028</v>
      </c>
    </row>
    <row r="431" spans="1:5" x14ac:dyDescent="0.25">
      <c r="A431" s="10" t="s">
        <v>982</v>
      </c>
      <c r="B431" s="10" t="s">
        <v>982</v>
      </c>
      <c r="C431" s="9" t="s">
        <v>983</v>
      </c>
      <c r="D431" s="9" t="s">
        <v>3028</v>
      </c>
      <c r="E431" t="s">
        <v>3028</v>
      </c>
    </row>
    <row r="432" spans="1:5" x14ac:dyDescent="0.25">
      <c r="A432" s="10" t="s">
        <v>984</v>
      </c>
      <c r="B432" s="10" t="s">
        <v>984</v>
      </c>
      <c r="C432" s="9" t="s">
        <v>985</v>
      </c>
      <c r="D432" s="9" t="s">
        <v>3028</v>
      </c>
      <c r="E432" t="s">
        <v>3028</v>
      </c>
    </row>
    <row r="433" spans="1:5" x14ac:dyDescent="0.25">
      <c r="A433" s="10" t="s">
        <v>986</v>
      </c>
      <c r="B433" s="10" t="s">
        <v>986</v>
      </c>
      <c r="C433" s="9" t="s">
        <v>987</v>
      </c>
      <c r="D433" s="9" t="s">
        <v>3028</v>
      </c>
      <c r="E433" t="s">
        <v>3028</v>
      </c>
    </row>
    <row r="434" spans="1:5" x14ac:dyDescent="0.25">
      <c r="A434" s="10" t="s">
        <v>988</v>
      </c>
      <c r="B434" s="10" t="s">
        <v>988</v>
      </c>
      <c r="C434" s="9" t="s">
        <v>989</v>
      </c>
      <c r="D434" s="9" t="s">
        <v>3028</v>
      </c>
      <c r="E434" t="s">
        <v>3028</v>
      </c>
    </row>
    <row r="435" spans="1:5" x14ac:dyDescent="0.25">
      <c r="A435" s="10" t="s">
        <v>990</v>
      </c>
      <c r="B435" s="10" t="s">
        <v>990</v>
      </c>
      <c r="C435" s="9" t="s">
        <v>991</v>
      </c>
      <c r="D435" s="9" t="s">
        <v>3028</v>
      </c>
      <c r="E435" t="s">
        <v>3028</v>
      </c>
    </row>
    <row r="436" spans="1:5" x14ac:dyDescent="0.25">
      <c r="A436" s="10" t="s">
        <v>992</v>
      </c>
      <c r="B436" s="10" t="s">
        <v>992</v>
      </c>
      <c r="C436" s="9" t="s">
        <v>993</v>
      </c>
      <c r="D436" s="9" t="s">
        <v>3028</v>
      </c>
      <c r="E436" t="s">
        <v>3028</v>
      </c>
    </row>
    <row r="437" spans="1:5" x14ac:dyDescent="0.25">
      <c r="A437" s="10" t="s">
        <v>994</v>
      </c>
      <c r="B437" s="10" t="s">
        <v>994</v>
      </c>
      <c r="C437" s="9" t="s">
        <v>995</v>
      </c>
      <c r="D437" s="9" t="s">
        <v>3028</v>
      </c>
      <c r="E437" t="s">
        <v>3028</v>
      </c>
    </row>
    <row r="438" spans="1:5" x14ac:dyDescent="0.25">
      <c r="A438" s="10" t="s">
        <v>996</v>
      </c>
      <c r="B438" s="10" t="s">
        <v>996</v>
      </c>
      <c r="C438" s="9" t="s">
        <v>997</v>
      </c>
      <c r="D438" s="9" t="s">
        <v>3028</v>
      </c>
      <c r="E438" t="s">
        <v>3028</v>
      </c>
    </row>
    <row r="439" spans="1:5" x14ac:dyDescent="0.25">
      <c r="A439" s="10" t="s">
        <v>998</v>
      </c>
      <c r="B439" s="10" t="s">
        <v>998</v>
      </c>
      <c r="C439" s="9" t="s">
        <v>999</v>
      </c>
      <c r="D439" s="9" t="s">
        <v>3028</v>
      </c>
      <c r="E439" t="s">
        <v>3028</v>
      </c>
    </row>
    <row r="440" spans="1:5" x14ac:dyDescent="0.25">
      <c r="A440" s="10" t="s">
        <v>1000</v>
      </c>
      <c r="B440" s="10" t="s">
        <v>1000</v>
      </c>
      <c r="C440" s="9" t="s">
        <v>1001</v>
      </c>
      <c r="D440" s="9" t="s">
        <v>3028</v>
      </c>
      <c r="E440" t="s">
        <v>3028</v>
      </c>
    </row>
    <row r="441" spans="1:5" x14ac:dyDescent="0.25">
      <c r="A441" s="10" t="s">
        <v>1002</v>
      </c>
      <c r="B441" s="10" t="s">
        <v>1002</v>
      </c>
      <c r="C441" s="9" t="s">
        <v>1003</v>
      </c>
      <c r="D441" s="9" t="s">
        <v>3028</v>
      </c>
      <c r="E441" t="s">
        <v>3028</v>
      </c>
    </row>
    <row r="442" spans="1:5" x14ac:dyDescent="0.25">
      <c r="A442" s="10" t="s">
        <v>1004</v>
      </c>
      <c r="B442" s="10" t="s">
        <v>1004</v>
      </c>
      <c r="C442" s="9" t="s">
        <v>1005</v>
      </c>
      <c r="D442" s="9" t="s">
        <v>3028</v>
      </c>
      <c r="E442" t="s">
        <v>3028</v>
      </c>
    </row>
    <row r="443" spans="1:5" x14ac:dyDescent="0.25">
      <c r="A443" s="10" t="s">
        <v>1006</v>
      </c>
      <c r="B443" s="10" t="s">
        <v>1006</v>
      </c>
      <c r="C443" s="9" t="s">
        <v>1007</v>
      </c>
      <c r="D443" s="9" t="s">
        <v>3028</v>
      </c>
      <c r="E443" t="s">
        <v>3028</v>
      </c>
    </row>
    <row r="444" spans="1:5" x14ac:dyDescent="0.25">
      <c r="A444" s="10" t="s">
        <v>1008</v>
      </c>
      <c r="B444" s="10" t="s">
        <v>1008</v>
      </c>
      <c r="C444" s="9" t="s">
        <v>1009</v>
      </c>
      <c r="D444" s="9" t="s">
        <v>3028</v>
      </c>
      <c r="E444" t="s">
        <v>3028</v>
      </c>
    </row>
    <row r="445" spans="1:5" x14ac:dyDescent="0.25">
      <c r="A445" s="10" t="s">
        <v>1010</v>
      </c>
      <c r="B445" s="10" t="s">
        <v>1010</v>
      </c>
      <c r="C445" s="9" t="s">
        <v>1011</v>
      </c>
      <c r="D445" s="9" t="s">
        <v>3028</v>
      </c>
      <c r="E445" t="s">
        <v>3028</v>
      </c>
    </row>
    <row r="446" spans="1:5" x14ac:dyDescent="0.25">
      <c r="A446" s="10" t="s">
        <v>1012</v>
      </c>
      <c r="B446" s="10" t="s">
        <v>1012</v>
      </c>
      <c r="C446" s="9" t="s">
        <v>1013</v>
      </c>
      <c r="D446" s="9" t="s">
        <v>3028</v>
      </c>
      <c r="E446" t="s">
        <v>3028</v>
      </c>
    </row>
    <row r="447" spans="1:5" x14ac:dyDescent="0.25">
      <c r="A447" s="10" t="s">
        <v>1014</v>
      </c>
      <c r="B447" s="10" t="s">
        <v>1014</v>
      </c>
      <c r="C447" s="9" t="s">
        <v>1015</v>
      </c>
      <c r="D447" s="9" t="s">
        <v>3028</v>
      </c>
      <c r="E447" t="s">
        <v>3028</v>
      </c>
    </row>
    <row r="448" spans="1:5" x14ac:dyDescent="0.25">
      <c r="A448" s="10" t="s">
        <v>1016</v>
      </c>
      <c r="B448" s="10" t="s">
        <v>1016</v>
      </c>
      <c r="C448" s="9" t="s">
        <v>1017</v>
      </c>
      <c r="D448" s="9" t="s">
        <v>3028</v>
      </c>
      <c r="E448" t="s">
        <v>3028</v>
      </c>
    </row>
    <row r="449" spans="1:5" x14ac:dyDescent="0.25">
      <c r="A449" s="10" t="s">
        <v>1018</v>
      </c>
      <c r="B449" s="10" t="s">
        <v>1018</v>
      </c>
      <c r="C449" s="9" t="s">
        <v>1019</v>
      </c>
      <c r="D449" s="9" t="s">
        <v>3028</v>
      </c>
      <c r="E449" t="s">
        <v>3028</v>
      </c>
    </row>
    <row r="450" spans="1:5" x14ac:dyDescent="0.25">
      <c r="A450" s="10" t="s">
        <v>1020</v>
      </c>
      <c r="B450" s="10" t="s">
        <v>1020</v>
      </c>
      <c r="C450" s="9" t="s">
        <v>1021</v>
      </c>
      <c r="D450" s="9" t="s">
        <v>3028</v>
      </c>
      <c r="E450" t="s">
        <v>3028</v>
      </c>
    </row>
    <row r="451" spans="1:5" x14ac:dyDescent="0.25">
      <c r="A451" s="10" t="s">
        <v>1022</v>
      </c>
      <c r="B451" s="10" t="s">
        <v>1022</v>
      </c>
      <c r="C451" s="9" t="s">
        <v>1023</v>
      </c>
      <c r="D451" s="9" t="s">
        <v>3028</v>
      </c>
      <c r="E451" t="s">
        <v>3028</v>
      </c>
    </row>
    <row r="452" spans="1:5" x14ac:dyDescent="0.25">
      <c r="A452" s="10" t="s">
        <v>1024</v>
      </c>
      <c r="B452" s="10" t="s">
        <v>1024</v>
      </c>
      <c r="C452" s="9" t="s">
        <v>1025</v>
      </c>
      <c r="D452" s="9" t="s">
        <v>3028</v>
      </c>
      <c r="E452" t="s">
        <v>3028</v>
      </c>
    </row>
    <row r="453" spans="1:5" x14ac:dyDescent="0.25">
      <c r="A453" s="10" t="s">
        <v>1026</v>
      </c>
      <c r="B453" s="10" t="s">
        <v>1026</v>
      </c>
      <c r="C453" s="9" t="s">
        <v>1027</v>
      </c>
      <c r="D453" s="9" t="s">
        <v>3028</v>
      </c>
      <c r="E453" t="s">
        <v>3028</v>
      </c>
    </row>
    <row r="454" spans="1:5" x14ac:dyDescent="0.25">
      <c r="A454" s="10" t="s">
        <v>1028</v>
      </c>
      <c r="B454" s="10" t="s">
        <v>1028</v>
      </c>
      <c r="C454" s="9" t="s">
        <v>1029</v>
      </c>
      <c r="D454" s="9" t="s">
        <v>3028</v>
      </c>
      <c r="E454" t="s">
        <v>3028</v>
      </c>
    </row>
    <row r="455" spans="1:5" x14ac:dyDescent="0.25">
      <c r="A455" s="10" t="s">
        <v>1030</v>
      </c>
      <c r="B455" s="10" t="s">
        <v>1030</v>
      </c>
      <c r="C455" s="9" t="s">
        <v>1031</v>
      </c>
      <c r="D455" s="9" t="s">
        <v>3028</v>
      </c>
      <c r="E455" t="s">
        <v>3028</v>
      </c>
    </row>
    <row r="456" spans="1:5" x14ac:dyDescent="0.25">
      <c r="A456" s="10" t="s">
        <v>1032</v>
      </c>
      <c r="B456" s="10" t="s">
        <v>1032</v>
      </c>
      <c r="C456" s="9" t="s">
        <v>1033</v>
      </c>
      <c r="D456" s="9" t="s">
        <v>3028</v>
      </c>
      <c r="E456" t="s">
        <v>3028</v>
      </c>
    </row>
    <row r="457" spans="1:5" x14ac:dyDescent="0.25">
      <c r="A457" s="10" t="s">
        <v>1034</v>
      </c>
      <c r="B457" s="10" t="s">
        <v>1034</v>
      </c>
      <c r="C457" s="9" t="s">
        <v>1035</v>
      </c>
      <c r="D457" s="9" t="s">
        <v>3028</v>
      </c>
      <c r="E457" t="s">
        <v>3028</v>
      </c>
    </row>
    <row r="458" spans="1:5" x14ac:dyDescent="0.25">
      <c r="A458" s="10" t="s">
        <v>1038</v>
      </c>
      <c r="B458" s="10" t="s">
        <v>1038</v>
      </c>
      <c r="C458" s="9" t="s">
        <v>1039</v>
      </c>
      <c r="D458" s="9" t="s">
        <v>3028</v>
      </c>
      <c r="E458" t="s">
        <v>3028</v>
      </c>
    </row>
    <row r="459" spans="1:5" x14ac:dyDescent="0.25">
      <c r="A459" s="10" t="s">
        <v>1040</v>
      </c>
      <c r="B459" s="10" t="s">
        <v>1040</v>
      </c>
      <c r="C459" s="9" t="s">
        <v>1041</v>
      </c>
      <c r="D459" s="9" t="s">
        <v>3028</v>
      </c>
      <c r="E459" t="s">
        <v>3028</v>
      </c>
    </row>
    <row r="460" spans="1:5" x14ac:dyDescent="0.25">
      <c r="A460" s="10" t="s">
        <v>1042</v>
      </c>
      <c r="B460" s="10" t="s">
        <v>1042</v>
      </c>
      <c r="C460" s="9" t="s">
        <v>1043</v>
      </c>
      <c r="D460" s="9" t="s">
        <v>3028</v>
      </c>
      <c r="E460" t="s">
        <v>3028</v>
      </c>
    </row>
    <row r="461" spans="1:5" x14ac:dyDescent="0.25">
      <c r="A461" s="10" t="s">
        <v>1047</v>
      </c>
      <c r="B461" s="10" t="s">
        <v>1047</v>
      </c>
      <c r="C461" s="9" t="s">
        <v>1048</v>
      </c>
      <c r="D461" s="9" t="s">
        <v>3028</v>
      </c>
      <c r="E461" t="s">
        <v>3028</v>
      </c>
    </row>
    <row r="462" spans="1:5" x14ac:dyDescent="0.25">
      <c r="A462" s="10" t="s">
        <v>1049</v>
      </c>
      <c r="B462" s="10" t="s">
        <v>1049</v>
      </c>
      <c r="C462" s="9" t="s">
        <v>1050</v>
      </c>
      <c r="D462" s="9" t="s">
        <v>3028</v>
      </c>
      <c r="E462" t="s">
        <v>3028</v>
      </c>
    </row>
    <row r="463" spans="1:5" x14ac:dyDescent="0.25">
      <c r="A463" s="10" t="s">
        <v>1051</v>
      </c>
      <c r="B463" s="10" t="s">
        <v>1051</v>
      </c>
      <c r="C463" s="9" t="s">
        <v>1052</v>
      </c>
      <c r="D463" s="9" t="s">
        <v>3028</v>
      </c>
      <c r="E463" t="s">
        <v>3028</v>
      </c>
    </row>
    <row r="464" spans="1:5" x14ac:dyDescent="0.25">
      <c r="A464" s="10" t="s">
        <v>1053</v>
      </c>
      <c r="B464" s="10" t="s">
        <v>1053</v>
      </c>
      <c r="C464" s="9" t="s">
        <v>1054</v>
      </c>
      <c r="D464" s="9" t="s">
        <v>3028</v>
      </c>
      <c r="E464" t="s">
        <v>3028</v>
      </c>
    </row>
    <row r="465" spans="1:5" x14ac:dyDescent="0.25">
      <c r="A465" s="10" t="s">
        <v>1057</v>
      </c>
      <c r="B465" s="10" t="s">
        <v>1057</v>
      </c>
      <c r="C465" s="9" t="s">
        <v>1058</v>
      </c>
      <c r="D465" s="9" t="s">
        <v>3028</v>
      </c>
      <c r="E465" t="s">
        <v>3028</v>
      </c>
    </row>
    <row r="466" spans="1:5" x14ac:dyDescent="0.25">
      <c r="A466" s="10" t="s">
        <v>1059</v>
      </c>
      <c r="B466" s="10" t="s">
        <v>1059</v>
      </c>
      <c r="C466" s="9" t="s">
        <v>1060</v>
      </c>
      <c r="D466" s="9" t="s">
        <v>3028</v>
      </c>
      <c r="E466" t="s">
        <v>3028</v>
      </c>
    </row>
    <row r="467" spans="1:5" x14ac:dyDescent="0.25">
      <c r="A467" s="10" t="s">
        <v>1061</v>
      </c>
      <c r="B467" s="10" t="s">
        <v>1061</v>
      </c>
      <c r="C467" s="9" t="s">
        <v>1062</v>
      </c>
      <c r="D467" s="9" t="s">
        <v>3028</v>
      </c>
      <c r="E467" t="s">
        <v>3028</v>
      </c>
    </row>
    <row r="468" spans="1:5" x14ac:dyDescent="0.25">
      <c r="A468" s="10" t="s">
        <v>1063</v>
      </c>
      <c r="B468" s="10" t="s">
        <v>1063</v>
      </c>
      <c r="C468" s="9" t="s">
        <v>1064</v>
      </c>
      <c r="D468" s="9" t="s">
        <v>3028</v>
      </c>
      <c r="E468" t="s">
        <v>3028</v>
      </c>
    </row>
    <row r="469" spans="1:5" x14ac:dyDescent="0.25">
      <c r="A469" s="10" t="s">
        <v>1065</v>
      </c>
      <c r="B469" s="10" t="s">
        <v>1065</v>
      </c>
      <c r="C469" s="9" t="s">
        <v>1066</v>
      </c>
      <c r="D469" s="9" t="s">
        <v>3028</v>
      </c>
      <c r="E469" t="s">
        <v>3028</v>
      </c>
    </row>
    <row r="470" spans="1:5" x14ac:dyDescent="0.25">
      <c r="A470" s="10" t="s">
        <v>1067</v>
      </c>
      <c r="B470" s="10" t="s">
        <v>1067</v>
      </c>
      <c r="C470" s="9" t="s">
        <v>1068</v>
      </c>
      <c r="D470" s="9" t="s">
        <v>3028</v>
      </c>
      <c r="E470" t="s">
        <v>3028</v>
      </c>
    </row>
    <row r="471" spans="1:5" x14ac:dyDescent="0.25">
      <c r="A471" s="10" t="s">
        <v>1069</v>
      </c>
      <c r="B471" s="10" t="s">
        <v>1069</v>
      </c>
      <c r="C471" s="9" t="s">
        <v>1070</v>
      </c>
      <c r="D471" s="9" t="s">
        <v>3028</v>
      </c>
      <c r="E471" t="s">
        <v>3028</v>
      </c>
    </row>
    <row r="472" spans="1:5" x14ac:dyDescent="0.25">
      <c r="A472" s="10" t="s">
        <v>1071</v>
      </c>
      <c r="B472" s="10" t="s">
        <v>1071</v>
      </c>
      <c r="C472" s="9" t="s">
        <v>1072</v>
      </c>
      <c r="D472" s="9" t="s">
        <v>3028</v>
      </c>
      <c r="E472" t="s">
        <v>3028</v>
      </c>
    </row>
    <row r="473" spans="1:5" x14ac:dyDescent="0.25">
      <c r="A473" s="10" t="s">
        <v>1073</v>
      </c>
      <c r="B473" s="10" t="s">
        <v>1073</v>
      </c>
      <c r="C473" s="9" t="s">
        <v>1074</v>
      </c>
      <c r="D473" s="9" t="s">
        <v>3028</v>
      </c>
      <c r="E473" t="s">
        <v>3028</v>
      </c>
    </row>
    <row r="474" spans="1:5" x14ac:dyDescent="0.25">
      <c r="A474" s="10" t="s">
        <v>1075</v>
      </c>
      <c r="B474" s="10" t="s">
        <v>1075</v>
      </c>
      <c r="C474" s="9" t="s">
        <v>1076</v>
      </c>
      <c r="D474" s="9" t="s">
        <v>3028</v>
      </c>
      <c r="E474" t="s">
        <v>3028</v>
      </c>
    </row>
    <row r="475" spans="1:5" x14ac:dyDescent="0.25">
      <c r="A475" s="10" t="s">
        <v>1077</v>
      </c>
      <c r="B475" s="10" t="s">
        <v>1077</v>
      </c>
      <c r="C475" s="9" t="s">
        <v>1078</v>
      </c>
      <c r="D475" s="9" t="s">
        <v>3028</v>
      </c>
      <c r="E475" t="s">
        <v>3028</v>
      </c>
    </row>
    <row r="476" spans="1:5" x14ac:dyDescent="0.25">
      <c r="A476" s="10" t="s">
        <v>1079</v>
      </c>
      <c r="B476" s="10" t="s">
        <v>1079</v>
      </c>
      <c r="C476" s="9" t="s">
        <v>1080</v>
      </c>
      <c r="D476" s="9" t="s">
        <v>3028</v>
      </c>
      <c r="E476" t="s">
        <v>3028</v>
      </c>
    </row>
    <row r="477" spans="1:5" x14ac:dyDescent="0.25">
      <c r="A477" s="10" t="s">
        <v>1081</v>
      </c>
      <c r="B477" s="10" t="s">
        <v>1081</v>
      </c>
      <c r="C477" s="9" t="s">
        <v>1082</v>
      </c>
      <c r="D477" s="9" t="s">
        <v>3028</v>
      </c>
      <c r="E477" t="s">
        <v>3028</v>
      </c>
    </row>
    <row r="478" spans="1:5" x14ac:dyDescent="0.25">
      <c r="A478" s="10" t="s">
        <v>1083</v>
      </c>
      <c r="B478" s="10" t="s">
        <v>1083</v>
      </c>
      <c r="C478" s="9" t="s">
        <v>1084</v>
      </c>
      <c r="D478" s="9" t="s">
        <v>3028</v>
      </c>
      <c r="E478" t="s">
        <v>3028</v>
      </c>
    </row>
    <row r="479" spans="1:5" x14ac:dyDescent="0.25">
      <c r="A479" s="10" t="s">
        <v>1085</v>
      </c>
      <c r="B479" s="10" t="s">
        <v>1085</v>
      </c>
      <c r="C479" s="9" t="s">
        <v>1086</v>
      </c>
      <c r="D479" s="9" t="s">
        <v>3028</v>
      </c>
      <c r="E479" t="s">
        <v>3028</v>
      </c>
    </row>
    <row r="480" spans="1:5" x14ac:dyDescent="0.25">
      <c r="A480" s="10" t="s">
        <v>1087</v>
      </c>
      <c r="B480" s="10" t="s">
        <v>1087</v>
      </c>
      <c r="C480" s="9" t="s">
        <v>1088</v>
      </c>
      <c r="D480" s="9" t="s">
        <v>3028</v>
      </c>
      <c r="E480" t="s">
        <v>3028</v>
      </c>
    </row>
    <row r="481" spans="1:5" x14ac:dyDescent="0.25">
      <c r="A481" s="10" t="s">
        <v>1089</v>
      </c>
      <c r="B481" s="10" t="s">
        <v>1089</v>
      </c>
      <c r="C481" s="9" t="s">
        <v>1090</v>
      </c>
      <c r="D481" s="9" t="s">
        <v>3028</v>
      </c>
      <c r="E481" t="s">
        <v>3028</v>
      </c>
    </row>
    <row r="482" spans="1:5" x14ac:dyDescent="0.25">
      <c r="A482" s="10" t="s">
        <v>1091</v>
      </c>
      <c r="B482" s="10" t="s">
        <v>1091</v>
      </c>
      <c r="C482" s="9" t="s">
        <v>1092</v>
      </c>
      <c r="D482" s="9" t="s">
        <v>3028</v>
      </c>
      <c r="E482" t="s">
        <v>3028</v>
      </c>
    </row>
    <row r="483" spans="1:5" x14ac:dyDescent="0.25">
      <c r="A483" s="10" t="s">
        <v>1093</v>
      </c>
      <c r="B483" s="10" t="s">
        <v>1093</v>
      </c>
      <c r="C483" s="9" t="s">
        <v>1094</v>
      </c>
      <c r="D483" s="9" t="s">
        <v>3028</v>
      </c>
      <c r="E483" t="s">
        <v>3028</v>
      </c>
    </row>
    <row r="484" spans="1:5" x14ac:dyDescent="0.25">
      <c r="A484" s="10" t="s">
        <v>1095</v>
      </c>
      <c r="B484" s="10" t="s">
        <v>1095</v>
      </c>
      <c r="C484" s="9" t="s">
        <v>1096</v>
      </c>
      <c r="D484" s="9" t="s">
        <v>3028</v>
      </c>
      <c r="E484" t="s">
        <v>3028</v>
      </c>
    </row>
    <row r="485" spans="1:5" x14ac:dyDescent="0.25">
      <c r="A485" s="10" t="s">
        <v>1097</v>
      </c>
      <c r="B485" s="10" t="s">
        <v>1097</v>
      </c>
      <c r="C485" s="9" t="s">
        <v>1098</v>
      </c>
      <c r="D485" s="9" t="s">
        <v>3028</v>
      </c>
      <c r="E485" t="s">
        <v>3028</v>
      </c>
    </row>
    <row r="486" spans="1:5" x14ac:dyDescent="0.25">
      <c r="A486" s="10" t="s">
        <v>1099</v>
      </c>
      <c r="B486" s="10" t="s">
        <v>1099</v>
      </c>
      <c r="C486" s="9" t="s">
        <v>1100</v>
      </c>
      <c r="D486" s="9" t="s">
        <v>3028</v>
      </c>
      <c r="E486" t="s">
        <v>3028</v>
      </c>
    </row>
    <row r="487" spans="1:5" x14ac:dyDescent="0.25">
      <c r="A487" s="10" t="s">
        <v>1101</v>
      </c>
      <c r="B487" s="10" t="s">
        <v>1101</v>
      </c>
      <c r="C487" s="9" t="s">
        <v>1102</v>
      </c>
      <c r="D487" s="9" t="s">
        <v>3028</v>
      </c>
      <c r="E487" t="s">
        <v>3028</v>
      </c>
    </row>
    <row r="488" spans="1:5" x14ac:dyDescent="0.25">
      <c r="A488" s="10" t="s">
        <v>1103</v>
      </c>
      <c r="B488" s="10" t="s">
        <v>1103</v>
      </c>
      <c r="C488" s="9" t="s">
        <v>1104</v>
      </c>
      <c r="D488" s="9" t="s">
        <v>3028</v>
      </c>
      <c r="E488" t="s">
        <v>3028</v>
      </c>
    </row>
    <row r="489" spans="1:5" x14ac:dyDescent="0.25">
      <c r="A489" s="10" t="s">
        <v>1105</v>
      </c>
      <c r="B489" s="10" t="s">
        <v>1105</v>
      </c>
      <c r="C489" s="9" t="s">
        <v>1106</v>
      </c>
      <c r="D489" s="9" t="s">
        <v>3028</v>
      </c>
      <c r="E489" t="s">
        <v>3028</v>
      </c>
    </row>
    <row r="490" spans="1:5" x14ac:dyDescent="0.25">
      <c r="A490" s="10" t="s">
        <v>1107</v>
      </c>
      <c r="B490" s="10" t="s">
        <v>1107</v>
      </c>
      <c r="C490" s="9" t="s">
        <v>1108</v>
      </c>
      <c r="D490" s="9" t="s">
        <v>3028</v>
      </c>
      <c r="E490" t="s">
        <v>3028</v>
      </c>
    </row>
    <row r="491" spans="1:5" x14ac:dyDescent="0.25">
      <c r="A491" s="10" t="s">
        <v>1109</v>
      </c>
      <c r="B491" s="10" t="s">
        <v>1109</v>
      </c>
      <c r="C491" s="9" t="s">
        <v>1110</v>
      </c>
      <c r="D491" s="9" t="s">
        <v>3028</v>
      </c>
      <c r="E491" t="s">
        <v>3028</v>
      </c>
    </row>
    <row r="492" spans="1:5" x14ac:dyDescent="0.25">
      <c r="A492" s="10" t="s">
        <v>1111</v>
      </c>
      <c r="B492" s="10" t="s">
        <v>1111</v>
      </c>
      <c r="C492" s="9" t="s">
        <v>1112</v>
      </c>
      <c r="D492" s="9" t="s">
        <v>3028</v>
      </c>
      <c r="E492" t="s">
        <v>3028</v>
      </c>
    </row>
    <row r="493" spans="1:5" x14ac:dyDescent="0.25">
      <c r="A493" s="10" t="s">
        <v>1113</v>
      </c>
      <c r="B493" s="10" t="s">
        <v>1113</v>
      </c>
      <c r="C493" s="9" t="s">
        <v>1114</v>
      </c>
      <c r="D493" s="9" t="s">
        <v>3028</v>
      </c>
      <c r="E493" t="s">
        <v>3028</v>
      </c>
    </row>
    <row r="494" spans="1:5" x14ac:dyDescent="0.25">
      <c r="A494" s="10" t="s">
        <v>1115</v>
      </c>
      <c r="B494" s="10" t="s">
        <v>1115</v>
      </c>
      <c r="C494" s="9" t="s">
        <v>1116</v>
      </c>
      <c r="D494" s="9" t="s">
        <v>3028</v>
      </c>
      <c r="E494" t="s">
        <v>3028</v>
      </c>
    </row>
    <row r="495" spans="1:5" x14ac:dyDescent="0.25">
      <c r="A495" s="10" t="s">
        <v>1117</v>
      </c>
      <c r="B495" s="10" t="s">
        <v>1117</v>
      </c>
      <c r="C495" s="9" t="s">
        <v>1118</v>
      </c>
      <c r="D495" s="9" t="s">
        <v>3028</v>
      </c>
      <c r="E495" t="s">
        <v>3028</v>
      </c>
    </row>
    <row r="496" spans="1:5" x14ac:dyDescent="0.25">
      <c r="A496" s="10" t="s">
        <v>1119</v>
      </c>
      <c r="B496" s="10" t="s">
        <v>1119</v>
      </c>
      <c r="C496" s="9" t="s">
        <v>1120</v>
      </c>
      <c r="D496" s="9" t="s">
        <v>3028</v>
      </c>
      <c r="E496" t="s">
        <v>3028</v>
      </c>
    </row>
    <row r="497" spans="1:5" x14ac:dyDescent="0.25">
      <c r="A497" s="10" t="s">
        <v>1121</v>
      </c>
      <c r="B497" s="10" t="s">
        <v>1121</v>
      </c>
      <c r="C497" s="9" t="s">
        <v>1122</v>
      </c>
      <c r="D497" s="9" t="s">
        <v>3028</v>
      </c>
      <c r="E497" t="s">
        <v>3028</v>
      </c>
    </row>
    <row r="498" spans="1:5" x14ac:dyDescent="0.25">
      <c r="A498" s="10" t="s">
        <v>1123</v>
      </c>
      <c r="B498" s="10" t="s">
        <v>1123</v>
      </c>
      <c r="C498" s="9" t="s">
        <v>1124</v>
      </c>
      <c r="D498" s="9" t="s">
        <v>3028</v>
      </c>
      <c r="E498" t="s">
        <v>3028</v>
      </c>
    </row>
    <row r="499" spans="1:5" x14ac:dyDescent="0.25">
      <c r="A499" s="10" t="s">
        <v>1125</v>
      </c>
      <c r="B499" s="10" t="s">
        <v>1125</v>
      </c>
      <c r="C499" s="9" t="s">
        <v>1126</v>
      </c>
      <c r="D499" s="9" t="s">
        <v>3028</v>
      </c>
      <c r="E499" t="s">
        <v>3028</v>
      </c>
    </row>
    <row r="500" spans="1:5" x14ac:dyDescent="0.25">
      <c r="A500" s="10" t="s">
        <v>1127</v>
      </c>
      <c r="B500" s="10" t="s">
        <v>1127</v>
      </c>
      <c r="C500" s="9" t="s">
        <v>1128</v>
      </c>
      <c r="D500" s="9" t="s">
        <v>3028</v>
      </c>
      <c r="E500" t="s">
        <v>3028</v>
      </c>
    </row>
    <row r="501" spans="1:5" x14ac:dyDescent="0.25">
      <c r="A501" s="10" t="s">
        <v>1129</v>
      </c>
      <c r="B501" s="10" t="s">
        <v>1129</v>
      </c>
      <c r="C501" s="9" t="s">
        <v>1130</v>
      </c>
      <c r="D501" s="9" t="s">
        <v>3028</v>
      </c>
      <c r="E501" t="s">
        <v>3028</v>
      </c>
    </row>
    <row r="502" spans="1:5" x14ac:dyDescent="0.25">
      <c r="A502" s="10" t="s">
        <v>1131</v>
      </c>
      <c r="B502" s="10" t="s">
        <v>1131</v>
      </c>
      <c r="C502" s="9" t="s">
        <v>1132</v>
      </c>
      <c r="D502" s="9" t="s">
        <v>3028</v>
      </c>
      <c r="E502" t="s">
        <v>3028</v>
      </c>
    </row>
    <row r="503" spans="1:5" x14ac:dyDescent="0.25">
      <c r="A503" s="10" t="s">
        <v>1133</v>
      </c>
      <c r="B503" s="10" t="s">
        <v>1133</v>
      </c>
      <c r="C503" s="9" t="s">
        <v>1134</v>
      </c>
      <c r="D503" s="9" t="s">
        <v>3028</v>
      </c>
      <c r="E503" t="s">
        <v>3028</v>
      </c>
    </row>
    <row r="504" spans="1:5" x14ac:dyDescent="0.25">
      <c r="A504" s="10" t="s">
        <v>1135</v>
      </c>
      <c r="B504" s="10" t="s">
        <v>1135</v>
      </c>
      <c r="C504" s="9" t="s">
        <v>1136</v>
      </c>
      <c r="D504" s="9" t="s">
        <v>3028</v>
      </c>
      <c r="E504" t="s">
        <v>3028</v>
      </c>
    </row>
    <row r="505" spans="1:5" x14ac:dyDescent="0.25">
      <c r="A505" s="10" t="s">
        <v>1137</v>
      </c>
      <c r="B505" s="10" t="s">
        <v>1137</v>
      </c>
      <c r="C505" s="9" t="s">
        <v>1138</v>
      </c>
      <c r="D505" s="9" t="s">
        <v>3028</v>
      </c>
      <c r="E505" t="s">
        <v>3028</v>
      </c>
    </row>
    <row r="506" spans="1:5" x14ac:dyDescent="0.25">
      <c r="A506" s="10" t="s">
        <v>1139</v>
      </c>
      <c r="B506" s="10" t="s">
        <v>1139</v>
      </c>
      <c r="C506" s="9" t="s">
        <v>1140</v>
      </c>
      <c r="D506" s="9" t="s">
        <v>3028</v>
      </c>
      <c r="E506" t="s">
        <v>3028</v>
      </c>
    </row>
    <row r="507" spans="1:5" x14ac:dyDescent="0.25">
      <c r="A507" s="10" t="s">
        <v>1141</v>
      </c>
      <c r="B507" s="10" t="s">
        <v>1141</v>
      </c>
      <c r="C507" s="9" t="s">
        <v>1142</v>
      </c>
      <c r="D507" s="9" t="s">
        <v>3028</v>
      </c>
      <c r="E507" t="s">
        <v>3028</v>
      </c>
    </row>
    <row r="508" spans="1:5" x14ac:dyDescent="0.25">
      <c r="A508" s="10" t="s">
        <v>1143</v>
      </c>
      <c r="B508" s="10" t="s">
        <v>1143</v>
      </c>
      <c r="C508" s="9" t="s">
        <v>1144</v>
      </c>
      <c r="D508" s="9" t="s">
        <v>3028</v>
      </c>
      <c r="E508" t="s">
        <v>3028</v>
      </c>
    </row>
    <row r="509" spans="1:5" x14ac:dyDescent="0.25">
      <c r="A509" s="10" t="s">
        <v>1145</v>
      </c>
      <c r="B509" s="10" t="s">
        <v>1145</v>
      </c>
      <c r="C509" s="9" t="s">
        <v>1146</v>
      </c>
      <c r="D509" s="9" t="s">
        <v>3028</v>
      </c>
      <c r="E509" t="s">
        <v>3028</v>
      </c>
    </row>
    <row r="510" spans="1:5" x14ac:dyDescent="0.25">
      <c r="A510" s="10" t="s">
        <v>1147</v>
      </c>
      <c r="B510" s="10" t="s">
        <v>1147</v>
      </c>
      <c r="C510" s="9" t="s">
        <v>1148</v>
      </c>
      <c r="D510" s="9" t="s">
        <v>3028</v>
      </c>
      <c r="E510" t="s">
        <v>3028</v>
      </c>
    </row>
    <row r="511" spans="1:5" x14ac:dyDescent="0.25">
      <c r="A511" s="10" t="s">
        <v>1149</v>
      </c>
      <c r="B511" s="10" t="s">
        <v>1149</v>
      </c>
      <c r="C511" s="9" t="s">
        <v>1150</v>
      </c>
      <c r="D511" s="9" t="s">
        <v>3028</v>
      </c>
      <c r="E511" t="s">
        <v>3028</v>
      </c>
    </row>
    <row r="512" spans="1:5" x14ac:dyDescent="0.25">
      <c r="A512" s="10" t="s">
        <v>1151</v>
      </c>
      <c r="B512" s="10" t="s">
        <v>1151</v>
      </c>
      <c r="C512" s="9" t="s">
        <v>1152</v>
      </c>
      <c r="D512" s="9" t="s">
        <v>3028</v>
      </c>
      <c r="E512" t="s">
        <v>3028</v>
      </c>
    </row>
    <row r="513" spans="1:5" x14ac:dyDescent="0.25">
      <c r="A513" s="10" t="s">
        <v>1153</v>
      </c>
      <c r="B513" s="10" t="s">
        <v>1153</v>
      </c>
      <c r="C513" s="9" t="s">
        <v>1154</v>
      </c>
      <c r="D513" s="9" t="s">
        <v>3028</v>
      </c>
      <c r="E513" t="s">
        <v>3028</v>
      </c>
    </row>
    <row r="514" spans="1:5" x14ac:dyDescent="0.25">
      <c r="A514" s="10" t="s">
        <v>1155</v>
      </c>
      <c r="B514" s="10" t="s">
        <v>1155</v>
      </c>
      <c r="C514" s="9" t="s">
        <v>1156</v>
      </c>
      <c r="D514" s="9" t="s">
        <v>3028</v>
      </c>
      <c r="E514" t="s">
        <v>3028</v>
      </c>
    </row>
    <row r="515" spans="1:5" x14ac:dyDescent="0.25">
      <c r="A515" s="10" t="s">
        <v>1159</v>
      </c>
      <c r="B515" s="10" t="s">
        <v>1159</v>
      </c>
      <c r="C515" s="9" t="s">
        <v>1160</v>
      </c>
      <c r="D515" s="9" t="s">
        <v>3028</v>
      </c>
      <c r="E515" t="s">
        <v>3028</v>
      </c>
    </row>
    <row r="516" spans="1:5" x14ac:dyDescent="0.25">
      <c r="A516" s="10" t="s">
        <v>1161</v>
      </c>
      <c r="B516" s="10" t="s">
        <v>1161</v>
      </c>
      <c r="C516" s="9" t="s">
        <v>1162</v>
      </c>
      <c r="D516" s="9" t="s">
        <v>3028</v>
      </c>
      <c r="E516" t="s">
        <v>3028</v>
      </c>
    </row>
    <row r="517" spans="1:5" x14ac:dyDescent="0.25">
      <c r="A517" s="10" t="s">
        <v>1163</v>
      </c>
      <c r="B517" s="10" t="s">
        <v>1163</v>
      </c>
      <c r="C517" s="9" t="s">
        <v>1164</v>
      </c>
      <c r="D517" s="9" t="s">
        <v>3028</v>
      </c>
      <c r="E517" t="s">
        <v>3028</v>
      </c>
    </row>
    <row r="518" spans="1:5" x14ac:dyDescent="0.25">
      <c r="A518" s="10" t="s">
        <v>1165</v>
      </c>
      <c r="B518" s="10" t="s">
        <v>1165</v>
      </c>
      <c r="C518" s="9" t="s">
        <v>1166</v>
      </c>
      <c r="D518" s="9" t="s">
        <v>3028</v>
      </c>
      <c r="E518" t="s">
        <v>3028</v>
      </c>
    </row>
    <row r="519" spans="1:5" x14ac:dyDescent="0.25">
      <c r="A519" s="10" t="s">
        <v>1167</v>
      </c>
      <c r="B519" s="10" t="s">
        <v>1167</v>
      </c>
      <c r="C519" s="9" t="s">
        <v>1168</v>
      </c>
      <c r="D519" s="9" t="s">
        <v>3028</v>
      </c>
      <c r="E519" t="s">
        <v>3028</v>
      </c>
    </row>
    <row r="520" spans="1:5" x14ac:dyDescent="0.25">
      <c r="A520" s="10" t="s">
        <v>1169</v>
      </c>
      <c r="B520" s="10" t="s">
        <v>1169</v>
      </c>
      <c r="C520" s="9" t="s">
        <v>1170</v>
      </c>
      <c r="D520" s="9" t="s">
        <v>3028</v>
      </c>
      <c r="E520" t="s">
        <v>3028</v>
      </c>
    </row>
    <row r="521" spans="1:5" x14ac:dyDescent="0.25">
      <c r="A521" s="10" t="s">
        <v>1171</v>
      </c>
      <c r="B521" s="10" t="s">
        <v>1171</v>
      </c>
      <c r="C521" s="9" t="s">
        <v>1172</v>
      </c>
      <c r="D521" s="9" t="s">
        <v>3028</v>
      </c>
      <c r="E521" t="s">
        <v>3028</v>
      </c>
    </row>
    <row r="522" spans="1:5" x14ac:dyDescent="0.25">
      <c r="A522" s="10" t="s">
        <v>1173</v>
      </c>
      <c r="B522" s="10" t="s">
        <v>1173</v>
      </c>
      <c r="C522" s="9" t="s">
        <v>1174</v>
      </c>
      <c r="D522" s="9" t="s">
        <v>3028</v>
      </c>
      <c r="E522" t="s">
        <v>3028</v>
      </c>
    </row>
    <row r="523" spans="1:5" x14ac:dyDescent="0.25">
      <c r="A523" s="10" t="s">
        <v>1175</v>
      </c>
      <c r="B523" s="10" t="s">
        <v>1175</v>
      </c>
      <c r="C523" s="9" t="s">
        <v>1176</v>
      </c>
      <c r="D523" s="9" t="s">
        <v>3028</v>
      </c>
      <c r="E523" t="s">
        <v>3028</v>
      </c>
    </row>
    <row r="524" spans="1:5" x14ac:dyDescent="0.25">
      <c r="A524" s="10" t="s">
        <v>1177</v>
      </c>
      <c r="B524" s="10" t="s">
        <v>1177</v>
      </c>
      <c r="C524" s="9" t="s">
        <v>1178</v>
      </c>
      <c r="D524" s="9" t="s">
        <v>3028</v>
      </c>
      <c r="E524" t="s">
        <v>3028</v>
      </c>
    </row>
    <row r="525" spans="1:5" x14ac:dyDescent="0.25">
      <c r="A525" s="10" t="s">
        <v>1179</v>
      </c>
      <c r="B525" s="10" t="s">
        <v>1179</v>
      </c>
      <c r="C525" s="9" t="s">
        <v>1180</v>
      </c>
      <c r="D525" s="9" t="s">
        <v>3028</v>
      </c>
      <c r="E525" t="s">
        <v>3028</v>
      </c>
    </row>
    <row r="526" spans="1:5" x14ac:dyDescent="0.25">
      <c r="A526" s="10" t="s">
        <v>1181</v>
      </c>
      <c r="B526" s="10" t="s">
        <v>1181</v>
      </c>
      <c r="C526" s="9" t="s">
        <v>1182</v>
      </c>
      <c r="D526" s="9" t="s">
        <v>3028</v>
      </c>
      <c r="E526" t="s">
        <v>3028</v>
      </c>
    </row>
    <row r="527" spans="1:5" x14ac:dyDescent="0.25">
      <c r="A527" s="10" t="s">
        <v>1183</v>
      </c>
      <c r="B527" s="10" t="s">
        <v>1183</v>
      </c>
      <c r="C527" s="9" t="s">
        <v>1184</v>
      </c>
      <c r="D527" s="9" t="s">
        <v>3028</v>
      </c>
      <c r="E527" t="s">
        <v>3028</v>
      </c>
    </row>
    <row r="528" spans="1:5" x14ac:dyDescent="0.25">
      <c r="A528" s="10" t="s">
        <v>1185</v>
      </c>
      <c r="B528" s="10" t="s">
        <v>1185</v>
      </c>
      <c r="C528" s="9" t="s">
        <v>1186</v>
      </c>
      <c r="D528" s="9" t="s">
        <v>3028</v>
      </c>
      <c r="E528" t="s">
        <v>3028</v>
      </c>
    </row>
    <row r="529" spans="1:5" x14ac:dyDescent="0.25">
      <c r="A529" s="10" t="s">
        <v>1187</v>
      </c>
      <c r="B529" s="10" t="s">
        <v>1187</v>
      </c>
      <c r="C529" s="9" t="s">
        <v>1188</v>
      </c>
      <c r="D529" s="9" t="s">
        <v>3028</v>
      </c>
      <c r="E529" t="s">
        <v>3028</v>
      </c>
    </row>
    <row r="530" spans="1:5" x14ac:dyDescent="0.25">
      <c r="A530" s="10" t="s">
        <v>1191</v>
      </c>
      <c r="B530" s="10" t="s">
        <v>1191</v>
      </c>
      <c r="C530" s="9" t="s">
        <v>1192</v>
      </c>
      <c r="D530" s="9" t="s">
        <v>3028</v>
      </c>
      <c r="E530" t="s">
        <v>3028</v>
      </c>
    </row>
    <row r="531" spans="1:5" x14ac:dyDescent="0.25">
      <c r="A531" s="10" t="s">
        <v>1193</v>
      </c>
      <c r="B531" s="10" t="s">
        <v>1193</v>
      </c>
      <c r="C531" s="9" t="s">
        <v>1194</v>
      </c>
      <c r="D531" s="9" t="s">
        <v>3028</v>
      </c>
      <c r="E531" t="s">
        <v>3028</v>
      </c>
    </row>
    <row r="532" spans="1:5" x14ac:dyDescent="0.25">
      <c r="A532" s="10" t="s">
        <v>1195</v>
      </c>
      <c r="B532" s="10" t="s">
        <v>1195</v>
      </c>
      <c r="C532" s="9" t="s">
        <v>1196</v>
      </c>
      <c r="D532" s="9" t="s">
        <v>3028</v>
      </c>
      <c r="E532" t="s">
        <v>3028</v>
      </c>
    </row>
    <row r="533" spans="1:5" x14ac:dyDescent="0.25">
      <c r="A533" s="10" t="s">
        <v>1197</v>
      </c>
      <c r="B533" s="10" t="s">
        <v>1197</v>
      </c>
      <c r="C533" s="9" t="s">
        <v>1198</v>
      </c>
      <c r="D533" s="9" t="s">
        <v>3028</v>
      </c>
      <c r="E533" t="s">
        <v>3028</v>
      </c>
    </row>
    <row r="534" spans="1:5" x14ac:dyDescent="0.25">
      <c r="A534" s="10" t="s">
        <v>1199</v>
      </c>
      <c r="B534" s="10" t="s">
        <v>1199</v>
      </c>
      <c r="C534" s="9" t="s">
        <v>1200</v>
      </c>
      <c r="D534" s="9" t="s">
        <v>3028</v>
      </c>
      <c r="E534" t="s">
        <v>3028</v>
      </c>
    </row>
    <row r="535" spans="1:5" x14ac:dyDescent="0.25">
      <c r="A535" s="10" t="s">
        <v>1201</v>
      </c>
      <c r="B535" s="10" t="s">
        <v>1201</v>
      </c>
      <c r="C535" s="9" t="s">
        <v>1202</v>
      </c>
      <c r="D535" s="9" t="s">
        <v>3028</v>
      </c>
      <c r="E535" t="s">
        <v>3028</v>
      </c>
    </row>
    <row r="536" spans="1:5" x14ac:dyDescent="0.25">
      <c r="A536" s="10" t="s">
        <v>1203</v>
      </c>
      <c r="B536" s="10" t="s">
        <v>1203</v>
      </c>
      <c r="C536" s="9" t="s">
        <v>1204</v>
      </c>
      <c r="D536" s="9" t="s">
        <v>3028</v>
      </c>
      <c r="E536" t="s">
        <v>3028</v>
      </c>
    </row>
    <row r="537" spans="1:5" x14ac:dyDescent="0.25">
      <c r="A537" s="10" t="s">
        <v>1205</v>
      </c>
      <c r="B537" s="10" t="s">
        <v>1205</v>
      </c>
      <c r="C537" s="9" t="s">
        <v>1206</v>
      </c>
      <c r="D537" s="9" t="s">
        <v>3028</v>
      </c>
      <c r="E537" t="s">
        <v>3028</v>
      </c>
    </row>
    <row r="538" spans="1:5" x14ac:dyDescent="0.25">
      <c r="A538" s="10" t="s">
        <v>1207</v>
      </c>
      <c r="B538" s="10" t="s">
        <v>1207</v>
      </c>
      <c r="C538" s="9" t="s">
        <v>1208</v>
      </c>
      <c r="D538" s="9" t="s">
        <v>3028</v>
      </c>
      <c r="E538" t="s">
        <v>3028</v>
      </c>
    </row>
    <row r="539" spans="1:5" x14ac:dyDescent="0.25">
      <c r="A539" s="10" t="s">
        <v>1209</v>
      </c>
      <c r="B539" s="10" t="s">
        <v>1209</v>
      </c>
      <c r="C539" s="9" t="s">
        <v>1210</v>
      </c>
      <c r="D539" s="9" t="s">
        <v>3028</v>
      </c>
      <c r="E539" t="s">
        <v>3028</v>
      </c>
    </row>
    <row r="540" spans="1:5" x14ac:dyDescent="0.25">
      <c r="A540" s="10" t="s">
        <v>1211</v>
      </c>
      <c r="B540" s="10" t="s">
        <v>1211</v>
      </c>
      <c r="C540" s="9" t="s">
        <v>1212</v>
      </c>
      <c r="D540" s="9" t="s">
        <v>3028</v>
      </c>
      <c r="E540" t="s">
        <v>3028</v>
      </c>
    </row>
    <row r="541" spans="1:5" x14ac:dyDescent="0.25">
      <c r="A541" s="10" t="s">
        <v>1213</v>
      </c>
      <c r="B541" s="10" t="s">
        <v>1213</v>
      </c>
      <c r="C541" s="9" t="s">
        <v>1214</v>
      </c>
      <c r="D541" s="9" t="s">
        <v>3028</v>
      </c>
      <c r="E541" t="s">
        <v>3028</v>
      </c>
    </row>
    <row r="542" spans="1:5" x14ac:dyDescent="0.25">
      <c r="A542" s="10" t="s">
        <v>1215</v>
      </c>
      <c r="B542" s="10" t="s">
        <v>1215</v>
      </c>
      <c r="C542" s="9" t="s">
        <v>1216</v>
      </c>
      <c r="D542" s="9" t="s">
        <v>3028</v>
      </c>
      <c r="E542" t="s">
        <v>3028</v>
      </c>
    </row>
    <row r="543" spans="1:5" x14ac:dyDescent="0.25">
      <c r="A543" s="10" t="s">
        <v>1217</v>
      </c>
      <c r="B543" s="10" t="s">
        <v>1217</v>
      </c>
      <c r="C543" s="9" t="s">
        <v>1218</v>
      </c>
      <c r="D543" s="9" t="s">
        <v>3028</v>
      </c>
      <c r="E543" t="s">
        <v>3028</v>
      </c>
    </row>
    <row r="544" spans="1:5" x14ac:dyDescent="0.25">
      <c r="A544" s="10" t="s">
        <v>1219</v>
      </c>
      <c r="B544" s="10" t="s">
        <v>1219</v>
      </c>
      <c r="C544" s="9" t="s">
        <v>1220</v>
      </c>
      <c r="D544" s="9" t="s">
        <v>3028</v>
      </c>
      <c r="E544" t="s">
        <v>3028</v>
      </c>
    </row>
    <row r="545" spans="1:5" x14ac:dyDescent="0.25">
      <c r="A545" s="10" t="s">
        <v>1221</v>
      </c>
      <c r="B545" s="10" t="s">
        <v>1221</v>
      </c>
      <c r="C545" s="9" t="s">
        <v>1222</v>
      </c>
      <c r="D545" s="9" t="s">
        <v>3028</v>
      </c>
      <c r="E545" t="s">
        <v>3028</v>
      </c>
    </row>
    <row r="546" spans="1:5" x14ac:dyDescent="0.25">
      <c r="A546" s="10" t="s">
        <v>1223</v>
      </c>
      <c r="B546" s="10" t="s">
        <v>1223</v>
      </c>
      <c r="C546" s="9" t="s">
        <v>1224</v>
      </c>
      <c r="D546" s="9" t="s">
        <v>3028</v>
      </c>
      <c r="E546" t="s">
        <v>3028</v>
      </c>
    </row>
    <row r="547" spans="1:5" x14ac:dyDescent="0.25">
      <c r="A547" s="10" t="s">
        <v>1225</v>
      </c>
      <c r="B547" s="10" t="s">
        <v>1225</v>
      </c>
      <c r="C547" s="9" t="s">
        <v>1226</v>
      </c>
      <c r="D547" s="9" t="s">
        <v>3028</v>
      </c>
      <c r="E547" t="s">
        <v>3028</v>
      </c>
    </row>
    <row r="548" spans="1:5" x14ac:dyDescent="0.25">
      <c r="A548" s="10" t="s">
        <v>1227</v>
      </c>
      <c r="B548" s="10" t="s">
        <v>1227</v>
      </c>
      <c r="C548" s="9" t="s">
        <v>1228</v>
      </c>
      <c r="D548" s="9" t="s">
        <v>3028</v>
      </c>
      <c r="E548" t="s">
        <v>3028</v>
      </c>
    </row>
    <row r="549" spans="1:5" x14ac:dyDescent="0.25">
      <c r="A549" s="10" t="s">
        <v>1229</v>
      </c>
      <c r="B549" s="10" t="s">
        <v>1229</v>
      </c>
      <c r="C549" s="9" t="s">
        <v>1230</v>
      </c>
      <c r="D549" s="9" t="s">
        <v>3028</v>
      </c>
      <c r="E549" t="s">
        <v>3028</v>
      </c>
    </row>
    <row r="550" spans="1:5" x14ac:dyDescent="0.25">
      <c r="A550" s="10" t="s">
        <v>1231</v>
      </c>
      <c r="B550" s="10" t="s">
        <v>1231</v>
      </c>
      <c r="C550" s="9" t="s">
        <v>1232</v>
      </c>
      <c r="D550" s="9" t="s">
        <v>3028</v>
      </c>
      <c r="E550" t="s">
        <v>3028</v>
      </c>
    </row>
    <row r="551" spans="1:5" x14ac:dyDescent="0.25">
      <c r="A551" s="10" t="s">
        <v>1233</v>
      </c>
      <c r="B551" s="10" t="s">
        <v>1233</v>
      </c>
      <c r="C551" s="9" t="s">
        <v>1234</v>
      </c>
      <c r="D551" s="9" t="s">
        <v>3028</v>
      </c>
      <c r="E551" t="s">
        <v>3028</v>
      </c>
    </row>
    <row r="552" spans="1:5" x14ac:dyDescent="0.25">
      <c r="A552" s="10" t="s">
        <v>1235</v>
      </c>
      <c r="B552" s="10" t="s">
        <v>1235</v>
      </c>
      <c r="C552" s="9" t="s">
        <v>1236</v>
      </c>
      <c r="D552" s="9" t="s">
        <v>3028</v>
      </c>
      <c r="E552" t="s">
        <v>3028</v>
      </c>
    </row>
    <row r="553" spans="1:5" x14ac:dyDescent="0.25">
      <c r="A553" s="10" t="s">
        <v>1237</v>
      </c>
      <c r="B553" s="10" t="s">
        <v>1237</v>
      </c>
      <c r="C553" s="9" t="s">
        <v>1238</v>
      </c>
      <c r="D553" s="9" t="s">
        <v>3028</v>
      </c>
      <c r="E553" t="s">
        <v>3028</v>
      </c>
    </row>
    <row r="554" spans="1:5" x14ac:dyDescent="0.25">
      <c r="A554" s="10" t="s">
        <v>1239</v>
      </c>
      <c r="B554" s="10" t="s">
        <v>1239</v>
      </c>
      <c r="C554" s="9" t="s">
        <v>1240</v>
      </c>
      <c r="D554" s="9" t="s">
        <v>3028</v>
      </c>
      <c r="E554" t="s">
        <v>3028</v>
      </c>
    </row>
    <row r="555" spans="1:5" x14ac:dyDescent="0.25">
      <c r="A555" s="10" t="s">
        <v>1241</v>
      </c>
      <c r="B555" s="10" t="s">
        <v>1241</v>
      </c>
      <c r="C555" s="9" t="s">
        <v>1242</v>
      </c>
      <c r="D555" s="9" t="s">
        <v>3028</v>
      </c>
      <c r="E555" t="s">
        <v>3028</v>
      </c>
    </row>
    <row r="556" spans="1:5" x14ac:dyDescent="0.25">
      <c r="A556" s="10" t="s">
        <v>1243</v>
      </c>
      <c r="B556" s="10" t="s">
        <v>1243</v>
      </c>
      <c r="C556" s="9" t="s">
        <v>1244</v>
      </c>
      <c r="D556" s="9" t="s">
        <v>3028</v>
      </c>
      <c r="E556" t="s">
        <v>3028</v>
      </c>
    </row>
    <row r="557" spans="1:5" x14ac:dyDescent="0.25">
      <c r="A557" s="10" t="s">
        <v>1245</v>
      </c>
      <c r="B557" s="10" t="s">
        <v>1245</v>
      </c>
      <c r="C557" s="9" t="s">
        <v>1246</v>
      </c>
      <c r="D557" s="9" t="s">
        <v>3028</v>
      </c>
      <c r="E557" t="s">
        <v>3028</v>
      </c>
    </row>
    <row r="558" spans="1:5" x14ac:dyDescent="0.25">
      <c r="A558" s="10" t="s">
        <v>1247</v>
      </c>
      <c r="B558" s="10" t="s">
        <v>1247</v>
      </c>
      <c r="C558" s="9" t="s">
        <v>1248</v>
      </c>
      <c r="D558" s="9" t="s">
        <v>3028</v>
      </c>
      <c r="E558" t="s">
        <v>3028</v>
      </c>
    </row>
    <row r="559" spans="1:5" x14ac:dyDescent="0.25">
      <c r="A559" s="10" t="s">
        <v>1249</v>
      </c>
      <c r="B559" s="10" t="s">
        <v>1249</v>
      </c>
      <c r="C559" s="9" t="s">
        <v>1250</v>
      </c>
      <c r="D559" s="9" t="s">
        <v>3028</v>
      </c>
      <c r="E559" t="s">
        <v>3028</v>
      </c>
    </row>
    <row r="560" spans="1:5" x14ac:dyDescent="0.25">
      <c r="A560" s="10" t="s">
        <v>1251</v>
      </c>
      <c r="B560" s="10" t="s">
        <v>1251</v>
      </c>
      <c r="C560" s="9" t="s">
        <v>1252</v>
      </c>
      <c r="D560" s="9" t="s">
        <v>3028</v>
      </c>
      <c r="E560" t="s">
        <v>3028</v>
      </c>
    </row>
    <row r="561" spans="1:5" x14ac:dyDescent="0.25">
      <c r="A561" s="10" t="s">
        <v>1253</v>
      </c>
      <c r="B561" s="10" t="s">
        <v>1253</v>
      </c>
      <c r="C561" s="9" t="s">
        <v>1254</v>
      </c>
      <c r="D561" s="9" t="s">
        <v>3028</v>
      </c>
      <c r="E561" t="s">
        <v>3028</v>
      </c>
    </row>
    <row r="562" spans="1:5" x14ac:dyDescent="0.25">
      <c r="A562" s="10" t="s">
        <v>1255</v>
      </c>
      <c r="B562" s="10" t="s">
        <v>1255</v>
      </c>
      <c r="C562" s="9" t="s">
        <v>1256</v>
      </c>
      <c r="D562" s="9" t="s">
        <v>3028</v>
      </c>
      <c r="E562" t="s">
        <v>3028</v>
      </c>
    </row>
    <row r="563" spans="1:5" x14ac:dyDescent="0.25">
      <c r="A563" s="10" t="s">
        <v>1257</v>
      </c>
      <c r="B563" s="10" t="s">
        <v>1257</v>
      </c>
      <c r="C563" s="9" t="s">
        <v>1258</v>
      </c>
      <c r="D563" s="9" t="s">
        <v>3028</v>
      </c>
      <c r="E563" t="s">
        <v>3028</v>
      </c>
    </row>
    <row r="564" spans="1:5" x14ac:dyDescent="0.25">
      <c r="A564" s="10" t="s">
        <v>1259</v>
      </c>
      <c r="B564" s="10" t="s">
        <v>1259</v>
      </c>
      <c r="C564" s="9" t="s">
        <v>1260</v>
      </c>
      <c r="D564" s="9" t="s">
        <v>3028</v>
      </c>
      <c r="E564" t="s">
        <v>3028</v>
      </c>
    </row>
    <row r="565" spans="1:5" x14ac:dyDescent="0.25">
      <c r="A565" s="10" t="s">
        <v>1261</v>
      </c>
      <c r="B565" s="10" t="s">
        <v>1261</v>
      </c>
      <c r="C565" s="9" t="s">
        <v>1262</v>
      </c>
      <c r="D565" s="9" t="s">
        <v>3028</v>
      </c>
      <c r="E565" t="s">
        <v>3028</v>
      </c>
    </row>
    <row r="566" spans="1:5" x14ac:dyDescent="0.25">
      <c r="A566" s="10" t="s">
        <v>1263</v>
      </c>
      <c r="B566" s="10" t="s">
        <v>1263</v>
      </c>
      <c r="C566" s="9" t="s">
        <v>1264</v>
      </c>
      <c r="D566" s="9" t="s">
        <v>3028</v>
      </c>
      <c r="E566" t="s">
        <v>3028</v>
      </c>
    </row>
    <row r="567" spans="1:5" x14ac:dyDescent="0.25">
      <c r="A567" s="10" t="s">
        <v>1265</v>
      </c>
      <c r="B567" s="10" t="s">
        <v>1265</v>
      </c>
      <c r="C567" s="9" t="s">
        <v>1266</v>
      </c>
      <c r="D567" s="9" t="s">
        <v>3028</v>
      </c>
      <c r="E567" t="s">
        <v>3028</v>
      </c>
    </row>
    <row r="568" spans="1:5" x14ac:dyDescent="0.25">
      <c r="A568" s="10" t="s">
        <v>1267</v>
      </c>
      <c r="B568" s="10" t="s">
        <v>1267</v>
      </c>
      <c r="C568" s="9" t="s">
        <v>1268</v>
      </c>
      <c r="D568" s="9" t="s">
        <v>3028</v>
      </c>
      <c r="E568" t="s">
        <v>3028</v>
      </c>
    </row>
    <row r="569" spans="1:5" x14ac:dyDescent="0.25">
      <c r="A569" s="10" t="s">
        <v>1269</v>
      </c>
      <c r="B569" s="10" t="s">
        <v>1269</v>
      </c>
      <c r="C569" s="9" t="s">
        <v>1270</v>
      </c>
      <c r="D569" s="9" t="s">
        <v>3028</v>
      </c>
      <c r="E569" t="s">
        <v>3028</v>
      </c>
    </row>
    <row r="570" spans="1:5" x14ac:dyDescent="0.25">
      <c r="A570" s="10" t="s">
        <v>1271</v>
      </c>
      <c r="B570" s="10" t="s">
        <v>1271</v>
      </c>
      <c r="C570" s="9" t="s">
        <v>1272</v>
      </c>
      <c r="D570" s="9" t="s">
        <v>3028</v>
      </c>
      <c r="E570" t="s">
        <v>3028</v>
      </c>
    </row>
    <row r="571" spans="1:5" x14ac:dyDescent="0.25">
      <c r="A571" s="10" t="s">
        <v>1273</v>
      </c>
      <c r="B571" s="10" t="s">
        <v>1273</v>
      </c>
      <c r="C571" s="9" t="s">
        <v>1274</v>
      </c>
      <c r="D571" s="9" t="s">
        <v>3028</v>
      </c>
      <c r="E571" t="s">
        <v>3028</v>
      </c>
    </row>
    <row r="572" spans="1:5" x14ac:dyDescent="0.25">
      <c r="A572" s="10" t="s">
        <v>1275</v>
      </c>
      <c r="B572" s="10" t="s">
        <v>1275</v>
      </c>
      <c r="C572" s="9" t="s">
        <v>1276</v>
      </c>
      <c r="D572" s="9" t="s">
        <v>3028</v>
      </c>
      <c r="E572" t="s">
        <v>3028</v>
      </c>
    </row>
    <row r="573" spans="1:5" x14ac:dyDescent="0.25">
      <c r="A573" s="10" t="s">
        <v>1277</v>
      </c>
      <c r="B573" s="10" t="s">
        <v>1277</v>
      </c>
      <c r="C573" s="9" t="s">
        <v>1278</v>
      </c>
      <c r="D573" s="9" t="s">
        <v>3028</v>
      </c>
      <c r="E573" t="s">
        <v>3028</v>
      </c>
    </row>
    <row r="574" spans="1:5" x14ac:dyDescent="0.25">
      <c r="A574" s="10" t="s">
        <v>1279</v>
      </c>
      <c r="B574" s="10" t="s">
        <v>1279</v>
      </c>
      <c r="C574" s="9" t="s">
        <v>1280</v>
      </c>
      <c r="D574" s="9" t="s">
        <v>3028</v>
      </c>
      <c r="E574" t="s">
        <v>3028</v>
      </c>
    </row>
    <row r="575" spans="1:5" x14ac:dyDescent="0.25">
      <c r="A575" s="10" t="s">
        <v>1281</v>
      </c>
      <c r="B575" s="10" t="s">
        <v>1281</v>
      </c>
      <c r="C575" s="9" t="s">
        <v>1282</v>
      </c>
      <c r="D575" s="9" t="s">
        <v>3028</v>
      </c>
      <c r="E575" t="s">
        <v>3028</v>
      </c>
    </row>
    <row r="576" spans="1:5" x14ac:dyDescent="0.25">
      <c r="A576" s="10" t="s">
        <v>1283</v>
      </c>
      <c r="B576" s="10" t="s">
        <v>1283</v>
      </c>
      <c r="C576" s="9" t="s">
        <v>1284</v>
      </c>
      <c r="D576" s="9" t="s">
        <v>3028</v>
      </c>
      <c r="E576" t="s">
        <v>3028</v>
      </c>
    </row>
    <row r="577" spans="1:5" x14ac:dyDescent="0.25">
      <c r="A577" s="10" t="s">
        <v>1285</v>
      </c>
      <c r="B577" s="10" t="s">
        <v>1285</v>
      </c>
      <c r="C577" s="9" t="s">
        <v>1286</v>
      </c>
      <c r="D577" s="9" t="s">
        <v>3028</v>
      </c>
      <c r="E577" t="s">
        <v>3028</v>
      </c>
    </row>
    <row r="578" spans="1:5" x14ac:dyDescent="0.25">
      <c r="A578" s="10" t="s">
        <v>1287</v>
      </c>
      <c r="B578" s="10" t="s">
        <v>1287</v>
      </c>
      <c r="C578" s="9" t="s">
        <v>1288</v>
      </c>
      <c r="D578" s="9" t="s">
        <v>3028</v>
      </c>
      <c r="E578" t="s">
        <v>3028</v>
      </c>
    </row>
    <row r="579" spans="1:5" x14ac:dyDescent="0.25">
      <c r="A579" s="10" t="s">
        <v>1289</v>
      </c>
      <c r="B579" s="10" t="s">
        <v>1289</v>
      </c>
      <c r="C579" s="9" t="s">
        <v>1290</v>
      </c>
      <c r="D579" s="9" t="s">
        <v>3028</v>
      </c>
      <c r="E579" t="s">
        <v>3028</v>
      </c>
    </row>
    <row r="580" spans="1:5" x14ac:dyDescent="0.25">
      <c r="A580" s="10" t="s">
        <v>1291</v>
      </c>
      <c r="B580" s="10" t="s">
        <v>1291</v>
      </c>
      <c r="C580" s="9" t="s">
        <v>1292</v>
      </c>
      <c r="D580" s="9" t="s">
        <v>3028</v>
      </c>
      <c r="E580" t="s">
        <v>3028</v>
      </c>
    </row>
    <row r="581" spans="1:5" x14ac:dyDescent="0.25">
      <c r="A581" s="10" t="s">
        <v>1293</v>
      </c>
      <c r="B581" s="10" t="s">
        <v>1293</v>
      </c>
      <c r="C581" s="9" t="s">
        <v>1294</v>
      </c>
      <c r="D581" s="9" t="s">
        <v>3028</v>
      </c>
      <c r="E581" t="s">
        <v>3028</v>
      </c>
    </row>
    <row r="582" spans="1:5" x14ac:dyDescent="0.25">
      <c r="A582" s="10" t="s">
        <v>1295</v>
      </c>
      <c r="B582" s="10" t="s">
        <v>1295</v>
      </c>
      <c r="C582" s="9" t="s">
        <v>1296</v>
      </c>
      <c r="D582" s="9" t="s">
        <v>3028</v>
      </c>
      <c r="E582" t="s">
        <v>3028</v>
      </c>
    </row>
    <row r="583" spans="1:5" x14ac:dyDescent="0.25">
      <c r="A583" s="10" t="s">
        <v>1297</v>
      </c>
      <c r="B583" s="10" t="s">
        <v>1297</v>
      </c>
      <c r="C583" s="9" t="s">
        <v>1298</v>
      </c>
      <c r="D583" s="9" t="s">
        <v>3028</v>
      </c>
      <c r="E583" t="s">
        <v>3028</v>
      </c>
    </row>
    <row r="584" spans="1:5" x14ac:dyDescent="0.25">
      <c r="A584" s="10" t="s">
        <v>1299</v>
      </c>
      <c r="B584" s="10" t="s">
        <v>1299</v>
      </c>
      <c r="C584" s="9" t="s">
        <v>1300</v>
      </c>
      <c r="D584" s="9" t="s">
        <v>3028</v>
      </c>
      <c r="E584" t="s">
        <v>3028</v>
      </c>
    </row>
    <row r="585" spans="1:5" x14ac:dyDescent="0.25">
      <c r="A585" s="10" t="s">
        <v>1301</v>
      </c>
      <c r="B585" s="10" t="s">
        <v>1301</v>
      </c>
      <c r="C585" s="9" t="s">
        <v>1302</v>
      </c>
      <c r="D585" s="9" t="s">
        <v>3028</v>
      </c>
      <c r="E585" t="s">
        <v>3028</v>
      </c>
    </row>
    <row r="586" spans="1:5" x14ac:dyDescent="0.25">
      <c r="A586" s="10" t="s">
        <v>92</v>
      </c>
      <c r="B586" s="10" t="s">
        <v>92</v>
      </c>
      <c r="C586" s="9" t="s">
        <v>1303</v>
      </c>
      <c r="D586" s="9" t="s">
        <v>3028</v>
      </c>
      <c r="E586" t="s">
        <v>3028</v>
      </c>
    </row>
    <row r="587" spans="1:5" x14ac:dyDescent="0.25">
      <c r="A587" s="10" t="s">
        <v>1304</v>
      </c>
      <c r="B587" s="10" t="s">
        <v>1304</v>
      </c>
      <c r="C587" s="9" t="s">
        <v>1305</v>
      </c>
      <c r="D587" s="9" t="s">
        <v>3028</v>
      </c>
      <c r="E587" t="s">
        <v>3028</v>
      </c>
    </row>
    <row r="588" spans="1:5" x14ac:dyDescent="0.25">
      <c r="A588" s="10" t="s">
        <v>1306</v>
      </c>
      <c r="B588" s="10" t="s">
        <v>1306</v>
      </c>
      <c r="C588" s="9" t="s">
        <v>1307</v>
      </c>
      <c r="D588" s="9" t="s">
        <v>3028</v>
      </c>
      <c r="E588" t="s">
        <v>3028</v>
      </c>
    </row>
    <row r="589" spans="1:5" x14ac:dyDescent="0.25">
      <c r="A589" s="10" t="s">
        <v>1308</v>
      </c>
      <c r="B589" s="10" t="s">
        <v>1308</v>
      </c>
      <c r="C589" s="9" t="s">
        <v>1309</v>
      </c>
      <c r="D589" s="9" t="s">
        <v>3028</v>
      </c>
      <c r="E589" t="s">
        <v>3028</v>
      </c>
    </row>
    <row r="590" spans="1:5" x14ac:dyDescent="0.25">
      <c r="A590" s="10" t="s">
        <v>1312</v>
      </c>
      <c r="B590" s="10" t="s">
        <v>1312</v>
      </c>
      <c r="C590" s="9" t="s">
        <v>1313</v>
      </c>
      <c r="D590" s="9" t="s">
        <v>3028</v>
      </c>
      <c r="E590" t="s">
        <v>3028</v>
      </c>
    </row>
    <row r="591" spans="1:5" x14ac:dyDescent="0.25">
      <c r="A591" s="10" t="s">
        <v>1314</v>
      </c>
      <c r="B591" s="10" t="s">
        <v>1314</v>
      </c>
      <c r="C591" s="9" t="s">
        <v>1315</v>
      </c>
      <c r="D591" s="9" t="s">
        <v>3028</v>
      </c>
      <c r="E591" t="s">
        <v>3028</v>
      </c>
    </row>
    <row r="592" spans="1:5" x14ac:dyDescent="0.25">
      <c r="A592" s="10" t="s">
        <v>1316</v>
      </c>
      <c r="B592" s="10" t="s">
        <v>1316</v>
      </c>
      <c r="C592" s="9" t="s">
        <v>1317</v>
      </c>
      <c r="D592" s="9" t="s">
        <v>3028</v>
      </c>
      <c r="E592" t="s">
        <v>3028</v>
      </c>
    </row>
    <row r="593" spans="1:5" x14ac:dyDescent="0.25">
      <c r="A593" s="10" t="s">
        <v>1318</v>
      </c>
      <c r="B593" s="10" t="s">
        <v>1318</v>
      </c>
      <c r="C593" s="9" t="s">
        <v>1319</v>
      </c>
      <c r="D593" s="9" t="s">
        <v>3028</v>
      </c>
      <c r="E593" t="s">
        <v>3028</v>
      </c>
    </row>
    <row r="594" spans="1:5" x14ac:dyDescent="0.25">
      <c r="A594" s="10" t="s">
        <v>1320</v>
      </c>
      <c r="B594" s="10" t="s">
        <v>1320</v>
      </c>
      <c r="C594" s="9" t="s">
        <v>1321</v>
      </c>
      <c r="D594" s="9" t="s">
        <v>3028</v>
      </c>
      <c r="E594" t="s">
        <v>3028</v>
      </c>
    </row>
    <row r="595" spans="1:5" x14ac:dyDescent="0.25">
      <c r="A595" s="10" t="s">
        <v>1322</v>
      </c>
      <c r="B595" s="10" t="s">
        <v>1322</v>
      </c>
      <c r="C595" s="9" t="s">
        <v>1323</v>
      </c>
      <c r="D595" s="9" t="s">
        <v>3028</v>
      </c>
      <c r="E595" t="s">
        <v>3028</v>
      </c>
    </row>
    <row r="596" spans="1:5" x14ac:dyDescent="0.25">
      <c r="A596" s="10" t="s">
        <v>1324</v>
      </c>
      <c r="B596" s="10" t="s">
        <v>1324</v>
      </c>
      <c r="C596" s="9" t="s">
        <v>1325</v>
      </c>
      <c r="D596" s="9" t="s">
        <v>3028</v>
      </c>
      <c r="E596" t="s">
        <v>3028</v>
      </c>
    </row>
    <row r="597" spans="1:5" x14ac:dyDescent="0.25">
      <c r="A597" s="10" t="s">
        <v>1326</v>
      </c>
      <c r="B597" s="10" t="s">
        <v>1326</v>
      </c>
      <c r="C597" s="9" t="s">
        <v>1327</v>
      </c>
      <c r="D597" s="9" t="s">
        <v>3028</v>
      </c>
      <c r="E597" t="s">
        <v>3028</v>
      </c>
    </row>
    <row r="598" spans="1:5" x14ac:dyDescent="0.25">
      <c r="A598" s="10" t="s">
        <v>1328</v>
      </c>
      <c r="B598" s="10" t="s">
        <v>1328</v>
      </c>
      <c r="C598" s="9" t="s">
        <v>1329</v>
      </c>
      <c r="D598" s="9" t="s">
        <v>3028</v>
      </c>
      <c r="E598" t="s">
        <v>3028</v>
      </c>
    </row>
    <row r="599" spans="1:5" x14ac:dyDescent="0.25">
      <c r="A599" s="10" t="s">
        <v>1330</v>
      </c>
      <c r="B599" s="10" t="s">
        <v>1330</v>
      </c>
      <c r="C599" s="9" t="s">
        <v>1331</v>
      </c>
      <c r="D599" s="9" t="s">
        <v>3028</v>
      </c>
      <c r="E599" t="s">
        <v>3028</v>
      </c>
    </row>
    <row r="600" spans="1:5" x14ac:dyDescent="0.25">
      <c r="A600" s="10" t="s">
        <v>1332</v>
      </c>
      <c r="B600" s="10" t="s">
        <v>1332</v>
      </c>
      <c r="C600" s="9" t="s">
        <v>1333</v>
      </c>
      <c r="D600" s="9" t="s">
        <v>3028</v>
      </c>
      <c r="E600" t="s">
        <v>3028</v>
      </c>
    </row>
    <row r="601" spans="1:5" x14ac:dyDescent="0.25">
      <c r="A601" s="10" t="s">
        <v>1334</v>
      </c>
      <c r="B601" s="10" t="s">
        <v>1334</v>
      </c>
      <c r="C601" s="9" t="s">
        <v>1335</v>
      </c>
      <c r="D601" s="9" t="s">
        <v>3028</v>
      </c>
      <c r="E601" t="s">
        <v>3028</v>
      </c>
    </row>
    <row r="602" spans="1:5" x14ac:dyDescent="0.25">
      <c r="A602" s="10" t="s">
        <v>1336</v>
      </c>
      <c r="B602" s="10" t="s">
        <v>1336</v>
      </c>
      <c r="C602" s="9" t="s">
        <v>1337</v>
      </c>
      <c r="D602" s="9" t="s">
        <v>3028</v>
      </c>
      <c r="E602" t="s">
        <v>3028</v>
      </c>
    </row>
    <row r="603" spans="1:5" x14ac:dyDescent="0.25">
      <c r="A603" s="10" t="s">
        <v>1338</v>
      </c>
      <c r="B603" s="10" t="s">
        <v>1338</v>
      </c>
      <c r="C603" s="9" t="s">
        <v>1339</v>
      </c>
      <c r="D603" s="9" t="s">
        <v>3028</v>
      </c>
      <c r="E603" t="s">
        <v>3028</v>
      </c>
    </row>
    <row r="604" spans="1:5" x14ac:dyDescent="0.25">
      <c r="A604" s="10" t="s">
        <v>1340</v>
      </c>
      <c r="B604" s="10" t="s">
        <v>1340</v>
      </c>
      <c r="C604" s="9" t="s">
        <v>1341</v>
      </c>
      <c r="D604" s="9" t="s">
        <v>3028</v>
      </c>
      <c r="E604" t="s">
        <v>3028</v>
      </c>
    </row>
    <row r="605" spans="1:5" x14ac:dyDescent="0.25">
      <c r="A605" s="10" t="s">
        <v>1342</v>
      </c>
      <c r="B605" s="10" t="s">
        <v>1342</v>
      </c>
      <c r="C605" s="9" t="s">
        <v>1343</v>
      </c>
      <c r="D605" s="9" t="s">
        <v>3028</v>
      </c>
      <c r="E605" t="s">
        <v>3028</v>
      </c>
    </row>
    <row r="606" spans="1:5" x14ac:dyDescent="0.25">
      <c r="A606" s="10" t="s">
        <v>1344</v>
      </c>
      <c r="B606" s="10" t="s">
        <v>1344</v>
      </c>
      <c r="C606" s="9" t="s">
        <v>1345</v>
      </c>
      <c r="D606" s="9" t="s">
        <v>3028</v>
      </c>
      <c r="E606" t="s">
        <v>3028</v>
      </c>
    </row>
    <row r="607" spans="1:5" x14ac:dyDescent="0.25">
      <c r="A607" s="10" t="s">
        <v>1346</v>
      </c>
      <c r="B607" s="10" t="s">
        <v>1346</v>
      </c>
      <c r="C607" s="9" t="s">
        <v>1347</v>
      </c>
      <c r="D607" s="9" t="s">
        <v>3028</v>
      </c>
      <c r="E607" t="s">
        <v>3028</v>
      </c>
    </row>
    <row r="608" spans="1:5" x14ac:dyDescent="0.25">
      <c r="A608" s="10" t="s">
        <v>1348</v>
      </c>
      <c r="B608" s="10" t="s">
        <v>1348</v>
      </c>
      <c r="C608" s="9" t="s">
        <v>1349</v>
      </c>
      <c r="D608" s="9" t="s">
        <v>3028</v>
      </c>
      <c r="E608" t="s">
        <v>3028</v>
      </c>
    </row>
    <row r="609" spans="1:5" x14ac:dyDescent="0.25">
      <c r="A609" s="10" t="s">
        <v>1353</v>
      </c>
      <c r="B609" s="10" t="s">
        <v>1353</v>
      </c>
      <c r="C609" s="9" t="s">
        <v>1354</v>
      </c>
      <c r="D609" s="9" t="s">
        <v>3028</v>
      </c>
      <c r="E609" t="s">
        <v>3028</v>
      </c>
    </row>
    <row r="610" spans="1:5" x14ac:dyDescent="0.25">
      <c r="A610" s="10" t="s">
        <v>1355</v>
      </c>
      <c r="B610" s="10" t="s">
        <v>1355</v>
      </c>
      <c r="C610" s="9" t="s">
        <v>1356</v>
      </c>
      <c r="D610" s="9" t="s">
        <v>3028</v>
      </c>
      <c r="E610" t="s">
        <v>3028</v>
      </c>
    </row>
    <row r="611" spans="1:5" x14ac:dyDescent="0.25">
      <c r="A611" s="10" t="s">
        <v>1357</v>
      </c>
      <c r="B611" s="10" t="s">
        <v>1357</v>
      </c>
      <c r="C611" s="9" t="s">
        <v>1358</v>
      </c>
      <c r="D611" s="9" t="s">
        <v>3028</v>
      </c>
      <c r="E611" t="s">
        <v>3028</v>
      </c>
    </row>
    <row r="612" spans="1:5" x14ac:dyDescent="0.25">
      <c r="A612" s="10" t="s">
        <v>1359</v>
      </c>
      <c r="B612" s="10" t="s">
        <v>1359</v>
      </c>
      <c r="C612" s="9" t="s">
        <v>1360</v>
      </c>
      <c r="D612" s="9" t="s">
        <v>3028</v>
      </c>
      <c r="E612" t="s">
        <v>3028</v>
      </c>
    </row>
    <row r="613" spans="1:5" x14ac:dyDescent="0.25">
      <c r="A613" s="10" t="s">
        <v>1361</v>
      </c>
      <c r="B613" s="10" t="s">
        <v>1361</v>
      </c>
      <c r="C613" s="9" t="s">
        <v>1362</v>
      </c>
      <c r="D613" s="9" t="s">
        <v>3028</v>
      </c>
      <c r="E613" t="s">
        <v>3028</v>
      </c>
    </row>
    <row r="614" spans="1:5" x14ac:dyDescent="0.25">
      <c r="A614" s="10" t="s">
        <v>1363</v>
      </c>
      <c r="B614" s="10" t="s">
        <v>1363</v>
      </c>
      <c r="C614" s="9" t="s">
        <v>1364</v>
      </c>
      <c r="D614" s="9" t="s">
        <v>3028</v>
      </c>
      <c r="E614" t="s">
        <v>3028</v>
      </c>
    </row>
    <row r="615" spans="1:5" x14ac:dyDescent="0.25">
      <c r="A615" s="10" t="s">
        <v>1365</v>
      </c>
      <c r="B615" s="10" t="s">
        <v>1365</v>
      </c>
      <c r="C615" s="9" t="s">
        <v>1366</v>
      </c>
      <c r="D615" s="9" t="s">
        <v>3028</v>
      </c>
      <c r="E615" t="s">
        <v>3028</v>
      </c>
    </row>
    <row r="616" spans="1:5" x14ac:dyDescent="0.25">
      <c r="A616" s="10" t="s">
        <v>1367</v>
      </c>
      <c r="B616" s="10" t="s">
        <v>1367</v>
      </c>
      <c r="C616" s="9" t="s">
        <v>1368</v>
      </c>
      <c r="D616" s="9" t="s">
        <v>3028</v>
      </c>
      <c r="E616" t="s">
        <v>3028</v>
      </c>
    </row>
    <row r="617" spans="1:5" x14ac:dyDescent="0.25">
      <c r="A617" s="10" t="s">
        <v>1369</v>
      </c>
      <c r="B617" s="10" t="s">
        <v>1369</v>
      </c>
      <c r="C617" s="9" t="s">
        <v>1370</v>
      </c>
      <c r="D617" s="9" t="s">
        <v>3028</v>
      </c>
      <c r="E617" t="s">
        <v>3028</v>
      </c>
    </row>
    <row r="618" spans="1:5" x14ac:dyDescent="0.25">
      <c r="A618" s="10" t="s">
        <v>1371</v>
      </c>
      <c r="B618" s="10" t="s">
        <v>1371</v>
      </c>
      <c r="C618" s="9" t="s">
        <v>1372</v>
      </c>
      <c r="D618" s="9" t="s">
        <v>3028</v>
      </c>
      <c r="E618" t="s">
        <v>3028</v>
      </c>
    </row>
    <row r="619" spans="1:5" x14ac:dyDescent="0.25">
      <c r="A619" s="10" t="s">
        <v>1373</v>
      </c>
      <c r="B619" s="10" t="s">
        <v>1373</v>
      </c>
      <c r="C619" s="9" t="s">
        <v>1374</v>
      </c>
      <c r="D619" s="9" t="s">
        <v>3028</v>
      </c>
      <c r="E619" t="s">
        <v>3028</v>
      </c>
    </row>
    <row r="620" spans="1:5" x14ac:dyDescent="0.25">
      <c r="A620" s="10" t="s">
        <v>1375</v>
      </c>
      <c r="B620" s="10" t="s">
        <v>1375</v>
      </c>
      <c r="C620" s="9" t="s">
        <v>1376</v>
      </c>
      <c r="D620" s="9" t="s">
        <v>3028</v>
      </c>
      <c r="E620" t="s">
        <v>3028</v>
      </c>
    </row>
    <row r="621" spans="1:5" x14ac:dyDescent="0.25">
      <c r="A621" s="10" t="s">
        <v>1377</v>
      </c>
      <c r="B621" s="10" t="s">
        <v>1377</v>
      </c>
      <c r="C621" s="9" t="s">
        <v>1378</v>
      </c>
      <c r="D621" s="9" t="s">
        <v>3028</v>
      </c>
      <c r="E621" t="s">
        <v>3028</v>
      </c>
    </row>
    <row r="622" spans="1:5" x14ac:dyDescent="0.25">
      <c r="A622" s="10" t="s">
        <v>1379</v>
      </c>
      <c r="B622" s="10" t="s">
        <v>1379</v>
      </c>
      <c r="C622" s="9" t="s">
        <v>1380</v>
      </c>
      <c r="D622" s="9" t="s">
        <v>3028</v>
      </c>
      <c r="E622" t="s">
        <v>3028</v>
      </c>
    </row>
    <row r="623" spans="1:5" x14ac:dyDescent="0.25">
      <c r="A623" s="10" t="s">
        <v>1381</v>
      </c>
      <c r="B623" s="10" t="s">
        <v>1381</v>
      </c>
      <c r="C623" s="9" t="s">
        <v>1382</v>
      </c>
      <c r="D623" s="9" t="s">
        <v>3028</v>
      </c>
      <c r="E623" t="s">
        <v>3028</v>
      </c>
    </row>
    <row r="624" spans="1:5" x14ac:dyDescent="0.25">
      <c r="A624" s="10" t="s">
        <v>1383</v>
      </c>
      <c r="B624" s="10" t="s">
        <v>1383</v>
      </c>
      <c r="C624" s="9" t="s">
        <v>1384</v>
      </c>
      <c r="D624" s="9" t="s">
        <v>3028</v>
      </c>
      <c r="E624" t="s">
        <v>3028</v>
      </c>
    </row>
    <row r="625" spans="1:5" x14ac:dyDescent="0.25">
      <c r="A625" s="10" t="s">
        <v>1385</v>
      </c>
      <c r="B625" s="10" t="s">
        <v>1385</v>
      </c>
      <c r="C625" s="9" t="s">
        <v>1386</v>
      </c>
      <c r="D625" s="9" t="s">
        <v>3028</v>
      </c>
      <c r="E625" t="s">
        <v>3028</v>
      </c>
    </row>
    <row r="626" spans="1:5" x14ac:dyDescent="0.25">
      <c r="A626" s="10" t="s">
        <v>1387</v>
      </c>
      <c r="B626" s="10" t="s">
        <v>1387</v>
      </c>
      <c r="C626" s="9" t="s">
        <v>1388</v>
      </c>
      <c r="D626" s="9" t="s">
        <v>3028</v>
      </c>
      <c r="E626" t="s">
        <v>3028</v>
      </c>
    </row>
    <row r="627" spans="1:5" x14ac:dyDescent="0.25">
      <c r="A627" s="10" t="s">
        <v>1389</v>
      </c>
      <c r="B627" s="10" t="s">
        <v>1389</v>
      </c>
      <c r="C627" s="9" t="s">
        <v>1390</v>
      </c>
      <c r="D627" s="9" t="s">
        <v>3028</v>
      </c>
      <c r="E627" t="s">
        <v>3028</v>
      </c>
    </row>
    <row r="628" spans="1:5" x14ac:dyDescent="0.25">
      <c r="A628" s="10" t="s">
        <v>1391</v>
      </c>
      <c r="B628" s="10" t="s">
        <v>1391</v>
      </c>
      <c r="C628" s="9" t="s">
        <v>1392</v>
      </c>
      <c r="D628" s="9" t="s">
        <v>3028</v>
      </c>
      <c r="E628" t="s">
        <v>3028</v>
      </c>
    </row>
    <row r="629" spans="1:5" x14ac:dyDescent="0.25">
      <c r="A629" s="10" t="s">
        <v>1393</v>
      </c>
      <c r="B629" s="10" t="s">
        <v>1393</v>
      </c>
      <c r="C629" s="9" t="s">
        <v>1394</v>
      </c>
      <c r="D629" s="9" t="s">
        <v>3028</v>
      </c>
      <c r="E629" t="s">
        <v>3028</v>
      </c>
    </row>
    <row r="630" spans="1:5" x14ac:dyDescent="0.25">
      <c r="A630" s="10" t="s">
        <v>1395</v>
      </c>
      <c r="B630" s="10" t="s">
        <v>1395</v>
      </c>
      <c r="C630" s="9" t="s">
        <v>1396</v>
      </c>
      <c r="D630" s="9" t="s">
        <v>3028</v>
      </c>
      <c r="E630" t="s">
        <v>3028</v>
      </c>
    </row>
    <row r="631" spans="1:5" x14ac:dyDescent="0.25">
      <c r="A631" s="10" t="s">
        <v>1397</v>
      </c>
      <c r="B631" s="10" t="s">
        <v>1397</v>
      </c>
      <c r="C631" s="9" t="s">
        <v>1398</v>
      </c>
      <c r="D631" s="9" t="s">
        <v>3028</v>
      </c>
      <c r="E631" t="s">
        <v>3028</v>
      </c>
    </row>
    <row r="632" spans="1:5" x14ac:dyDescent="0.25">
      <c r="A632" s="10" t="s">
        <v>1399</v>
      </c>
      <c r="B632" s="10" t="s">
        <v>1399</v>
      </c>
      <c r="C632" s="9" t="s">
        <v>1400</v>
      </c>
      <c r="D632" s="9" t="s">
        <v>3028</v>
      </c>
      <c r="E632" t="s">
        <v>3028</v>
      </c>
    </row>
    <row r="633" spans="1:5" x14ac:dyDescent="0.25">
      <c r="A633" s="10" t="s">
        <v>1401</v>
      </c>
      <c r="B633" s="10" t="s">
        <v>1401</v>
      </c>
      <c r="C633" s="9" t="s">
        <v>1402</v>
      </c>
      <c r="D633" s="9" t="s">
        <v>3028</v>
      </c>
      <c r="E633" t="s">
        <v>3028</v>
      </c>
    </row>
    <row r="634" spans="1:5" x14ac:dyDescent="0.25">
      <c r="A634" s="10" t="s">
        <v>1403</v>
      </c>
      <c r="B634" s="10" t="s">
        <v>1403</v>
      </c>
      <c r="C634" s="9" t="s">
        <v>1404</v>
      </c>
      <c r="D634" s="9" t="s">
        <v>3028</v>
      </c>
      <c r="E634" t="s">
        <v>3028</v>
      </c>
    </row>
    <row r="635" spans="1:5" x14ac:dyDescent="0.25">
      <c r="A635" s="10" t="s">
        <v>1405</v>
      </c>
      <c r="B635" s="10" t="s">
        <v>1405</v>
      </c>
      <c r="C635" s="9" t="s">
        <v>1406</v>
      </c>
      <c r="D635" s="9" t="s">
        <v>3028</v>
      </c>
      <c r="E635" t="s">
        <v>3028</v>
      </c>
    </row>
    <row r="636" spans="1:5" x14ac:dyDescent="0.25">
      <c r="A636" s="10" t="s">
        <v>1407</v>
      </c>
      <c r="B636" s="10" t="s">
        <v>1407</v>
      </c>
      <c r="C636" s="9" t="s">
        <v>1408</v>
      </c>
      <c r="D636" s="9" t="s">
        <v>3028</v>
      </c>
      <c r="E636" t="s">
        <v>3028</v>
      </c>
    </row>
    <row r="637" spans="1:5" x14ac:dyDescent="0.25">
      <c r="A637" s="10" t="s">
        <v>1409</v>
      </c>
      <c r="B637" s="10" t="s">
        <v>1409</v>
      </c>
      <c r="C637" s="9" t="s">
        <v>1410</v>
      </c>
      <c r="D637" s="9" t="s">
        <v>3028</v>
      </c>
      <c r="E637" t="s">
        <v>3028</v>
      </c>
    </row>
    <row r="638" spans="1:5" x14ac:dyDescent="0.25">
      <c r="A638" s="10" t="s">
        <v>1411</v>
      </c>
      <c r="B638" s="10" t="s">
        <v>1411</v>
      </c>
      <c r="C638" s="9" t="s">
        <v>1412</v>
      </c>
      <c r="D638" s="9" t="s">
        <v>3028</v>
      </c>
      <c r="E638" t="s">
        <v>3028</v>
      </c>
    </row>
    <row r="639" spans="1:5" x14ac:dyDescent="0.25">
      <c r="A639" s="10" t="s">
        <v>1413</v>
      </c>
      <c r="B639" s="10" t="s">
        <v>1413</v>
      </c>
      <c r="C639" s="9" t="s">
        <v>1414</v>
      </c>
      <c r="D639" s="9" t="s">
        <v>3028</v>
      </c>
      <c r="E639" t="s">
        <v>3028</v>
      </c>
    </row>
    <row r="640" spans="1:5" x14ac:dyDescent="0.25">
      <c r="A640" s="10" t="s">
        <v>1415</v>
      </c>
      <c r="B640" s="10" t="s">
        <v>1415</v>
      </c>
      <c r="C640" s="9" t="s">
        <v>1416</v>
      </c>
      <c r="D640" s="9" t="s">
        <v>3028</v>
      </c>
      <c r="E640" t="s">
        <v>3028</v>
      </c>
    </row>
    <row r="641" spans="1:5" x14ac:dyDescent="0.25">
      <c r="A641" s="10" t="s">
        <v>1417</v>
      </c>
      <c r="B641" s="10" t="s">
        <v>1417</v>
      </c>
      <c r="C641" s="9" t="s">
        <v>1418</v>
      </c>
      <c r="D641" s="9" t="s">
        <v>3028</v>
      </c>
      <c r="E641" t="s">
        <v>3028</v>
      </c>
    </row>
    <row r="642" spans="1:5" x14ac:dyDescent="0.25">
      <c r="A642" s="10" t="s">
        <v>1419</v>
      </c>
      <c r="B642" s="10" t="s">
        <v>1419</v>
      </c>
      <c r="C642" s="9" t="s">
        <v>1420</v>
      </c>
      <c r="D642" s="9" t="s">
        <v>3028</v>
      </c>
      <c r="E642" t="s">
        <v>3028</v>
      </c>
    </row>
    <row r="643" spans="1:5" x14ac:dyDescent="0.25">
      <c r="A643" s="10" t="s">
        <v>1421</v>
      </c>
      <c r="B643" s="10" t="s">
        <v>1421</v>
      </c>
      <c r="C643" s="9" t="s">
        <v>1422</v>
      </c>
      <c r="D643" s="9" t="s">
        <v>3028</v>
      </c>
      <c r="E643" t="s">
        <v>3028</v>
      </c>
    </row>
    <row r="644" spans="1:5" x14ac:dyDescent="0.25">
      <c r="A644" s="10" t="s">
        <v>1423</v>
      </c>
      <c r="B644" s="10" t="s">
        <v>1423</v>
      </c>
      <c r="C644" s="9" t="s">
        <v>1424</v>
      </c>
      <c r="D644" s="9" t="s">
        <v>3028</v>
      </c>
      <c r="E644" t="s">
        <v>3028</v>
      </c>
    </row>
    <row r="645" spans="1:5" x14ac:dyDescent="0.25">
      <c r="A645" s="10" t="s">
        <v>1425</v>
      </c>
      <c r="B645" s="10" t="s">
        <v>1425</v>
      </c>
      <c r="C645" s="9" t="s">
        <v>1426</v>
      </c>
      <c r="D645" s="9" t="s">
        <v>3028</v>
      </c>
      <c r="E645" t="s">
        <v>3028</v>
      </c>
    </row>
    <row r="646" spans="1:5" x14ac:dyDescent="0.25">
      <c r="A646" s="10" t="s">
        <v>1427</v>
      </c>
      <c r="B646" s="10" t="s">
        <v>1427</v>
      </c>
      <c r="C646" s="9" t="s">
        <v>1428</v>
      </c>
      <c r="D646" s="9" t="s">
        <v>3028</v>
      </c>
      <c r="E646" t="s">
        <v>3028</v>
      </c>
    </row>
    <row r="647" spans="1:5" x14ac:dyDescent="0.25">
      <c r="A647" s="10" t="s">
        <v>1429</v>
      </c>
      <c r="B647" s="10" t="s">
        <v>1429</v>
      </c>
      <c r="C647" s="9" t="s">
        <v>1430</v>
      </c>
      <c r="D647" s="9" t="s">
        <v>3028</v>
      </c>
      <c r="E647" t="s">
        <v>3028</v>
      </c>
    </row>
    <row r="648" spans="1:5" x14ac:dyDescent="0.25">
      <c r="A648" s="10" t="s">
        <v>1431</v>
      </c>
      <c r="B648" s="10" t="s">
        <v>1431</v>
      </c>
      <c r="C648" s="9" t="s">
        <v>1432</v>
      </c>
      <c r="D648" s="9" t="s">
        <v>3028</v>
      </c>
      <c r="E648" t="s">
        <v>3028</v>
      </c>
    </row>
    <row r="649" spans="1:5" x14ac:dyDescent="0.25">
      <c r="A649" s="10" t="s">
        <v>1433</v>
      </c>
      <c r="B649" s="10" t="s">
        <v>1433</v>
      </c>
      <c r="C649" s="9" t="s">
        <v>1434</v>
      </c>
      <c r="D649" s="9" t="s">
        <v>3028</v>
      </c>
      <c r="E649" t="s">
        <v>3028</v>
      </c>
    </row>
    <row r="650" spans="1:5" x14ac:dyDescent="0.25">
      <c r="A650" s="10" t="s">
        <v>1435</v>
      </c>
      <c r="B650" s="10" t="s">
        <v>1435</v>
      </c>
      <c r="C650" s="9" t="s">
        <v>1436</v>
      </c>
      <c r="D650" s="9" t="s">
        <v>3028</v>
      </c>
      <c r="E650" t="s">
        <v>3028</v>
      </c>
    </row>
    <row r="651" spans="1:5" x14ac:dyDescent="0.25">
      <c r="A651" s="10" t="s">
        <v>1437</v>
      </c>
      <c r="B651" s="10" t="s">
        <v>1437</v>
      </c>
      <c r="C651" s="9" t="s">
        <v>1438</v>
      </c>
      <c r="D651" s="9" t="s">
        <v>3028</v>
      </c>
      <c r="E651" t="s">
        <v>3028</v>
      </c>
    </row>
    <row r="652" spans="1:5" x14ac:dyDescent="0.25">
      <c r="A652" s="10" t="s">
        <v>1442</v>
      </c>
      <c r="B652" s="10" t="s">
        <v>1442</v>
      </c>
      <c r="C652" s="9" t="s">
        <v>1443</v>
      </c>
      <c r="D652" s="9" t="s">
        <v>3028</v>
      </c>
      <c r="E652" t="s">
        <v>3028</v>
      </c>
    </row>
    <row r="653" spans="1:5" x14ac:dyDescent="0.25">
      <c r="A653" s="10" t="s">
        <v>1444</v>
      </c>
      <c r="B653" s="10" t="s">
        <v>1444</v>
      </c>
      <c r="C653" s="9" t="s">
        <v>1445</v>
      </c>
      <c r="D653" s="9" t="s">
        <v>3028</v>
      </c>
      <c r="E653" t="s">
        <v>3028</v>
      </c>
    </row>
    <row r="654" spans="1:5" x14ac:dyDescent="0.25">
      <c r="A654" s="10" t="s">
        <v>1446</v>
      </c>
      <c r="B654" s="10" t="s">
        <v>1446</v>
      </c>
      <c r="C654" s="9" t="s">
        <v>1447</v>
      </c>
      <c r="D654" s="9" t="s">
        <v>3028</v>
      </c>
      <c r="E654" t="s">
        <v>3028</v>
      </c>
    </row>
    <row r="655" spans="1:5" x14ac:dyDescent="0.25">
      <c r="A655" s="10" t="s">
        <v>1448</v>
      </c>
      <c r="B655" s="10" t="s">
        <v>1448</v>
      </c>
      <c r="C655" s="9" t="s">
        <v>1449</v>
      </c>
      <c r="D655" s="9" t="s">
        <v>3028</v>
      </c>
      <c r="E655" t="s">
        <v>3028</v>
      </c>
    </row>
    <row r="656" spans="1:5" x14ac:dyDescent="0.25">
      <c r="A656" s="10" t="s">
        <v>1450</v>
      </c>
      <c r="B656" s="10" t="s">
        <v>1450</v>
      </c>
      <c r="C656" s="9" t="s">
        <v>1451</v>
      </c>
      <c r="D656" s="9" t="s">
        <v>3028</v>
      </c>
      <c r="E656" t="s">
        <v>3028</v>
      </c>
    </row>
    <row r="657" spans="1:5" x14ac:dyDescent="0.25">
      <c r="A657" s="10" t="s">
        <v>1452</v>
      </c>
      <c r="B657" s="10" t="s">
        <v>1452</v>
      </c>
      <c r="C657" s="9" t="s">
        <v>1453</v>
      </c>
      <c r="D657" s="9" t="s">
        <v>3028</v>
      </c>
      <c r="E657" t="s">
        <v>3028</v>
      </c>
    </row>
    <row r="658" spans="1:5" x14ac:dyDescent="0.25">
      <c r="A658" s="10" t="s">
        <v>1454</v>
      </c>
      <c r="B658" s="10" t="s">
        <v>1454</v>
      </c>
      <c r="C658" s="9" t="s">
        <v>1455</v>
      </c>
      <c r="D658" s="9" t="s">
        <v>3028</v>
      </c>
      <c r="E658" t="s">
        <v>3028</v>
      </c>
    </row>
    <row r="659" spans="1:5" x14ac:dyDescent="0.25">
      <c r="A659" s="10" t="s">
        <v>1456</v>
      </c>
      <c r="B659" s="10" t="s">
        <v>1456</v>
      </c>
      <c r="C659" s="9" t="s">
        <v>1457</v>
      </c>
      <c r="D659" s="9" t="s">
        <v>3028</v>
      </c>
      <c r="E659" t="s">
        <v>3028</v>
      </c>
    </row>
    <row r="660" spans="1:5" x14ac:dyDescent="0.25">
      <c r="A660" s="10" t="s">
        <v>1458</v>
      </c>
      <c r="B660" s="10" t="s">
        <v>1458</v>
      </c>
      <c r="C660" s="9" t="s">
        <v>1459</v>
      </c>
      <c r="D660" s="9" t="s">
        <v>3028</v>
      </c>
      <c r="E660" t="s">
        <v>3028</v>
      </c>
    </row>
    <row r="661" spans="1:5" x14ac:dyDescent="0.25">
      <c r="A661" s="10" t="s">
        <v>1460</v>
      </c>
      <c r="B661" s="10" t="s">
        <v>1460</v>
      </c>
      <c r="C661" s="9" t="s">
        <v>1461</v>
      </c>
      <c r="D661" s="9" t="s">
        <v>3028</v>
      </c>
      <c r="E661" t="s">
        <v>3028</v>
      </c>
    </row>
    <row r="662" spans="1:5" x14ac:dyDescent="0.25">
      <c r="A662" s="10" t="s">
        <v>1462</v>
      </c>
      <c r="B662" s="10" t="s">
        <v>1462</v>
      </c>
      <c r="C662" s="9" t="s">
        <v>1463</v>
      </c>
      <c r="D662" s="9" t="s">
        <v>3028</v>
      </c>
      <c r="E662" t="s">
        <v>3028</v>
      </c>
    </row>
    <row r="663" spans="1:5" x14ac:dyDescent="0.25">
      <c r="A663" s="10" t="s">
        <v>1464</v>
      </c>
      <c r="B663" s="10" t="s">
        <v>1464</v>
      </c>
      <c r="C663" s="9" t="s">
        <v>1465</v>
      </c>
      <c r="D663" s="9" t="s">
        <v>3028</v>
      </c>
      <c r="E663" t="s">
        <v>3028</v>
      </c>
    </row>
    <row r="664" spans="1:5" x14ac:dyDescent="0.25">
      <c r="A664" s="10" t="s">
        <v>1466</v>
      </c>
      <c r="B664" s="10" t="s">
        <v>1466</v>
      </c>
      <c r="C664" s="9" t="s">
        <v>1467</v>
      </c>
      <c r="D664" s="9" t="s">
        <v>3028</v>
      </c>
      <c r="E664" t="s">
        <v>3028</v>
      </c>
    </row>
    <row r="665" spans="1:5" x14ac:dyDescent="0.25">
      <c r="A665" s="10" t="s">
        <v>1468</v>
      </c>
      <c r="B665" s="10" t="s">
        <v>1468</v>
      </c>
      <c r="C665" s="9" t="s">
        <v>1469</v>
      </c>
      <c r="D665" s="9" t="s">
        <v>3028</v>
      </c>
      <c r="E665" t="s">
        <v>3028</v>
      </c>
    </row>
    <row r="666" spans="1:5" x14ac:dyDescent="0.25">
      <c r="A666" s="10" t="s">
        <v>1470</v>
      </c>
      <c r="B666" s="10" t="s">
        <v>1470</v>
      </c>
      <c r="C666" s="9" t="s">
        <v>1471</v>
      </c>
      <c r="D666" s="9" t="s">
        <v>3028</v>
      </c>
      <c r="E666" t="s">
        <v>3028</v>
      </c>
    </row>
    <row r="667" spans="1:5" x14ac:dyDescent="0.25">
      <c r="A667" s="10" t="s">
        <v>1472</v>
      </c>
      <c r="B667" s="10" t="s">
        <v>1472</v>
      </c>
      <c r="C667" s="9" t="s">
        <v>1473</v>
      </c>
      <c r="D667" s="9" t="s">
        <v>3028</v>
      </c>
      <c r="E667" t="s">
        <v>3028</v>
      </c>
    </row>
    <row r="668" spans="1:5" x14ac:dyDescent="0.25">
      <c r="A668" s="10" t="s">
        <v>1474</v>
      </c>
      <c r="B668" s="10" t="s">
        <v>1474</v>
      </c>
      <c r="C668" s="9" t="s">
        <v>1475</v>
      </c>
      <c r="D668" s="9" t="s">
        <v>3028</v>
      </c>
      <c r="E668" t="s">
        <v>3028</v>
      </c>
    </row>
    <row r="669" spans="1:5" x14ac:dyDescent="0.25">
      <c r="A669" s="10" t="s">
        <v>1476</v>
      </c>
      <c r="B669" s="10" t="s">
        <v>1476</v>
      </c>
      <c r="C669" s="9" t="s">
        <v>1477</v>
      </c>
      <c r="D669" s="9" t="s">
        <v>3028</v>
      </c>
      <c r="E669" t="s">
        <v>3028</v>
      </c>
    </row>
    <row r="670" spans="1:5" x14ac:dyDescent="0.25">
      <c r="A670" s="10" t="s">
        <v>1478</v>
      </c>
      <c r="B670" s="10" t="s">
        <v>1478</v>
      </c>
      <c r="C670" s="9" t="s">
        <v>1479</v>
      </c>
      <c r="D670" s="9" t="s">
        <v>3028</v>
      </c>
      <c r="E670" t="s">
        <v>3028</v>
      </c>
    </row>
    <row r="671" spans="1:5" x14ac:dyDescent="0.25">
      <c r="A671" s="10" t="s">
        <v>1480</v>
      </c>
      <c r="B671" s="10" t="s">
        <v>1480</v>
      </c>
      <c r="C671" s="9" t="s">
        <v>1481</v>
      </c>
      <c r="D671" s="9" t="s">
        <v>3028</v>
      </c>
      <c r="E671" t="s">
        <v>3028</v>
      </c>
    </row>
    <row r="672" spans="1:5" x14ac:dyDescent="0.25">
      <c r="A672" s="10" t="s">
        <v>1482</v>
      </c>
      <c r="B672" s="10" t="s">
        <v>1482</v>
      </c>
      <c r="C672" s="9" t="s">
        <v>1483</v>
      </c>
      <c r="D672" s="9" t="s">
        <v>3028</v>
      </c>
      <c r="E672" t="s">
        <v>3028</v>
      </c>
    </row>
    <row r="673" spans="1:5" x14ac:dyDescent="0.25">
      <c r="A673" s="10" t="s">
        <v>1484</v>
      </c>
      <c r="B673" s="10" t="s">
        <v>1484</v>
      </c>
      <c r="C673" s="9" t="s">
        <v>1485</v>
      </c>
      <c r="D673" s="9" t="s">
        <v>3028</v>
      </c>
      <c r="E673" t="s">
        <v>3028</v>
      </c>
    </row>
    <row r="674" spans="1:5" x14ac:dyDescent="0.25">
      <c r="A674" s="10" t="s">
        <v>1486</v>
      </c>
      <c r="B674" s="10" t="s">
        <v>1486</v>
      </c>
      <c r="C674" s="9" t="s">
        <v>1487</v>
      </c>
      <c r="D674" s="9" t="s">
        <v>3028</v>
      </c>
      <c r="E674" t="s">
        <v>3028</v>
      </c>
    </row>
    <row r="675" spans="1:5" x14ac:dyDescent="0.25">
      <c r="A675" s="10" t="s">
        <v>1488</v>
      </c>
      <c r="B675" s="10" t="s">
        <v>1488</v>
      </c>
      <c r="C675" s="9" t="s">
        <v>1489</v>
      </c>
      <c r="D675" s="9" t="s">
        <v>3028</v>
      </c>
      <c r="E675" t="s">
        <v>3028</v>
      </c>
    </row>
    <row r="676" spans="1:5" x14ac:dyDescent="0.25">
      <c r="A676" s="10" t="s">
        <v>1490</v>
      </c>
      <c r="B676" s="10" t="s">
        <v>1490</v>
      </c>
      <c r="C676" s="9" t="s">
        <v>1491</v>
      </c>
      <c r="D676" s="9" t="s">
        <v>3028</v>
      </c>
      <c r="E676" t="s">
        <v>3028</v>
      </c>
    </row>
    <row r="677" spans="1:5" x14ac:dyDescent="0.25">
      <c r="A677" s="10" t="s">
        <v>1492</v>
      </c>
      <c r="B677" s="10" t="s">
        <v>1492</v>
      </c>
      <c r="C677" s="9" t="s">
        <v>1493</v>
      </c>
      <c r="D677" s="9" t="s">
        <v>3028</v>
      </c>
      <c r="E677" t="s">
        <v>3028</v>
      </c>
    </row>
    <row r="678" spans="1:5" x14ac:dyDescent="0.25">
      <c r="A678" s="10" t="s">
        <v>1494</v>
      </c>
      <c r="B678" s="10" t="s">
        <v>1494</v>
      </c>
      <c r="C678" s="9" t="s">
        <v>1495</v>
      </c>
      <c r="D678" s="9" t="s">
        <v>3028</v>
      </c>
      <c r="E678" t="s">
        <v>3028</v>
      </c>
    </row>
    <row r="679" spans="1:5" x14ac:dyDescent="0.25">
      <c r="A679" s="10" t="s">
        <v>1496</v>
      </c>
      <c r="B679" s="10" t="s">
        <v>1496</v>
      </c>
      <c r="C679" s="9" t="s">
        <v>1497</v>
      </c>
      <c r="D679" s="9" t="s">
        <v>3028</v>
      </c>
      <c r="E679" t="s">
        <v>3028</v>
      </c>
    </row>
    <row r="680" spans="1:5" x14ac:dyDescent="0.25">
      <c r="A680" s="10" t="s">
        <v>1498</v>
      </c>
      <c r="B680" s="10" t="s">
        <v>1498</v>
      </c>
      <c r="C680" s="9" t="s">
        <v>1499</v>
      </c>
      <c r="D680" s="9" t="s">
        <v>3028</v>
      </c>
      <c r="E680" t="s">
        <v>3028</v>
      </c>
    </row>
    <row r="681" spans="1:5" x14ac:dyDescent="0.25">
      <c r="A681" s="10" t="s">
        <v>1500</v>
      </c>
      <c r="B681" s="10" t="s">
        <v>1500</v>
      </c>
      <c r="C681" s="9" t="s">
        <v>1501</v>
      </c>
      <c r="D681" s="9" t="s">
        <v>3028</v>
      </c>
      <c r="E681" t="s">
        <v>3028</v>
      </c>
    </row>
    <row r="682" spans="1:5" x14ac:dyDescent="0.25">
      <c r="A682" s="10" t="s">
        <v>1502</v>
      </c>
      <c r="B682" s="10" t="s">
        <v>1502</v>
      </c>
      <c r="C682" s="9" t="s">
        <v>1503</v>
      </c>
      <c r="D682" s="9" t="s">
        <v>3028</v>
      </c>
      <c r="E682" t="s">
        <v>3028</v>
      </c>
    </row>
    <row r="683" spans="1:5" x14ac:dyDescent="0.25">
      <c r="A683" s="10" t="s">
        <v>1504</v>
      </c>
      <c r="B683" s="10" t="s">
        <v>1504</v>
      </c>
      <c r="C683" s="9" t="s">
        <v>1505</v>
      </c>
      <c r="D683" s="9" t="s">
        <v>3028</v>
      </c>
      <c r="E683" t="s">
        <v>3028</v>
      </c>
    </row>
    <row r="684" spans="1:5" x14ac:dyDescent="0.25">
      <c r="A684" s="10" t="s">
        <v>1506</v>
      </c>
      <c r="B684" s="10" t="s">
        <v>1506</v>
      </c>
      <c r="C684" s="9" t="s">
        <v>1507</v>
      </c>
      <c r="D684" s="9" t="s">
        <v>3028</v>
      </c>
      <c r="E684" t="s">
        <v>3028</v>
      </c>
    </row>
    <row r="685" spans="1:5" x14ac:dyDescent="0.25">
      <c r="A685" s="10" t="s">
        <v>1508</v>
      </c>
      <c r="B685" s="10" t="s">
        <v>1508</v>
      </c>
      <c r="C685" s="9" t="s">
        <v>1509</v>
      </c>
      <c r="D685" s="9" t="s">
        <v>3028</v>
      </c>
      <c r="E685" t="s">
        <v>3028</v>
      </c>
    </row>
    <row r="686" spans="1:5" x14ac:dyDescent="0.25">
      <c r="A686" s="10" t="s">
        <v>1510</v>
      </c>
      <c r="B686" s="10" t="s">
        <v>1510</v>
      </c>
      <c r="C686" s="9" t="s">
        <v>1511</v>
      </c>
      <c r="D686" s="9" t="s">
        <v>3028</v>
      </c>
      <c r="E686" t="s">
        <v>3028</v>
      </c>
    </row>
    <row r="687" spans="1:5" x14ac:dyDescent="0.25">
      <c r="A687" s="10" t="s">
        <v>1512</v>
      </c>
      <c r="B687" s="10" t="s">
        <v>1512</v>
      </c>
      <c r="C687" s="9" t="s">
        <v>1513</v>
      </c>
      <c r="D687" s="9" t="s">
        <v>3028</v>
      </c>
      <c r="E687" t="s">
        <v>3028</v>
      </c>
    </row>
    <row r="688" spans="1:5" x14ac:dyDescent="0.25">
      <c r="A688" s="10" t="s">
        <v>1514</v>
      </c>
      <c r="B688" s="10" t="s">
        <v>1514</v>
      </c>
      <c r="C688" s="9" t="s">
        <v>1515</v>
      </c>
      <c r="D688" s="9" t="s">
        <v>3028</v>
      </c>
      <c r="E688" t="s">
        <v>3028</v>
      </c>
    </row>
    <row r="689" spans="1:5" x14ac:dyDescent="0.25">
      <c r="A689" s="10" t="s">
        <v>1516</v>
      </c>
      <c r="B689" s="10" t="s">
        <v>1516</v>
      </c>
      <c r="C689" s="9" t="s">
        <v>1517</v>
      </c>
      <c r="D689" s="9" t="s">
        <v>3028</v>
      </c>
      <c r="E689" t="s">
        <v>3028</v>
      </c>
    </row>
    <row r="690" spans="1:5" x14ac:dyDescent="0.25">
      <c r="A690" s="10" t="s">
        <v>1518</v>
      </c>
      <c r="B690" s="10" t="s">
        <v>1518</v>
      </c>
      <c r="C690" s="9" t="s">
        <v>1519</v>
      </c>
      <c r="D690" s="9" t="s">
        <v>3028</v>
      </c>
      <c r="E690" t="s">
        <v>3028</v>
      </c>
    </row>
    <row r="691" spans="1:5" x14ac:dyDescent="0.25">
      <c r="A691" s="10" t="s">
        <v>1520</v>
      </c>
      <c r="B691" s="10" t="s">
        <v>1520</v>
      </c>
      <c r="C691" s="9" t="s">
        <v>1521</v>
      </c>
      <c r="D691" s="9" t="s">
        <v>3028</v>
      </c>
      <c r="E691" t="s">
        <v>3028</v>
      </c>
    </row>
    <row r="692" spans="1:5" x14ac:dyDescent="0.25">
      <c r="A692" s="10" t="s">
        <v>1522</v>
      </c>
      <c r="B692" s="10" t="s">
        <v>1522</v>
      </c>
      <c r="C692" s="9" t="s">
        <v>1523</v>
      </c>
      <c r="D692" s="9" t="s">
        <v>3028</v>
      </c>
      <c r="E692" t="s">
        <v>3028</v>
      </c>
    </row>
    <row r="693" spans="1:5" x14ac:dyDescent="0.25">
      <c r="A693" s="10" t="s">
        <v>1524</v>
      </c>
      <c r="B693" s="10" t="s">
        <v>1524</v>
      </c>
      <c r="C693" s="9" t="s">
        <v>1525</v>
      </c>
      <c r="D693" s="9" t="s">
        <v>3028</v>
      </c>
      <c r="E693" t="s">
        <v>3028</v>
      </c>
    </row>
    <row r="694" spans="1:5" x14ac:dyDescent="0.25">
      <c r="A694" s="10" t="s">
        <v>1526</v>
      </c>
      <c r="B694" s="10" t="s">
        <v>1526</v>
      </c>
      <c r="C694" s="9" t="s">
        <v>1527</v>
      </c>
      <c r="D694" s="9" t="s">
        <v>3028</v>
      </c>
      <c r="E694" t="s">
        <v>3028</v>
      </c>
    </row>
    <row r="695" spans="1:5" x14ac:dyDescent="0.25">
      <c r="A695" s="10" t="s">
        <v>1528</v>
      </c>
      <c r="B695" s="10" t="s">
        <v>1528</v>
      </c>
      <c r="C695" s="9" t="s">
        <v>1529</v>
      </c>
      <c r="D695" s="9" t="s">
        <v>3028</v>
      </c>
      <c r="E695" t="s">
        <v>3028</v>
      </c>
    </row>
    <row r="696" spans="1:5" x14ac:dyDescent="0.25">
      <c r="A696" s="10" t="s">
        <v>1530</v>
      </c>
      <c r="B696" s="10" t="s">
        <v>1530</v>
      </c>
      <c r="C696" s="9" t="s">
        <v>1531</v>
      </c>
      <c r="D696" s="9" t="s">
        <v>3028</v>
      </c>
      <c r="E696" t="s">
        <v>3028</v>
      </c>
    </row>
    <row r="697" spans="1:5" x14ac:dyDescent="0.25">
      <c r="A697" s="10" t="s">
        <v>1532</v>
      </c>
      <c r="B697" s="10" t="s">
        <v>1532</v>
      </c>
      <c r="C697" s="9" t="s">
        <v>1533</v>
      </c>
      <c r="D697" s="9" t="s">
        <v>3028</v>
      </c>
      <c r="E697" t="s">
        <v>3028</v>
      </c>
    </row>
    <row r="698" spans="1:5" x14ac:dyDescent="0.25">
      <c r="A698" s="10" t="s">
        <v>1534</v>
      </c>
      <c r="B698" s="10" t="s">
        <v>1534</v>
      </c>
      <c r="C698" s="9" t="s">
        <v>1535</v>
      </c>
      <c r="D698" s="9" t="s">
        <v>3028</v>
      </c>
      <c r="E698" t="s">
        <v>3028</v>
      </c>
    </row>
    <row r="699" spans="1:5" x14ac:dyDescent="0.25">
      <c r="A699" s="10" t="s">
        <v>1536</v>
      </c>
      <c r="B699" s="10" t="s">
        <v>1536</v>
      </c>
      <c r="C699" s="9" t="s">
        <v>1537</v>
      </c>
      <c r="D699" s="9" t="s">
        <v>3028</v>
      </c>
      <c r="E699" t="s">
        <v>3028</v>
      </c>
    </row>
    <row r="700" spans="1:5" x14ac:dyDescent="0.25">
      <c r="A700" s="10" t="s">
        <v>1538</v>
      </c>
      <c r="B700" s="10" t="s">
        <v>1538</v>
      </c>
      <c r="C700" s="9" t="s">
        <v>1539</v>
      </c>
      <c r="D700" s="9" t="s">
        <v>3028</v>
      </c>
      <c r="E700" t="s">
        <v>3028</v>
      </c>
    </row>
    <row r="701" spans="1:5" x14ac:dyDescent="0.25">
      <c r="A701" s="10" t="s">
        <v>1540</v>
      </c>
      <c r="B701" s="10" t="s">
        <v>1540</v>
      </c>
      <c r="C701" s="9" t="s">
        <v>1541</v>
      </c>
      <c r="D701" s="9" t="s">
        <v>3028</v>
      </c>
      <c r="E701" t="s">
        <v>3028</v>
      </c>
    </row>
    <row r="702" spans="1:5" x14ac:dyDescent="0.25">
      <c r="A702" s="10" t="s">
        <v>1542</v>
      </c>
      <c r="B702" s="10" t="s">
        <v>1542</v>
      </c>
      <c r="C702" s="9" t="s">
        <v>1543</v>
      </c>
      <c r="D702" s="9" t="s">
        <v>3028</v>
      </c>
      <c r="E702" t="s">
        <v>3028</v>
      </c>
    </row>
    <row r="703" spans="1:5" x14ac:dyDescent="0.25">
      <c r="A703" s="10" t="s">
        <v>1544</v>
      </c>
      <c r="B703" s="10" t="s">
        <v>1544</v>
      </c>
      <c r="C703" s="9" t="s">
        <v>1545</v>
      </c>
      <c r="D703" s="9" t="s">
        <v>3028</v>
      </c>
      <c r="E703" t="s">
        <v>3028</v>
      </c>
    </row>
    <row r="704" spans="1:5" x14ac:dyDescent="0.25">
      <c r="A704" s="10" t="s">
        <v>1546</v>
      </c>
      <c r="B704" s="10" t="s">
        <v>1546</v>
      </c>
      <c r="C704" s="9" t="s">
        <v>1547</v>
      </c>
      <c r="D704" s="9" t="s">
        <v>3028</v>
      </c>
      <c r="E704" t="s">
        <v>3028</v>
      </c>
    </row>
    <row r="705" spans="1:5" x14ac:dyDescent="0.25">
      <c r="A705" s="10" t="s">
        <v>1548</v>
      </c>
      <c r="B705" s="10" t="s">
        <v>1548</v>
      </c>
      <c r="C705" s="9" t="s">
        <v>1549</v>
      </c>
      <c r="D705" s="9" t="s">
        <v>3028</v>
      </c>
      <c r="E705" t="s">
        <v>3028</v>
      </c>
    </row>
    <row r="706" spans="1:5" x14ac:dyDescent="0.25">
      <c r="A706" s="10" t="s">
        <v>1550</v>
      </c>
      <c r="B706" s="10" t="s">
        <v>1550</v>
      </c>
      <c r="C706" s="9" t="s">
        <v>1551</v>
      </c>
      <c r="D706" s="9" t="s">
        <v>3028</v>
      </c>
      <c r="E706" t="s">
        <v>3028</v>
      </c>
    </row>
    <row r="707" spans="1:5" x14ac:dyDescent="0.25">
      <c r="A707" s="10" t="s">
        <v>1552</v>
      </c>
      <c r="B707" s="10" t="s">
        <v>1552</v>
      </c>
      <c r="C707" s="9" t="s">
        <v>1553</v>
      </c>
      <c r="D707" s="9" t="s">
        <v>3028</v>
      </c>
      <c r="E707" t="s">
        <v>3028</v>
      </c>
    </row>
    <row r="708" spans="1:5" x14ac:dyDescent="0.25">
      <c r="A708" s="10" t="s">
        <v>1554</v>
      </c>
      <c r="B708" s="10" t="s">
        <v>1554</v>
      </c>
      <c r="C708" s="9" t="s">
        <v>1555</v>
      </c>
      <c r="D708" s="9" t="s">
        <v>3028</v>
      </c>
      <c r="E708" t="s">
        <v>3028</v>
      </c>
    </row>
    <row r="709" spans="1:5" x14ac:dyDescent="0.25">
      <c r="A709" s="10" t="s">
        <v>1556</v>
      </c>
      <c r="B709" s="10" t="s">
        <v>1556</v>
      </c>
      <c r="C709" s="9" t="s">
        <v>1557</v>
      </c>
      <c r="D709" s="9" t="s">
        <v>3028</v>
      </c>
      <c r="E709" t="s">
        <v>3028</v>
      </c>
    </row>
    <row r="710" spans="1:5" x14ac:dyDescent="0.25">
      <c r="A710" s="10" t="s">
        <v>1558</v>
      </c>
      <c r="B710" s="10" t="s">
        <v>1558</v>
      </c>
      <c r="C710" s="9" t="s">
        <v>1559</v>
      </c>
      <c r="D710" s="9" t="s">
        <v>3028</v>
      </c>
      <c r="E710" t="s">
        <v>3028</v>
      </c>
    </row>
    <row r="711" spans="1:5" x14ac:dyDescent="0.25">
      <c r="A711" s="10" t="s">
        <v>1560</v>
      </c>
      <c r="B711" s="10" t="s">
        <v>1560</v>
      </c>
      <c r="C711" s="9" t="s">
        <v>1561</v>
      </c>
      <c r="D711" s="9" t="s">
        <v>3028</v>
      </c>
      <c r="E711" t="s">
        <v>3028</v>
      </c>
    </row>
    <row r="712" spans="1:5" x14ac:dyDescent="0.25">
      <c r="A712" s="10" t="s">
        <v>1562</v>
      </c>
      <c r="B712" s="10" t="s">
        <v>1562</v>
      </c>
      <c r="C712" s="9" t="s">
        <v>1563</v>
      </c>
      <c r="D712" s="9" t="s">
        <v>3028</v>
      </c>
      <c r="E712" t="s">
        <v>3028</v>
      </c>
    </row>
    <row r="713" spans="1:5" x14ac:dyDescent="0.25">
      <c r="A713" s="10" t="s">
        <v>1564</v>
      </c>
      <c r="B713" s="10" t="s">
        <v>1564</v>
      </c>
      <c r="C713" s="9" t="s">
        <v>1565</v>
      </c>
      <c r="D713" s="9" t="s">
        <v>3028</v>
      </c>
      <c r="E713" t="s">
        <v>3028</v>
      </c>
    </row>
    <row r="714" spans="1:5" x14ac:dyDescent="0.25">
      <c r="A714" s="10" t="s">
        <v>1566</v>
      </c>
      <c r="B714" s="10" t="s">
        <v>1566</v>
      </c>
      <c r="C714" s="9" t="s">
        <v>1567</v>
      </c>
      <c r="D714" s="9" t="s">
        <v>3028</v>
      </c>
      <c r="E714" t="s">
        <v>3028</v>
      </c>
    </row>
    <row r="715" spans="1:5" x14ac:dyDescent="0.25">
      <c r="A715" s="10" t="s">
        <v>1568</v>
      </c>
      <c r="B715" s="10" t="s">
        <v>1568</v>
      </c>
      <c r="C715" s="9" t="s">
        <v>1569</v>
      </c>
      <c r="D715" s="9" t="s">
        <v>3028</v>
      </c>
      <c r="E715" t="s">
        <v>3028</v>
      </c>
    </row>
    <row r="716" spans="1:5" x14ac:dyDescent="0.25">
      <c r="A716" s="10" t="s">
        <v>1570</v>
      </c>
      <c r="B716" s="10" t="s">
        <v>1570</v>
      </c>
      <c r="C716" s="9" t="s">
        <v>1571</v>
      </c>
      <c r="D716" s="9" t="s">
        <v>3028</v>
      </c>
      <c r="E716" t="s">
        <v>3028</v>
      </c>
    </row>
    <row r="717" spans="1:5" x14ac:dyDescent="0.25">
      <c r="A717" s="10" t="s">
        <v>1572</v>
      </c>
      <c r="B717" s="10" t="s">
        <v>1572</v>
      </c>
      <c r="C717" s="9" t="s">
        <v>1573</v>
      </c>
      <c r="D717" s="9" t="s">
        <v>3028</v>
      </c>
      <c r="E717" t="s">
        <v>3028</v>
      </c>
    </row>
    <row r="718" spans="1:5" x14ac:dyDescent="0.25">
      <c r="A718" s="10" t="s">
        <v>1574</v>
      </c>
      <c r="B718" s="10" t="s">
        <v>1574</v>
      </c>
      <c r="C718" s="9" t="s">
        <v>1575</v>
      </c>
      <c r="D718" s="9" t="s">
        <v>3028</v>
      </c>
      <c r="E718" t="s">
        <v>3028</v>
      </c>
    </row>
    <row r="719" spans="1:5" x14ac:dyDescent="0.25">
      <c r="A719" s="10" t="s">
        <v>1576</v>
      </c>
      <c r="B719" s="10" t="s">
        <v>1576</v>
      </c>
      <c r="C719" s="9" t="s">
        <v>1577</v>
      </c>
      <c r="D719" s="9" t="s">
        <v>3028</v>
      </c>
      <c r="E719" t="s">
        <v>3028</v>
      </c>
    </row>
    <row r="720" spans="1:5" x14ac:dyDescent="0.25">
      <c r="A720" s="10" t="s">
        <v>1578</v>
      </c>
      <c r="B720" s="10" t="s">
        <v>1578</v>
      </c>
      <c r="C720" s="9" t="s">
        <v>1579</v>
      </c>
      <c r="D720" s="9" t="s">
        <v>3028</v>
      </c>
      <c r="E720" t="s">
        <v>3028</v>
      </c>
    </row>
    <row r="721" spans="1:5" x14ac:dyDescent="0.25">
      <c r="A721" s="10" t="s">
        <v>1580</v>
      </c>
      <c r="B721" s="10" t="s">
        <v>1580</v>
      </c>
      <c r="C721" s="9" t="s">
        <v>1581</v>
      </c>
      <c r="D721" s="9" t="s">
        <v>3028</v>
      </c>
      <c r="E721" t="s">
        <v>3028</v>
      </c>
    </row>
    <row r="722" spans="1:5" x14ac:dyDescent="0.25">
      <c r="A722" s="10" t="s">
        <v>1582</v>
      </c>
      <c r="B722" s="10" t="s">
        <v>1582</v>
      </c>
      <c r="C722" s="9" t="s">
        <v>1583</v>
      </c>
      <c r="D722" s="9" t="s">
        <v>3028</v>
      </c>
      <c r="E722" t="s">
        <v>3028</v>
      </c>
    </row>
    <row r="723" spans="1:5" x14ac:dyDescent="0.25">
      <c r="A723" s="10" t="s">
        <v>1584</v>
      </c>
      <c r="B723" s="10" t="s">
        <v>1584</v>
      </c>
      <c r="C723" s="9" t="s">
        <v>1585</v>
      </c>
      <c r="D723" s="9" t="s">
        <v>3028</v>
      </c>
      <c r="E723" t="s">
        <v>3028</v>
      </c>
    </row>
    <row r="724" spans="1:5" x14ac:dyDescent="0.25">
      <c r="A724" s="10" t="s">
        <v>1586</v>
      </c>
      <c r="B724" s="10" t="s">
        <v>1586</v>
      </c>
      <c r="C724" s="9" t="s">
        <v>1587</v>
      </c>
      <c r="D724" s="9" t="s">
        <v>3028</v>
      </c>
      <c r="E724" t="s">
        <v>3028</v>
      </c>
    </row>
    <row r="725" spans="1:5" x14ac:dyDescent="0.25">
      <c r="A725" s="10" t="s">
        <v>1588</v>
      </c>
      <c r="B725" s="10" t="s">
        <v>1588</v>
      </c>
      <c r="C725" s="9" t="s">
        <v>1589</v>
      </c>
      <c r="D725" s="9" t="s">
        <v>3028</v>
      </c>
      <c r="E725" t="s">
        <v>3028</v>
      </c>
    </row>
    <row r="726" spans="1:5" x14ac:dyDescent="0.25">
      <c r="A726" s="10" t="s">
        <v>1590</v>
      </c>
      <c r="B726" s="10" t="s">
        <v>1590</v>
      </c>
      <c r="C726" s="9" t="s">
        <v>1591</v>
      </c>
      <c r="D726" s="9" t="s">
        <v>3028</v>
      </c>
      <c r="E726" t="s">
        <v>3028</v>
      </c>
    </row>
    <row r="727" spans="1:5" x14ac:dyDescent="0.25">
      <c r="A727" s="10" t="s">
        <v>1592</v>
      </c>
      <c r="B727" s="10" t="s">
        <v>1592</v>
      </c>
      <c r="C727" s="9" t="s">
        <v>1593</v>
      </c>
      <c r="D727" s="9" t="s">
        <v>3028</v>
      </c>
      <c r="E727" t="s">
        <v>3028</v>
      </c>
    </row>
    <row r="728" spans="1:5" x14ac:dyDescent="0.25">
      <c r="A728" s="10" t="s">
        <v>1594</v>
      </c>
      <c r="B728" s="10" t="s">
        <v>1594</v>
      </c>
      <c r="C728" s="9" t="s">
        <v>1595</v>
      </c>
      <c r="D728" s="9" t="s">
        <v>3028</v>
      </c>
      <c r="E728" t="s">
        <v>3028</v>
      </c>
    </row>
    <row r="729" spans="1:5" x14ac:dyDescent="0.25">
      <c r="A729" s="10" t="s">
        <v>1596</v>
      </c>
      <c r="B729" s="10" t="s">
        <v>1596</v>
      </c>
      <c r="C729" s="9" t="s">
        <v>1597</v>
      </c>
      <c r="D729" s="9" t="s">
        <v>3028</v>
      </c>
      <c r="E729" t="s">
        <v>3028</v>
      </c>
    </row>
    <row r="730" spans="1:5" x14ac:dyDescent="0.25">
      <c r="A730" s="10" t="s">
        <v>1598</v>
      </c>
      <c r="B730" s="10" t="s">
        <v>1598</v>
      </c>
      <c r="C730" s="9" t="s">
        <v>1599</v>
      </c>
      <c r="D730" s="9" t="s">
        <v>3028</v>
      </c>
      <c r="E730" t="s">
        <v>3028</v>
      </c>
    </row>
    <row r="731" spans="1:5" x14ac:dyDescent="0.25">
      <c r="A731" s="10" t="s">
        <v>1600</v>
      </c>
      <c r="B731" s="10" t="s">
        <v>1600</v>
      </c>
      <c r="C731" s="9" t="s">
        <v>1601</v>
      </c>
      <c r="D731" s="9" t="s">
        <v>3028</v>
      </c>
      <c r="E731" t="s">
        <v>3028</v>
      </c>
    </row>
    <row r="732" spans="1:5" x14ac:dyDescent="0.25">
      <c r="A732" s="10" t="s">
        <v>1605</v>
      </c>
      <c r="B732" s="10" t="s">
        <v>1605</v>
      </c>
      <c r="C732" s="9" t="s">
        <v>1606</v>
      </c>
      <c r="D732" s="9" t="s">
        <v>3028</v>
      </c>
      <c r="E732" t="s">
        <v>3028</v>
      </c>
    </row>
    <row r="733" spans="1:5" x14ac:dyDescent="0.25">
      <c r="A733" s="10" t="s">
        <v>1607</v>
      </c>
      <c r="B733" s="10" t="s">
        <v>1607</v>
      </c>
      <c r="C733" s="9" t="s">
        <v>1608</v>
      </c>
      <c r="D733" s="9" t="s">
        <v>3028</v>
      </c>
      <c r="E733" t="s">
        <v>3028</v>
      </c>
    </row>
    <row r="734" spans="1:5" x14ac:dyDescent="0.25">
      <c r="A734" s="10" t="s">
        <v>1609</v>
      </c>
      <c r="B734" s="10" t="s">
        <v>1609</v>
      </c>
      <c r="C734" s="9" t="s">
        <v>1610</v>
      </c>
      <c r="D734" s="9" t="s">
        <v>3028</v>
      </c>
      <c r="E734" t="s">
        <v>3028</v>
      </c>
    </row>
    <row r="735" spans="1:5" x14ac:dyDescent="0.25">
      <c r="A735" s="10" t="s">
        <v>1611</v>
      </c>
      <c r="B735" s="10" t="s">
        <v>1611</v>
      </c>
      <c r="C735" s="9" t="s">
        <v>1612</v>
      </c>
      <c r="D735" s="9" t="s">
        <v>3028</v>
      </c>
      <c r="E735" t="s">
        <v>3028</v>
      </c>
    </row>
    <row r="736" spans="1:5" x14ac:dyDescent="0.25">
      <c r="A736" s="10" t="s">
        <v>1613</v>
      </c>
      <c r="B736" s="10" t="s">
        <v>1613</v>
      </c>
      <c r="C736" s="9" t="s">
        <v>1614</v>
      </c>
      <c r="D736" s="9" t="s">
        <v>3028</v>
      </c>
      <c r="E736" t="s">
        <v>3028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0"/>
  <dimension ref="A1:C4"/>
  <sheetViews>
    <sheetView topLeftCell="B1" workbookViewId="0">
      <selection activeCell="B6" sqref="B6"/>
    </sheetView>
  </sheetViews>
  <sheetFormatPr defaultRowHeight="15" x14ac:dyDescent="0.25"/>
  <cols>
    <col min="1" max="1" width="8.875" hidden="1" customWidth="1"/>
    <col min="2" max="2" width="46.125" style="10" customWidth="1"/>
  </cols>
  <sheetData>
    <row r="1" spans="1:3" ht="47.85" customHeight="1" x14ac:dyDescent="0.25">
      <c r="A1" s="25" t="s">
        <v>28</v>
      </c>
      <c r="B1" s="25"/>
    </row>
    <row r="2" spans="1:3" x14ac:dyDescent="0.25">
      <c r="A2" s="6"/>
      <c r="B2" s="4" t="s">
        <v>50</v>
      </c>
    </row>
    <row r="3" spans="1:3" x14ac:dyDescent="0.25">
      <c r="B3" s="10" t="s">
        <v>79</v>
      </c>
      <c r="C3" t="s">
        <v>3028</v>
      </c>
    </row>
    <row r="4" spans="1:3" x14ac:dyDescent="0.25">
      <c r="A4">
        <v>98620363620</v>
      </c>
      <c r="B4" s="10" t="s">
        <v>80</v>
      </c>
      <c r="C4" t="s">
        <v>3028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1"/>
  <dimension ref="A1:O3"/>
  <sheetViews>
    <sheetView topLeftCell="B1" workbookViewId="0">
      <selection sqref="A1:O1"/>
    </sheetView>
  </sheetViews>
  <sheetFormatPr defaultRowHeight="15" x14ac:dyDescent="0.25"/>
  <cols>
    <col min="1" max="1" width="1.125" style="7" hidden="1" customWidth="1"/>
    <col min="2" max="2" width="15" style="7" bestFit="1" customWidth="1"/>
    <col min="3" max="3" width="21" style="7" bestFit="1" customWidth="1"/>
    <col min="4" max="4" width="12.875" style="7" customWidth="1"/>
    <col min="5" max="5" width="11.875" style="7" bestFit="1" customWidth="1"/>
    <col min="6" max="6" width="9.875" style="7" customWidth="1"/>
    <col min="7" max="7" width="8.25" style="7" customWidth="1"/>
    <col min="8" max="8" width="10.75" style="7" customWidth="1"/>
    <col min="9" max="9" width="10" style="7" customWidth="1"/>
    <col min="10" max="10" width="8.5" style="7" customWidth="1"/>
    <col min="11" max="11" width="9.75" style="7" customWidth="1"/>
    <col min="12" max="12" width="8" style="7" customWidth="1"/>
    <col min="13" max="13" width="8.25" style="7" customWidth="1"/>
    <col min="14" max="14" width="8.875" style="7" bestFit="1" customWidth="1"/>
    <col min="15" max="15" width="9.5" style="7" customWidth="1"/>
    <col min="16" max="16384" width="9" style="1"/>
  </cols>
  <sheetData>
    <row r="1" spans="1:15" ht="47.85" customHeight="1" x14ac:dyDescent="0.25">
      <c r="A1" s="26" t="s">
        <v>53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</row>
    <row r="2" spans="1:15" ht="120" x14ac:dyDescent="0.25">
      <c r="A2" s="4"/>
      <c r="B2" s="4" t="s">
        <v>0</v>
      </c>
      <c r="C2" s="4" t="s">
        <v>10</v>
      </c>
      <c r="D2" s="4" t="s">
        <v>11</v>
      </c>
      <c r="E2" s="4" t="s">
        <v>12</v>
      </c>
      <c r="F2" s="4" t="s">
        <v>6</v>
      </c>
      <c r="G2" s="4" t="s">
        <v>13</v>
      </c>
      <c r="H2" s="4" t="s">
        <v>14</v>
      </c>
      <c r="I2" s="4" t="s">
        <v>4</v>
      </c>
      <c r="J2" s="4" t="s">
        <v>5</v>
      </c>
      <c r="K2" s="4" t="s">
        <v>15</v>
      </c>
      <c r="L2" s="4" t="s">
        <v>7</v>
      </c>
      <c r="M2" s="4" t="s">
        <v>16</v>
      </c>
      <c r="N2" s="4" t="s">
        <v>17</v>
      </c>
      <c r="O2" s="4" t="s">
        <v>16</v>
      </c>
    </row>
    <row r="3" spans="1:15" x14ac:dyDescent="0.25">
      <c r="B3" s="7" t="s">
        <v>90</v>
      </c>
      <c r="C3" s="7" t="s">
        <v>91</v>
      </c>
      <c r="D3" s="7" t="s">
        <v>77</v>
      </c>
      <c r="E3" s="7" t="s">
        <v>92</v>
      </c>
      <c r="F3" s="7" t="s">
        <v>74</v>
      </c>
      <c r="G3" s="7" t="s">
        <v>74</v>
      </c>
      <c r="H3" s="7" t="s">
        <v>74</v>
      </c>
      <c r="I3" s="7" t="s">
        <v>74</v>
      </c>
      <c r="J3" s="7" t="s">
        <v>78</v>
      </c>
      <c r="K3" s="7" t="s">
        <v>74</v>
      </c>
      <c r="L3" s="7" t="s">
        <v>74</v>
      </c>
      <c r="M3" s="7" t="s">
        <v>3028</v>
      </c>
      <c r="N3" s="7" t="s">
        <v>3028</v>
      </c>
    </row>
  </sheetData>
  <mergeCells count="1">
    <mergeCell ref="A1:O1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4"/>
  <dimension ref="A1:L2"/>
  <sheetViews>
    <sheetView workbookViewId="0">
      <selection activeCell="N5" sqref="N5"/>
    </sheetView>
  </sheetViews>
  <sheetFormatPr defaultRowHeight="15" x14ac:dyDescent="0.25"/>
  <cols>
    <col min="1" max="3" width="11" style="8" customWidth="1"/>
    <col min="4" max="4" width="12.875" style="8" customWidth="1"/>
    <col min="5" max="12" width="11" style="8" customWidth="1"/>
    <col min="13" max="16384" width="9" style="1"/>
  </cols>
  <sheetData>
    <row r="1" spans="1:12" ht="47.85" customHeight="1" x14ac:dyDescent="0.25">
      <c r="A1" s="26" t="s">
        <v>52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s="3" customFormat="1" ht="84" x14ac:dyDescent="0.2">
      <c r="A2" s="4"/>
      <c r="B2" s="4" t="s">
        <v>0</v>
      </c>
      <c r="C2" s="4" t="s">
        <v>1</v>
      </c>
      <c r="D2" s="4" t="s">
        <v>4</v>
      </c>
      <c r="E2" s="4" t="s">
        <v>3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8</v>
      </c>
      <c r="L2" s="4" t="s">
        <v>9</v>
      </c>
    </row>
  </sheetData>
  <mergeCells count="1">
    <mergeCell ref="A1:L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7" r:id="rId4" name="Button 1">
              <controlPr defaultSize="0" print="0" autoFill="0" autoPict="0" macro="[0]!Botão1_PgDIRF">
                <anchor moveWithCells="1" sizeWithCells="1">
                  <from>
                    <xdr:col>12</xdr:col>
                    <xdr:colOff>304800</xdr:colOff>
                    <xdr:row>0</xdr:row>
                    <xdr:rowOff>447675</xdr:rowOff>
                  </from>
                  <to>
                    <xdr:col>13</xdr:col>
                    <xdr:colOff>628650</xdr:colOff>
                    <xdr:row>1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2"/>
  <dimension ref="A1:I3"/>
  <sheetViews>
    <sheetView topLeftCell="B1" workbookViewId="0">
      <selection activeCell="I3" sqref="I3"/>
    </sheetView>
  </sheetViews>
  <sheetFormatPr defaultRowHeight="15" x14ac:dyDescent="0.25"/>
  <cols>
    <col min="1" max="1" width="10" style="7" hidden="1" customWidth="1"/>
    <col min="2" max="2" width="10.5" style="7" bestFit="1" customWidth="1"/>
    <col min="3" max="3" width="30.625" style="7" bestFit="1" customWidth="1"/>
    <col min="4" max="4" width="4.25" style="7" bestFit="1" customWidth="1"/>
    <col min="5" max="5" width="7.875" style="7" bestFit="1" customWidth="1"/>
    <col min="6" max="6" width="5.625" style="7" bestFit="1" customWidth="1"/>
    <col min="7" max="7" width="7.875" style="7" bestFit="1" customWidth="1"/>
    <col min="8" max="8" width="31.75" style="7" bestFit="1" customWidth="1"/>
    <col min="9" max="16384" width="9" style="2"/>
  </cols>
  <sheetData>
    <row r="1" spans="1:9" ht="45.75" customHeight="1" x14ac:dyDescent="0.25">
      <c r="A1" s="29" t="s">
        <v>51</v>
      </c>
      <c r="B1" s="31"/>
      <c r="C1" s="31"/>
      <c r="D1" s="31"/>
      <c r="E1" s="31"/>
      <c r="F1" s="31"/>
      <c r="G1" s="31"/>
      <c r="H1" s="31"/>
    </row>
    <row r="2" spans="1:9" ht="45" customHeight="1" x14ac:dyDescent="0.25">
      <c r="A2" s="4"/>
      <c r="B2" s="4" t="s">
        <v>0</v>
      </c>
      <c r="C2" s="4" t="s">
        <v>23</v>
      </c>
      <c r="D2" s="4" t="s">
        <v>2</v>
      </c>
      <c r="E2" s="4" t="s">
        <v>24</v>
      </c>
      <c r="F2" s="4" t="s">
        <v>25</v>
      </c>
      <c r="G2" s="4" t="s">
        <v>26</v>
      </c>
      <c r="H2" s="4" t="s">
        <v>27</v>
      </c>
    </row>
    <row r="3" spans="1:9" x14ac:dyDescent="0.25">
      <c r="B3" s="7" t="s">
        <v>85</v>
      </c>
      <c r="C3" s="7" t="s">
        <v>86</v>
      </c>
      <c r="D3" s="7" t="s">
        <v>76</v>
      </c>
      <c r="E3" s="7" t="s">
        <v>87</v>
      </c>
      <c r="F3" s="7" t="s">
        <v>88</v>
      </c>
      <c r="G3" s="7" t="s">
        <v>3028</v>
      </c>
      <c r="H3" s="7" t="s">
        <v>89</v>
      </c>
      <c r="I3" s="2" t="s">
        <v>3028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3" name="Button 1">
              <controlPr defaultSize="0" print="0" autoFill="0" autoPict="0" macro="[0]!Botão1_PgDIRF">
                <anchor moveWithCells="1" sizeWithCells="1">
                  <from>
                    <xdr:col>8</xdr:col>
                    <xdr:colOff>285750</xdr:colOff>
                    <xdr:row>0</xdr:row>
                    <xdr:rowOff>219075</xdr:rowOff>
                  </from>
                  <to>
                    <xdr:col>9</xdr:col>
                    <xdr:colOff>609600</xdr:colOff>
                    <xdr:row>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3"/>
  <dimension ref="A1:G3"/>
  <sheetViews>
    <sheetView topLeftCell="B1" workbookViewId="0">
      <selection activeCell="G14" sqref="G14"/>
    </sheetView>
  </sheetViews>
  <sheetFormatPr defaultRowHeight="15" x14ac:dyDescent="0.25"/>
  <cols>
    <col min="1" max="1" width="9" style="2" hidden="1" customWidth="1"/>
    <col min="2" max="2" width="10" style="7" customWidth="1"/>
    <col min="3" max="3" width="11" style="7" customWidth="1"/>
    <col min="4" max="4" width="10.25" style="7" customWidth="1"/>
    <col min="5" max="5" width="13" style="7" customWidth="1"/>
    <col min="6" max="6" width="15" style="7" customWidth="1"/>
    <col min="7" max="16384" width="9" style="1"/>
  </cols>
  <sheetData>
    <row r="1" spans="1:7" ht="45.75" customHeight="1" x14ac:dyDescent="0.25">
      <c r="A1" s="11"/>
      <c r="B1" s="32" t="s">
        <v>71</v>
      </c>
      <c r="C1" s="33"/>
      <c r="D1" s="33"/>
      <c r="E1" s="33"/>
      <c r="F1" s="34"/>
    </row>
    <row r="2" spans="1:7" ht="45" customHeight="1" x14ac:dyDescent="0.25">
      <c r="B2" s="4" t="s">
        <v>18</v>
      </c>
      <c r="C2" s="4" t="s">
        <v>19</v>
      </c>
      <c r="D2" s="4" t="s">
        <v>20</v>
      </c>
      <c r="E2" s="5" t="s">
        <v>21</v>
      </c>
      <c r="F2" s="4" t="s">
        <v>22</v>
      </c>
    </row>
    <row r="3" spans="1:7" x14ac:dyDescent="0.25">
      <c r="B3" s="7" t="s">
        <v>81</v>
      </c>
      <c r="C3" s="7" t="s">
        <v>73</v>
      </c>
      <c r="D3" s="7" t="s">
        <v>74</v>
      </c>
      <c r="E3" s="7" t="s">
        <v>3028</v>
      </c>
      <c r="F3" s="7" t="s">
        <v>82</v>
      </c>
      <c r="G3" s="1" t="s">
        <v>3028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AcroExch.Document.DC" dvAspect="DVASPECT_ICON" shapeId="32775" r:id="rId4">
          <objectPr defaultSize="0" r:id="rId5">
            <anchor moveWithCells="1">
              <from>
                <xdr:col>7</xdr:col>
                <xdr:colOff>95250</xdr:colOff>
                <xdr:row>3</xdr:row>
                <xdr:rowOff>38100</xdr:rowOff>
              </from>
              <to>
                <xdr:col>8</xdr:col>
                <xdr:colOff>323850</xdr:colOff>
                <xdr:row>6</xdr:row>
                <xdr:rowOff>152400</xdr:rowOff>
              </to>
            </anchor>
          </objectPr>
        </oleObject>
      </mc:Choice>
      <mc:Fallback>
        <oleObject progId="AcroExch.Document.DC" dvAspect="DVASPECT_ICON" shapeId="3277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6" name="Button 1">
              <controlPr defaultSize="0" print="0" autoFill="0" autoPict="0" macro="[0]!Planilha33.ImportarTexto">
                <anchor moveWithCells="1" sizeWithCells="1">
                  <from>
                    <xdr:col>6</xdr:col>
                    <xdr:colOff>676275</xdr:colOff>
                    <xdr:row>0</xdr:row>
                    <xdr:rowOff>142875</xdr:rowOff>
                  </from>
                  <to>
                    <xdr:col>12</xdr:col>
                    <xdr:colOff>19050</xdr:colOff>
                    <xdr:row>1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53</vt:i4>
      </vt:variant>
    </vt:vector>
  </HeadingPairs>
  <TitlesOfParts>
    <vt:vector size="53" baseType="lpstr">
      <vt:lpstr>FIMDIRF</vt:lpstr>
      <vt:lpstr>RDTPSE</vt:lpstr>
      <vt:lpstr>DTPSE</vt:lpstr>
      <vt:lpstr>TPSE</vt:lpstr>
      <vt:lpstr>OPSE</vt:lpstr>
      <vt:lpstr>RIRSR</vt:lpstr>
      <vt:lpstr>RIPSTS</vt:lpstr>
      <vt:lpstr>RIL96</vt:lpstr>
      <vt:lpstr>RIBMR_3562</vt:lpstr>
      <vt:lpstr>RIAP_3562</vt:lpstr>
      <vt:lpstr>RIIRP_3562</vt:lpstr>
      <vt:lpstr>RIDAC_3562</vt:lpstr>
      <vt:lpstr>ESDJ_3562</vt:lpstr>
      <vt:lpstr>ESIR_3562</vt:lpstr>
      <vt:lpstr>ESPA_3562</vt:lpstr>
      <vt:lpstr>ESDP_3562</vt:lpstr>
      <vt:lpstr>ESPP_3562</vt:lpstr>
      <vt:lpstr>ESPO_3562</vt:lpstr>
      <vt:lpstr>ESRT_3562</vt:lpstr>
      <vt:lpstr>CJAA_3562</vt:lpstr>
      <vt:lpstr>CJAC_3562</vt:lpstr>
      <vt:lpstr>RTIRF_3562</vt:lpstr>
      <vt:lpstr>RTPA_3562</vt:lpstr>
      <vt:lpstr>RTDP_3562</vt:lpstr>
      <vt:lpstr>RTRT_3562</vt:lpstr>
      <vt:lpstr>BPFDEC_3562</vt:lpstr>
      <vt:lpstr>RIBMR_0561</vt:lpstr>
      <vt:lpstr>RIAP_0561</vt:lpstr>
      <vt:lpstr>RIIRP_0561</vt:lpstr>
      <vt:lpstr>RIDAC_0561</vt:lpstr>
      <vt:lpstr>ESDJ_0561</vt:lpstr>
      <vt:lpstr>ESPA_0561</vt:lpstr>
      <vt:lpstr>ESDP_0561</vt:lpstr>
      <vt:lpstr>ESPP_0561</vt:lpstr>
      <vt:lpstr>ESPO_0561</vt:lpstr>
      <vt:lpstr>ESIR__0561</vt:lpstr>
      <vt:lpstr>ESRT_0561</vt:lpstr>
      <vt:lpstr>CJAA_0561</vt:lpstr>
      <vt:lpstr>CJAC_0561</vt:lpstr>
      <vt:lpstr>RTIRF_0561</vt:lpstr>
      <vt:lpstr>RTPA_0561</vt:lpstr>
      <vt:lpstr>INFPA</vt:lpstr>
      <vt:lpstr>RTDP_0561</vt:lpstr>
      <vt:lpstr>RTPP_0561</vt:lpstr>
      <vt:lpstr>RTPO_0561</vt:lpstr>
      <vt:lpstr>RTRT_0561</vt:lpstr>
      <vt:lpstr>BPJDEC</vt:lpstr>
      <vt:lpstr>BPFDEC_0561</vt:lpstr>
      <vt:lpstr>IDREC</vt:lpstr>
      <vt:lpstr>DECPJ</vt:lpstr>
      <vt:lpstr>DECPF</vt:lpstr>
      <vt:lpstr>RESPO</vt:lpstr>
      <vt:lpstr>DIRF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Gerson Pinto Amarante</dc:creator>
  <cp:lastModifiedBy>Gerson Pinto Amarante</cp:lastModifiedBy>
  <cp:lastPrinted>2017-01-17T18:58:23Z</cp:lastPrinted>
  <dcterms:created xsi:type="dcterms:W3CDTF">2017-01-17T18:31:29Z</dcterms:created>
  <dcterms:modified xsi:type="dcterms:W3CDTF">2017-02-15T13:19:39Z</dcterms:modified>
</cp:coreProperties>
</file>