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"/>
    </mc:Choice>
  </mc:AlternateContent>
  <bookViews>
    <workbookView xWindow="0" yWindow="0" windowWidth="20490" windowHeight="8115" tabRatio="958" firstSheet="37" activeTab="52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IDREC" sheetId="30" r:id="rId49"/>
    <sheet name="DECPJ" sheetId="31" r:id="rId50"/>
    <sheet name="DECPF" sheetId="34" state="hidden" r:id="rId51"/>
    <sheet name="RESPO" sheetId="32" r:id="rId52"/>
    <sheet name="DIRF" sheetId="33" r:id="rId5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<sst xmlns="http://schemas.openxmlformats.org/spreadsheetml/2006/main" count="166" uniqueCount="77">
  <si>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</si>
  <si>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</si>
  <si>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</si>
  <si>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</si>
  <si>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</si>
  <si>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</si>
  <si>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</si>
  <si>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</si>
  <si>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</si>
  <si>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</si>
  <si>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</si>
  <si>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</si>
  <si>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</si>
  <si>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</si>
  <si>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</si>
  <si>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</si>
  <si>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</si>
  <si>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</si>
  <si>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</si>
  <si>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</si>
  <si>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</si>
  <si>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</si>
  <si>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</si>
  <si>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</si>
  <si>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</si>
  <si>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</si>
  <si>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</si>
  <si>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</si>
  <si>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</si>
  <si>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</si>
  <si>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</si>
  <si>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</si>
  <si>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</si>
  <si>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</si>
  <si>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</si>
  <si>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</si>
  <si>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</si>
  <si>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</si>
  <si>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</si>
  <si>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</si>
  <si>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</si>
  <si>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</si>
  <si>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</si>
  <si>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</si>
  <si>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</si>
  <si>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</si>
  <si>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</si>
  <si>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</si>
  <si>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</si>
  <si>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</si>
  <si>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</si>
  <si>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</si>
  <si>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</si>
  <si>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</si>
  <si>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</si>
  <si>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</si>
  <si>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</si>
  <si>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</si>
  <si>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</si>
  <si>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</si>
  <si>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</si>
  <si>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</si>
  <si>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</si>
  <si>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</si>
  <si>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</si>
  <si>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</si>
  <si>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</si>
  <si>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</si>
  <si>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</si>
  <si>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</si>
  <si>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</si>
  <si>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</si>
  <si>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</si>
  <si>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INFPA – Informações do beneficiário da pensão alimentícia(identificador INFPA)</t>
  </si>
  <si>
    <t>12628618885</t>
  </si>
  <si>
    <t>20600629856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</si>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</sst>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2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3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4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topLeftCell="H1" workbookViewId="0">
      <selection activeCell="B2" sqref="B2:F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48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2"/>
  <sheetViews>
    <sheetView workbookViewId="0">
      <selection activeCell="D3" sqref="D3"/>
    </sheetView>
  </sheetViews>
  <sheetFormatPr defaultRowHeight="15" x14ac:dyDescent="0.25"/>
  <cols>
    <col min="1" max="1" width="9" style="9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2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O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201,66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137,5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74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76</v>
      </c>
      <c r="O3" t="s">
        <v>76</v>
      </c>
    </row>
    <row r="4" spans="1:15" x14ac:dyDescent="0.25">
      <c r="A4" s="10" t="s">
        <v>75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76</v>
      </c>
      <c r="O4" t="s">
        <v>76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2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2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8" sqref="I8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O2"/>
  <sheetViews>
    <sheetView workbookViewId="0">
      <selection activeCell="G10" sqref="G10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5" ht="47.85" customHeight="1" x14ac:dyDescent="0.25">
      <c r="A1" s="28" t="s">
        <v>34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0</v>
      </c>
      <c r="D2" s="14" t="str">
        <f>CONCATENATE("FEVEREIRO",CHAR(10),"TOTAL: ",ROUND(SUM(D3:D1048576),2))</f>
        <v>FEVEREIRO
TOTAL: 0</v>
      </c>
      <c r="E2" s="14" t="str">
        <f>CONCATENATE("MARÇO",CHAR(10),"TOTAL: ",ROUND(SUM(E3:E1048576),2))</f>
        <v>MARÇO
TOTAL: 0</v>
      </c>
      <c r="F2" s="14" t="str">
        <f>CONCATENATE("ABRIL",CHAR(10),"TOTAL: ",ROUND(SUM(F3:F1048576),2))</f>
        <v>ABRIL
TOTAL: 0</v>
      </c>
      <c r="G2" s="14" t="str">
        <f>CONCATENATE("MAIO",CHAR(10),"TOTAL: ",ROUND(SUM(G3:G1048576),2))</f>
        <v>MAIO
TOTAL: 0</v>
      </c>
      <c r="H2" s="14" t="str">
        <f>CONCATENATE("JUNHO",CHAR(10),"TOTAL: ",ROUND(SUM(H3:H1048576),2))</f>
        <v>JUNHO
TOTAL: 0</v>
      </c>
      <c r="I2" s="14" t="str">
        <f>CONCATENATE("JULHO",CHAR(10),"TOTAL: ",ROUND(SUM(I3:I1048576),2))</f>
        <v>JULHO
TOTAL: 0</v>
      </c>
      <c r="J2" s="14" t="str">
        <f>CONCATENATE("AGOSTO",CHAR(10),"TOTAL: ",ROUND(SUM(J3:J1048576),2))</f>
        <v>AGOSTO
TOTAL: 0</v>
      </c>
      <c r="K2" s="14" t="str">
        <f>CONCATENATE("SETEMBRO",CHAR(10),"TOTAL: ",ROUND(SUM(K3:K1048576),2))</f>
        <v>SETEMBRO
TOTAL: 0</v>
      </c>
      <c r="L2" s="14" t="str">
        <f>CONCATENATE("OUTUBRO",CHAR(10),"TOTAL: ",ROUND(SUM(L3:L1048576),2))</f>
        <v>OUTUBRO
TOTAL: 0</v>
      </c>
      <c r="M2" s="14" t="str">
        <f>CONCATENATE("NOVEMBRO",CHAR(10),"TOTAL: ",ROUND(SUM(M3:M1048576),2))</f>
        <v>NOVEMBRO
TOTAL: 0</v>
      </c>
      <c r="N2" s="14" t="str">
        <f>CONCATENATE("DEZEMBRO",CHAR(10),"TOTAL: ",ROUND(SUM(N3:N1048576),2))</f>
        <v>DEZEMBRO
TOTAL: 0</v>
      </c>
      <c r="O2" s="14" t="str">
        <f>CONCATENATE("DEC. TERCEIRO",CHAR(10),"TOTAL: ",ROUND(SUM(O3:O1048576),2))</f>
        <v>DEC. TERCEIRO
TOTAL: 0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G2"/>
  <sheetViews>
    <sheetView workbookViewId="0">
      <selection activeCell="I13" sqref="I13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7" ht="47.85" customHeight="1" x14ac:dyDescent="0.25">
      <c r="A1" s="30" t="s">
        <v>73</v>
      </c>
      <c r="B1" s="31"/>
      <c r="C1" s="31"/>
      <c r="D1" s="31"/>
      <c r="E1" s="31"/>
      <c r="F1" s="31"/>
      <c r="G1" s="31"/>
    </row>
    <row r="2" spans="1:7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2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2"/>
  <sheetViews>
    <sheetView workbookViewId="0">
      <selection activeCell="H6" sqref="H6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2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2"/>
  <sheetViews>
    <sheetView topLeftCell="B1" workbookViewId="0">
      <selection activeCell="B6" sqref="B6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2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H2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8" ht="45.75" customHeight="1" x14ac:dyDescent="0.25">
      <c r="A1" s="31" t="s">
        <v>51</v>
      </c>
      <c r="B1" s="29"/>
      <c r="C1" s="29"/>
      <c r="D1" s="29"/>
      <c r="E1" s="29"/>
      <c r="F1" s="29"/>
      <c r="G1" s="29"/>
      <c r="H1" s="29"/>
    </row>
    <row r="2" spans="1:8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2"/>
  <sheetViews>
    <sheetView tabSelected="1" topLeftCell="B1" workbookViewId="0">
      <selection activeCell="K9" sqref="K9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3" t="s">
        <v>71</v>
      </c>
      <c r="C1" s="34"/>
      <c r="D1" s="34"/>
      <c r="E1" s="34"/>
      <c r="F1" s="35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53</vt:i4>
      </vt:variant>
    </vt:vector>
  </HeadingPairs>
  <TitlesOfParts>
    <vt:vector size="53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2017-02-15T13:43:39Z</dcterms:modified>
</cp:coreProperties>
</file>