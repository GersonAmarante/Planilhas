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40" activeTab="41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state="hidden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INFPA" sheetId="81" r:id="rId42"/>
    <sheet name="RTDP_0561" sheetId="41" r:id="rId43"/>
    <sheet name="RTPP_0561" sheetId="40" r:id="rId44"/>
    <sheet name="RTPO_0561" sheetId="39" r:id="rId45"/>
    <sheet name="RTRT_0561" sheetId="28" r:id="rId46"/>
    <sheet name="BPJDEC" sheetId="35" state="hidden" r:id="rId47"/>
    <sheet name="BPFDEC_0561" sheetId="29" r:id="rId48"/>
    <sheet name="RIO" sheetId="85" r:id="rId49"/>
    <sheet name="RTPO_0588" sheetId="84" r:id="rId50"/>
    <sheet name="RTRT_0588" sheetId="83" r:id="rId51"/>
    <sheet name="BPFDEC_0588" sheetId="82" r:id="rId52"/>
    <sheet name="IDREC" sheetId="30" r:id="rId53"/>
    <sheet name="DECPJ" sheetId="31" r:id="rId54"/>
    <sheet name="DECPF" sheetId="34" state="hidden" r:id="rId55"/>
    <sheet name="RESPO" sheetId="32" r:id="rId56"/>
    <sheet name="DIRF" sheetId="33" r:id="rId57"/>
  </sheets>
  <definedNames>
    <definedName name="_xlnm._FilterDatabase" localSheetId="3" hidden="1">TPSE!$A$2:$D$983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85" l="1"/>
  <c r="N2" i="84" l="1"/>
  <c r="M2" i="84"/>
  <c r="L2" i="84"/>
  <c r="K2" i="84"/>
  <c r="J2" i="84"/>
  <c r="I2" i="84"/>
  <c r="H2" i="84"/>
  <c r="G2" i="84"/>
  <c r="F2" i="84"/>
  <c r="E2" i="84"/>
  <c r="D2" i="84"/>
  <c r="C2" i="84"/>
  <c r="B2" i="84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O2" i="66" l="1"/>
  <c r="N2" i="66"/>
  <c r="M2" i="66"/>
  <c r="L2" i="66"/>
  <c r="K2" i="66"/>
  <c r="J2" i="66"/>
  <c r="I2" i="66"/>
  <c r="H2" i="66"/>
  <c r="G2" i="66"/>
  <c r="F2" i="66"/>
  <c r="E2" i="66"/>
  <c r="D2" i="66"/>
  <c r="C2" i="66"/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Linhas em Vermelho indicam os dependentes com idade maior que 18 e não possui CPF cadastrado</t>
        </r>
      </text>
    </commen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E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3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<sst xmlns="http://schemas.openxmlformats.org/spreadsheetml/2006/main" count="11015" uniqueCount="1420">
  <si>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</si>
  <si>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</si>
  <si>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</si>
  <si>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</si>
  <si>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</si>
  <si>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</si>
  <si>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</si>
  <si>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</si>
  <si>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</si>
  <si>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</si>
  <si>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</si>
  <si>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</si>
  <si>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</si>
  <si>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</si>
  <si>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</si>
  <si>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</si>
  <si>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</si>
  <si>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</si>
  <si>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</si>
  <si>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</si>
  <si>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</si>
  <si>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</si>
  <si>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</si>
  <si>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</si>
  <si>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</si>
  <si>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</si>
  <si>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</si>
  <si>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</si>
  <si>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</si>
  <si>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</si>
  <si>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</si>
  <si>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</si>
  <si>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</si>
  <si>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</si>
  <si>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</si>
  <si>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</si>
  <si>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</si>
  <si>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</si>
  <si>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</si>
  <si>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</si>
  <si>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</si>
  <si>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</si>
  <si>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</si>
  <si>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</si>
  <si>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</si>
  <si>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</si>
  <si>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</si>
  <si>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</si>
  <si>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</si>
  <si>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</si>
  <si>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</si>
  <si>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</si>
  <si>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</si>
  <si>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</si>
  <si>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</si>
  <si>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</si>
  <si>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</si>
  <si>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</si>
  <si>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</si>
  <si>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</si>
  <si>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</si>
  <si>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</si>
  <si>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</si>
  <si>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</si>
  <si>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</si>
  <si>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</si>
  <si>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</si>
  <si>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</si>
  <si>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</si>
  <si>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</si>
  <si>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</si>
  <si>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</si>
  <si>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</si>
  <si>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12628618885</t>
  </si>
  <si>
    <t>20600629856</t>
  </si>
  <si>
    <t xml:space="preserve"> </t>
  </si>
  <si>
    <t>INFPA – Informações do beneficiário da pensão alimentícia(identificador INFPA)
Linha vermelha(Atenção)</t>
  </si>
  <si>
    <t>Registro de valores anuais de rendimentos isentos - outros (identificador RIO)</t>
  </si>
  <si>
    <t>Descrição dos rendimentos
isentos - outros</t>
  </si>
  <si>
    <t>CFP do funcionário</t>
  </si>
  <si>
    <t>2017</t>
  </si>
  <si>
    <t>2016</t>
  </si>
  <si>
    <t>N</t>
  </si>
  <si>
    <t>P49VS72</t>
  </si>
  <si>
    <t>04122762758</t>
  </si>
  <si>
    <t>CLAUDIO MANOEL NAPOLEAO FERREIRA</t>
  </si>
  <si>
    <t>21</t>
  </si>
  <si>
    <t>34791200</t>
  </si>
  <si>
    <t>249</t>
  </si>
  <si>
    <t>DRH@CAPESESP.COM.BR</t>
  </si>
  <si>
    <t>30036685000197</t>
  </si>
  <si>
    <t>CAIXA PREV ASSIST SERVIDORES DA FUNASA</t>
  </si>
  <si>
    <t>0</t>
  </si>
  <si>
    <t>42523257734</t>
  </si>
  <si>
    <t>0561</t>
  </si>
  <si>
    <t>00050560719</t>
  </si>
  <si>
    <t>LAURO ANDRE BRAGANCA CARDOSO</t>
  </si>
  <si>
    <t>00061734209</t>
  </si>
  <si>
    <t>TATIANE DOS SANTOS MARTINS</t>
  </si>
  <si>
    <t>00066454700</t>
  </si>
  <si>
    <t>SIMONE CORREA BARRETO</t>
  </si>
  <si>
    <t>RENDIMENTOS ISENTOS - OUTROS</t>
  </si>
  <si>
    <t>00075202638</t>
  </si>
  <si>
    <t>EDNA MOREIRA SOARES DE ALMEIDA</t>
  </si>
  <si>
    <t>00079886728</t>
  </si>
  <si>
    <t>ROSIMERI FERREIRA DE MENEZES</t>
  </si>
  <si>
    <t>00090643704</t>
  </si>
  <si>
    <t>ANDREA SAMANTA DELGADO CORREA</t>
  </si>
  <si>
    <t>00113828217</t>
  </si>
  <si>
    <t>NELAYNE DE SOUZA BENTES</t>
  </si>
  <si>
    <t>00149575408</t>
  </si>
  <si>
    <t>YVANOSCK ANDREA LIMA DA SILVA FERREIRA</t>
  </si>
  <si>
    <t>00276398785</t>
  </si>
  <si>
    <t>BRUNO DE FARIA PEREIRA</t>
  </si>
  <si>
    <t>00317689703</t>
  </si>
  <si>
    <t>CAIO ALEXANDRE COSTA RIANELLI</t>
  </si>
  <si>
    <t>01020491817</t>
  </si>
  <si>
    <t>19920607</t>
  </si>
  <si>
    <t>EDUARDO PEREIRA DOS SANTOS RIANELLI</t>
  </si>
  <si>
    <t>00336624794</t>
  </si>
  <si>
    <t>NEILIANA MARINO CEIA TEBALDI</t>
  </si>
  <si>
    <t>00338964703</t>
  </si>
  <si>
    <t>LUZIA DO CARMO SOUSA</t>
  </si>
  <si>
    <t>00341468738</t>
  </si>
  <si>
    <t>MARGARETH CAMPOS PEREIRA</t>
  </si>
  <si>
    <t>00467574731</t>
  </si>
  <si>
    <t>ALEXANDER ALMEIDA DA SILVA</t>
  </si>
  <si>
    <t>00468662723</t>
  </si>
  <si>
    <t>CLAUDIA LOURENCO LOPES NASCIMENTO</t>
  </si>
  <si>
    <t>00482033789</t>
  </si>
  <si>
    <t>EDUARDO MOREIRA DE VASCONCELOS</t>
  </si>
  <si>
    <t>00492998752</t>
  </si>
  <si>
    <t>ROBERTA PARAQUETT ALBUQUERQUE</t>
  </si>
  <si>
    <t>00663416710</t>
  </si>
  <si>
    <t>LUCIA HELENA AUSTIM DE OLIVEIRA PIRES</t>
  </si>
  <si>
    <t>00790234955</t>
  </si>
  <si>
    <t>FABIANE STEFANES CARLOTO</t>
  </si>
  <si>
    <t>00826533132</t>
  </si>
  <si>
    <t>DANIELLE LIMA MAGALHAES RODRIGUES</t>
  </si>
  <si>
    <t>00840853475</t>
  </si>
  <si>
    <t>ANA CAROLINE DA SILVA</t>
  </si>
  <si>
    <t>00846987724</t>
  </si>
  <si>
    <t>MARIA ELIZABETH MARTINS DE FREITAS</t>
  </si>
  <si>
    <t>00855307781</t>
  </si>
  <si>
    <t>ANDRE LUIZ DE ARAUJO CRESPO</t>
  </si>
  <si>
    <t>00912619708</t>
  </si>
  <si>
    <t>JOSINETE SANTOS DA SILVA</t>
  </si>
  <si>
    <t>00956190707</t>
  </si>
  <si>
    <t>GLAUCE VIRGINIA SAETA CURVELLO</t>
  </si>
  <si>
    <t>00972907858</t>
  </si>
  <si>
    <t>JOSE DE RIBAMAR CORDEIRO BORGES</t>
  </si>
  <si>
    <t>01065972725</t>
  </si>
  <si>
    <t>EDRIANA ESPINELO PEIXOTO DA SILVA</t>
  </si>
  <si>
    <t>01093353090</t>
  </si>
  <si>
    <t>SHAYANA BERING CHIARLE AGUIAR</t>
  </si>
  <si>
    <t>01096189712</t>
  </si>
  <si>
    <t>SHIRLEY APARECIDA GREITE</t>
  </si>
  <si>
    <t>01100867759</t>
  </si>
  <si>
    <t>MARCELO THOMAZ ROSTEY</t>
  </si>
  <si>
    <t>01114453706</t>
  </si>
  <si>
    <t>ALEXANDRE MAGNO RODRIGUES LIMA</t>
  </si>
  <si>
    <t>01147006300</t>
  </si>
  <si>
    <t>FRANCISCA DOS REIS GUILHON LISBOA</t>
  </si>
  <si>
    <t>01177011492</t>
  </si>
  <si>
    <t>RUY FERREIRA DA SILVA FILHO</t>
  </si>
  <si>
    <t>01195112742</t>
  </si>
  <si>
    <t>ADRIANA SOUZA DA COSTA</t>
  </si>
  <si>
    <t>01199461733</t>
  </si>
  <si>
    <t>ELISANGELA DE BARROS CAMPOS ABRAMO</t>
  </si>
  <si>
    <t>01223415708</t>
  </si>
  <si>
    <t>ELISANGELA FELIPE FIRMINO DA SILVA</t>
  </si>
  <si>
    <t>01252856717</t>
  </si>
  <si>
    <t>CLEIDE RIBEIRO DA SILVA</t>
  </si>
  <si>
    <t>01297894707</t>
  </si>
  <si>
    <t>WASHINGTON LOPES DO AMARAL</t>
  </si>
  <si>
    <t>01319554709</t>
  </si>
  <si>
    <t>JORGE ALEX DOS SANTOS</t>
  </si>
  <si>
    <t>01340013703</t>
  </si>
  <si>
    <t>RENATA CABRAL DA SILVA VILHALBA</t>
  </si>
  <si>
    <t>01342161130</t>
  </si>
  <si>
    <t>GLAUCIA DA SILVA MONTES NUNES</t>
  </si>
  <si>
    <t>01351611771</t>
  </si>
  <si>
    <t>ROMILDO TORRES BEZERRA</t>
  </si>
  <si>
    <t>01365942716</t>
  </si>
  <si>
    <t>PATRICIA DE PAIVA GUERRA</t>
  </si>
  <si>
    <t>01387393740</t>
  </si>
  <si>
    <t>ELIANE MOREIRA DE MENDONCA PACHECO</t>
  </si>
  <si>
    <t>01389788598</t>
  </si>
  <si>
    <t>FABIANA SANTOS BITTENCOURT</t>
  </si>
  <si>
    <t>01390860728</t>
  </si>
  <si>
    <t>MARCIA FERNANDA NUNES PENA</t>
  </si>
  <si>
    <t>01397830751</t>
  </si>
  <si>
    <t>HENRIQUE BERNARDO DA LUZ</t>
  </si>
  <si>
    <t>01435036778</t>
  </si>
  <si>
    <t>MARIA DA CONCEICAO RAMOS</t>
  </si>
  <si>
    <t>01472293754</t>
  </si>
  <si>
    <t>DJANIRA DENISE PECANHA GOMES</t>
  </si>
  <si>
    <t>01486022740</t>
  </si>
  <si>
    <t>FABRICIO DA CRUZ DAVI</t>
  </si>
  <si>
    <t>01516421256</t>
  </si>
  <si>
    <t>RAYSSA NICOLLE DOS SANTOS SENA</t>
  </si>
  <si>
    <t>01560960728</t>
  </si>
  <si>
    <t>CLODOALDO PINHEIRO BORGES</t>
  </si>
  <si>
    <t>01625910711</t>
  </si>
  <si>
    <t>CATIA MARQUES SOARES DE ALMEIDA</t>
  </si>
  <si>
    <t>01652659730</t>
  </si>
  <si>
    <t>ANDREA DINIZ PEDROSO DA SILVA</t>
  </si>
  <si>
    <t>01671922727</t>
  </si>
  <si>
    <t>RAFAEL SALEK RUIZ</t>
  </si>
  <si>
    <t>01678803731</t>
  </si>
  <si>
    <t>FABIO SANTIAGO DINIZ</t>
  </si>
  <si>
    <t>01686256795</t>
  </si>
  <si>
    <t>MARIA ISABEL BARRETO MARQUES SILVA</t>
  </si>
  <si>
    <t>01690879211</t>
  </si>
  <si>
    <t>CLAUDIO JUNIOR CARVALHO FERREIRA</t>
  </si>
  <si>
    <t>01717725120</t>
  </si>
  <si>
    <t>LAIS DIAS BASTOS</t>
  </si>
  <si>
    <t>01751195112</t>
  </si>
  <si>
    <t>MARCELA LUZIA INACIA SILVA GALVAO</t>
  </si>
  <si>
    <t>01791498574</t>
  </si>
  <si>
    <t>ANTONIO JORDANO MOURA DE ARAUJO GOES</t>
  </si>
  <si>
    <t>01830862367</t>
  </si>
  <si>
    <t>ANA KAROLINE AMARAL SAMPAIO E SILVA</t>
  </si>
  <si>
    <t>01834343585</t>
  </si>
  <si>
    <t>HADASSA JENIFFER BARROS FIGUEIREDO</t>
  </si>
  <si>
    <t>01848008112</t>
  </si>
  <si>
    <t>MARIA AUGUSTA LOUREDO MAGALHAES ABRAO</t>
  </si>
  <si>
    <t>01869453700</t>
  </si>
  <si>
    <t>SIMONE TRINDADE MATOS</t>
  </si>
  <si>
    <t>01887681736</t>
  </si>
  <si>
    <t>MARCIO MUGUE DE BRITTO</t>
  </si>
  <si>
    <t>01921012340</t>
  </si>
  <si>
    <t>ARNALDO DOUGLAS FERREIRA SANTOS</t>
  </si>
  <si>
    <t>01933258705</t>
  </si>
  <si>
    <t>SHIRLEY MULLER DOS SANTOS</t>
  </si>
  <si>
    <t>01952832365</t>
  </si>
  <si>
    <t>WENDEL BARROS GONCALVES</t>
  </si>
  <si>
    <t>01953898750</t>
  </si>
  <si>
    <t>EDGAR DO NASCIMENTO BARRETO</t>
  </si>
  <si>
    <t>02107162743</t>
  </si>
  <si>
    <t>BIANCA FARIAS DE CARVALHO LOPES BASTOS</t>
  </si>
  <si>
    <t>02109512490</t>
  </si>
  <si>
    <t>MARIA JANDIRA VIANA VELLOSO</t>
  </si>
  <si>
    <t>02141542464</t>
  </si>
  <si>
    <t>MAGALY VALENCA SILVA COSTA</t>
  </si>
  <si>
    <t>02148598783</t>
  </si>
  <si>
    <t>PAULA GUERRA FELIPPE DOS SANTOS</t>
  </si>
  <si>
    <t>02149077752</t>
  </si>
  <si>
    <t>RENATA DE SOUZA VIEIRA MEIRELLES</t>
  </si>
  <si>
    <t>02188195795</t>
  </si>
  <si>
    <t>ALEX BARREIRA DA SILVA</t>
  </si>
  <si>
    <t>20060827</t>
  </si>
  <si>
    <t>MARIA FERNANDA SANTANNA DA SILVA</t>
  </si>
  <si>
    <t/>
  </si>
  <si>
    <t>02232020533</t>
  </si>
  <si>
    <t>GISLON DE JESUS SOUZA</t>
  </si>
  <si>
    <t>02303063655</t>
  </si>
  <si>
    <t>VICTOR DAMASIO DE SOUZA MOREIRA DA SILVA</t>
  </si>
  <si>
    <t>02397563711</t>
  </si>
  <si>
    <t>ERIVALDA BARBOSA DA SILVA</t>
  </si>
  <si>
    <t>02427644790</t>
  </si>
  <si>
    <t>JAQUELINE DA CONCEICAO FEITOSA</t>
  </si>
  <si>
    <t>02452932302</t>
  </si>
  <si>
    <t>GEORGE LUIS CONCEICAO DE CARVALHO</t>
  </si>
  <si>
    <t>02469036607</t>
  </si>
  <si>
    <t>JOSIANE ROSA GOMES FERNANDES</t>
  </si>
  <si>
    <t>02528852100</t>
  </si>
  <si>
    <t>THAIS KARINA DE CASTRO MAGALHAES BARBOSA</t>
  </si>
  <si>
    <t>02548725731</t>
  </si>
  <si>
    <t>MAURICIO MELO DA SILVA</t>
  </si>
  <si>
    <t>02570218766</t>
  </si>
  <si>
    <t>FLAVIA CESAR DA SILVA</t>
  </si>
  <si>
    <t>02581069481</t>
  </si>
  <si>
    <t>GLAUCE CABRAL FERNANDES DE ANANIAS</t>
  </si>
  <si>
    <t>02585717720</t>
  </si>
  <si>
    <t>ADRIANA DE SOUZA MORAES</t>
  </si>
  <si>
    <t>02623023301</t>
  </si>
  <si>
    <t>LUANA REVIA DA SILVA CAVALCANTE</t>
  </si>
  <si>
    <t>02629384721</t>
  </si>
  <si>
    <t>ENEAS GONZAGA DE SOUZA</t>
  </si>
  <si>
    <t>02648116311</t>
  </si>
  <si>
    <t>SAMUEL COSTA SOEIRO</t>
  </si>
  <si>
    <t>02663305766</t>
  </si>
  <si>
    <t>CHRYSTIANE DE MOURA BARCELOS</t>
  </si>
  <si>
    <t>02730400737</t>
  </si>
  <si>
    <t>MARY GRACE SILVA DA COSTA</t>
  </si>
  <si>
    <t>02749545919</t>
  </si>
  <si>
    <t>FERNANDA DOS SANTOS CATAO</t>
  </si>
  <si>
    <t>02814212770</t>
  </si>
  <si>
    <t>CLAUDIA RENATA VIEIRA FERREIRA</t>
  </si>
  <si>
    <t>02826857746</t>
  </si>
  <si>
    <t>PEDRO IVO DIAS BARRETO</t>
  </si>
  <si>
    <t>02837190799</t>
  </si>
  <si>
    <t>SABRINA KELLY RODRIGUES DE ALMEIDA SA</t>
  </si>
  <si>
    <t>02846291624</t>
  </si>
  <si>
    <t>DARLENE PIMENTEL DA SILVA</t>
  </si>
  <si>
    <t>02860913726</t>
  </si>
  <si>
    <t>GESNA PAULA TEIXEIRA</t>
  </si>
  <si>
    <t>02915547769</t>
  </si>
  <si>
    <t>ANDRE LUIS DINIZ DA COSTA</t>
  </si>
  <si>
    <t>02930875712</t>
  </si>
  <si>
    <t>LUCIANO DOS SANTOS ALVES</t>
  </si>
  <si>
    <t>02941654798</t>
  </si>
  <si>
    <t>LEILA LAHR MOURA GOMES</t>
  </si>
  <si>
    <t>03050897732</t>
  </si>
  <si>
    <t>ADIMEIA MOZER ROCHA</t>
  </si>
  <si>
    <t>03064524640</t>
  </si>
  <si>
    <t>WERLEY RIBEIRO MARTINS</t>
  </si>
  <si>
    <t>03132634778</t>
  </si>
  <si>
    <t>ROGERIO BORGES DA SILVA</t>
  </si>
  <si>
    <t>03202564722</t>
  </si>
  <si>
    <t>LAURASELVA SILVA MARINS</t>
  </si>
  <si>
    <t>03390643745</t>
  </si>
  <si>
    <t>INAJA FRAUCHES DA SILVA</t>
  </si>
  <si>
    <t>03393265300</t>
  </si>
  <si>
    <t>CAMILLA CIRQUEIRA CUTRIM</t>
  </si>
  <si>
    <t>03413010786</t>
  </si>
  <si>
    <t>BIANCA PIRES FERREIRA</t>
  </si>
  <si>
    <t>03450233661</t>
  </si>
  <si>
    <t>CARLOS HENRIQUE DE JESUS</t>
  </si>
  <si>
    <t>03467566774</t>
  </si>
  <si>
    <t>KARINE RICARDO SANTOS SARAIVA</t>
  </si>
  <si>
    <t>03657676708</t>
  </si>
  <si>
    <t>MAGALI FERREIRA SOARES FONTOURA DA SILVA</t>
  </si>
  <si>
    <t>03667524722</t>
  </si>
  <si>
    <t>FLAVIO HENRIQUE SOARES DA SILVA</t>
  </si>
  <si>
    <t>03713753393</t>
  </si>
  <si>
    <t>LUCICLEIDE OLIVEIRA MARQUES</t>
  </si>
  <si>
    <t>03737056706</t>
  </si>
  <si>
    <t>ELIANE LOPES DE MENDONCA RODRIGUES</t>
  </si>
  <si>
    <t>03743984709</t>
  </si>
  <si>
    <t>ELIANE DE SOUZA GOMES</t>
  </si>
  <si>
    <t>03800697769</t>
  </si>
  <si>
    <t>FERNANDA MARIA LEITE DE MOURA</t>
  </si>
  <si>
    <t>03804260721</t>
  </si>
  <si>
    <t>MARCILANE DE OLIVEIRA CHAGAS</t>
  </si>
  <si>
    <t>03950121552</t>
  </si>
  <si>
    <t>ELVIRA ANTONIA SANTOS MONTEIRO</t>
  </si>
  <si>
    <t>04042648592</t>
  </si>
  <si>
    <t>SAMARA GOMES DOS REIS</t>
  </si>
  <si>
    <t>04128909769</t>
  </si>
  <si>
    <t>MARIANA DE OLIVEIRA DA SILVA</t>
  </si>
  <si>
    <t>04260194747</t>
  </si>
  <si>
    <t>ANDREA CRISTINA DO NASCIMENTO PEREIRA</t>
  </si>
  <si>
    <t>04265031714</t>
  </si>
  <si>
    <t>TATIANA RODRIGUES DA SILVA</t>
  </si>
  <si>
    <t>04265436706</t>
  </si>
  <si>
    <t>ELAINE AMERICO DE MELLO</t>
  </si>
  <si>
    <t>04276009790</t>
  </si>
  <si>
    <t>ESKEL BARRETO FERREIRA DE LIMA MATTOS</t>
  </si>
  <si>
    <t>04320172167</t>
  </si>
  <si>
    <t>CINTIA CAROLINA GOMEZ SOUZA</t>
  </si>
  <si>
    <t>04333630452</t>
  </si>
  <si>
    <t>ALINE DE OLIVEIRA SANTOS</t>
  </si>
  <si>
    <t>04392101789</t>
  </si>
  <si>
    <t>ADRIANA XAVIER DE CARVALHO</t>
  </si>
  <si>
    <t>04445150703</t>
  </si>
  <si>
    <t>ALINE FREITAS RENDANO</t>
  </si>
  <si>
    <t>04493309741</t>
  </si>
  <si>
    <t>ANDREA CRISTINA ANTONIO GOMES</t>
  </si>
  <si>
    <t>04507723493</t>
  </si>
  <si>
    <t>ANGELA FERNANDA SIQUEIRA OLIVEIRA</t>
  </si>
  <si>
    <t>04545259740</t>
  </si>
  <si>
    <t>MARCIA CRISTINA FREIRE DA CRUZ</t>
  </si>
  <si>
    <t>04672349659</t>
  </si>
  <si>
    <t>LUCIO EDUARDO LIMA DA SILVA</t>
  </si>
  <si>
    <t>04716069796</t>
  </si>
  <si>
    <t>MARIZE BATISTA ESPINELO DOS SANTOS</t>
  </si>
  <si>
    <t>04764962764</t>
  </si>
  <si>
    <t>ANA PAULA FERNANDES DE MORAES DA SILVA</t>
  </si>
  <si>
    <t>05066949178</t>
  </si>
  <si>
    <t>DEBORA REICARI FARIAS PEREIRA</t>
  </si>
  <si>
    <t>05112819359</t>
  </si>
  <si>
    <t>GILBERTO MAGALHAES SOUSA JUNIOR</t>
  </si>
  <si>
    <t>05136051507</t>
  </si>
  <si>
    <t>JOCIVANE DAS NEVES PORTO</t>
  </si>
  <si>
    <t>05140113783</t>
  </si>
  <si>
    <t>CINTIA DINIZ NOGUEIRA</t>
  </si>
  <si>
    <t>05154318773</t>
  </si>
  <si>
    <t>NORBERTO DOS SANTOS GARCIA JUNIOR</t>
  </si>
  <si>
    <t>05155079705</t>
  </si>
  <si>
    <t>FILIPE SZWARCGUN OLIVEIRA</t>
  </si>
  <si>
    <t>05168062709</t>
  </si>
  <si>
    <t>JOSIANE THEODORO FERREIRA ROCHA</t>
  </si>
  <si>
    <t>05193814751</t>
  </si>
  <si>
    <t>KELLY MONTEIRO PAES</t>
  </si>
  <si>
    <t>05202415761</t>
  </si>
  <si>
    <t>FERNANDA ROSA GUIMARAES</t>
  </si>
  <si>
    <t>05206548707</t>
  </si>
  <si>
    <t>MICHELE SIQUEIRA DOS SANTOS</t>
  </si>
  <si>
    <t>05208650738</t>
  </si>
  <si>
    <t>FABIANO CABRAL DE CARVALHO</t>
  </si>
  <si>
    <t>05222156702</t>
  </si>
  <si>
    <t>ALESSANDRA DA HORA MARCELLO</t>
  </si>
  <si>
    <t>05231743739</t>
  </si>
  <si>
    <t>ADRIANO MARTINS DE CARVALHO</t>
  </si>
  <si>
    <t>20030426</t>
  </si>
  <si>
    <t>LIVIA JULIA SANTOS DE CARVALHO</t>
  </si>
  <si>
    <t>05283565777</t>
  </si>
  <si>
    <t>SILVANA ROCHA SOARES DE AZEVEDO</t>
  </si>
  <si>
    <t>05338303701</t>
  </si>
  <si>
    <t>LUANA TEODORO NEVES</t>
  </si>
  <si>
    <t>05345861714</t>
  </si>
  <si>
    <t>DEBORAH PONTES CHAGAS</t>
  </si>
  <si>
    <t>05347517760</t>
  </si>
  <si>
    <t>VALESCA VITAL NUNES</t>
  </si>
  <si>
    <t>05348070700</t>
  </si>
  <si>
    <t>BRUNO CEZAR DA SILVA FERREIRA</t>
  </si>
  <si>
    <t>05378999790</t>
  </si>
  <si>
    <t>EDER LUIZ MARQUIZ</t>
  </si>
  <si>
    <t>05390599780</t>
  </si>
  <si>
    <t>RONDINELI PACHECO DO NASCIMENTO</t>
  </si>
  <si>
    <t>05393269765</t>
  </si>
  <si>
    <t>JOYCE ANGELICA LEMOS MONTEIRO</t>
  </si>
  <si>
    <t>05404467770</t>
  </si>
  <si>
    <t>FABIANA RODRIGUES BARBOZA DE ANDRADE</t>
  </si>
  <si>
    <t>05416268760</t>
  </si>
  <si>
    <t>GEISA DE FARIAS BARREIROS</t>
  </si>
  <si>
    <t>05443998706</t>
  </si>
  <si>
    <t>ILZA BELIENI GOMES</t>
  </si>
  <si>
    <t>05447834767</t>
  </si>
  <si>
    <t>RANIERI MENEZES RODRIGUES DE SOUZA</t>
  </si>
  <si>
    <t>05458783735</t>
  </si>
  <si>
    <t>RAFAEL FERREIRA ANSELMO</t>
  </si>
  <si>
    <t>05486428774</t>
  </si>
  <si>
    <t>SERGIO LUIS ALVES LEONARDO</t>
  </si>
  <si>
    <t>05533794700</t>
  </si>
  <si>
    <t>ALEXANDRO MUCIO PEREIRA DA SILVA</t>
  </si>
  <si>
    <t>05538082733</t>
  </si>
  <si>
    <t>ALINE MARQUES DE SOUZA</t>
  </si>
  <si>
    <t>05579518790</t>
  </si>
  <si>
    <t>ANACELI MARIA IZIDRO</t>
  </si>
  <si>
    <t>05586880717</t>
  </si>
  <si>
    <t>LUCIANA FLAVIA BOMBACA DE ALMEIDA GONCALVES</t>
  </si>
  <si>
    <t>05660089712</t>
  </si>
  <si>
    <t>DANIEL DA SILVA FIRMINO</t>
  </si>
  <si>
    <t>05672701736</t>
  </si>
  <si>
    <t>WILLIAM JORGE DE OLIVEIRA LIDOGERIO</t>
  </si>
  <si>
    <t>05709619710</t>
  </si>
  <si>
    <t>MILTON CESAR DE ALMEIDA</t>
  </si>
  <si>
    <t>05763696751</t>
  </si>
  <si>
    <t>CINTIA DE CASTRO FRANCISCA DE LIRA</t>
  </si>
  <si>
    <t>05770586737</t>
  </si>
  <si>
    <t>GABRIEL DANTAS FORTINI</t>
  </si>
  <si>
    <t>20070614</t>
  </si>
  <si>
    <t>JOAO GABRIEL CERUTT FORTINI</t>
  </si>
  <si>
    <t>05781855718</t>
  </si>
  <si>
    <t>HUGO NASCIMENTO MACHADO</t>
  </si>
  <si>
    <t>05796800701</t>
  </si>
  <si>
    <t>LILIAN SOUZA DE PAULA MENEZES</t>
  </si>
  <si>
    <t>05824884781</t>
  </si>
  <si>
    <t>PRISCILLA BORGES DOS SANTOS NASCIMENTO</t>
  </si>
  <si>
    <t>05849577505</t>
  </si>
  <si>
    <t>PAULA MAYRA GUIMARAES SANTANA</t>
  </si>
  <si>
    <t>05855082750</t>
  </si>
  <si>
    <t>DIOGO MOREIRA DA SILVA</t>
  </si>
  <si>
    <t>05920073756</t>
  </si>
  <si>
    <t>BRUNO CARVALHO CID</t>
  </si>
  <si>
    <t>05956848669</t>
  </si>
  <si>
    <t>BETANIA MACHADO LOURES</t>
  </si>
  <si>
    <t>06038687700</t>
  </si>
  <si>
    <t>ANA PAULA DA SILVA BRANTS DE MELO</t>
  </si>
  <si>
    <t>06991522759</t>
  </si>
  <si>
    <t>LUIZ FERNANDO SILVA RIBEIRO</t>
  </si>
  <si>
    <t>07163213786</t>
  </si>
  <si>
    <t>20030217</t>
  </si>
  <si>
    <t>GABRIEL SARMENTO DA COSTA RIBEIRO</t>
  </si>
  <si>
    <t>20070508</t>
  </si>
  <si>
    <t>MARIA CLARA SARMENTO DA COSTA RIBEIRO</t>
  </si>
  <si>
    <t>07001678708</t>
  </si>
  <si>
    <t>WELLINGTON COSTA DA SILVA</t>
  </si>
  <si>
    <t>07080024714</t>
  </si>
  <si>
    <t>RENATA BRAGANCA RUA DE LIMA</t>
  </si>
  <si>
    <t>07085746700</t>
  </si>
  <si>
    <t>CRISTIANE ALMEIDA DE PAULA</t>
  </si>
  <si>
    <t>07116620702</t>
  </si>
  <si>
    <t>FLAVIO BARBOSA BERNARDES DA SILVA</t>
  </si>
  <si>
    <t>07120025708</t>
  </si>
  <si>
    <t>DANIELE SOARES DA SILVA</t>
  </si>
  <si>
    <t>07128919783</t>
  </si>
  <si>
    <t>PATRICIA PRATES DE ABRANTES</t>
  </si>
  <si>
    <t>07144380737</t>
  </si>
  <si>
    <t>ESTEFANO SOUTO TRIGO</t>
  </si>
  <si>
    <t>07164966745</t>
  </si>
  <si>
    <t>CINTIA PATRICIA DA SILVA NUNES</t>
  </si>
  <si>
    <t>07170029774</t>
  </si>
  <si>
    <t>ANDERSON DA SILVA AZEREDO</t>
  </si>
  <si>
    <t>07175289529</t>
  </si>
  <si>
    <t>AILA DA SILVA SANTOS</t>
  </si>
  <si>
    <t>07203234797</t>
  </si>
  <si>
    <t>PATRICIA LOPES DA SILVA</t>
  </si>
  <si>
    <t>07210541705</t>
  </si>
  <si>
    <t>CATIA CHAGAS PEREIRA PEIXOTO</t>
  </si>
  <si>
    <t>07226925796</t>
  </si>
  <si>
    <t>FRANCIENE PACHECO DE LIMA SOUSA</t>
  </si>
  <si>
    <t>07237344706</t>
  </si>
  <si>
    <t>VANESSA DOS SANTOS BATISTA DA SILVA</t>
  </si>
  <si>
    <t>07273928755</t>
  </si>
  <si>
    <t>DANYENNE DOS SANTOS FORTES</t>
  </si>
  <si>
    <t>07276448746</t>
  </si>
  <si>
    <t>JULIANA MARTINHO BUSCH</t>
  </si>
  <si>
    <t>07289746732</t>
  </si>
  <si>
    <t>MARIA DE FATIMA CHEREM DE ALMEIDA</t>
  </si>
  <si>
    <t>07365742712</t>
  </si>
  <si>
    <t>LISE DE SIMONE ALONSO SERPA</t>
  </si>
  <si>
    <t>07372810736</t>
  </si>
  <si>
    <t>VINICIUS MATTOS DA ROCHA</t>
  </si>
  <si>
    <t>07373592775</t>
  </si>
  <si>
    <t>KESIA DE OLIVEIRA GONZAGA LUZORIO</t>
  </si>
  <si>
    <t>07419270716</t>
  </si>
  <si>
    <t>DANIEL BARROS LUZ</t>
  </si>
  <si>
    <t>07435229741</t>
  </si>
  <si>
    <t>ZEILA MOURA SOARES</t>
  </si>
  <si>
    <t>07459481700</t>
  </si>
  <si>
    <t>LUCIANO XAVIER DE ANDRADE</t>
  </si>
  <si>
    <t>73508985334</t>
  </si>
  <si>
    <t>20030309</t>
  </si>
  <si>
    <t>MARIA EDUARDA SANTOS DE ANDRADE</t>
  </si>
  <si>
    <t>07474838761</t>
  </si>
  <si>
    <t>DANIELE DE SOUZA OLIVEIRA</t>
  </si>
  <si>
    <t>07501827761</t>
  </si>
  <si>
    <t>ROSANGELA PEREIRA DE OLIVEIRA</t>
  </si>
  <si>
    <t>07502219765</t>
  </si>
  <si>
    <t>SIMONE FRANGELLI DE MORAES</t>
  </si>
  <si>
    <t>07574885796</t>
  </si>
  <si>
    <t>BERLANDIA COUTINHO DA VITORIA MENDES</t>
  </si>
  <si>
    <t>07604560466</t>
  </si>
  <si>
    <t>ANDREIA LIMA DOS SANTOS</t>
  </si>
  <si>
    <t>07629837798</t>
  </si>
  <si>
    <t>JULIANA VENTURA DIAS MORAIS MARINHO</t>
  </si>
  <si>
    <t>07681000704</t>
  </si>
  <si>
    <t>ALINE DOS SANTOS FAVARIO</t>
  </si>
  <si>
    <t>07683199788</t>
  </si>
  <si>
    <t>DENISE DOS SANTOS FREIRE</t>
  </si>
  <si>
    <t>07751579706</t>
  </si>
  <si>
    <t>HELENA ARSENIO SINGER DE CARVALHO PELEGRINO</t>
  </si>
  <si>
    <t>07820495758</t>
  </si>
  <si>
    <t>ANDRESSA NONATO DA SILVA LOUREIRO</t>
  </si>
  <si>
    <t>07834937898</t>
  </si>
  <si>
    <t>CELI MARIA DE ARAUJO CRUZ</t>
  </si>
  <si>
    <t>07924469761</t>
  </si>
  <si>
    <t>GILCLAUDIA VIEIRA COMPER DE AQUINO</t>
  </si>
  <si>
    <t>07934074786</t>
  </si>
  <si>
    <t>HELIO DE OLIVEIRA PEREIRA</t>
  </si>
  <si>
    <t>07943412761</t>
  </si>
  <si>
    <t>SUZANA BARBOSA FARIA FEITOSA</t>
  </si>
  <si>
    <t>07994652751</t>
  </si>
  <si>
    <t>ELIZABETH DE MIRANDA NAMAN</t>
  </si>
  <si>
    <t>08014677722</t>
  </si>
  <si>
    <t>LEONARDO CIPRIANO DA SILVA</t>
  </si>
  <si>
    <t>08053282628</t>
  </si>
  <si>
    <t>STEPHANIA ANTUNES CACIQUINHO</t>
  </si>
  <si>
    <t>08054791984</t>
  </si>
  <si>
    <t>DAIANE CRISTINE BONASSOLI DA COSTA</t>
  </si>
  <si>
    <t>08061275708</t>
  </si>
  <si>
    <t>ANDERSON LOPES DA SILVA</t>
  </si>
  <si>
    <t>08144229770</t>
  </si>
  <si>
    <t>ANDRE LAFFRONT PEREIRA</t>
  </si>
  <si>
    <t>08151182792</t>
  </si>
  <si>
    <t>VANESSA BARBOSA DUARTE DA SILVA</t>
  </si>
  <si>
    <t>08277610742</t>
  </si>
  <si>
    <t>FERNANDA DA SILVA PRADO</t>
  </si>
  <si>
    <t>08296834707</t>
  </si>
  <si>
    <t>RODRIGO DE CASTRO LIMA</t>
  </si>
  <si>
    <t>08353745720</t>
  </si>
  <si>
    <t>ELLEN NASCIMENTO DA FONSECA</t>
  </si>
  <si>
    <t>08371665784</t>
  </si>
  <si>
    <t>MARCIO DE SOUZA CARVALHO</t>
  </si>
  <si>
    <t>08457744763</t>
  </si>
  <si>
    <t>KAYNE DO NASCIMENTO DE OLIVEIRA</t>
  </si>
  <si>
    <t>08471026619</t>
  </si>
  <si>
    <t>SARAH LOPES SILVA</t>
  </si>
  <si>
    <t>08475986757</t>
  </si>
  <si>
    <t>SILVIA BORGES LEITAO</t>
  </si>
  <si>
    <t>08487779727</t>
  </si>
  <si>
    <t>JACQUELINE OLIVEIRA SILVESTRE</t>
  </si>
  <si>
    <t>08492663782</t>
  </si>
  <si>
    <t>ANA CELIA PEREIRA DO NASCIMENTO</t>
  </si>
  <si>
    <t>08524664711</t>
  </si>
  <si>
    <t>GISELLE MUFFAREG BOSCO</t>
  </si>
  <si>
    <t>08545037732</t>
  </si>
  <si>
    <t>JOSE SILVINO BARBOSA NETO</t>
  </si>
  <si>
    <t>08569716770</t>
  </si>
  <si>
    <t>GISELE MIRANDA SILVA</t>
  </si>
  <si>
    <t>08640471770</t>
  </si>
  <si>
    <t>PAULO COELHO DE OLIVEIRA JUNIOR</t>
  </si>
  <si>
    <t>08645677741</t>
  </si>
  <si>
    <t>GLAUCIA LETICIA DA ROCHA MACIEL</t>
  </si>
  <si>
    <t>08670273713</t>
  </si>
  <si>
    <t>JORGE ALEXANDRE LAGE SCHUBACH</t>
  </si>
  <si>
    <t>08673243920</t>
  </si>
  <si>
    <t>BRUNA MARTINS DAMACENO</t>
  </si>
  <si>
    <t>08698099700</t>
  </si>
  <si>
    <t>SIDNEI OLIVEIRA MARTINS</t>
  </si>
  <si>
    <t>08741367766</t>
  </si>
  <si>
    <t>RAPHAEL ESTEVES FERNANDES</t>
  </si>
  <si>
    <t>08798100769</t>
  </si>
  <si>
    <t>JULIANA GONCALVES REIS</t>
  </si>
  <si>
    <t>08851201919</t>
  </si>
  <si>
    <t>JEICE HELEN BOSCHEN BRITO</t>
  </si>
  <si>
    <t>08853250798</t>
  </si>
  <si>
    <t>ALISSON ANSELMO DA SILVA</t>
  </si>
  <si>
    <t>08860596742</t>
  </si>
  <si>
    <t>KATIA FLAUZINA LOPES</t>
  </si>
  <si>
    <t>08866584703</t>
  </si>
  <si>
    <t>GLEYCE GOMES DE SANTANA PIRES</t>
  </si>
  <si>
    <t>08881615738</t>
  </si>
  <si>
    <t>ANA PAULA FERREIRA DO NASCIMENTO</t>
  </si>
  <si>
    <t>08901764776</t>
  </si>
  <si>
    <t>ADRIANA ALVES PASCOAL</t>
  </si>
  <si>
    <t>08914802779</t>
  </si>
  <si>
    <t>FERNANDO MUFFAREG BOSCO</t>
  </si>
  <si>
    <t>08918768710</t>
  </si>
  <si>
    <t>UBIRATAN MADUREIRA DOS PASSOS</t>
  </si>
  <si>
    <t>08955292708</t>
  </si>
  <si>
    <t>JULIANA SILVA BATISTA</t>
  </si>
  <si>
    <t>08975813770</t>
  </si>
  <si>
    <t>ALESSANDRA VIDAL LIMA</t>
  </si>
  <si>
    <t>09029326751</t>
  </si>
  <si>
    <t>ALESSANDRA FREITAS FERREIRA ARAUJO</t>
  </si>
  <si>
    <t>09094147777</t>
  </si>
  <si>
    <t>FAGNER BARROS RIBEIRO</t>
  </si>
  <si>
    <t>09113109758</t>
  </si>
  <si>
    <t>LUCIANO NASCIMENTO VIEGAS DA ROCHA</t>
  </si>
  <si>
    <t>09159779403</t>
  </si>
  <si>
    <t>THAIS CATAO CARDOSO</t>
  </si>
  <si>
    <t>09210734700</t>
  </si>
  <si>
    <t>MAX DE SOUZA CARVALHO</t>
  </si>
  <si>
    <t>09216300779</t>
  </si>
  <si>
    <t>RODRIGO DELGADO DE SOUZA</t>
  </si>
  <si>
    <t>09319052735</t>
  </si>
  <si>
    <t>AMANDA SILVA BORGES</t>
  </si>
  <si>
    <t>09361432400</t>
  </si>
  <si>
    <t>MAYARA SOUZA DE ARAUJO</t>
  </si>
  <si>
    <t>09389629730</t>
  </si>
  <si>
    <t>FABIO CALVOSA DE SOUZA</t>
  </si>
  <si>
    <t>09467880733</t>
  </si>
  <si>
    <t>THAIS GONCALVES SOARES</t>
  </si>
  <si>
    <t>09478418300</t>
  </si>
  <si>
    <t>JULIO CESAR BEZERRA NEVES</t>
  </si>
  <si>
    <t>09527457718</t>
  </si>
  <si>
    <t>ADALBERTO CARDOSO DE ALMEIDA</t>
  </si>
  <si>
    <t>09566861761</t>
  </si>
  <si>
    <t>JULIA KARINA DE OLIVEIRA</t>
  </si>
  <si>
    <t>09572847724</t>
  </si>
  <si>
    <t>LEONARDO FERREIRA LIMA</t>
  </si>
  <si>
    <t>09612817740</t>
  </si>
  <si>
    <t>CLAUDIA RITA SILVA MARTINS</t>
  </si>
  <si>
    <t>09669006775</t>
  </si>
  <si>
    <t>BIANCA DA CONCEICAO BARROS</t>
  </si>
  <si>
    <t>09670042763</t>
  </si>
  <si>
    <t>ANA CRISTINA DOS SANTOS CAMARA</t>
  </si>
  <si>
    <t>09673754799</t>
  </si>
  <si>
    <t>LEIDJANE FARIAS CAMPOS</t>
  </si>
  <si>
    <t>09820143764</t>
  </si>
  <si>
    <t>DAIANE DA SILVA BRILHANTE DE SOUZA</t>
  </si>
  <si>
    <t>09825166738</t>
  </si>
  <si>
    <t>LIDIANE FREITAS VIANNA</t>
  </si>
  <si>
    <t>09833158765</t>
  </si>
  <si>
    <t>RENATA TERESA DE SOUSA COSTA LEMOS</t>
  </si>
  <si>
    <t>09857163718</t>
  </si>
  <si>
    <t>FERNANDA SILVA DE JESUS</t>
  </si>
  <si>
    <t>09872224730</t>
  </si>
  <si>
    <t>SANDRO HERBERT RAMOS PEREIRA</t>
  </si>
  <si>
    <t>09874870788</t>
  </si>
  <si>
    <t>SANDRA MARIA PESTANHA</t>
  </si>
  <si>
    <t>09912442733</t>
  </si>
  <si>
    <t>MONIQUE VASQUES DA FONSECA</t>
  </si>
  <si>
    <t>09912658744</t>
  </si>
  <si>
    <t>LUCIANO DE ABREU IGNEZ</t>
  </si>
  <si>
    <t>09916660115</t>
  </si>
  <si>
    <t>IVAN FIDELIS AMORIM</t>
  </si>
  <si>
    <t>09919850799</t>
  </si>
  <si>
    <t>MAURICIO LIMA DA SILVA</t>
  </si>
  <si>
    <t>09981155764</t>
  </si>
  <si>
    <t>WILKER OLIVEIRA CASTELIANO</t>
  </si>
  <si>
    <t>09987246702</t>
  </si>
  <si>
    <t>VALESKA BARRETO VIANNA</t>
  </si>
  <si>
    <t>10018320783</t>
  </si>
  <si>
    <t>ANA LUIZA DE OLIVEIRA FERNANDES</t>
  </si>
  <si>
    <t>10070604681</t>
  </si>
  <si>
    <t>LAISA CRISTINA FERREIRA</t>
  </si>
  <si>
    <t>10098681796</t>
  </si>
  <si>
    <t>MILLEANNE COUTINHO CASTELIANO</t>
  </si>
  <si>
    <t>10185381782</t>
  </si>
  <si>
    <t>ANDREA PIMENTEL MARQUES</t>
  </si>
  <si>
    <t>10341364452</t>
  </si>
  <si>
    <t>RHUANN CLAUDIO JERONIMO BARRETO</t>
  </si>
  <si>
    <t>10362874751</t>
  </si>
  <si>
    <t>NATHALIA FIORINI RODRIGUES DA SILVA</t>
  </si>
  <si>
    <t>10452994721</t>
  </si>
  <si>
    <t>DANIELLE CRISTINA DE SOUZA ROCHA</t>
  </si>
  <si>
    <t>10458366722</t>
  </si>
  <si>
    <t>ROGERIO DE OLIVEIRA GONCALVES</t>
  </si>
  <si>
    <t>10462603750</t>
  </si>
  <si>
    <t>MARCOS PAULO FERRI DOS SANTOS</t>
  </si>
  <si>
    <t>10467350710</t>
  </si>
  <si>
    <t>BRUNA DA CONCEICAO BARROS DOS SANTOS</t>
  </si>
  <si>
    <t>10468782710</t>
  </si>
  <si>
    <t>JOAO ANDERSON DO CARMO SOUZA</t>
  </si>
  <si>
    <t>10490808743</t>
  </si>
  <si>
    <t>KELLY CRISTINA OLIVEIRA DA CONCEICAO</t>
  </si>
  <si>
    <t>10504054716</t>
  </si>
  <si>
    <t>RODRIGO DE QUEIROZ SALINO</t>
  </si>
  <si>
    <t>10538297794</t>
  </si>
  <si>
    <t>CARLOS DA CRUZ JUNIOR</t>
  </si>
  <si>
    <t>10592428770</t>
  </si>
  <si>
    <t>DEYVID GONCALVES AMORIM</t>
  </si>
  <si>
    <t>10602359783</t>
  </si>
  <si>
    <t>JUCILEIA ABREU LIMA SILVEIRA</t>
  </si>
  <si>
    <t>10634098705</t>
  </si>
  <si>
    <t>MICHELLE FERREIRA DA CONCEICAO</t>
  </si>
  <si>
    <t>10732176719</t>
  </si>
  <si>
    <t>WELLINGTON SANTANA DE LIMA</t>
  </si>
  <si>
    <t>10758185758</t>
  </si>
  <si>
    <t>ALESSANDRA CAMPOS DE SANTANA</t>
  </si>
  <si>
    <t>10771130724</t>
  </si>
  <si>
    <t>FERNANDA DE PAULA DO NASCIMENTO S GOMES</t>
  </si>
  <si>
    <t>10795591756</t>
  </si>
  <si>
    <t>FRANCINE CONSTANTINO DA SILVA</t>
  </si>
  <si>
    <t>10805268707</t>
  </si>
  <si>
    <t>THAYNNA SANT ANNA LAUT</t>
  </si>
  <si>
    <t>10829841750</t>
  </si>
  <si>
    <t>JANAINA DE MEDEIROS ALVES SIMONETTE</t>
  </si>
  <si>
    <t>10895994712</t>
  </si>
  <si>
    <t>WALLACE RIBEIRO DA SOLEDADE</t>
  </si>
  <si>
    <t>10931685796</t>
  </si>
  <si>
    <t>ISABELA GERALDA DE OLIVEIRA LOPES</t>
  </si>
  <si>
    <t>11004494777</t>
  </si>
  <si>
    <t>JEFFERSON LUIZ BARBOSA</t>
  </si>
  <si>
    <t>11025071727</t>
  </si>
  <si>
    <t>KARINA ARIEL DE OLIVEIRA</t>
  </si>
  <si>
    <t>11032840706</t>
  </si>
  <si>
    <t>MATHEUS GONCALVES DE BRITO</t>
  </si>
  <si>
    <t>11077616708</t>
  </si>
  <si>
    <t>ESTER ABREU PEREIRA DA SILVA</t>
  </si>
  <si>
    <t>11091746249</t>
  </si>
  <si>
    <t>ROOSEVELT JOSE PANTOJA PEREIRA</t>
  </si>
  <si>
    <t>11114700738</t>
  </si>
  <si>
    <t>RODRIGO BRILHANTE LOUREIRO</t>
  </si>
  <si>
    <t>11120345790</t>
  </si>
  <si>
    <t>MONICA LOPES DE MENDONCA</t>
  </si>
  <si>
    <t>11187431729</t>
  </si>
  <si>
    <t>MONIQUE DE MELO ENDLICH</t>
  </si>
  <si>
    <t>11239985746</t>
  </si>
  <si>
    <t>GISELE CORREA DA ROSA</t>
  </si>
  <si>
    <t>11247796710</t>
  </si>
  <si>
    <t>AMANDA ROLAND DE SOUZA MENDES</t>
  </si>
  <si>
    <t>11263516793</t>
  </si>
  <si>
    <t>FABIOLA MENDES ALVES</t>
  </si>
  <si>
    <t>11284964701</t>
  </si>
  <si>
    <t>LUCIANA CARVALHO SOUZA DE ALMEIDA</t>
  </si>
  <si>
    <t>11309506701</t>
  </si>
  <si>
    <t>MARIA EDUARDA DE BARROS</t>
  </si>
  <si>
    <t>11389807738</t>
  </si>
  <si>
    <t>TUANE FREITAS RENDANO MACHADO</t>
  </si>
  <si>
    <t>11455028738</t>
  </si>
  <si>
    <t>RENATA MORTONI DE ALMEIDA SANTOS FREIRE</t>
  </si>
  <si>
    <t>11466679735</t>
  </si>
  <si>
    <t>JEDIEL RODRIGO DO NASCIMENTO PORFIRIO</t>
  </si>
  <si>
    <t>11475271727</t>
  </si>
  <si>
    <t>ALINE NASCIMENTO LINHARES</t>
  </si>
  <si>
    <t>11486332781</t>
  </si>
  <si>
    <t>ALINE DE SA MACHADO</t>
  </si>
  <si>
    <t>11534468714</t>
  </si>
  <si>
    <t>JACQUELINE DE MEDEIROS BEZERRA</t>
  </si>
  <si>
    <t>11617666777</t>
  </si>
  <si>
    <t>PAULA RIBEIRO MARROIG</t>
  </si>
  <si>
    <t>11629736767</t>
  </si>
  <si>
    <t>LUIS FERNANDO DE ORNELAS GAMA</t>
  </si>
  <si>
    <t>11691279757</t>
  </si>
  <si>
    <t>TAIANE DE OLIVEIRA RODRIGUES</t>
  </si>
  <si>
    <t>11896157700</t>
  </si>
  <si>
    <t>FLAVIA FERREIRA BUARQUE</t>
  </si>
  <si>
    <t>11922612758</t>
  </si>
  <si>
    <t>ROMULO MAGALHAES</t>
  </si>
  <si>
    <t>11990640761</t>
  </si>
  <si>
    <t>JENNIFER MATTOS AZEVEDO</t>
  </si>
  <si>
    <t>11995594741</t>
  </si>
  <si>
    <t>ISABELA BORDUAN GARCIAS FERNANDES</t>
  </si>
  <si>
    <t>12073623794</t>
  </si>
  <si>
    <t>RENATO JORGE NOGUEIRA MOUTINHO QUEIROZ</t>
  </si>
  <si>
    <t>12100230751</t>
  </si>
  <si>
    <t>JESSICA MOREIRA RODRIGUES</t>
  </si>
  <si>
    <t>12113618702</t>
  </si>
  <si>
    <t>EUNICE MARIA PEREIRA CORTES</t>
  </si>
  <si>
    <t>12231982781</t>
  </si>
  <si>
    <t>KAREN RUBIA GUISEPP CHAGAS</t>
  </si>
  <si>
    <t>12232886760</t>
  </si>
  <si>
    <t>LETICIA DE ALMEIDA COSTA</t>
  </si>
  <si>
    <t>12269332709</t>
  </si>
  <si>
    <t>ANA CAROLINA MOREIRA DOS SANTOS ARAUJO SABINO ALVES</t>
  </si>
  <si>
    <t>12270135741</t>
  </si>
  <si>
    <t>CELSO RICARDO DA ROCHA ALVES</t>
  </si>
  <si>
    <t>12282527771</t>
  </si>
  <si>
    <t>JOYCE FERREIRA DOS SANTOS DE AZEREDO</t>
  </si>
  <si>
    <t>12363026721</t>
  </si>
  <si>
    <t>LARISSA SOUZA STAUFFER TELLES</t>
  </si>
  <si>
    <t>12386531708</t>
  </si>
  <si>
    <t>FERNANDO DA CUNHA PEREIRA FILHO</t>
  </si>
  <si>
    <t>12452344710</t>
  </si>
  <si>
    <t>CESAR COUTO MARTINS</t>
  </si>
  <si>
    <t>12461696730</t>
  </si>
  <si>
    <t>LUCAS PEREIRA DE MENESES COLAO</t>
  </si>
  <si>
    <t>12553213778</t>
  </si>
  <si>
    <t>STEFANI MARINHO DE OLIVEIRA</t>
  </si>
  <si>
    <t>12629168794</t>
  </si>
  <si>
    <t>ANNELISE MENESES MACIEL</t>
  </si>
  <si>
    <t>12779297778</t>
  </si>
  <si>
    <t>JULIANE SOARES DA PENHA</t>
  </si>
  <si>
    <t>12877668703</t>
  </si>
  <si>
    <t>ALINE GALENO COSTA</t>
  </si>
  <si>
    <t>12879634717</t>
  </si>
  <si>
    <t>SUELEN DE AQUINO MOREIRA</t>
  </si>
  <si>
    <t>12903918740</t>
  </si>
  <si>
    <t>CARLOS EDUARDO DA SILVA ALBUQUERQUE</t>
  </si>
  <si>
    <t>12904638750</t>
  </si>
  <si>
    <t>ALESSANDRA SANTANA DA SILVA CUNHA</t>
  </si>
  <si>
    <t>12966121807</t>
  </si>
  <si>
    <t>CLAUDIA YURIKO OKAMOTO WAKIZAKA</t>
  </si>
  <si>
    <t>12985348790</t>
  </si>
  <si>
    <t>BRUNA DUARTE SILVA</t>
  </si>
  <si>
    <t>13094397700</t>
  </si>
  <si>
    <t>IURI CARVALHO DE MELO</t>
  </si>
  <si>
    <t>13129364790</t>
  </si>
  <si>
    <t>ANE CORREA LOUZADA NEVES</t>
  </si>
  <si>
    <t>13220203701</t>
  </si>
  <si>
    <t>EMANUELLE RAMOS FERREIRA GRACIO</t>
  </si>
  <si>
    <t>13222674728</t>
  </si>
  <si>
    <t>DANIELLY FREIRE DE LIMA COSTA</t>
  </si>
  <si>
    <t>13390643320</t>
  </si>
  <si>
    <t>RAIMUNDO DE CARVALHO MELO FILHO</t>
  </si>
  <si>
    <t>13523839777</t>
  </si>
  <si>
    <t>DANIELE DA CONCEICAO FELIPPE SOARES</t>
  </si>
  <si>
    <t>13537926766</t>
  </si>
  <si>
    <t>THIAGO FERREIRA PONTES</t>
  </si>
  <si>
    <t>13567880764</t>
  </si>
  <si>
    <t>MATHEUS SANT ANA PRADO</t>
  </si>
  <si>
    <t>13599334765</t>
  </si>
  <si>
    <t>LUIZ FELIPE GOMES FAGUNDES</t>
  </si>
  <si>
    <t>13626447731</t>
  </si>
  <si>
    <t>ELISA PINHEIRO BARBOSA DA SILVA</t>
  </si>
  <si>
    <t>13707251756</t>
  </si>
  <si>
    <t>NATHALIA DOS SANTOS DA SILVA OLIVEIRA</t>
  </si>
  <si>
    <t>13844742778</t>
  </si>
  <si>
    <t>JOCELEI DIEGO DOS SANTOS NOBRE</t>
  </si>
  <si>
    <t>13883516767</t>
  </si>
  <si>
    <t>WILLIAMS FREIRE DE LIMA JUNIOR</t>
  </si>
  <si>
    <t>14056616744</t>
  </si>
  <si>
    <t>CINTHIA SIMOES SANTANA</t>
  </si>
  <si>
    <t>14108802730</t>
  </si>
  <si>
    <t>THAMIRIS SANCHES LIMA DA SILVA</t>
  </si>
  <si>
    <t>14111295711</t>
  </si>
  <si>
    <t>VITOR HUGO LIMA DOS SANTOS</t>
  </si>
  <si>
    <t>14590438712</t>
  </si>
  <si>
    <t>MAILA SIQUEIRA MIRANDA SANTOS SILVA</t>
  </si>
  <si>
    <t>14600742702</t>
  </si>
  <si>
    <t>ROBERTA GOES VIANA</t>
  </si>
  <si>
    <t>14745513780</t>
  </si>
  <si>
    <t>LUCAS SOARES VIEIRA</t>
  </si>
  <si>
    <t>14764588714</t>
  </si>
  <si>
    <t>ELIAS ARAUJO DOS SANTOS</t>
  </si>
  <si>
    <t>14828410708</t>
  </si>
  <si>
    <t>BRUNA HEIZER DIERSCHNABEL</t>
  </si>
  <si>
    <t>14834028780</t>
  </si>
  <si>
    <t>VICTOR CORREA DOS SANTOS MELLO</t>
  </si>
  <si>
    <t>14866063777</t>
  </si>
  <si>
    <t>CAROLINE MULLER DOS SANTOS</t>
  </si>
  <si>
    <t>14920569793</t>
  </si>
  <si>
    <t>GUILHERME LEITE FERREIRA</t>
  </si>
  <si>
    <t>14991876702</t>
  </si>
  <si>
    <t>MAYARA CARVALHO DE PAULA</t>
  </si>
  <si>
    <t>15004885770</t>
  </si>
  <si>
    <t>FILIPE NASCIMENTO DOS SANTOS</t>
  </si>
  <si>
    <t>15098127769</t>
  </si>
  <si>
    <t>BRUNA DE OLIVEIRA CORTES</t>
  </si>
  <si>
    <t>15120069711</t>
  </si>
  <si>
    <t>YURI SANTOS DA SILVA MARZULLO DE RESENDE</t>
  </si>
  <si>
    <t>15191136764</t>
  </si>
  <si>
    <t>LUCIANA DA SILVA SANTOS OLIVEIRA</t>
  </si>
  <si>
    <t>15245527553</t>
  </si>
  <si>
    <t>ANTENOR BENTO DE OLIVEIRA</t>
  </si>
  <si>
    <t>15531944705</t>
  </si>
  <si>
    <t>GISELLE DOS SANTOS MAURICIO</t>
  </si>
  <si>
    <t>15532660727</t>
  </si>
  <si>
    <t>MARIANE MATHIAS DE SOUZA</t>
  </si>
  <si>
    <t>15535031712</t>
  </si>
  <si>
    <t>ISABELLE REDDO DA SILVA</t>
  </si>
  <si>
    <t>15544025738</t>
  </si>
  <si>
    <t>WALLACE DE QUEIROZ SILVEIRA</t>
  </si>
  <si>
    <t>15551939782</t>
  </si>
  <si>
    <t>LUCAS DINIZ PEDROSO DA SILVA</t>
  </si>
  <si>
    <t>15568852707</t>
  </si>
  <si>
    <t>YNGRID OLIVEIRA VIDAL DA SILVA</t>
  </si>
  <si>
    <t>15654154770</t>
  </si>
  <si>
    <t>RENAN DE SOUZA VIEIRA</t>
  </si>
  <si>
    <t>15655033763</t>
  </si>
  <si>
    <t>LUIZ ALBERTO DE OLIVEIRA NEVES JUNIOR</t>
  </si>
  <si>
    <t>15750572714</t>
  </si>
  <si>
    <t>TAYLANE FEITOSA PERALTA</t>
  </si>
  <si>
    <t>15819162722</t>
  </si>
  <si>
    <t>LAURA AMARAL SILVA</t>
  </si>
  <si>
    <t>15887767782</t>
  </si>
  <si>
    <t>JACIARA RAMOS DE ARAUJO</t>
  </si>
  <si>
    <t>15901819721</t>
  </si>
  <si>
    <t>JULIO RIBEIRO RAMOS</t>
  </si>
  <si>
    <t>15906618775</t>
  </si>
  <si>
    <t>MATHEUS MATTA DE SOUZA LABRES</t>
  </si>
  <si>
    <t>15925871782</t>
  </si>
  <si>
    <t>SILVIO CEZAR PEREIRA DA SILVA FILHO</t>
  </si>
  <si>
    <t>16051471766</t>
  </si>
  <si>
    <t>IGOR FEITOSA DOS SANTOS</t>
  </si>
  <si>
    <t>16096708846</t>
  </si>
  <si>
    <t>RODRIGO DE OLIVEIRA SZEDLACSEK</t>
  </si>
  <si>
    <t>16115336783</t>
  </si>
  <si>
    <t>DERWYLLIN FELIPPE DA SILVA GOMES</t>
  </si>
  <si>
    <t>16177655890</t>
  </si>
  <si>
    <t>SUELI DE FATIMA CAVINA</t>
  </si>
  <si>
    <t>16186277755</t>
  </si>
  <si>
    <t>ANDRESSA GUERRA FELIPPE DOS SANTOS</t>
  </si>
  <si>
    <t>16197146711</t>
  </si>
  <si>
    <t>THAMARA MARTINS PORTO</t>
  </si>
  <si>
    <t>16207533755</t>
  </si>
  <si>
    <t>DANIELLE DE SOUZA ANDRADE</t>
  </si>
  <si>
    <t>16240811777</t>
  </si>
  <si>
    <t>LUDMILA PAULA AMORIM</t>
  </si>
  <si>
    <t>16265326724</t>
  </si>
  <si>
    <t>VANESSA ALVES DA SILVA</t>
  </si>
  <si>
    <t>16285942765</t>
  </si>
  <si>
    <t>BIANCA ROBERTA PEREIRA SIQUEIRA</t>
  </si>
  <si>
    <t>16497871705</t>
  </si>
  <si>
    <t>MARCIELLE DE SOUZA SILVA FRAVOLINE</t>
  </si>
  <si>
    <t>16575302726</t>
  </si>
  <si>
    <t>NILTON VENANCIO DIAS JUNIOR</t>
  </si>
  <si>
    <t>17042452810</t>
  </si>
  <si>
    <t>DANIELA RIBEIRO LAMBERTINI</t>
  </si>
  <si>
    <t>17092372798</t>
  </si>
  <si>
    <t>CAROLINE CORREA GOMES</t>
  </si>
  <si>
    <t>17119865773</t>
  </si>
  <si>
    <t>ANDREA ITABAIANA DE OLIVEIRA</t>
  </si>
  <si>
    <t>17376762736</t>
  </si>
  <si>
    <t>MARTA MARIANA FARIAS DE LUNA</t>
  </si>
  <si>
    <t>17430909272</t>
  </si>
  <si>
    <t>CARLA MEIB ELIAS DA FONSECA</t>
  </si>
  <si>
    <t>17458413778</t>
  </si>
  <si>
    <t>JOAO VITOR DA SILVA DAVID</t>
  </si>
  <si>
    <t>17462524724</t>
  </si>
  <si>
    <t>EMILAINE FERREIRA CALIXTO PEREIRA</t>
  </si>
  <si>
    <t>17768966708</t>
  </si>
  <si>
    <t>GABRIEL DOS SANTOS</t>
  </si>
  <si>
    <t>17781134788</t>
  </si>
  <si>
    <t>ANA BEATRIZ PEREIRA DE SA FREIRE</t>
  </si>
  <si>
    <t>17793736788</t>
  </si>
  <si>
    <t>VICTOR DE ALMEIDA SANTANA</t>
  </si>
  <si>
    <t>18085575736</t>
  </si>
  <si>
    <t>LUCAS EDUARDO BARRA FERNANDES</t>
  </si>
  <si>
    <t>18098877710</t>
  </si>
  <si>
    <t>CAROLINA DAS NEVES BEZERRA</t>
  </si>
  <si>
    <t>18463703100</t>
  </si>
  <si>
    <t>CLAUDIO JOSE DA SILVA</t>
  </si>
  <si>
    <t>19940266855</t>
  </si>
  <si>
    <t>GISELE MONTEIRO VETTINER</t>
  </si>
  <si>
    <t>21356416349</t>
  </si>
  <si>
    <t>JOSE CARLOS VALERIANO DE CARVALHO</t>
  </si>
  <si>
    <t>21644683334</t>
  </si>
  <si>
    <t>JOAO PAULO DOS REIS NETO</t>
  </si>
  <si>
    <t>22342826400</t>
  </si>
  <si>
    <t>GUTTENBERG GAYAO DE SENNA</t>
  </si>
  <si>
    <t>23018224353</t>
  </si>
  <si>
    <t>SERGILENE MARIA PAIVA LIMA</t>
  </si>
  <si>
    <t>23218754291</t>
  </si>
  <si>
    <t>MARIA ROSICLEA PANTOJA PEREIRA</t>
  </si>
  <si>
    <t>23712988320</t>
  </si>
  <si>
    <t>LUD CERES DE MARIA SILVA ARAUJO</t>
  </si>
  <si>
    <t>23974141391</t>
  </si>
  <si>
    <t>LEDA MARIA PEREIRA VILELA</t>
  </si>
  <si>
    <t>25279700959</t>
  </si>
  <si>
    <t>MAURO PEREIRA</t>
  </si>
  <si>
    <t>25676537833</t>
  </si>
  <si>
    <t>MARIANA REIS GULLA MERCADANTE</t>
  </si>
  <si>
    <t>26075839852</t>
  </si>
  <si>
    <t>CRISTIANE HRISTOV VALERETTO</t>
  </si>
  <si>
    <t>26128039472</t>
  </si>
  <si>
    <t>ISIS MAGALHAES PACCA RIOS</t>
  </si>
  <si>
    <t>27148270200</t>
  </si>
  <si>
    <t>PAULA ROGERIA SILVA DE VASCONCELOS SANTO</t>
  </si>
  <si>
    <t>27584216749</t>
  </si>
  <si>
    <t>ROSANI CARDOSO GARCIA</t>
  </si>
  <si>
    <t>28436113268</t>
  </si>
  <si>
    <t>MARILENE NASCIMENTO FARIAS</t>
  </si>
  <si>
    <t>28597206268</t>
  </si>
  <si>
    <t>ALUIZIO JOSE MEDEIROS DO NASCIMENTO</t>
  </si>
  <si>
    <t>29498310874</t>
  </si>
  <si>
    <t>MARCOS EDUARDO MENEGAZZO</t>
  </si>
  <si>
    <t>30563267704</t>
  </si>
  <si>
    <t>AFONSO JORGE FILGUEIRAS</t>
  </si>
  <si>
    <t>31166326772</t>
  </si>
  <si>
    <t>JORGE DIAS DA FONSECA</t>
  </si>
  <si>
    <t>08056344799</t>
  </si>
  <si>
    <t>19540830</t>
  </si>
  <si>
    <t>ROSANGELA NASCIMENTO DA FONSECA</t>
  </si>
  <si>
    <t>31510442553</t>
  </si>
  <si>
    <t>MARY JANE DE LIMA PAIXAO RESENDE</t>
  </si>
  <si>
    <t>32101104253</t>
  </si>
  <si>
    <t>CLELIA BRASILIA MENDES AZEVEDO</t>
  </si>
  <si>
    <t>32856229700</t>
  </si>
  <si>
    <t>CESAR DE OLIVEIRA SOUSA</t>
  </si>
  <si>
    <t>33485380334</t>
  </si>
  <si>
    <t>ANA ROSA MELO MORENO MONTEL</t>
  </si>
  <si>
    <t>34476040772</t>
  </si>
  <si>
    <t>JUSLEI MIRIAM GLORIA SCHNEIDER</t>
  </si>
  <si>
    <t>34735135715</t>
  </si>
  <si>
    <t>SANDRA NASCIMENTO DOS SANTOS</t>
  </si>
  <si>
    <t>34773053100</t>
  </si>
  <si>
    <t>LAERCIO DE SOUSA MAJADAS</t>
  </si>
  <si>
    <t>35942827753</t>
  </si>
  <si>
    <t>ISMAR PEDRO RODRIGUES BALBINO</t>
  </si>
  <si>
    <t>36630640187</t>
  </si>
  <si>
    <t>MARIA SANDRA DE OLIVEIRA</t>
  </si>
  <si>
    <t>36660965149</t>
  </si>
  <si>
    <t>CLEDI REGINA FERRUGEM CERQUEIRA</t>
  </si>
  <si>
    <t>37254839300</t>
  </si>
  <si>
    <t>DEUZELINA RODRIGUES PETIT</t>
  </si>
  <si>
    <t>37465295734</t>
  </si>
  <si>
    <t>PERICLES DE MONT ALVERNE M BOURGUIGNON</t>
  </si>
  <si>
    <t>37501259100</t>
  </si>
  <si>
    <t>HOTILIA DAS DOURES LOPES GONZAGA</t>
  </si>
  <si>
    <t>37576496304</t>
  </si>
  <si>
    <t>KATIA CILENE CORREA PINHEIRO</t>
  </si>
  <si>
    <t>37626116372</t>
  </si>
  <si>
    <t>ELIZABETH SILVA SERRA</t>
  </si>
  <si>
    <t>37644041168</t>
  </si>
  <si>
    <t>SANDRA MARIA E SILVA JASSNIKER</t>
  </si>
  <si>
    <t>37756230515</t>
  </si>
  <si>
    <t>MANUEL FELIPE DOS SANTOS</t>
  </si>
  <si>
    <t>07324467598</t>
  </si>
  <si>
    <t>19980324</t>
  </si>
  <si>
    <t>TIAGO FARIAS DOS SANTOS</t>
  </si>
  <si>
    <t>37943442865</t>
  </si>
  <si>
    <t>HELOISA FELICIANO DA SILVA</t>
  </si>
  <si>
    <t>38339366734</t>
  </si>
  <si>
    <t>JUSSARA TOLEDO DANTAS</t>
  </si>
  <si>
    <t>38545748272</t>
  </si>
  <si>
    <t>CAMILO DE SOUZA PIMENTEL</t>
  </si>
  <si>
    <t>38619857487</t>
  </si>
  <si>
    <t>RILZANA THELMA GONDIN OLIVEIRA DA SILVA</t>
  </si>
  <si>
    <t>40727157191</t>
  </si>
  <si>
    <t>PEDRO PAULO DE OLIVEIRA</t>
  </si>
  <si>
    <t>83189190178</t>
  </si>
  <si>
    <t>19920226</t>
  </si>
  <si>
    <t>FABIANE CRISTINE ARAUJO DE OLIV</t>
  </si>
  <si>
    <t>19941024</t>
  </si>
  <si>
    <t>LUCAS ARAUJO DE OLIVEIRA</t>
  </si>
  <si>
    <t>41072278715</t>
  </si>
  <si>
    <t>NEUSA MARIA DE PAULA LOPES</t>
  </si>
  <si>
    <t>41295129949</t>
  </si>
  <si>
    <t>ROBERTO ISSAMU YOSIDA</t>
  </si>
  <si>
    <t>42646989873</t>
  </si>
  <si>
    <t>KEROLAYNE CEZARIO DA SILVA</t>
  </si>
  <si>
    <t>42664055372</t>
  </si>
  <si>
    <t>LEIDE JANY GOMES ARAUJO DO NASCIMENTO</t>
  </si>
  <si>
    <t>43068642434</t>
  </si>
  <si>
    <t>RUTHILIANE PIRES DOS SANTOS</t>
  </si>
  <si>
    <t>43773931115</t>
  </si>
  <si>
    <t>MARIA WANDERLEYA FORTES VASCONCELOS MACHADO</t>
  </si>
  <si>
    <t>44049587734</t>
  </si>
  <si>
    <t>MARIO JOSE PEREIRA GOMES</t>
  </si>
  <si>
    <t>44195141591</t>
  </si>
  <si>
    <t>MARIA VIRGINIA VASCONCELOS CAVALCANTE BARBOSA</t>
  </si>
  <si>
    <t>44641907234</t>
  </si>
  <si>
    <t>ADRIANA MARCIA DE SOUSA TELES</t>
  </si>
  <si>
    <t>45938296404</t>
  </si>
  <si>
    <t>CHRISTIANE PEREIRA FILGUEIRAS</t>
  </si>
  <si>
    <t>46699392468</t>
  </si>
  <si>
    <t>ZENIA MARIA DANTAS MAIA</t>
  </si>
  <si>
    <t>47572833772</t>
  </si>
  <si>
    <t>SONIA CRISTINA CARLOS QUIMAS</t>
  </si>
  <si>
    <t>47631554404</t>
  </si>
  <si>
    <t>ANA ELIZABETH NUNES FURTADO</t>
  </si>
  <si>
    <t>47993197953</t>
  </si>
  <si>
    <t>SERGIO LUIS SONEGO</t>
  </si>
  <si>
    <t>48344273749</t>
  </si>
  <si>
    <t>CARLOS GUARIENTO FILHO</t>
  </si>
  <si>
    <t>48654167734</t>
  </si>
  <si>
    <t>LYGIA FERREIRA ROMARIZ</t>
  </si>
  <si>
    <t>48829285404</t>
  </si>
  <si>
    <t>CARLOS AUGUSTO DO REGO BARROS BELLO</t>
  </si>
  <si>
    <t>35460474434</t>
  </si>
  <si>
    <t>19981019</t>
  </si>
  <si>
    <t>CARLOS HENRIQUE DE AQUINO BELLO</t>
  </si>
  <si>
    <t>49536389720</t>
  </si>
  <si>
    <t>ROSANGELA MOREIRA DOS SANTOS ARAUJO</t>
  </si>
  <si>
    <t>49585819449</t>
  </si>
  <si>
    <t>CRISTINA RODRIGUES DE MELO VILA REAL</t>
  </si>
  <si>
    <t>50435507400</t>
  </si>
  <si>
    <t>JOSE BENALDO DE MEDEIROS</t>
  </si>
  <si>
    <t>50497162768</t>
  </si>
  <si>
    <t>JOSE MARIA PEREIRA</t>
  </si>
  <si>
    <t>50904221768</t>
  </si>
  <si>
    <t>NEEMIAS RODRIGUES DA SILVA</t>
  </si>
  <si>
    <t>51663023549</t>
  </si>
  <si>
    <t>GILDELIA ANDRADE SANTANA ALMEIDA</t>
  </si>
  <si>
    <t>51705737749</t>
  </si>
  <si>
    <t>ELSON BARBOSA</t>
  </si>
  <si>
    <t>51883180759</t>
  </si>
  <si>
    <t>19560915</t>
  </si>
  <si>
    <t>ZURAIDE MARIA LUCENA DE OLIVEIR</t>
  </si>
  <si>
    <t>51761017500</t>
  </si>
  <si>
    <t>FRANCISCA DO CARMO MARTINS MOREIRA</t>
  </si>
  <si>
    <t>51964244234</t>
  </si>
  <si>
    <t>EDER DAMIAN</t>
  </si>
  <si>
    <t>53388313687</t>
  </si>
  <si>
    <t>AGNA TEIXEIRA REZENDE</t>
  </si>
  <si>
    <t>53632370753</t>
  </si>
  <si>
    <t>LAEZY PINHEIRO DE MORAES</t>
  </si>
  <si>
    <t>53719751368</t>
  </si>
  <si>
    <t>ARLENE MARIA DA SILVA OLIVEIRA</t>
  </si>
  <si>
    <t>54464692591</t>
  </si>
  <si>
    <t>SIMONE CRISTINA BISPO</t>
  </si>
  <si>
    <t>54825040772</t>
  </si>
  <si>
    <t>ROBERTO BASTOS</t>
  </si>
  <si>
    <t>54835852591</t>
  </si>
  <si>
    <t>DANIEL PAULO SOUZA BOMFIM</t>
  </si>
  <si>
    <t>55656811700</t>
  </si>
  <si>
    <t>ELIZABETH RODRIGUES COSENDEY</t>
  </si>
  <si>
    <t>57836680100</t>
  </si>
  <si>
    <t>NELY APARECIDA DE SOUZA FERNANDES</t>
  </si>
  <si>
    <t>58071385387</t>
  </si>
  <si>
    <t>LILIA LIMA DUTRA SANTOS</t>
  </si>
  <si>
    <t>58248323153</t>
  </si>
  <si>
    <t>ROBERTO LINO PAREDES</t>
  </si>
  <si>
    <t>87148889120</t>
  </si>
  <si>
    <t>20080513</t>
  </si>
  <si>
    <t>ROBERTA VOLPE PAREDES</t>
  </si>
  <si>
    <t>58773320668</t>
  </si>
  <si>
    <t>ALEXANDRE MIGUEL RODRIGUES</t>
  </si>
  <si>
    <t>58845747468</t>
  </si>
  <si>
    <t>CLAUDIA MARIA DE MELO SOARES</t>
  </si>
  <si>
    <t>59023503791</t>
  </si>
  <si>
    <t>RIVALDA SANTOS BARRETO</t>
  </si>
  <si>
    <t>59513578291</t>
  </si>
  <si>
    <t>HELIDA RODRIGUES MONTEIRO</t>
  </si>
  <si>
    <t>59608935687</t>
  </si>
  <si>
    <t>JOSE EDUARDO FIGUEIREDO BORGES</t>
  </si>
  <si>
    <t>59662603700</t>
  </si>
  <si>
    <t>MAURICIO DE FREITAS LIMA</t>
  </si>
  <si>
    <t>59827947753</t>
  </si>
  <si>
    <t>ANTONIO FRANCO MAGALHAES</t>
  </si>
  <si>
    <t>59869135749</t>
  </si>
  <si>
    <t>RENATO DINIZ LAGE</t>
  </si>
  <si>
    <t>59907274704</t>
  </si>
  <si>
    <t>MONICA CANTO MAIOLINO</t>
  </si>
  <si>
    <t>60178078700</t>
  </si>
  <si>
    <t>SERGIO LOURENCO DA SILVA</t>
  </si>
  <si>
    <t>60888857772</t>
  </si>
  <si>
    <t>DAISE SILVA DOS SANTOS</t>
  </si>
  <si>
    <t>60944382053</t>
  </si>
  <si>
    <t>STEPHEN DORAL STEFANI</t>
  </si>
  <si>
    <t>61640182268</t>
  </si>
  <si>
    <t>JOSIANE MARIA GAMA RIBEIRO</t>
  </si>
  <si>
    <t>61720038449</t>
  </si>
  <si>
    <t>WILSON GOMES QUEIROZ JUNIOR</t>
  </si>
  <si>
    <t>61743852304</t>
  </si>
  <si>
    <t>KAMILLA AMERICA DE OLIVEIRA MACHADO</t>
  </si>
  <si>
    <t>61780022700</t>
  </si>
  <si>
    <t>JORGE PEDRA BORGES</t>
  </si>
  <si>
    <t>62003623272</t>
  </si>
  <si>
    <t>MARCELO DOS SANTOS MONTEIRO</t>
  </si>
  <si>
    <t>62313355691</t>
  </si>
  <si>
    <t>REGINALDO AUGUSTO DOS PASSOS</t>
  </si>
  <si>
    <t>63670240772</t>
  </si>
  <si>
    <t>DENISE GONCALVES PEREIRA</t>
  </si>
  <si>
    <t>64695816504</t>
  </si>
  <si>
    <t>ANA RITA BATISTA BRANDAO</t>
  </si>
  <si>
    <t>64732452353</t>
  </si>
  <si>
    <t>LAIS EMILIA RIBEIRO DE ARAUJO</t>
  </si>
  <si>
    <t>65557204334</t>
  </si>
  <si>
    <t>HELLEN KASSIA PENHA RODRIGUES</t>
  </si>
  <si>
    <t>66265061372</t>
  </si>
  <si>
    <t>JOYCE ARAUJO MORAES</t>
  </si>
  <si>
    <t>66704944320</t>
  </si>
  <si>
    <t>GREYCIELLY SILVA PINHEIRO</t>
  </si>
  <si>
    <t>67126928734</t>
  </si>
  <si>
    <t>JOSE LUIZ DE SOUZA OUTERELO</t>
  </si>
  <si>
    <t>67128459715</t>
  </si>
  <si>
    <t>MARIA REGINA DE SOUZA LAGE</t>
  </si>
  <si>
    <t>67208568715</t>
  </si>
  <si>
    <t>FABIO MARCUS SOARES DE MORAES</t>
  </si>
  <si>
    <t>68034318272</t>
  </si>
  <si>
    <t>JUCILENE SILVA OEIRAS</t>
  </si>
  <si>
    <t>68298080653</t>
  </si>
  <si>
    <t>MARGARETE OLIVEIRA MAIA</t>
  </si>
  <si>
    <t>68434154587</t>
  </si>
  <si>
    <t>ROBSON LOPES DOS SANTOS</t>
  </si>
  <si>
    <t>68489943753</t>
  </si>
  <si>
    <t>FRANCY GARCES COSTA</t>
  </si>
  <si>
    <t>68651996268</t>
  </si>
  <si>
    <t>KEILA MARIA MELO LIMA</t>
  </si>
  <si>
    <t>68684070097</t>
  </si>
  <si>
    <t>JANINE CRUZ SILVEIRA</t>
  </si>
  <si>
    <t>69911622134</t>
  </si>
  <si>
    <t>FABIO DA SILVA ALVES</t>
  </si>
  <si>
    <t>70596913753</t>
  </si>
  <si>
    <t>DENISE CARLA DE OLIVEIRA GONCALVES</t>
  </si>
  <si>
    <t>70808783734</t>
  </si>
  <si>
    <t>NELSON MOREIRA DE OLIVEIRA</t>
  </si>
  <si>
    <t>70860270734</t>
  </si>
  <si>
    <t>CELIA MARIA RODRIGUES DA COSTA</t>
  </si>
  <si>
    <t>71626484791</t>
  </si>
  <si>
    <t>VERA BRILHANTE DE SOUSA</t>
  </si>
  <si>
    <t>71693548534</t>
  </si>
  <si>
    <t>SILVIA CRISTINA BASTOS DE ANDRADE</t>
  </si>
  <si>
    <t>71712518100</t>
  </si>
  <si>
    <t>JANETE FERREIRA DE LIMA</t>
  </si>
  <si>
    <t>71993843272</t>
  </si>
  <si>
    <t>MICHAEL DA COSTA LOPES</t>
  </si>
  <si>
    <t>72278358553</t>
  </si>
  <si>
    <t>JIMMY LOPES SANTOS</t>
  </si>
  <si>
    <t>72564873120</t>
  </si>
  <si>
    <t>ARNOLDO PINHO RODRIGUES</t>
  </si>
  <si>
    <t>72793945749</t>
  </si>
  <si>
    <t>AIDA MARIA GUEDES DE BRITO FUJII</t>
  </si>
  <si>
    <t>74051466787</t>
  </si>
  <si>
    <t>MAURICIO VICENTE ARAUJO</t>
  </si>
  <si>
    <t>74063790720</t>
  </si>
  <si>
    <t>SONIA MARIA SANTOS DA ROCHA</t>
  </si>
  <si>
    <t>74099647404</t>
  </si>
  <si>
    <t>JOYCE BERNADINA DE ASSUNCAO</t>
  </si>
  <si>
    <t>74577921634</t>
  </si>
  <si>
    <t>DIVA MENDES CAMILO</t>
  </si>
  <si>
    <t>74717979753</t>
  </si>
  <si>
    <t>EDUARDO CORREA LIMA</t>
  </si>
  <si>
    <t>69909822768</t>
  </si>
  <si>
    <t>19920109</t>
  </si>
  <si>
    <t>LEONARDO RESENDE CORREA LIMA</t>
  </si>
  <si>
    <t>19990304</t>
  </si>
  <si>
    <t>JULIANA RESENDE CORREA LIMA</t>
  </si>
  <si>
    <t>DANIELA RESENDE CORREA LIMA</t>
  </si>
  <si>
    <t>74847961749</t>
  </si>
  <si>
    <t>PEDRO MARCOS CARDOSO</t>
  </si>
  <si>
    <t>75054388753</t>
  </si>
  <si>
    <t>CLAUDIA ZANY DA COSTA</t>
  </si>
  <si>
    <t>76096831753</t>
  </si>
  <si>
    <t>ELIANE DE OLIVEIRA</t>
  </si>
  <si>
    <t>76283674704</t>
  </si>
  <si>
    <t>SANTILINO MACHADO DA SILVA NETO</t>
  </si>
  <si>
    <t>76417751368</t>
  </si>
  <si>
    <t>SILVIA HELENA SAMPAIO VASCONCELOS</t>
  </si>
  <si>
    <t>76823881291</t>
  </si>
  <si>
    <t>ROBERTA NASCIMENTO DE MELLO</t>
  </si>
  <si>
    <t>76913180225</t>
  </si>
  <si>
    <t>JULIANA DE LIMA GOMES</t>
  </si>
  <si>
    <t>77196945387</t>
  </si>
  <si>
    <t>WILSON FACUNDES SALES FILHO</t>
  </si>
  <si>
    <t>77366042749</t>
  </si>
  <si>
    <t>MARCIA TOSTES SANTA RITTA</t>
  </si>
  <si>
    <t>77390873787</t>
  </si>
  <si>
    <t>SANDRA LUCIA CARVALHO SICILIANO SILVA</t>
  </si>
  <si>
    <t>77418832753</t>
  </si>
  <si>
    <t>GILSON RODRIGUES DA SILVA</t>
  </si>
  <si>
    <t>77647211749</t>
  </si>
  <si>
    <t>EDUARDO INACIO DA SILVA</t>
  </si>
  <si>
    <t>77777522787</t>
  </si>
  <si>
    <t>JEFFERSON FERREIRA DA SILVA</t>
  </si>
  <si>
    <t>77860187515</t>
  </si>
  <si>
    <t>ANDREZA DE CARVALHO RODRIGUES ARAUJO</t>
  </si>
  <si>
    <t>78113016791</t>
  </si>
  <si>
    <t>MARCIA CRISTINA ARRUDA GOMES</t>
  </si>
  <si>
    <t>78490146772</t>
  </si>
  <si>
    <t>GILBERTO AMARAL DA SILVA</t>
  </si>
  <si>
    <t>78581400191</t>
  </si>
  <si>
    <t>LUCIANA RODRIGUES DE LIMA</t>
  </si>
  <si>
    <t>78617936720</t>
  </si>
  <si>
    <t>LUIZ GUILHERME CERQUEIRA ALVES</t>
  </si>
  <si>
    <t>78908167315</t>
  </si>
  <si>
    <t>MONICA MARIA ROCHA DE CASTRO</t>
  </si>
  <si>
    <t>79176054772</t>
  </si>
  <si>
    <t>MARIA HELENICE DA CRUZ SANTOS</t>
  </si>
  <si>
    <t>79711936534</t>
  </si>
  <si>
    <t>RODRIGO PINTO TRINDADE</t>
  </si>
  <si>
    <t>79822940491</t>
  </si>
  <si>
    <t>SIMONETE CLEIDE VASCONCELOS DE LIRA</t>
  </si>
  <si>
    <t>80126600759</t>
  </si>
  <si>
    <t>PEDRO PAULO DE SOUZA AZEVEDO</t>
  </si>
  <si>
    <t>80254250530</t>
  </si>
  <si>
    <t>MISMARA LIMA REIS</t>
  </si>
  <si>
    <t>80598838791</t>
  </si>
  <si>
    <t>EDUARDO ROGERIO FIGUEIREDO COSTA AZEVEDO</t>
  </si>
  <si>
    <t>80686702700</t>
  </si>
  <si>
    <t>LUZIO DELATORRE TAVARES</t>
  </si>
  <si>
    <t>80700136720</t>
  </si>
  <si>
    <t>LUCILENE TORRES PAES FERNANDES</t>
  </si>
  <si>
    <t>80754511715</t>
  </si>
  <si>
    <t>ANTONIO SOARES DA SILVA</t>
  </si>
  <si>
    <t>81045697591</t>
  </si>
  <si>
    <t>ROSANGELA FRAGA DE SANTANA</t>
  </si>
  <si>
    <t>81060521768</t>
  </si>
  <si>
    <t>MARIA CRISTINA DE MORAES PIRES</t>
  </si>
  <si>
    <t>81521995753</t>
  </si>
  <si>
    <t>ANTONIO AUGUSTO DO NASCIMENTO</t>
  </si>
  <si>
    <t>81949693791</t>
  </si>
  <si>
    <t>FLAVIO TEIXEIRA CIVES</t>
  </si>
  <si>
    <t>82446717268</t>
  </si>
  <si>
    <t>SUANE MARTINS LIMA</t>
  </si>
  <si>
    <t>82553432704</t>
  </si>
  <si>
    <t>ANA PAULA ITABAIANA DE OLIVEIRA</t>
  </si>
  <si>
    <t>82708681249</t>
  </si>
  <si>
    <t>NARISON DOS SANTOS PAIVA</t>
  </si>
  <si>
    <t>82890536734</t>
  </si>
  <si>
    <t>ELISABETE FERREIRA SIXE</t>
  </si>
  <si>
    <t>83411364734</t>
  </si>
  <si>
    <t>MARIA ALICE CORREA ROTHFUCHS</t>
  </si>
  <si>
    <t>83514546215</t>
  </si>
  <si>
    <t>JOCENICE OLIVEIRA DE SOUZA</t>
  </si>
  <si>
    <t>84143444453</t>
  </si>
  <si>
    <t>ANA PAULA RIBEIRO BORGES LOPES</t>
  </si>
  <si>
    <t>84154381768</t>
  </si>
  <si>
    <t>MARCIA MATHIAS BUENO RODRIGUES</t>
  </si>
  <si>
    <t>84260351320</t>
  </si>
  <si>
    <t>LUCELIA BATISTA PEREIRA CRUZ MINA</t>
  </si>
  <si>
    <t>84326158204</t>
  </si>
  <si>
    <t>SILVANA MACHADO DOS SANTOS</t>
  </si>
  <si>
    <t>84873442753</t>
  </si>
  <si>
    <t>CLAUDIA REGINA LEMOS RIBEIRO</t>
  </si>
  <si>
    <t>85001376734</t>
  </si>
  <si>
    <t>LEIA GALLETTI TENORIO CORREIA</t>
  </si>
  <si>
    <t>85012378253</t>
  </si>
  <si>
    <t>INGRIDE CARLA OLIVEIRA DOS SANTOS</t>
  </si>
  <si>
    <t>85172022600</t>
  </si>
  <si>
    <t>IOLANDA DE FATIMA PEREIRA SOARES</t>
  </si>
  <si>
    <t>85182699700</t>
  </si>
  <si>
    <t>CELESTE TONNERA BERQUO XAVIER</t>
  </si>
  <si>
    <t>85266493704</t>
  </si>
  <si>
    <t>EDSON SANTOS</t>
  </si>
  <si>
    <t>85276766720</t>
  </si>
  <si>
    <t>ARTUR BARBOSA TORRES</t>
  </si>
  <si>
    <t>85570222715</t>
  </si>
  <si>
    <t>NEIRE PEDROZA DE OLIVEIRA</t>
  </si>
  <si>
    <t>85570230734</t>
  </si>
  <si>
    <t>NEWTON LUIS PEDROZA DE OLIVEIRA</t>
  </si>
  <si>
    <t>85727822572</t>
  </si>
  <si>
    <t>SANDRA ELOINA MOTA BONGIOVANI DO CARMO</t>
  </si>
  <si>
    <t>85955710230</t>
  </si>
  <si>
    <t>CAMILA MIRANDA MERKEL</t>
  </si>
  <si>
    <t>86606069734</t>
  </si>
  <si>
    <t>LUCIENE GOMES LINHARES VICENTE</t>
  </si>
  <si>
    <t>86913727704</t>
  </si>
  <si>
    <t>MARIA NAZARE LOPES COSTA AZEVEDO</t>
  </si>
  <si>
    <t>86971530772</t>
  </si>
  <si>
    <t>SILVIO ROBERTO PEREIRA DA SILVA</t>
  </si>
  <si>
    <t>87202468700</t>
  </si>
  <si>
    <t>GONCALO DE ASSIS ALMEIDA NEVES FILHO</t>
  </si>
  <si>
    <t>87259915749</t>
  </si>
  <si>
    <t>PATRICIA MENDONCA DE NOVOA</t>
  </si>
  <si>
    <t>87388375791</t>
  </si>
  <si>
    <t>CELEIDA APARECIDA DOS SANTOS LANNES</t>
  </si>
  <si>
    <t>87642441991</t>
  </si>
  <si>
    <t>ALESSANDRA CARVALHO RAMOS STIVAL</t>
  </si>
  <si>
    <t>87795884768</t>
  </si>
  <si>
    <t>GERALDA MARIA BAIA ALVES</t>
  </si>
  <si>
    <t>88116840215</t>
  </si>
  <si>
    <t>GEDILMA CAMPOS PANTOJA</t>
  </si>
  <si>
    <t>88300498753</t>
  </si>
  <si>
    <t>ANDRE LUIZ SALES DE PAULA</t>
  </si>
  <si>
    <t>89173074772</t>
  </si>
  <si>
    <t>LUIZ CLAUDIO RODRIGUES COLAO</t>
  </si>
  <si>
    <t>89225325720</t>
  </si>
  <si>
    <t>CLAUDIA ALVES DE AMORIM DA SILVA</t>
  </si>
  <si>
    <t>89410602734</t>
  </si>
  <si>
    <t>JACYR SILVA DE ARAUJO JUNIOR</t>
  </si>
  <si>
    <t>91755131704</t>
  </si>
  <si>
    <t>SONIA CRISTINA GUYT</t>
  </si>
  <si>
    <t>91879671700</t>
  </si>
  <si>
    <t>ANA PAULA MARTINS</t>
  </si>
  <si>
    <t>92121560700</t>
  </si>
  <si>
    <t>MARISE GONCALVES DE VASCONCELOS</t>
  </si>
  <si>
    <t>92307493700</t>
  </si>
  <si>
    <t>ELOIZA COUTO DA COSTA</t>
  </si>
  <si>
    <t>92599192587</t>
  </si>
  <si>
    <t>CARLOS SOUSA DOS SANTOS JUNIOR</t>
  </si>
  <si>
    <t>93035640220</t>
  </si>
  <si>
    <t>LAYLA KATHERINE CABECA DO NASCIMENTO</t>
  </si>
  <si>
    <t>93344546287</t>
  </si>
  <si>
    <t>PABLO DA SILVA CHARIFE</t>
  </si>
  <si>
    <t>93540396772</t>
  </si>
  <si>
    <t>DANIEL BENTO MACEDO FILGUEIRAS</t>
  </si>
  <si>
    <t>93906340759</t>
  </si>
  <si>
    <t>ODETE PESSOA BRITO DANTAS</t>
  </si>
  <si>
    <t>94210004120</t>
  </si>
  <si>
    <t>TATIANE BARBOSA GARCIA</t>
  </si>
  <si>
    <t>94413681720</t>
  </si>
  <si>
    <t>JOSE RICARDO DA SILVA</t>
  </si>
  <si>
    <t>94556512700</t>
  </si>
  <si>
    <t>MARIA DE FATIMA PERROTTA CARVALHO</t>
  </si>
  <si>
    <t>95086242720</t>
  </si>
  <si>
    <t>WANDERLY DE FREITAS VERISSIMO</t>
  </si>
  <si>
    <t>95131752515</t>
  </si>
  <si>
    <t>EUCLECIANA DE OLIVEIRA LIMA</t>
  </si>
  <si>
    <t>95397140520</t>
  </si>
  <si>
    <t>ROSYMARE SANTANA FONTES</t>
  </si>
  <si>
    <t>95673873700</t>
  </si>
  <si>
    <t>JUPIRA RAQUEL DE QUEIROZ</t>
  </si>
  <si>
    <t>95819886704</t>
  </si>
  <si>
    <t>ANTONIO HENRIQUE VIEIRA DO LAGO</t>
  </si>
  <si>
    <t>96132957715</t>
  </si>
  <si>
    <t>MARIA NAZARETH PORTUGAL MEDEIROS</t>
  </si>
  <si>
    <t>96841036700</t>
  </si>
  <si>
    <t>ANNY BEATRIZ CASTANHEIRA TEIXEIRA GUEDES DA SILVA</t>
  </si>
  <si>
    <t>98565230287</t>
  </si>
  <si>
    <t>ESTER RODRIGUES PALMA</t>
  </si>
  <si>
    <t>98572644253</t>
  </si>
  <si>
    <t>BRUNA MAYARA COUTINHO OLIVEIRA</t>
  </si>
  <si>
    <t>98745646104</t>
  </si>
  <si>
    <t>VALDECY LIMA DO NASCIMENTO</t>
  </si>
  <si>
    <t>99378795749</t>
  </si>
  <si>
    <t>GEANI ROCHA BENITES</t>
  </si>
  <si>
    <t>99912988353</t>
  </si>
  <si>
    <t>JHONATAN OLIVEIRA DE SOUSA</t>
  </si>
  <si>
    <t>0588</t>
  </si>
  <si>
    <t>CASSIMIRO PINHEIRO BORGES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</si>
</sst>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24994659260841701"/>
      </left>
      <right/>
      <top/>
      <bottom style="thin">
        <color theme="2" tint="-0.24997711111789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 wrapText="1"/>
    </xf>
    <xf numFmtId="49" fontId="1" fillId="2" borderId="4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6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7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2.v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9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"/>
  <sheetViews>
    <sheetView workbookViewId="0">
      <selection activeCell="E21" sqref="E21"/>
    </sheetView>
  </sheetViews>
  <sheetFormatPr defaultRowHeight="15" x14ac:dyDescent="0.25"/>
  <sheetData>
    <row r="2" spans="2:2" x14ac:dyDescent="0.25">
      <c r="B2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1" workbookViewId="0">
      <selection sqref="A1:G1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"/>
  <sheetViews>
    <sheetView workbookViewId="0">
      <selection sqref="A1:G1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36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0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2"/>
  <sheetViews>
    <sheetView workbookViewId="0">
      <selection sqref="A1:D1"/>
    </sheetView>
  </sheetViews>
  <sheetFormatPr defaultRowHeight="15" x14ac:dyDescent="0.25"/>
  <cols>
    <col min="1" max="1" width="42.5" style="9" bestFit="1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2"/>
  <sheetViews>
    <sheetView topLeftCell="B1" workbookViewId="0">
      <selection sqref="A1:D1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C1282"/>
  <sheetViews>
    <sheetView workbookViewId="0">
      <selection activeCell="B2" sqref="B2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3" ht="47.85" customHeight="1" x14ac:dyDescent="0.25">
      <c r="A1" s="25" t="s">
        <v>55</v>
      </c>
      <c r="B1" s="25"/>
    </row>
    <row r="2" spans="1:3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  <row r="3" spans="1:3" x14ac:dyDescent="0.25">
      <c r="A3" s="10" t="s">
        <v>95</v>
      </c>
      <c r="B3" s="15">
        <v>0</v>
      </c>
      <c r="C3" t="s">
        <v>75</v>
      </c>
    </row>
    <row r="4" spans="1:3" x14ac:dyDescent="0.25">
      <c r="A4" s="10" t="s">
        <v>95</v>
      </c>
      <c r="B4" s="15">
        <v>0</v>
      </c>
      <c r="C4" t="s">
        <v>75</v>
      </c>
    </row>
    <row r="5" spans="1:3" x14ac:dyDescent="0.25">
      <c r="A5" s="10" t="s">
        <v>97</v>
      </c>
      <c r="B5" s="15">
        <v>0</v>
      </c>
      <c r="C5" t="s">
        <v>75</v>
      </c>
    </row>
    <row r="6" spans="1:3" x14ac:dyDescent="0.25">
      <c r="A6" s="10" t="s">
        <v>97</v>
      </c>
      <c r="B6" s="15">
        <v>0</v>
      </c>
      <c r="C6" t="s">
        <v>75</v>
      </c>
    </row>
    <row r="7" spans="1:3" x14ac:dyDescent="0.25">
      <c r="A7" s="10" t="s">
        <v>99</v>
      </c>
      <c r="B7" s="15">
        <v>0</v>
      </c>
      <c r="C7" t="s">
        <v>75</v>
      </c>
    </row>
    <row r="8" spans="1:3" x14ac:dyDescent="0.25">
      <c r="A8" s="10" t="s">
        <v>99</v>
      </c>
      <c r="B8" s="15">
        <v>0</v>
      </c>
      <c r="C8" t="s">
        <v>75</v>
      </c>
    </row>
    <row r="9" spans="1:3" x14ac:dyDescent="0.25">
      <c r="A9" s="10" t="s">
        <v>102</v>
      </c>
      <c r="B9" s="15">
        <v>0</v>
      </c>
      <c r="C9" t="s">
        <v>75</v>
      </c>
    </row>
    <row r="10" spans="1:3" x14ac:dyDescent="0.25">
      <c r="A10" s="10" t="s">
        <v>102</v>
      </c>
      <c r="B10" s="15">
        <v>0</v>
      </c>
      <c r="C10" t="s">
        <v>75</v>
      </c>
    </row>
    <row r="11" spans="1:3" x14ac:dyDescent="0.25">
      <c r="A11" s="10" t="s">
        <v>104</v>
      </c>
      <c r="B11" s="15">
        <v>0</v>
      </c>
      <c r="C11" t="s">
        <v>75</v>
      </c>
    </row>
    <row r="12" spans="1:3" x14ac:dyDescent="0.25">
      <c r="A12" s="10" t="s">
        <v>104</v>
      </c>
      <c r="B12" s="15">
        <v>0</v>
      </c>
      <c r="C12" t="s">
        <v>75</v>
      </c>
    </row>
    <row r="13" spans="1:3" x14ac:dyDescent="0.25">
      <c r="A13" s="10" t="s">
        <v>106</v>
      </c>
      <c r="B13" s="15">
        <v>0</v>
      </c>
      <c r="C13" t="s">
        <v>75</v>
      </c>
    </row>
    <row r="14" spans="1:3" x14ac:dyDescent="0.25">
      <c r="A14" s="10" t="s">
        <v>106</v>
      </c>
      <c r="B14" s="15">
        <v>0</v>
      </c>
      <c r="C14" t="s">
        <v>75</v>
      </c>
    </row>
    <row r="15" spans="1:3" x14ac:dyDescent="0.25">
      <c r="A15" s="10" t="s">
        <v>108</v>
      </c>
      <c r="B15" s="15">
        <v>0</v>
      </c>
      <c r="C15" t="s">
        <v>75</v>
      </c>
    </row>
    <row r="16" spans="1:3" x14ac:dyDescent="0.25">
      <c r="A16" s="10" t="s">
        <v>108</v>
      </c>
      <c r="B16" s="15">
        <v>0</v>
      </c>
      <c r="C16" t="s">
        <v>75</v>
      </c>
    </row>
    <row r="17" spans="1:3" x14ac:dyDescent="0.25">
      <c r="A17" s="10" t="s">
        <v>110</v>
      </c>
      <c r="B17" s="15">
        <v>0</v>
      </c>
      <c r="C17" t="s">
        <v>75</v>
      </c>
    </row>
    <row r="18" spans="1:3" x14ac:dyDescent="0.25">
      <c r="A18" s="10" t="s">
        <v>110</v>
      </c>
      <c r="B18" s="15">
        <v>0</v>
      </c>
      <c r="C18" t="s">
        <v>75</v>
      </c>
    </row>
    <row r="19" spans="1:3" x14ac:dyDescent="0.25">
      <c r="A19" s="10" t="s">
        <v>112</v>
      </c>
      <c r="B19" s="15">
        <v>0</v>
      </c>
      <c r="C19" t="s">
        <v>75</v>
      </c>
    </row>
    <row r="20" spans="1:3" x14ac:dyDescent="0.25">
      <c r="A20" s="10" t="s">
        <v>112</v>
      </c>
      <c r="B20" s="15">
        <v>0</v>
      </c>
      <c r="C20" t="s">
        <v>75</v>
      </c>
    </row>
    <row r="21" spans="1:3" x14ac:dyDescent="0.25">
      <c r="A21" s="10" t="s">
        <v>114</v>
      </c>
      <c r="B21" s="15">
        <v>0</v>
      </c>
      <c r="C21" t="s">
        <v>75</v>
      </c>
    </row>
    <row r="22" spans="1:3" x14ac:dyDescent="0.25">
      <c r="A22" s="10" t="s">
        <v>114</v>
      </c>
      <c r="B22" s="15">
        <v>0</v>
      </c>
      <c r="C22" t="s">
        <v>75</v>
      </c>
    </row>
    <row r="23" spans="1:3" x14ac:dyDescent="0.25">
      <c r="A23" s="10" t="s">
        <v>119</v>
      </c>
      <c r="B23" s="15">
        <v>0</v>
      </c>
      <c r="C23" t="s">
        <v>75</v>
      </c>
    </row>
    <row r="24" spans="1:3" x14ac:dyDescent="0.25">
      <c r="A24" s="10" t="s">
        <v>119</v>
      </c>
      <c r="B24" s="15">
        <v>0</v>
      </c>
      <c r="C24" t="s">
        <v>75</v>
      </c>
    </row>
    <row r="25" spans="1:3" x14ac:dyDescent="0.25">
      <c r="A25" s="10" t="s">
        <v>121</v>
      </c>
      <c r="B25" s="15">
        <v>0</v>
      </c>
      <c r="C25" t="s">
        <v>75</v>
      </c>
    </row>
    <row r="26" spans="1:3" x14ac:dyDescent="0.25">
      <c r="A26" s="10" t="s">
        <v>121</v>
      </c>
      <c r="B26" s="15">
        <v>0</v>
      </c>
      <c r="C26" t="s">
        <v>75</v>
      </c>
    </row>
    <row r="27" spans="1:3" x14ac:dyDescent="0.25">
      <c r="A27" s="10" t="s">
        <v>123</v>
      </c>
      <c r="B27" s="15">
        <v>0</v>
      </c>
      <c r="C27" t="s">
        <v>75</v>
      </c>
    </row>
    <row r="28" spans="1:3" x14ac:dyDescent="0.25">
      <c r="A28" s="10" t="s">
        <v>123</v>
      </c>
      <c r="B28" s="15">
        <v>0</v>
      </c>
      <c r="C28" t="s">
        <v>75</v>
      </c>
    </row>
    <row r="29" spans="1:3" x14ac:dyDescent="0.25">
      <c r="A29" s="10" t="s">
        <v>125</v>
      </c>
      <c r="B29" s="15">
        <v>0</v>
      </c>
      <c r="C29" t="s">
        <v>75</v>
      </c>
    </row>
    <row r="30" spans="1:3" x14ac:dyDescent="0.25">
      <c r="A30" s="10" t="s">
        <v>125</v>
      </c>
      <c r="B30" s="15">
        <v>0</v>
      </c>
      <c r="C30" t="s">
        <v>75</v>
      </c>
    </row>
    <row r="31" spans="1:3" x14ac:dyDescent="0.25">
      <c r="A31" s="10" t="s">
        <v>127</v>
      </c>
      <c r="B31" s="15">
        <v>0</v>
      </c>
      <c r="C31" t="s">
        <v>75</v>
      </c>
    </row>
    <row r="32" spans="1:3" x14ac:dyDescent="0.25">
      <c r="A32" s="10" t="s">
        <v>127</v>
      </c>
      <c r="B32" s="15">
        <v>0</v>
      </c>
      <c r="C32" t="s">
        <v>75</v>
      </c>
    </row>
    <row r="33" spans="1:3" x14ac:dyDescent="0.25">
      <c r="A33" s="10" t="s">
        <v>129</v>
      </c>
      <c r="B33" s="15">
        <v>0</v>
      </c>
      <c r="C33" t="s">
        <v>75</v>
      </c>
    </row>
    <row r="34" spans="1:3" x14ac:dyDescent="0.25">
      <c r="A34" s="10" t="s">
        <v>129</v>
      </c>
      <c r="B34" s="15">
        <v>0</v>
      </c>
      <c r="C34" t="s">
        <v>75</v>
      </c>
    </row>
    <row r="35" spans="1:3" x14ac:dyDescent="0.25">
      <c r="A35" s="10" t="s">
        <v>131</v>
      </c>
      <c r="B35" s="15">
        <v>0</v>
      </c>
      <c r="C35" t="s">
        <v>75</v>
      </c>
    </row>
    <row r="36" spans="1:3" x14ac:dyDescent="0.25">
      <c r="A36" s="10" t="s">
        <v>131</v>
      </c>
      <c r="B36" s="15">
        <v>0</v>
      </c>
      <c r="C36" t="s">
        <v>75</v>
      </c>
    </row>
    <row r="37" spans="1:3" x14ac:dyDescent="0.25">
      <c r="A37" s="10" t="s">
        <v>133</v>
      </c>
      <c r="B37" s="15">
        <v>0</v>
      </c>
      <c r="C37" t="s">
        <v>75</v>
      </c>
    </row>
    <row r="38" spans="1:3" x14ac:dyDescent="0.25">
      <c r="A38" s="10" t="s">
        <v>133</v>
      </c>
      <c r="B38" s="15">
        <v>0</v>
      </c>
      <c r="C38" t="s">
        <v>75</v>
      </c>
    </row>
    <row r="39" spans="1:3" x14ac:dyDescent="0.25">
      <c r="A39" s="10" t="s">
        <v>135</v>
      </c>
      <c r="B39" s="15">
        <v>0</v>
      </c>
      <c r="C39" t="s">
        <v>75</v>
      </c>
    </row>
    <row r="40" spans="1:3" x14ac:dyDescent="0.25">
      <c r="A40" s="10" t="s">
        <v>135</v>
      </c>
      <c r="B40" s="15">
        <v>0</v>
      </c>
      <c r="C40" t="s">
        <v>75</v>
      </c>
    </row>
    <row r="41" spans="1:3" x14ac:dyDescent="0.25">
      <c r="A41" s="10" t="s">
        <v>137</v>
      </c>
      <c r="B41" s="15">
        <v>0</v>
      </c>
      <c r="C41" t="s">
        <v>75</v>
      </c>
    </row>
    <row r="42" spans="1:3" x14ac:dyDescent="0.25">
      <c r="A42" s="10" t="s">
        <v>137</v>
      </c>
      <c r="B42" s="15">
        <v>0</v>
      </c>
      <c r="C42" t="s">
        <v>75</v>
      </c>
    </row>
    <row r="43" spans="1:3" x14ac:dyDescent="0.25">
      <c r="A43" s="10" t="s">
        <v>139</v>
      </c>
      <c r="B43" s="15">
        <v>0</v>
      </c>
      <c r="C43" t="s">
        <v>75</v>
      </c>
    </row>
    <row r="44" spans="1:3" x14ac:dyDescent="0.25">
      <c r="A44" s="10" t="s">
        <v>139</v>
      </c>
      <c r="B44" s="15">
        <v>0</v>
      </c>
      <c r="C44" t="s">
        <v>75</v>
      </c>
    </row>
    <row r="45" spans="1:3" x14ac:dyDescent="0.25">
      <c r="A45" s="10" t="s">
        <v>141</v>
      </c>
      <c r="B45" s="15">
        <v>0</v>
      </c>
      <c r="C45" t="s">
        <v>75</v>
      </c>
    </row>
    <row r="46" spans="1:3" x14ac:dyDescent="0.25">
      <c r="A46" s="10" t="s">
        <v>141</v>
      </c>
      <c r="B46" s="15">
        <v>0</v>
      </c>
      <c r="C46" t="s">
        <v>75</v>
      </c>
    </row>
    <row r="47" spans="1:3" x14ac:dyDescent="0.25">
      <c r="A47" s="10" t="s">
        <v>143</v>
      </c>
      <c r="B47" s="15">
        <v>0</v>
      </c>
      <c r="C47" t="s">
        <v>75</v>
      </c>
    </row>
    <row r="48" spans="1:3" x14ac:dyDescent="0.25">
      <c r="A48" s="10" t="s">
        <v>143</v>
      </c>
      <c r="B48" s="15">
        <v>0</v>
      </c>
      <c r="C48" t="s">
        <v>75</v>
      </c>
    </row>
    <row r="49" spans="1:3" x14ac:dyDescent="0.25">
      <c r="A49" s="10" t="s">
        <v>145</v>
      </c>
      <c r="B49" s="15">
        <v>0</v>
      </c>
      <c r="C49" t="s">
        <v>75</v>
      </c>
    </row>
    <row r="50" spans="1:3" x14ac:dyDescent="0.25">
      <c r="A50" s="10" t="s">
        <v>145</v>
      </c>
      <c r="B50" s="15">
        <v>0</v>
      </c>
      <c r="C50" t="s">
        <v>75</v>
      </c>
    </row>
    <row r="51" spans="1:3" x14ac:dyDescent="0.25">
      <c r="A51" s="10" t="s">
        <v>147</v>
      </c>
      <c r="B51" s="15">
        <v>0</v>
      </c>
      <c r="C51" t="s">
        <v>75</v>
      </c>
    </row>
    <row r="52" spans="1:3" x14ac:dyDescent="0.25">
      <c r="A52" s="10" t="s">
        <v>147</v>
      </c>
      <c r="B52" s="15">
        <v>0</v>
      </c>
      <c r="C52" t="s">
        <v>75</v>
      </c>
    </row>
    <row r="53" spans="1:3" x14ac:dyDescent="0.25">
      <c r="A53" s="10" t="s">
        <v>149</v>
      </c>
      <c r="B53" s="15">
        <v>0</v>
      </c>
      <c r="C53" t="s">
        <v>75</v>
      </c>
    </row>
    <row r="54" spans="1:3" x14ac:dyDescent="0.25">
      <c r="A54" s="10" t="s">
        <v>149</v>
      </c>
      <c r="B54" s="15">
        <v>0</v>
      </c>
      <c r="C54" t="s">
        <v>75</v>
      </c>
    </row>
    <row r="55" spans="1:3" x14ac:dyDescent="0.25">
      <c r="A55" s="10" t="s">
        <v>151</v>
      </c>
      <c r="B55" s="15">
        <v>0</v>
      </c>
      <c r="C55" t="s">
        <v>75</v>
      </c>
    </row>
    <row r="56" spans="1:3" x14ac:dyDescent="0.25">
      <c r="A56" s="10" t="s">
        <v>151</v>
      </c>
      <c r="B56" s="15">
        <v>0</v>
      </c>
      <c r="C56" t="s">
        <v>75</v>
      </c>
    </row>
    <row r="57" spans="1:3" x14ac:dyDescent="0.25">
      <c r="A57" s="10" t="s">
        <v>153</v>
      </c>
      <c r="B57" s="15">
        <v>0</v>
      </c>
      <c r="C57" t="s">
        <v>75</v>
      </c>
    </row>
    <row r="58" spans="1:3" x14ac:dyDescent="0.25">
      <c r="A58" s="10" t="s">
        <v>153</v>
      </c>
      <c r="B58" s="15">
        <v>0</v>
      </c>
      <c r="C58" t="s">
        <v>75</v>
      </c>
    </row>
    <row r="59" spans="1:3" x14ac:dyDescent="0.25">
      <c r="A59" s="10" t="s">
        <v>155</v>
      </c>
      <c r="B59" s="15">
        <v>0</v>
      </c>
      <c r="C59" t="s">
        <v>75</v>
      </c>
    </row>
    <row r="60" spans="1:3" x14ac:dyDescent="0.25">
      <c r="A60" s="10" t="s">
        <v>155</v>
      </c>
      <c r="B60" s="15">
        <v>0</v>
      </c>
      <c r="C60" t="s">
        <v>75</v>
      </c>
    </row>
    <row r="61" spans="1:3" x14ac:dyDescent="0.25">
      <c r="A61" s="10" t="s">
        <v>157</v>
      </c>
      <c r="B61" s="15">
        <v>0</v>
      </c>
      <c r="C61" t="s">
        <v>75</v>
      </c>
    </row>
    <row r="62" spans="1:3" x14ac:dyDescent="0.25">
      <c r="A62" s="10" t="s">
        <v>157</v>
      </c>
      <c r="B62" s="15">
        <v>0</v>
      </c>
      <c r="C62" t="s">
        <v>75</v>
      </c>
    </row>
    <row r="63" spans="1:3" x14ac:dyDescent="0.25">
      <c r="A63" s="10" t="s">
        <v>159</v>
      </c>
      <c r="B63" s="15">
        <v>0</v>
      </c>
      <c r="C63" t="s">
        <v>75</v>
      </c>
    </row>
    <row r="64" spans="1:3" x14ac:dyDescent="0.25">
      <c r="A64" s="10" t="s">
        <v>159</v>
      </c>
      <c r="B64" s="15">
        <v>0</v>
      </c>
      <c r="C64" t="s">
        <v>75</v>
      </c>
    </row>
    <row r="65" spans="1:3" x14ac:dyDescent="0.25">
      <c r="A65" s="10" t="s">
        <v>161</v>
      </c>
      <c r="B65" s="15">
        <v>0</v>
      </c>
      <c r="C65" t="s">
        <v>75</v>
      </c>
    </row>
    <row r="66" spans="1:3" x14ac:dyDescent="0.25">
      <c r="A66" s="10" t="s">
        <v>161</v>
      </c>
      <c r="B66" s="15">
        <v>0</v>
      </c>
      <c r="C66" t="s">
        <v>75</v>
      </c>
    </row>
    <row r="67" spans="1:3" x14ac:dyDescent="0.25">
      <c r="A67" s="10" t="s">
        <v>163</v>
      </c>
      <c r="B67" s="15">
        <v>0</v>
      </c>
      <c r="C67" t="s">
        <v>75</v>
      </c>
    </row>
    <row r="68" spans="1:3" x14ac:dyDescent="0.25">
      <c r="A68" s="10" t="s">
        <v>163</v>
      </c>
      <c r="B68" s="15">
        <v>0</v>
      </c>
      <c r="C68" t="s">
        <v>75</v>
      </c>
    </row>
    <row r="69" spans="1:3" x14ac:dyDescent="0.25">
      <c r="A69" s="10" t="s">
        <v>165</v>
      </c>
      <c r="B69" s="15">
        <v>0</v>
      </c>
      <c r="C69" t="s">
        <v>75</v>
      </c>
    </row>
    <row r="70" spans="1:3" x14ac:dyDescent="0.25">
      <c r="A70" s="10" t="s">
        <v>165</v>
      </c>
      <c r="B70" s="15">
        <v>0</v>
      </c>
      <c r="C70" t="s">
        <v>75</v>
      </c>
    </row>
    <row r="71" spans="1:3" x14ac:dyDescent="0.25">
      <c r="A71" s="10" t="s">
        <v>167</v>
      </c>
      <c r="B71" s="15">
        <v>0</v>
      </c>
      <c r="C71" t="s">
        <v>75</v>
      </c>
    </row>
    <row r="72" spans="1:3" x14ac:dyDescent="0.25">
      <c r="A72" s="10" t="s">
        <v>167</v>
      </c>
      <c r="B72" s="15">
        <v>0</v>
      </c>
      <c r="C72" t="s">
        <v>75</v>
      </c>
    </row>
    <row r="73" spans="1:3" x14ac:dyDescent="0.25">
      <c r="A73" s="10" t="s">
        <v>169</v>
      </c>
      <c r="B73" s="15">
        <v>0</v>
      </c>
      <c r="C73" t="s">
        <v>75</v>
      </c>
    </row>
    <row r="74" spans="1:3" x14ac:dyDescent="0.25">
      <c r="A74" s="10" t="s">
        <v>169</v>
      </c>
      <c r="B74" s="15">
        <v>0</v>
      </c>
      <c r="C74" t="s">
        <v>75</v>
      </c>
    </row>
    <row r="75" spans="1:3" x14ac:dyDescent="0.25">
      <c r="A75" s="10" t="s">
        <v>171</v>
      </c>
      <c r="B75" s="15">
        <v>0</v>
      </c>
      <c r="C75" t="s">
        <v>75</v>
      </c>
    </row>
    <row r="76" spans="1:3" x14ac:dyDescent="0.25">
      <c r="A76" s="10" t="s">
        <v>171</v>
      </c>
      <c r="B76" s="15">
        <v>0</v>
      </c>
      <c r="C76" t="s">
        <v>75</v>
      </c>
    </row>
    <row r="77" spans="1:3" x14ac:dyDescent="0.25">
      <c r="A77" s="10" t="s">
        <v>173</v>
      </c>
      <c r="B77" s="15">
        <v>0</v>
      </c>
      <c r="C77" t="s">
        <v>75</v>
      </c>
    </row>
    <row r="78" spans="1:3" x14ac:dyDescent="0.25">
      <c r="A78" s="10" t="s">
        <v>173</v>
      </c>
      <c r="B78" s="15">
        <v>0</v>
      </c>
      <c r="C78" t="s">
        <v>75</v>
      </c>
    </row>
    <row r="79" spans="1:3" x14ac:dyDescent="0.25">
      <c r="A79" s="10" t="s">
        <v>175</v>
      </c>
      <c r="B79" s="15">
        <v>0</v>
      </c>
      <c r="C79" t="s">
        <v>75</v>
      </c>
    </row>
    <row r="80" spans="1:3" x14ac:dyDescent="0.25">
      <c r="A80" s="10" t="s">
        <v>175</v>
      </c>
      <c r="B80" s="15">
        <v>0</v>
      </c>
      <c r="C80" t="s">
        <v>75</v>
      </c>
    </row>
    <row r="81" spans="1:3" x14ac:dyDescent="0.25">
      <c r="A81" s="10" t="s">
        <v>177</v>
      </c>
      <c r="B81" s="15">
        <v>0</v>
      </c>
      <c r="C81" t="s">
        <v>75</v>
      </c>
    </row>
    <row r="82" spans="1:3" x14ac:dyDescent="0.25">
      <c r="A82" s="10" t="s">
        <v>177</v>
      </c>
      <c r="B82" s="15">
        <v>0</v>
      </c>
      <c r="C82" t="s">
        <v>75</v>
      </c>
    </row>
    <row r="83" spans="1:3" x14ac:dyDescent="0.25">
      <c r="A83" s="10" t="s">
        <v>179</v>
      </c>
      <c r="B83" s="15">
        <v>0</v>
      </c>
      <c r="C83" t="s">
        <v>75</v>
      </c>
    </row>
    <row r="84" spans="1:3" x14ac:dyDescent="0.25">
      <c r="A84" s="10" t="s">
        <v>179</v>
      </c>
      <c r="B84" s="15">
        <v>0</v>
      </c>
      <c r="C84" t="s">
        <v>75</v>
      </c>
    </row>
    <row r="85" spans="1:3" x14ac:dyDescent="0.25">
      <c r="A85" s="10" t="s">
        <v>181</v>
      </c>
      <c r="B85" s="15">
        <v>0</v>
      </c>
      <c r="C85" t="s">
        <v>75</v>
      </c>
    </row>
    <row r="86" spans="1:3" x14ac:dyDescent="0.25">
      <c r="A86" s="10" t="s">
        <v>181</v>
      </c>
      <c r="B86" s="15">
        <v>0</v>
      </c>
      <c r="C86" t="s">
        <v>75</v>
      </c>
    </row>
    <row r="87" spans="1:3" x14ac:dyDescent="0.25">
      <c r="A87" s="10" t="s">
        <v>183</v>
      </c>
      <c r="B87" s="15">
        <v>0</v>
      </c>
      <c r="C87" t="s">
        <v>75</v>
      </c>
    </row>
    <row r="88" spans="1:3" x14ac:dyDescent="0.25">
      <c r="A88" s="10" t="s">
        <v>183</v>
      </c>
      <c r="B88" s="15">
        <v>0</v>
      </c>
      <c r="C88" t="s">
        <v>75</v>
      </c>
    </row>
    <row r="89" spans="1:3" x14ac:dyDescent="0.25">
      <c r="A89" s="10" t="s">
        <v>185</v>
      </c>
      <c r="B89" s="15">
        <v>0</v>
      </c>
      <c r="C89" t="s">
        <v>75</v>
      </c>
    </row>
    <row r="90" spans="1:3" x14ac:dyDescent="0.25">
      <c r="A90" s="10" t="s">
        <v>185</v>
      </c>
      <c r="B90" s="15">
        <v>0</v>
      </c>
      <c r="C90" t="s">
        <v>75</v>
      </c>
    </row>
    <row r="91" spans="1:3" x14ac:dyDescent="0.25">
      <c r="A91" s="10" t="s">
        <v>187</v>
      </c>
      <c r="B91" s="15">
        <v>0</v>
      </c>
      <c r="C91" t="s">
        <v>75</v>
      </c>
    </row>
    <row r="92" spans="1:3" x14ac:dyDescent="0.25">
      <c r="A92" s="10" t="s">
        <v>187</v>
      </c>
      <c r="B92" s="15">
        <v>0</v>
      </c>
      <c r="C92" t="s">
        <v>75</v>
      </c>
    </row>
    <row r="93" spans="1:3" x14ac:dyDescent="0.25">
      <c r="A93" s="10" t="s">
        <v>189</v>
      </c>
      <c r="B93" s="15">
        <v>0</v>
      </c>
      <c r="C93" t="s">
        <v>75</v>
      </c>
    </row>
    <row r="94" spans="1:3" x14ac:dyDescent="0.25">
      <c r="A94" s="10" t="s">
        <v>189</v>
      </c>
      <c r="B94" s="15">
        <v>0</v>
      </c>
      <c r="C94" t="s">
        <v>75</v>
      </c>
    </row>
    <row r="95" spans="1:3" x14ac:dyDescent="0.25">
      <c r="A95" s="10" t="s">
        <v>191</v>
      </c>
      <c r="B95" s="15">
        <v>0</v>
      </c>
      <c r="C95" t="s">
        <v>75</v>
      </c>
    </row>
    <row r="96" spans="1:3" x14ac:dyDescent="0.25">
      <c r="A96" s="10" t="s">
        <v>191</v>
      </c>
      <c r="B96" s="15">
        <v>0</v>
      </c>
      <c r="C96" t="s">
        <v>75</v>
      </c>
    </row>
    <row r="97" spans="1:3" x14ac:dyDescent="0.25">
      <c r="A97" s="10" t="s">
        <v>193</v>
      </c>
      <c r="B97" s="15">
        <v>0</v>
      </c>
      <c r="C97" t="s">
        <v>75</v>
      </c>
    </row>
    <row r="98" spans="1:3" x14ac:dyDescent="0.25">
      <c r="A98" s="10" t="s">
        <v>193</v>
      </c>
      <c r="B98" s="15">
        <v>0</v>
      </c>
      <c r="C98" t="s">
        <v>75</v>
      </c>
    </row>
    <row r="99" spans="1:3" x14ac:dyDescent="0.25">
      <c r="A99" s="10" t="s">
        <v>195</v>
      </c>
      <c r="B99" s="15">
        <v>0</v>
      </c>
      <c r="C99" t="s">
        <v>75</v>
      </c>
    </row>
    <row r="100" spans="1:3" x14ac:dyDescent="0.25">
      <c r="A100" s="10" t="s">
        <v>195</v>
      </c>
      <c r="B100" s="15">
        <v>0</v>
      </c>
      <c r="C100" t="s">
        <v>75</v>
      </c>
    </row>
    <row r="101" spans="1:3" x14ac:dyDescent="0.25">
      <c r="A101" s="10" t="s">
        <v>197</v>
      </c>
      <c r="B101" s="15">
        <v>0</v>
      </c>
      <c r="C101" t="s">
        <v>75</v>
      </c>
    </row>
    <row r="102" spans="1:3" x14ac:dyDescent="0.25">
      <c r="A102" s="10" t="s">
        <v>197</v>
      </c>
      <c r="B102" s="15">
        <v>0</v>
      </c>
      <c r="C102" t="s">
        <v>75</v>
      </c>
    </row>
    <row r="103" spans="1:3" x14ac:dyDescent="0.25">
      <c r="A103" s="10" t="s">
        <v>199</v>
      </c>
      <c r="B103" s="15">
        <v>0</v>
      </c>
      <c r="C103" t="s">
        <v>75</v>
      </c>
    </row>
    <row r="104" spans="1:3" x14ac:dyDescent="0.25">
      <c r="A104" s="10" t="s">
        <v>199</v>
      </c>
      <c r="B104" s="15">
        <v>0</v>
      </c>
      <c r="C104" t="s">
        <v>75</v>
      </c>
    </row>
    <row r="105" spans="1:3" x14ac:dyDescent="0.25">
      <c r="A105" s="10" t="s">
        <v>201</v>
      </c>
      <c r="B105" s="15">
        <v>0</v>
      </c>
      <c r="C105" t="s">
        <v>75</v>
      </c>
    </row>
    <row r="106" spans="1:3" x14ac:dyDescent="0.25">
      <c r="A106" s="10" t="s">
        <v>201</v>
      </c>
      <c r="B106" s="15">
        <v>0</v>
      </c>
      <c r="C106" t="s">
        <v>75</v>
      </c>
    </row>
    <row r="107" spans="1:3" x14ac:dyDescent="0.25">
      <c r="A107" s="10" t="s">
        <v>203</v>
      </c>
      <c r="B107" s="15">
        <v>0</v>
      </c>
      <c r="C107" t="s">
        <v>75</v>
      </c>
    </row>
    <row r="108" spans="1:3" x14ac:dyDescent="0.25">
      <c r="A108" s="10" t="s">
        <v>203</v>
      </c>
      <c r="B108" s="15">
        <v>0</v>
      </c>
      <c r="C108" t="s">
        <v>75</v>
      </c>
    </row>
    <row r="109" spans="1:3" x14ac:dyDescent="0.25">
      <c r="A109" s="10" t="s">
        <v>205</v>
      </c>
      <c r="B109" s="15">
        <v>0</v>
      </c>
      <c r="C109" t="s">
        <v>75</v>
      </c>
    </row>
    <row r="110" spans="1:3" x14ac:dyDescent="0.25">
      <c r="A110" s="10" t="s">
        <v>205</v>
      </c>
      <c r="B110" s="15">
        <v>0</v>
      </c>
      <c r="C110" t="s">
        <v>75</v>
      </c>
    </row>
    <row r="111" spans="1:3" x14ac:dyDescent="0.25">
      <c r="A111" s="10" t="s">
        <v>207</v>
      </c>
      <c r="B111" s="15">
        <v>0</v>
      </c>
      <c r="C111" t="s">
        <v>75</v>
      </c>
    </row>
    <row r="112" spans="1:3" x14ac:dyDescent="0.25">
      <c r="A112" s="10" t="s">
        <v>207</v>
      </c>
      <c r="B112" s="15">
        <v>0</v>
      </c>
      <c r="C112" t="s">
        <v>75</v>
      </c>
    </row>
    <row r="113" spans="1:3" x14ac:dyDescent="0.25">
      <c r="A113" s="10" t="s">
        <v>209</v>
      </c>
      <c r="B113" s="15">
        <v>0</v>
      </c>
      <c r="C113" t="s">
        <v>75</v>
      </c>
    </row>
    <row r="114" spans="1:3" x14ac:dyDescent="0.25">
      <c r="A114" s="10" t="s">
        <v>209</v>
      </c>
      <c r="B114" s="15">
        <v>0</v>
      </c>
      <c r="C114" t="s">
        <v>75</v>
      </c>
    </row>
    <row r="115" spans="1:3" x14ac:dyDescent="0.25">
      <c r="A115" s="10" t="s">
        <v>211</v>
      </c>
      <c r="B115" s="15">
        <v>0</v>
      </c>
      <c r="C115" t="s">
        <v>75</v>
      </c>
    </row>
    <row r="116" spans="1:3" x14ac:dyDescent="0.25">
      <c r="A116" s="10" t="s">
        <v>211</v>
      </c>
      <c r="B116" s="15">
        <v>0</v>
      </c>
      <c r="C116" t="s">
        <v>75</v>
      </c>
    </row>
    <row r="117" spans="1:3" x14ac:dyDescent="0.25">
      <c r="A117" s="10" t="s">
        <v>213</v>
      </c>
      <c r="B117" s="15">
        <v>0</v>
      </c>
      <c r="C117" t="s">
        <v>75</v>
      </c>
    </row>
    <row r="118" spans="1:3" x14ac:dyDescent="0.25">
      <c r="A118" s="10" t="s">
        <v>213</v>
      </c>
      <c r="B118" s="15">
        <v>0</v>
      </c>
      <c r="C118" t="s">
        <v>75</v>
      </c>
    </row>
    <row r="119" spans="1:3" x14ac:dyDescent="0.25">
      <c r="A119" s="10" t="s">
        <v>215</v>
      </c>
      <c r="B119" s="15">
        <v>0</v>
      </c>
      <c r="C119" t="s">
        <v>75</v>
      </c>
    </row>
    <row r="120" spans="1:3" x14ac:dyDescent="0.25">
      <c r="A120" s="10" t="s">
        <v>215</v>
      </c>
      <c r="B120" s="15">
        <v>0</v>
      </c>
      <c r="C120" t="s">
        <v>75</v>
      </c>
    </row>
    <row r="121" spans="1:3" x14ac:dyDescent="0.25">
      <c r="A121" s="10" t="s">
        <v>217</v>
      </c>
      <c r="B121" s="15">
        <v>0</v>
      </c>
      <c r="C121" t="s">
        <v>75</v>
      </c>
    </row>
    <row r="122" spans="1:3" x14ac:dyDescent="0.25">
      <c r="A122" s="10" t="s">
        <v>217</v>
      </c>
      <c r="B122" s="15">
        <v>0</v>
      </c>
      <c r="C122" t="s">
        <v>75</v>
      </c>
    </row>
    <row r="123" spans="1:3" x14ac:dyDescent="0.25">
      <c r="A123" s="10" t="s">
        <v>219</v>
      </c>
      <c r="B123" s="15">
        <v>0</v>
      </c>
      <c r="C123" t="s">
        <v>75</v>
      </c>
    </row>
    <row r="124" spans="1:3" x14ac:dyDescent="0.25">
      <c r="A124" s="10" t="s">
        <v>219</v>
      </c>
      <c r="B124" s="15">
        <v>0</v>
      </c>
      <c r="C124" t="s">
        <v>75</v>
      </c>
    </row>
    <row r="125" spans="1:3" x14ac:dyDescent="0.25">
      <c r="A125" s="10" t="s">
        <v>221</v>
      </c>
      <c r="B125" s="15">
        <v>0</v>
      </c>
      <c r="C125" t="s">
        <v>75</v>
      </c>
    </row>
    <row r="126" spans="1:3" x14ac:dyDescent="0.25">
      <c r="A126" s="10" t="s">
        <v>221</v>
      </c>
      <c r="B126" s="15">
        <v>0</v>
      </c>
      <c r="C126" t="s">
        <v>75</v>
      </c>
    </row>
    <row r="127" spans="1:3" x14ac:dyDescent="0.25">
      <c r="A127" s="10" t="s">
        <v>223</v>
      </c>
      <c r="B127" s="15">
        <v>0</v>
      </c>
      <c r="C127" t="s">
        <v>75</v>
      </c>
    </row>
    <row r="128" spans="1:3" x14ac:dyDescent="0.25">
      <c r="A128" s="10" t="s">
        <v>223</v>
      </c>
      <c r="B128" s="15">
        <v>0</v>
      </c>
      <c r="C128" t="s">
        <v>75</v>
      </c>
    </row>
    <row r="129" spans="1:3" x14ac:dyDescent="0.25">
      <c r="A129" s="10" t="s">
        <v>225</v>
      </c>
      <c r="B129" s="15">
        <v>0</v>
      </c>
      <c r="C129" t="s">
        <v>75</v>
      </c>
    </row>
    <row r="130" spans="1:3" x14ac:dyDescent="0.25">
      <c r="A130" s="10" t="s">
        <v>225</v>
      </c>
      <c r="B130" s="15">
        <v>0</v>
      </c>
      <c r="C130" t="s">
        <v>75</v>
      </c>
    </row>
    <row r="131" spans="1:3" x14ac:dyDescent="0.25">
      <c r="A131" s="10" t="s">
        <v>227</v>
      </c>
      <c r="B131" s="15">
        <v>0</v>
      </c>
      <c r="C131" t="s">
        <v>75</v>
      </c>
    </row>
    <row r="132" spans="1:3" x14ac:dyDescent="0.25">
      <c r="A132" s="10" t="s">
        <v>227</v>
      </c>
      <c r="B132" s="15">
        <v>0</v>
      </c>
      <c r="C132" t="s">
        <v>75</v>
      </c>
    </row>
    <row r="133" spans="1:3" x14ac:dyDescent="0.25">
      <c r="A133" s="10" t="s">
        <v>229</v>
      </c>
      <c r="B133" s="15">
        <v>0</v>
      </c>
      <c r="C133" t="s">
        <v>75</v>
      </c>
    </row>
    <row r="134" spans="1:3" x14ac:dyDescent="0.25">
      <c r="A134" s="10" t="s">
        <v>229</v>
      </c>
      <c r="B134" s="15">
        <v>0</v>
      </c>
      <c r="C134" t="s">
        <v>75</v>
      </c>
    </row>
    <row r="135" spans="1:3" x14ac:dyDescent="0.25">
      <c r="A135" s="10" t="s">
        <v>231</v>
      </c>
      <c r="B135" s="15">
        <v>0</v>
      </c>
      <c r="C135" t="s">
        <v>75</v>
      </c>
    </row>
    <row r="136" spans="1:3" x14ac:dyDescent="0.25">
      <c r="A136" s="10" t="s">
        <v>231</v>
      </c>
      <c r="B136" s="15">
        <v>0</v>
      </c>
      <c r="C136" t="s">
        <v>75</v>
      </c>
    </row>
    <row r="137" spans="1:3" x14ac:dyDescent="0.25">
      <c r="A137" s="10" t="s">
        <v>233</v>
      </c>
      <c r="B137" s="15">
        <v>0</v>
      </c>
      <c r="C137" t="s">
        <v>75</v>
      </c>
    </row>
    <row r="138" spans="1:3" x14ac:dyDescent="0.25">
      <c r="A138" s="10" t="s">
        <v>233</v>
      </c>
      <c r="B138" s="15">
        <v>0</v>
      </c>
      <c r="C138" t="s">
        <v>75</v>
      </c>
    </row>
    <row r="139" spans="1:3" x14ac:dyDescent="0.25">
      <c r="A139" s="10" t="s">
        <v>235</v>
      </c>
      <c r="B139" s="15">
        <v>0</v>
      </c>
      <c r="C139" t="s">
        <v>75</v>
      </c>
    </row>
    <row r="140" spans="1:3" x14ac:dyDescent="0.25">
      <c r="A140" s="10" t="s">
        <v>235</v>
      </c>
      <c r="B140" s="15">
        <v>0</v>
      </c>
      <c r="C140" t="s">
        <v>75</v>
      </c>
    </row>
    <row r="141" spans="1:3" x14ac:dyDescent="0.25">
      <c r="A141" s="10" t="s">
        <v>237</v>
      </c>
      <c r="B141" s="15">
        <v>0</v>
      </c>
      <c r="C141" t="s">
        <v>75</v>
      </c>
    </row>
    <row r="142" spans="1:3" x14ac:dyDescent="0.25">
      <c r="A142" s="10" t="s">
        <v>237</v>
      </c>
      <c r="B142" s="15">
        <v>0</v>
      </c>
      <c r="C142" t="s">
        <v>75</v>
      </c>
    </row>
    <row r="143" spans="1:3" x14ac:dyDescent="0.25">
      <c r="A143" s="10" t="s">
        <v>239</v>
      </c>
      <c r="B143" s="15">
        <v>0</v>
      </c>
      <c r="C143" t="s">
        <v>75</v>
      </c>
    </row>
    <row r="144" spans="1:3" x14ac:dyDescent="0.25">
      <c r="A144" s="10" t="s">
        <v>239</v>
      </c>
      <c r="B144" s="15">
        <v>0</v>
      </c>
      <c r="C144" t="s">
        <v>75</v>
      </c>
    </row>
    <row r="145" spans="1:3" x14ac:dyDescent="0.25">
      <c r="A145" s="10" t="s">
        <v>241</v>
      </c>
      <c r="B145" s="15">
        <v>0</v>
      </c>
      <c r="C145" t="s">
        <v>75</v>
      </c>
    </row>
    <row r="146" spans="1:3" x14ac:dyDescent="0.25">
      <c r="A146" s="10" t="s">
        <v>241</v>
      </c>
      <c r="B146" s="15">
        <v>0</v>
      </c>
      <c r="C146" t="s">
        <v>75</v>
      </c>
    </row>
    <row r="147" spans="1:3" x14ac:dyDescent="0.25">
      <c r="A147" s="10" t="s">
        <v>243</v>
      </c>
      <c r="B147" s="15">
        <v>0</v>
      </c>
      <c r="C147" t="s">
        <v>75</v>
      </c>
    </row>
    <row r="148" spans="1:3" x14ac:dyDescent="0.25">
      <c r="A148" s="10" t="s">
        <v>243</v>
      </c>
      <c r="B148" s="15">
        <v>0</v>
      </c>
      <c r="C148" t="s">
        <v>75</v>
      </c>
    </row>
    <row r="149" spans="1:3" x14ac:dyDescent="0.25">
      <c r="A149" s="10" t="s">
        <v>245</v>
      </c>
      <c r="B149" s="15">
        <v>0</v>
      </c>
      <c r="C149" t="s">
        <v>75</v>
      </c>
    </row>
    <row r="150" spans="1:3" x14ac:dyDescent="0.25">
      <c r="A150" s="10" t="s">
        <v>245</v>
      </c>
      <c r="B150" s="15">
        <v>0</v>
      </c>
      <c r="C150" t="s">
        <v>75</v>
      </c>
    </row>
    <row r="151" spans="1:3" x14ac:dyDescent="0.25">
      <c r="A151" s="10" t="s">
        <v>247</v>
      </c>
      <c r="B151" s="15">
        <v>0</v>
      </c>
      <c r="C151" t="s">
        <v>75</v>
      </c>
    </row>
    <row r="152" spans="1:3" x14ac:dyDescent="0.25">
      <c r="A152" s="10" t="s">
        <v>247</v>
      </c>
      <c r="B152" s="15">
        <v>0</v>
      </c>
      <c r="C152" t="s">
        <v>75</v>
      </c>
    </row>
    <row r="153" spans="1:3" x14ac:dyDescent="0.25">
      <c r="A153" s="10" t="s">
        <v>249</v>
      </c>
      <c r="B153" s="15">
        <v>0</v>
      </c>
      <c r="C153" t="s">
        <v>75</v>
      </c>
    </row>
    <row r="154" spans="1:3" x14ac:dyDescent="0.25">
      <c r="A154" s="10" t="s">
        <v>249</v>
      </c>
      <c r="B154" s="15">
        <v>0</v>
      </c>
      <c r="C154" t="s">
        <v>75</v>
      </c>
    </row>
    <row r="155" spans="1:3" x14ac:dyDescent="0.25">
      <c r="A155" s="10" t="s">
        <v>254</v>
      </c>
      <c r="B155" s="15">
        <v>0</v>
      </c>
      <c r="C155" t="s">
        <v>75</v>
      </c>
    </row>
    <row r="156" spans="1:3" x14ac:dyDescent="0.25">
      <c r="A156" s="10" t="s">
        <v>254</v>
      </c>
      <c r="B156" s="15">
        <v>0</v>
      </c>
      <c r="C156" t="s">
        <v>75</v>
      </c>
    </row>
    <row r="157" spans="1:3" x14ac:dyDescent="0.25">
      <c r="A157" s="10" t="s">
        <v>256</v>
      </c>
      <c r="B157" s="15">
        <v>0</v>
      </c>
      <c r="C157" t="s">
        <v>75</v>
      </c>
    </row>
    <row r="158" spans="1:3" x14ac:dyDescent="0.25">
      <c r="A158" s="10" t="s">
        <v>256</v>
      </c>
      <c r="B158" s="15">
        <v>0</v>
      </c>
      <c r="C158" t="s">
        <v>75</v>
      </c>
    </row>
    <row r="159" spans="1:3" x14ac:dyDescent="0.25">
      <c r="A159" s="10" t="s">
        <v>258</v>
      </c>
      <c r="B159" s="15">
        <v>0</v>
      </c>
      <c r="C159" t="s">
        <v>75</v>
      </c>
    </row>
    <row r="160" spans="1:3" x14ac:dyDescent="0.25">
      <c r="A160" s="10" t="s">
        <v>258</v>
      </c>
      <c r="B160" s="15">
        <v>0</v>
      </c>
      <c r="C160" t="s">
        <v>75</v>
      </c>
    </row>
    <row r="161" spans="1:3" x14ac:dyDescent="0.25">
      <c r="A161" s="10" t="s">
        <v>260</v>
      </c>
      <c r="B161" s="15">
        <v>0</v>
      </c>
      <c r="C161" t="s">
        <v>75</v>
      </c>
    </row>
    <row r="162" spans="1:3" x14ac:dyDescent="0.25">
      <c r="A162" s="10" t="s">
        <v>260</v>
      </c>
      <c r="B162" s="15">
        <v>0</v>
      </c>
      <c r="C162" t="s">
        <v>75</v>
      </c>
    </row>
    <row r="163" spans="1:3" x14ac:dyDescent="0.25">
      <c r="A163" s="10" t="s">
        <v>262</v>
      </c>
      <c r="B163" s="15">
        <v>0</v>
      </c>
      <c r="C163" t="s">
        <v>75</v>
      </c>
    </row>
    <row r="164" spans="1:3" x14ac:dyDescent="0.25">
      <c r="A164" s="10" t="s">
        <v>262</v>
      </c>
      <c r="B164" s="15">
        <v>0</v>
      </c>
      <c r="C164" t="s">
        <v>75</v>
      </c>
    </row>
    <row r="165" spans="1:3" x14ac:dyDescent="0.25">
      <c r="A165" s="10" t="s">
        <v>264</v>
      </c>
      <c r="B165" s="15">
        <v>0</v>
      </c>
      <c r="C165" t="s">
        <v>75</v>
      </c>
    </row>
    <row r="166" spans="1:3" x14ac:dyDescent="0.25">
      <c r="A166" s="10" t="s">
        <v>264</v>
      </c>
      <c r="B166" s="15">
        <v>0</v>
      </c>
      <c r="C166" t="s">
        <v>75</v>
      </c>
    </row>
    <row r="167" spans="1:3" x14ac:dyDescent="0.25">
      <c r="A167" s="10" t="s">
        <v>266</v>
      </c>
      <c r="B167" s="15">
        <v>0</v>
      </c>
      <c r="C167" t="s">
        <v>75</v>
      </c>
    </row>
    <row r="168" spans="1:3" x14ac:dyDescent="0.25">
      <c r="A168" s="10" t="s">
        <v>266</v>
      </c>
      <c r="B168" s="15">
        <v>0</v>
      </c>
      <c r="C168" t="s">
        <v>75</v>
      </c>
    </row>
    <row r="169" spans="1:3" x14ac:dyDescent="0.25">
      <c r="A169" s="10" t="s">
        <v>268</v>
      </c>
      <c r="B169" s="15">
        <v>0</v>
      </c>
      <c r="C169" t="s">
        <v>75</v>
      </c>
    </row>
    <row r="170" spans="1:3" x14ac:dyDescent="0.25">
      <c r="A170" s="10" t="s">
        <v>268</v>
      </c>
      <c r="B170" s="15">
        <v>0</v>
      </c>
      <c r="C170" t="s">
        <v>75</v>
      </c>
    </row>
    <row r="171" spans="1:3" x14ac:dyDescent="0.25">
      <c r="A171" s="10" t="s">
        <v>270</v>
      </c>
      <c r="B171" s="15">
        <v>0</v>
      </c>
      <c r="C171" t="s">
        <v>75</v>
      </c>
    </row>
    <row r="172" spans="1:3" x14ac:dyDescent="0.25">
      <c r="A172" s="10" t="s">
        <v>270</v>
      </c>
      <c r="B172" s="15">
        <v>0</v>
      </c>
      <c r="C172" t="s">
        <v>75</v>
      </c>
    </row>
    <row r="173" spans="1:3" x14ac:dyDescent="0.25">
      <c r="A173" s="10" t="s">
        <v>272</v>
      </c>
      <c r="B173" s="15">
        <v>0</v>
      </c>
      <c r="C173" t="s">
        <v>75</v>
      </c>
    </row>
    <row r="174" spans="1:3" x14ac:dyDescent="0.25">
      <c r="A174" s="10" t="s">
        <v>272</v>
      </c>
      <c r="B174" s="15">
        <v>0</v>
      </c>
      <c r="C174" t="s">
        <v>75</v>
      </c>
    </row>
    <row r="175" spans="1:3" x14ac:dyDescent="0.25">
      <c r="A175" s="10" t="s">
        <v>274</v>
      </c>
      <c r="B175" s="15">
        <v>0</v>
      </c>
      <c r="C175" t="s">
        <v>75</v>
      </c>
    </row>
    <row r="176" spans="1:3" x14ac:dyDescent="0.25">
      <c r="A176" s="10" t="s">
        <v>274</v>
      </c>
      <c r="B176" s="15">
        <v>0</v>
      </c>
      <c r="C176" t="s">
        <v>75</v>
      </c>
    </row>
    <row r="177" spans="1:3" x14ac:dyDescent="0.25">
      <c r="A177" s="10" t="s">
        <v>276</v>
      </c>
      <c r="B177" s="15">
        <v>0</v>
      </c>
      <c r="C177" t="s">
        <v>75</v>
      </c>
    </row>
    <row r="178" spans="1:3" x14ac:dyDescent="0.25">
      <c r="A178" s="10" t="s">
        <v>276</v>
      </c>
      <c r="B178" s="15">
        <v>0</v>
      </c>
      <c r="C178" t="s">
        <v>75</v>
      </c>
    </row>
    <row r="179" spans="1:3" x14ac:dyDescent="0.25">
      <c r="A179" s="10" t="s">
        <v>278</v>
      </c>
      <c r="B179" s="15">
        <v>0</v>
      </c>
      <c r="C179" t="s">
        <v>75</v>
      </c>
    </row>
    <row r="180" spans="1:3" x14ac:dyDescent="0.25">
      <c r="A180" s="10" t="s">
        <v>278</v>
      </c>
      <c r="B180" s="15">
        <v>0</v>
      </c>
      <c r="C180" t="s">
        <v>75</v>
      </c>
    </row>
    <row r="181" spans="1:3" x14ac:dyDescent="0.25">
      <c r="A181" s="10" t="s">
        <v>280</v>
      </c>
      <c r="B181" s="15">
        <v>0</v>
      </c>
      <c r="C181" t="s">
        <v>75</v>
      </c>
    </row>
    <row r="182" spans="1:3" x14ac:dyDescent="0.25">
      <c r="A182" s="10" t="s">
        <v>280</v>
      </c>
      <c r="B182" s="15">
        <v>0</v>
      </c>
      <c r="C182" t="s">
        <v>75</v>
      </c>
    </row>
    <row r="183" spans="1:3" x14ac:dyDescent="0.25">
      <c r="A183" s="10" t="s">
        <v>282</v>
      </c>
      <c r="B183" s="15">
        <v>0</v>
      </c>
      <c r="C183" t="s">
        <v>75</v>
      </c>
    </row>
    <row r="184" spans="1:3" x14ac:dyDescent="0.25">
      <c r="A184" s="10" t="s">
        <v>282</v>
      </c>
      <c r="B184" s="15">
        <v>0</v>
      </c>
      <c r="C184" t="s">
        <v>75</v>
      </c>
    </row>
    <row r="185" spans="1:3" x14ac:dyDescent="0.25">
      <c r="A185" s="10" t="s">
        <v>284</v>
      </c>
      <c r="B185" s="15">
        <v>0</v>
      </c>
      <c r="C185" t="s">
        <v>75</v>
      </c>
    </row>
    <row r="186" spans="1:3" x14ac:dyDescent="0.25">
      <c r="A186" s="10" t="s">
        <v>284</v>
      </c>
      <c r="B186" s="15">
        <v>0</v>
      </c>
      <c r="C186" t="s">
        <v>75</v>
      </c>
    </row>
    <row r="187" spans="1:3" x14ac:dyDescent="0.25">
      <c r="A187" s="10" t="s">
        <v>286</v>
      </c>
      <c r="B187" s="15">
        <v>0</v>
      </c>
      <c r="C187" t="s">
        <v>75</v>
      </c>
    </row>
    <row r="188" spans="1:3" x14ac:dyDescent="0.25">
      <c r="A188" s="10" t="s">
        <v>286</v>
      </c>
      <c r="B188" s="15">
        <v>0</v>
      </c>
      <c r="C188" t="s">
        <v>75</v>
      </c>
    </row>
    <row r="189" spans="1:3" x14ac:dyDescent="0.25">
      <c r="A189" s="10" t="s">
        <v>288</v>
      </c>
      <c r="B189" s="15">
        <v>0</v>
      </c>
      <c r="C189" t="s">
        <v>75</v>
      </c>
    </row>
    <row r="190" spans="1:3" x14ac:dyDescent="0.25">
      <c r="A190" s="10" t="s">
        <v>288</v>
      </c>
      <c r="B190" s="15">
        <v>0</v>
      </c>
      <c r="C190" t="s">
        <v>75</v>
      </c>
    </row>
    <row r="191" spans="1:3" x14ac:dyDescent="0.25">
      <c r="A191" s="10" t="s">
        <v>290</v>
      </c>
      <c r="B191" s="15">
        <v>0</v>
      </c>
      <c r="C191" t="s">
        <v>75</v>
      </c>
    </row>
    <row r="192" spans="1:3" x14ac:dyDescent="0.25">
      <c r="A192" s="10" t="s">
        <v>290</v>
      </c>
      <c r="B192" s="15">
        <v>0</v>
      </c>
      <c r="C192" t="s">
        <v>75</v>
      </c>
    </row>
    <row r="193" spans="1:3" x14ac:dyDescent="0.25">
      <c r="A193" s="10" t="s">
        <v>292</v>
      </c>
      <c r="B193" s="15">
        <v>0</v>
      </c>
      <c r="C193" t="s">
        <v>75</v>
      </c>
    </row>
    <row r="194" spans="1:3" x14ac:dyDescent="0.25">
      <c r="A194" s="10" t="s">
        <v>292</v>
      </c>
      <c r="B194" s="15">
        <v>0</v>
      </c>
      <c r="C194" t="s">
        <v>75</v>
      </c>
    </row>
    <row r="195" spans="1:3" x14ac:dyDescent="0.25">
      <c r="A195" s="10" t="s">
        <v>294</v>
      </c>
      <c r="B195" s="15">
        <v>0</v>
      </c>
      <c r="C195" t="s">
        <v>75</v>
      </c>
    </row>
    <row r="196" spans="1:3" x14ac:dyDescent="0.25">
      <c r="A196" s="10" t="s">
        <v>294</v>
      </c>
      <c r="B196" s="15">
        <v>0</v>
      </c>
      <c r="C196" t="s">
        <v>75</v>
      </c>
    </row>
    <row r="197" spans="1:3" x14ac:dyDescent="0.25">
      <c r="A197" s="10" t="s">
        <v>296</v>
      </c>
      <c r="B197" s="15">
        <v>0</v>
      </c>
      <c r="C197" t="s">
        <v>75</v>
      </c>
    </row>
    <row r="198" spans="1:3" x14ac:dyDescent="0.25">
      <c r="A198" s="10" t="s">
        <v>296</v>
      </c>
      <c r="B198" s="15">
        <v>0</v>
      </c>
      <c r="C198" t="s">
        <v>75</v>
      </c>
    </row>
    <row r="199" spans="1:3" x14ac:dyDescent="0.25">
      <c r="A199" s="10" t="s">
        <v>298</v>
      </c>
      <c r="B199" s="15">
        <v>0</v>
      </c>
      <c r="C199" t="s">
        <v>75</v>
      </c>
    </row>
    <row r="200" spans="1:3" x14ac:dyDescent="0.25">
      <c r="A200" s="10" t="s">
        <v>298</v>
      </c>
      <c r="B200" s="15">
        <v>0</v>
      </c>
      <c r="C200" t="s">
        <v>75</v>
      </c>
    </row>
    <row r="201" spans="1:3" x14ac:dyDescent="0.25">
      <c r="A201" s="10" t="s">
        <v>300</v>
      </c>
      <c r="B201" s="15">
        <v>0</v>
      </c>
      <c r="C201" t="s">
        <v>75</v>
      </c>
    </row>
    <row r="202" spans="1:3" x14ac:dyDescent="0.25">
      <c r="A202" s="10" t="s">
        <v>300</v>
      </c>
      <c r="B202" s="15">
        <v>0</v>
      </c>
      <c r="C202" t="s">
        <v>75</v>
      </c>
    </row>
    <row r="203" spans="1:3" x14ac:dyDescent="0.25">
      <c r="A203" s="10" t="s">
        <v>302</v>
      </c>
      <c r="B203" s="15">
        <v>0</v>
      </c>
      <c r="C203" t="s">
        <v>75</v>
      </c>
    </row>
    <row r="204" spans="1:3" x14ac:dyDescent="0.25">
      <c r="A204" s="10" t="s">
        <v>302</v>
      </c>
      <c r="B204" s="15">
        <v>0</v>
      </c>
      <c r="C204" t="s">
        <v>75</v>
      </c>
    </row>
    <row r="205" spans="1:3" x14ac:dyDescent="0.25">
      <c r="A205" s="10" t="s">
        <v>304</v>
      </c>
      <c r="B205" s="15">
        <v>0</v>
      </c>
      <c r="C205" t="s">
        <v>75</v>
      </c>
    </row>
    <row r="206" spans="1:3" x14ac:dyDescent="0.25">
      <c r="A206" s="10" t="s">
        <v>304</v>
      </c>
      <c r="B206" s="15">
        <v>0</v>
      </c>
      <c r="C206" t="s">
        <v>75</v>
      </c>
    </row>
    <row r="207" spans="1:3" x14ac:dyDescent="0.25">
      <c r="A207" s="10" t="s">
        <v>306</v>
      </c>
      <c r="B207" s="15">
        <v>0</v>
      </c>
      <c r="C207" t="s">
        <v>75</v>
      </c>
    </row>
    <row r="208" spans="1:3" x14ac:dyDescent="0.25">
      <c r="A208" s="10" t="s">
        <v>306</v>
      </c>
      <c r="B208" s="15">
        <v>0</v>
      </c>
      <c r="C208" t="s">
        <v>75</v>
      </c>
    </row>
    <row r="209" spans="1:3" x14ac:dyDescent="0.25">
      <c r="A209" s="10" t="s">
        <v>308</v>
      </c>
      <c r="B209" s="15">
        <v>0</v>
      </c>
      <c r="C209" t="s">
        <v>75</v>
      </c>
    </row>
    <row r="210" spans="1:3" x14ac:dyDescent="0.25">
      <c r="A210" s="10" t="s">
        <v>308</v>
      </c>
      <c r="B210" s="15">
        <v>0</v>
      </c>
      <c r="C210" t="s">
        <v>75</v>
      </c>
    </row>
    <row r="211" spans="1:3" x14ac:dyDescent="0.25">
      <c r="A211" s="10" t="s">
        <v>310</v>
      </c>
      <c r="B211" s="15">
        <v>0</v>
      </c>
      <c r="C211" t="s">
        <v>75</v>
      </c>
    </row>
    <row r="212" spans="1:3" x14ac:dyDescent="0.25">
      <c r="A212" s="10" t="s">
        <v>310</v>
      </c>
      <c r="B212" s="15">
        <v>0</v>
      </c>
      <c r="C212" t="s">
        <v>75</v>
      </c>
    </row>
    <row r="213" spans="1:3" x14ac:dyDescent="0.25">
      <c r="A213" s="10" t="s">
        <v>312</v>
      </c>
      <c r="B213" s="15">
        <v>0</v>
      </c>
      <c r="C213" t="s">
        <v>75</v>
      </c>
    </row>
    <row r="214" spans="1:3" x14ac:dyDescent="0.25">
      <c r="A214" s="10" t="s">
        <v>312</v>
      </c>
      <c r="B214" s="15">
        <v>0</v>
      </c>
      <c r="C214" t="s">
        <v>75</v>
      </c>
    </row>
    <row r="215" spans="1:3" x14ac:dyDescent="0.25">
      <c r="A215" s="10" t="s">
        <v>314</v>
      </c>
      <c r="B215" s="15">
        <v>0</v>
      </c>
      <c r="C215" t="s">
        <v>75</v>
      </c>
    </row>
    <row r="216" spans="1:3" x14ac:dyDescent="0.25">
      <c r="A216" s="10" t="s">
        <v>314</v>
      </c>
      <c r="B216" s="15">
        <v>0</v>
      </c>
      <c r="C216" t="s">
        <v>75</v>
      </c>
    </row>
    <row r="217" spans="1:3" x14ac:dyDescent="0.25">
      <c r="A217" s="10" t="s">
        <v>316</v>
      </c>
      <c r="B217" s="15">
        <v>0</v>
      </c>
      <c r="C217" t="s">
        <v>75</v>
      </c>
    </row>
    <row r="218" spans="1:3" x14ac:dyDescent="0.25">
      <c r="A218" s="10" t="s">
        <v>316</v>
      </c>
      <c r="B218" s="15">
        <v>0</v>
      </c>
      <c r="C218" t="s">
        <v>75</v>
      </c>
    </row>
    <row r="219" spans="1:3" x14ac:dyDescent="0.25">
      <c r="A219" s="10" t="s">
        <v>318</v>
      </c>
      <c r="B219" s="15">
        <v>0</v>
      </c>
      <c r="C219" t="s">
        <v>75</v>
      </c>
    </row>
    <row r="220" spans="1:3" x14ac:dyDescent="0.25">
      <c r="A220" s="10" t="s">
        <v>318</v>
      </c>
      <c r="B220" s="15">
        <v>0</v>
      </c>
      <c r="C220" t="s">
        <v>75</v>
      </c>
    </row>
    <row r="221" spans="1:3" x14ac:dyDescent="0.25">
      <c r="A221" s="10" t="s">
        <v>320</v>
      </c>
      <c r="B221" s="15">
        <v>0</v>
      </c>
      <c r="C221" t="s">
        <v>75</v>
      </c>
    </row>
    <row r="222" spans="1:3" x14ac:dyDescent="0.25">
      <c r="A222" s="10" t="s">
        <v>320</v>
      </c>
      <c r="B222" s="15">
        <v>0</v>
      </c>
      <c r="C222" t="s">
        <v>75</v>
      </c>
    </row>
    <row r="223" spans="1:3" x14ac:dyDescent="0.25">
      <c r="A223" s="10" t="s">
        <v>322</v>
      </c>
      <c r="B223" s="15">
        <v>0</v>
      </c>
      <c r="C223" t="s">
        <v>75</v>
      </c>
    </row>
    <row r="224" spans="1:3" x14ac:dyDescent="0.25">
      <c r="A224" s="10" t="s">
        <v>322</v>
      </c>
      <c r="B224" s="15">
        <v>0</v>
      </c>
      <c r="C224" t="s">
        <v>75</v>
      </c>
    </row>
    <row r="225" spans="1:3" x14ac:dyDescent="0.25">
      <c r="A225" s="10" t="s">
        <v>324</v>
      </c>
      <c r="B225" s="15">
        <v>0</v>
      </c>
      <c r="C225" t="s">
        <v>75</v>
      </c>
    </row>
    <row r="226" spans="1:3" x14ac:dyDescent="0.25">
      <c r="A226" s="10" t="s">
        <v>324</v>
      </c>
      <c r="B226" s="15">
        <v>0</v>
      </c>
      <c r="C226" t="s">
        <v>75</v>
      </c>
    </row>
    <row r="227" spans="1:3" x14ac:dyDescent="0.25">
      <c r="A227" s="10" t="s">
        <v>326</v>
      </c>
      <c r="B227" s="15">
        <v>0</v>
      </c>
      <c r="C227" t="s">
        <v>75</v>
      </c>
    </row>
    <row r="228" spans="1:3" x14ac:dyDescent="0.25">
      <c r="A228" s="10" t="s">
        <v>326</v>
      </c>
      <c r="B228" s="15">
        <v>0</v>
      </c>
      <c r="C228" t="s">
        <v>75</v>
      </c>
    </row>
    <row r="229" spans="1:3" x14ac:dyDescent="0.25">
      <c r="A229" s="10" t="s">
        <v>328</v>
      </c>
      <c r="B229" s="15">
        <v>0</v>
      </c>
      <c r="C229" t="s">
        <v>75</v>
      </c>
    </row>
    <row r="230" spans="1:3" x14ac:dyDescent="0.25">
      <c r="A230" s="10" t="s">
        <v>328</v>
      </c>
      <c r="B230" s="15">
        <v>0</v>
      </c>
      <c r="C230" t="s">
        <v>75</v>
      </c>
    </row>
    <row r="231" spans="1:3" x14ac:dyDescent="0.25">
      <c r="A231" s="10" t="s">
        <v>330</v>
      </c>
      <c r="B231" s="15">
        <v>0</v>
      </c>
      <c r="C231" t="s">
        <v>75</v>
      </c>
    </row>
    <row r="232" spans="1:3" x14ac:dyDescent="0.25">
      <c r="A232" s="10" t="s">
        <v>330</v>
      </c>
      <c r="B232" s="15">
        <v>0</v>
      </c>
      <c r="C232" t="s">
        <v>75</v>
      </c>
    </row>
    <row r="233" spans="1:3" x14ac:dyDescent="0.25">
      <c r="A233" s="10" t="s">
        <v>332</v>
      </c>
      <c r="B233" s="15">
        <v>0</v>
      </c>
      <c r="C233" t="s">
        <v>75</v>
      </c>
    </row>
    <row r="234" spans="1:3" x14ac:dyDescent="0.25">
      <c r="A234" s="10" t="s">
        <v>332</v>
      </c>
      <c r="B234" s="15">
        <v>0</v>
      </c>
      <c r="C234" t="s">
        <v>75</v>
      </c>
    </row>
    <row r="235" spans="1:3" x14ac:dyDescent="0.25">
      <c r="A235" s="10" t="s">
        <v>334</v>
      </c>
      <c r="B235" s="15">
        <v>0</v>
      </c>
      <c r="C235" t="s">
        <v>75</v>
      </c>
    </row>
    <row r="236" spans="1:3" x14ac:dyDescent="0.25">
      <c r="A236" s="10" t="s">
        <v>334</v>
      </c>
      <c r="B236" s="15">
        <v>0</v>
      </c>
      <c r="C236" t="s">
        <v>75</v>
      </c>
    </row>
    <row r="237" spans="1:3" x14ac:dyDescent="0.25">
      <c r="A237" s="10" t="s">
        <v>336</v>
      </c>
      <c r="B237" s="15">
        <v>0</v>
      </c>
      <c r="C237" t="s">
        <v>75</v>
      </c>
    </row>
    <row r="238" spans="1:3" x14ac:dyDescent="0.25">
      <c r="A238" s="10" t="s">
        <v>336</v>
      </c>
      <c r="B238" s="15">
        <v>0</v>
      </c>
      <c r="C238" t="s">
        <v>75</v>
      </c>
    </row>
    <row r="239" spans="1:3" x14ac:dyDescent="0.25">
      <c r="A239" s="10" t="s">
        <v>338</v>
      </c>
      <c r="B239" s="15">
        <v>0</v>
      </c>
      <c r="C239" t="s">
        <v>75</v>
      </c>
    </row>
    <row r="240" spans="1:3" x14ac:dyDescent="0.25">
      <c r="A240" s="10" t="s">
        <v>338</v>
      </c>
      <c r="B240" s="15">
        <v>0</v>
      </c>
      <c r="C240" t="s">
        <v>75</v>
      </c>
    </row>
    <row r="241" spans="1:3" x14ac:dyDescent="0.25">
      <c r="A241" s="10" t="s">
        <v>84</v>
      </c>
      <c r="B241" s="15">
        <v>0</v>
      </c>
      <c r="C241" t="s">
        <v>75</v>
      </c>
    </row>
    <row r="242" spans="1:3" x14ac:dyDescent="0.25">
      <c r="A242" s="10" t="s">
        <v>84</v>
      </c>
      <c r="B242" s="15">
        <v>0</v>
      </c>
      <c r="C242" t="s">
        <v>75</v>
      </c>
    </row>
    <row r="243" spans="1:3" x14ac:dyDescent="0.25">
      <c r="A243" s="10" t="s">
        <v>340</v>
      </c>
      <c r="B243" s="15">
        <v>0</v>
      </c>
      <c r="C243" t="s">
        <v>75</v>
      </c>
    </row>
    <row r="244" spans="1:3" x14ac:dyDescent="0.25">
      <c r="A244" s="10" t="s">
        <v>340</v>
      </c>
      <c r="B244" s="15">
        <v>0</v>
      </c>
      <c r="C244" t="s">
        <v>75</v>
      </c>
    </row>
    <row r="245" spans="1:3" x14ac:dyDescent="0.25">
      <c r="A245" s="10" t="s">
        <v>342</v>
      </c>
      <c r="B245" s="15">
        <v>0</v>
      </c>
      <c r="C245" t="s">
        <v>75</v>
      </c>
    </row>
    <row r="246" spans="1:3" x14ac:dyDescent="0.25">
      <c r="A246" s="10" t="s">
        <v>342</v>
      </c>
      <c r="B246" s="15">
        <v>0</v>
      </c>
      <c r="C246" t="s">
        <v>75</v>
      </c>
    </row>
    <row r="247" spans="1:3" x14ac:dyDescent="0.25">
      <c r="A247" s="10" t="s">
        <v>344</v>
      </c>
      <c r="B247" s="15">
        <v>0</v>
      </c>
      <c r="C247" t="s">
        <v>75</v>
      </c>
    </row>
    <row r="248" spans="1:3" x14ac:dyDescent="0.25">
      <c r="A248" s="10" t="s">
        <v>344</v>
      </c>
      <c r="B248" s="15">
        <v>0</v>
      </c>
      <c r="C248" t="s">
        <v>75</v>
      </c>
    </row>
    <row r="249" spans="1:3" x14ac:dyDescent="0.25">
      <c r="A249" s="10" t="s">
        <v>346</v>
      </c>
      <c r="B249" s="15">
        <v>0</v>
      </c>
      <c r="C249" t="s">
        <v>75</v>
      </c>
    </row>
    <row r="250" spans="1:3" x14ac:dyDescent="0.25">
      <c r="A250" s="10" t="s">
        <v>346</v>
      </c>
      <c r="B250" s="15">
        <v>0</v>
      </c>
      <c r="C250" t="s">
        <v>75</v>
      </c>
    </row>
    <row r="251" spans="1:3" x14ac:dyDescent="0.25">
      <c r="A251" s="10" t="s">
        <v>348</v>
      </c>
      <c r="B251" s="15">
        <v>0</v>
      </c>
      <c r="C251" t="s">
        <v>75</v>
      </c>
    </row>
    <row r="252" spans="1:3" x14ac:dyDescent="0.25">
      <c r="A252" s="10" t="s">
        <v>348</v>
      </c>
      <c r="B252" s="15">
        <v>0</v>
      </c>
      <c r="C252" t="s">
        <v>75</v>
      </c>
    </row>
    <row r="253" spans="1:3" x14ac:dyDescent="0.25">
      <c r="A253" s="10" t="s">
        <v>350</v>
      </c>
      <c r="B253" s="15">
        <v>0</v>
      </c>
      <c r="C253" t="s">
        <v>75</v>
      </c>
    </row>
    <row r="254" spans="1:3" x14ac:dyDescent="0.25">
      <c r="A254" s="10" t="s">
        <v>350</v>
      </c>
      <c r="B254" s="15">
        <v>0</v>
      </c>
      <c r="C254" t="s">
        <v>75</v>
      </c>
    </row>
    <row r="255" spans="1:3" x14ac:dyDescent="0.25">
      <c r="A255" s="10" t="s">
        <v>352</v>
      </c>
      <c r="B255" s="15">
        <v>0</v>
      </c>
      <c r="C255" t="s">
        <v>75</v>
      </c>
    </row>
    <row r="256" spans="1:3" x14ac:dyDescent="0.25">
      <c r="A256" s="10" t="s">
        <v>352</v>
      </c>
      <c r="B256" s="15">
        <v>0</v>
      </c>
      <c r="C256" t="s">
        <v>75</v>
      </c>
    </row>
    <row r="257" spans="1:3" x14ac:dyDescent="0.25">
      <c r="A257" s="10" t="s">
        <v>354</v>
      </c>
      <c r="B257" s="15">
        <v>0</v>
      </c>
      <c r="C257" t="s">
        <v>75</v>
      </c>
    </row>
    <row r="258" spans="1:3" x14ac:dyDescent="0.25">
      <c r="A258" s="10" t="s">
        <v>354</v>
      </c>
      <c r="B258" s="15">
        <v>0</v>
      </c>
      <c r="C258" t="s">
        <v>75</v>
      </c>
    </row>
    <row r="259" spans="1:3" x14ac:dyDescent="0.25">
      <c r="A259" s="10" t="s">
        <v>356</v>
      </c>
      <c r="B259" s="15">
        <v>0</v>
      </c>
      <c r="C259" t="s">
        <v>75</v>
      </c>
    </row>
    <row r="260" spans="1:3" x14ac:dyDescent="0.25">
      <c r="A260" s="10" t="s">
        <v>356</v>
      </c>
      <c r="B260" s="15">
        <v>0</v>
      </c>
      <c r="C260" t="s">
        <v>75</v>
      </c>
    </row>
    <row r="261" spans="1:3" x14ac:dyDescent="0.25">
      <c r="A261" s="10" t="s">
        <v>358</v>
      </c>
      <c r="B261" s="15">
        <v>0</v>
      </c>
      <c r="C261" t="s">
        <v>75</v>
      </c>
    </row>
    <row r="262" spans="1:3" x14ac:dyDescent="0.25">
      <c r="A262" s="10" t="s">
        <v>358</v>
      </c>
      <c r="B262" s="15">
        <v>0</v>
      </c>
      <c r="C262" t="s">
        <v>75</v>
      </c>
    </row>
    <row r="263" spans="1:3" x14ac:dyDescent="0.25">
      <c r="A263" s="10" t="s">
        <v>360</v>
      </c>
      <c r="B263" s="15">
        <v>0</v>
      </c>
      <c r="C263" t="s">
        <v>75</v>
      </c>
    </row>
    <row r="264" spans="1:3" x14ac:dyDescent="0.25">
      <c r="A264" s="10" t="s">
        <v>360</v>
      </c>
      <c r="B264" s="15">
        <v>0</v>
      </c>
      <c r="C264" t="s">
        <v>75</v>
      </c>
    </row>
    <row r="265" spans="1:3" x14ac:dyDescent="0.25">
      <c r="A265" s="10" t="s">
        <v>362</v>
      </c>
      <c r="B265" s="15">
        <v>0</v>
      </c>
      <c r="C265" t="s">
        <v>75</v>
      </c>
    </row>
    <row r="266" spans="1:3" x14ac:dyDescent="0.25">
      <c r="A266" s="10" t="s">
        <v>362</v>
      </c>
      <c r="B266" s="15">
        <v>0</v>
      </c>
      <c r="C266" t="s">
        <v>75</v>
      </c>
    </row>
    <row r="267" spans="1:3" x14ac:dyDescent="0.25">
      <c r="A267" s="10" t="s">
        <v>364</v>
      </c>
      <c r="B267" s="15">
        <v>0</v>
      </c>
      <c r="C267" t="s">
        <v>75</v>
      </c>
    </row>
    <row r="268" spans="1:3" x14ac:dyDescent="0.25">
      <c r="A268" s="10" t="s">
        <v>364</v>
      </c>
      <c r="B268" s="15">
        <v>0</v>
      </c>
      <c r="C268" t="s">
        <v>75</v>
      </c>
    </row>
    <row r="269" spans="1:3" x14ac:dyDescent="0.25">
      <c r="A269" s="10" t="s">
        <v>366</v>
      </c>
      <c r="B269" s="15">
        <v>0</v>
      </c>
      <c r="C269" t="s">
        <v>75</v>
      </c>
    </row>
    <row r="270" spans="1:3" x14ac:dyDescent="0.25">
      <c r="A270" s="10" t="s">
        <v>366</v>
      </c>
      <c r="B270" s="15">
        <v>0</v>
      </c>
      <c r="C270" t="s">
        <v>75</v>
      </c>
    </row>
    <row r="271" spans="1:3" x14ac:dyDescent="0.25">
      <c r="A271" s="10" t="s">
        <v>368</v>
      </c>
      <c r="B271" s="15">
        <v>0</v>
      </c>
      <c r="C271" t="s">
        <v>75</v>
      </c>
    </row>
    <row r="272" spans="1:3" x14ac:dyDescent="0.25">
      <c r="A272" s="10" t="s">
        <v>368</v>
      </c>
      <c r="B272" s="15">
        <v>0</v>
      </c>
      <c r="C272" t="s">
        <v>75</v>
      </c>
    </row>
    <row r="273" spans="1:3" x14ac:dyDescent="0.25">
      <c r="A273" s="10" t="s">
        <v>370</v>
      </c>
      <c r="B273" s="15">
        <v>0</v>
      </c>
      <c r="C273" t="s">
        <v>75</v>
      </c>
    </row>
    <row r="274" spans="1:3" x14ac:dyDescent="0.25">
      <c r="A274" s="10" t="s">
        <v>370</v>
      </c>
      <c r="B274" s="15">
        <v>0</v>
      </c>
      <c r="C274" t="s">
        <v>75</v>
      </c>
    </row>
    <row r="275" spans="1:3" x14ac:dyDescent="0.25">
      <c r="A275" s="10" t="s">
        <v>372</v>
      </c>
      <c r="B275" s="15">
        <v>0</v>
      </c>
      <c r="C275" t="s">
        <v>75</v>
      </c>
    </row>
    <row r="276" spans="1:3" x14ac:dyDescent="0.25">
      <c r="A276" s="10" t="s">
        <v>372</v>
      </c>
      <c r="B276" s="15">
        <v>0</v>
      </c>
      <c r="C276" t="s">
        <v>75</v>
      </c>
    </row>
    <row r="277" spans="1:3" x14ac:dyDescent="0.25">
      <c r="A277" s="10" t="s">
        <v>374</v>
      </c>
      <c r="B277" s="15">
        <v>0</v>
      </c>
      <c r="C277" t="s">
        <v>75</v>
      </c>
    </row>
    <row r="278" spans="1:3" x14ac:dyDescent="0.25">
      <c r="A278" s="10" t="s">
        <v>374</v>
      </c>
      <c r="B278" s="15">
        <v>0</v>
      </c>
      <c r="C278" t="s">
        <v>75</v>
      </c>
    </row>
    <row r="279" spans="1:3" x14ac:dyDescent="0.25">
      <c r="A279" s="10" t="s">
        <v>376</v>
      </c>
      <c r="B279" s="15">
        <v>0</v>
      </c>
      <c r="C279" t="s">
        <v>75</v>
      </c>
    </row>
    <row r="280" spans="1:3" x14ac:dyDescent="0.25">
      <c r="A280" s="10" t="s">
        <v>376</v>
      </c>
      <c r="B280" s="15">
        <v>0</v>
      </c>
      <c r="C280" t="s">
        <v>75</v>
      </c>
    </row>
    <row r="281" spans="1:3" x14ac:dyDescent="0.25">
      <c r="A281" s="10" t="s">
        <v>378</v>
      </c>
      <c r="B281" s="15">
        <v>0</v>
      </c>
      <c r="C281" t="s">
        <v>75</v>
      </c>
    </row>
    <row r="282" spans="1:3" x14ac:dyDescent="0.25">
      <c r="A282" s="10" t="s">
        <v>378</v>
      </c>
      <c r="B282" s="15">
        <v>0</v>
      </c>
      <c r="C282" t="s">
        <v>75</v>
      </c>
    </row>
    <row r="283" spans="1:3" x14ac:dyDescent="0.25">
      <c r="A283" s="10" t="s">
        <v>380</v>
      </c>
      <c r="B283" s="15">
        <v>0</v>
      </c>
      <c r="C283" t="s">
        <v>75</v>
      </c>
    </row>
    <row r="284" spans="1:3" x14ac:dyDescent="0.25">
      <c r="A284" s="10" t="s">
        <v>380</v>
      </c>
      <c r="B284" s="15">
        <v>0</v>
      </c>
      <c r="C284" t="s">
        <v>75</v>
      </c>
    </row>
    <row r="285" spans="1:3" x14ac:dyDescent="0.25">
      <c r="A285" s="10" t="s">
        <v>382</v>
      </c>
      <c r="B285" s="15">
        <v>0</v>
      </c>
      <c r="C285" t="s">
        <v>75</v>
      </c>
    </row>
    <row r="286" spans="1:3" x14ac:dyDescent="0.25">
      <c r="A286" s="10" t="s">
        <v>382</v>
      </c>
      <c r="B286" s="15">
        <v>0</v>
      </c>
      <c r="C286" t="s">
        <v>75</v>
      </c>
    </row>
    <row r="287" spans="1:3" x14ac:dyDescent="0.25">
      <c r="A287" s="10" t="s">
        <v>384</v>
      </c>
      <c r="B287" s="15">
        <v>0</v>
      </c>
      <c r="C287" t="s">
        <v>75</v>
      </c>
    </row>
    <row r="288" spans="1:3" x14ac:dyDescent="0.25">
      <c r="A288" s="10" t="s">
        <v>384</v>
      </c>
      <c r="B288" s="15">
        <v>0</v>
      </c>
      <c r="C288" t="s">
        <v>75</v>
      </c>
    </row>
    <row r="289" spans="1:3" x14ac:dyDescent="0.25">
      <c r="A289" s="10" t="s">
        <v>386</v>
      </c>
      <c r="B289" s="15">
        <v>0</v>
      </c>
      <c r="C289" t="s">
        <v>75</v>
      </c>
    </row>
    <row r="290" spans="1:3" x14ac:dyDescent="0.25">
      <c r="A290" s="10" t="s">
        <v>386</v>
      </c>
      <c r="B290" s="15">
        <v>0</v>
      </c>
      <c r="C290" t="s">
        <v>75</v>
      </c>
    </row>
    <row r="291" spans="1:3" x14ac:dyDescent="0.25">
      <c r="A291" s="10" t="s">
        <v>388</v>
      </c>
      <c r="B291" s="15">
        <v>0</v>
      </c>
      <c r="C291" t="s">
        <v>75</v>
      </c>
    </row>
    <row r="292" spans="1:3" x14ac:dyDescent="0.25">
      <c r="A292" s="10" t="s">
        <v>388</v>
      </c>
      <c r="B292" s="15">
        <v>0</v>
      </c>
      <c r="C292" t="s">
        <v>75</v>
      </c>
    </row>
    <row r="293" spans="1:3" x14ac:dyDescent="0.25">
      <c r="A293" s="10" t="s">
        <v>390</v>
      </c>
      <c r="B293" s="15">
        <v>0</v>
      </c>
      <c r="C293" t="s">
        <v>75</v>
      </c>
    </row>
    <row r="294" spans="1:3" x14ac:dyDescent="0.25">
      <c r="A294" s="10" t="s">
        <v>390</v>
      </c>
      <c r="B294" s="15">
        <v>0</v>
      </c>
      <c r="C294" t="s">
        <v>75</v>
      </c>
    </row>
    <row r="295" spans="1:3" x14ac:dyDescent="0.25">
      <c r="A295" s="10" t="s">
        <v>392</v>
      </c>
      <c r="B295" s="15">
        <v>0</v>
      </c>
      <c r="C295" t="s">
        <v>75</v>
      </c>
    </row>
    <row r="296" spans="1:3" x14ac:dyDescent="0.25">
      <c r="A296" s="10" t="s">
        <v>392</v>
      </c>
      <c r="B296" s="15">
        <v>0</v>
      </c>
      <c r="C296" t="s">
        <v>75</v>
      </c>
    </row>
    <row r="297" spans="1:3" x14ac:dyDescent="0.25">
      <c r="A297" s="10" t="s">
        <v>394</v>
      </c>
      <c r="B297" s="15">
        <v>0</v>
      </c>
      <c r="C297" t="s">
        <v>75</v>
      </c>
    </row>
    <row r="298" spans="1:3" x14ac:dyDescent="0.25">
      <c r="A298" s="10" t="s">
        <v>394</v>
      </c>
      <c r="B298" s="15">
        <v>0</v>
      </c>
      <c r="C298" t="s">
        <v>75</v>
      </c>
    </row>
    <row r="299" spans="1:3" x14ac:dyDescent="0.25">
      <c r="A299" s="10" t="s">
        <v>398</v>
      </c>
      <c r="B299" s="15">
        <v>0</v>
      </c>
      <c r="C299" t="s">
        <v>75</v>
      </c>
    </row>
    <row r="300" spans="1:3" x14ac:dyDescent="0.25">
      <c r="A300" s="10" t="s">
        <v>398</v>
      </c>
      <c r="B300" s="15">
        <v>0</v>
      </c>
      <c r="C300" t="s">
        <v>75</v>
      </c>
    </row>
    <row r="301" spans="1:3" x14ac:dyDescent="0.25">
      <c r="A301" s="10" t="s">
        <v>400</v>
      </c>
      <c r="B301" s="15">
        <v>0</v>
      </c>
      <c r="C301" t="s">
        <v>75</v>
      </c>
    </row>
    <row r="302" spans="1:3" x14ac:dyDescent="0.25">
      <c r="A302" s="10" t="s">
        <v>400</v>
      </c>
      <c r="B302" s="15">
        <v>0</v>
      </c>
      <c r="C302" t="s">
        <v>75</v>
      </c>
    </row>
    <row r="303" spans="1:3" x14ac:dyDescent="0.25">
      <c r="A303" s="10" t="s">
        <v>402</v>
      </c>
      <c r="B303" s="15">
        <v>0</v>
      </c>
      <c r="C303" t="s">
        <v>75</v>
      </c>
    </row>
    <row r="304" spans="1:3" x14ac:dyDescent="0.25">
      <c r="A304" s="10" t="s">
        <v>402</v>
      </c>
      <c r="B304" s="15">
        <v>0</v>
      </c>
      <c r="C304" t="s">
        <v>75</v>
      </c>
    </row>
    <row r="305" spans="1:3" x14ac:dyDescent="0.25">
      <c r="A305" s="10" t="s">
        <v>404</v>
      </c>
      <c r="B305" s="15">
        <v>0</v>
      </c>
      <c r="C305" t="s">
        <v>75</v>
      </c>
    </row>
    <row r="306" spans="1:3" x14ac:dyDescent="0.25">
      <c r="A306" s="10" t="s">
        <v>404</v>
      </c>
      <c r="B306" s="15">
        <v>0</v>
      </c>
      <c r="C306" t="s">
        <v>75</v>
      </c>
    </row>
    <row r="307" spans="1:3" x14ac:dyDescent="0.25">
      <c r="A307" s="10" t="s">
        <v>406</v>
      </c>
      <c r="B307" s="15">
        <v>0</v>
      </c>
      <c r="C307" t="s">
        <v>75</v>
      </c>
    </row>
    <row r="308" spans="1:3" x14ac:dyDescent="0.25">
      <c r="A308" s="10" t="s">
        <v>406</v>
      </c>
      <c r="B308" s="15">
        <v>0</v>
      </c>
      <c r="C308" t="s">
        <v>75</v>
      </c>
    </row>
    <row r="309" spans="1:3" x14ac:dyDescent="0.25">
      <c r="A309" s="10" t="s">
        <v>408</v>
      </c>
      <c r="B309" s="15">
        <v>0</v>
      </c>
      <c r="C309" t="s">
        <v>75</v>
      </c>
    </row>
    <row r="310" spans="1:3" x14ac:dyDescent="0.25">
      <c r="A310" s="10" t="s">
        <v>408</v>
      </c>
      <c r="B310" s="15">
        <v>0</v>
      </c>
      <c r="C310" t="s">
        <v>75</v>
      </c>
    </row>
    <row r="311" spans="1:3" x14ac:dyDescent="0.25">
      <c r="A311" s="10" t="s">
        <v>410</v>
      </c>
      <c r="B311" s="15">
        <v>0</v>
      </c>
      <c r="C311" t="s">
        <v>75</v>
      </c>
    </row>
    <row r="312" spans="1:3" x14ac:dyDescent="0.25">
      <c r="A312" s="10" t="s">
        <v>410</v>
      </c>
      <c r="B312" s="15">
        <v>0</v>
      </c>
      <c r="C312" t="s">
        <v>75</v>
      </c>
    </row>
    <row r="313" spans="1:3" x14ac:dyDescent="0.25">
      <c r="A313" s="10" t="s">
        <v>412</v>
      </c>
      <c r="B313" s="15">
        <v>0</v>
      </c>
      <c r="C313" t="s">
        <v>75</v>
      </c>
    </row>
    <row r="314" spans="1:3" x14ac:dyDescent="0.25">
      <c r="A314" s="10" t="s">
        <v>412</v>
      </c>
      <c r="B314" s="15">
        <v>0</v>
      </c>
      <c r="C314" t="s">
        <v>75</v>
      </c>
    </row>
    <row r="315" spans="1:3" x14ac:dyDescent="0.25">
      <c r="A315" s="10" t="s">
        <v>414</v>
      </c>
      <c r="B315" s="15">
        <v>0</v>
      </c>
      <c r="C315" t="s">
        <v>75</v>
      </c>
    </row>
    <row r="316" spans="1:3" x14ac:dyDescent="0.25">
      <c r="A316" s="10" t="s">
        <v>414</v>
      </c>
      <c r="B316" s="15">
        <v>0</v>
      </c>
      <c r="C316" t="s">
        <v>75</v>
      </c>
    </row>
    <row r="317" spans="1:3" x14ac:dyDescent="0.25">
      <c r="A317" s="10" t="s">
        <v>416</v>
      </c>
      <c r="B317" s="15">
        <v>0</v>
      </c>
      <c r="C317" t="s">
        <v>75</v>
      </c>
    </row>
    <row r="318" spans="1:3" x14ac:dyDescent="0.25">
      <c r="A318" s="10" t="s">
        <v>416</v>
      </c>
      <c r="B318" s="15">
        <v>0</v>
      </c>
      <c r="C318" t="s">
        <v>75</v>
      </c>
    </row>
    <row r="319" spans="1:3" x14ac:dyDescent="0.25">
      <c r="A319" s="10" t="s">
        <v>418</v>
      </c>
      <c r="B319" s="15">
        <v>0</v>
      </c>
      <c r="C319" t="s">
        <v>75</v>
      </c>
    </row>
    <row r="320" spans="1:3" x14ac:dyDescent="0.25">
      <c r="A320" s="10" t="s">
        <v>418</v>
      </c>
      <c r="B320" s="15">
        <v>0</v>
      </c>
      <c r="C320" t="s">
        <v>75</v>
      </c>
    </row>
    <row r="321" spans="1:3" x14ac:dyDescent="0.25">
      <c r="A321" s="10" t="s">
        <v>420</v>
      </c>
      <c r="B321" s="15">
        <v>0</v>
      </c>
      <c r="C321" t="s">
        <v>75</v>
      </c>
    </row>
    <row r="322" spans="1:3" x14ac:dyDescent="0.25">
      <c r="A322" s="10" t="s">
        <v>420</v>
      </c>
      <c r="B322" s="15">
        <v>0</v>
      </c>
      <c r="C322" t="s">
        <v>75</v>
      </c>
    </row>
    <row r="323" spans="1:3" x14ac:dyDescent="0.25">
      <c r="A323" s="10" t="s">
        <v>422</v>
      </c>
      <c r="B323" s="15">
        <v>0</v>
      </c>
      <c r="C323" t="s">
        <v>75</v>
      </c>
    </row>
    <row r="324" spans="1:3" x14ac:dyDescent="0.25">
      <c r="A324" s="10" t="s">
        <v>422</v>
      </c>
      <c r="B324" s="15">
        <v>0</v>
      </c>
      <c r="C324" t="s">
        <v>75</v>
      </c>
    </row>
    <row r="325" spans="1:3" x14ac:dyDescent="0.25">
      <c r="A325" s="10" t="s">
        <v>424</v>
      </c>
      <c r="B325" s="15">
        <v>0</v>
      </c>
      <c r="C325" t="s">
        <v>75</v>
      </c>
    </row>
    <row r="326" spans="1:3" x14ac:dyDescent="0.25">
      <c r="A326" s="10" t="s">
        <v>424</v>
      </c>
      <c r="B326" s="15">
        <v>0</v>
      </c>
      <c r="C326" t="s">
        <v>75</v>
      </c>
    </row>
    <row r="327" spans="1:3" x14ac:dyDescent="0.25">
      <c r="A327" s="10" t="s">
        <v>426</v>
      </c>
      <c r="B327" s="15">
        <v>0</v>
      </c>
      <c r="C327" t="s">
        <v>75</v>
      </c>
    </row>
    <row r="328" spans="1:3" x14ac:dyDescent="0.25">
      <c r="A328" s="10" t="s">
        <v>426</v>
      </c>
      <c r="B328" s="15">
        <v>0</v>
      </c>
      <c r="C328" t="s">
        <v>75</v>
      </c>
    </row>
    <row r="329" spans="1:3" x14ac:dyDescent="0.25">
      <c r="A329" s="10" t="s">
        <v>428</v>
      </c>
      <c r="B329" s="15">
        <v>0</v>
      </c>
      <c r="C329" t="s">
        <v>75</v>
      </c>
    </row>
    <row r="330" spans="1:3" x14ac:dyDescent="0.25">
      <c r="A330" s="10" t="s">
        <v>428</v>
      </c>
      <c r="B330" s="15">
        <v>0</v>
      </c>
      <c r="C330" t="s">
        <v>75</v>
      </c>
    </row>
    <row r="331" spans="1:3" x14ac:dyDescent="0.25">
      <c r="A331" s="10" t="s">
        <v>430</v>
      </c>
      <c r="B331" s="15">
        <v>0</v>
      </c>
      <c r="C331" t="s">
        <v>75</v>
      </c>
    </row>
    <row r="332" spans="1:3" x14ac:dyDescent="0.25">
      <c r="A332" s="10" t="s">
        <v>430</v>
      </c>
      <c r="B332" s="15">
        <v>0</v>
      </c>
      <c r="C332" t="s">
        <v>75</v>
      </c>
    </row>
    <row r="333" spans="1:3" x14ac:dyDescent="0.25">
      <c r="A333" s="10" t="s">
        <v>432</v>
      </c>
      <c r="B333" s="15">
        <v>0</v>
      </c>
      <c r="C333" t="s">
        <v>75</v>
      </c>
    </row>
    <row r="334" spans="1:3" x14ac:dyDescent="0.25">
      <c r="A334" s="10" t="s">
        <v>432</v>
      </c>
      <c r="B334" s="15">
        <v>0</v>
      </c>
      <c r="C334" t="s">
        <v>75</v>
      </c>
    </row>
    <row r="335" spans="1:3" x14ac:dyDescent="0.25">
      <c r="A335" s="10" t="s">
        <v>434</v>
      </c>
      <c r="B335" s="15">
        <v>0</v>
      </c>
      <c r="C335" t="s">
        <v>75</v>
      </c>
    </row>
    <row r="336" spans="1:3" x14ac:dyDescent="0.25">
      <c r="A336" s="10" t="s">
        <v>434</v>
      </c>
      <c r="B336" s="15">
        <v>0</v>
      </c>
      <c r="C336" t="s">
        <v>75</v>
      </c>
    </row>
    <row r="337" spans="1:3" x14ac:dyDescent="0.25">
      <c r="A337" s="10" t="s">
        <v>436</v>
      </c>
      <c r="B337" s="15">
        <v>0</v>
      </c>
      <c r="C337" t="s">
        <v>75</v>
      </c>
    </row>
    <row r="338" spans="1:3" x14ac:dyDescent="0.25">
      <c r="A338" s="10" t="s">
        <v>436</v>
      </c>
      <c r="B338" s="15">
        <v>0</v>
      </c>
      <c r="C338" t="s">
        <v>75</v>
      </c>
    </row>
    <row r="339" spans="1:3" x14ac:dyDescent="0.25">
      <c r="A339" s="10" t="s">
        <v>438</v>
      </c>
      <c r="B339" s="15">
        <v>0</v>
      </c>
      <c r="C339" t="s">
        <v>75</v>
      </c>
    </row>
    <row r="340" spans="1:3" x14ac:dyDescent="0.25">
      <c r="A340" s="10" t="s">
        <v>438</v>
      </c>
      <c r="B340" s="15">
        <v>0</v>
      </c>
      <c r="C340" t="s">
        <v>75</v>
      </c>
    </row>
    <row r="341" spans="1:3" x14ac:dyDescent="0.25">
      <c r="A341" s="10" t="s">
        <v>440</v>
      </c>
      <c r="B341" s="15">
        <v>0</v>
      </c>
      <c r="C341" t="s">
        <v>75</v>
      </c>
    </row>
    <row r="342" spans="1:3" x14ac:dyDescent="0.25">
      <c r="A342" s="10" t="s">
        <v>440</v>
      </c>
      <c r="B342" s="15">
        <v>0</v>
      </c>
      <c r="C342" t="s">
        <v>75</v>
      </c>
    </row>
    <row r="343" spans="1:3" x14ac:dyDescent="0.25">
      <c r="A343" s="10" t="s">
        <v>442</v>
      </c>
      <c r="B343" s="15">
        <v>0</v>
      </c>
      <c r="C343" t="s">
        <v>75</v>
      </c>
    </row>
    <row r="344" spans="1:3" x14ac:dyDescent="0.25">
      <c r="A344" s="10" t="s">
        <v>442</v>
      </c>
      <c r="B344" s="15">
        <v>0</v>
      </c>
      <c r="C344" t="s">
        <v>75</v>
      </c>
    </row>
    <row r="345" spans="1:3" x14ac:dyDescent="0.25">
      <c r="A345" s="10" t="s">
        <v>446</v>
      </c>
      <c r="B345" s="15">
        <v>0</v>
      </c>
      <c r="C345" t="s">
        <v>75</v>
      </c>
    </row>
    <row r="346" spans="1:3" x14ac:dyDescent="0.25">
      <c r="A346" s="10" t="s">
        <v>446</v>
      </c>
      <c r="B346" s="15">
        <v>0</v>
      </c>
      <c r="C346" t="s">
        <v>75</v>
      </c>
    </row>
    <row r="347" spans="1:3" x14ac:dyDescent="0.25">
      <c r="A347" s="10" t="s">
        <v>448</v>
      </c>
      <c r="B347" s="15">
        <v>0</v>
      </c>
      <c r="C347" t="s">
        <v>75</v>
      </c>
    </row>
    <row r="348" spans="1:3" x14ac:dyDescent="0.25">
      <c r="A348" s="10" t="s">
        <v>448</v>
      </c>
      <c r="B348" s="15">
        <v>0</v>
      </c>
      <c r="C348" t="s">
        <v>75</v>
      </c>
    </row>
    <row r="349" spans="1:3" x14ac:dyDescent="0.25">
      <c r="A349" s="10" t="s">
        <v>450</v>
      </c>
      <c r="B349" s="15">
        <v>0</v>
      </c>
      <c r="C349" t="s">
        <v>75</v>
      </c>
    </row>
    <row r="350" spans="1:3" x14ac:dyDescent="0.25">
      <c r="A350" s="10" t="s">
        <v>450</v>
      </c>
      <c r="B350" s="15">
        <v>0</v>
      </c>
      <c r="C350" t="s">
        <v>75</v>
      </c>
    </row>
    <row r="351" spans="1:3" x14ac:dyDescent="0.25">
      <c r="A351" s="10" t="s">
        <v>452</v>
      </c>
      <c r="B351" s="15">
        <v>0</v>
      </c>
      <c r="C351" t="s">
        <v>75</v>
      </c>
    </row>
    <row r="352" spans="1:3" x14ac:dyDescent="0.25">
      <c r="A352" s="10" t="s">
        <v>452</v>
      </c>
      <c r="B352" s="15">
        <v>0</v>
      </c>
      <c r="C352" t="s">
        <v>75</v>
      </c>
    </row>
    <row r="353" spans="1:3" x14ac:dyDescent="0.25">
      <c r="A353" s="10" t="s">
        <v>454</v>
      </c>
      <c r="B353" s="15">
        <v>0</v>
      </c>
      <c r="C353" t="s">
        <v>75</v>
      </c>
    </row>
    <row r="354" spans="1:3" x14ac:dyDescent="0.25">
      <c r="A354" s="10" t="s">
        <v>454</v>
      </c>
      <c r="B354" s="15">
        <v>0</v>
      </c>
      <c r="C354" t="s">
        <v>75</v>
      </c>
    </row>
    <row r="355" spans="1:3" x14ac:dyDescent="0.25">
      <c r="A355" s="10" t="s">
        <v>456</v>
      </c>
      <c r="B355" s="15">
        <v>0</v>
      </c>
      <c r="C355" t="s">
        <v>75</v>
      </c>
    </row>
    <row r="356" spans="1:3" x14ac:dyDescent="0.25">
      <c r="A356" s="10" t="s">
        <v>456</v>
      </c>
      <c r="B356" s="15">
        <v>0</v>
      </c>
      <c r="C356" t="s">
        <v>75</v>
      </c>
    </row>
    <row r="357" spans="1:3" x14ac:dyDescent="0.25">
      <c r="A357" s="10" t="s">
        <v>458</v>
      </c>
      <c r="B357" s="15">
        <v>0</v>
      </c>
      <c r="C357" t="s">
        <v>75</v>
      </c>
    </row>
    <row r="358" spans="1:3" x14ac:dyDescent="0.25">
      <c r="A358" s="10" t="s">
        <v>458</v>
      </c>
      <c r="B358" s="15">
        <v>0</v>
      </c>
      <c r="C358" t="s">
        <v>75</v>
      </c>
    </row>
    <row r="359" spans="1:3" x14ac:dyDescent="0.25">
      <c r="A359" s="10" t="s">
        <v>460</v>
      </c>
      <c r="B359" s="15">
        <v>0</v>
      </c>
      <c r="C359" t="s">
        <v>75</v>
      </c>
    </row>
    <row r="360" spans="1:3" x14ac:dyDescent="0.25">
      <c r="A360" s="10" t="s">
        <v>460</v>
      </c>
      <c r="B360" s="15">
        <v>0</v>
      </c>
      <c r="C360" t="s">
        <v>75</v>
      </c>
    </row>
    <row r="361" spans="1:3" x14ac:dyDescent="0.25">
      <c r="A361" s="10" t="s">
        <v>462</v>
      </c>
      <c r="B361" s="15">
        <v>0</v>
      </c>
      <c r="C361" t="s">
        <v>75</v>
      </c>
    </row>
    <row r="362" spans="1:3" x14ac:dyDescent="0.25">
      <c r="A362" s="10" t="s">
        <v>462</v>
      </c>
      <c r="B362" s="15">
        <v>0</v>
      </c>
      <c r="C362" t="s">
        <v>75</v>
      </c>
    </row>
    <row r="363" spans="1:3" x14ac:dyDescent="0.25">
      <c r="A363" s="10" t="s">
        <v>469</v>
      </c>
      <c r="B363" s="15">
        <v>0</v>
      </c>
      <c r="C363" t="s">
        <v>75</v>
      </c>
    </row>
    <row r="364" spans="1:3" x14ac:dyDescent="0.25">
      <c r="A364" s="10" t="s">
        <v>469</v>
      </c>
      <c r="B364" s="15">
        <v>0</v>
      </c>
      <c r="C364" t="s">
        <v>75</v>
      </c>
    </row>
    <row r="365" spans="1:3" x14ac:dyDescent="0.25">
      <c r="A365" s="10" t="s">
        <v>471</v>
      </c>
      <c r="B365" s="15">
        <v>0</v>
      </c>
      <c r="C365" t="s">
        <v>75</v>
      </c>
    </row>
    <row r="366" spans="1:3" x14ac:dyDescent="0.25">
      <c r="A366" s="10" t="s">
        <v>471</v>
      </c>
      <c r="B366" s="15">
        <v>0</v>
      </c>
      <c r="C366" t="s">
        <v>75</v>
      </c>
    </row>
    <row r="367" spans="1:3" x14ac:dyDescent="0.25">
      <c r="A367" s="10" t="s">
        <v>473</v>
      </c>
      <c r="B367" s="15">
        <v>0</v>
      </c>
      <c r="C367" t="s">
        <v>75</v>
      </c>
    </row>
    <row r="368" spans="1:3" x14ac:dyDescent="0.25">
      <c r="A368" s="10" t="s">
        <v>473</v>
      </c>
      <c r="B368" s="15">
        <v>0</v>
      </c>
      <c r="C368" t="s">
        <v>75</v>
      </c>
    </row>
    <row r="369" spans="1:3" x14ac:dyDescent="0.25">
      <c r="A369" s="10" t="s">
        <v>475</v>
      </c>
      <c r="B369" s="15">
        <v>0</v>
      </c>
      <c r="C369" t="s">
        <v>75</v>
      </c>
    </row>
    <row r="370" spans="1:3" x14ac:dyDescent="0.25">
      <c r="A370" s="10" t="s">
        <v>475</v>
      </c>
      <c r="B370" s="15">
        <v>0</v>
      </c>
      <c r="C370" t="s">
        <v>75</v>
      </c>
    </row>
    <row r="371" spans="1:3" x14ac:dyDescent="0.25">
      <c r="A371" s="10" t="s">
        <v>477</v>
      </c>
      <c r="B371" s="15">
        <v>0</v>
      </c>
      <c r="C371" t="s">
        <v>75</v>
      </c>
    </row>
    <row r="372" spans="1:3" x14ac:dyDescent="0.25">
      <c r="A372" s="10" t="s">
        <v>477</v>
      </c>
      <c r="B372" s="15">
        <v>0</v>
      </c>
      <c r="C372" t="s">
        <v>75</v>
      </c>
    </row>
    <row r="373" spans="1:3" x14ac:dyDescent="0.25">
      <c r="A373" s="10" t="s">
        <v>479</v>
      </c>
      <c r="B373" s="15">
        <v>0</v>
      </c>
      <c r="C373" t="s">
        <v>75</v>
      </c>
    </row>
    <row r="374" spans="1:3" x14ac:dyDescent="0.25">
      <c r="A374" s="10" t="s">
        <v>479</v>
      </c>
      <c r="B374" s="15">
        <v>0</v>
      </c>
      <c r="C374" t="s">
        <v>75</v>
      </c>
    </row>
    <row r="375" spans="1:3" x14ac:dyDescent="0.25">
      <c r="A375" s="10" t="s">
        <v>481</v>
      </c>
      <c r="B375" s="15">
        <v>0</v>
      </c>
      <c r="C375" t="s">
        <v>75</v>
      </c>
    </row>
    <row r="376" spans="1:3" x14ac:dyDescent="0.25">
      <c r="A376" s="10" t="s">
        <v>481</v>
      </c>
      <c r="B376" s="15">
        <v>0</v>
      </c>
      <c r="C376" t="s">
        <v>75</v>
      </c>
    </row>
    <row r="377" spans="1:3" x14ac:dyDescent="0.25">
      <c r="A377" s="10" t="s">
        <v>483</v>
      </c>
      <c r="B377" s="15">
        <v>0</v>
      </c>
      <c r="C377" t="s">
        <v>75</v>
      </c>
    </row>
    <row r="378" spans="1:3" x14ac:dyDescent="0.25">
      <c r="A378" s="10" t="s">
        <v>483</v>
      </c>
      <c r="B378" s="15">
        <v>0</v>
      </c>
      <c r="C378" t="s">
        <v>75</v>
      </c>
    </row>
    <row r="379" spans="1:3" x14ac:dyDescent="0.25">
      <c r="A379" s="10" t="s">
        <v>485</v>
      </c>
      <c r="B379" s="15">
        <v>0</v>
      </c>
      <c r="C379" t="s">
        <v>75</v>
      </c>
    </row>
    <row r="380" spans="1:3" x14ac:dyDescent="0.25">
      <c r="A380" s="10" t="s">
        <v>485</v>
      </c>
      <c r="B380" s="15">
        <v>0</v>
      </c>
      <c r="C380" t="s">
        <v>75</v>
      </c>
    </row>
    <row r="381" spans="1:3" x14ac:dyDescent="0.25">
      <c r="A381" s="10" t="s">
        <v>487</v>
      </c>
      <c r="B381" s="15">
        <v>0</v>
      </c>
      <c r="C381" t="s">
        <v>75</v>
      </c>
    </row>
    <row r="382" spans="1:3" x14ac:dyDescent="0.25">
      <c r="A382" s="10" t="s">
        <v>487</v>
      </c>
      <c r="B382" s="15">
        <v>0</v>
      </c>
      <c r="C382" t="s">
        <v>75</v>
      </c>
    </row>
    <row r="383" spans="1:3" x14ac:dyDescent="0.25">
      <c r="A383" s="10" t="s">
        <v>489</v>
      </c>
      <c r="B383" s="15">
        <v>0</v>
      </c>
      <c r="C383" t="s">
        <v>75</v>
      </c>
    </row>
    <row r="384" spans="1:3" x14ac:dyDescent="0.25">
      <c r="A384" s="10" t="s">
        <v>489</v>
      </c>
      <c r="B384" s="15">
        <v>0</v>
      </c>
      <c r="C384" t="s">
        <v>75</v>
      </c>
    </row>
    <row r="385" spans="1:3" x14ac:dyDescent="0.25">
      <c r="A385" s="10" t="s">
        <v>491</v>
      </c>
      <c r="B385" s="15">
        <v>0</v>
      </c>
      <c r="C385" t="s">
        <v>75</v>
      </c>
    </row>
    <row r="386" spans="1:3" x14ac:dyDescent="0.25">
      <c r="A386" s="10" t="s">
        <v>491</v>
      </c>
      <c r="B386" s="15">
        <v>0</v>
      </c>
      <c r="C386" t="s">
        <v>75</v>
      </c>
    </row>
    <row r="387" spans="1:3" x14ac:dyDescent="0.25">
      <c r="A387" s="10" t="s">
        <v>493</v>
      </c>
      <c r="B387" s="15">
        <v>0</v>
      </c>
      <c r="C387" t="s">
        <v>75</v>
      </c>
    </row>
    <row r="388" spans="1:3" x14ac:dyDescent="0.25">
      <c r="A388" s="10" t="s">
        <v>493</v>
      </c>
      <c r="B388" s="15">
        <v>0</v>
      </c>
      <c r="C388" t="s">
        <v>75</v>
      </c>
    </row>
    <row r="389" spans="1:3" x14ac:dyDescent="0.25">
      <c r="A389" s="10" t="s">
        <v>495</v>
      </c>
      <c r="B389" s="15">
        <v>0</v>
      </c>
      <c r="C389" t="s">
        <v>75</v>
      </c>
    </row>
    <row r="390" spans="1:3" x14ac:dyDescent="0.25">
      <c r="A390" s="10" t="s">
        <v>495</v>
      </c>
      <c r="B390" s="15">
        <v>0</v>
      </c>
      <c r="C390" t="s">
        <v>75</v>
      </c>
    </row>
    <row r="391" spans="1:3" x14ac:dyDescent="0.25">
      <c r="A391" s="10" t="s">
        <v>497</v>
      </c>
      <c r="B391" s="15">
        <v>0</v>
      </c>
      <c r="C391" t="s">
        <v>75</v>
      </c>
    </row>
    <row r="392" spans="1:3" x14ac:dyDescent="0.25">
      <c r="A392" s="10" t="s">
        <v>497</v>
      </c>
      <c r="B392" s="15">
        <v>0</v>
      </c>
      <c r="C392" t="s">
        <v>75</v>
      </c>
    </row>
    <row r="393" spans="1:3" x14ac:dyDescent="0.25">
      <c r="A393" s="10" t="s">
        <v>499</v>
      </c>
      <c r="B393" s="15">
        <v>0</v>
      </c>
      <c r="C393" t="s">
        <v>75</v>
      </c>
    </row>
    <row r="394" spans="1:3" x14ac:dyDescent="0.25">
      <c r="A394" s="10" t="s">
        <v>499</v>
      </c>
      <c r="B394" s="15">
        <v>0</v>
      </c>
      <c r="C394" t="s">
        <v>75</v>
      </c>
    </row>
    <row r="395" spans="1:3" x14ac:dyDescent="0.25">
      <c r="A395" s="10" t="s">
        <v>501</v>
      </c>
      <c r="B395" s="15">
        <v>0</v>
      </c>
      <c r="C395" t="s">
        <v>75</v>
      </c>
    </row>
    <row r="396" spans="1:3" x14ac:dyDescent="0.25">
      <c r="A396" s="10" t="s">
        <v>501</v>
      </c>
      <c r="B396" s="15">
        <v>0</v>
      </c>
      <c r="C396" t="s">
        <v>75</v>
      </c>
    </row>
    <row r="397" spans="1:3" x14ac:dyDescent="0.25">
      <c r="A397" s="10" t="s">
        <v>503</v>
      </c>
      <c r="B397" s="15">
        <v>0</v>
      </c>
      <c r="C397" t="s">
        <v>75</v>
      </c>
    </row>
    <row r="398" spans="1:3" x14ac:dyDescent="0.25">
      <c r="A398" s="10" t="s">
        <v>503</v>
      </c>
      <c r="B398" s="15">
        <v>0</v>
      </c>
      <c r="C398" t="s">
        <v>75</v>
      </c>
    </row>
    <row r="399" spans="1:3" x14ac:dyDescent="0.25">
      <c r="A399" s="10" t="s">
        <v>505</v>
      </c>
      <c r="B399" s="15">
        <v>0</v>
      </c>
      <c r="C399" t="s">
        <v>75</v>
      </c>
    </row>
    <row r="400" spans="1:3" x14ac:dyDescent="0.25">
      <c r="A400" s="10" t="s">
        <v>505</v>
      </c>
      <c r="B400" s="15">
        <v>0</v>
      </c>
      <c r="C400" t="s">
        <v>75</v>
      </c>
    </row>
    <row r="401" spans="1:3" x14ac:dyDescent="0.25">
      <c r="A401" s="10" t="s">
        <v>507</v>
      </c>
      <c r="B401" s="15">
        <v>0</v>
      </c>
      <c r="C401" t="s">
        <v>75</v>
      </c>
    </row>
    <row r="402" spans="1:3" x14ac:dyDescent="0.25">
      <c r="A402" s="10" t="s">
        <v>507</v>
      </c>
      <c r="B402" s="15">
        <v>0</v>
      </c>
      <c r="C402" t="s">
        <v>75</v>
      </c>
    </row>
    <row r="403" spans="1:3" x14ac:dyDescent="0.25">
      <c r="A403" s="10" t="s">
        <v>509</v>
      </c>
      <c r="B403" s="15">
        <v>0</v>
      </c>
      <c r="C403" t="s">
        <v>75</v>
      </c>
    </row>
    <row r="404" spans="1:3" x14ac:dyDescent="0.25">
      <c r="A404" s="10" t="s">
        <v>509</v>
      </c>
      <c r="B404" s="15">
        <v>0</v>
      </c>
      <c r="C404" t="s">
        <v>75</v>
      </c>
    </row>
    <row r="405" spans="1:3" x14ac:dyDescent="0.25">
      <c r="A405" s="10" t="s">
        <v>511</v>
      </c>
      <c r="B405" s="15">
        <v>0</v>
      </c>
      <c r="C405" t="s">
        <v>75</v>
      </c>
    </row>
    <row r="406" spans="1:3" x14ac:dyDescent="0.25">
      <c r="A406" s="10" t="s">
        <v>511</v>
      </c>
      <c r="B406" s="15">
        <v>0</v>
      </c>
      <c r="C406" t="s">
        <v>75</v>
      </c>
    </row>
    <row r="407" spans="1:3" x14ac:dyDescent="0.25">
      <c r="A407" s="10" t="s">
        <v>513</v>
      </c>
      <c r="B407" s="15">
        <v>0</v>
      </c>
      <c r="C407" t="s">
        <v>75</v>
      </c>
    </row>
    <row r="408" spans="1:3" x14ac:dyDescent="0.25">
      <c r="A408" s="10" t="s">
        <v>513</v>
      </c>
      <c r="B408" s="15">
        <v>0</v>
      </c>
      <c r="C408" t="s">
        <v>75</v>
      </c>
    </row>
    <row r="409" spans="1:3" x14ac:dyDescent="0.25">
      <c r="A409" s="10" t="s">
        <v>518</v>
      </c>
      <c r="B409" s="15">
        <v>0</v>
      </c>
      <c r="C409" t="s">
        <v>75</v>
      </c>
    </row>
    <row r="410" spans="1:3" x14ac:dyDescent="0.25">
      <c r="A410" s="10" t="s">
        <v>518</v>
      </c>
      <c r="B410" s="15">
        <v>0</v>
      </c>
      <c r="C410" t="s">
        <v>75</v>
      </c>
    </row>
    <row r="411" spans="1:3" x14ac:dyDescent="0.25">
      <c r="A411" s="10" t="s">
        <v>520</v>
      </c>
      <c r="B411" s="15">
        <v>0</v>
      </c>
      <c r="C411" t="s">
        <v>75</v>
      </c>
    </row>
    <row r="412" spans="1:3" x14ac:dyDescent="0.25">
      <c r="A412" s="10" t="s">
        <v>520</v>
      </c>
      <c r="B412" s="15">
        <v>0</v>
      </c>
      <c r="C412" t="s">
        <v>75</v>
      </c>
    </row>
    <row r="413" spans="1:3" x14ac:dyDescent="0.25">
      <c r="A413" s="10" t="s">
        <v>522</v>
      </c>
      <c r="B413" s="15">
        <v>0</v>
      </c>
      <c r="C413" t="s">
        <v>75</v>
      </c>
    </row>
    <row r="414" spans="1:3" x14ac:dyDescent="0.25">
      <c r="A414" s="10" t="s">
        <v>522</v>
      </c>
      <c r="B414" s="15">
        <v>0</v>
      </c>
      <c r="C414" t="s">
        <v>75</v>
      </c>
    </row>
    <row r="415" spans="1:3" x14ac:dyDescent="0.25">
      <c r="A415" s="10" t="s">
        <v>524</v>
      </c>
      <c r="B415" s="15">
        <v>0</v>
      </c>
      <c r="C415" t="s">
        <v>75</v>
      </c>
    </row>
    <row r="416" spans="1:3" x14ac:dyDescent="0.25">
      <c r="A416" s="10" t="s">
        <v>524</v>
      </c>
      <c r="B416" s="15">
        <v>0</v>
      </c>
      <c r="C416" t="s">
        <v>75</v>
      </c>
    </row>
    <row r="417" spans="1:3" x14ac:dyDescent="0.25">
      <c r="A417" s="10" t="s">
        <v>526</v>
      </c>
      <c r="B417" s="15">
        <v>0</v>
      </c>
      <c r="C417" t="s">
        <v>75</v>
      </c>
    </row>
    <row r="418" spans="1:3" x14ac:dyDescent="0.25">
      <c r="A418" s="10" t="s">
        <v>526</v>
      </c>
      <c r="B418" s="15">
        <v>0</v>
      </c>
      <c r="C418" t="s">
        <v>75</v>
      </c>
    </row>
    <row r="419" spans="1:3" x14ac:dyDescent="0.25">
      <c r="A419" s="10" t="s">
        <v>528</v>
      </c>
      <c r="B419" s="15">
        <v>0</v>
      </c>
      <c r="C419" t="s">
        <v>75</v>
      </c>
    </row>
    <row r="420" spans="1:3" x14ac:dyDescent="0.25">
      <c r="A420" s="10" t="s">
        <v>528</v>
      </c>
      <c r="B420" s="15">
        <v>0</v>
      </c>
      <c r="C420" t="s">
        <v>75</v>
      </c>
    </row>
    <row r="421" spans="1:3" x14ac:dyDescent="0.25">
      <c r="A421" s="10" t="s">
        <v>530</v>
      </c>
      <c r="B421" s="15">
        <v>0</v>
      </c>
      <c r="C421" t="s">
        <v>75</v>
      </c>
    </row>
    <row r="422" spans="1:3" x14ac:dyDescent="0.25">
      <c r="A422" s="10" t="s">
        <v>530</v>
      </c>
      <c r="B422" s="15">
        <v>0</v>
      </c>
      <c r="C422" t="s">
        <v>75</v>
      </c>
    </row>
    <row r="423" spans="1:3" x14ac:dyDescent="0.25">
      <c r="A423" s="10" t="s">
        <v>532</v>
      </c>
      <c r="B423" s="15">
        <v>0</v>
      </c>
      <c r="C423" t="s">
        <v>75</v>
      </c>
    </row>
    <row r="424" spans="1:3" x14ac:dyDescent="0.25">
      <c r="A424" s="10" t="s">
        <v>532</v>
      </c>
      <c r="B424" s="15">
        <v>0</v>
      </c>
      <c r="C424" t="s">
        <v>75</v>
      </c>
    </row>
    <row r="425" spans="1:3" x14ac:dyDescent="0.25">
      <c r="A425" s="10" t="s">
        <v>534</v>
      </c>
      <c r="B425" s="15">
        <v>0</v>
      </c>
      <c r="C425" t="s">
        <v>75</v>
      </c>
    </row>
    <row r="426" spans="1:3" x14ac:dyDescent="0.25">
      <c r="A426" s="10" t="s">
        <v>534</v>
      </c>
      <c r="B426" s="15">
        <v>0</v>
      </c>
      <c r="C426" t="s">
        <v>75</v>
      </c>
    </row>
    <row r="427" spans="1:3" x14ac:dyDescent="0.25">
      <c r="A427" s="10" t="s">
        <v>536</v>
      </c>
      <c r="B427" s="15">
        <v>0</v>
      </c>
      <c r="C427" t="s">
        <v>75</v>
      </c>
    </row>
    <row r="428" spans="1:3" x14ac:dyDescent="0.25">
      <c r="A428" s="10" t="s">
        <v>536</v>
      </c>
      <c r="B428" s="15">
        <v>0</v>
      </c>
      <c r="C428" t="s">
        <v>75</v>
      </c>
    </row>
    <row r="429" spans="1:3" x14ac:dyDescent="0.25">
      <c r="A429" s="10" t="s">
        <v>538</v>
      </c>
      <c r="B429" s="15">
        <v>0</v>
      </c>
      <c r="C429" t="s">
        <v>75</v>
      </c>
    </row>
    <row r="430" spans="1:3" x14ac:dyDescent="0.25">
      <c r="A430" s="10" t="s">
        <v>538</v>
      </c>
      <c r="B430" s="15">
        <v>0</v>
      </c>
      <c r="C430" t="s">
        <v>75</v>
      </c>
    </row>
    <row r="431" spans="1:3" x14ac:dyDescent="0.25">
      <c r="A431" s="10" t="s">
        <v>540</v>
      </c>
      <c r="B431" s="15">
        <v>0</v>
      </c>
      <c r="C431" t="s">
        <v>75</v>
      </c>
    </row>
    <row r="432" spans="1:3" x14ac:dyDescent="0.25">
      <c r="A432" s="10" t="s">
        <v>540</v>
      </c>
      <c r="B432" s="15">
        <v>0</v>
      </c>
      <c r="C432" t="s">
        <v>75</v>
      </c>
    </row>
    <row r="433" spans="1:3" x14ac:dyDescent="0.25">
      <c r="A433" s="10" t="s">
        <v>542</v>
      </c>
      <c r="B433" s="15">
        <v>0</v>
      </c>
      <c r="C433" t="s">
        <v>75</v>
      </c>
    </row>
    <row r="434" spans="1:3" x14ac:dyDescent="0.25">
      <c r="A434" s="10" t="s">
        <v>542</v>
      </c>
      <c r="B434" s="15">
        <v>0</v>
      </c>
      <c r="C434" t="s">
        <v>75</v>
      </c>
    </row>
    <row r="435" spans="1:3" x14ac:dyDescent="0.25">
      <c r="A435" s="10" t="s">
        <v>544</v>
      </c>
      <c r="B435" s="15">
        <v>0</v>
      </c>
      <c r="C435" t="s">
        <v>75</v>
      </c>
    </row>
    <row r="436" spans="1:3" x14ac:dyDescent="0.25">
      <c r="A436" s="10" t="s">
        <v>544</v>
      </c>
      <c r="B436" s="15">
        <v>0</v>
      </c>
      <c r="C436" t="s">
        <v>75</v>
      </c>
    </row>
    <row r="437" spans="1:3" x14ac:dyDescent="0.25">
      <c r="A437" s="10" t="s">
        <v>546</v>
      </c>
      <c r="B437" s="15">
        <v>0</v>
      </c>
      <c r="C437" t="s">
        <v>75</v>
      </c>
    </row>
    <row r="438" spans="1:3" x14ac:dyDescent="0.25">
      <c r="A438" s="10" t="s">
        <v>546</v>
      </c>
      <c r="B438" s="15">
        <v>0</v>
      </c>
      <c r="C438" t="s">
        <v>75</v>
      </c>
    </row>
    <row r="439" spans="1:3" x14ac:dyDescent="0.25">
      <c r="A439" s="10" t="s">
        <v>548</v>
      </c>
      <c r="B439" s="15">
        <v>0</v>
      </c>
      <c r="C439" t="s">
        <v>75</v>
      </c>
    </row>
    <row r="440" spans="1:3" x14ac:dyDescent="0.25">
      <c r="A440" s="10" t="s">
        <v>548</v>
      </c>
      <c r="B440" s="15">
        <v>0</v>
      </c>
      <c r="C440" t="s">
        <v>75</v>
      </c>
    </row>
    <row r="441" spans="1:3" x14ac:dyDescent="0.25">
      <c r="A441" s="10" t="s">
        <v>550</v>
      </c>
      <c r="B441" s="15">
        <v>0</v>
      </c>
      <c r="C441" t="s">
        <v>75</v>
      </c>
    </row>
    <row r="442" spans="1:3" x14ac:dyDescent="0.25">
      <c r="A442" s="10" t="s">
        <v>550</v>
      </c>
      <c r="B442" s="15">
        <v>0</v>
      </c>
      <c r="C442" t="s">
        <v>75</v>
      </c>
    </row>
    <row r="443" spans="1:3" x14ac:dyDescent="0.25">
      <c r="A443" s="10" t="s">
        <v>552</v>
      </c>
      <c r="B443" s="15">
        <v>0</v>
      </c>
      <c r="C443" t="s">
        <v>75</v>
      </c>
    </row>
    <row r="444" spans="1:3" x14ac:dyDescent="0.25">
      <c r="A444" s="10" t="s">
        <v>552</v>
      </c>
      <c r="B444" s="15">
        <v>0</v>
      </c>
      <c r="C444" t="s">
        <v>75</v>
      </c>
    </row>
    <row r="445" spans="1:3" x14ac:dyDescent="0.25">
      <c r="A445" s="10" t="s">
        <v>554</v>
      </c>
      <c r="B445" s="15">
        <v>0</v>
      </c>
      <c r="C445" t="s">
        <v>75</v>
      </c>
    </row>
    <row r="446" spans="1:3" x14ac:dyDescent="0.25">
      <c r="A446" s="10" t="s">
        <v>554</v>
      </c>
      <c r="B446" s="15">
        <v>0</v>
      </c>
      <c r="C446" t="s">
        <v>75</v>
      </c>
    </row>
    <row r="447" spans="1:3" x14ac:dyDescent="0.25">
      <c r="A447" s="10" t="s">
        <v>556</v>
      </c>
      <c r="B447" s="15">
        <v>0</v>
      </c>
      <c r="C447" t="s">
        <v>75</v>
      </c>
    </row>
    <row r="448" spans="1:3" x14ac:dyDescent="0.25">
      <c r="A448" s="10" t="s">
        <v>556</v>
      </c>
      <c r="B448" s="15">
        <v>0</v>
      </c>
      <c r="C448" t="s">
        <v>75</v>
      </c>
    </row>
    <row r="449" spans="1:3" x14ac:dyDescent="0.25">
      <c r="A449" s="10" t="s">
        <v>558</v>
      </c>
      <c r="B449" s="15">
        <v>0</v>
      </c>
      <c r="C449" t="s">
        <v>75</v>
      </c>
    </row>
    <row r="450" spans="1:3" x14ac:dyDescent="0.25">
      <c r="A450" s="10" t="s">
        <v>558</v>
      </c>
      <c r="B450" s="15">
        <v>0</v>
      </c>
      <c r="C450" t="s">
        <v>75</v>
      </c>
    </row>
    <row r="451" spans="1:3" x14ac:dyDescent="0.25">
      <c r="A451" s="10" t="s">
        <v>560</v>
      </c>
      <c r="B451" s="15">
        <v>0</v>
      </c>
      <c r="C451" t="s">
        <v>75</v>
      </c>
    </row>
    <row r="452" spans="1:3" x14ac:dyDescent="0.25">
      <c r="A452" s="10" t="s">
        <v>560</v>
      </c>
      <c r="B452" s="15">
        <v>0</v>
      </c>
      <c r="C452" t="s">
        <v>75</v>
      </c>
    </row>
    <row r="453" spans="1:3" x14ac:dyDescent="0.25">
      <c r="A453" s="10" t="s">
        <v>562</v>
      </c>
      <c r="B453" s="15">
        <v>0</v>
      </c>
      <c r="C453" t="s">
        <v>75</v>
      </c>
    </row>
    <row r="454" spans="1:3" x14ac:dyDescent="0.25">
      <c r="A454" s="10" t="s">
        <v>562</v>
      </c>
      <c r="B454" s="15">
        <v>0</v>
      </c>
      <c r="C454" t="s">
        <v>75</v>
      </c>
    </row>
    <row r="455" spans="1:3" x14ac:dyDescent="0.25">
      <c r="A455" s="10" t="s">
        <v>564</v>
      </c>
      <c r="B455" s="15">
        <v>0</v>
      </c>
      <c r="C455" t="s">
        <v>75</v>
      </c>
    </row>
    <row r="456" spans="1:3" x14ac:dyDescent="0.25">
      <c r="A456" s="10" t="s">
        <v>564</v>
      </c>
      <c r="B456" s="15">
        <v>0</v>
      </c>
      <c r="C456" t="s">
        <v>75</v>
      </c>
    </row>
    <row r="457" spans="1:3" x14ac:dyDescent="0.25">
      <c r="A457" s="10" t="s">
        <v>566</v>
      </c>
      <c r="B457" s="15">
        <v>0</v>
      </c>
      <c r="C457" t="s">
        <v>75</v>
      </c>
    </row>
    <row r="458" spans="1:3" x14ac:dyDescent="0.25">
      <c r="A458" s="10" t="s">
        <v>566</v>
      </c>
      <c r="B458" s="15">
        <v>0</v>
      </c>
      <c r="C458" t="s">
        <v>75</v>
      </c>
    </row>
    <row r="459" spans="1:3" x14ac:dyDescent="0.25">
      <c r="A459" s="10" t="s">
        <v>568</v>
      </c>
      <c r="B459" s="15">
        <v>0</v>
      </c>
      <c r="C459" t="s">
        <v>75</v>
      </c>
    </row>
    <row r="460" spans="1:3" x14ac:dyDescent="0.25">
      <c r="A460" s="10" t="s">
        <v>568</v>
      </c>
      <c r="B460" s="15">
        <v>0</v>
      </c>
      <c r="C460" t="s">
        <v>75</v>
      </c>
    </row>
    <row r="461" spans="1:3" x14ac:dyDescent="0.25">
      <c r="A461" s="10" t="s">
        <v>570</v>
      </c>
      <c r="B461" s="15">
        <v>0</v>
      </c>
      <c r="C461" t="s">
        <v>75</v>
      </c>
    </row>
    <row r="462" spans="1:3" x14ac:dyDescent="0.25">
      <c r="A462" s="10" t="s">
        <v>570</v>
      </c>
      <c r="B462" s="15">
        <v>0</v>
      </c>
      <c r="C462" t="s">
        <v>75</v>
      </c>
    </row>
    <row r="463" spans="1:3" x14ac:dyDescent="0.25">
      <c r="A463" s="10" t="s">
        <v>572</v>
      </c>
      <c r="B463" s="15">
        <v>0</v>
      </c>
      <c r="C463" t="s">
        <v>75</v>
      </c>
    </row>
    <row r="464" spans="1:3" x14ac:dyDescent="0.25">
      <c r="A464" s="10" t="s">
        <v>572</v>
      </c>
      <c r="B464" s="15">
        <v>0</v>
      </c>
      <c r="C464" t="s">
        <v>75</v>
      </c>
    </row>
    <row r="465" spans="1:3" x14ac:dyDescent="0.25">
      <c r="A465" s="10" t="s">
        <v>574</v>
      </c>
      <c r="B465" s="15">
        <v>0</v>
      </c>
      <c r="C465" t="s">
        <v>75</v>
      </c>
    </row>
    <row r="466" spans="1:3" x14ac:dyDescent="0.25">
      <c r="A466" s="10" t="s">
        <v>574</v>
      </c>
      <c r="B466" s="15">
        <v>0</v>
      </c>
      <c r="C466" t="s">
        <v>75</v>
      </c>
    </row>
    <row r="467" spans="1:3" x14ac:dyDescent="0.25">
      <c r="A467" s="10" t="s">
        <v>576</v>
      </c>
      <c r="B467" s="15">
        <v>0</v>
      </c>
      <c r="C467" t="s">
        <v>75</v>
      </c>
    </row>
    <row r="468" spans="1:3" x14ac:dyDescent="0.25">
      <c r="A468" s="10" t="s">
        <v>576</v>
      </c>
      <c r="B468" s="15">
        <v>0</v>
      </c>
      <c r="C468" t="s">
        <v>75</v>
      </c>
    </row>
    <row r="469" spans="1:3" x14ac:dyDescent="0.25">
      <c r="A469" s="10" t="s">
        <v>578</v>
      </c>
      <c r="B469" s="15">
        <v>0</v>
      </c>
      <c r="C469" t="s">
        <v>75</v>
      </c>
    </row>
    <row r="470" spans="1:3" x14ac:dyDescent="0.25">
      <c r="A470" s="10" t="s">
        <v>578</v>
      </c>
      <c r="B470" s="15">
        <v>0</v>
      </c>
      <c r="C470" t="s">
        <v>75</v>
      </c>
    </row>
    <row r="471" spans="1:3" x14ac:dyDescent="0.25">
      <c r="A471" s="10" t="s">
        <v>580</v>
      </c>
      <c r="B471" s="15">
        <v>0</v>
      </c>
      <c r="C471" t="s">
        <v>75</v>
      </c>
    </row>
    <row r="472" spans="1:3" x14ac:dyDescent="0.25">
      <c r="A472" s="10" t="s">
        <v>580</v>
      </c>
      <c r="B472" s="15">
        <v>0</v>
      </c>
      <c r="C472" t="s">
        <v>75</v>
      </c>
    </row>
    <row r="473" spans="1:3" x14ac:dyDescent="0.25">
      <c r="A473" s="10" t="s">
        <v>582</v>
      </c>
      <c r="B473" s="15">
        <v>0</v>
      </c>
      <c r="C473" t="s">
        <v>75</v>
      </c>
    </row>
    <row r="474" spans="1:3" x14ac:dyDescent="0.25">
      <c r="A474" s="10" t="s">
        <v>582</v>
      </c>
      <c r="B474" s="15">
        <v>0</v>
      </c>
      <c r="C474" t="s">
        <v>75</v>
      </c>
    </row>
    <row r="475" spans="1:3" x14ac:dyDescent="0.25">
      <c r="A475" s="10" t="s">
        <v>584</v>
      </c>
      <c r="B475" s="15">
        <v>0</v>
      </c>
      <c r="C475" t="s">
        <v>75</v>
      </c>
    </row>
    <row r="476" spans="1:3" x14ac:dyDescent="0.25">
      <c r="A476" s="10" t="s">
        <v>584</v>
      </c>
      <c r="B476" s="15">
        <v>0</v>
      </c>
      <c r="C476" t="s">
        <v>75</v>
      </c>
    </row>
    <row r="477" spans="1:3" x14ac:dyDescent="0.25">
      <c r="A477" s="10" t="s">
        <v>586</v>
      </c>
      <c r="B477" s="15">
        <v>0</v>
      </c>
      <c r="C477" t="s">
        <v>75</v>
      </c>
    </row>
    <row r="478" spans="1:3" x14ac:dyDescent="0.25">
      <c r="A478" s="10" t="s">
        <v>586</v>
      </c>
      <c r="B478" s="15">
        <v>0</v>
      </c>
      <c r="C478" t="s">
        <v>75</v>
      </c>
    </row>
    <row r="479" spans="1:3" x14ac:dyDescent="0.25">
      <c r="A479" s="10" t="s">
        <v>588</v>
      </c>
      <c r="B479" s="15">
        <v>0</v>
      </c>
      <c r="C479" t="s">
        <v>75</v>
      </c>
    </row>
    <row r="480" spans="1:3" x14ac:dyDescent="0.25">
      <c r="A480" s="10" t="s">
        <v>588</v>
      </c>
      <c r="B480" s="15">
        <v>0</v>
      </c>
      <c r="C480" t="s">
        <v>75</v>
      </c>
    </row>
    <row r="481" spans="1:3" x14ac:dyDescent="0.25">
      <c r="A481" s="10" t="s">
        <v>590</v>
      </c>
      <c r="B481" s="15">
        <v>0</v>
      </c>
      <c r="C481" t="s">
        <v>75</v>
      </c>
    </row>
    <row r="482" spans="1:3" x14ac:dyDescent="0.25">
      <c r="A482" s="10" t="s">
        <v>590</v>
      </c>
      <c r="B482" s="15">
        <v>0</v>
      </c>
      <c r="C482" t="s">
        <v>75</v>
      </c>
    </row>
    <row r="483" spans="1:3" x14ac:dyDescent="0.25">
      <c r="A483" s="10" t="s">
        <v>592</v>
      </c>
      <c r="B483" s="15">
        <v>0</v>
      </c>
      <c r="C483" t="s">
        <v>75</v>
      </c>
    </row>
    <row r="484" spans="1:3" x14ac:dyDescent="0.25">
      <c r="A484" s="10" t="s">
        <v>592</v>
      </c>
      <c r="B484" s="15">
        <v>0</v>
      </c>
      <c r="C484" t="s">
        <v>75</v>
      </c>
    </row>
    <row r="485" spans="1:3" x14ac:dyDescent="0.25">
      <c r="A485" s="10" t="s">
        <v>594</v>
      </c>
      <c r="B485" s="15">
        <v>0</v>
      </c>
      <c r="C485" t="s">
        <v>75</v>
      </c>
    </row>
    <row r="486" spans="1:3" x14ac:dyDescent="0.25">
      <c r="A486" s="10" t="s">
        <v>594</v>
      </c>
      <c r="B486" s="15">
        <v>0</v>
      </c>
      <c r="C486" t="s">
        <v>75</v>
      </c>
    </row>
    <row r="487" spans="1:3" x14ac:dyDescent="0.25">
      <c r="A487" s="10" t="s">
        <v>596</v>
      </c>
      <c r="B487" s="15">
        <v>0</v>
      </c>
      <c r="C487" t="s">
        <v>75</v>
      </c>
    </row>
    <row r="488" spans="1:3" x14ac:dyDescent="0.25">
      <c r="A488" s="10" t="s">
        <v>596</v>
      </c>
      <c r="B488" s="15">
        <v>0</v>
      </c>
      <c r="C488" t="s">
        <v>75</v>
      </c>
    </row>
    <row r="489" spans="1:3" x14ac:dyDescent="0.25">
      <c r="A489" s="10" t="s">
        <v>598</v>
      </c>
      <c r="B489" s="15">
        <v>0</v>
      </c>
      <c r="C489" t="s">
        <v>75</v>
      </c>
    </row>
    <row r="490" spans="1:3" x14ac:dyDescent="0.25">
      <c r="A490" s="10" t="s">
        <v>598</v>
      </c>
      <c r="B490" s="15">
        <v>0</v>
      </c>
      <c r="C490" t="s">
        <v>75</v>
      </c>
    </row>
    <row r="491" spans="1:3" x14ac:dyDescent="0.25">
      <c r="A491" s="10" t="s">
        <v>600</v>
      </c>
      <c r="B491" s="15">
        <v>0</v>
      </c>
      <c r="C491" t="s">
        <v>75</v>
      </c>
    </row>
    <row r="492" spans="1:3" x14ac:dyDescent="0.25">
      <c r="A492" s="10" t="s">
        <v>600</v>
      </c>
      <c r="B492" s="15">
        <v>0</v>
      </c>
      <c r="C492" t="s">
        <v>75</v>
      </c>
    </row>
    <row r="493" spans="1:3" x14ac:dyDescent="0.25">
      <c r="A493" s="10" t="s">
        <v>602</v>
      </c>
      <c r="B493" s="15">
        <v>0</v>
      </c>
      <c r="C493" t="s">
        <v>75</v>
      </c>
    </row>
    <row r="494" spans="1:3" x14ac:dyDescent="0.25">
      <c r="A494" s="10" t="s">
        <v>602</v>
      </c>
      <c r="B494" s="15">
        <v>0</v>
      </c>
      <c r="C494" t="s">
        <v>75</v>
      </c>
    </row>
    <row r="495" spans="1:3" x14ac:dyDescent="0.25">
      <c r="A495" s="10" t="s">
        <v>604</v>
      </c>
      <c r="B495" s="15">
        <v>0</v>
      </c>
      <c r="C495" t="s">
        <v>75</v>
      </c>
    </row>
    <row r="496" spans="1:3" x14ac:dyDescent="0.25">
      <c r="A496" s="10" t="s">
        <v>604</v>
      </c>
      <c r="B496" s="15">
        <v>0</v>
      </c>
      <c r="C496" t="s">
        <v>75</v>
      </c>
    </row>
    <row r="497" spans="1:3" x14ac:dyDescent="0.25">
      <c r="A497" s="10" t="s">
        <v>606</v>
      </c>
      <c r="B497" s="15">
        <v>0</v>
      </c>
      <c r="C497" t="s">
        <v>75</v>
      </c>
    </row>
    <row r="498" spans="1:3" x14ac:dyDescent="0.25">
      <c r="A498" s="10" t="s">
        <v>606</v>
      </c>
      <c r="B498" s="15">
        <v>0</v>
      </c>
      <c r="C498" t="s">
        <v>75</v>
      </c>
    </row>
    <row r="499" spans="1:3" x14ac:dyDescent="0.25">
      <c r="A499" s="10" t="s">
        <v>608</v>
      </c>
      <c r="B499" s="15">
        <v>0</v>
      </c>
      <c r="C499" t="s">
        <v>75</v>
      </c>
    </row>
    <row r="500" spans="1:3" x14ac:dyDescent="0.25">
      <c r="A500" s="10" t="s">
        <v>608</v>
      </c>
      <c r="B500" s="15">
        <v>0</v>
      </c>
      <c r="C500" t="s">
        <v>75</v>
      </c>
    </row>
    <row r="501" spans="1:3" x14ac:dyDescent="0.25">
      <c r="A501" s="10" t="s">
        <v>610</v>
      </c>
      <c r="B501" s="15">
        <v>0</v>
      </c>
      <c r="C501" t="s">
        <v>75</v>
      </c>
    </row>
    <row r="502" spans="1:3" x14ac:dyDescent="0.25">
      <c r="A502" s="10" t="s">
        <v>610</v>
      </c>
      <c r="B502" s="15">
        <v>0</v>
      </c>
      <c r="C502" t="s">
        <v>75</v>
      </c>
    </row>
    <row r="503" spans="1:3" x14ac:dyDescent="0.25">
      <c r="A503" s="10" t="s">
        <v>612</v>
      </c>
      <c r="B503" s="15">
        <v>0</v>
      </c>
      <c r="C503" t="s">
        <v>75</v>
      </c>
    </row>
    <row r="504" spans="1:3" x14ac:dyDescent="0.25">
      <c r="A504" s="10" t="s">
        <v>612</v>
      </c>
      <c r="B504" s="15">
        <v>0</v>
      </c>
      <c r="C504" t="s">
        <v>75</v>
      </c>
    </row>
    <row r="505" spans="1:3" x14ac:dyDescent="0.25">
      <c r="A505" s="10" t="s">
        <v>614</v>
      </c>
      <c r="B505" s="15">
        <v>0</v>
      </c>
      <c r="C505" t="s">
        <v>75</v>
      </c>
    </row>
    <row r="506" spans="1:3" x14ac:dyDescent="0.25">
      <c r="A506" s="10" t="s">
        <v>614</v>
      </c>
      <c r="B506" s="15">
        <v>0</v>
      </c>
      <c r="C506" t="s">
        <v>75</v>
      </c>
    </row>
    <row r="507" spans="1:3" x14ac:dyDescent="0.25">
      <c r="A507" s="10" t="s">
        <v>616</v>
      </c>
      <c r="B507" s="15">
        <v>0</v>
      </c>
      <c r="C507" t="s">
        <v>75</v>
      </c>
    </row>
    <row r="508" spans="1:3" x14ac:dyDescent="0.25">
      <c r="A508" s="10" t="s">
        <v>616</v>
      </c>
      <c r="B508" s="15">
        <v>0</v>
      </c>
      <c r="C508" t="s">
        <v>75</v>
      </c>
    </row>
    <row r="509" spans="1:3" x14ac:dyDescent="0.25">
      <c r="A509" s="10" t="s">
        <v>618</v>
      </c>
      <c r="B509" s="15">
        <v>0</v>
      </c>
      <c r="C509" t="s">
        <v>75</v>
      </c>
    </row>
    <row r="510" spans="1:3" x14ac:dyDescent="0.25">
      <c r="A510" s="10" t="s">
        <v>618</v>
      </c>
      <c r="B510" s="15">
        <v>0</v>
      </c>
      <c r="C510" t="s">
        <v>75</v>
      </c>
    </row>
    <row r="511" spans="1:3" x14ac:dyDescent="0.25">
      <c r="A511" s="10" t="s">
        <v>620</v>
      </c>
      <c r="B511" s="15">
        <v>0</v>
      </c>
      <c r="C511" t="s">
        <v>75</v>
      </c>
    </row>
    <row r="512" spans="1:3" x14ac:dyDescent="0.25">
      <c r="A512" s="10" t="s">
        <v>620</v>
      </c>
      <c r="B512" s="15">
        <v>0</v>
      </c>
      <c r="C512" t="s">
        <v>75</v>
      </c>
    </row>
    <row r="513" spans="1:3" x14ac:dyDescent="0.25">
      <c r="A513" s="10" t="s">
        <v>622</v>
      </c>
      <c r="B513" s="15">
        <v>0</v>
      </c>
      <c r="C513" t="s">
        <v>75</v>
      </c>
    </row>
    <row r="514" spans="1:3" x14ac:dyDescent="0.25">
      <c r="A514" s="10" t="s">
        <v>622</v>
      </c>
      <c r="B514" s="15">
        <v>0</v>
      </c>
      <c r="C514" t="s">
        <v>75</v>
      </c>
    </row>
    <row r="515" spans="1:3" x14ac:dyDescent="0.25">
      <c r="A515" s="10" t="s">
        <v>624</v>
      </c>
      <c r="B515" s="15">
        <v>0</v>
      </c>
      <c r="C515" t="s">
        <v>75</v>
      </c>
    </row>
    <row r="516" spans="1:3" x14ac:dyDescent="0.25">
      <c r="A516" s="10" t="s">
        <v>624</v>
      </c>
      <c r="B516" s="15">
        <v>0</v>
      </c>
      <c r="C516" t="s">
        <v>75</v>
      </c>
    </row>
    <row r="517" spans="1:3" x14ac:dyDescent="0.25">
      <c r="A517" s="10" t="s">
        <v>626</v>
      </c>
      <c r="B517" s="15">
        <v>0</v>
      </c>
      <c r="C517" t="s">
        <v>75</v>
      </c>
    </row>
    <row r="518" spans="1:3" x14ac:dyDescent="0.25">
      <c r="A518" s="10" t="s">
        <v>626</v>
      </c>
      <c r="B518" s="15">
        <v>0</v>
      </c>
      <c r="C518" t="s">
        <v>75</v>
      </c>
    </row>
    <row r="519" spans="1:3" x14ac:dyDescent="0.25">
      <c r="A519" s="10" t="s">
        <v>628</v>
      </c>
      <c r="B519" s="15">
        <v>0</v>
      </c>
      <c r="C519" t="s">
        <v>75</v>
      </c>
    </row>
    <row r="520" spans="1:3" x14ac:dyDescent="0.25">
      <c r="A520" s="10" t="s">
        <v>628</v>
      </c>
      <c r="B520" s="15">
        <v>0</v>
      </c>
      <c r="C520" t="s">
        <v>75</v>
      </c>
    </row>
    <row r="521" spans="1:3" x14ac:dyDescent="0.25">
      <c r="A521" s="10" t="s">
        <v>630</v>
      </c>
      <c r="B521" s="15">
        <v>0</v>
      </c>
      <c r="C521" t="s">
        <v>75</v>
      </c>
    </row>
    <row r="522" spans="1:3" x14ac:dyDescent="0.25">
      <c r="A522" s="10" t="s">
        <v>630</v>
      </c>
      <c r="B522" s="15">
        <v>0</v>
      </c>
      <c r="C522" t="s">
        <v>75</v>
      </c>
    </row>
    <row r="523" spans="1:3" x14ac:dyDescent="0.25">
      <c r="A523" s="10" t="s">
        <v>632</v>
      </c>
      <c r="B523" s="15">
        <v>0</v>
      </c>
      <c r="C523" t="s">
        <v>75</v>
      </c>
    </row>
    <row r="524" spans="1:3" x14ac:dyDescent="0.25">
      <c r="A524" s="10" t="s">
        <v>632</v>
      </c>
      <c r="B524" s="15">
        <v>0</v>
      </c>
      <c r="C524" t="s">
        <v>75</v>
      </c>
    </row>
    <row r="525" spans="1:3" x14ac:dyDescent="0.25">
      <c r="A525" s="10" t="s">
        <v>634</v>
      </c>
      <c r="B525" s="15">
        <v>0</v>
      </c>
      <c r="C525" t="s">
        <v>75</v>
      </c>
    </row>
    <row r="526" spans="1:3" x14ac:dyDescent="0.25">
      <c r="A526" s="10" t="s">
        <v>634</v>
      </c>
      <c r="B526" s="15">
        <v>0</v>
      </c>
      <c r="C526" t="s">
        <v>75</v>
      </c>
    </row>
    <row r="527" spans="1:3" x14ac:dyDescent="0.25">
      <c r="A527" s="10" t="s">
        <v>636</v>
      </c>
      <c r="B527" s="15">
        <v>0</v>
      </c>
      <c r="C527" t="s">
        <v>75</v>
      </c>
    </row>
    <row r="528" spans="1:3" x14ac:dyDescent="0.25">
      <c r="A528" s="10" t="s">
        <v>636</v>
      </c>
      <c r="B528" s="15">
        <v>0</v>
      </c>
      <c r="C528" t="s">
        <v>75</v>
      </c>
    </row>
    <row r="529" spans="1:3" x14ac:dyDescent="0.25">
      <c r="A529" s="10" t="s">
        <v>638</v>
      </c>
      <c r="B529" s="15">
        <v>0</v>
      </c>
      <c r="C529" t="s">
        <v>75</v>
      </c>
    </row>
    <row r="530" spans="1:3" x14ac:dyDescent="0.25">
      <c r="A530" s="10" t="s">
        <v>638</v>
      </c>
      <c r="B530" s="15">
        <v>0</v>
      </c>
      <c r="C530" t="s">
        <v>75</v>
      </c>
    </row>
    <row r="531" spans="1:3" x14ac:dyDescent="0.25">
      <c r="A531" s="10" t="s">
        <v>640</v>
      </c>
      <c r="B531" s="15">
        <v>0</v>
      </c>
      <c r="C531" t="s">
        <v>75</v>
      </c>
    </row>
    <row r="532" spans="1:3" x14ac:dyDescent="0.25">
      <c r="A532" s="10" t="s">
        <v>640</v>
      </c>
      <c r="B532" s="15">
        <v>0</v>
      </c>
      <c r="C532" t="s">
        <v>75</v>
      </c>
    </row>
    <row r="533" spans="1:3" x14ac:dyDescent="0.25">
      <c r="A533" s="10" t="s">
        <v>642</v>
      </c>
      <c r="B533" s="15">
        <v>0</v>
      </c>
      <c r="C533" t="s">
        <v>75</v>
      </c>
    </row>
    <row r="534" spans="1:3" x14ac:dyDescent="0.25">
      <c r="A534" s="10" t="s">
        <v>642</v>
      </c>
      <c r="B534" s="15">
        <v>0</v>
      </c>
      <c r="C534" t="s">
        <v>75</v>
      </c>
    </row>
    <row r="535" spans="1:3" x14ac:dyDescent="0.25">
      <c r="A535" s="10" t="s">
        <v>644</v>
      </c>
      <c r="B535" s="15">
        <v>0</v>
      </c>
      <c r="C535" t="s">
        <v>75</v>
      </c>
    </row>
    <row r="536" spans="1:3" x14ac:dyDescent="0.25">
      <c r="A536" s="10" t="s">
        <v>644</v>
      </c>
      <c r="B536" s="15">
        <v>0</v>
      </c>
      <c r="C536" t="s">
        <v>75</v>
      </c>
    </row>
    <row r="537" spans="1:3" x14ac:dyDescent="0.25">
      <c r="A537" s="10" t="s">
        <v>646</v>
      </c>
      <c r="B537" s="15">
        <v>0</v>
      </c>
      <c r="C537" t="s">
        <v>75</v>
      </c>
    </row>
    <row r="538" spans="1:3" x14ac:dyDescent="0.25">
      <c r="A538" s="10" t="s">
        <v>646</v>
      </c>
      <c r="B538" s="15">
        <v>0</v>
      </c>
      <c r="C538" t="s">
        <v>75</v>
      </c>
    </row>
    <row r="539" spans="1:3" x14ac:dyDescent="0.25">
      <c r="A539" s="10" t="s">
        <v>648</v>
      </c>
      <c r="B539" s="15">
        <v>0</v>
      </c>
      <c r="C539" t="s">
        <v>75</v>
      </c>
    </row>
    <row r="540" spans="1:3" x14ac:dyDescent="0.25">
      <c r="A540" s="10" t="s">
        <v>648</v>
      </c>
      <c r="B540" s="15">
        <v>0</v>
      </c>
      <c r="C540" t="s">
        <v>75</v>
      </c>
    </row>
    <row r="541" spans="1:3" x14ac:dyDescent="0.25">
      <c r="A541" s="10" t="s">
        <v>650</v>
      </c>
      <c r="B541" s="15">
        <v>0</v>
      </c>
      <c r="C541" t="s">
        <v>75</v>
      </c>
    </row>
    <row r="542" spans="1:3" x14ac:dyDescent="0.25">
      <c r="A542" s="10" t="s">
        <v>650</v>
      </c>
      <c r="B542" s="15">
        <v>0</v>
      </c>
      <c r="C542" t="s">
        <v>75</v>
      </c>
    </row>
    <row r="543" spans="1:3" x14ac:dyDescent="0.25">
      <c r="A543" s="10" t="s">
        <v>652</v>
      </c>
      <c r="B543" s="15">
        <v>0</v>
      </c>
      <c r="C543" t="s">
        <v>75</v>
      </c>
    </row>
    <row r="544" spans="1:3" x14ac:dyDescent="0.25">
      <c r="A544" s="10" t="s">
        <v>652</v>
      </c>
      <c r="B544" s="15">
        <v>0</v>
      </c>
      <c r="C544" t="s">
        <v>75</v>
      </c>
    </row>
    <row r="545" spans="1:3" x14ac:dyDescent="0.25">
      <c r="A545" s="10" t="s">
        <v>654</v>
      </c>
      <c r="B545" s="15">
        <v>0</v>
      </c>
      <c r="C545" t="s">
        <v>75</v>
      </c>
    </row>
    <row r="546" spans="1:3" x14ac:dyDescent="0.25">
      <c r="A546" s="10" t="s">
        <v>654</v>
      </c>
      <c r="B546" s="15">
        <v>0</v>
      </c>
      <c r="C546" t="s">
        <v>75</v>
      </c>
    </row>
    <row r="547" spans="1:3" x14ac:dyDescent="0.25">
      <c r="A547" s="10" t="s">
        <v>656</v>
      </c>
      <c r="B547" s="15">
        <v>0</v>
      </c>
      <c r="C547" t="s">
        <v>75</v>
      </c>
    </row>
    <row r="548" spans="1:3" x14ac:dyDescent="0.25">
      <c r="A548" s="10" t="s">
        <v>656</v>
      </c>
      <c r="B548" s="15">
        <v>0</v>
      </c>
      <c r="C548" t="s">
        <v>75</v>
      </c>
    </row>
    <row r="549" spans="1:3" x14ac:dyDescent="0.25">
      <c r="A549" s="10" t="s">
        <v>658</v>
      </c>
      <c r="B549" s="15">
        <v>0</v>
      </c>
      <c r="C549" t="s">
        <v>75</v>
      </c>
    </row>
    <row r="550" spans="1:3" x14ac:dyDescent="0.25">
      <c r="A550" s="10" t="s">
        <v>658</v>
      </c>
      <c r="B550" s="15">
        <v>0</v>
      </c>
      <c r="C550" t="s">
        <v>75</v>
      </c>
    </row>
    <row r="551" spans="1:3" x14ac:dyDescent="0.25">
      <c r="A551" s="10" t="s">
        <v>660</v>
      </c>
      <c r="B551" s="15">
        <v>0</v>
      </c>
      <c r="C551" t="s">
        <v>75</v>
      </c>
    </row>
    <row r="552" spans="1:3" x14ac:dyDescent="0.25">
      <c r="A552" s="10" t="s">
        <v>660</v>
      </c>
      <c r="B552" s="15">
        <v>0</v>
      </c>
      <c r="C552" t="s">
        <v>75</v>
      </c>
    </row>
    <row r="553" spans="1:3" x14ac:dyDescent="0.25">
      <c r="A553" s="10" t="s">
        <v>662</v>
      </c>
      <c r="B553" s="15">
        <v>0</v>
      </c>
      <c r="C553" t="s">
        <v>75</v>
      </c>
    </row>
    <row r="554" spans="1:3" x14ac:dyDescent="0.25">
      <c r="A554" s="10" t="s">
        <v>662</v>
      </c>
      <c r="B554" s="15">
        <v>0</v>
      </c>
      <c r="C554" t="s">
        <v>75</v>
      </c>
    </row>
    <row r="555" spans="1:3" x14ac:dyDescent="0.25">
      <c r="A555" s="10" t="s">
        <v>664</v>
      </c>
      <c r="B555" s="15">
        <v>0</v>
      </c>
      <c r="C555" t="s">
        <v>75</v>
      </c>
    </row>
    <row r="556" spans="1:3" x14ac:dyDescent="0.25">
      <c r="A556" s="10" t="s">
        <v>664</v>
      </c>
      <c r="B556" s="15">
        <v>0</v>
      </c>
      <c r="C556" t="s">
        <v>75</v>
      </c>
    </row>
    <row r="557" spans="1:3" x14ac:dyDescent="0.25">
      <c r="A557" s="10" t="s">
        <v>666</v>
      </c>
      <c r="B557" s="15">
        <v>0</v>
      </c>
      <c r="C557" t="s">
        <v>75</v>
      </c>
    </row>
    <row r="558" spans="1:3" x14ac:dyDescent="0.25">
      <c r="A558" s="10" t="s">
        <v>666</v>
      </c>
      <c r="B558" s="15">
        <v>0</v>
      </c>
      <c r="C558" t="s">
        <v>75</v>
      </c>
    </row>
    <row r="559" spans="1:3" x14ac:dyDescent="0.25">
      <c r="A559" s="10" t="s">
        <v>668</v>
      </c>
      <c r="B559" s="15">
        <v>0</v>
      </c>
      <c r="C559" t="s">
        <v>75</v>
      </c>
    </row>
    <row r="560" spans="1:3" x14ac:dyDescent="0.25">
      <c r="A560" s="10" t="s">
        <v>668</v>
      </c>
      <c r="B560" s="15">
        <v>0</v>
      </c>
      <c r="C560" t="s">
        <v>75</v>
      </c>
    </row>
    <row r="561" spans="1:3" x14ac:dyDescent="0.25">
      <c r="A561" s="10" t="s">
        <v>670</v>
      </c>
      <c r="B561" s="15">
        <v>0</v>
      </c>
      <c r="C561" t="s">
        <v>75</v>
      </c>
    </row>
    <row r="562" spans="1:3" x14ac:dyDescent="0.25">
      <c r="A562" s="10" t="s">
        <v>670</v>
      </c>
      <c r="B562" s="15">
        <v>0</v>
      </c>
      <c r="C562" t="s">
        <v>75</v>
      </c>
    </row>
    <row r="563" spans="1:3" x14ac:dyDescent="0.25">
      <c r="A563" s="10" t="s">
        <v>672</v>
      </c>
      <c r="B563" s="15">
        <v>0</v>
      </c>
      <c r="C563" t="s">
        <v>75</v>
      </c>
    </row>
    <row r="564" spans="1:3" x14ac:dyDescent="0.25">
      <c r="A564" s="10" t="s">
        <v>672</v>
      </c>
      <c r="B564" s="15">
        <v>0</v>
      </c>
      <c r="C564" t="s">
        <v>75</v>
      </c>
    </row>
    <row r="565" spans="1:3" x14ac:dyDescent="0.25">
      <c r="A565" s="10" t="s">
        <v>674</v>
      </c>
      <c r="B565" s="15">
        <v>0</v>
      </c>
      <c r="C565" t="s">
        <v>75</v>
      </c>
    </row>
    <row r="566" spans="1:3" x14ac:dyDescent="0.25">
      <c r="A566" s="10" t="s">
        <v>674</v>
      </c>
      <c r="B566" s="15">
        <v>0</v>
      </c>
      <c r="C566" t="s">
        <v>75</v>
      </c>
    </row>
    <row r="567" spans="1:3" x14ac:dyDescent="0.25">
      <c r="A567" s="10" t="s">
        <v>676</v>
      </c>
      <c r="B567" s="15">
        <v>0</v>
      </c>
      <c r="C567" t="s">
        <v>75</v>
      </c>
    </row>
    <row r="568" spans="1:3" x14ac:dyDescent="0.25">
      <c r="A568" s="10" t="s">
        <v>676</v>
      </c>
      <c r="B568" s="15">
        <v>0</v>
      </c>
      <c r="C568" t="s">
        <v>75</v>
      </c>
    </row>
    <row r="569" spans="1:3" x14ac:dyDescent="0.25">
      <c r="A569" s="10" t="s">
        <v>678</v>
      </c>
      <c r="B569" s="15">
        <v>0</v>
      </c>
      <c r="C569" t="s">
        <v>75</v>
      </c>
    </row>
    <row r="570" spans="1:3" x14ac:dyDescent="0.25">
      <c r="A570" s="10" t="s">
        <v>678</v>
      </c>
      <c r="B570" s="15">
        <v>0</v>
      </c>
      <c r="C570" t="s">
        <v>75</v>
      </c>
    </row>
    <row r="571" spans="1:3" x14ac:dyDescent="0.25">
      <c r="A571" s="10" t="s">
        <v>680</v>
      </c>
      <c r="B571" s="15">
        <v>0</v>
      </c>
      <c r="C571" t="s">
        <v>75</v>
      </c>
    </row>
    <row r="572" spans="1:3" x14ac:dyDescent="0.25">
      <c r="A572" s="10" t="s">
        <v>680</v>
      </c>
      <c r="B572" s="15">
        <v>0</v>
      </c>
      <c r="C572" t="s">
        <v>75</v>
      </c>
    </row>
    <row r="573" spans="1:3" x14ac:dyDescent="0.25">
      <c r="A573" s="10" t="s">
        <v>682</v>
      </c>
      <c r="B573" s="15">
        <v>0</v>
      </c>
      <c r="C573" t="s">
        <v>75</v>
      </c>
    </row>
    <row r="574" spans="1:3" x14ac:dyDescent="0.25">
      <c r="A574" s="10" t="s">
        <v>682</v>
      </c>
      <c r="B574" s="15">
        <v>0</v>
      </c>
      <c r="C574" t="s">
        <v>75</v>
      </c>
    </row>
    <row r="575" spans="1:3" x14ac:dyDescent="0.25">
      <c r="A575" s="10" t="s">
        <v>684</v>
      </c>
      <c r="B575" s="15">
        <v>0</v>
      </c>
      <c r="C575" t="s">
        <v>75</v>
      </c>
    </row>
    <row r="576" spans="1:3" x14ac:dyDescent="0.25">
      <c r="A576" s="10" t="s">
        <v>684</v>
      </c>
      <c r="B576" s="15">
        <v>0</v>
      </c>
      <c r="C576" t="s">
        <v>75</v>
      </c>
    </row>
    <row r="577" spans="1:3" x14ac:dyDescent="0.25">
      <c r="A577" s="10" t="s">
        <v>686</v>
      </c>
      <c r="B577" s="15">
        <v>0</v>
      </c>
      <c r="C577" t="s">
        <v>75</v>
      </c>
    </row>
    <row r="578" spans="1:3" x14ac:dyDescent="0.25">
      <c r="A578" s="10" t="s">
        <v>686</v>
      </c>
      <c r="B578" s="15">
        <v>0</v>
      </c>
      <c r="C578" t="s">
        <v>75</v>
      </c>
    </row>
    <row r="579" spans="1:3" x14ac:dyDescent="0.25">
      <c r="A579" s="10" t="s">
        <v>688</v>
      </c>
      <c r="B579" s="15">
        <v>0</v>
      </c>
      <c r="C579" t="s">
        <v>75</v>
      </c>
    </row>
    <row r="580" spans="1:3" x14ac:dyDescent="0.25">
      <c r="A580" s="10" t="s">
        <v>688</v>
      </c>
      <c r="B580" s="15">
        <v>0</v>
      </c>
      <c r="C580" t="s">
        <v>75</v>
      </c>
    </row>
    <row r="581" spans="1:3" x14ac:dyDescent="0.25">
      <c r="A581" s="10" t="s">
        <v>690</v>
      </c>
      <c r="B581" s="15">
        <v>0</v>
      </c>
      <c r="C581" t="s">
        <v>75</v>
      </c>
    </row>
    <row r="582" spans="1:3" x14ac:dyDescent="0.25">
      <c r="A582" s="10" t="s">
        <v>690</v>
      </c>
      <c r="B582" s="15">
        <v>0</v>
      </c>
      <c r="C582" t="s">
        <v>75</v>
      </c>
    </row>
    <row r="583" spans="1:3" x14ac:dyDescent="0.25">
      <c r="A583" s="10" t="s">
        <v>692</v>
      </c>
      <c r="B583" s="15">
        <v>0</v>
      </c>
      <c r="C583" t="s">
        <v>75</v>
      </c>
    </row>
    <row r="584" spans="1:3" x14ac:dyDescent="0.25">
      <c r="A584" s="10" t="s">
        <v>692</v>
      </c>
      <c r="B584" s="15">
        <v>0</v>
      </c>
      <c r="C584" t="s">
        <v>75</v>
      </c>
    </row>
    <row r="585" spans="1:3" x14ac:dyDescent="0.25">
      <c r="A585" s="10" t="s">
        <v>694</v>
      </c>
      <c r="B585" s="15">
        <v>0</v>
      </c>
      <c r="C585" t="s">
        <v>75</v>
      </c>
    </row>
    <row r="586" spans="1:3" x14ac:dyDescent="0.25">
      <c r="A586" s="10" t="s">
        <v>694</v>
      </c>
      <c r="B586" s="15">
        <v>0</v>
      </c>
      <c r="C586" t="s">
        <v>75</v>
      </c>
    </row>
    <row r="587" spans="1:3" x14ac:dyDescent="0.25">
      <c r="A587" s="10" t="s">
        <v>696</v>
      </c>
      <c r="B587" s="15">
        <v>0</v>
      </c>
      <c r="C587" t="s">
        <v>75</v>
      </c>
    </row>
    <row r="588" spans="1:3" x14ac:dyDescent="0.25">
      <c r="A588" s="10" t="s">
        <v>696</v>
      </c>
      <c r="B588" s="15">
        <v>0</v>
      </c>
      <c r="C588" t="s">
        <v>75</v>
      </c>
    </row>
    <row r="589" spans="1:3" x14ac:dyDescent="0.25">
      <c r="A589" s="10" t="s">
        <v>698</v>
      </c>
      <c r="B589" s="15">
        <v>0</v>
      </c>
      <c r="C589" t="s">
        <v>75</v>
      </c>
    </row>
    <row r="590" spans="1:3" x14ac:dyDescent="0.25">
      <c r="A590" s="10" t="s">
        <v>698</v>
      </c>
      <c r="B590" s="15">
        <v>0</v>
      </c>
      <c r="C590" t="s">
        <v>75</v>
      </c>
    </row>
    <row r="591" spans="1:3" x14ac:dyDescent="0.25">
      <c r="A591" s="10" t="s">
        <v>700</v>
      </c>
      <c r="B591" s="15">
        <v>0</v>
      </c>
      <c r="C591" t="s">
        <v>75</v>
      </c>
    </row>
    <row r="592" spans="1:3" x14ac:dyDescent="0.25">
      <c r="A592" s="10" t="s">
        <v>700</v>
      </c>
      <c r="B592" s="15">
        <v>0</v>
      </c>
      <c r="C592" t="s">
        <v>75</v>
      </c>
    </row>
    <row r="593" spans="1:3" x14ac:dyDescent="0.25">
      <c r="A593" s="10" t="s">
        <v>702</v>
      </c>
      <c r="B593" s="15">
        <v>0</v>
      </c>
      <c r="C593" t="s">
        <v>75</v>
      </c>
    </row>
    <row r="594" spans="1:3" x14ac:dyDescent="0.25">
      <c r="A594" s="10" t="s">
        <v>702</v>
      </c>
      <c r="B594" s="15">
        <v>0</v>
      </c>
      <c r="C594" t="s">
        <v>75</v>
      </c>
    </row>
    <row r="595" spans="1:3" x14ac:dyDescent="0.25">
      <c r="A595" s="10" t="s">
        <v>704</v>
      </c>
      <c r="B595" s="15">
        <v>0</v>
      </c>
      <c r="C595" t="s">
        <v>75</v>
      </c>
    </row>
    <row r="596" spans="1:3" x14ac:dyDescent="0.25">
      <c r="A596" s="10" t="s">
        <v>704</v>
      </c>
      <c r="B596" s="15">
        <v>0</v>
      </c>
      <c r="C596" t="s">
        <v>75</v>
      </c>
    </row>
    <row r="597" spans="1:3" x14ac:dyDescent="0.25">
      <c r="A597" s="10" t="s">
        <v>706</v>
      </c>
      <c r="B597" s="15">
        <v>0</v>
      </c>
      <c r="C597" t="s">
        <v>75</v>
      </c>
    </row>
    <row r="598" spans="1:3" x14ac:dyDescent="0.25">
      <c r="A598" s="10" t="s">
        <v>706</v>
      </c>
      <c r="B598" s="15">
        <v>0</v>
      </c>
      <c r="C598" t="s">
        <v>75</v>
      </c>
    </row>
    <row r="599" spans="1:3" x14ac:dyDescent="0.25">
      <c r="A599" s="10" t="s">
        <v>708</v>
      </c>
      <c r="B599" s="15">
        <v>0</v>
      </c>
      <c r="C599" t="s">
        <v>75</v>
      </c>
    </row>
    <row r="600" spans="1:3" x14ac:dyDescent="0.25">
      <c r="A600" s="10" t="s">
        <v>708</v>
      </c>
      <c r="B600" s="15">
        <v>0</v>
      </c>
      <c r="C600" t="s">
        <v>75</v>
      </c>
    </row>
    <row r="601" spans="1:3" x14ac:dyDescent="0.25">
      <c r="A601" s="10" t="s">
        <v>710</v>
      </c>
      <c r="B601" s="15">
        <v>0</v>
      </c>
      <c r="C601" t="s">
        <v>75</v>
      </c>
    </row>
    <row r="602" spans="1:3" x14ac:dyDescent="0.25">
      <c r="A602" s="10" t="s">
        <v>710</v>
      </c>
      <c r="B602" s="15">
        <v>0</v>
      </c>
      <c r="C602" t="s">
        <v>75</v>
      </c>
    </row>
    <row r="603" spans="1:3" x14ac:dyDescent="0.25">
      <c r="A603" s="10" t="s">
        <v>712</v>
      </c>
      <c r="B603" s="15">
        <v>0</v>
      </c>
      <c r="C603" t="s">
        <v>75</v>
      </c>
    </row>
    <row r="604" spans="1:3" x14ac:dyDescent="0.25">
      <c r="A604" s="10" t="s">
        <v>712</v>
      </c>
      <c r="B604" s="15">
        <v>0</v>
      </c>
      <c r="C604" t="s">
        <v>75</v>
      </c>
    </row>
    <row r="605" spans="1:3" x14ac:dyDescent="0.25">
      <c r="A605" s="10" t="s">
        <v>714</v>
      </c>
      <c r="B605" s="15">
        <v>0</v>
      </c>
      <c r="C605" t="s">
        <v>75</v>
      </c>
    </row>
    <row r="606" spans="1:3" x14ac:dyDescent="0.25">
      <c r="A606" s="10" t="s">
        <v>714</v>
      </c>
      <c r="B606" s="15">
        <v>0</v>
      </c>
      <c r="C606" t="s">
        <v>75</v>
      </c>
    </row>
    <row r="607" spans="1:3" x14ac:dyDescent="0.25">
      <c r="A607" s="10" t="s">
        <v>716</v>
      </c>
      <c r="B607" s="15">
        <v>0</v>
      </c>
      <c r="C607" t="s">
        <v>75</v>
      </c>
    </row>
    <row r="608" spans="1:3" x14ac:dyDescent="0.25">
      <c r="A608" s="10" t="s">
        <v>716</v>
      </c>
      <c r="B608" s="15">
        <v>0</v>
      </c>
      <c r="C608" t="s">
        <v>75</v>
      </c>
    </row>
    <row r="609" spans="1:3" x14ac:dyDescent="0.25">
      <c r="A609" s="10" t="s">
        <v>718</v>
      </c>
      <c r="B609" s="15">
        <v>0</v>
      </c>
      <c r="C609" t="s">
        <v>75</v>
      </c>
    </row>
    <row r="610" spans="1:3" x14ac:dyDescent="0.25">
      <c r="A610" s="10" t="s">
        <v>718</v>
      </c>
      <c r="B610" s="15">
        <v>0</v>
      </c>
      <c r="C610" t="s">
        <v>75</v>
      </c>
    </row>
    <row r="611" spans="1:3" x14ac:dyDescent="0.25">
      <c r="A611" s="10" t="s">
        <v>720</v>
      </c>
      <c r="B611" s="15">
        <v>0</v>
      </c>
      <c r="C611" t="s">
        <v>75</v>
      </c>
    </row>
    <row r="612" spans="1:3" x14ac:dyDescent="0.25">
      <c r="A612" s="10" t="s">
        <v>720</v>
      </c>
      <c r="B612" s="15">
        <v>0</v>
      </c>
      <c r="C612" t="s">
        <v>75</v>
      </c>
    </row>
    <row r="613" spans="1:3" x14ac:dyDescent="0.25">
      <c r="A613" s="10" t="s">
        <v>722</v>
      </c>
      <c r="B613" s="15">
        <v>0</v>
      </c>
      <c r="C613" t="s">
        <v>75</v>
      </c>
    </row>
    <row r="614" spans="1:3" x14ac:dyDescent="0.25">
      <c r="A614" s="10" t="s">
        <v>722</v>
      </c>
      <c r="B614" s="15">
        <v>0</v>
      </c>
      <c r="C614" t="s">
        <v>75</v>
      </c>
    </row>
    <row r="615" spans="1:3" x14ac:dyDescent="0.25">
      <c r="A615" s="10" t="s">
        <v>724</v>
      </c>
      <c r="B615" s="15">
        <v>0</v>
      </c>
      <c r="C615" t="s">
        <v>75</v>
      </c>
    </row>
    <row r="616" spans="1:3" x14ac:dyDescent="0.25">
      <c r="A616" s="10" t="s">
        <v>724</v>
      </c>
      <c r="B616" s="15">
        <v>0</v>
      </c>
      <c r="C616" t="s">
        <v>75</v>
      </c>
    </row>
    <row r="617" spans="1:3" x14ac:dyDescent="0.25">
      <c r="A617" s="10" t="s">
        <v>726</v>
      </c>
      <c r="B617" s="15">
        <v>0</v>
      </c>
      <c r="C617" t="s">
        <v>75</v>
      </c>
    </row>
    <row r="618" spans="1:3" x14ac:dyDescent="0.25">
      <c r="A618" s="10" t="s">
        <v>726</v>
      </c>
      <c r="B618" s="15">
        <v>0</v>
      </c>
      <c r="C618" t="s">
        <v>75</v>
      </c>
    </row>
    <row r="619" spans="1:3" x14ac:dyDescent="0.25">
      <c r="A619" s="10" t="s">
        <v>728</v>
      </c>
      <c r="B619" s="15">
        <v>0</v>
      </c>
      <c r="C619" t="s">
        <v>75</v>
      </c>
    </row>
    <row r="620" spans="1:3" x14ac:dyDescent="0.25">
      <c r="A620" s="10" t="s">
        <v>728</v>
      </c>
      <c r="B620" s="15">
        <v>0</v>
      </c>
      <c r="C620" t="s">
        <v>75</v>
      </c>
    </row>
    <row r="621" spans="1:3" x14ac:dyDescent="0.25">
      <c r="A621" s="10" t="s">
        <v>730</v>
      </c>
      <c r="B621" s="15">
        <v>0</v>
      </c>
      <c r="C621" t="s">
        <v>75</v>
      </c>
    </row>
    <row r="622" spans="1:3" x14ac:dyDescent="0.25">
      <c r="A622" s="10" t="s">
        <v>730</v>
      </c>
      <c r="B622" s="15">
        <v>0</v>
      </c>
      <c r="C622" t="s">
        <v>75</v>
      </c>
    </row>
    <row r="623" spans="1:3" x14ac:dyDescent="0.25">
      <c r="A623" s="10" t="s">
        <v>732</v>
      </c>
      <c r="B623" s="15">
        <v>0</v>
      </c>
      <c r="C623" t="s">
        <v>75</v>
      </c>
    </row>
    <row r="624" spans="1:3" x14ac:dyDescent="0.25">
      <c r="A624" s="10" t="s">
        <v>732</v>
      </c>
      <c r="B624" s="15">
        <v>0</v>
      </c>
      <c r="C624" t="s">
        <v>75</v>
      </c>
    </row>
    <row r="625" spans="1:3" x14ac:dyDescent="0.25">
      <c r="A625" s="10" t="s">
        <v>734</v>
      </c>
      <c r="B625" s="15">
        <v>0</v>
      </c>
      <c r="C625" t="s">
        <v>75</v>
      </c>
    </row>
    <row r="626" spans="1:3" x14ac:dyDescent="0.25">
      <c r="A626" s="10" t="s">
        <v>734</v>
      </c>
      <c r="B626" s="15">
        <v>0</v>
      </c>
      <c r="C626" t="s">
        <v>75</v>
      </c>
    </row>
    <row r="627" spans="1:3" x14ac:dyDescent="0.25">
      <c r="A627" s="10" t="s">
        <v>736</v>
      </c>
      <c r="B627" s="15">
        <v>0</v>
      </c>
      <c r="C627" t="s">
        <v>75</v>
      </c>
    </row>
    <row r="628" spans="1:3" x14ac:dyDescent="0.25">
      <c r="A628" s="10" t="s">
        <v>736</v>
      </c>
      <c r="B628" s="15">
        <v>0</v>
      </c>
      <c r="C628" t="s">
        <v>75</v>
      </c>
    </row>
    <row r="629" spans="1:3" x14ac:dyDescent="0.25">
      <c r="A629" s="10" t="s">
        <v>738</v>
      </c>
      <c r="B629" s="15">
        <v>0</v>
      </c>
      <c r="C629" t="s">
        <v>75</v>
      </c>
    </row>
    <row r="630" spans="1:3" x14ac:dyDescent="0.25">
      <c r="A630" s="10" t="s">
        <v>738</v>
      </c>
      <c r="B630" s="15">
        <v>0</v>
      </c>
      <c r="C630" t="s">
        <v>75</v>
      </c>
    </row>
    <row r="631" spans="1:3" x14ac:dyDescent="0.25">
      <c r="A631" s="10" t="s">
        <v>740</v>
      </c>
      <c r="B631" s="15">
        <v>0</v>
      </c>
      <c r="C631" t="s">
        <v>75</v>
      </c>
    </row>
    <row r="632" spans="1:3" x14ac:dyDescent="0.25">
      <c r="A632" s="10" t="s">
        <v>740</v>
      </c>
      <c r="B632" s="15">
        <v>0</v>
      </c>
      <c r="C632" t="s">
        <v>75</v>
      </c>
    </row>
    <row r="633" spans="1:3" x14ac:dyDescent="0.25">
      <c r="A633" s="10" t="s">
        <v>742</v>
      </c>
      <c r="B633" s="15">
        <v>0</v>
      </c>
      <c r="C633" t="s">
        <v>75</v>
      </c>
    </row>
    <row r="634" spans="1:3" x14ac:dyDescent="0.25">
      <c r="A634" s="10" t="s">
        <v>742</v>
      </c>
      <c r="B634" s="15">
        <v>0</v>
      </c>
      <c r="C634" t="s">
        <v>75</v>
      </c>
    </row>
    <row r="635" spans="1:3" x14ac:dyDescent="0.25">
      <c r="A635" s="10" t="s">
        <v>744</v>
      </c>
      <c r="B635" s="15">
        <v>0</v>
      </c>
      <c r="C635" t="s">
        <v>75</v>
      </c>
    </row>
    <row r="636" spans="1:3" x14ac:dyDescent="0.25">
      <c r="A636" s="10" t="s">
        <v>744</v>
      </c>
      <c r="B636" s="15">
        <v>0</v>
      </c>
      <c r="C636" t="s">
        <v>75</v>
      </c>
    </row>
    <row r="637" spans="1:3" x14ac:dyDescent="0.25">
      <c r="A637" s="10" t="s">
        <v>746</v>
      </c>
      <c r="B637" s="15">
        <v>0</v>
      </c>
      <c r="C637" t="s">
        <v>75</v>
      </c>
    </row>
    <row r="638" spans="1:3" x14ac:dyDescent="0.25">
      <c r="A638" s="10" t="s">
        <v>746</v>
      </c>
      <c r="B638" s="15">
        <v>0</v>
      </c>
      <c r="C638" t="s">
        <v>75</v>
      </c>
    </row>
    <row r="639" spans="1:3" x14ac:dyDescent="0.25">
      <c r="A639" s="10" t="s">
        <v>748</v>
      </c>
      <c r="B639" s="15">
        <v>0</v>
      </c>
      <c r="C639" t="s">
        <v>75</v>
      </c>
    </row>
    <row r="640" spans="1:3" x14ac:dyDescent="0.25">
      <c r="A640" s="10" t="s">
        <v>748</v>
      </c>
      <c r="B640" s="15">
        <v>0</v>
      </c>
      <c r="C640" t="s">
        <v>75</v>
      </c>
    </row>
    <row r="641" spans="1:3" x14ac:dyDescent="0.25">
      <c r="A641" s="10" t="s">
        <v>750</v>
      </c>
      <c r="B641" s="15">
        <v>0</v>
      </c>
      <c r="C641" t="s">
        <v>75</v>
      </c>
    </row>
    <row r="642" spans="1:3" x14ac:dyDescent="0.25">
      <c r="A642" s="10" t="s">
        <v>750</v>
      </c>
      <c r="B642" s="15">
        <v>0</v>
      </c>
      <c r="C642" t="s">
        <v>75</v>
      </c>
    </row>
    <row r="643" spans="1:3" x14ac:dyDescent="0.25">
      <c r="A643" s="10" t="s">
        <v>752</v>
      </c>
      <c r="B643" s="15">
        <v>0</v>
      </c>
      <c r="C643" t="s">
        <v>75</v>
      </c>
    </row>
    <row r="644" spans="1:3" x14ac:dyDescent="0.25">
      <c r="A644" s="10" t="s">
        <v>752</v>
      </c>
      <c r="B644" s="15">
        <v>0</v>
      </c>
      <c r="C644" t="s">
        <v>75</v>
      </c>
    </row>
    <row r="645" spans="1:3" x14ac:dyDescent="0.25">
      <c r="A645" s="10" t="s">
        <v>754</v>
      </c>
      <c r="B645" s="15">
        <v>0</v>
      </c>
      <c r="C645" t="s">
        <v>75</v>
      </c>
    </row>
    <row r="646" spans="1:3" x14ac:dyDescent="0.25">
      <c r="A646" s="10" t="s">
        <v>754</v>
      </c>
      <c r="B646" s="15">
        <v>0</v>
      </c>
      <c r="C646" t="s">
        <v>75</v>
      </c>
    </row>
    <row r="647" spans="1:3" x14ac:dyDescent="0.25">
      <c r="A647" s="10" t="s">
        <v>756</v>
      </c>
      <c r="B647" s="15">
        <v>0</v>
      </c>
      <c r="C647" t="s">
        <v>75</v>
      </c>
    </row>
    <row r="648" spans="1:3" x14ac:dyDescent="0.25">
      <c r="A648" s="10" t="s">
        <v>756</v>
      </c>
      <c r="B648" s="15">
        <v>0</v>
      </c>
      <c r="C648" t="s">
        <v>75</v>
      </c>
    </row>
    <row r="649" spans="1:3" x14ac:dyDescent="0.25">
      <c r="A649" s="10" t="s">
        <v>758</v>
      </c>
      <c r="B649" s="15">
        <v>0</v>
      </c>
      <c r="C649" t="s">
        <v>75</v>
      </c>
    </row>
    <row r="650" spans="1:3" x14ac:dyDescent="0.25">
      <c r="A650" s="10" t="s">
        <v>758</v>
      </c>
      <c r="B650" s="15">
        <v>0</v>
      </c>
      <c r="C650" t="s">
        <v>75</v>
      </c>
    </row>
    <row r="651" spans="1:3" x14ac:dyDescent="0.25">
      <c r="A651" s="10" t="s">
        <v>760</v>
      </c>
      <c r="B651" s="15">
        <v>0</v>
      </c>
      <c r="C651" t="s">
        <v>75</v>
      </c>
    </row>
    <row r="652" spans="1:3" x14ac:dyDescent="0.25">
      <c r="A652" s="10" t="s">
        <v>760</v>
      </c>
      <c r="B652" s="15">
        <v>0</v>
      </c>
      <c r="C652" t="s">
        <v>75</v>
      </c>
    </row>
    <row r="653" spans="1:3" x14ac:dyDescent="0.25">
      <c r="A653" s="10" t="s">
        <v>762</v>
      </c>
      <c r="B653" s="15">
        <v>0</v>
      </c>
      <c r="C653" t="s">
        <v>75</v>
      </c>
    </row>
    <row r="654" spans="1:3" x14ac:dyDescent="0.25">
      <c r="A654" s="10" t="s">
        <v>762</v>
      </c>
      <c r="B654" s="15">
        <v>0</v>
      </c>
      <c r="C654" t="s">
        <v>75</v>
      </c>
    </row>
    <row r="655" spans="1:3" x14ac:dyDescent="0.25">
      <c r="A655" s="10" t="s">
        <v>764</v>
      </c>
      <c r="B655" s="15">
        <v>0</v>
      </c>
      <c r="C655" t="s">
        <v>75</v>
      </c>
    </row>
    <row r="656" spans="1:3" x14ac:dyDescent="0.25">
      <c r="A656" s="10" t="s">
        <v>764</v>
      </c>
      <c r="B656" s="15">
        <v>0</v>
      </c>
      <c r="C656" t="s">
        <v>75</v>
      </c>
    </row>
    <row r="657" spans="1:3" x14ac:dyDescent="0.25">
      <c r="A657" s="10" t="s">
        <v>766</v>
      </c>
      <c r="B657" s="15">
        <v>0</v>
      </c>
      <c r="C657" t="s">
        <v>75</v>
      </c>
    </row>
    <row r="658" spans="1:3" x14ac:dyDescent="0.25">
      <c r="A658" s="10" t="s">
        <v>766</v>
      </c>
      <c r="B658" s="15">
        <v>0</v>
      </c>
      <c r="C658" t="s">
        <v>75</v>
      </c>
    </row>
    <row r="659" spans="1:3" x14ac:dyDescent="0.25">
      <c r="A659" s="10" t="s">
        <v>768</v>
      </c>
      <c r="B659" s="15">
        <v>0</v>
      </c>
      <c r="C659" t="s">
        <v>75</v>
      </c>
    </row>
    <row r="660" spans="1:3" x14ac:dyDescent="0.25">
      <c r="A660" s="10" t="s">
        <v>768</v>
      </c>
      <c r="B660" s="15">
        <v>0</v>
      </c>
      <c r="C660" t="s">
        <v>75</v>
      </c>
    </row>
    <row r="661" spans="1:3" x14ac:dyDescent="0.25">
      <c r="A661" s="10" t="s">
        <v>770</v>
      </c>
      <c r="B661" s="15">
        <v>0</v>
      </c>
      <c r="C661" t="s">
        <v>75</v>
      </c>
    </row>
    <row r="662" spans="1:3" x14ac:dyDescent="0.25">
      <c r="A662" s="10" t="s">
        <v>770</v>
      </c>
      <c r="B662" s="15">
        <v>0</v>
      </c>
      <c r="C662" t="s">
        <v>75</v>
      </c>
    </row>
    <row r="663" spans="1:3" x14ac:dyDescent="0.25">
      <c r="A663" s="10" t="s">
        <v>772</v>
      </c>
      <c r="B663" s="15">
        <v>0</v>
      </c>
      <c r="C663" t="s">
        <v>75</v>
      </c>
    </row>
    <row r="664" spans="1:3" x14ac:dyDescent="0.25">
      <c r="A664" s="10" t="s">
        <v>772</v>
      </c>
      <c r="B664" s="15">
        <v>0</v>
      </c>
      <c r="C664" t="s">
        <v>75</v>
      </c>
    </row>
    <row r="665" spans="1:3" x14ac:dyDescent="0.25">
      <c r="A665" s="10" t="s">
        <v>774</v>
      </c>
      <c r="B665" s="15">
        <v>0</v>
      </c>
      <c r="C665" t="s">
        <v>75</v>
      </c>
    </row>
    <row r="666" spans="1:3" x14ac:dyDescent="0.25">
      <c r="A666" s="10" t="s">
        <v>774</v>
      </c>
      <c r="B666" s="15">
        <v>0</v>
      </c>
      <c r="C666" t="s">
        <v>75</v>
      </c>
    </row>
    <row r="667" spans="1:3" x14ac:dyDescent="0.25">
      <c r="A667" s="10" t="s">
        <v>776</v>
      </c>
      <c r="B667" s="15">
        <v>0</v>
      </c>
      <c r="C667" t="s">
        <v>75</v>
      </c>
    </row>
    <row r="668" spans="1:3" x14ac:dyDescent="0.25">
      <c r="A668" s="10" t="s">
        <v>776</v>
      </c>
      <c r="B668" s="15">
        <v>0</v>
      </c>
      <c r="C668" t="s">
        <v>75</v>
      </c>
    </row>
    <row r="669" spans="1:3" x14ac:dyDescent="0.25">
      <c r="A669" s="10" t="s">
        <v>778</v>
      </c>
      <c r="B669" s="15">
        <v>0</v>
      </c>
      <c r="C669" t="s">
        <v>75</v>
      </c>
    </row>
    <row r="670" spans="1:3" x14ac:dyDescent="0.25">
      <c r="A670" s="10" t="s">
        <v>778</v>
      </c>
      <c r="B670" s="15">
        <v>0</v>
      </c>
      <c r="C670" t="s">
        <v>75</v>
      </c>
    </row>
    <row r="671" spans="1:3" x14ac:dyDescent="0.25">
      <c r="A671" s="10" t="s">
        <v>780</v>
      </c>
      <c r="B671" s="15">
        <v>0</v>
      </c>
      <c r="C671" t="s">
        <v>75</v>
      </c>
    </row>
    <row r="672" spans="1:3" x14ac:dyDescent="0.25">
      <c r="A672" s="10" t="s">
        <v>780</v>
      </c>
      <c r="B672" s="15">
        <v>0</v>
      </c>
      <c r="C672" t="s">
        <v>75</v>
      </c>
    </row>
    <row r="673" spans="1:3" x14ac:dyDescent="0.25">
      <c r="A673" s="10" t="s">
        <v>782</v>
      </c>
      <c r="B673" s="15">
        <v>0</v>
      </c>
      <c r="C673" t="s">
        <v>75</v>
      </c>
    </row>
    <row r="674" spans="1:3" x14ac:dyDescent="0.25">
      <c r="A674" s="10" t="s">
        <v>782</v>
      </c>
      <c r="B674" s="15">
        <v>0</v>
      </c>
      <c r="C674" t="s">
        <v>75</v>
      </c>
    </row>
    <row r="675" spans="1:3" x14ac:dyDescent="0.25">
      <c r="A675" s="10" t="s">
        <v>784</v>
      </c>
      <c r="B675" s="15">
        <v>0</v>
      </c>
      <c r="C675" t="s">
        <v>75</v>
      </c>
    </row>
    <row r="676" spans="1:3" x14ac:dyDescent="0.25">
      <c r="A676" s="10" t="s">
        <v>784</v>
      </c>
      <c r="B676" s="15">
        <v>0</v>
      </c>
      <c r="C676" t="s">
        <v>75</v>
      </c>
    </row>
    <row r="677" spans="1:3" x14ac:dyDescent="0.25">
      <c r="A677" s="10" t="s">
        <v>786</v>
      </c>
      <c r="B677" s="15">
        <v>0</v>
      </c>
      <c r="C677" t="s">
        <v>75</v>
      </c>
    </row>
    <row r="678" spans="1:3" x14ac:dyDescent="0.25">
      <c r="A678" s="10" t="s">
        <v>786</v>
      </c>
      <c r="B678" s="15">
        <v>0</v>
      </c>
      <c r="C678" t="s">
        <v>75</v>
      </c>
    </row>
    <row r="679" spans="1:3" x14ac:dyDescent="0.25">
      <c r="A679" s="10" t="s">
        <v>788</v>
      </c>
      <c r="B679" s="15">
        <v>0</v>
      </c>
      <c r="C679" t="s">
        <v>75</v>
      </c>
    </row>
    <row r="680" spans="1:3" x14ac:dyDescent="0.25">
      <c r="A680" s="10" t="s">
        <v>788</v>
      </c>
      <c r="B680" s="15">
        <v>0</v>
      </c>
      <c r="C680" t="s">
        <v>75</v>
      </c>
    </row>
    <row r="681" spans="1:3" x14ac:dyDescent="0.25">
      <c r="A681" s="10" t="s">
        <v>790</v>
      </c>
      <c r="B681" s="15">
        <v>0</v>
      </c>
      <c r="C681" t="s">
        <v>75</v>
      </c>
    </row>
    <row r="682" spans="1:3" x14ac:dyDescent="0.25">
      <c r="A682" s="10" t="s">
        <v>790</v>
      </c>
      <c r="B682" s="15">
        <v>0</v>
      </c>
      <c r="C682" t="s">
        <v>75</v>
      </c>
    </row>
    <row r="683" spans="1:3" x14ac:dyDescent="0.25">
      <c r="A683" s="10" t="s">
        <v>792</v>
      </c>
      <c r="B683" s="15">
        <v>0</v>
      </c>
      <c r="C683" t="s">
        <v>75</v>
      </c>
    </row>
    <row r="684" spans="1:3" x14ac:dyDescent="0.25">
      <c r="A684" s="10" t="s">
        <v>792</v>
      </c>
      <c r="B684" s="15">
        <v>0</v>
      </c>
      <c r="C684" t="s">
        <v>75</v>
      </c>
    </row>
    <row r="685" spans="1:3" x14ac:dyDescent="0.25">
      <c r="A685" s="10" t="s">
        <v>794</v>
      </c>
      <c r="B685" s="15">
        <v>0</v>
      </c>
      <c r="C685" t="s">
        <v>75</v>
      </c>
    </row>
    <row r="686" spans="1:3" x14ac:dyDescent="0.25">
      <c r="A686" s="10" t="s">
        <v>794</v>
      </c>
      <c r="B686" s="15">
        <v>0</v>
      </c>
      <c r="C686" t="s">
        <v>75</v>
      </c>
    </row>
    <row r="687" spans="1:3" x14ac:dyDescent="0.25">
      <c r="A687" s="10" t="s">
        <v>796</v>
      </c>
      <c r="B687" s="15">
        <v>0</v>
      </c>
      <c r="C687" t="s">
        <v>75</v>
      </c>
    </row>
    <row r="688" spans="1:3" x14ac:dyDescent="0.25">
      <c r="A688" s="10" t="s">
        <v>796</v>
      </c>
      <c r="B688" s="15">
        <v>0</v>
      </c>
      <c r="C688" t="s">
        <v>75</v>
      </c>
    </row>
    <row r="689" spans="1:3" x14ac:dyDescent="0.25">
      <c r="A689" s="10" t="s">
        <v>798</v>
      </c>
      <c r="B689" s="15">
        <v>0</v>
      </c>
      <c r="C689" t="s">
        <v>75</v>
      </c>
    </row>
    <row r="690" spans="1:3" x14ac:dyDescent="0.25">
      <c r="A690" s="10" t="s">
        <v>798</v>
      </c>
      <c r="B690" s="15">
        <v>0</v>
      </c>
      <c r="C690" t="s">
        <v>75</v>
      </c>
    </row>
    <row r="691" spans="1:3" x14ac:dyDescent="0.25">
      <c r="A691" s="10" t="s">
        <v>800</v>
      </c>
      <c r="B691" s="15">
        <v>0</v>
      </c>
      <c r="C691" t="s">
        <v>75</v>
      </c>
    </row>
    <row r="692" spans="1:3" x14ac:dyDescent="0.25">
      <c r="A692" s="10" t="s">
        <v>800</v>
      </c>
      <c r="B692" s="15">
        <v>0</v>
      </c>
      <c r="C692" t="s">
        <v>75</v>
      </c>
    </row>
    <row r="693" spans="1:3" x14ac:dyDescent="0.25">
      <c r="A693" s="10" t="s">
        <v>802</v>
      </c>
      <c r="B693" s="15">
        <v>0</v>
      </c>
      <c r="C693" t="s">
        <v>75</v>
      </c>
    </row>
    <row r="694" spans="1:3" x14ac:dyDescent="0.25">
      <c r="A694" s="10" t="s">
        <v>802</v>
      </c>
      <c r="B694" s="15">
        <v>0</v>
      </c>
      <c r="C694" t="s">
        <v>75</v>
      </c>
    </row>
    <row r="695" spans="1:3" x14ac:dyDescent="0.25">
      <c r="A695" s="10" t="s">
        <v>804</v>
      </c>
      <c r="B695" s="15">
        <v>0</v>
      </c>
      <c r="C695" t="s">
        <v>75</v>
      </c>
    </row>
    <row r="696" spans="1:3" x14ac:dyDescent="0.25">
      <c r="A696" s="10" t="s">
        <v>804</v>
      </c>
      <c r="B696" s="15">
        <v>0</v>
      </c>
      <c r="C696" t="s">
        <v>75</v>
      </c>
    </row>
    <row r="697" spans="1:3" x14ac:dyDescent="0.25">
      <c r="A697" s="10" t="s">
        <v>806</v>
      </c>
      <c r="B697" s="15">
        <v>0</v>
      </c>
      <c r="C697" t="s">
        <v>75</v>
      </c>
    </row>
    <row r="698" spans="1:3" x14ac:dyDescent="0.25">
      <c r="A698" s="10" t="s">
        <v>806</v>
      </c>
      <c r="B698" s="15">
        <v>0</v>
      </c>
      <c r="C698" t="s">
        <v>75</v>
      </c>
    </row>
    <row r="699" spans="1:3" x14ac:dyDescent="0.25">
      <c r="A699" s="10" t="s">
        <v>808</v>
      </c>
      <c r="B699" s="15">
        <v>0</v>
      </c>
      <c r="C699" t="s">
        <v>75</v>
      </c>
    </row>
    <row r="700" spans="1:3" x14ac:dyDescent="0.25">
      <c r="A700" s="10" t="s">
        <v>808</v>
      </c>
      <c r="B700" s="15">
        <v>0</v>
      </c>
      <c r="C700" t="s">
        <v>75</v>
      </c>
    </row>
    <row r="701" spans="1:3" x14ac:dyDescent="0.25">
      <c r="A701" s="10" t="s">
        <v>810</v>
      </c>
      <c r="B701" s="15">
        <v>0</v>
      </c>
      <c r="C701" t="s">
        <v>75</v>
      </c>
    </row>
    <row r="702" spans="1:3" x14ac:dyDescent="0.25">
      <c r="A702" s="10" t="s">
        <v>810</v>
      </c>
      <c r="B702" s="15">
        <v>0</v>
      </c>
      <c r="C702" t="s">
        <v>75</v>
      </c>
    </row>
    <row r="703" spans="1:3" x14ac:dyDescent="0.25">
      <c r="A703" s="10" t="s">
        <v>812</v>
      </c>
      <c r="B703" s="15">
        <v>0</v>
      </c>
      <c r="C703" t="s">
        <v>75</v>
      </c>
    </row>
    <row r="704" spans="1:3" x14ac:dyDescent="0.25">
      <c r="A704" s="10" t="s">
        <v>812</v>
      </c>
      <c r="B704" s="15">
        <v>0</v>
      </c>
      <c r="C704" t="s">
        <v>75</v>
      </c>
    </row>
    <row r="705" spans="1:3" x14ac:dyDescent="0.25">
      <c r="A705" s="10" t="s">
        <v>814</v>
      </c>
      <c r="B705" s="15">
        <v>0</v>
      </c>
      <c r="C705" t="s">
        <v>75</v>
      </c>
    </row>
    <row r="706" spans="1:3" x14ac:dyDescent="0.25">
      <c r="A706" s="10" t="s">
        <v>814</v>
      </c>
      <c r="B706" s="15">
        <v>0</v>
      </c>
      <c r="C706" t="s">
        <v>75</v>
      </c>
    </row>
    <row r="707" spans="1:3" x14ac:dyDescent="0.25">
      <c r="A707" s="10" t="s">
        <v>816</v>
      </c>
      <c r="B707" s="15">
        <v>0</v>
      </c>
      <c r="C707" t="s">
        <v>75</v>
      </c>
    </row>
    <row r="708" spans="1:3" x14ac:dyDescent="0.25">
      <c r="A708" s="10" t="s">
        <v>816</v>
      </c>
      <c r="B708" s="15">
        <v>0</v>
      </c>
      <c r="C708" t="s">
        <v>75</v>
      </c>
    </row>
    <row r="709" spans="1:3" x14ac:dyDescent="0.25">
      <c r="A709" s="10" t="s">
        <v>818</v>
      </c>
      <c r="B709" s="15">
        <v>0</v>
      </c>
      <c r="C709" t="s">
        <v>75</v>
      </c>
    </row>
    <row r="710" spans="1:3" x14ac:dyDescent="0.25">
      <c r="A710" s="10" t="s">
        <v>818</v>
      </c>
      <c r="B710" s="15">
        <v>0</v>
      </c>
      <c r="C710" t="s">
        <v>75</v>
      </c>
    </row>
    <row r="711" spans="1:3" x14ac:dyDescent="0.25">
      <c r="A711" s="10" t="s">
        <v>820</v>
      </c>
      <c r="B711" s="15">
        <v>0</v>
      </c>
      <c r="C711" t="s">
        <v>75</v>
      </c>
    </row>
    <row r="712" spans="1:3" x14ac:dyDescent="0.25">
      <c r="A712" s="10" t="s">
        <v>820</v>
      </c>
      <c r="B712" s="15">
        <v>0</v>
      </c>
      <c r="C712" t="s">
        <v>75</v>
      </c>
    </row>
    <row r="713" spans="1:3" x14ac:dyDescent="0.25">
      <c r="A713" s="10" t="s">
        <v>822</v>
      </c>
      <c r="B713" s="15">
        <v>0</v>
      </c>
      <c r="C713" t="s">
        <v>75</v>
      </c>
    </row>
    <row r="714" spans="1:3" x14ac:dyDescent="0.25">
      <c r="A714" s="10" t="s">
        <v>822</v>
      </c>
      <c r="B714" s="15">
        <v>0</v>
      </c>
      <c r="C714" t="s">
        <v>75</v>
      </c>
    </row>
    <row r="715" spans="1:3" x14ac:dyDescent="0.25">
      <c r="A715" s="10" t="s">
        <v>824</v>
      </c>
      <c r="B715" s="15">
        <v>0</v>
      </c>
      <c r="C715" t="s">
        <v>75</v>
      </c>
    </row>
    <row r="716" spans="1:3" x14ac:dyDescent="0.25">
      <c r="A716" s="10" t="s">
        <v>824</v>
      </c>
      <c r="B716" s="15">
        <v>0</v>
      </c>
      <c r="C716" t="s">
        <v>75</v>
      </c>
    </row>
    <row r="717" spans="1:3" x14ac:dyDescent="0.25">
      <c r="A717" s="10" t="s">
        <v>826</v>
      </c>
      <c r="B717" s="15">
        <v>0</v>
      </c>
      <c r="C717" t="s">
        <v>75</v>
      </c>
    </row>
    <row r="718" spans="1:3" x14ac:dyDescent="0.25">
      <c r="A718" s="10" t="s">
        <v>826</v>
      </c>
      <c r="B718" s="15">
        <v>0</v>
      </c>
      <c r="C718" t="s">
        <v>75</v>
      </c>
    </row>
    <row r="719" spans="1:3" x14ac:dyDescent="0.25">
      <c r="A719" s="10" t="s">
        <v>828</v>
      </c>
      <c r="B719" s="15">
        <v>0</v>
      </c>
      <c r="C719" t="s">
        <v>75</v>
      </c>
    </row>
    <row r="720" spans="1:3" x14ac:dyDescent="0.25">
      <c r="A720" s="10" t="s">
        <v>828</v>
      </c>
      <c r="B720" s="15">
        <v>0</v>
      </c>
      <c r="C720" t="s">
        <v>75</v>
      </c>
    </row>
    <row r="721" spans="1:3" x14ac:dyDescent="0.25">
      <c r="A721" s="10" t="s">
        <v>830</v>
      </c>
      <c r="B721" s="15">
        <v>0</v>
      </c>
      <c r="C721" t="s">
        <v>75</v>
      </c>
    </row>
    <row r="722" spans="1:3" x14ac:dyDescent="0.25">
      <c r="A722" s="10" t="s">
        <v>830</v>
      </c>
      <c r="B722" s="15">
        <v>0</v>
      </c>
      <c r="C722" t="s">
        <v>75</v>
      </c>
    </row>
    <row r="723" spans="1:3" x14ac:dyDescent="0.25">
      <c r="A723" s="10" t="s">
        <v>832</v>
      </c>
      <c r="B723" s="15">
        <v>0</v>
      </c>
      <c r="C723" t="s">
        <v>75</v>
      </c>
    </row>
    <row r="724" spans="1:3" x14ac:dyDescent="0.25">
      <c r="A724" s="10" t="s">
        <v>832</v>
      </c>
      <c r="B724" s="15">
        <v>0</v>
      </c>
      <c r="C724" t="s">
        <v>75</v>
      </c>
    </row>
    <row r="725" spans="1:3" x14ac:dyDescent="0.25">
      <c r="A725" s="10" t="s">
        <v>834</v>
      </c>
      <c r="B725" s="15">
        <v>0</v>
      </c>
      <c r="C725" t="s">
        <v>75</v>
      </c>
    </row>
    <row r="726" spans="1:3" x14ac:dyDescent="0.25">
      <c r="A726" s="10" t="s">
        <v>834</v>
      </c>
      <c r="B726" s="15">
        <v>0</v>
      </c>
      <c r="C726" t="s">
        <v>75</v>
      </c>
    </row>
    <row r="727" spans="1:3" x14ac:dyDescent="0.25">
      <c r="A727" s="10" t="s">
        <v>836</v>
      </c>
      <c r="B727" s="15">
        <v>0</v>
      </c>
      <c r="C727" t="s">
        <v>75</v>
      </c>
    </row>
    <row r="728" spans="1:3" x14ac:dyDescent="0.25">
      <c r="A728" s="10" t="s">
        <v>836</v>
      </c>
      <c r="B728" s="15">
        <v>0</v>
      </c>
      <c r="C728" t="s">
        <v>75</v>
      </c>
    </row>
    <row r="729" spans="1:3" x14ac:dyDescent="0.25">
      <c r="A729" s="10" t="s">
        <v>838</v>
      </c>
      <c r="B729" s="15">
        <v>0</v>
      </c>
      <c r="C729" t="s">
        <v>75</v>
      </c>
    </row>
    <row r="730" spans="1:3" x14ac:dyDescent="0.25">
      <c r="A730" s="10" t="s">
        <v>838</v>
      </c>
      <c r="B730" s="15">
        <v>0</v>
      </c>
      <c r="C730" t="s">
        <v>75</v>
      </c>
    </row>
    <row r="731" spans="1:3" x14ac:dyDescent="0.25">
      <c r="A731" s="10" t="s">
        <v>840</v>
      </c>
      <c r="B731" s="15">
        <v>0</v>
      </c>
      <c r="C731" t="s">
        <v>75</v>
      </c>
    </row>
    <row r="732" spans="1:3" x14ac:dyDescent="0.25">
      <c r="A732" s="10" t="s">
        <v>840</v>
      </c>
      <c r="B732" s="15">
        <v>0</v>
      </c>
      <c r="C732" t="s">
        <v>75</v>
      </c>
    </row>
    <row r="733" spans="1:3" x14ac:dyDescent="0.25">
      <c r="A733" s="10" t="s">
        <v>842</v>
      </c>
      <c r="B733" s="15">
        <v>0</v>
      </c>
      <c r="C733" t="s">
        <v>75</v>
      </c>
    </row>
    <row r="734" spans="1:3" x14ac:dyDescent="0.25">
      <c r="A734" s="10" t="s">
        <v>842</v>
      </c>
      <c r="B734" s="15">
        <v>0</v>
      </c>
      <c r="C734" t="s">
        <v>75</v>
      </c>
    </row>
    <row r="735" spans="1:3" x14ac:dyDescent="0.25">
      <c r="A735" s="10" t="s">
        <v>844</v>
      </c>
      <c r="B735" s="15">
        <v>0</v>
      </c>
      <c r="C735" t="s">
        <v>75</v>
      </c>
    </row>
    <row r="736" spans="1:3" x14ac:dyDescent="0.25">
      <c r="A736" s="10" t="s">
        <v>844</v>
      </c>
      <c r="B736" s="15">
        <v>0</v>
      </c>
      <c r="C736" t="s">
        <v>75</v>
      </c>
    </row>
    <row r="737" spans="1:3" x14ac:dyDescent="0.25">
      <c r="A737" s="10" t="s">
        <v>846</v>
      </c>
      <c r="B737" s="15">
        <v>0</v>
      </c>
      <c r="C737" t="s">
        <v>75</v>
      </c>
    </row>
    <row r="738" spans="1:3" x14ac:dyDescent="0.25">
      <c r="A738" s="10" t="s">
        <v>846</v>
      </c>
      <c r="B738" s="15">
        <v>0</v>
      </c>
      <c r="C738" t="s">
        <v>75</v>
      </c>
    </row>
    <row r="739" spans="1:3" x14ac:dyDescent="0.25">
      <c r="A739" s="10" t="s">
        <v>848</v>
      </c>
      <c r="B739" s="15">
        <v>0</v>
      </c>
      <c r="C739" t="s">
        <v>75</v>
      </c>
    </row>
    <row r="740" spans="1:3" x14ac:dyDescent="0.25">
      <c r="A740" s="10" t="s">
        <v>848</v>
      </c>
      <c r="B740" s="15">
        <v>0</v>
      </c>
      <c r="C740" t="s">
        <v>75</v>
      </c>
    </row>
    <row r="741" spans="1:3" x14ac:dyDescent="0.25">
      <c r="A741" s="10" t="s">
        <v>850</v>
      </c>
      <c r="B741" s="15">
        <v>0</v>
      </c>
      <c r="C741" t="s">
        <v>75</v>
      </c>
    </row>
    <row r="742" spans="1:3" x14ac:dyDescent="0.25">
      <c r="A742" s="10" t="s">
        <v>850</v>
      </c>
      <c r="B742" s="15">
        <v>0</v>
      </c>
      <c r="C742" t="s">
        <v>75</v>
      </c>
    </row>
    <row r="743" spans="1:3" x14ac:dyDescent="0.25">
      <c r="A743" s="10" t="s">
        <v>852</v>
      </c>
      <c r="B743" s="15">
        <v>0</v>
      </c>
      <c r="C743" t="s">
        <v>75</v>
      </c>
    </row>
    <row r="744" spans="1:3" x14ac:dyDescent="0.25">
      <c r="A744" s="10" t="s">
        <v>852</v>
      </c>
      <c r="B744" s="15">
        <v>0</v>
      </c>
      <c r="C744" t="s">
        <v>75</v>
      </c>
    </row>
    <row r="745" spans="1:3" x14ac:dyDescent="0.25">
      <c r="A745" s="10" t="s">
        <v>854</v>
      </c>
      <c r="B745" s="15">
        <v>0</v>
      </c>
      <c r="C745" t="s">
        <v>75</v>
      </c>
    </row>
    <row r="746" spans="1:3" x14ac:dyDescent="0.25">
      <c r="A746" s="10" t="s">
        <v>854</v>
      </c>
      <c r="B746" s="15">
        <v>0</v>
      </c>
      <c r="C746" t="s">
        <v>75</v>
      </c>
    </row>
    <row r="747" spans="1:3" x14ac:dyDescent="0.25">
      <c r="A747" s="10" t="s">
        <v>856</v>
      </c>
      <c r="B747" s="15">
        <v>0</v>
      </c>
      <c r="C747" t="s">
        <v>75</v>
      </c>
    </row>
    <row r="748" spans="1:3" x14ac:dyDescent="0.25">
      <c r="A748" s="10" t="s">
        <v>856</v>
      </c>
      <c r="B748" s="15">
        <v>0</v>
      </c>
      <c r="C748" t="s">
        <v>75</v>
      </c>
    </row>
    <row r="749" spans="1:3" x14ac:dyDescent="0.25">
      <c r="A749" s="10" t="s">
        <v>858</v>
      </c>
      <c r="B749" s="15">
        <v>0</v>
      </c>
      <c r="C749" t="s">
        <v>75</v>
      </c>
    </row>
    <row r="750" spans="1:3" x14ac:dyDescent="0.25">
      <c r="A750" s="10" t="s">
        <v>858</v>
      </c>
      <c r="B750" s="15">
        <v>0</v>
      </c>
      <c r="C750" t="s">
        <v>75</v>
      </c>
    </row>
    <row r="751" spans="1:3" x14ac:dyDescent="0.25">
      <c r="A751" s="10" t="s">
        <v>860</v>
      </c>
      <c r="B751" s="15">
        <v>0</v>
      </c>
      <c r="C751" t="s">
        <v>75</v>
      </c>
    </row>
    <row r="752" spans="1:3" x14ac:dyDescent="0.25">
      <c r="A752" s="10" t="s">
        <v>860</v>
      </c>
      <c r="B752" s="15">
        <v>0</v>
      </c>
      <c r="C752" t="s">
        <v>75</v>
      </c>
    </row>
    <row r="753" spans="1:3" x14ac:dyDescent="0.25">
      <c r="A753" s="10" t="s">
        <v>862</v>
      </c>
      <c r="B753" s="15">
        <v>0</v>
      </c>
      <c r="C753" t="s">
        <v>75</v>
      </c>
    </row>
    <row r="754" spans="1:3" x14ac:dyDescent="0.25">
      <c r="A754" s="10" t="s">
        <v>862</v>
      </c>
      <c r="B754" s="15">
        <v>0</v>
      </c>
      <c r="C754" t="s">
        <v>75</v>
      </c>
    </row>
    <row r="755" spans="1:3" x14ac:dyDescent="0.25">
      <c r="A755" s="10" t="s">
        <v>864</v>
      </c>
      <c r="B755" s="15">
        <v>0</v>
      </c>
      <c r="C755" t="s">
        <v>75</v>
      </c>
    </row>
    <row r="756" spans="1:3" x14ac:dyDescent="0.25">
      <c r="A756" s="10" t="s">
        <v>864</v>
      </c>
      <c r="B756" s="15">
        <v>0</v>
      </c>
      <c r="C756" t="s">
        <v>75</v>
      </c>
    </row>
    <row r="757" spans="1:3" x14ac:dyDescent="0.25">
      <c r="A757" s="10" t="s">
        <v>866</v>
      </c>
      <c r="B757" s="15">
        <v>0</v>
      </c>
      <c r="C757" t="s">
        <v>75</v>
      </c>
    </row>
    <row r="758" spans="1:3" x14ac:dyDescent="0.25">
      <c r="A758" s="10" t="s">
        <v>866</v>
      </c>
      <c r="B758" s="15">
        <v>0</v>
      </c>
      <c r="C758" t="s">
        <v>75</v>
      </c>
    </row>
    <row r="759" spans="1:3" x14ac:dyDescent="0.25">
      <c r="A759" s="10" t="s">
        <v>868</v>
      </c>
      <c r="B759" s="15">
        <v>0</v>
      </c>
      <c r="C759" t="s">
        <v>75</v>
      </c>
    </row>
    <row r="760" spans="1:3" x14ac:dyDescent="0.25">
      <c r="A760" s="10" t="s">
        <v>868</v>
      </c>
      <c r="B760" s="15">
        <v>0</v>
      </c>
      <c r="C760" t="s">
        <v>75</v>
      </c>
    </row>
    <row r="761" spans="1:3" x14ac:dyDescent="0.25">
      <c r="A761" s="10" t="s">
        <v>870</v>
      </c>
      <c r="B761" s="15">
        <v>0</v>
      </c>
      <c r="C761" t="s">
        <v>75</v>
      </c>
    </row>
    <row r="762" spans="1:3" x14ac:dyDescent="0.25">
      <c r="A762" s="10" t="s">
        <v>870</v>
      </c>
      <c r="B762" s="15">
        <v>0</v>
      </c>
      <c r="C762" t="s">
        <v>75</v>
      </c>
    </row>
    <row r="763" spans="1:3" x14ac:dyDescent="0.25">
      <c r="A763" s="10" t="s">
        <v>872</v>
      </c>
      <c r="B763" s="15">
        <v>0</v>
      </c>
      <c r="C763" t="s">
        <v>75</v>
      </c>
    </row>
    <row r="764" spans="1:3" x14ac:dyDescent="0.25">
      <c r="A764" s="10" t="s">
        <v>872</v>
      </c>
      <c r="B764" s="15">
        <v>0</v>
      </c>
      <c r="C764" t="s">
        <v>75</v>
      </c>
    </row>
    <row r="765" spans="1:3" x14ac:dyDescent="0.25">
      <c r="A765" s="10" t="s">
        <v>874</v>
      </c>
      <c r="B765" s="15">
        <v>0</v>
      </c>
      <c r="C765" t="s">
        <v>75</v>
      </c>
    </row>
    <row r="766" spans="1:3" x14ac:dyDescent="0.25">
      <c r="A766" s="10" t="s">
        <v>874</v>
      </c>
      <c r="B766" s="15">
        <v>0</v>
      </c>
      <c r="C766" t="s">
        <v>75</v>
      </c>
    </row>
    <row r="767" spans="1:3" x14ac:dyDescent="0.25">
      <c r="A767" s="10" t="s">
        <v>876</v>
      </c>
      <c r="B767" s="15">
        <v>0</v>
      </c>
      <c r="C767" t="s">
        <v>75</v>
      </c>
    </row>
    <row r="768" spans="1:3" x14ac:dyDescent="0.25">
      <c r="A768" s="10" t="s">
        <v>876</v>
      </c>
      <c r="B768" s="15">
        <v>0</v>
      </c>
      <c r="C768" t="s">
        <v>75</v>
      </c>
    </row>
    <row r="769" spans="1:3" x14ac:dyDescent="0.25">
      <c r="A769" s="10" t="s">
        <v>878</v>
      </c>
      <c r="B769" s="15">
        <v>0</v>
      </c>
      <c r="C769" t="s">
        <v>75</v>
      </c>
    </row>
    <row r="770" spans="1:3" x14ac:dyDescent="0.25">
      <c r="A770" s="10" t="s">
        <v>878</v>
      </c>
      <c r="B770" s="15">
        <v>0</v>
      </c>
      <c r="C770" t="s">
        <v>75</v>
      </c>
    </row>
    <row r="771" spans="1:3" x14ac:dyDescent="0.25">
      <c r="A771" s="10" t="s">
        <v>880</v>
      </c>
      <c r="B771" s="15">
        <v>0</v>
      </c>
      <c r="C771" t="s">
        <v>75</v>
      </c>
    </row>
    <row r="772" spans="1:3" x14ac:dyDescent="0.25">
      <c r="A772" s="10" t="s">
        <v>880</v>
      </c>
      <c r="B772" s="15">
        <v>0</v>
      </c>
      <c r="C772" t="s">
        <v>75</v>
      </c>
    </row>
    <row r="773" spans="1:3" x14ac:dyDescent="0.25">
      <c r="A773" s="10" t="s">
        <v>882</v>
      </c>
      <c r="B773" s="15">
        <v>0</v>
      </c>
      <c r="C773" t="s">
        <v>75</v>
      </c>
    </row>
    <row r="774" spans="1:3" x14ac:dyDescent="0.25">
      <c r="A774" s="10" t="s">
        <v>882</v>
      </c>
      <c r="B774" s="15">
        <v>0</v>
      </c>
      <c r="C774" t="s">
        <v>75</v>
      </c>
    </row>
    <row r="775" spans="1:3" x14ac:dyDescent="0.25">
      <c r="A775" s="10" t="s">
        <v>884</v>
      </c>
      <c r="B775" s="15">
        <v>0</v>
      </c>
      <c r="C775" t="s">
        <v>75</v>
      </c>
    </row>
    <row r="776" spans="1:3" x14ac:dyDescent="0.25">
      <c r="A776" s="10" t="s">
        <v>884</v>
      </c>
      <c r="B776" s="15">
        <v>0</v>
      </c>
      <c r="C776" t="s">
        <v>75</v>
      </c>
    </row>
    <row r="777" spans="1:3" x14ac:dyDescent="0.25">
      <c r="A777" s="10" t="s">
        <v>886</v>
      </c>
      <c r="B777" s="15">
        <v>0</v>
      </c>
      <c r="C777" t="s">
        <v>75</v>
      </c>
    </row>
    <row r="778" spans="1:3" x14ac:dyDescent="0.25">
      <c r="A778" s="10" t="s">
        <v>886</v>
      </c>
      <c r="B778" s="15">
        <v>0</v>
      </c>
      <c r="C778" t="s">
        <v>75</v>
      </c>
    </row>
    <row r="779" spans="1:3" x14ac:dyDescent="0.25">
      <c r="A779" s="10" t="s">
        <v>888</v>
      </c>
      <c r="B779" s="15">
        <v>0</v>
      </c>
      <c r="C779" t="s">
        <v>75</v>
      </c>
    </row>
    <row r="780" spans="1:3" x14ac:dyDescent="0.25">
      <c r="A780" s="10" t="s">
        <v>888</v>
      </c>
      <c r="B780" s="15">
        <v>0</v>
      </c>
      <c r="C780" t="s">
        <v>75</v>
      </c>
    </row>
    <row r="781" spans="1:3" x14ac:dyDescent="0.25">
      <c r="A781" s="10" t="s">
        <v>890</v>
      </c>
      <c r="B781" s="15">
        <v>0</v>
      </c>
      <c r="C781" t="s">
        <v>75</v>
      </c>
    </row>
    <row r="782" spans="1:3" x14ac:dyDescent="0.25">
      <c r="A782" s="10" t="s">
        <v>890</v>
      </c>
      <c r="B782" s="15">
        <v>0</v>
      </c>
      <c r="C782" t="s">
        <v>75</v>
      </c>
    </row>
    <row r="783" spans="1:3" x14ac:dyDescent="0.25">
      <c r="A783" s="10" t="s">
        <v>892</v>
      </c>
      <c r="B783" s="15">
        <v>0</v>
      </c>
      <c r="C783" t="s">
        <v>75</v>
      </c>
    </row>
    <row r="784" spans="1:3" x14ac:dyDescent="0.25">
      <c r="A784" s="10" t="s">
        <v>892</v>
      </c>
      <c r="B784" s="15">
        <v>0</v>
      </c>
      <c r="C784" t="s">
        <v>75</v>
      </c>
    </row>
    <row r="785" spans="1:3" x14ac:dyDescent="0.25">
      <c r="A785" s="10" t="s">
        <v>894</v>
      </c>
      <c r="B785" s="15">
        <v>0</v>
      </c>
      <c r="C785" t="s">
        <v>75</v>
      </c>
    </row>
    <row r="786" spans="1:3" x14ac:dyDescent="0.25">
      <c r="A786" s="10" t="s">
        <v>894</v>
      </c>
      <c r="B786" s="15">
        <v>0</v>
      </c>
      <c r="C786" t="s">
        <v>75</v>
      </c>
    </row>
    <row r="787" spans="1:3" x14ac:dyDescent="0.25">
      <c r="A787" s="10" t="s">
        <v>896</v>
      </c>
      <c r="B787" s="15">
        <v>0</v>
      </c>
      <c r="C787" t="s">
        <v>75</v>
      </c>
    </row>
    <row r="788" spans="1:3" x14ac:dyDescent="0.25">
      <c r="A788" s="10" t="s">
        <v>896</v>
      </c>
      <c r="B788" s="15">
        <v>0</v>
      </c>
      <c r="C788" t="s">
        <v>75</v>
      </c>
    </row>
    <row r="789" spans="1:3" x14ac:dyDescent="0.25">
      <c r="A789" s="10" t="s">
        <v>898</v>
      </c>
      <c r="B789" s="15">
        <v>0</v>
      </c>
      <c r="C789" t="s">
        <v>75</v>
      </c>
    </row>
    <row r="790" spans="1:3" x14ac:dyDescent="0.25">
      <c r="A790" s="10" t="s">
        <v>898</v>
      </c>
      <c r="B790" s="15">
        <v>0</v>
      </c>
      <c r="C790" t="s">
        <v>75</v>
      </c>
    </row>
    <row r="791" spans="1:3" x14ac:dyDescent="0.25">
      <c r="A791" s="10" t="s">
        <v>900</v>
      </c>
      <c r="B791" s="15">
        <v>0</v>
      </c>
      <c r="C791" t="s">
        <v>75</v>
      </c>
    </row>
    <row r="792" spans="1:3" x14ac:dyDescent="0.25">
      <c r="A792" s="10" t="s">
        <v>900</v>
      </c>
      <c r="B792" s="15">
        <v>0</v>
      </c>
      <c r="C792" t="s">
        <v>75</v>
      </c>
    </row>
    <row r="793" spans="1:3" x14ac:dyDescent="0.25">
      <c r="A793" s="10" t="s">
        <v>902</v>
      </c>
      <c r="B793" s="15">
        <v>0</v>
      </c>
      <c r="C793" t="s">
        <v>75</v>
      </c>
    </row>
    <row r="794" spans="1:3" x14ac:dyDescent="0.25">
      <c r="A794" s="10" t="s">
        <v>902</v>
      </c>
      <c r="B794" s="15">
        <v>0</v>
      </c>
      <c r="C794" t="s">
        <v>75</v>
      </c>
    </row>
    <row r="795" spans="1:3" x14ac:dyDescent="0.25">
      <c r="A795" s="10" t="s">
        <v>904</v>
      </c>
      <c r="B795" s="15">
        <v>0</v>
      </c>
      <c r="C795" t="s">
        <v>75</v>
      </c>
    </row>
    <row r="796" spans="1:3" x14ac:dyDescent="0.25">
      <c r="A796" s="10" t="s">
        <v>904</v>
      </c>
      <c r="B796" s="15">
        <v>0</v>
      </c>
      <c r="C796" t="s">
        <v>75</v>
      </c>
    </row>
    <row r="797" spans="1:3" x14ac:dyDescent="0.25">
      <c r="A797" s="10" t="s">
        <v>906</v>
      </c>
      <c r="B797" s="15">
        <v>0</v>
      </c>
      <c r="C797" t="s">
        <v>75</v>
      </c>
    </row>
    <row r="798" spans="1:3" x14ac:dyDescent="0.25">
      <c r="A798" s="10" t="s">
        <v>906</v>
      </c>
      <c r="B798" s="15">
        <v>0</v>
      </c>
      <c r="C798" t="s">
        <v>75</v>
      </c>
    </row>
    <row r="799" spans="1:3" x14ac:dyDescent="0.25">
      <c r="A799" s="10" t="s">
        <v>908</v>
      </c>
      <c r="B799" s="15">
        <v>0</v>
      </c>
      <c r="C799" t="s">
        <v>75</v>
      </c>
    </row>
    <row r="800" spans="1:3" x14ac:dyDescent="0.25">
      <c r="A800" s="10" t="s">
        <v>908</v>
      </c>
      <c r="B800" s="15">
        <v>0</v>
      </c>
      <c r="C800" t="s">
        <v>75</v>
      </c>
    </row>
    <row r="801" spans="1:3" x14ac:dyDescent="0.25">
      <c r="A801" s="10" t="s">
        <v>910</v>
      </c>
      <c r="B801" s="15">
        <v>0</v>
      </c>
      <c r="C801" t="s">
        <v>75</v>
      </c>
    </row>
    <row r="802" spans="1:3" x14ac:dyDescent="0.25">
      <c r="A802" s="10" t="s">
        <v>910</v>
      </c>
      <c r="B802" s="15">
        <v>0</v>
      </c>
      <c r="C802" t="s">
        <v>75</v>
      </c>
    </row>
    <row r="803" spans="1:3" x14ac:dyDescent="0.25">
      <c r="A803" s="10" t="s">
        <v>912</v>
      </c>
      <c r="B803" s="15">
        <v>0</v>
      </c>
      <c r="C803" t="s">
        <v>75</v>
      </c>
    </row>
    <row r="804" spans="1:3" x14ac:dyDescent="0.25">
      <c r="A804" s="10" t="s">
        <v>912</v>
      </c>
      <c r="B804" s="15">
        <v>0</v>
      </c>
      <c r="C804" t="s">
        <v>75</v>
      </c>
    </row>
    <row r="805" spans="1:3" x14ac:dyDescent="0.25">
      <c r="A805" s="10" t="s">
        <v>914</v>
      </c>
      <c r="B805" s="15">
        <v>0</v>
      </c>
      <c r="C805" t="s">
        <v>75</v>
      </c>
    </row>
    <row r="806" spans="1:3" x14ac:dyDescent="0.25">
      <c r="A806" s="10" t="s">
        <v>914</v>
      </c>
      <c r="B806" s="15">
        <v>0</v>
      </c>
      <c r="C806" t="s">
        <v>75</v>
      </c>
    </row>
    <row r="807" spans="1:3" x14ac:dyDescent="0.25">
      <c r="A807" s="10" t="s">
        <v>916</v>
      </c>
      <c r="B807" s="15">
        <v>0</v>
      </c>
      <c r="C807" t="s">
        <v>75</v>
      </c>
    </row>
    <row r="808" spans="1:3" x14ac:dyDescent="0.25">
      <c r="A808" s="10" t="s">
        <v>916</v>
      </c>
      <c r="B808" s="15">
        <v>0</v>
      </c>
      <c r="C808" t="s">
        <v>75</v>
      </c>
    </row>
    <row r="809" spans="1:3" x14ac:dyDescent="0.25">
      <c r="A809" s="10" t="s">
        <v>918</v>
      </c>
      <c r="B809" s="15">
        <v>0</v>
      </c>
      <c r="C809" t="s">
        <v>75</v>
      </c>
    </row>
    <row r="810" spans="1:3" x14ac:dyDescent="0.25">
      <c r="A810" s="10" t="s">
        <v>918</v>
      </c>
      <c r="B810" s="15">
        <v>0</v>
      </c>
      <c r="C810" t="s">
        <v>75</v>
      </c>
    </row>
    <row r="811" spans="1:3" x14ac:dyDescent="0.25">
      <c r="A811" s="10" t="s">
        <v>920</v>
      </c>
      <c r="B811" s="15">
        <v>0</v>
      </c>
      <c r="C811" t="s">
        <v>75</v>
      </c>
    </row>
    <row r="812" spans="1:3" x14ac:dyDescent="0.25">
      <c r="A812" s="10" t="s">
        <v>920</v>
      </c>
      <c r="B812" s="15">
        <v>0</v>
      </c>
      <c r="C812" t="s">
        <v>75</v>
      </c>
    </row>
    <row r="813" spans="1:3" x14ac:dyDescent="0.25">
      <c r="A813" s="10" t="s">
        <v>922</v>
      </c>
      <c r="B813" s="15">
        <v>0</v>
      </c>
      <c r="C813" t="s">
        <v>75</v>
      </c>
    </row>
    <row r="814" spans="1:3" x14ac:dyDescent="0.25">
      <c r="A814" s="10" t="s">
        <v>922</v>
      </c>
      <c r="B814" s="15">
        <v>0</v>
      </c>
      <c r="C814" t="s">
        <v>75</v>
      </c>
    </row>
    <row r="815" spans="1:3" x14ac:dyDescent="0.25">
      <c r="A815" s="10" t="s">
        <v>924</v>
      </c>
      <c r="B815" s="15">
        <v>0</v>
      </c>
      <c r="C815" t="s">
        <v>75</v>
      </c>
    </row>
    <row r="816" spans="1:3" x14ac:dyDescent="0.25">
      <c r="A816" s="10" t="s">
        <v>924</v>
      </c>
      <c r="B816" s="15">
        <v>0</v>
      </c>
      <c r="C816" t="s">
        <v>75</v>
      </c>
    </row>
    <row r="817" spans="1:3" x14ac:dyDescent="0.25">
      <c r="A817" s="10" t="s">
        <v>926</v>
      </c>
      <c r="B817" s="15">
        <v>0</v>
      </c>
      <c r="C817" t="s">
        <v>75</v>
      </c>
    </row>
    <row r="818" spans="1:3" x14ac:dyDescent="0.25">
      <c r="A818" s="10" t="s">
        <v>926</v>
      </c>
      <c r="B818" s="15">
        <v>0</v>
      </c>
      <c r="C818" t="s">
        <v>75</v>
      </c>
    </row>
    <row r="819" spans="1:3" x14ac:dyDescent="0.25">
      <c r="A819" s="10" t="s">
        <v>928</v>
      </c>
      <c r="B819" s="15">
        <v>0</v>
      </c>
      <c r="C819" t="s">
        <v>75</v>
      </c>
    </row>
    <row r="820" spans="1:3" x14ac:dyDescent="0.25">
      <c r="A820" s="10" t="s">
        <v>928</v>
      </c>
      <c r="B820" s="15">
        <v>0</v>
      </c>
      <c r="C820" t="s">
        <v>75</v>
      </c>
    </row>
    <row r="821" spans="1:3" x14ac:dyDescent="0.25">
      <c r="A821" s="10" t="s">
        <v>930</v>
      </c>
      <c r="B821" s="15">
        <v>0</v>
      </c>
      <c r="C821" t="s">
        <v>75</v>
      </c>
    </row>
    <row r="822" spans="1:3" x14ac:dyDescent="0.25">
      <c r="A822" s="10" t="s">
        <v>930</v>
      </c>
      <c r="B822" s="15">
        <v>0</v>
      </c>
      <c r="C822" t="s">
        <v>75</v>
      </c>
    </row>
    <row r="823" spans="1:3" x14ac:dyDescent="0.25">
      <c r="A823" s="10" t="s">
        <v>932</v>
      </c>
      <c r="B823" s="15">
        <v>0</v>
      </c>
      <c r="C823" t="s">
        <v>75</v>
      </c>
    </row>
    <row r="824" spans="1:3" x14ac:dyDescent="0.25">
      <c r="A824" s="10" t="s">
        <v>932</v>
      </c>
      <c r="B824" s="15">
        <v>0</v>
      </c>
      <c r="C824" t="s">
        <v>75</v>
      </c>
    </row>
    <row r="825" spans="1:3" x14ac:dyDescent="0.25">
      <c r="A825" s="10" t="s">
        <v>934</v>
      </c>
      <c r="B825" s="15">
        <v>0</v>
      </c>
      <c r="C825" t="s">
        <v>75</v>
      </c>
    </row>
    <row r="826" spans="1:3" x14ac:dyDescent="0.25">
      <c r="A826" s="10" t="s">
        <v>934</v>
      </c>
      <c r="B826" s="15">
        <v>0</v>
      </c>
      <c r="C826" t="s">
        <v>75</v>
      </c>
    </row>
    <row r="827" spans="1:3" x14ac:dyDescent="0.25">
      <c r="A827" s="10" t="s">
        <v>936</v>
      </c>
      <c r="B827" s="15">
        <v>0</v>
      </c>
      <c r="C827" t="s">
        <v>75</v>
      </c>
    </row>
    <row r="828" spans="1:3" x14ac:dyDescent="0.25">
      <c r="A828" s="10" t="s">
        <v>936</v>
      </c>
      <c r="B828" s="15">
        <v>0</v>
      </c>
      <c r="C828" t="s">
        <v>75</v>
      </c>
    </row>
    <row r="829" spans="1:3" x14ac:dyDescent="0.25">
      <c r="A829" s="10" t="s">
        <v>938</v>
      </c>
      <c r="B829" s="15">
        <v>0</v>
      </c>
      <c r="C829" t="s">
        <v>75</v>
      </c>
    </row>
    <row r="830" spans="1:3" x14ac:dyDescent="0.25">
      <c r="A830" s="10" t="s">
        <v>938</v>
      </c>
      <c r="B830" s="15">
        <v>0</v>
      </c>
      <c r="C830" t="s">
        <v>75</v>
      </c>
    </row>
    <row r="831" spans="1:3" x14ac:dyDescent="0.25">
      <c r="A831" s="10" t="s">
        <v>940</v>
      </c>
      <c r="B831" s="15">
        <v>0</v>
      </c>
      <c r="C831" t="s">
        <v>75</v>
      </c>
    </row>
    <row r="832" spans="1:3" x14ac:dyDescent="0.25">
      <c r="A832" s="10" t="s">
        <v>940</v>
      </c>
      <c r="B832" s="15">
        <v>0</v>
      </c>
      <c r="C832" t="s">
        <v>75</v>
      </c>
    </row>
    <row r="833" spans="1:3" x14ac:dyDescent="0.25">
      <c r="A833" s="10" t="s">
        <v>942</v>
      </c>
      <c r="B833" s="15">
        <v>0</v>
      </c>
      <c r="C833" t="s">
        <v>75</v>
      </c>
    </row>
    <row r="834" spans="1:3" x14ac:dyDescent="0.25">
      <c r="A834" s="10" t="s">
        <v>942</v>
      </c>
      <c r="B834" s="15">
        <v>0</v>
      </c>
      <c r="C834" t="s">
        <v>75</v>
      </c>
    </row>
    <row r="835" spans="1:3" x14ac:dyDescent="0.25">
      <c r="A835" s="10" t="s">
        <v>944</v>
      </c>
      <c r="B835" s="15">
        <v>0</v>
      </c>
      <c r="C835" t="s">
        <v>75</v>
      </c>
    </row>
    <row r="836" spans="1:3" x14ac:dyDescent="0.25">
      <c r="A836" s="10" t="s">
        <v>944</v>
      </c>
      <c r="B836" s="15">
        <v>0</v>
      </c>
      <c r="C836" t="s">
        <v>75</v>
      </c>
    </row>
    <row r="837" spans="1:3" x14ac:dyDescent="0.25">
      <c r="A837" s="10" t="s">
        <v>946</v>
      </c>
      <c r="B837" s="15">
        <v>0</v>
      </c>
      <c r="C837" t="s">
        <v>75</v>
      </c>
    </row>
    <row r="838" spans="1:3" x14ac:dyDescent="0.25">
      <c r="A838" s="10" t="s">
        <v>946</v>
      </c>
      <c r="B838" s="15">
        <v>0</v>
      </c>
      <c r="C838" t="s">
        <v>75</v>
      </c>
    </row>
    <row r="839" spans="1:3" x14ac:dyDescent="0.25">
      <c r="A839" s="10" t="s">
        <v>948</v>
      </c>
      <c r="B839" s="15">
        <v>0</v>
      </c>
      <c r="C839" t="s">
        <v>75</v>
      </c>
    </row>
    <row r="840" spans="1:3" x14ac:dyDescent="0.25">
      <c r="A840" s="10" t="s">
        <v>948</v>
      </c>
      <c r="B840" s="15">
        <v>0</v>
      </c>
      <c r="C840" t="s">
        <v>75</v>
      </c>
    </row>
    <row r="841" spans="1:3" x14ac:dyDescent="0.25">
      <c r="A841" s="10" t="s">
        <v>950</v>
      </c>
      <c r="B841" s="15">
        <v>0</v>
      </c>
      <c r="C841" t="s">
        <v>75</v>
      </c>
    </row>
    <row r="842" spans="1:3" x14ac:dyDescent="0.25">
      <c r="A842" s="10" t="s">
        <v>950</v>
      </c>
      <c r="B842" s="15">
        <v>0</v>
      </c>
      <c r="C842" t="s">
        <v>75</v>
      </c>
    </row>
    <row r="843" spans="1:3" x14ac:dyDescent="0.25">
      <c r="A843" s="10" t="s">
        <v>952</v>
      </c>
      <c r="B843" s="15">
        <v>0</v>
      </c>
      <c r="C843" t="s">
        <v>75</v>
      </c>
    </row>
    <row r="844" spans="1:3" x14ac:dyDescent="0.25">
      <c r="A844" s="10" t="s">
        <v>952</v>
      </c>
      <c r="B844" s="15">
        <v>0</v>
      </c>
      <c r="C844" t="s">
        <v>75</v>
      </c>
    </row>
    <row r="845" spans="1:3" x14ac:dyDescent="0.25">
      <c r="A845" s="10" t="s">
        <v>954</v>
      </c>
      <c r="B845" s="15">
        <v>0</v>
      </c>
      <c r="C845" t="s">
        <v>75</v>
      </c>
    </row>
    <row r="846" spans="1:3" x14ac:dyDescent="0.25">
      <c r="A846" s="10" t="s">
        <v>954</v>
      </c>
      <c r="B846" s="15">
        <v>0</v>
      </c>
      <c r="C846" t="s">
        <v>75</v>
      </c>
    </row>
    <row r="847" spans="1:3" x14ac:dyDescent="0.25">
      <c r="A847" s="10" t="s">
        <v>956</v>
      </c>
      <c r="B847" s="15">
        <v>0</v>
      </c>
      <c r="C847" t="s">
        <v>75</v>
      </c>
    </row>
    <row r="848" spans="1:3" x14ac:dyDescent="0.25">
      <c r="A848" s="10" t="s">
        <v>956</v>
      </c>
      <c r="B848" s="15">
        <v>0</v>
      </c>
      <c r="C848" t="s">
        <v>75</v>
      </c>
    </row>
    <row r="849" spans="1:3" x14ac:dyDescent="0.25">
      <c r="A849" s="10" t="s">
        <v>958</v>
      </c>
      <c r="B849" s="15">
        <v>0</v>
      </c>
      <c r="C849" t="s">
        <v>75</v>
      </c>
    </row>
    <row r="850" spans="1:3" x14ac:dyDescent="0.25">
      <c r="A850" s="10" t="s">
        <v>958</v>
      </c>
      <c r="B850" s="15">
        <v>0</v>
      </c>
      <c r="C850" t="s">
        <v>75</v>
      </c>
    </row>
    <row r="851" spans="1:3" x14ac:dyDescent="0.25">
      <c r="A851" s="10" t="s">
        <v>960</v>
      </c>
      <c r="B851" s="15">
        <v>0</v>
      </c>
      <c r="C851" t="s">
        <v>75</v>
      </c>
    </row>
    <row r="852" spans="1:3" x14ac:dyDescent="0.25">
      <c r="A852" s="10" t="s">
        <v>960</v>
      </c>
      <c r="B852" s="15">
        <v>0</v>
      </c>
      <c r="C852" t="s">
        <v>75</v>
      </c>
    </row>
    <row r="853" spans="1:3" x14ac:dyDescent="0.25">
      <c r="A853" s="10" t="s">
        <v>962</v>
      </c>
      <c r="B853" s="15">
        <v>0</v>
      </c>
      <c r="C853" t="s">
        <v>75</v>
      </c>
    </row>
    <row r="854" spans="1:3" x14ac:dyDescent="0.25">
      <c r="A854" s="10" t="s">
        <v>962</v>
      </c>
      <c r="B854" s="15">
        <v>0</v>
      </c>
      <c r="C854" t="s">
        <v>75</v>
      </c>
    </row>
    <row r="855" spans="1:3" x14ac:dyDescent="0.25">
      <c r="A855" s="10" t="s">
        <v>964</v>
      </c>
      <c r="B855" s="15">
        <v>0</v>
      </c>
      <c r="C855" t="s">
        <v>75</v>
      </c>
    </row>
    <row r="856" spans="1:3" x14ac:dyDescent="0.25">
      <c r="A856" s="10" t="s">
        <v>964</v>
      </c>
      <c r="B856" s="15">
        <v>0</v>
      </c>
      <c r="C856" t="s">
        <v>75</v>
      </c>
    </row>
    <row r="857" spans="1:3" x14ac:dyDescent="0.25">
      <c r="A857" s="10" t="s">
        <v>966</v>
      </c>
      <c r="B857" s="15">
        <v>0</v>
      </c>
      <c r="C857" t="s">
        <v>75</v>
      </c>
    </row>
    <row r="858" spans="1:3" x14ac:dyDescent="0.25">
      <c r="A858" s="10" t="s">
        <v>966</v>
      </c>
      <c r="B858" s="15">
        <v>0</v>
      </c>
      <c r="C858" t="s">
        <v>75</v>
      </c>
    </row>
    <row r="859" spans="1:3" x14ac:dyDescent="0.25">
      <c r="A859" s="10" t="s">
        <v>968</v>
      </c>
      <c r="B859" s="15">
        <v>0</v>
      </c>
      <c r="C859" t="s">
        <v>75</v>
      </c>
    </row>
    <row r="860" spans="1:3" x14ac:dyDescent="0.25">
      <c r="A860" s="10" t="s">
        <v>968</v>
      </c>
      <c r="B860" s="15">
        <v>0</v>
      </c>
      <c r="C860" t="s">
        <v>75</v>
      </c>
    </row>
    <row r="861" spans="1:3" x14ac:dyDescent="0.25">
      <c r="A861" s="10" t="s">
        <v>970</v>
      </c>
      <c r="B861" s="15">
        <v>0</v>
      </c>
      <c r="C861" t="s">
        <v>75</v>
      </c>
    </row>
    <row r="862" spans="1:3" x14ac:dyDescent="0.25">
      <c r="A862" s="10" t="s">
        <v>970</v>
      </c>
      <c r="B862" s="15">
        <v>0</v>
      </c>
      <c r="C862" t="s">
        <v>75</v>
      </c>
    </row>
    <row r="863" spans="1:3" x14ac:dyDescent="0.25">
      <c r="A863" s="10" t="s">
        <v>972</v>
      </c>
      <c r="B863" s="15">
        <v>0</v>
      </c>
      <c r="C863" t="s">
        <v>75</v>
      </c>
    </row>
    <row r="864" spans="1:3" x14ac:dyDescent="0.25">
      <c r="A864" s="10" t="s">
        <v>972</v>
      </c>
      <c r="B864" s="15">
        <v>0</v>
      </c>
      <c r="C864" t="s">
        <v>75</v>
      </c>
    </row>
    <row r="865" spans="1:3" x14ac:dyDescent="0.25">
      <c r="A865" s="10" t="s">
        <v>974</v>
      </c>
      <c r="B865" s="15">
        <v>0</v>
      </c>
      <c r="C865" t="s">
        <v>75</v>
      </c>
    </row>
    <row r="866" spans="1:3" x14ac:dyDescent="0.25">
      <c r="A866" s="10" t="s">
        <v>974</v>
      </c>
      <c r="B866" s="15">
        <v>0</v>
      </c>
      <c r="C866" t="s">
        <v>75</v>
      </c>
    </row>
    <row r="867" spans="1:3" x14ac:dyDescent="0.25">
      <c r="A867" s="10" t="s">
        <v>976</v>
      </c>
      <c r="B867" s="15">
        <v>0</v>
      </c>
      <c r="C867" t="s">
        <v>75</v>
      </c>
    </row>
    <row r="868" spans="1:3" x14ac:dyDescent="0.25">
      <c r="A868" s="10" t="s">
        <v>976</v>
      </c>
      <c r="B868" s="15">
        <v>0</v>
      </c>
      <c r="C868" t="s">
        <v>75</v>
      </c>
    </row>
    <row r="869" spans="1:3" x14ac:dyDescent="0.25">
      <c r="A869" s="10" t="s">
        <v>978</v>
      </c>
      <c r="B869" s="15">
        <v>0</v>
      </c>
      <c r="C869" t="s">
        <v>75</v>
      </c>
    </row>
    <row r="870" spans="1:3" x14ac:dyDescent="0.25">
      <c r="A870" s="10" t="s">
        <v>978</v>
      </c>
      <c r="B870" s="15">
        <v>0</v>
      </c>
      <c r="C870" t="s">
        <v>75</v>
      </c>
    </row>
    <row r="871" spans="1:3" x14ac:dyDescent="0.25">
      <c r="A871" s="10" t="s">
        <v>980</v>
      </c>
      <c r="B871" s="15">
        <v>0</v>
      </c>
      <c r="C871" t="s">
        <v>75</v>
      </c>
    </row>
    <row r="872" spans="1:3" x14ac:dyDescent="0.25">
      <c r="A872" s="10" t="s">
        <v>980</v>
      </c>
      <c r="B872" s="15">
        <v>0</v>
      </c>
      <c r="C872" t="s">
        <v>75</v>
      </c>
    </row>
    <row r="873" spans="1:3" x14ac:dyDescent="0.25">
      <c r="A873" s="10" t="s">
        <v>982</v>
      </c>
      <c r="B873" s="15">
        <v>0</v>
      </c>
      <c r="C873" t="s">
        <v>75</v>
      </c>
    </row>
    <row r="874" spans="1:3" x14ac:dyDescent="0.25">
      <c r="A874" s="10" t="s">
        <v>982</v>
      </c>
      <c r="B874" s="15">
        <v>0</v>
      </c>
      <c r="C874" t="s">
        <v>75</v>
      </c>
    </row>
    <row r="875" spans="1:3" x14ac:dyDescent="0.25">
      <c r="A875" s="10" t="s">
        <v>984</v>
      </c>
      <c r="B875" s="15">
        <v>0</v>
      </c>
      <c r="C875" t="s">
        <v>75</v>
      </c>
    </row>
    <row r="876" spans="1:3" x14ac:dyDescent="0.25">
      <c r="A876" s="10" t="s">
        <v>984</v>
      </c>
      <c r="B876" s="15">
        <v>0</v>
      </c>
      <c r="C876" t="s">
        <v>75</v>
      </c>
    </row>
    <row r="877" spans="1:3" x14ac:dyDescent="0.25">
      <c r="A877" s="10" t="s">
        <v>986</v>
      </c>
      <c r="B877" s="15">
        <v>0</v>
      </c>
      <c r="C877" t="s">
        <v>75</v>
      </c>
    </row>
    <row r="878" spans="1:3" x14ac:dyDescent="0.25">
      <c r="A878" s="10" t="s">
        <v>986</v>
      </c>
      <c r="B878" s="15">
        <v>0</v>
      </c>
      <c r="C878" t="s">
        <v>75</v>
      </c>
    </row>
    <row r="879" spans="1:3" x14ac:dyDescent="0.25">
      <c r="A879" s="10" t="s">
        <v>988</v>
      </c>
      <c r="B879" s="15">
        <v>0</v>
      </c>
      <c r="C879" t="s">
        <v>75</v>
      </c>
    </row>
    <row r="880" spans="1:3" x14ac:dyDescent="0.25">
      <c r="A880" s="10" t="s">
        <v>988</v>
      </c>
      <c r="B880" s="15">
        <v>0</v>
      </c>
      <c r="C880" t="s">
        <v>75</v>
      </c>
    </row>
    <row r="881" spans="1:3" x14ac:dyDescent="0.25">
      <c r="A881" s="10" t="s">
        <v>990</v>
      </c>
      <c r="B881" s="15">
        <v>0</v>
      </c>
      <c r="C881" t="s">
        <v>75</v>
      </c>
    </row>
    <row r="882" spans="1:3" x14ac:dyDescent="0.25">
      <c r="A882" s="10" t="s">
        <v>990</v>
      </c>
      <c r="B882" s="15">
        <v>0</v>
      </c>
      <c r="C882" t="s">
        <v>75</v>
      </c>
    </row>
    <row r="883" spans="1:3" x14ac:dyDescent="0.25">
      <c r="A883" s="10" t="s">
        <v>992</v>
      </c>
      <c r="B883" s="15">
        <v>0</v>
      </c>
      <c r="C883" t="s">
        <v>75</v>
      </c>
    </row>
    <row r="884" spans="1:3" x14ac:dyDescent="0.25">
      <c r="A884" s="10" t="s">
        <v>992</v>
      </c>
      <c r="B884" s="15">
        <v>0</v>
      </c>
      <c r="C884" t="s">
        <v>75</v>
      </c>
    </row>
    <row r="885" spans="1:3" x14ac:dyDescent="0.25">
      <c r="A885" s="10" t="s">
        <v>994</v>
      </c>
      <c r="B885" s="15">
        <v>0</v>
      </c>
      <c r="C885" t="s">
        <v>75</v>
      </c>
    </row>
    <row r="886" spans="1:3" x14ac:dyDescent="0.25">
      <c r="A886" s="10" t="s">
        <v>994</v>
      </c>
      <c r="B886" s="15">
        <v>0</v>
      </c>
      <c r="C886" t="s">
        <v>75</v>
      </c>
    </row>
    <row r="887" spans="1:3" x14ac:dyDescent="0.25">
      <c r="A887" s="10" t="s">
        <v>996</v>
      </c>
      <c r="B887" s="15">
        <v>0</v>
      </c>
      <c r="C887" t="s">
        <v>75</v>
      </c>
    </row>
    <row r="888" spans="1:3" x14ac:dyDescent="0.25">
      <c r="A888" s="10" t="s">
        <v>996</v>
      </c>
      <c r="B888" s="15">
        <v>0</v>
      </c>
      <c r="C888" t="s">
        <v>75</v>
      </c>
    </row>
    <row r="889" spans="1:3" x14ac:dyDescent="0.25">
      <c r="A889" s="10" t="s">
        <v>1001</v>
      </c>
      <c r="B889" s="15">
        <v>0</v>
      </c>
      <c r="C889" t="s">
        <v>75</v>
      </c>
    </row>
    <row r="890" spans="1:3" x14ac:dyDescent="0.25">
      <c r="A890" s="10" t="s">
        <v>1001</v>
      </c>
      <c r="B890" s="15">
        <v>0</v>
      </c>
      <c r="C890" t="s">
        <v>75</v>
      </c>
    </row>
    <row r="891" spans="1:3" x14ac:dyDescent="0.25">
      <c r="A891" s="10" t="s">
        <v>1003</v>
      </c>
      <c r="B891" s="15">
        <v>0</v>
      </c>
      <c r="C891" t="s">
        <v>75</v>
      </c>
    </row>
    <row r="892" spans="1:3" x14ac:dyDescent="0.25">
      <c r="A892" s="10" t="s">
        <v>1003</v>
      </c>
      <c r="B892" s="15">
        <v>0</v>
      </c>
      <c r="C892" t="s">
        <v>75</v>
      </c>
    </row>
    <row r="893" spans="1:3" x14ac:dyDescent="0.25">
      <c r="A893" s="10" t="s">
        <v>1005</v>
      </c>
      <c r="B893" s="15">
        <v>0</v>
      </c>
      <c r="C893" t="s">
        <v>75</v>
      </c>
    </row>
    <row r="894" spans="1:3" x14ac:dyDescent="0.25">
      <c r="A894" s="10" t="s">
        <v>1005</v>
      </c>
      <c r="B894" s="15">
        <v>0</v>
      </c>
      <c r="C894" t="s">
        <v>75</v>
      </c>
    </row>
    <row r="895" spans="1:3" x14ac:dyDescent="0.25">
      <c r="A895" s="10" t="s">
        <v>1007</v>
      </c>
      <c r="B895" s="15">
        <v>0</v>
      </c>
      <c r="C895" t="s">
        <v>75</v>
      </c>
    </row>
    <row r="896" spans="1:3" x14ac:dyDescent="0.25">
      <c r="A896" s="10" t="s">
        <v>1007</v>
      </c>
      <c r="B896" s="15">
        <v>0</v>
      </c>
      <c r="C896" t="s">
        <v>75</v>
      </c>
    </row>
    <row r="897" spans="1:3" x14ac:dyDescent="0.25">
      <c r="A897" s="10" t="s">
        <v>1009</v>
      </c>
      <c r="B897" s="15">
        <v>0</v>
      </c>
      <c r="C897" t="s">
        <v>75</v>
      </c>
    </row>
    <row r="898" spans="1:3" x14ac:dyDescent="0.25">
      <c r="A898" s="10" t="s">
        <v>1009</v>
      </c>
      <c r="B898" s="15">
        <v>0</v>
      </c>
      <c r="C898" t="s">
        <v>75</v>
      </c>
    </row>
    <row r="899" spans="1:3" x14ac:dyDescent="0.25">
      <c r="A899" s="10" t="s">
        <v>1011</v>
      </c>
      <c r="B899" s="15">
        <v>0</v>
      </c>
      <c r="C899" t="s">
        <v>75</v>
      </c>
    </row>
    <row r="900" spans="1:3" x14ac:dyDescent="0.25">
      <c r="A900" s="10" t="s">
        <v>1011</v>
      </c>
      <c r="B900" s="15">
        <v>0</v>
      </c>
      <c r="C900" t="s">
        <v>75</v>
      </c>
    </row>
    <row r="901" spans="1:3" x14ac:dyDescent="0.25">
      <c r="A901" s="10" t="s">
        <v>1013</v>
      </c>
      <c r="B901" s="15">
        <v>0</v>
      </c>
      <c r="C901" t="s">
        <v>75</v>
      </c>
    </row>
    <row r="902" spans="1:3" x14ac:dyDescent="0.25">
      <c r="A902" s="10" t="s">
        <v>1013</v>
      </c>
      <c r="B902" s="15">
        <v>0</v>
      </c>
      <c r="C902" t="s">
        <v>75</v>
      </c>
    </row>
    <row r="903" spans="1:3" x14ac:dyDescent="0.25">
      <c r="A903" s="10" t="s">
        <v>1015</v>
      </c>
      <c r="B903" s="15">
        <v>0</v>
      </c>
      <c r="C903" t="s">
        <v>75</v>
      </c>
    </row>
    <row r="904" spans="1:3" x14ac:dyDescent="0.25">
      <c r="A904" s="10" t="s">
        <v>1015</v>
      </c>
      <c r="B904" s="15">
        <v>0</v>
      </c>
      <c r="C904" t="s">
        <v>75</v>
      </c>
    </row>
    <row r="905" spans="1:3" x14ac:dyDescent="0.25">
      <c r="A905" s="10" t="s">
        <v>1017</v>
      </c>
      <c r="B905" s="15">
        <v>0</v>
      </c>
      <c r="C905" t="s">
        <v>75</v>
      </c>
    </row>
    <row r="906" spans="1:3" x14ac:dyDescent="0.25">
      <c r="A906" s="10" t="s">
        <v>1017</v>
      </c>
      <c r="B906" s="15">
        <v>0</v>
      </c>
      <c r="C906" t="s">
        <v>75</v>
      </c>
    </row>
    <row r="907" spans="1:3" x14ac:dyDescent="0.25">
      <c r="A907" s="10" t="s">
        <v>1019</v>
      </c>
      <c r="B907" s="15">
        <v>0</v>
      </c>
      <c r="C907" t="s">
        <v>75</v>
      </c>
    </row>
    <row r="908" spans="1:3" x14ac:dyDescent="0.25">
      <c r="A908" s="10" t="s">
        <v>1019</v>
      </c>
      <c r="B908" s="15">
        <v>0</v>
      </c>
      <c r="C908" t="s">
        <v>75</v>
      </c>
    </row>
    <row r="909" spans="1:3" x14ac:dyDescent="0.25">
      <c r="A909" s="10" t="s">
        <v>1021</v>
      </c>
      <c r="B909" s="15">
        <v>0</v>
      </c>
      <c r="C909" t="s">
        <v>75</v>
      </c>
    </row>
    <row r="910" spans="1:3" x14ac:dyDescent="0.25">
      <c r="A910" s="10" t="s">
        <v>1021</v>
      </c>
      <c r="B910" s="15">
        <v>0</v>
      </c>
      <c r="C910" t="s">
        <v>75</v>
      </c>
    </row>
    <row r="911" spans="1:3" x14ac:dyDescent="0.25">
      <c r="A911" s="10" t="s">
        <v>1023</v>
      </c>
      <c r="B911" s="15">
        <v>0</v>
      </c>
      <c r="C911" t="s">
        <v>75</v>
      </c>
    </row>
    <row r="912" spans="1:3" x14ac:dyDescent="0.25">
      <c r="A912" s="10" t="s">
        <v>1023</v>
      </c>
      <c r="B912" s="15">
        <v>0</v>
      </c>
      <c r="C912" t="s">
        <v>75</v>
      </c>
    </row>
    <row r="913" spans="1:3" x14ac:dyDescent="0.25">
      <c r="A913" s="10" t="s">
        <v>1025</v>
      </c>
      <c r="B913" s="15">
        <v>0</v>
      </c>
      <c r="C913" t="s">
        <v>75</v>
      </c>
    </row>
    <row r="914" spans="1:3" x14ac:dyDescent="0.25">
      <c r="A914" s="10" t="s">
        <v>1025</v>
      </c>
      <c r="B914" s="15">
        <v>0</v>
      </c>
      <c r="C914" t="s">
        <v>75</v>
      </c>
    </row>
    <row r="915" spans="1:3" x14ac:dyDescent="0.25">
      <c r="A915" s="10" t="s">
        <v>1027</v>
      </c>
      <c r="B915" s="15">
        <v>0</v>
      </c>
      <c r="C915" t="s">
        <v>75</v>
      </c>
    </row>
    <row r="916" spans="1:3" x14ac:dyDescent="0.25">
      <c r="A916" s="10" t="s">
        <v>1027</v>
      </c>
      <c r="B916" s="15">
        <v>0</v>
      </c>
      <c r="C916" t="s">
        <v>75</v>
      </c>
    </row>
    <row r="917" spans="1:3" x14ac:dyDescent="0.25">
      <c r="A917" s="10" t="s">
        <v>1029</v>
      </c>
      <c r="B917" s="15">
        <v>0</v>
      </c>
      <c r="C917" t="s">
        <v>75</v>
      </c>
    </row>
    <row r="918" spans="1:3" x14ac:dyDescent="0.25">
      <c r="A918" s="10" t="s">
        <v>1029</v>
      </c>
      <c r="B918" s="15">
        <v>0</v>
      </c>
      <c r="C918" t="s">
        <v>75</v>
      </c>
    </row>
    <row r="919" spans="1:3" x14ac:dyDescent="0.25">
      <c r="A919" s="10" t="s">
        <v>1031</v>
      </c>
      <c r="B919" s="15">
        <v>0</v>
      </c>
      <c r="C919" t="s">
        <v>75</v>
      </c>
    </row>
    <row r="920" spans="1:3" x14ac:dyDescent="0.25">
      <c r="A920" s="10" t="s">
        <v>1031</v>
      </c>
      <c r="B920" s="15">
        <v>0</v>
      </c>
      <c r="C920" t="s">
        <v>75</v>
      </c>
    </row>
    <row r="921" spans="1:3" x14ac:dyDescent="0.25">
      <c r="A921" s="10" t="s">
        <v>1033</v>
      </c>
      <c r="B921" s="15">
        <v>0</v>
      </c>
      <c r="C921" t="s">
        <v>75</v>
      </c>
    </row>
    <row r="922" spans="1:3" x14ac:dyDescent="0.25">
      <c r="A922" s="10" t="s">
        <v>1033</v>
      </c>
      <c r="B922" s="15">
        <v>0</v>
      </c>
      <c r="C922" t="s">
        <v>75</v>
      </c>
    </row>
    <row r="923" spans="1:3" x14ac:dyDescent="0.25">
      <c r="A923" s="10" t="s">
        <v>1038</v>
      </c>
      <c r="B923" s="15">
        <v>0</v>
      </c>
      <c r="C923" t="s">
        <v>75</v>
      </c>
    </row>
    <row r="924" spans="1:3" x14ac:dyDescent="0.25">
      <c r="A924" s="10" t="s">
        <v>1038</v>
      </c>
      <c r="B924" s="15">
        <v>0</v>
      </c>
      <c r="C924" t="s">
        <v>75</v>
      </c>
    </row>
    <row r="925" spans="1:3" x14ac:dyDescent="0.25">
      <c r="A925" s="10" t="s">
        <v>1040</v>
      </c>
      <c r="B925" s="15">
        <v>0</v>
      </c>
      <c r="C925" t="s">
        <v>75</v>
      </c>
    </row>
    <row r="926" spans="1:3" x14ac:dyDescent="0.25">
      <c r="A926" s="10" t="s">
        <v>1040</v>
      </c>
      <c r="B926" s="15">
        <v>0</v>
      </c>
      <c r="C926" t="s">
        <v>75</v>
      </c>
    </row>
    <row r="927" spans="1:3" x14ac:dyDescent="0.25">
      <c r="A927" s="10" t="s">
        <v>1042</v>
      </c>
      <c r="B927" s="15">
        <v>0</v>
      </c>
      <c r="C927" t="s">
        <v>75</v>
      </c>
    </row>
    <row r="928" spans="1:3" x14ac:dyDescent="0.25">
      <c r="A928" s="10" t="s">
        <v>1042</v>
      </c>
      <c r="B928" s="15">
        <v>0</v>
      </c>
      <c r="C928" t="s">
        <v>75</v>
      </c>
    </row>
    <row r="929" spans="1:3" x14ac:dyDescent="0.25">
      <c r="A929" s="10" t="s">
        <v>1044</v>
      </c>
      <c r="B929" s="15">
        <v>0</v>
      </c>
      <c r="C929" t="s">
        <v>75</v>
      </c>
    </row>
    <row r="930" spans="1:3" x14ac:dyDescent="0.25">
      <c r="A930" s="10" t="s">
        <v>1044</v>
      </c>
      <c r="B930" s="15">
        <v>0</v>
      </c>
      <c r="C930" t="s">
        <v>75</v>
      </c>
    </row>
    <row r="931" spans="1:3" x14ac:dyDescent="0.25">
      <c r="A931" s="10" t="s">
        <v>1046</v>
      </c>
      <c r="B931" s="15">
        <v>0</v>
      </c>
      <c r="C931" t="s">
        <v>75</v>
      </c>
    </row>
    <row r="932" spans="1:3" x14ac:dyDescent="0.25">
      <c r="A932" s="10" t="s">
        <v>1046</v>
      </c>
      <c r="B932" s="15">
        <v>0</v>
      </c>
      <c r="C932" t="s">
        <v>75</v>
      </c>
    </row>
    <row r="933" spans="1:3" x14ac:dyDescent="0.25">
      <c r="A933" s="10" t="s">
        <v>1053</v>
      </c>
      <c r="B933" s="15">
        <v>0</v>
      </c>
      <c r="C933" t="s">
        <v>75</v>
      </c>
    </row>
    <row r="934" spans="1:3" x14ac:dyDescent="0.25">
      <c r="A934" s="10" t="s">
        <v>1053</v>
      </c>
      <c r="B934" s="15">
        <v>0</v>
      </c>
      <c r="C934" t="s">
        <v>75</v>
      </c>
    </row>
    <row r="935" spans="1:3" x14ac:dyDescent="0.25">
      <c r="A935" s="10" t="s">
        <v>1055</v>
      </c>
      <c r="B935" s="15">
        <v>0</v>
      </c>
      <c r="C935" t="s">
        <v>75</v>
      </c>
    </row>
    <row r="936" spans="1:3" x14ac:dyDescent="0.25">
      <c r="A936" s="10" t="s">
        <v>1055</v>
      </c>
      <c r="B936" s="15">
        <v>0</v>
      </c>
      <c r="C936" t="s">
        <v>75</v>
      </c>
    </row>
    <row r="937" spans="1:3" x14ac:dyDescent="0.25">
      <c r="A937" s="10" t="s">
        <v>1057</v>
      </c>
      <c r="B937" s="15">
        <v>0</v>
      </c>
      <c r="C937" t="s">
        <v>75</v>
      </c>
    </row>
    <row r="938" spans="1:3" x14ac:dyDescent="0.25">
      <c r="A938" s="10" t="s">
        <v>1057</v>
      </c>
      <c r="B938" s="15">
        <v>0</v>
      </c>
      <c r="C938" t="s">
        <v>75</v>
      </c>
    </row>
    <row r="939" spans="1:3" x14ac:dyDescent="0.25">
      <c r="A939" s="10" t="s">
        <v>1059</v>
      </c>
      <c r="B939" s="15">
        <v>0</v>
      </c>
      <c r="C939" t="s">
        <v>75</v>
      </c>
    </row>
    <row r="940" spans="1:3" x14ac:dyDescent="0.25">
      <c r="A940" s="10" t="s">
        <v>1059</v>
      </c>
      <c r="B940" s="15">
        <v>0</v>
      </c>
      <c r="C940" t="s">
        <v>75</v>
      </c>
    </row>
    <row r="941" spans="1:3" x14ac:dyDescent="0.25">
      <c r="A941" s="10" t="s">
        <v>1061</v>
      </c>
      <c r="B941" s="15">
        <v>0</v>
      </c>
      <c r="C941" t="s">
        <v>75</v>
      </c>
    </row>
    <row r="942" spans="1:3" x14ac:dyDescent="0.25">
      <c r="A942" s="10" t="s">
        <v>1061</v>
      </c>
      <c r="B942" s="15">
        <v>0</v>
      </c>
      <c r="C942" t="s">
        <v>75</v>
      </c>
    </row>
    <row r="943" spans="1:3" x14ac:dyDescent="0.25">
      <c r="A943" s="10" t="s">
        <v>1063</v>
      </c>
      <c r="B943" s="15">
        <v>0</v>
      </c>
      <c r="C943" t="s">
        <v>75</v>
      </c>
    </row>
    <row r="944" spans="1:3" x14ac:dyDescent="0.25">
      <c r="A944" s="10" t="s">
        <v>1063</v>
      </c>
      <c r="B944" s="15">
        <v>0</v>
      </c>
      <c r="C944" t="s">
        <v>75</v>
      </c>
    </row>
    <row r="945" spans="1:3" x14ac:dyDescent="0.25">
      <c r="A945" s="10" t="s">
        <v>1065</v>
      </c>
      <c r="B945" s="15">
        <v>0</v>
      </c>
      <c r="C945" t="s">
        <v>75</v>
      </c>
    </row>
    <row r="946" spans="1:3" x14ac:dyDescent="0.25">
      <c r="A946" s="10" t="s">
        <v>1065</v>
      </c>
      <c r="B946" s="15">
        <v>0</v>
      </c>
      <c r="C946" t="s">
        <v>75</v>
      </c>
    </row>
    <row r="947" spans="1:3" x14ac:dyDescent="0.25">
      <c r="A947" s="10" t="s">
        <v>1067</v>
      </c>
      <c r="B947" s="15">
        <v>0</v>
      </c>
      <c r="C947" t="s">
        <v>75</v>
      </c>
    </row>
    <row r="948" spans="1:3" x14ac:dyDescent="0.25">
      <c r="A948" s="10" t="s">
        <v>1067</v>
      </c>
      <c r="B948" s="15">
        <v>0</v>
      </c>
      <c r="C948" t="s">
        <v>75</v>
      </c>
    </row>
    <row r="949" spans="1:3" x14ac:dyDescent="0.25">
      <c r="A949" s="10" t="s">
        <v>1069</v>
      </c>
      <c r="B949" s="15">
        <v>0</v>
      </c>
      <c r="C949" t="s">
        <v>75</v>
      </c>
    </row>
    <row r="950" spans="1:3" x14ac:dyDescent="0.25">
      <c r="A950" s="10" t="s">
        <v>1069</v>
      </c>
      <c r="B950" s="15">
        <v>0</v>
      </c>
      <c r="C950" t="s">
        <v>75</v>
      </c>
    </row>
    <row r="951" spans="1:3" x14ac:dyDescent="0.25">
      <c r="A951" s="10" t="s">
        <v>1071</v>
      </c>
      <c r="B951" s="15">
        <v>0</v>
      </c>
      <c r="C951" t="s">
        <v>75</v>
      </c>
    </row>
    <row r="952" spans="1:3" x14ac:dyDescent="0.25">
      <c r="A952" s="10" t="s">
        <v>1071</v>
      </c>
      <c r="B952" s="15">
        <v>0</v>
      </c>
      <c r="C952" t="s">
        <v>75</v>
      </c>
    </row>
    <row r="953" spans="1:3" x14ac:dyDescent="0.25">
      <c r="A953" s="10" t="s">
        <v>1073</v>
      </c>
      <c r="B953" s="15">
        <v>0</v>
      </c>
      <c r="C953" t="s">
        <v>75</v>
      </c>
    </row>
    <row r="954" spans="1:3" x14ac:dyDescent="0.25">
      <c r="A954" s="10" t="s">
        <v>1073</v>
      </c>
      <c r="B954" s="15">
        <v>0</v>
      </c>
      <c r="C954" t="s">
        <v>75</v>
      </c>
    </row>
    <row r="955" spans="1:3" x14ac:dyDescent="0.25">
      <c r="A955" s="10" t="s">
        <v>1075</v>
      </c>
      <c r="B955" s="15">
        <v>0</v>
      </c>
      <c r="C955" t="s">
        <v>75</v>
      </c>
    </row>
    <row r="956" spans="1:3" x14ac:dyDescent="0.25">
      <c r="A956" s="10" t="s">
        <v>1075</v>
      </c>
      <c r="B956" s="15">
        <v>0</v>
      </c>
      <c r="C956" t="s">
        <v>75</v>
      </c>
    </row>
    <row r="957" spans="1:3" x14ac:dyDescent="0.25">
      <c r="A957" s="10" t="s">
        <v>1077</v>
      </c>
      <c r="B957" s="15">
        <v>0</v>
      </c>
      <c r="C957" t="s">
        <v>75</v>
      </c>
    </row>
    <row r="958" spans="1:3" x14ac:dyDescent="0.25">
      <c r="A958" s="10" t="s">
        <v>1077</v>
      </c>
      <c r="B958" s="15">
        <v>0</v>
      </c>
      <c r="C958" t="s">
        <v>75</v>
      </c>
    </row>
    <row r="959" spans="1:3" x14ac:dyDescent="0.25">
      <c r="A959" s="10" t="s">
        <v>1079</v>
      </c>
      <c r="B959" s="15">
        <v>0</v>
      </c>
      <c r="C959" t="s">
        <v>75</v>
      </c>
    </row>
    <row r="960" spans="1:3" x14ac:dyDescent="0.25">
      <c r="A960" s="10" t="s">
        <v>1079</v>
      </c>
      <c r="B960" s="15">
        <v>0</v>
      </c>
      <c r="C960" t="s">
        <v>75</v>
      </c>
    </row>
    <row r="961" spans="1:3" x14ac:dyDescent="0.25">
      <c r="A961" s="10" t="s">
        <v>1081</v>
      </c>
      <c r="B961" s="15">
        <v>0</v>
      </c>
      <c r="C961" t="s">
        <v>75</v>
      </c>
    </row>
    <row r="962" spans="1:3" x14ac:dyDescent="0.25">
      <c r="A962" s="10" t="s">
        <v>1081</v>
      </c>
      <c r="B962" s="15">
        <v>0</v>
      </c>
      <c r="C962" t="s">
        <v>75</v>
      </c>
    </row>
    <row r="963" spans="1:3" x14ac:dyDescent="0.25">
      <c r="A963" s="10" t="s">
        <v>1083</v>
      </c>
      <c r="B963" s="15">
        <v>0</v>
      </c>
      <c r="C963" t="s">
        <v>75</v>
      </c>
    </row>
    <row r="964" spans="1:3" x14ac:dyDescent="0.25">
      <c r="A964" s="10" t="s">
        <v>1083</v>
      </c>
      <c r="B964" s="15">
        <v>0</v>
      </c>
      <c r="C964" t="s">
        <v>75</v>
      </c>
    </row>
    <row r="965" spans="1:3" x14ac:dyDescent="0.25">
      <c r="A965" s="10" t="s">
        <v>1085</v>
      </c>
      <c r="B965" s="15">
        <v>0</v>
      </c>
      <c r="C965" t="s">
        <v>75</v>
      </c>
    </row>
    <row r="966" spans="1:3" x14ac:dyDescent="0.25">
      <c r="A966" s="10" t="s">
        <v>1085</v>
      </c>
      <c r="B966" s="15">
        <v>0</v>
      </c>
      <c r="C966" t="s">
        <v>75</v>
      </c>
    </row>
    <row r="967" spans="1:3" x14ac:dyDescent="0.25">
      <c r="A967" s="10" t="s">
        <v>1090</v>
      </c>
      <c r="B967" s="15">
        <v>0</v>
      </c>
      <c r="C967" t="s">
        <v>75</v>
      </c>
    </row>
    <row r="968" spans="1:3" x14ac:dyDescent="0.25">
      <c r="A968" s="10" t="s">
        <v>1090</v>
      </c>
      <c r="B968" s="15">
        <v>0</v>
      </c>
      <c r="C968" t="s">
        <v>75</v>
      </c>
    </row>
    <row r="969" spans="1:3" x14ac:dyDescent="0.25">
      <c r="A969" s="10" t="s">
        <v>1092</v>
      </c>
      <c r="B969" s="15">
        <v>0</v>
      </c>
      <c r="C969" t="s">
        <v>75</v>
      </c>
    </row>
    <row r="970" spans="1:3" x14ac:dyDescent="0.25">
      <c r="A970" s="10" t="s">
        <v>1092</v>
      </c>
      <c r="B970" s="15">
        <v>0</v>
      </c>
      <c r="C970" t="s">
        <v>75</v>
      </c>
    </row>
    <row r="971" spans="1:3" x14ac:dyDescent="0.25">
      <c r="A971" s="10" t="s">
        <v>1094</v>
      </c>
      <c r="B971" s="15">
        <v>0</v>
      </c>
      <c r="C971" t="s">
        <v>75</v>
      </c>
    </row>
    <row r="972" spans="1:3" x14ac:dyDescent="0.25">
      <c r="A972" s="10" t="s">
        <v>1094</v>
      </c>
      <c r="B972" s="15">
        <v>0</v>
      </c>
      <c r="C972" t="s">
        <v>75</v>
      </c>
    </row>
    <row r="973" spans="1:3" x14ac:dyDescent="0.25">
      <c r="A973" s="10" t="s">
        <v>1096</v>
      </c>
      <c r="B973" s="15">
        <v>0</v>
      </c>
      <c r="C973" t="s">
        <v>75</v>
      </c>
    </row>
    <row r="974" spans="1:3" x14ac:dyDescent="0.25">
      <c r="A974" s="10" t="s">
        <v>1096</v>
      </c>
      <c r="B974" s="15">
        <v>0</v>
      </c>
      <c r="C974" t="s">
        <v>75</v>
      </c>
    </row>
    <row r="975" spans="1:3" x14ac:dyDescent="0.25">
      <c r="A975" s="10" t="s">
        <v>1098</v>
      </c>
      <c r="B975" s="15">
        <v>0</v>
      </c>
      <c r="C975" t="s">
        <v>75</v>
      </c>
    </row>
    <row r="976" spans="1:3" x14ac:dyDescent="0.25">
      <c r="A976" s="10" t="s">
        <v>1098</v>
      </c>
      <c r="B976" s="15">
        <v>0</v>
      </c>
      <c r="C976" t="s">
        <v>75</v>
      </c>
    </row>
    <row r="977" spans="1:3" x14ac:dyDescent="0.25">
      <c r="A977" s="10" t="s">
        <v>1100</v>
      </c>
      <c r="B977" s="15">
        <v>0</v>
      </c>
      <c r="C977" t="s">
        <v>75</v>
      </c>
    </row>
    <row r="978" spans="1:3" x14ac:dyDescent="0.25">
      <c r="A978" s="10" t="s">
        <v>1100</v>
      </c>
      <c r="B978" s="15">
        <v>0</v>
      </c>
      <c r="C978" t="s">
        <v>75</v>
      </c>
    </row>
    <row r="979" spans="1:3" x14ac:dyDescent="0.25">
      <c r="A979" s="10" t="s">
        <v>1102</v>
      </c>
      <c r="B979" s="15">
        <v>0</v>
      </c>
      <c r="C979" t="s">
        <v>75</v>
      </c>
    </row>
    <row r="980" spans="1:3" x14ac:dyDescent="0.25">
      <c r="A980" s="10" t="s">
        <v>1102</v>
      </c>
      <c r="B980" s="15">
        <v>0</v>
      </c>
      <c r="C980" t="s">
        <v>75</v>
      </c>
    </row>
    <row r="981" spans="1:3" x14ac:dyDescent="0.25">
      <c r="A981" s="10" t="s">
        <v>1107</v>
      </c>
      <c r="B981" s="15">
        <v>0</v>
      </c>
      <c r="C981" t="s">
        <v>75</v>
      </c>
    </row>
    <row r="982" spans="1:3" x14ac:dyDescent="0.25">
      <c r="A982" s="10" t="s">
        <v>1107</v>
      </c>
      <c r="B982" s="15">
        <v>0</v>
      </c>
      <c r="C982" t="s">
        <v>75</v>
      </c>
    </row>
    <row r="983" spans="1:3" x14ac:dyDescent="0.25">
      <c r="A983" s="10" t="s">
        <v>1109</v>
      </c>
      <c r="B983" s="15">
        <v>0</v>
      </c>
      <c r="C983" t="s">
        <v>75</v>
      </c>
    </row>
    <row r="984" spans="1:3" x14ac:dyDescent="0.25">
      <c r="A984" s="10" t="s">
        <v>1109</v>
      </c>
      <c r="B984" s="15">
        <v>0</v>
      </c>
      <c r="C984" t="s">
        <v>75</v>
      </c>
    </row>
    <row r="985" spans="1:3" x14ac:dyDescent="0.25">
      <c r="A985" s="10" t="s">
        <v>1111</v>
      </c>
      <c r="B985" s="15">
        <v>0</v>
      </c>
      <c r="C985" t="s">
        <v>75</v>
      </c>
    </row>
    <row r="986" spans="1:3" x14ac:dyDescent="0.25">
      <c r="A986" s="10" t="s">
        <v>1111</v>
      </c>
      <c r="B986" s="15">
        <v>0</v>
      </c>
      <c r="C986" t="s">
        <v>75</v>
      </c>
    </row>
    <row r="987" spans="1:3" x14ac:dyDescent="0.25">
      <c r="A987" s="10" t="s">
        <v>1113</v>
      </c>
      <c r="B987" s="15">
        <v>0</v>
      </c>
      <c r="C987" t="s">
        <v>75</v>
      </c>
    </row>
    <row r="988" spans="1:3" x14ac:dyDescent="0.25">
      <c r="A988" s="10" t="s">
        <v>1113</v>
      </c>
      <c r="B988" s="15">
        <v>0</v>
      </c>
      <c r="C988" t="s">
        <v>75</v>
      </c>
    </row>
    <row r="989" spans="1:3" x14ac:dyDescent="0.25">
      <c r="A989" s="10" t="s">
        <v>1115</v>
      </c>
      <c r="B989" s="15">
        <v>0</v>
      </c>
      <c r="C989" t="s">
        <v>75</v>
      </c>
    </row>
    <row r="990" spans="1:3" x14ac:dyDescent="0.25">
      <c r="A990" s="10" t="s">
        <v>1115</v>
      </c>
      <c r="B990" s="15">
        <v>0</v>
      </c>
      <c r="C990" t="s">
        <v>75</v>
      </c>
    </row>
    <row r="991" spans="1:3" x14ac:dyDescent="0.25">
      <c r="A991" s="10" t="s">
        <v>1117</v>
      </c>
      <c r="B991" s="15">
        <v>0</v>
      </c>
      <c r="C991" t="s">
        <v>75</v>
      </c>
    </row>
    <row r="992" spans="1:3" x14ac:dyDescent="0.25">
      <c r="A992" s="10" t="s">
        <v>1117</v>
      </c>
      <c r="B992" s="15">
        <v>0</v>
      </c>
      <c r="C992" t="s">
        <v>75</v>
      </c>
    </row>
    <row r="993" spans="1:3" x14ac:dyDescent="0.25">
      <c r="A993" s="10" t="s">
        <v>1119</v>
      </c>
      <c r="B993" s="15">
        <v>0</v>
      </c>
      <c r="C993" t="s">
        <v>75</v>
      </c>
    </row>
    <row r="994" spans="1:3" x14ac:dyDescent="0.25">
      <c r="A994" s="10" t="s">
        <v>1119</v>
      </c>
      <c r="B994" s="15">
        <v>0</v>
      </c>
      <c r="C994" t="s">
        <v>75</v>
      </c>
    </row>
    <row r="995" spans="1:3" x14ac:dyDescent="0.25">
      <c r="A995" s="10" t="s">
        <v>1121</v>
      </c>
      <c r="B995" s="15">
        <v>0</v>
      </c>
      <c r="C995" t="s">
        <v>75</v>
      </c>
    </row>
    <row r="996" spans="1:3" x14ac:dyDescent="0.25">
      <c r="A996" s="10" t="s">
        <v>1121</v>
      </c>
      <c r="B996" s="15">
        <v>0</v>
      </c>
      <c r="C996" t="s">
        <v>75</v>
      </c>
    </row>
    <row r="997" spans="1:3" x14ac:dyDescent="0.25">
      <c r="A997" s="10" t="s">
        <v>1123</v>
      </c>
      <c r="B997" s="15">
        <v>0</v>
      </c>
      <c r="C997" t="s">
        <v>75</v>
      </c>
    </row>
    <row r="998" spans="1:3" x14ac:dyDescent="0.25">
      <c r="A998" s="10" t="s">
        <v>1123</v>
      </c>
      <c r="B998" s="15">
        <v>0</v>
      </c>
      <c r="C998" t="s">
        <v>75</v>
      </c>
    </row>
    <row r="999" spans="1:3" x14ac:dyDescent="0.25">
      <c r="A999" s="10" t="s">
        <v>1125</v>
      </c>
      <c r="B999" s="15">
        <v>0</v>
      </c>
      <c r="C999" t="s">
        <v>75</v>
      </c>
    </row>
    <row r="1000" spans="1:3" x14ac:dyDescent="0.25">
      <c r="A1000" s="10" t="s">
        <v>1125</v>
      </c>
      <c r="B1000" s="15">
        <v>0</v>
      </c>
      <c r="C1000" t="s">
        <v>75</v>
      </c>
    </row>
    <row r="1001" spans="1:3" x14ac:dyDescent="0.25">
      <c r="A1001" s="10" t="s">
        <v>1127</v>
      </c>
      <c r="B1001" s="15">
        <v>0</v>
      </c>
      <c r="C1001" t="s">
        <v>75</v>
      </c>
    </row>
    <row r="1002" spans="1:3" x14ac:dyDescent="0.25">
      <c r="A1002" s="10" t="s">
        <v>1127</v>
      </c>
      <c r="B1002" s="15">
        <v>0</v>
      </c>
      <c r="C1002" t="s">
        <v>75</v>
      </c>
    </row>
    <row r="1003" spans="1:3" x14ac:dyDescent="0.25">
      <c r="A1003" s="10" t="s">
        <v>1129</v>
      </c>
      <c r="B1003" s="15">
        <v>0</v>
      </c>
      <c r="C1003" t="s">
        <v>75</v>
      </c>
    </row>
    <row r="1004" spans="1:3" x14ac:dyDescent="0.25">
      <c r="A1004" s="10" t="s">
        <v>1129</v>
      </c>
      <c r="B1004" s="15">
        <v>0</v>
      </c>
      <c r="C1004" t="s">
        <v>75</v>
      </c>
    </row>
    <row r="1005" spans="1:3" x14ac:dyDescent="0.25">
      <c r="A1005" s="10" t="s">
        <v>1134</v>
      </c>
      <c r="B1005" s="15">
        <v>0</v>
      </c>
      <c r="C1005" t="s">
        <v>75</v>
      </c>
    </row>
    <row r="1006" spans="1:3" x14ac:dyDescent="0.25">
      <c r="A1006" s="10" t="s">
        <v>1134</v>
      </c>
      <c r="B1006" s="15">
        <v>0</v>
      </c>
      <c r="C1006" t="s">
        <v>75</v>
      </c>
    </row>
    <row r="1007" spans="1:3" x14ac:dyDescent="0.25">
      <c r="A1007" s="10" t="s">
        <v>1136</v>
      </c>
      <c r="B1007" s="15">
        <v>0</v>
      </c>
      <c r="C1007" t="s">
        <v>75</v>
      </c>
    </row>
    <row r="1008" spans="1:3" x14ac:dyDescent="0.25">
      <c r="A1008" s="10" t="s">
        <v>1136</v>
      </c>
      <c r="B1008" s="15">
        <v>0</v>
      </c>
      <c r="C1008" t="s">
        <v>75</v>
      </c>
    </row>
    <row r="1009" spans="1:3" x14ac:dyDescent="0.25">
      <c r="A1009" s="10" t="s">
        <v>1138</v>
      </c>
      <c r="B1009" s="15">
        <v>0</v>
      </c>
      <c r="C1009" t="s">
        <v>75</v>
      </c>
    </row>
    <row r="1010" spans="1:3" x14ac:dyDescent="0.25">
      <c r="A1010" s="10" t="s">
        <v>1138</v>
      </c>
      <c r="B1010" s="15">
        <v>0</v>
      </c>
      <c r="C1010" t="s">
        <v>75</v>
      </c>
    </row>
    <row r="1011" spans="1:3" x14ac:dyDescent="0.25">
      <c r="A1011" s="10" t="s">
        <v>1140</v>
      </c>
      <c r="B1011" s="15">
        <v>0</v>
      </c>
      <c r="C1011" t="s">
        <v>75</v>
      </c>
    </row>
    <row r="1012" spans="1:3" x14ac:dyDescent="0.25">
      <c r="A1012" s="10" t="s">
        <v>1140</v>
      </c>
      <c r="B1012" s="15">
        <v>0</v>
      </c>
      <c r="C1012" t="s">
        <v>75</v>
      </c>
    </row>
    <row r="1013" spans="1:3" x14ac:dyDescent="0.25">
      <c r="A1013" s="10" t="s">
        <v>1142</v>
      </c>
      <c r="B1013" s="15">
        <v>0</v>
      </c>
      <c r="C1013" t="s">
        <v>75</v>
      </c>
    </row>
    <row r="1014" spans="1:3" x14ac:dyDescent="0.25">
      <c r="A1014" s="10" t="s">
        <v>1142</v>
      </c>
      <c r="B1014" s="15">
        <v>0</v>
      </c>
      <c r="C1014" t="s">
        <v>75</v>
      </c>
    </row>
    <row r="1015" spans="1:3" x14ac:dyDescent="0.25">
      <c r="A1015" s="10" t="s">
        <v>1144</v>
      </c>
      <c r="B1015" s="15">
        <v>0</v>
      </c>
      <c r="C1015" t="s">
        <v>75</v>
      </c>
    </row>
    <row r="1016" spans="1:3" x14ac:dyDescent="0.25">
      <c r="A1016" s="10" t="s">
        <v>1144</v>
      </c>
      <c r="B1016" s="15">
        <v>0</v>
      </c>
      <c r="C1016" t="s">
        <v>75</v>
      </c>
    </row>
    <row r="1017" spans="1:3" x14ac:dyDescent="0.25">
      <c r="A1017" s="10" t="s">
        <v>1146</v>
      </c>
      <c r="B1017" s="15">
        <v>0</v>
      </c>
      <c r="C1017" t="s">
        <v>75</v>
      </c>
    </row>
    <row r="1018" spans="1:3" x14ac:dyDescent="0.25">
      <c r="A1018" s="10" t="s">
        <v>1146</v>
      </c>
      <c r="B1018" s="15">
        <v>0</v>
      </c>
      <c r="C1018" t="s">
        <v>75</v>
      </c>
    </row>
    <row r="1019" spans="1:3" x14ac:dyDescent="0.25">
      <c r="A1019" s="10" t="s">
        <v>1148</v>
      </c>
      <c r="B1019" s="15">
        <v>0</v>
      </c>
      <c r="C1019" t="s">
        <v>75</v>
      </c>
    </row>
    <row r="1020" spans="1:3" x14ac:dyDescent="0.25">
      <c r="A1020" s="10" t="s">
        <v>1148</v>
      </c>
      <c r="B1020" s="15">
        <v>0</v>
      </c>
      <c r="C1020" t="s">
        <v>75</v>
      </c>
    </row>
    <row r="1021" spans="1:3" x14ac:dyDescent="0.25">
      <c r="A1021" s="10" t="s">
        <v>1150</v>
      </c>
      <c r="B1021" s="15">
        <v>0</v>
      </c>
      <c r="C1021" t="s">
        <v>75</v>
      </c>
    </row>
    <row r="1022" spans="1:3" x14ac:dyDescent="0.25">
      <c r="A1022" s="10" t="s">
        <v>1150</v>
      </c>
      <c r="B1022" s="15">
        <v>0</v>
      </c>
      <c r="C1022" t="s">
        <v>75</v>
      </c>
    </row>
    <row r="1023" spans="1:3" x14ac:dyDescent="0.25">
      <c r="A1023" s="10" t="s">
        <v>1152</v>
      </c>
      <c r="B1023" s="15">
        <v>0</v>
      </c>
      <c r="C1023" t="s">
        <v>75</v>
      </c>
    </row>
    <row r="1024" spans="1:3" x14ac:dyDescent="0.25">
      <c r="A1024" s="10" t="s">
        <v>1152</v>
      </c>
      <c r="B1024" s="15">
        <v>0</v>
      </c>
      <c r="C1024" t="s">
        <v>75</v>
      </c>
    </row>
    <row r="1025" spans="1:3" x14ac:dyDescent="0.25">
      <c r="A1025" s="10" t="s">
        <v>1154</v>
      </c>
      <c r="B1025" s="15">
        <v>0</v>
      </c>
      <c r="C1025" t="s">
        <v>75</v>
      </c>
    </row>
    <row r="1026" spans="1:3" x14ac:dyDescent="0.25">
      <c r="A1026" s="10" t="s">
        <v>1154</v>
      </c>
      <c r="B1026" s="15">
        <v>0</v>
      </c>
      <c r="C1026" t="s">
        <v>75</v>
      </c>
    </row>
    <row r="1027" spans="1:3" x14ac:dyDescent="0.25">
      <c r="A1027" s="10" t="s">
        <v>1156</v>
      </c>
      <c r="B1027" s="15">
        <v>0</v>
      </c>
      <c r="C1027" t="s">
        <v>75</v>
      </c>
    </row>
    <row r="1028" spans="1:3" x14ac:dyDescent="0.25">
      <c r="A1028" s="10" t="s">
        <v>1156</v>
      </c>
      <c r="B1028" s="15">
        <v>0</v>
      </c>
      <c r="C1028" t="s">
        <v>75</v>
      </c>
    </row>
    <row r="1029" spans="1:3" x14ac:dyDescent="0.25">
      <c r="A1029" s="10" t="s">
        <v>1158</v>
      </c>
      <c r="B1029" s="15">
        <v>0</v>
      </c>
      <c r="C1029" t="s">
        <v>75</v>
      </c>
    </row>
    <row r="1030" spans="1:3" x14ac:dyDescent="0.25">
      <c r="A1030" s="10" t="s">
        <v>1158</v>
      </c>
      <c r="B1030" s="15">
        <v>0</v>
      </c>
      <c r="C1030" t="s">
        <v>75</v>
      </c>
    </row>
    <row r="1031" spans="1:3" x14ac:dyDescent="0.25">
      <c r="A1031" s="10" t="s">
        <v>1160</v>
      </c>
      <c r="B1031" s="15">
        <v>0</v>
      </c>
      <c r="C1031" t="s">
        <v>75</v>
      </c>
    </row>
    <row r="1032" spans="1:3" x14ac:dyDescent="0.25">
      <c r="A1032" s="10" t="s">
        <v>1160</v>
      </c>
      <c r="B1032" s="15">
        <v>0</v>
      </c>
      <c r="C1032" t="s">
        <v>75</v>
      </c>
    </row>
    <row r="1033" spans="1:3" x14ac:dyDescent="0.25">
      <c r="A1033" s="10" t="s">
        <v>1162</v>
      </c>
      <c r="B1033" s="15">
        <v>0</v>
      </c>
      <c r="C1033" t="s">
        <v>75</v>
      </c>
    </row>
    <row r="1034" spans="1:3" x14ac:dyDescent="0.25">
      <c r="A1034" s="10" t="s">
        <v>1162</v>
      </c>
      <c r="B1034" s="15">
        <v>0</v>
      </c>
      <c r="C1034" t="s">
        <v>75</v>
      </c>
    </row>
    <row r="1035" spans="1:3" x14ac:dyDescent="0.25">
      <c r="A1035" s="10" t="s">
        <v>1164</v>
      </c>
      <c r="B1035" s="15">
        <v>0</v>
      </c>
      <c r="C1035" t="s">
        <v>75</v>
      </c>
    </row>
    <row r="1036" spans="1:3" x14ac:dyDescent="0.25">
      <c r="A1036" s="10" t="s">
        <v>1164</v>
      </c>
      <c r="B1036" s="15">
        <v>0</v>
      </c>
      <c r="C1036" t="s">
        <v>75</v>
      </c>
    </row>
    <row r="1037" spans="1:3" x14ac:dyDescent="0.25">
      <c r="A1037" s="10" t="s">
        <v>1166</v>
      </c>
      <c r="B1037" s="15">
        <v>0</v>
      </c>
      <c r="C1037" t="s">
        <v>75</v>
      </c>
    </row>
    <row r="1038" spans="1:3" x14ac:dyDescent="0.25">
      <c r="A1038" s="10" t="s">
        <v>1166</v>
      </c>
      <c r="B1038" s="15">
        <v>0</v>
      </c>
      <c r="C1038" t="s">
        <v>75</v>
      </c>
    </row>
    <row r="1039" spans="1:3" x14ac:dyDescent="0.25">
      <c r="A1039" s="10" t="s">
        <v>1168</v>
      </c>
      <c r="B1039" s="15">
        <v>0</v>
      </c>
      <c r="C1039" t="s">
        <v>75</v>
      </c>
    </row>
    <row r="1040" spans="1:3" x14ac:dyDescent="0.25">
      <c r="A1040" s="10" t="s">
        <v>1168</v>
      </c>
      <c r="B1040" s="15">
        <v>0</v>
      </c>
      <c r="C1040" t="s">
        <v>75</v>
      </c>
    </row>
    <row r="1041" spans="1:3" x14ac:dyDescent="0.25">
      <c r="A1041" s="10" t="s">
        <v>1170</v>
      </c>
      <c r="B1041" s="15">
        <v>0</v>
      </c>
      <c r="C1041" t="s">
        <v>75</v>
      </c>
    </row>
    <row r="1042" spans="1:3" x14ac:dyDescent="0.25">
      <c r="A1042" s="10" t="s">
        <v>1170</v>
      </c>
      <c r="B1042" s="15">
        <v>0</v>
      </c>
      <c r="C1042" t="s">
        <v>75</v>
      </c>
    </row>
    <row r="1043" spans="1:3" x14ac:dyDescent="0.25">
      <c r="A1043" s="10" t="s">
        <v>1172</v>
      </c>
      <c r="B1043" s="15">
        <v>0</v>
      </c>
      <c r="C1043" t="s">
        <v>75</v>
      </c>
    </row>
    <row r="1044" spans="1:3" x14ac:dyDescent="0.25">
      <c r="A1044" s="10" t="s">
        <v>1172</v>
      </c>
      <c r="B1044" s="15">
        <v>0</v>
      </c>
      <c r="C1044" t="s">
        <v>75</v>
      </c>
    </row>
    <row r="1045" spans="1:3" x14ac:dyDescent="0.25">
      <c r="A1045" s="10" t="s">
        <v>1174</v>
      </c>
      <c r="B1045" s="15">
        <v>0</v>
      </c>
      <c r="C1045" t="s">
        <v>75</v>
      </c>
    </row>
    <row r="1046" spans="1:3" x14ac:dyDescent="0.25">
      <c r="A1046" s="10" t="s">
        <v>1174</v>
      </c>
      <c r="B1046" s="15">
        <v>0</v>
      </c>
      <c r="C1046" t="s">
        <v>75</v>
      </c>
    </row>
    <row r="1047" spans="1:3" x14ac:dyDescent="0.25">
      <c r="A1047" s="10" t="s">
        <v>1176</v>
      </c>
      <c r="B1047" s="15">
        <v>0</v>
      </c>
      <c r="C1047" t="s">
        <v>75</v>
      </c>
    </row>
    <row r="1048" spans="1:3" x14ac:dyDescent="0.25">
      <c r="A1048" s="10" t="s">
        <v>1176</v>
      </c>
      <c r="B1048" s="15">
        <v>0</v>
      </c>
      <c r="C1048" t="s">
        <v>75</v>
      </c>
    </row>
    <row r="1049" spans="1:3" x14ac:dyDescent="0.25">
      <c r="A1049" s="10" t="s">
        <v>1178</v>
      </c>
      <c r="B1049" s="15">
        <v>0</v>
      </c>
      <c r="C1049" t="s">
        <v>75</v>
      </c>
    </row>
    <row r="1050" spans="1:3" x14ac:dyDescent="0.25">
      <c r="A1050" s="10" t="s">
        <v>1178</v>
      </c>
      <c r="B1050" s="15">
        <v>0</v>
      </c>
      <c r="C1050" t="s">
        <v>75</v>
      </c>
    </row>
    <row r="1051" spans="1:3" x14ac:dyDescent="0.25">
      <c r="A1051" s="10" t="s">
        <v>1180</v>
      </c>
      <c r="B1051" s="15">
        <v>0</v>
      </c>
      <c r="C1051" t="s">
        <v>75</v>
      </c>
    </row>
    <row r="1052" spans="1:3" x14ac:dyDescent="0.25">
      <c r="A1052" s="10" t="s">
        <v>1180</v>
      </c>
      <c r="B1052" s="15">
        <v>0</v>
      </c>
      <c r="C1052" t="s">
        <v>75</v>
      </c>
    </row>
    <row r="1053" spans="1:3" x14ac:dyDescent="0.25">
      <c r="A1053" s="10" t="s">
        <v>1182</v>
      </c>
      <c r="B1053" s="15">
        <v>0</v>
      </c>
      <c r="C1053" t="s">
        <v>75</v>
      </c>
    </row>
    <row r="1054" spans="1:3" x14ac:dyDescent="0.25">
      <c r="A1054" s="10" t="s">
        <v>1182</v>
      </c>
      <c r="B1054" s="15">
        <v>0</v>
      </c>
      <c r="C1054" t="s">
        <v>75</v>
      </c>
    </row>
    <row r="1055" spans="1:3" x14ac:dyDescent="0.25">
      <c r="A1055" s="10" t="s">
        <v>1184</v>
      </c>
      <c r="B1055" s="15">
        <v>0</v>
      </c>
      <c r="C1055" t="s">
        <v>75</v>
      </c>
    </row>
    <row r="1056" spans="1:3" x14ac:dyDescent="0.25">
      <c r="A1056" s="10" t="s">
        <v>1184</v>
      </c>
      <c r="B1056" s="15">
        <v>0</v>
      </c>
      <c r="C1056" t="s">
        <v>75</v>
      </c>
    </row>
    <row r="1057" spans="1:3" x14ac:dyDescent="0.25">
      <c r="A1057" s="10" t="s">
        <v>1186</v>
      </c>
      <c r="B1057" s="15">
        <v>0</v>
      </c>
      <c r="C1057" t="s">
        <v>75</v>
      </c>
    </row>
    <row r="1058" spans="1:3" x14ac:dyDescent="0.25">
      <c r="A1058" s="10" t="s">
        <v>1186</v>
      </c>
      <c r="B1058" s="15">
        <v>0</v>
      </c>
      <c r="C1058" t="s">
        <v>75</v>
      </c>
    </row>
    <row r="1059" spans="1:3" x14ac:dyDescent="0.25">
      <c r="A1059" s="10" t="s">
        <v>1188</v>
      </c>
      <c r="B1059" s="15">
        <v>0</v>
      </c>
      <c r="C1059" t="s">
        <v>75</v>
      </c>
    </row>
    <row r="1060" spans="1:3" x14ac:dyDescent="0.25">
      <c r="A1060" s="10" t="s">
        <v>1188</v>
      </c>
      <c r="B1060" s="15">
        <v>0</v>
      </c>
      <c r="C1060" t="s">
        <v>75</v>
      </c>
    </row>
    <row r="1061" spans="1:3" x14ac:dyDescent="0.25">
      <c r="A1061" s="10" t="s">
        <v>1190</v>
      </c>
      <c r="B1061" s="15">
        <v>0</v>
      </c>
      <c r="C1061" t="s">
        <v>75</v>
      </c>
    </row>
    <row r="1062" spans="1:3" x14ac:dyDescent="0.25">
      <c r="A1062" s="10" t="s">
        <v>1190</v>
      </c>
      <c r="B1062" s="15">
        <v>0</v>
      </c>
      <c r="C1062" t="s">
        <v>75</v>
      </c>
    </row>
    <row r="1063" spans="1:3" x14ac:dyDescent="0.25">
      <c r="A1063" s="10" t="s">
        <v>1192</v>
      </c>
      <c r="B1063" s="15">
        <v>0</v>
      </c>
      <c r="C1063" t="s">
        <v>75</v>
      </c>
    </row>
    <row r="1064" spans="1:3" x14ac:dyDescent="0.25">
      <c r="A1064" s="10" t="s">
        <v>1192</v>
      </c>
      <c r="B1064" s="15">
        <v>0</v>
      </c>
      <c r="C1064" t="s">
        <v>75</v>
      </c>
    </row>
    <row r="1065" spans="1:3" x14ac:dyDescent="0.25">
      <c r="A1065" s="10" t="s">
        <v>1194</v>
      </c>
      <c r="B1065" s="15">
        <v>0</v>
      </c>
      <c r="C1065" t="s">
        <v>75</v>
      </c>
    </row>
    <row r="1066" spans="1:3" x14ac:dyDescent="0.25">
      <c r="A1066" s="10" t="s">
        <v>1194</v>
      </c>
      <c r="B1066" s="15">
        <v>0</v>
      </c>
      <c r="C1066" t="s">
        <v>75</v>
      </c>
    </row>
    <row r="1067" spans="1:3" x14ac:dyDescent="0.25">
      <c r="A1067" s="10" t="s">
        <v>1196</v>
      </c>
      <c r="B1067" s="15">
        <v>0</v>
      </c>
      <c r="C1067" t="s">
        <v>75</v>
      </c>
    </row>
    <row r="1068" spans="1:3" x14ac:dyDescent="0.25">
      <c r="A1068" s="10" t="s">
        <v>1196</v>
      </c>
      <c r="B1068" s="15">
        <v>0</v>
      </c>
      <c r="C1068" t="s">
        <v>75</v>
      </c>
    </row>
    <row r="1069" spans="1:3" x14ac:dyDescent="0.25">
      <c r="A1069" s="10" t="s">
        <v>1198</v>
      </c>
      <c r="B1069" s="15">
        <v>0</v>
      </c>
      <c r="C1069" t="s">
        <v>75</v>
      </c>
    </row>
    <row r="1070" spans="1:3" x14ac:dyDescent="0.25">
      <c r="A1070" s="10" t="s">
        <v>1198</v>
      </c>
      <c r="B1070" s="15">
        <v>0</v>
      </c>
      <c r="C1070" t="s">
        <v>75</v>
      </c>
    </row>
    <row r="1071" spans="1:3" x14ac:dyDescent="0.25">
      <c r="A1071" s="10" t="s">
        <v>1200</v>
      </c>
      <c r="B1071" s="15">
        <v>0</v>
      </c>
      <c r="C1071" t="s">
        <v>75</v>
      </c>
    </row>
    <row r="1072" spans="1:3" x14ac:dyDescent="0.25">
      <c r="A1072" s="10" t="s">
        <v>1200</v>
      </c>
      <c r="B1072" s="15">
        <v>0</v>
      </c>
      <c r="C1072" t="s">
        <v>75</v>
      </c>
    </row>
    <row r="1073" spans="1:3" x14ac:dyDescent="0.25">
      <c r="A1073" s="10" t="s">
        <v>1202</v>
      </c>
      <c r="B1073" s="15">
        <v>0</v>
      </c>
      <c r="C1073" t="s">
        <v>75</v>
      </c>
    </row>
    <row r="1074" spans="1:3" x14ac:dyDescent="0.25">
      <c r="A1074" s="10" t="s">
        <v>1202</v>
      </c>
      <c r="B1074" s="15">
        <v>0</v>
      </c>
      <c r="C1074" t="s">
        <v>75</v>
      </c>
    </row>
    <row r="1075" spans="1:3" x14ac:dyDescent="0.25">
      <c r="A1075" s="10" t="s">
        <v>1204</v>
      </c>
      <c r="B1075" s="15">
        <v>0</v>
      </c>
      <c r="C1075" t="s">
        <v>75</v>
      </c>
    </row>
    <row r="1076" spans="1:3" x14ac:dyDescent="0.25">
      <c r="A1076" s="10" t="s">
        <v>1204</v>
      </c>
      <c r="B1076" s="15">
        <v>0</v>
      </c>
      <c r="C1076" t="s">
        <v>75</v>
      </c>
    </row>
    <row r="1077" spans="1:3" x14ac:dyDescent="0.25">
      <c r="A1077" s="10" t="s">
        <v>1206</v>
      </c>
      <c r="B1077" s="15">
        <v>0</v>
      </c>
      <c r="C1077" t="s">
        <v>75</v>
      </c>
    </row>
    <row r="1078" spans="1:3" x14ac:dyDescent="0.25">
      <c r="A1078" s="10" t="s">
        <v>1206</v>
      </c>
      <c r="B1078" s="15">
        <v>0</v>
      </c>
      <c r="C1078" t="s">
        <v>75</v>
      </c>
    </row>
    <row r="1079" spans="1:3" x14ac:dyDescent="0.25">
      <c r="A1079" s="10" t="s">
        <v>1208</v>
      </c>
      <c r="B1079" s="15">
        <v>0</v>
      </c>
      <c r="C1079" t="s">
        <v>75</v>
      </c>
    </row>
    <row r="1080" spans="1:3" x14ac:dyDescent="0.25">
      <c r="A1080" s="10" t="s">
        <v>1208</v>
      </c>
      <c r="B1080" s="15">
        <v>0</v>
      </c>
      <c r="C1080" t="s">
        <v>75</v>
      </c>
    </row>
    <row r="1081" spans="1:3" x14ac:dyDescent="0.25">
      <c r="A1081" s="10" t="s">
        <v>1210</v>
      </c>
      <c r="B1081" s="15">
        <v>0</v>
      </c>
      <c r="C1081" t="s">
        <v>75</v>
      </c>
    </row>
    <row r="1082" spans="1:3" x14ac:dyDescent="0.25">
      <c r="A1082" s="10" t="s">
        <v>1210</v>
      </c>
      <c r="B1082" s="15">
        <v>0</v>
      </c>
      <c r="C1082" t="s">
        <v>75</v>
      </c>
    </row>
    <row r="1083" spans="1:3" x14ac:dyDescent="0.25">
      <c r="A1083" s="10" t="s">
        <v>1212</v>
      </c>
      <c r="B1083" s="15">
        <v>0</v>
      </c>
      <c r="C1083" t="s">
        <v>75</v>
      </c>
    </row>
    <row r="1084" spans="1:3" x14ac:dyDescent="0.25">
      <c r="A1084" s="10" t="s">
        <v>1212</v>
      </c>
      <c r="B1084" s="15">
        <v>0</v>
      </c>
      <c r="C1084" t="s">
        <v>75</v>
      </c>
    </row>
    <row r="1085" spans="1:3" x14ac:dyDescent="0.25">
      <c r="A1085" s="10" t="s">
        <v>1214</v>
      </c>
      <c r="B1085" s="15">
        <v>0</v>
      </c>
      <c r="C1085" t="s">
        <v>75</v>
      </c>
    </row>
    <row r="1086" spans="1:3" x14ac:dyDescent="0.25">
      <c r="A1086" s="10" t="s">
        <v>1214</v>
      </c>
      <c r="B1086" s="15">
        <v>0</v>
      </c>
      <c r="C1086" t="s">
        <v>75</v>
      </c>
    </row>
    <row r="1087" spans="1:3" x14ac:dyDescent="0.25">
      <c r="A1087" s="10" t="s">
        <v>1216</v>
      </c>
      <c r="B1087" s="15">
        <v>0</v>
      </c>
      <c r="C1087" t="s">
        <v>75</v>
      </c>
    </row>
    <row r="1088" spans="1:3" x14ac:dyDescent="0.25">
      <c r="A1088" s="10" t="s">
        <v>1216</v>
      </c>
      <c r="B1088" s="15">
        <v>0</v>
      </c>
      <c r="C1088" t="s">
        <v>75</v>
      </c>
    </row>
    <row r="1089" spans="1:3" x14ac:dyDescent="0.25">
      <c r="A1089" s="10" t="s">
        <v>1218</v>
      </c>
      <c r="B1089" s="15">
        <v>0</v>
      </c>
      <c r="C1089" t="s">
        <v>75</v>
      </c>
    </row>
    <row r="1090" spans="1:3" x14ac:dyDescent="0.25">
      <c r="A1090" s="10" t="s">
        <v>1218</v>
      </c>
      <c r="B1090" s="15">
        <v>0</v>
      </c>
      <c r="C1090" t="s">
        <v>75</v>
      </c>
    </row>
    <row r="1091" spans="1:3" x14ac:dyDescent="0.25">
      <c r="A1091" s="10" t="s">
        <v>1220</v>
      </c>
      <c r="B1091" s="15">
        <v>0</v>
      </c>
      <c r="C1091" t="s">
        <v>75</v>
      </c>
    </row>
    <row r="1092" spans="1:3" x14ac:dyDescent="0.25">
      <c r="A1092" s="10" t="s">
        <v>1220</v>
      </c>
      <c r="B1092" s="15">
        <v>0</v>
      </c>
      <c r="C1092" t="s">
        <v>75</v>
      </c>
    </row>
    <row r="1093" spans="1:3" x14ac:dyDescent="0.25">
      <c r="A1093" s="10" t="s">
        <v>1222</v>
      </c>
      <c r="B1093" s="15">
        <v>0</v>
      </c>
      <c r="C1093" t="s">
        <v>75</v>
      </c>
    </row>
    <row r="1094" spans="1:3" x14ac:dyDescent="0.25">
      <c r="A1094" s="10" t="s">
        <v>1222</v>
      </c>
      <c r="B1094" s="15">
        <v>0</v>
      </c>
      <c r="C1094" t="s">
        <v>75</v>
      </c>
    </row>
    <row r="1095" spans="1:3" x14ac:dyDescent="0.25">
      <c r="A1095" s="10" t="s">
        <v>1224</v>
      </c>
      <c r="B1095" s="15">
        <v>0</v>
      </c>
      <c r="C1095" t="s">
        <v>75</v>
      </c>
    </row>
    <row r="1096" spans="1:3" x14ac:dyDescent="0.25">
      <c r="A1096" s="10" t="s">
        <v>1224</v>
      </c>
      <c r="B1096" s="15">
        <v>0</v>
      </c>
      <c r="C1096" t="s">
        <v>75</v>
      </c>
    </row>
    <row r="1097" spans="1:3" x14ac:dyDescent="0.25">
      <c r="A1097" s="10" t="s">
        <v>1226</v>
      </c>
      <c r="B1097" s="15">
        <v>0</v>
      </c>
      <c r="C1097" t="s">
        <v>75</v>
      </c>
    </row>
    <row r="1098" spans="1:3" x14ac:dyDescent="0.25">
      <c r="A1098" s="10" t="s">
        <v>1226</v>
      </c>
      <c r="B1098" s="15">
        <v>0</v>
      </c>
      <c r="C1098" t="s">
        <v>75</v>
      </c>
    </row>
    <row r="1099" spans="1:3" x14ac:dyDescent="0.25">
      <c r="A1099" s="10" t="s">
        <v>1228</v>
      </c>
      <c r="B1099" s="15">
        <v>0</v>
      </c>
      <c r="C1099" t="s">
        <v>75</v>
      </c>
    </row>
    <row r="1100" spans="1:3" x14ac:dyDescent="0.25">
      <c r="A1100" s="10" t="s">
        <v>1228</v>
      </c>
      <c r="B1100" s="15">
        <v>0</v>
      </c>
      <c r="C1100" t="s">
        <v>75</v>
      </c>
    </row>
    <row r="1101" spans="1:3" x14ac:dyDescent="0.25">
      <c r="A1101" s="10" t="s">
        <v>1230</v>
      </c>
      <c r="B1101" s="15">
        <v>0</v>
      </c>
      <c r="C1101" t="s">
        <v>75</v>
      </c>
    </row>
    <row r="1102" spans="1:3" x14ac:dyDescent="0.25">
      <c r="A1102" s="10" t="s">
        <v>1230</v>
      </c>
      <c r="B1102" s="15">
        <v>0</v>
      </c>
      <c r="C1102" t="s">
        <v>75</v>
      </c>
    </row>
    <row r="1103" spans="1:3" x14ac:dyDescent="0.25">
      <c r="A1103" s="10" t="s">
        <v>1238</v>
      </c>
      <c r="B1103" s="15">
        <v>0</v>
      </c>
      <c r="C1103" t="s">
        <v>75</v>
      </c>
    </row>
    <row r="1104" spans="1:3" x14ac:dyDescent="0.25">
      <c r="A1104" s="10" t="s">
        <v>1238</v>
      </c>
      <c r="B1104" s="15">
        <v>0</v>
      </c>
      <c r="C1104" t="s">
        <v>75</v>
      </c>
    </row>
    <row r="1105" spans="1:3" x14ac:dyDescent="0.25">
      <c r="A1105" s="10" t="s">
        <v>1240</v>
      </c>
      <c r="B1105" s="15">
        <v>0</v>
      </c>
      <c r="C1105" t="s">
        <v>75</v>
      </c>
    </row>
    <row r="1106" spans="1:3" x14ac:dyDescent="0.25">
      <c r="A1106" s="10" t="s">
        <v>1240</v>
      </c>
      <c r="B1106" s="15">
        <v>0</v>
      </c>
      <c r="C1106" t="s">
        <v>75</v>
      </c>
    </row>
    <row r="1107" spans="1:3" x14ac:dyDescent="0.25">
      <c r="A1107" s="10" t="s">
        <v>1242</v>
      </c>
      <c r="B1107" s="15">
        <v>0</v>
      </c>
      <c r="C1107" t="s">
        <v>75</v>
      </c>
    </row>
    <row r="1108" spans="1:3" x14ac:dyDescent="0.25">
      <c r="A1108" s="10" t="s">
        <v>1242</v>
      </c>
      <c r="B1108" s="15">
        <v>0</v>
      </c>
      <c r="C1108" t="s">
        <v>75</v>
      </c>
    </row>
    <row r="1109" spans="1:3" x14ac:dyDescent="0.25">
      <c r="A1109" s="10" t="s">
        <v>1244</v>
      </c>
      <c r="B1109" s="15">
        <v>0</v>
      </c>
      <c r="C1109" t="s">
        <v>75</v>
      </c>
    </row>
    <row r="1110" spans="1:3" x14ac:dyDescent="0.25">
      <c r="A1110" s="10" t="s">
        <v>1244</v>
      </c>
      <c r="B1110" s="15">
        <v>0</v>
      </c>
      <c r="C1110" t="s">
        <v>75</v>
      </c>
    </row>
    <row r="1111" spans="1:3" x14ac:dyDescent="0.25">
      <c r="A1111" s="10" t="s">
        <v>1246</v>
      </c>
      <c r="B1111" s="15">
        <v>0</v>
      </c>
      <c r="C1111" t="s">
        <v>75</v>
      </c>
    </row>
    <row r="1112" spans="1:3" x14ac:dyDescent="0.25">
      <c r="A1112" s="10" t="s">
        <v>1246</v>
      </c>
      <c r="B1112" s="15">
        <v>0</v>
      </c>
      <c r="C1112" t="s">
        <v>75</v>
      </c>
    </row>
    <row r="1113" spans="1:3" x14ac:dyDescent="0.25">
      <c r="A1113" s="10" t="s">
        <v>1248</v>
      </c>
      <c r="B1113" s="15">
        <v>0</v>
      </c>
      <c r="C1113" t="s">
        <v>75</v>
      </c>
    </row>
    <row r="1114" spans="1:3" x14ac:dyDescent="0.25">
      <c r="A1114" s="10" t="s">
        <v>1248</v>
      </c>
      <c r="B1114" s="15">
        <v>0</v>
      </c>
      <c r="C1114" t="s">
        <v>75</v>
      </c>
    </row>
    <row r="1115" spans="1:3" x14ac:dyDescent="0.25">
      <c r="A1115" s="10" t="s">
        <v>1250</v>
      </c>
      <c r="B1115" s="15">
        <v>0</v>
      </c>
      <c r="C1115" t="s">
        <v>75</v>
      </c>
    </row>
    <row r="1116" spans="1:3" x14ac:dyDescent="0.25">
      <c r="A1116" s="10" t="s">
        <v>1250</v>
      </c>
      <c r="B1116" s="15">
        <v>0</v>
      </c>
      <c r="C1116" t="s">
        <v>75</v>
      </c>
    </row>
    <row r="1117" spans="1:3" x14ac:dyDescent="0.25">
      <c r="A1117" s="10" t="s">
        <v>1252</v>
      </c>
      <c r="B1117" s="15">
        <v>0</v>
      </c>
      <c r="C1117" t="s">
        <v>75</v>
      </c>
    </row>
    <row r="1118" spans="1:3" x14ac:dyDescent="0.25">
      <c r="A1118" s="10" t="s">
        <v>1252</v>
      </c>
      <c r="B1118" s="15">
        <v>0</v>
      </c>
      <c r="C1118" t="s">
        <v>75</v>
      </c>
    </row>
    <row r="1119" spans="1:3" x14ac:dyDescent="0.25">
      <c r="A1119" s="10" t="s">
        <v>1254</v>
      </c>
      <c r="B1119" s="15">
        <v>0</v>
      </c>
      <c r="C1119" t="s">
        <v>75</v>
      </c>
    </row>
    <row r="1120" spans="1:3" x14ac:dyDescent="0.25">
      <c r="A1120" s="10" t="s">
        <v>1254</v>
      </c>
      <c r="B1120" s="15">
        <v>0</v>
      </c>
      <c r="C1120" t="s">
        <v>75</v>
      </c>
    </row>
    <row r="1121" spans="1:3" x14ac:dyDescent="0.25">
      <c r="A1121" s="10" t="s">
        <v>1256</v>
      </c>
      <c r="B1121" s="15">
        <v>0</v>
      </c>
      <c r="C1121" t="s">
        <v>75</v>
      </c>
    </row>
    <row r="1122" spans="1:3" x14ac:dyDescent="0.25">
      <c r="A1122" s="10" t="s">
        <v>1256</v>
      </c>
      <c r="B1122" s="15">
        <v>0</v>
      </c>
      <c r="C1122" t="s">
        <v>75</v>
      </c>
    </row>
    <row r="1123" spans="1:3" x14ac:dyDescent="0.25">
      <c r="A1123" s="10" t="s">
        <v>1258</v>
      </c>
      <c r="B1123" s="15">
        <v>0</v>
      </c>
      <c r="C1123" t="s">
        <v>75</v>
      </c>
    </row>
    <row r="1124" spans="1:3" x14ac:dyDescent="0.25">
      <c r="A1124" s="10" t="s">
        <v>1258</v>
      </c>
      <c r="B1124" s="15">
        <v>0</v>
      </c>
      <c r="C1124" t="s">
        <v>75</v>
      </c>
    </row>
    <row r="1125" spans="1:3" x14ac:dyDescent="0.25">
      <c r="A1125" s="10" t="s">
        <v>1260</v>
      </c>
      <c r="B1125" s="15">
        <v>0</v>
      </c>
      <c r="C1125" t="s">
        <v>75</v>
      </c>
    </row>
    <row r="1126" spans="1:3" x14ac:dyDescent="0.25">
      <c r="A1126" s="10" t="s">
        <v>1260</v>
      </c>
      <c r="B1126" s="15">
        <v>0</v>
      </c>
      <c r="C1126" t="s">
        <v>75</v>
      </c>
    </row>
    <row r="1127" spans="1:3" x14ac:dyDescent="0.25">
      <c r="A1127" s="10" t="s">
        <v>1262</v>
      </c>
      <c r="B1127" s="15">
        <v>0</v>
      </c>
      <c r="C1127" t="s">
        <v>75</v>
      </c>
    </row>
    <row r="1128" spans="1:3" x14ac:dyDescent="0.25">
      <c r="A1128" s="10" t="s">
        <v>1262</v>
      </c>
      <c r="B1128" s="15">
        <v>0</v>
      </c>
      <c r="C1128" t="s">
        <v>75</v>
      </c>
    </row>
    <row r="1129" spans="1:3" x14ac:dyDescent="0.25">
      <c r="A1129" s="10" t="s">
        <v>1264</v>
      </c>
      <c r="B1129" s="15">
        <v>0</v>
      </c>
      <c r="C1129" t="s">
        <v>75</v>
      </c>
    </row>
    <row r="1130" spans="1:3" x14ac:dyDescent="0.25">
      <c r="A1130" s="10" t="s">
        <v>1264</v>
      </c>
      <c r="B1130" s="15">
        <v>0</v>
      </c>
      <c r="C1130" t="s">
        <v>75</v>
      </c>
    </row>
    <row r="1131" spans="1:3" x14ac:dyDescent="0.25">
      <c r="A1131" s="10" t="s">
        <v>1266</v>
      </c>
      <c r="B1131" s="15">
        <v>0</v>
      </c>
      <c r="C1131" t="s">
        <v>75</v>
      </c>
    </row>
    <row r="1132" spans="1:3" x14ac:dyDescent="0.25">
      <c r="A1132" s="10" t="s">
        <v>1266</v>
      </c>
      <c r="B1132" s="15">
        <v>0</v>
      </c>
      <c r="C1132" t="s">
        <v>75</v>
      </c>
    </row>
    <row r="1133" spans="1:3" x14ac:dyDescent="0.25">
      <c r="A1133" s="10" t="s">
        <v>1268</v>
      </c>
      <c r="B1133" s="15">
        <v>0</v>
      </c>
      <c r="C1133" t="s">
        <v>75</v>
      </c>
    </row>
    <row r="1134" spans="1:3" x14ac:dyDescent="0.25">
      <c r="A1134" s="10" t="s">
        <v>1268</v>
      </c>
      <c r="B1134" s="15">
        <v>0</v>
      </c>
      <c r="C1134" t="s">
        <v>75</v>
      </c>
    </row>
    <row r="1135" spans="1:3" x14ac:dyDescent="0.25">
      <c r="A1135" s="10" t="s">
        <v>1270</v>
      </c>
      <c r="B1135" s="15">
        <v>0</v>
      </c>
      <c r="C1135" t="s">
        <v>75</v>
      </c>
    </row>
    <row r="1136" spans="1:3" x14ac:dyDescent="0.25">
      <c r="A1136" s="10" t="s">
        <v>1270</v>
      </c>
      <c r="B1136" s="15">
        <v>0</v>
      </c>
      <c r="C1136" t="s">
        <v>75</v>
      </c>
    </row>
    <row r="1137" spans="1:3" x14ac:dyDescent="0.25">
      <c r="A1137" s="10" t="s">
        <v>1272</v>
      </c>
      <c r="B1137" s="15">
        <v>0</v>
      </c>
      <c r="C1137" t="s">
        <v>75</v>
      </c>
    </row>
    <row r="1138" spans="1:3" x14ac:dyDescent="0.25">
      <c r="A1138" s="10" t="s">
        <v>1272</v>
      </c>
      <c r="B1138" s="15">
        <v>0</v>
      </c>
      <c r="C1138" t="s">
        <v>75</v>
      </c>
    </row>
    <row r="1139" spans="1:3" x14ac:dyDescent="0.25">
      <c r="A1139" s="10" t="s">
        <v>1274</v>
      </c>
      <c r="B1139" s="15">
        <v>0</v>
      </c>
      <c r="C1139" t="s">
        <v>75</v>
      </c>
    </row>
    <row r="1140" spans="1:3" x14ac:dyDescent="0.25">
      <c r="A1140" s="10" t="s">
        <v>1274</v>
      </c>
      <c r="B1140" s="15">
        <v>0</v>
      </c>
      <c r="C1140" t="s">
        <v>75</v>
      </c>
    </row>
    <row r="1141" spans="1:3" x14ac:dyDescent="0.25">
      <c r="A1141" s="10" t="s">
        <v>1276</v>
      </c>
      <c r="B1141" s="15">
        <v>0</v>
      </c>
      <c r="C1141" t="s">
        <v>75</v>
      </c>
    </row>
    <row r="1142" spans="1:3" x14ac:dyDescent="0.25">
      <c r="A1142" s="10" t="s">
        <v>1276</v>
      </c>
      <c r="B1142" s="15">
        <v>0</v>
      </c>
      <c r="C1142" t="s">
        <v>75</v>
      </c>
    </row>
    <row r="1143" spans="1:3" x14ac:dyDescent="0.25">
      <c r="A1143" s="10" t="s">
        <v>1278</v>
      </c>
      <c r="B1143" s="15">
        <v>0</v>
      </c>
      <c r="C1143" t="s">
        <v>75</v>
      </c>
    </row>
    <row r="1144" spans="1:3" x14ac:dyDescent="0.25">
      <c r="A1144" s="10" t="s">
        <v>1278</v>
      </c>
      <c r="B1144" s="15">
        <v>0</v>
      </c>
      <c r="C1144" t="s">
        <v>75</v>
      </c>
    </row>
    <row r="1145" spans="1:3" x14ac:dyDescent="0.25">
      <c r="A1145" s="10" t="s">
        <v>1280</v>
      </c>
      <c r="B1145" s="15">
        <v>0</v>
      </c>
      <c r="C1145" t="s">
        <v>75</v>
      </c>
    </row>
    <row r="1146" spans="1:3" x14ac:dyDescent="0.25">
      <c r="A1146" s="10" t="s">
        <v>1280</v>
      </c>
      <c r="B1146" s="15">
        <v>0</v>
      </c>
      <c r="C1146" t="s">
        <v>75</v>
      </c>
    </row>
    <row r="1147" spans="1:3" x14ac:dyDescent="0.25">
      <c r="A1147" s="10" t="s">
        <v>1282</v>
      </c>
      <c r="B1147" s="15">
        <v>0</v>
      </c>
      <c r="C1147" t="s">
        <v>75</v>
      </c>
    </row>
    <row r="1148" spans="1:3" x14ac:dyDescent="0.25">
      <c r="A1148" s="10" t="s">
        <v>1282</v>
      </c>
      <c r="B1148" s="15">
        <v>0</v>
      </c>
      <c r="C1148" t="s">
        <v>75</v>
      </c>
    </row>
    <row r="1149" spans="1:3" x14ac:dyDescent="0.25">
      <c r="A1149" s="10" t="s">
        <v>1284</v>
      </c>
      <c r="B1149" s="15">
        <v>0</v>
      </c>
      <c r="C1149" t="s">
        <v>75</v>
      </c>
    </row>
    <row r="1150" spans="1:3" x14ac:dyDescent="0.25">
      <c r="A1150" s="10" t="s">
        <v>1284</v>
      </c>
      <c r="B1150" s="15">
        <v>0</v>
      </c>
      <c r="C1150" t="s">
        <v>75</v>
      </c>
    </row>
    <row r="1151" spans="1:3" x14ac:dyDescent="0.25">
      <c r="A1151" s="10" t="s">
        <v>1286</v>
      </c>
      <c r="B1151" s="15">
        <v>0</v>
      </c>
      <c r="C1151" t="s">
        <v>75</v>
      </c>
    </row>
    <row r="1152" spans="1:3" x14ac:dyDescent="0.25">
      <c r="A1152" s="10" t="s">
        <v>1286</v>
      </c>
      <c r="B1152" s="15">
        <v>0</v>
      </c>
      <c r="C1152" t="s">
        <v>75</v>
      </c>
    </row>
    <row r="1153" spans="1:3" x14ac:dyDescent="0.25">
      <c r="A1153" s="10" t="s">
        <v>1288</v>
      </c>
      <c r="B1153" s="15">
        <v>0</v>
      </c>
      <c r="C1153" t="s">
        <v>75</v>
      </c>
    </row>
    <row r="1154" spans="1:3" x14ac:dyDescent="0.25">
      <c r="A1154" s="10" t="s">
        <v>1288</v>
      </c>
      <c r="B1154" s="15">
        <v>0</v>
      </c>
      <c r="C1154" t="s">
        <v>75</v>
      </c>
    </row>
    <row r="1155" spans="1:3" x14ac:dyDescent="0.25">
      <c r="A1155" s="10" t="s">
        <v>1290</v>
      </c>
      <c r="B1155" s="15">
        <v>0</v>
      </c>
      <c r="C1155" t="s">
        <v>75</v>
      </c>
    </row>
    <row r="1156" spans="1:3" x14ac:dyDescent="0.25">
      <c r="A1156" s="10" t="s">
        <v>1290</v>
      </c>
      <c r="B1156" s="15">
        <v>0</v>
      </c>
      <c r="C1156" t="s">
        <v>75</v>
      </c>
    </row>
    <row r="1157" spans="1:3" x14ac:dyDescent="0.25">
      <c r="A1157" s="10" t="s">
        <v>1292</v>
      </c>
      <c r="B1157" s="15">
        <v>0</v>
      </c>
      <c r="C1157" t="s">
        <v>75</v>
      </c>
    </row>
    <row r="1158" spans="1:3" x14ac:dyDescent="0.25">
      <c r="A1158" s="10" t="s">
        <v>1292</v>
      </c>
      <c r="B1158" s="15">
        <v>0</v>
      </c>
      <c r="C1158" t="s">
        <v>75</v>
      </c>
    </row>
    <row r="1159" spans="1:3" x14ac:dyDescent="0.25">
      <c r="A1159" s="10" t="s">
        <v>1294</v>
      </c>
      <c r="B1159" s="15">
        <v>0</v>
      </c>
      <c r="C1159" t="s">
        <v>75</v>
      </c>
    </row>
    <row r="1160" spans="1:3" x14ac:dyDescent="0.25">
      <c r="A1160" s="10" t="s">
        <v>1294</v>
      </c>
      <c r="B1160" s="15">
        <v>0</v>
      </c>
      <c r="C1160" t="s">
        <v>75</v>
      </c>
    </row>
    <row r="1161" spans="1:3" x14ac:dyDescent="0.25">
      <c r="A1161" s="10" t="s">
        <v>1296</v>
      </c>
      <c r="B1161" s="15">
        <v>0</v>
      </c>
      <c r="C1161" t="s">
        <v>75</v>
      </c>
    </row>
    <row r="1162" spans="1:3" x14ac:dyDescent="0.25">
      <c r="A1162" s="10" t="s">
        <v>1296</v>
      </c>
      <c r="B1162" s="15">
        <v>0</v>
      </c>
      <c r="C1162" t="s">
        <v>75</v>
      </c>
    </row>
    <row r="1163" spans="1:3" x14ac:dyDescent="0.25">
      <c r="A1163" s="10" t="s">
        <v>1298</v>
      </c>
      <c r="B1163" s="15">
        <v>0</v>
      </c>
      <c r="C1163" t="s">
        <v>75</v>
      </c>
    </row>
    <row r="1164" spans="1:3" x14ac:dyDescent="0.25">
      <c r="A1164" s="10" t="s">
        <v>1298</v>
      </c>
      <c r="B1164" s="15">
        <v>0</v>
      </c>
      <c r="C1164" t="s">
        <v>75</v>
      </c>
    </row>
    <row r="1165" spans="1:3" x14ac:dyDescent="0.25">
      <c r="A1165" s="10" t="s">
        <v>1300</v>
      </c>
      <c r="B1165" s="15">
        <v>0</v>
      </c>
      <c r="C1165" t="s">
        <v>75</v>
      </c>
    </row>
    <row r="1166" spans="1:3" x14ac:dyDescent="0.25">
      <c r="A1166" s="10" t="s">
        <v>1300</v>
      </c>
      <c r="B1166" s="15">
        <v>0</v>
      </c>
      <c r="C1166" t="s">
        <v>75</v>
      </c>
    </row>
    <row r="1167" spans="1:3" x14ac:dyDescent="0.25">
      <c r="A1167" s="10" t="s">
        <v>1302</v>
      </c>
      <c r="B1167" s="15">
        <v>0</v>
      </c>
      <c r="C1167" t="s">
        <v>75</v>
      </c>
    </row>
    <row r="1168" spans="1:3" x14ac:dyDescent="0.25">
      <c r="A1168" s="10" t="s">
        <v>1302</v>
      </c>
      <c r="B1168" s="15">
        <v>0</v>
      </c>
      <c r="C1168" t="s">
        <v>75</v>
      </c>
    </row>
    <row r="1169" spans="1:3" x14ac:dyDescent="0.25">
      <c r="A1169" s="10" t="s">
        <v>1304</v>
      </c>
      <c r="B1169" s="15">
        <v>0</v>
      </c>
      <c r="C1169" t="s">
        <v>75</v>
      </c>
    </row>
    <row r="1170" spans="1:3" x14ac:dyDescent="0.25">
      <c r="A1170" s="10" t="s">
        <v>1304</v>
      </c>
      <c r="B1170" s="15">
        <v>0</v>
      </c>
      <c r="C1170" t="s">
        <v>75</v>
      </c>
    </row>
    <row r="1171" spans="1:3" x14ac:dyDescent="0.25">
      <c r="A1171" s="10" t="s">
        <v>1306</v>
      </c>
      <c r="B1171" s="15">
        <v>0</v>
      </c>
      <c r="C1171" t="s">
        <v>75</v>
      </c>
    </row>
    <row r="1172" spans="1:3" x14ac:dyDescent="0.25">
      <c r="A1172" s="10" t="s">
        <v>1306</v>
      </c>
      <c r="B1172" s="15">
        <v>0</v>
      </c>
      <c r="C1172" t="s">
        <v>75</v>
      </c>
    </row>
    <row r="1173" spans="1:3" x14ac:dyDescent="0.25">
      <c r="A1173" s="10" t="s">
        <v>1308</v>
      </c>
      <c r="B1173" s="15">
        <v>0</v>
      </c>
      <c r="C1173" t="s">
        <v>75</v>
      </c>
    </row>
    <row r="1174" spans="1:3" x14ac:dyDescent="0.25">
      <c r="A1174" s="10" t="s">
        <v>1308</v>
      </c>
      <c r="B1174" s="15">
        <v>0</v>
      </c>
      <c r="C1174" t="s">
        <v>75</v>
      </c>
    </row>
    <row r="1175" spans="1:3" x14ac:dyDescent="0.25">
      <c r="A1175" s="10" t="s">
        <v>1310</v>
      </c>
      <c r="B1175" s="15">
        <v>0</v>
      </c>
      <c r="C1175" t="s">
        <v>75</v>
      </c>
    </row>
    <row r="1176" spans="1:3" x14ac:dyDescent="0.25">
      <c r="A1176" s="10" t="s">
        <v>1310</v>
      </c>
      <c r="B1176" s="15">
        <v>0</v>
      </c>
      <c r="C1176" t="s">
        <v>75</v>
      </c>
    </row>
    <row r="1177" spans="1:3" x14ac:dyDescent="0.25">
      <c r="A1177" s="10" t="s">
        <v>1312</v>
      </c>
      <c r="B1177" s="15">
        <v>0</v>
      </c>
      <c r="C1177" t="s">
        <v>75</v>
      </c>
    </row>
    <row r="1178" spans="1:3" x14ac:dyDescent="0.25">
      <c r="A1178" s="10" t="s">
        <v>1312</v>
      </c>
      <c r="B1178" s="15">
        <v>0</v>
      </c>
      <c r="C1178" t="s">
        <v>75</v>
      </c>
    </row>
    <row r="1179" spans="1:3" x14ac:dyDescent="0.25">
      <c r="A1179" s="10" t="s">
        <v>1314</v>
      </c>
      <c r="B1179" s="15">
        <v>0</v>
      </c>
      <c r="C1179" t="s">
        <v>75</v>
      </c>
    </row>
    <row r="1180" spans="1:3" x14ac:dyDescent="0.25">
      <c r="A1180" s="10" t="s">
        <v>1314</v>
      </c>
      <c r="B1180" s="15">
        <v>0</v>
      </c>
      <c r="C1180" t="s">
        <v>75</v>
      </c>
    </row>
    <row r="1181" spans="1:3" x14ac:dyDescent="0.25">
      <c r="A1181" s="10" t="s">
        <v>1316</v>
      </c>
      <c r="B1181" s="15">
        <v>0</v>
      </c>
      <c r="C1181" t="s">
        <v>75</v>
      </c>
    </row>
    <row r="1182" spans="1:3" x14ac:dyDescent="0.25">
      <c r="A1182" s="10" t="s">
        <v>1316</v>
      </c>
      <c r="B1182" s="15">
        <v>0</v>
      </c>
      <c r="C1182" t="s">
        <v>75</v>
      </c>
    </row>
    <row r="1183" spans="1:3" x14ac:dyDescent="0.25">
      <c r="A1183" s="10" t="s">
        <v>1318</v>
      </c>
      <c r="B1183" s="15">
        <v>0</v>
      </c>
      <c r="C1183" t="s">
        <v>75</v>
      </c>
    </row>
    <row r="1184" spans="1:3" x14ac:dyDescent="0.25">
      <c r="A1184" s="10" t="s">
        <v>1318</v>
      </c>
      <c r="B1184" s="15">
        <v>0</v>
      </c>
      <c r="C1184" t="s">
        <v>75</v>
      </c>
    </row>
    <row r="1185" spans="1:3" x14ac:dyDescent="0.25">
      <c r="A1185" s="10" t="s">
        <v>1320</v>
      </c>
      <c r="B1185" s="15">
        <v>0</v>
      </c>
      <c r="C1185" t="s">
        <v>75</v>
      </c>
    </row>
    <row r="1186" spans="1:3" x14ac:dyDescent="0.25">
      <c r="A1186" s="10" t="s">
        <v>1320</v>
      </c>
      <c r="B1186" s="15">
        <v>0</v>
      </c>
      <c r="C1186" t="s">
        <v>75</v>
      </c>
    </row>
    <row r="1187" spans="1:3" x14ac:dyDescent="0.25">
      <c r="A1187" s="10" t="s">
        <v>1322</v>
      </c>
      <c r="B1187" s="15">
        <v>0</v>
      </c>
      <c r="C1187" t="s">
        <v>75</v>
      </c>
    </row>
    <row r="1188" spans="1:3" x14ac:dyDescent="0.25">
      <c r="A1188" s="10" t="s">
        <v>1322</v>
      </c>
      <c r="B1188" s="15">
        <v>0</v>
      </c>
      <c r="C1188" t="s">
        <v>75</v>
      </c>
    </row>
    <row r="1189" spans="1:3" x14ac:dyDescent="0.25">
      <c r="A1189" s="10" t="s">
        <v>1324</v>
      </c>
      <c r="B1189" s="15">
        <v>0</v>
      </c>
      <c r="C1189" t="s">
        <v>75</v>
      </c>
    </row>
    <row r="1190" spans="1:3" x14ac:dyDescent="0.25">
      <c r="A1190" s="10" t="s">
        <v>1324</v>
      </c>
      <c r="B1190" s="15">
        <v>0</v>
      </c>
      <c r="C1190" t="s">
        <v>75</v>
      </c>
    </row>
    <row r="1191" spans="1:3" x14ac:dyDescent="0.25">
      <c r="A1191" s="10" t="s">
        <v>1326</v>
      </c>
      <c r="B1191" s="15">
        <v>0</v>
      </c>
      <c r="C1191" t="s">
        <v>75</v>
      </c>
    </row>
    <row r="1192" spans="1:3" x14ac:dyDescent="0.25">
      <c r="A1192" s="10" t="s">
        <v>1326</v>
      </c>
      <c r="B1192" s="15">
        <v>0</v>
      </c>
      <c r="C1192" t="s">
        <v>75</v>
      </c>
    </row>
    <row r="1193" spans="1:3" x14ac:dyDescent="0.25">
      <c r="A1193" s="10" t="s">
        <v>1328</v>
      </c>
      <c r="B1193" s="15">
        <v>0</v>
      </c>
      <c r="C1193" t="s">
        <v>75</v>
      </c>
    </row>
    <row r="1194" spans="1:3" x14ac:dyDescent="0.25">
      <c r="A1194" s="10" t="s">
        <v>1328</v>
      </c>
      <c r="B1194" s="15">
        <v>0</v>
      </c>
      <c r="C1194" t="s">
        <v>75</v>
      </c>
    </row>
    <row r="1195" spans="1:3" x14ac:dyDescent="0.25">
      <c r="A1195" s="10" t="s">
        <v>1330</v>
      </c>
      <c r="B1195" s="15">
        <v>0</v>
      </c>
      <c r="C1195" t="s">
        <v>75</v>
      </c>
    </row>
    <row r="1196" spans="1:3" x14ac:dyDescent="0.25">
      <c r="A1196" s="10" t="s">
        <v>1330</v>
      </c>
      <c r="B1196" s="15">
        <v>0</v>
      </c>
      <c r="C1196" t="s">
        <v>75</v>
      </c>
    </row>
    <row r="1197" spans="1:3" x14ac:dyDescent="0.25">
      <c r="A1197" s="10" t="s">
        <v>1332</v>
      </c>
      <c r="B1197" s="15">
        <v>0</v>
      </c>
      <c r="C1197" t="s">
        <v>75</v>
      </c>
    </row>
    <row r="1198" spans="1:3" x14ac:dyDescent="0.25">
      <c r="A1198" s="10" t="s">
        <v>1332</v>
      </c>
      <c r="B1198" s="15">
        <v>0</v>
      </c>
      <c r="C1198" t="s">
        <v>75</v>
      </c>
    </row>
    <row r="1199" spans="1:3" x14ac:dyDescent="0.25">
      <c r="A1199" s="10" t="s">
        <v>1334</v>
      </c>
      <c r="B1199" s="15">
        <v>0</v>
      </c>
      <c r="C1199" t="s">
        <v>75</v>
      </c>
    </row>
    <row r="1200" spans="1:3" x14ac:dyDescent="0.25">
      <c r="A1200" s="10" t="s">
        <v>1334</v>
      </c>
      <c r="B1200" s="15">
        <v>0</v>
      </c>
      <c r="C1200" t="s">
        <v>75</v>
      </c>
    </row>
    <row r="1201" spans="1:3" x14ac:dyDescent="0.25">
      <c r="A1201" s="10" t="s">
        <v>1336</v>
      </c>
      <c r="B1201" s="15">
        <v>0</v>
      </c>
      <c r="C1201" t="s">
        <v>75</v>
      </c>
    </row>
    <row r="1202" spans="1:3" x14ac:dyDescent="0.25">
      <c r="A1202" s="10" t="s">
        <v>1336</v>
      </c>
      <c r="B1202" s="15">
        <v>0</v>
      </c>
      <c r="C1202" t="s">
        <v>75</v>
      </c>
    </row>
    <row r="1203" spans="1:3" x14ac:dyDescent="0.25">
      <c r="A1203" s="10" t="s">
        <v>1338</v>
      </c>
      <c r="B1203" s="15">
        <v>0</v>
      </c>
      <c r="C1203" t="s">
        <v>75</v>
      </c>
    </row>
    <row r="1204" spans="1:3" x14ac:dyDescent="0.25">
      <c r="A1204" s="10" t="s">
        <v>1338</v>
      </c>
      <c r="B1204" s="15">
        <v>0</v>
      </c>
      <c r="C1204" t="s">
        <v>75</v>
      </c>
    </row>
    <row r="1205" spans="1:3" x14ac:dyDescent="0.25">
      <c r="A1205" s="10" t="s">
        <v>1340</v>
      </c>
      <c r="B1205" s="15">
        <v>0</v>
      </c>
      <c r="C1205" t="s">
        <v>75</v>
      </c>
    </row>
    <row r="1206" spans="1:3" x14ac:dyDescent="0.25">
      <c r="A1206" s="10" t="s">
        <v>1340</v>
      </c>
      <c r="B1206" s="15">
        <v>0</v>
      </c>
      <c r="C1206" t="s">
        <v>75</v>
      </c>
    </row>
    <row r="1207" spans="1:3" x14ac:dyDescent="0.25">
      <c r="A1207" s="10" t="s">
        <v>1342</v>
      </c>
      <c r="B1207" s="15">
        <v>0</v>
      </c>
      <c r="C1207" t="s">
        <v>75</v>
      </c>
    </row>
    <row r="1208" spans="1:3" x14ac:dyDescent="0.25">
      <c r="A1208" s="10" t="s">
        <v>1342</v>
      </c>
      <c r="B1208" s="15">
        <v>0</v>
      </c>
      <c r="C1208" t="s">
        <v>75</v>
      </c>
    </row>
    <row r="1209" spans="1:3" x14ac:dyDescent="0.25">
      <c r="A1209" s="10" t="s">
        <v>1344</v>
      </c>
      <c r="B1209" s="15">
        <v>0</v>
      </c>
      <c r="C1209" t="s">
        <v>75</v>
      </c>
    </row>
    <row r="1210" spans="1:3" x14ac:dyDescent="0.25">
      <c r="A1210" s="10" t="s">
        <v>1344</v>
      </c>
      <c r="B1210" s="15">
        <v>0</v>
      </c>
      <c r="C1210" t="s">
        <v>75</v>
      </c>
    </row>
    <row r="1211" spans="1:3" x14ac:dyDescent="0.25">
      <c r="A1211" s="10" t="s">
        <v>1346</v>
      </c>
      <c r="B1211" s="15">
        <v>0</v>
      </c>
      <c r="C1211" t="s">
        <v>75</v>
      </c>
    </row>
    <row r="1212" spans="1:3" x14ac:dyDescent="0.25">
      <c r="A1212" s="10" t="s">
        <v>1346</v>
      </c>
      <c r="B1212" s="15">
        <v>0</v>
      </c>
      <c r="C1212" t="s">
        <v>75</v>
      </c>
    </row>
    <row r="1213" spans="1:3" x14ac:dyDescent="0.25">
      <c r="A1213" s="10" t="s">
        <v>1348</v>
      </c>
      <c r="B1213" s="15">
        <v>0</v>
      </c>
      <c r="C1213" t="s">
        <v>75</v>
      </c>
    </row>
    <row r="1214" spans="1:3" x14ac:dyDescent="0.25">
      <c r="A1214" s="10" t="s">
        <v>1348</v>
      </c>
      <c r="B1214" s="15">
        <v>0</v>
      </c>
      <c r="C1214" t="s">
        <v>75</v>
      </c>
    </row>
    <row r="1215" spans="1:3" x14ac:dyDescent="0.25">
      <c r="A1215" s="10" t="s">
        <v>1350</v>
      </c>
      <c r="B1215" s="15">
        <v>0</v>
      </c>
      <c r="C1215" t="s">
        <v>75</v>
      </c>
    </row>
    <row r="1216" spans="1:3" x14ac:dyDescent="0.25">
      <c r="A1216" s="10" t="s">
        <v>1350</v>
      </c>
      <c r="B1216" s="15">
        <v>0</v>
      </c>
      <c r="C1216" t="s">
        <v>75</v>
      </c>
    </row>
    <row r="1217" spans="1:3" x14ac:dyDescent="0.25">
      <c r="A1217" s="10" t="s">
        <v>1352</v>
      </c>
      <c r="B1217" s="15">
        <v>0</v>
      </c>
      <c r="C1217" t="s">
        <v>75</v>
      </c>
    </row>
    <row r="1218" spans="1:3" x14ac:dyDescent="0.25">
      <c r="A1218" s="10" t="s">
        <v>1352</v>
      </c>
      <c r="B1218" s="15">
        <v>0</v>
      </c>
      <c r="C1218" t="s">
        <v>75</v>
      </c>
    </row>
    <row r="1219" spans="1:3" x14ac:dyDescent="0.25">
      <c r="A1219" s="10" t="s">
        <v>1354</v>
      </c>
      <c r="B1219" s="15">
        <v>0</v>
      </c>
      <c r="C1219" t="s">
        <v>75</v>
      </c>
    </row>
    <row r="1220" spans="1:3" x14ac:dyDescent="0.25">
      <c r="A1220" s="10" t="s">
        <v>1354</v>
      </c>
      <c r="B1220" s="15">
        <v>0</v>
      </c>
      <c r="C1220" t="s">
        <v>75</v>
      </c>
    </row>
    <row r="1221" spans="1:3" x14ac:dyDescent="0.25">
      <c r="A1221" s="10" t="s">
        <v>1356</v>
      </c>
      <c r="B1221" s="15">
        <v>0</v>
      </c>
      <c r="C1221" t="s">
        <v>75</v>
      </c>
    </row>
    <row r="1222" spans="1:3" x14ac:dyDescent="0.25">
      <c r="A1222" s="10" t="s">
        <v>1356</v>
      </c>
      <c r="B1222" s="15">
        <v>0</v>
      </c>
      <c r="C1222" t="s">
        <v>75</v>
      </c>
    </row>
    <row r="1223" spans="1:3" x14ac:dyDescent="0.25">
      <c r="A1223" s="10" t="s">
        <v>1358</v>
      </c>
      <c r="B1223" s="15">
        <v>0</v>
      </c>
      <c r="C1223" t="s">
        <v>75</v>
      </c>
    </row>
    <row r="1224" spans="1:3" x14ac:dyDescent="0.25">
      <c r="A1224" s="10" t="s">
        <v>1358</v>
      </c>
      <c r="B1224" s="15">
        <v>0</v>
      </c>
      <c r="C1224" t="s">
        <v>75</v>
      </c>
    </row>
    <row r="1225" spans="1:3" x14ac:dyDescent="0.25">
      <c r="A1225" s="10" t="s">
        <v>1360</v>
      </c>
      <c r="B1225" s="15">
        <v>0</v>
      </c>
      <c r="C1225" t="s">
        <v>75</v>
      </c>
    </row>
    <row r="1226" spans="1:3" x14ac:dyDescent="0.25">
      <c r="A1226" s="10" t="s">
        <v>1360</v>
      </c>
      <c r="B1226" s="15">
        <v>0</v>
      </c>
      <c r="C1226" t="s">
        <v>75</v>
      </c>
    </row>
    <row r="1227" spans="1:3" x14ac:dyDescent="0.25">
      <c r="A1227" s="10" t="s">
        <v>1362</v>
      </c>
      <c r="B1227" s="15">
        <v>0</v>
      </c>
      <c r="C1227" t="s">
        <v>75</v>
      </c>
    </row>
    <row r="1228" spans="1:3" x14ac:dyDescent="0.25">
      <c r="A1228" s="10" t="s">
        <v>1362</v>
      </c>
      <c r="B1228" s="15">
        <v>0</v>
      </c>
      <c r="C1228" t="s">
        <v>75</v>
      </c>
    </row>
    <row r="1229" spans="1:3" x14ac:dyDescent="0.25">
      <c r="A1229" s="10" t="s">
        <v>1364</v>
      </c>
      <c r="B1229" s="15">
        <v>0</v>
      </c>
      <c r="C1229" t="s">
        <v>75</v>
      </c>
    </row>
    <row r="1230" spans="1:3" x14ac:dyDescent="0.25">
      <c r="A1230" s="10" t="s">
        <v>1364</v>
      </c>
      <c r="B1230" s="15">
        <v>0</v>
      </c>
      <c r="C1230" t="s">
        <v>75</v>
      </c>
    </row>
    <row r="1231" spans="1:3" x14ac:dyDescent="0.25">
      <c r="A1231" s="10" t="s">
        <v>1366</v>
      </c>
      <c r="B1231" s="15">
        <v>0</v>
      </c>
      <c r="C1231" t="s">
        <v>75</v>
      </c>
    </row>
    <row r="1232" spans="1:3" x14ac:dyDescent="0.25">
      <c r="A1232" s="10" t="s">
        <v>1366</v>
      </c>
      <c r="B1232" s="15">
        <v>0</v>
      </c>
      <c r="C1232" t="s">
        <v>75</v>
      </c>
    </row>
    <row r="1233" spans="1:3" x14ac:dyDescent="0.25">
      <c r="A1233" s="10" t="s">
        <v>1368</v>
      </c>
      <c r="B1233" s="15">
        <v>0</v>
      </c>
      <c r="C1233" t="s">
        <v>75</v>
      </c>
    </row>
    <row r="1234" spans="1:3" x14ac:dyDescent="0.25">
      <c r="A1234" s="10" t="s">
        <v>1368</v>
      </c>
      <c r="B1234" s="15">
        <v>0</v>
      </c>
      <c r="C1234" t="s">
        <v>75</v>
      </c>
    </row>
    <row r="1235" spans="1:3" x14ac:dyDescent="0.25">
      <c r="A1235" s="10" t="s">
        <v>1370</v>
      </c>
      <c r="B1235" s="15">
        <v>0</v>
      </c>
      <c r="C1235" t="s">
        <v>75</v>
      </c>
    </row>
    <row r="1236" spans="1:3" x14ac:dyDescent="0.25">
      <c r="A1236" s="10" t="s">
        <v>1370</v>
      </c>
      <c r="B1236" s="15">
        <v>0</v>
      </c>
      <c r="C1236" t="s">
        <v>75</v>
      </c>
    </row>
    <row r="1237" spans="1:3" x14ac:dyDescent="0.25">
      <c r="A1237" s="10" t="s">
        <v>1372</v>
      </c>
      <c r="B1237" s="15">
        <v>0</v>
      </c>
      <c r="C1237" t="s">
        <v>75</v>
      </c>
    </row>
    <row r="1238" spans="1:3" x14ac:dyDescent="0.25">
      <c r="A1238" s="10" t="s">
        <v>1372</v>
      </c>
      <c r="B1238" s="15">
        <v>0</v>
      </c>
      <c r="C1238" t="s">
        <v>75</v>
      </c>
    </row>
    <row r="1239" spans="1:3" x14ac:dyDescent="0.25">
      <c r="A1239" s="10" t="s">
        <v>1374</v>
      </c>
      <c r="B1239" s="15">
        <v>0</v>
      </c>
      <c r="C1239" t="s">
        <v>75</v>
      </c>
    </row>
    <row r="1240" spans="1:3" x14ac:dyDescent="0.25">
      <c r="A1240" s="10" t="s">
        <v>1374</v>
      </c>
      <c r="B1240" s="15">
        <v>0</v>
      </c>
      <c r="C1240" t="s">
        <v>75</v>
      </c>
    </row>
    <row r="1241" spans="1:3" x14ac:dyDescent="0.25">
      <c r="A1241" s="10" t="s">
        <v>1376</v>
      </c>
      <c r="B1241" s="15">
        <v>0</v>
      </c>
      <c r="C1241" t="s">
        <v>75</v>
      </c>
    </row>
    <row r="1242" spans="1:3" x14ac:dyDescent="0.25">
      <c r="A1242" s="10" t="s">
        <v>1376</v>
      </c>
      <c r="B1242" s="15">
        <v>0</v>
      </c>
      <c r="C1242" t="s">
        <v>75</v>
      </c>
    </row>
    <row r="1243" spans="1:3" x14ac:dyDescent="0.25">
      <c r="A1243" s="10" t="s">
        <v>1378</v>
      </c>
      <c r="B1243" s="15">
        <v>0</v>
      </c>
      <c r="C1243" t="s">
        <v>75</v>
      </c>
    </row>
    <row r="1244" spans="1:3" x14ac:dyDescent="0.25">
      <c r="A1244" s="10" t="s">
        <v>1378</v>
      </c>
      <c r="B1244" s="15">
        <v>0</v>
      </c>
      <c r="C1244" t="s">
        <v>75</v>
      </c>
    </row>
    <row r="1245" spans="1:3" x14ac:dyDescent="0.25">
      <c r="A1245" s="10" t="s">
        <v>1380</v>
      </c>
      <c r="B1245" s="15">
        <v>0</v>
      </c>
      <c r="C1245" t="s">
        <v>75</v>
      </c>
    </row>
    <row r="1246" spans="1:3" x14ac:dyDescent="0.25">
      <c r="A1246" s="10" t="s">
        <v>1380</v>
      </c>
      <c r="B1246" s="15">
        <v>0</v>
      </c>
      <c r="C1246" t="s">
        <v>75</v>
      </c>
    </row>
    <row r="1247" spans="1:3" x14ac:dyDescent="0.25">
      <c r="A1247" s="10" t="s">
        <v>1382</v>
      </c>
      <c r="B1247" s="15">
        <v>0</v>
      </c>
      <c r="C1247" t="s">
        <v>75</v>
      </c>
    </row>
    <row r="1248" spans="1:3" x14ac:dyDescent="0.25">
      <c r="A1248" s="10" t="s">
        <v>1382</v>
      </c>
      <c r="B1248" s="15">
        <v>0</v>
      </c>
      <c r="C1248" t="s">
        <v>75</v>
      </c>
    </row>
    <row r="1249" spans="1:3" x14ac:dyDescent="0.25">
      <c r="A1249" s="10" t="s">
        <v>1384</v>
      </c>
      <c r="B1249" s="15">
        <v>0</v>
      </c>
      <c r="C1249" t="s">
        <v>75</v>
      </c>
    </row>
    <row r="1250" spans="1:3" x14ac:dyDescent="0.25">
      <c r="A1250" s="10" t="s">
        <v>1384</v>
      </c>
      <c r="B1250" s="15">
        <v>0</v>
      </c>
      <c r="C1250" t="s">
        <v>75</v>
      </c>
    </row>
    <row r="1251" spans="1:3" x14ac:dyDescent="0.25">
      <c r="A1251" s="10" t="s">
        <v>1386</v>
      </c>
      <c r="B1251" s="15">
        <v>0</v>
      </c>
      <c r="C1251" t="s">
        <v>75</v>
      </c>
    </row>
    <row r="1252" spans="1:3" x14ac:dyDescent="0.25">
      <c r="A1252" s="10" t="s">
        <v>1386</v>
      </c>
      <c r="B1252" s="15">
        <v>0</v>
      </c>
      <c r="C1252" t="s">
        <v>75</v>
      </c>
    </row>
    <row r="1253" spans="1:3" x14ac:dyDescent="0.25">
      <c r="A1253" s="10" t="s">
        <v>1388</v>
      </c>
      <c r="B1253" s="15">
        <v>0</v>
      </c>
      <c r="C1253" t="s">
        <v>75</v>
      </c>
    </row>
    <row r="1254" spans="1:3" x14ac:dyDescent="0.25">
      <c r="A1254" s="10" t="s">
        <v>1388</v>
      </c>
      <c r="B1254" s="15">
        <v>0</v>
      </c>
      <c r="C1254" t="s">
        <v>75</v>
      </c>
    </row>
    <row r="1255" spans="1:3" x14ac:dyDescent="0.25">
      <c r="A1255" s="10" t="s">
        <v>1390</v>
      </c>
      <c r="B1255" s="15">
        <v>0</v>
      </c>
      <c r="C1255" t="s">
        <v>75</v>
      </c>
    </row>
    <row r="1256" spans="1:3" x14ac:dyDescent="0.25">
      <c r="A1256" s="10" t="s">
        <v>1390</v>
      </c>
      <c r="B1256" s="15">
        <v>0</v>
      </c>
      <c r="C1256" t="s">
        <v>75</v>
      </c>
    </row>
    <row r="1257" spans="1:3" x14ac:dyDescent="0.25">
      <c r="A1257" s="10" t="s">
        <v>1392</v>
      </c>
      <c r="B1257" s="15">
        <v>0</v>
      </c>
      <c r="C1257" t="s">
        <v>75</v>
      </c>
    </row>
    <row r="1258" spans="1:3" x14ac:dyDescent="0.25">
      <c r="A1258" s="10" t="s">
        <v>1392</v>
      </c>
      <c r="B1258" s="15">
        <v>0</v>
      </c>
      <c r="C1258" t="s">
        <v>75</v>
      </c>
    </row>
    <row r="1259" spans="1:3" x14ac:dyDescent="0.25">
      <c r="A1259" s="10" t="s">
        <v>1394</v>
      </c>
      <c r="B1259" s="15">
        <v>0</v>
      </c>
      <c r="C1259" t="s">
        <v>75</v>
      </c>
    </row>
    <row r="1260" spans="1:3" x14ac:dyDescent="0.25">
      <c r="A1260" s="10" t="s">
        <v>1394</v>
      </c>
      <c r="B1260" s="15">
        <v>0</v>
      </c>
      <c r="C1260" t="s">
        <v>75</v>
      </c>
    </row>
    <row r="1261" spans="1:3" x14ac:dyDescent="0.25">
      <c r="A1261" s="10" t="s">
        <v>1396</v>
      </c>
      <c r="B1261" s="15">
        <v>0</v>
      </c>
      <c r="C1261" t="s">
        <v>75</v>
      </c>
    </row>
    <row r="1262" spans="1:3" x14ac:dyDescent="0.25">
      <c r="A1262" s="10" t="s">
        <v>1396</v>
      </c>
      <c r="B1262" s="15">
        <v>0</v>
      </c>
      <c r="C1262" t="s">
        <v>75</v>
      </c>
    </row>
    <row r="1263" spans="1:3" x14ac:dyDescent="0.25">
      <c r="A1263" s="10" t="s">
        <v>1398</v>
      </c>
      <c r="B1263" s="15">
        <v>0</v>
      </c>
      <c r="C1263" t="s">
        <v>75</v>
      </c>
    </row>
    <row r="1264" spans="1:3" x14ac:dyDescent="0.25">
      <c r="A1264" s="10" t="s">
        <v>1398</v>
      </c>
      <c r="B1264" s="15">
        <v>0</v>
      </c>
      <c r="C1264" t="s">
        <v>75</v>
      </c>
    </row>
    <row r="1265" spans="1:3" x14ac:dyDescent="0.25">
      <c r="A1265" s="10" t="s">
        <v>1400</v>
      </c>
      <c r="B1265" s="15">
        <v>0</v>
      </c>
      <c r="C1265" t="s">
        <v>75</v>
      </c>
    </row>
    <row r="1266" spans="1:3" x14ac:dyDescent="0.25">
      <c r="A1266" s="10" t="s">
        <v>1400</v>
      </c>
      <c r="B1266" s="15">
        <v>0</v>
      </c>
      <c r="C1266" t="s">
        <v>75</v>
      </c>
    </row>
    <row r="1267" spans="1:3" x14ac:dyDescent="0.25">
      <c r="A1267" s="10" t="s">
        <v>1402</v>
      </c>
      <c r="B1267" s="15">
        <v>0</v>
      </c>
      <c r="C1267" t="s">
        <v>75</v>
      </c>
    </row>
    <row r="1268" spans="1:3" x14ac:dyDescent="0.25">
      <c r="A1268" s="10" t="s">
        <v>1402</v>
      </c>
      <c r="B1268" s="15">
        <v>0</v>
      </c>
      <c r="C1268" t="s">
        <v>75</v>
      </c>
    </row>
    <row r="1269" spans="1:3" x14ac:dyDescent="0.25">
      <c r="A1269" s="10" t="s">
        <v>1404</v>
      </c>
      <c r="B1269" s="15">
        <v>0</v>
      </c>
      <c r="C1269" t="s">
        <v>75</v>
      </c>
    </row>
    <row r="1270" spans="1:3" x14ac:dyDescent="0.25">
      <c r="A1270" s="10" t="s">
        <v>1404</v>
      </c>
      <c r="B1270" s="15">
        <v>0</v>
      </c>
      <c r="C1270" t="s">
        <v>75</v>
      </c>
    </row>
    <row r="1271" spans="1:3" x14ac:dyDescent="0.25">
      <c r="A1271" s="10" t="s">
        <v>1406</v>
      </c>
      <c r="B1271" s="15">
        <v>0</v>
      </c>
      <c r="C1271" t="s">
        <v>75</v>
      </c>
    </row>
    <row r="1272" spans="1:3" x14ac:dyDescent="0.25">
      <c r="A1272" s="10" t="s">
        <v>1406</v>
      </c>
      <c r="B1272" s="15">
        <v>0</v>
      </c>
      <c r="C1272" t="s">
        <v>75</v>
      </c>
    </row>
    <row r="1273" spans="1:3" x14ac:dyDescent="0.25">
      <c r="A1273" s="10" t="s">
        <v>1408</v>
      </c>
      <c r="B1273" s="15">
        <v>0</v>
      </c>
      <c r="C1273" t="s">
        <v>75</v>
      </c>
    </row>
    <row r="1274" spans="1:3" x14ac:dyDescent="0.25">
      <c r="A1274" s="10" t="s">
        <v>1408</v>
      </c>
      <c r="B1274" s="15">
        <v>0</v>
      </c>
      <c r="C1274" t="s">
        <v>75</v>
      </c>
    </row>
    <row r="1275" spans="1:3" x14ac:dyDescent="0.25">
      <c r="A1275" s="10" t="s">
        <v>1410</v>
      </c>
      <c r="B1275" s="15">
        <v>0</v>
      </c>
      <c r="C1275" t="s">
        <v>75</v>
      </c>
    </row>
    <row r="1276" spans="1:3" x14ac:dyDescent="0.25">
      <c r="A1276" s="10" t="s">
        <v>1410</v>
      </c>
      <c r="B1276" s="15">
        <v>0</v>
      </c>
      <c r="C1276" t="s">
        <v>75</v>
      </c>
    </row>
    <row r="1277" spans="1:3" x14ac:dyDescent="0.25">
      <c r="A1277" s="10" t="s">
        <v>1412</v>
      </c>
      <c r="B1277" s="15">
        <v>0</v>
      </c>
      <c r="C1277" t="s">
        <v>75</v>
      </c>
    </row>
    <row r="1278" spans="1:3" x14ac:dyDescent="0.25">
      <c r="A1278" s="10" t="s">
        <v>1412</v>
      </c>
      <c r="B1278" s="15">
        <v>0</v>
      </c>
      <c r="C1278" t="s">
        <v>75</v>
      </c>
    </row>
    <row r="1279" spans="1:3" x14ac:dyDescent="0.25">
      <c r="A1279" s="10" t="s">
        <v>1414</v>
      </c>
      <c r="B1279" s="15">
        <v>0</v>
      </c>
      <c r="C1279" t="s">
        <v>75</v>
      </c>
    </row>
    <row r="1280" spans="1:3" x14ac:dyDescent="0.25">
      <c r="A1280" s="10" t="s">
        <v>1414</v>
      </c>
      <c r="B1280" s="15">
        <v>0</v>
      </c>
      <c r="C1280" t="s">
        <v>75</v>
      </c>
    </row>
    <row r="1281" spans="1:3" x14ac:dyDescent="0.25">
      <c r="A1281" s="10" t="s">
        <v>1416</v>
      </c>
      <c r="B1281" s="15">
        <v>0</v>
      </c>
      <c r="C1281" t="s">
        <v>75</v>
      </c>
    </row>
    <row r="1282" spans="1:3" x14ac:dyDescent="0.25">
      <c r="A1282" s="10" t="s">
        <v>1416</v>
      </c>
      <c r="B1282" s="15">
        <v>0</v>
      </c>
      <c r="C1282" t="s">
        <v>75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P10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6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6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403,32</v>
      </c>
      <c r="E2" s="14" t="str">
        <f>CONCATENATE("ABRIL",CHAR(10),"TOTAL: ",ROUND(SUM(E3:E1048576),2))</f>
        <v>ABRIL
TOTAL: 403,32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275</v>
      </c>
      <c r="I2" s="14" t="str">
        <f>CONCATENATE("AGOSTO",CHAR(10),"TOTAL: ",ROUND(SUM(I3:I1048576),2))</f>
        <v>AGOSTO
TOTAL: 275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6" x14ac:dyDescent="0.25">
      <c r="A3" s="10" t="s">
        <v>73</v>
      </c>
      <c r="C3" s="15">
        <v>0</v>
      </c>
      <c r="D3" s="15">
        <v>201.66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t="s">
        <v>75</v>
      </c>
    </row>
    <row r="4" spans="1:16" x14ac:dyDescent="0.25">
      <c r="A4" s="10" t="s">
        <v>74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137.5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t="s">
        <v>75</v>
      </c>
    </row>
    <row r="5" spans="1:16" x14ac:dyDescent="0.25">
      <c r="A5" s="10" t="s">
        <v>73</v>
      </c>
      <c r="C5" s="15">
        <v>0</v>
      </c>
      <c r="D5" s="15">
        <v>201.66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  <row r="6" spans="1:16" x14ac:dyDescent="0.25">
      <c r="A6" s="10" t="s">
        <v>74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137.5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6" x14ac:dyDescent="0.25">
      <c r="A7" s="10" t="s">
        <v>73</v>
      </c>
      <c r="C7" s="15">
        <v>0</v>
      </c>
      <c r="D7" s="15">
        <v>0</v>
      </c>
      <c r="E7" s="15">
        <v>201.66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t="s">
        <v>75</v>
      </c>
      <c r="P7" t="s">
        <v>75</v>
      </c>
    </row>
    <row r="8" spans="1:16" x14ac:dyDescent="0.25">
      <c r="A8" s="10" t="s">
        <v>74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137.5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t="s">
        <v>75</v>
      </c>
      <c r="P8" t="s">
        <v>75</v>
      </c>
    </row>
    <row r="9" spans="1:16" x14ac:dyDescent="0.25">
      <c r="A9" s="10" t="s">
        <v>73</v>
      </c>
      <c r="C9" s="15">
        <v>0</v>
      </c>
      <c r="D9" s="15">
        <v>0</v>
      </c>
      <c r="E9" s="15">
        <v>201.66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t="s">
        <v>75</v>
      </c>
      <c r="P9" t="s">
        <v>75</v>
      </c>
    </row>
    <row r="10" spans="1:16" x14ac:dyDescent="0.25">
      <c r="A10" s="10" t="s">
        <v>74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137.5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t="s">
        <v>75</v>
      </c>
      <c r="P10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2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2"/>
  <sheetViews>
    <sheetView topLeftCell="C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2" sqref="I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O38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11233,67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446,77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97</v>
      </c>
      <c r="B3" s="15">
        <v>0</v>
      </c>
      <c r="C3" s="15">
        <v>61.64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t="s">
        <v>75</v>
      </c>
    </row>
    <row r="4" spans="1:15" x14ac:dyDescent="0.25">
      <c r="A4" s="10" t="s">
        <v>181</v>
      </c>
      <c r="B4" s="15">
        <v>0</v>
      </c>
      <c r="C4" s="15">
        <v>67.319999999999993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t="s">
        <v>75</v>
      </c>
    </row>
    <row r="5" spans="1:15" x14ac:dyDescent="0.25">
      <c r="A5" s="10" t="s">
        <v>183</v>
      </c>
      <c r="B5" s="15">
        <v>0</v>
      </c>
      <c r="C5" s="15">
        <v>102.07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  <row r="6" spans="1:15" x14ac:dyDescent="0.25">
      <c r="A6" s="10" t="s">
        <v>201</v>
      </c>
      <c r="B6" s="15">
        <v>0</v>
      </c>
      <c r="C6" s="15">
        <v>180.01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5" x14ac:dyDescent="0.25">
      <c r="A7" s="10" t="s">
        <v>284</v>
      </c>
      <c r="B7" s="15">
        <v>0</v>
      </c>
      <c r="C7" s="15">
        <v>67.17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 t="s">
        <v>75</v>
      </c>
      <c r="O7" t="s">
        <v>75</v>
      </c>
    </row>
    <row r="8" spans="1:15" x14ac:dyDescent="0.25">
      <c r="A8" s="10" t="s">
        <v>346</v>
      </c>
      <c r="B8" s="15">
        <v>0</v>
      </c>
      <c r="C8" s="15">
        <v>96.87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 t="s">
        <v>75</v>
      </c>
      <c r="O8" t="s">
        <v>75</v>
      </c>
    </row>
    <row r="9" spans="1:15" x14ac:dyDescent="0.25">
      <c r="A9" s="10" t="s">
        <v>352</v>
      </c>
      <c r="B9" s="15">
        <v>0</v>
      </c>
      <c r="C9" s="15">
        <v>124.13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 t="s">
        <v>75</v>
      </c>
      <c r="O9" t="s">
        <v>75</v>
      </c>
    </row>
    <row r="10" spans="1:15" x14ac:dyDescent="0.25">
      <c r="A10" s="10" t="s">
        <v>364</v>
      </c>
      <c r="B10" s="15">
        <v>0</v>
      </c>
      <c r="C10" s="15">
        <v>107.44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 t="s">
        <v>75</v>
      </c>
      <c r="O10" t="s">
        <v>75</v>
      </c>
    </row>
    <row r="11" spans="1:15" x14ac:dyDescent="0.25">
      <c r="A11" s="10" t="s">
        <v>386</v>
      </c>
      <c r="B11" s="15">
        <v>0</v>
      </c>
      <c r="C11" s="15">
        <v>164.05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 t="s">
        <v>75</v>
      </c>
      <c r="O11" t="s">
        <v>75</v>
      </c>
    </row>
    <row r="12" spans="1:15" x14ac:dyDescent="0.25">
      <c r="A12" s="10" t="s">
        <v>520</v>
      </c>
      <c r="B12" s="15">
        <v>0</v>
      </c>
      <c r="C12" s="15">
        <v>96.99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 t="s">
        <v>75</v>
      </c>
      <c r="O12" t="s">
        <v>75</v>
      </c>
    </row>
    <row r="13" spans="1:15" x14ac:dyDescent="0.25">
      <c r="A13" s="10" t="s">
        <v>552</v>
      </c>
      <c r="B13" s="15">
        <v>0</v>
      </c>
      <c r="C13" s="15">
        <v>205.79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 t="s">
        <v>75</v>
      </c>
      <c r="O13" t="s">
        <v>75</v>
      </c>
    </row>
    <row r="14" spans="1:15" x14ac:dyDescent="0.25">
      <c r="A14" s="10" t="s">
        <v>830</v>
      </c>
      <c r="B14" s="15">
        <v>0</v>
      </c>
      <c r="C14" s="15">
        <v>547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 t="s">
        <v>75</v>
      </c>
      <c r="O14" t="s">
        <v>75</v>
      </c>
    </row>
    <row r="15" spans="1:15" x14ac:dyDescent="0.25">
      <c r="A15" s="10" t="s">
        <v>990</v>
      </c>
      <c r="B15" s="15">
        <v>0</v>
      </c>
      <c r="C15" s="15">
        <v>553.20000000000005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 t="s">
        <v>75</v>
      </c>
      <c r="O15" t="s">
        <v>75</v>
      </c>
    </row>
    <row r="16" spans="1:15" x14ac:dyDescent="0.25">
      <c r="A16" s="10" t="s">
        <v>1031</v>
      </c>
      <c r="B16" s="15">
        <v>0</v>
      </c>
      <c r="C16" s="15">
        <v>542.98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 t="s">
        <v>75</v>
      </c>
      <c r="O16" t="s">
        <v>75</v>
      </c>
    </row>
    <row r="17" spans="1:15" x14ac:dyDescent="0.25">
      <c r="A17" s="10" t="s">
        <v>1065</v>
      </c>
      <c r="B17" s="15">
        <v>0</v>
      </c>
      <c r="C17" s="15">
        <v>252.52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 t="s">
        <v>75</v>
      </c>
      <c r="O17" t="s">
        <v>75</v>
      </c>
    </row>
    <row r="18" spans="1:15" x14ac:dyDescent="0.25">
      <c r="A18" s="10" t="s">
        <v>1079</v>
      </c>
      <c r="B18" s="15">
        <v>0</v>
      </c>
      <c r="C18" s="15">
        <v>421.96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 t="s">
        <v>75</v>
      </c>
      <c r="O18" t="s">
        <v>75</v>
      </c>
    </row>
    <row r="19" spans="1:15" x14ac:dyDescent="0.25">
      <c r="A19" s="10" t="s">
        <v>1081</v>
      </c>
      <c r="B19" s="15">
        <v>0</v>
      </c>
      <c r="C19" s="15">
        <v>505.33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 t="s">
        <v>75</v>
      </c>
      <c r="O19" t="s">
        <v>75</v>
      </c>
    </row>
    <row r="20" spans="1:15" x14ac:dyDescent="0.25">
      <c r="A20" s="10" t="s">
        <v>1098</v>
      </c>
      <c r="B20" s="15">
        <v>0</v>
      </c>
      <c r="C20" s="15">
        <v>1096.03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 t="s">
        <v>75</v>
      </c>
      <c r="O20" t="s">
        <v>75</v>
      </c>
    </row>
    <row r="21" spans="1:15" x14ac:dyDescent="0.25">
      <c r="A21" s="10" t="s">
        <v>1100</v>
      </c>
      <c r="B21" s="15">
        <v>0</v>
      </c>
      <c r="C21" s="15">
        <v>547.52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 t="s">
        <v>75</v>
      </c>
      <c r="O21" t="s">
        <v>75</v>
      </c>
    </row>
    <row r="22" spans="1:15" x14ac:dyDescent="0.25">
      <c r="A22" s="10" t="s">
        <v>1102</v>
      </c>
      <c r="B22" s="15">
        <v>0</v>
      </c>
      <c r="C22" s="15">
        <v>366.41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 t="s">
        <v>75</v>
      </c>
      <c r="O22" t="s">
        <v>75</v>
      </c>
    </row>
    <row r="23" spans="1:15" x14ac:dyDescent="0.25">
      <c r="A23" s="10" t="s">
        <v>1119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446.77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 t="s">
        <v>75</v>
      </c>
      <c r="O23" t="s">
        <v>75</v>
      </c>
    </row>
    <row r="24" spans="1:15" x14ac:dyDescent="0.25">
      <c r="A24" s="10" t="s">
        <v>1121</v>
      </c>
      <c r="B24" s="15">
        <v>0</v>
      </c>
      <c r="C24" s="15">
        <v>418.04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 t="s">
        <v>75</v>
      </c>
      <c r="O24" t="s">
        <v>75</v>
      </c>
    </row>
    <row r="25" spans="1:15" x14ac:dyDescent="0.25">
      <c r="A25" s="10" t="s">
        <v>1127</v>
      </c>
      <c r="B25" s="15">
        <v>0</v>
      </c>
      <c r="C25" s="15">
        <v>89.65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 t="s">
        <v>75</v>
      </c>
      <c r="O25" t="s">
        <v>75</v>
      </c>
    </row>
    <row r="26" spans="1:15" x14ac:dyDescent="0.25">
      <c r="A26" s="10" t="s">
        <v>1148</v>
      </c>
      <c r="B26" s="15">
        <v>0</v>
      </c>
      <c r="C26" s="15">
        <v>214.15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 t="s">
        <v>75</v>
      </c>
      <c r="O26" t="s">
        <v>75</v>
      </c>
    </row>
    <row r="27" spans="1:15" x14ac:dyDescent="0.25">
      <c r="A27" s="10" t="s">
        <v>1184</v>
      </c>
      <c r="B27" s="15">
        <v>0</v>
      </c>
      <c r="C27" s="15">
        <v>687.55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 t="s">
        <v>75</v>
      </c>
      <c r="O27" t="s">
        <v>75</v>
      </c>
    </row>
    <row r="28" spans="1:15" x14ac:dyDescent="0.25">
      <c r="A28" s="10" t="s">
        <v>1280</v>
      </c>
      <c r="B28" s="15">
        <v>0</v>
      </c>
      <c r="C28" s="15">
        <v>141.18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 t="s">
        <v>75</v>
      </c>
      <c r="O28" t="s">
        <v>75</v>
      </c>
    </row>
    <row r="29" spans="1:15" x14ac:dyDescent="0.25">
      <c r="A29" s="10" t="s">
        <v>1284</v>
      </c>
      <c r="B29" s="15">
        <v>0</v>
      </c>
      <c r="C29" s="15">
        <v>123.53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 t="s">
        <v>75</v>
      </c>
      <c r="O29" t="s">
        <v>75</v>
      </c>
    </row>
    <row r="30" spans="1:15" x14ac:dyDescent="0.25">
      <c r="A30" s="10" t="s">
        <v>1298</v>
      </c>
      <c r="B30" s="15">
        <v>0</v>
      </c>
      <c r="C30" s="15">
        <v>109.8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 t="s">
        <v>75</v>
      </c>
      <c r="O30" t="s">
        <v>75</v>
      </c>
    </row>
    <row r="31" spans="1:15" x14ac:dyDescent="0.25">
      <c r="A31" s="10" t="s">
        <v>1308</v>
      </c>
      <c r="B31" s="15">
        <v>0</v>
      </c>
      <c r="C31" s="15">
        <v>146.62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 t="s">
        <v>75</v>
      </c>
      <c r="O31" t="s">
        <v>75</v>
      </c>
    </row>
    <row r="32" spans="1:15" x14ac:dyDescent="0.25">
      <c r="A32" s="10" t="s">
        <v>1342</v>
      </c>
      <c r="B32" s="15">
        <v>0</v>
      </c>
      <c r="C32" s="15">
        <v>551.95000000000005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 t="s">
        <v>75</v>
      </c>
      <c r="O32" t="s">
        <v>75</v>
      </c>
    </row>
    <row r="33" spans="1:15" x14ac:dyDescent="0.25">
      <c r="A33" s="10" t="s">
        <v>1350</v>
      </c>
      <c r="B33" s="15">
        <v>0</v>
      </c>
      <c r="C33" s="15">
        <v>424.55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 t="s">
        <v>75</v>
      </c>
      <c r="O33" t="s">
        <v>75</v>
      </c>
    </row>
    <row r="34" spans="1:15" x14ac:dyDescent="0.25">
      <c r="A34" s="10" t="s">
        <v>1352</v>
      </c>
      <c r="B34" s="15">
        <v>0</v>
      </c>
      <c r="C34" s="15">
        <v>876.9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 t="s">
        <v>75</v>
      </c>
      <c r="O34" t="s">
        <v>75</v>
      </c>
    </row>
    <row r="35" spans="1:15" x14ac:dyDescent="0.25">
      <c r="A35" s="10" t="s">
        <v>1366</v>
      </c>
      <c r="B35" s="15">
        <v>0</v>
      </c>
      <c r="C35" s="15">
        <v>67.17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 t="s">
        <v>75</v>
      </c>
      <c r="O35" t="s">
        <v>75</v>
      </c>
    </row>
    <row r="36" spans="1:15" x14ac:dyDescent="0.25">
      <c r="A36" s="10" t="s">
        <v>1374</v>
      </c>
      <c r="B36" s="15">
        <v>0</v>
      </c>
      <c r="C36" s="15">
        <v>207.8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 t="s">
        <v>75</v>
      </c>
      <c r="O36" t="s">
        <v>75</v>
      </c>
    </row>
    <row r="37" spans="1:15" x14ac:dyDescent="0.25">
      <c r="A37" s="10" t="s">
        <v>1386</v>
      </c>
      <c r="B37" s="15">
        <v>0</v>
      </c>
      <c r="C37" s="15">
        <v>998.45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 t="s">
        <v>75</v>
      </c>
      <c r="O37" t="s">
        <v>75</v>
      </c>
    </row>
    <row r="38" spans="1:15" x14ac:dyDescent="0.25">
      <c r="A38" s="10" t="s">
        <v>1404</v>
      </c>
      <c r="B38" s="15">
        <v>0</v>
      </c>
      <c r="C38" s="15">
        <v>69.900000000000006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 t="s">
        <v>75</v>
      </c>
      <c r="O38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O93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16139,07</v>
      </c>
      <c r="C2" s="14" t="str">
        <f>CONCATENATE("FEVEREIRO",CHAR(10),"TOTAL: ",ROUND(SUM(C3:C1048576),2))</f>
        <v>FEVEREIRO
TOTAL: 8029,67</v>
      </c>
      <c r="D2" s="14" t="str">
        <f>CONCATENATE("MARÇO",CHAR(10),"TOTAL: ",ROUND(SUM(D3:D1048576),2))</f>
        <v>MARÇO
TOTAL: 77003,82</v>
      </c>
      <c r="E2" s="14" t="str">
        <f>CONCATENATE("ABRIL",CHAR(10),"TOTAL: ",ROUND(SUM(E3:E1048576),2))</f>
        <v>ABRIL
TOTAL: 22108,7</v>
      </c>
      <c r="F2" s="14" t="str">
        <f>CONCATENATE("MAIO",CHAR(10),"TOTAL: ",ROUND(SUM(F3:F1048576),2))</f>
        <v>MAIO
TOTAL: 13272,57</v>
      </c>
      <c r="G2" s="14" t="str">
        <f>CONCATENATE("JUNHO",CHAR(10),"TOTAL: ",ROUND(SUM(G3:G1048576),2))</f>
        <v>JUNHO
TOTAL: 19826,25</v>
      </c>
      <c r="H2" s="14" t="str">
        <f>CONCATENATE("JULHO",CHAR(10),"TOTAL: ",ROUND(SUM(H3:H1048576),2))</f>
        <v>JULHO
TOTAL: 16000,8</v>
      </c>
      <c r="I2" s="14" t="str">
        <f>CONCATENATE("AGOSTO",CHAR(10),"TOTAL: ",ROUND(SUM(I3:I1048576),2))</f>
        <v>AGOSTO
TOTAL: 23537,04</v>
      </c>
      <c r="J2" s="14" t="str">
        <f>CONCATENATE("SETEMBRO",CHAR(10),"TOTAL: ",ROUND(SUM(J3:J1048576),2))</f>
        <v>SETEMBRO
TOTAL: 36438,88</v>
      </c>
      <c r="K2" s="14" t="str">
        <f>CONCATENATE("OUTUBRO",CHAR(10),"TOTAL: ",ROUND(SUM(K3:K1048576),2))</f>
        <v>OUTUBRO
TOTAL: 63572,35</v>
      </c>
      <c r="L2" s="14" t="str">
        <f>CONCATENATE("NOVEMBRO",CHAR(10),"TOTAL: ",ROUND(SUM(L3:L1048576),2))</f>
        <v>NOVEMBRO
TOTAL: 26565,75</v>
      </c>
      <c r="M2" s="14" t="str">
        <f>CONCATENATE("DEZEMBRO",CHAR(10),"TOTAL: ",ROUND(SUM(M3:M1048576),2))</f>
        <v>DEZEMBRO
TOTAL: 14519,81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97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2330.69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t="s">
        <v>75</v>
      </c>
    </row>
    <row r="4" spans="1:15" x14ac:dyDescent="0.25">
      <c r="A4" s="10" t="s">
        <v>99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32146.21</v>
      </c>
      <c r="L4" s="15">
        <v>0</v>
      </c>
      <c r="M4" s="15">
        <v>0</v>
      </c>
      <c r="N4" s="15" t="s">
        <v>75</v>
      </c>
      <c r="O4" t="s">
        <v>75</v>
      </c>
    </row>
    <row r="5" spans="1:15" x14ac:dyDescent="0.25">
      <c r="A5" s="10" t="s">
        <v>108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3091.67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  <row r="6" spans="1:15" x14ac:dyDescent="0.25">
      <c r="A6" s="10" t="s">
        <v>127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12692.31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5" x14ac:dyDescent="0.25">
      <c r="A7" s="10" t="s">
        <v>133</v>
      </c>
      <c r="B7" s="15">
        <v>0</v>
      </c>
      <c r="C7" s="15">
        <v>53.71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 t="s">
        <v>75</v>
      </c>
      <c r="O7" t="s">
        <v>75</v>
      </c>
    </row>
    <row r="8" spans="1:15" x14ac:dyDescent="0.25">
      <c r="A8" s="10" t="s">
        <v>157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13366</v>
      </c>
      <c r="K8" s="15">
        <v>0</v>
      </c>
      <c r="L8" s="15">
        <v>0</v>
      </c>
      <c r="M8" s="15">
        <v>0</v>
      </c>
      <c r="N8" s="15" t="s">
        <v>75</v>
      </c>
      <c r="O8" t="s">
        <v>75</v>
      </c>
    </row>
    <row r="9" spans="1:15" x14ac:dyDescent="0.25">
      <c r="A9" s="10" t="s">
        <v>189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1257.48</v>
      </c>
      <c r="K9" s="15">
        <v>0</v>
      </c>
      <c r="L9" s="15">
        <v>0</v>
      </c>
      <c r="M9" s="15">
        <v>0</v>
      </c>
      <c r="N9" s="15" t="s">
        <v>75</v>
      </c>
      <c r="O9" t="s">
        <v>75</v>
      </c>
    </row>
    <row r="10" spans="1:15" x14ac:dyDescent="0.25">
      <c r="A10" s="10" t="s">
        <v>197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2967.75</v>
      </c>
      <c r="L10" s="15">
        <v>0</v>
      </c>
      <c r="M10" s="15">
        <v>0</v>
      </c>
      <c r="N10" s="15" t="s">
        <v>75</v>
      </c>
      <c r="O10" t="s">
        <v>75</v>
      </c>
    </row>
    <row r="11" spans="1:15" x14ac:dyDescent="0.25">
      <c r="A11" s="10" t="s">
        <v>199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1873.85</v>
      </c>
      <c r="L11" s="15">
        <v>0</v>
      </c>
      <c r="M11" s="15">
        <v>0</v>
      </c>
      <c r="N11" s="15" t="s">
        <v>75</v>
      </c>
      <c r="O11" t="s">
        <v>75</v>
      </c>
    </row>
    <row r="12" spans="1:15" x14ac:dyDescent="0.25">
      <c r="A12" s="10" t="s">
        <v>209</v>
      </c>
      <c r="B12" s="15">
        <v>0</v>
      </c>
      <c r="C12" s="15">
        <v>0</v>
      </c>
      <c r="D12" s="15">
        <v>0</v>
      </c>
      <c r="E12" s="15">
        <v>0</v>
      </c>
      <c r="F12" s="15">
        <v>9823.76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 t="s">
        <v>75</v>
      </c>
      <c r="O12" t="s">
        <v>75</v>
      </c>
    </row>
    <row r="13" spans="1:15" x14ac:dyDescent="0.25">
      <c r="A13" s="10" t="s">
        <v>223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624.61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 t="s">
        <v>75</v>
      </c>
      <c r="O13" t="s">
        <v>75</v>
      </c>
    </row>
    <row r="14" spans="1:15" x14ac:dyDescent="0.25">
      <c r="A14" s="10" t="s">
        <v>231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3011.27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 t="s">
        <v>75</v>
      </c>
      <c r="O14" t="s">
        <v>75</v>
      </c>
    </row>
    <row r="15" spans="1:15" x14ac:dyDescent="0.25">
      <c r="A15" s="10" t="s">
        <v>254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1261.3699999999999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 t="s">
        <v>75</v>
      </c>
      <c r="O15" t="s">
        <v>75</v>
      </c>
    </row>
    <row r="16" spans="1:15" x14ac:dyDescent="0.25">
      <c r="A16" s="10" t="s">
        <v>288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4172.88</v>
      </c>
      <c r="L16" s="15">
        <v>0</v>
      </c>
      <c r="M16" s="15">
        <v>0</v>
      </c>
      <c r="N16" s="15" t="s">
        <v>75</v>
      </c>
      <c r="O16" t="s">
        <v>75</v>
      </c>
    </row>
    <row r="17" spans="1:15" x14ac:dyDescent="0.25">
      <c r="A17" s="10" t="s">
        <v>296</v>
      </c>
      <c r="B17" s="15">
        <v>0</v>
      </c>
      <c r="C17" s="15">
        <v>0</v>
      </c>
      <c r="D17" s="15">
        <v>5276.32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 t="s">
        <v>75</v>
      </c>
      <c r="O17" t="s">
        <v>75</v>
      </c>
    </row>
    <row r="18" spans="1:15" x14ac:dyDescent="0.25">
      <c r="A18" s="10" t="s">
        <v>300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3605.76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 t="s">
        <v>75</v>
      </c>
      <c r="O18" t="s">
        <v>75</v>
      </c>
    </row>
    <row r="19" spans="1:15" x14ac:dyDescent="0.25">
      <c r="A19" s="10" t="s">
        <v>328</v>
      </c>
      <c r="B19" s="15">
        <v>6251.21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 t="s">
        <v>75</v>
      </c>
      <c r="O19" t="s">
        <v>75</v>
      </c>
    </row>
    <row r="20" spans="1:15" x14ac:dyDescent="0.25">
      <c r="A20" s="10" t="s">
        <v>338</v>
      </c>
      <c r="B20" s="15">
        <v>0</v>
      </c>
      <c r="C20" s="15">
        <v>0</v>
      </c>
      <c r="D20" s="15">
        <v>0</v>
      </c>
      <c r="E20" s="15">
        <v>2168.67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 t="s">
        <v>75</v>
      </c>
      <c r="O20" t="s">
        <v>75</v>
      </c>
    </row>
    <row r="21" spans="1:15" x14ac:dyDescent="0.25">
      <c r="A21" s="10" t="s">
        <v>370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1087.1300000000001</v>
      </c>
      <c r="M21" s="15">
        <v>0</v>
      </c>
      <c r="N21" s="15" t="s">
        <v>75</v>
      </c>
      <c r="O21" t="s">
        <v>75</v>
      </c>
    </row>
    <row r="22" spans="1:15" x14ac:dyDescent="0.25">
      <c r="A22" s="10" t="s">
        <v>374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446.47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 t="s">
        <v>75</v>
      </c>
      <c r="O22" t="s">
        <v>75</v>
      </c>
    </row>
    <row r="23" spans="1:15" x14ac:dyDescent="0.25">
      <c r="A23" s="10" t="s">
        <v>378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2707.6</v>
      </c>
      <c r="M23" s="15">
        <v>0</v>
      </c>
      <c r="N23" s="15" t="s">
        <v>75</v>
      </c>
      <c r="O23" t="s">
        <v>75</v>
      </c>
    </row>
    <row r="24" spans="1:15" x14ac:dyDescent="0.25">
      <c r="A24" s="10" t="s">
        <v>420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4635.6000000000004</v>
      </c>
      <c r="M24" s="15">
        <v>0</v>
      </c>
      <c r="N24" s="15" t="s">
        <v>75</v>
      </c>
      <c r="O24" t="s">
        <v>75</v>
      </c>
    </row>
    <row r="25" spans="1:15" x14ac:dyDescent="0.25">
      <c r="A25" s="10" t="s">
        <v>428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3081.2</v>
      </c>
      <c r="N25" s="15" t="s">
        <v>75</v>
      </c>
      <c r="O25" t="s">
        <v>75</v>
      </c>
    </row>
    <row r="26" spans="1:15" x14ac:dyDescent="0.25">
      <c r="A26" s="10" t="s">
        <v>430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1873.85</v>
      </c>
      <c r="L26" s="15">
        <v>0</v>
      </c>
      <c r="M26" s="15">
        <v>0</v>
      </c>
      <c r="N26" s="15" t="s">
        <v>75</v>
      </c>
      <c r="O26" t="s">
        <v>75</v>
      </c>
    </row>
    <row r="27" spans="1:15" x14ac:dyDescent="0.25">
      <c r="A27" s="10" t="s">
        <v>475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1580.6</v>
      </c>
      <c r="N27" s="15" t="s">
        <v>75</v>
      </c>
      <c r="O27" t="s">
        <v>75</v>
      </c>
    </row>
    <row r="28" spans="1:15" x14ac:dyDescent="0.25">
      <c r="A28" s="10" t="s">
        <v>509</v>
      </c>
      <c r="B28" s="15">
        <v>0</v>
      </c>
      <c r="C28" s="15">
        <v>421.23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 t="s">
        <v>75</v>
      </c>
      <c r="O28" t="s">
        <v>75</v>
      </c>
    </row>
    <row r="29" spans="1:15" x14ac:dyDescent="0.25">
      <c r="A29" s="10" t="s">
        <v>528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7362.91</v>
      </c>
      <c r="L29" s="15">
        <v>0</v>
      </c>
      <c r="M29" s="15">
        <v>0</v>
      </c>
      <c r="N29" s="15" t="s">
        <v>75</v>
      </c>
      <c r="O29" t="s">
        <v>75</v>
      </c>
    </row>
    <row r="30" spans="1:15" x14ac:dyDescent="0.25">
      <c r="A30" s="10" t="s">
        <v>558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3436.98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 t="s">
        <v>75</v>
      </c>
      <c r="O30" t="s">
        <v>75</v>
      </c>
    </row>
    <row r="31" spans="1:15" x14ac:dyDescent="0.25">
      <c r="A31" s="10" t="s">
        <v>564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4545.05</v>
      </c>
      <c r="L31" s="15">
        <v>0</v>
      </c>
      <c r="M31" s="15">
        <v>0</v>
      </c>
      <c r="N31" s="15" t="s">
        <v>75</v>
      </c>
      <c r="O31" t="s">
        <v>75</v>
      </c>
    </row>
    <row r="32" spans="1:15" x14ac:dyDescent="0.25">
      <c r="A32" s="10" t="s">
        <v>576</v>
      </c>
      <c r="B32" s="15">
        <v>0</v>
      </c>
      <c r="C32" s="15">
        <v>6392.94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 t="s">
        <v>75</v>
      </c>
      <c r="O32" t="s">
        <v>75</v>
      </c>
    </row>
    <row r="33" spans="1:15" x14ac:dyDescent="0.25">
      <c r="A33" s="10" t="s">
        <v>582</v>
      </c>
      <c r="B33" s="15">
        <v>0</v>
      </c>
      <c r="C33" s="15">
        <v>0</v>
      </c>
      <c r="D33" s="15">
        <v>0</v>
      </c>
      <c r="E33" s="15">
        <v>0</v>
      </c>
      <c r="F33" s="15">
        <v>170.35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 t="s">
        <v>75</v>
      </c>
      <c r="O33" t="s">
        <v>75</v>
      </c>
    </row>
    <row r="34" spans="1:15" x14ac:dyDescent="0.25">
      <c r="A34" s="10" t="s">
        <v>590</v>
      </c>
      <c r="B34" s="15">
        <v>0</v>
      </c>
      <c r="C34" s="15">
        <v>0</v>
      </c>
      <c r="D34" s="15">
        <v>2949.93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 t="s">
        <v>75</v>
      </c>
      <c r="O34" t="s">
        <v>75</v>
      </c>
    </row>
    <row r="35" spans="1:15" x14ac:dyDescent="0.25">
      <c r="A35" s="10" t="s">
        <v>622</v>
      </c>
      <c r="B35" s="15">
        <v>0</v>
      </c>
      <c r="C35" s="15">
        <v>0</v>
      </c>
      <c r="D35" s="15">
        <v>6128.04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 t="s">
        <v>75</v>
      </c>
      <c r="O35" t="s">
        <v>75</v>
      </c>
    </row>
    <row r="36" spans="1:15" x14ac:dyDescent="0.25">
      <c r="A36" s="10" t="s">
        <v>646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7842.07</v>
      </c>
      <c r="M36" s="15">
        <v>0</v>
      </c>
      <c r="N36" s="15" t="s">
        <v>75</v>
      </c>
      <c r="O36" t="s">
        <v>75</v>
      </c>
    </row>
    <row r="37" spans="1:15" x14ac:dyDescent="0.25">
      <c r="A37" s="10" t="s">
        <v>724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843.23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 t="s">
        <v>75</v>
      </c>
      <c r="O37" t="s">
        <v>75</v>
      </c>
    </row>
    <row r="38" spans="1:15" x14ac:dyDescent="0.25">
      <c r="A38" s="10" t="s">
        <v>730</v>
      </c>
      <c r="B38" s="15">
        <v>0</v>
      </c>
      <c r="C38" s="15">
        <v>0</v>
      </c>
      <c r="D38" s="15">
        <v>0</v>
      </c>
      <c r="E38" s="15">
        <v>893.72</v>
      </c>
      <c r="F38" s="15">
        <v>45.91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 t="s">
        <v>75</v>
      </c>
      <c r="O38" t="s">
        <v>75</v>
      </c>
    </row>
    <row r="39" spans="1:15" x14ac:dyDescent="0.25">
      <c r="A39" s="10" t="s">
        <v>774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10924.32</v>
      </c>
      <c r="K39" s="15">
        <v>0</v>
      </c>
      <c r="L39" s="15">
        <v>0</v>
      </c>
      <c r="M39" s="15">
        <v>0</v>
      </c>
      <c r="N39" s="15" t="s">
        <v>75</v>
      </c>
      <c r="O39" t="s">
        <v>75</v>
      </c>
    </row>
    <row r="40" spans="1:15" x14ac:dyDescent="0.25">
      <c r="A40" s="10" t="s">
        <v>776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4208.5200000000004</v>
      </c>
      <c r="N40" s="15" t="s">
        <v>75</v>
      </c>
      <c r="O40" t="s">
        <v>75</v>
      </c>
    </row>
    <row r="41" spans="1:15" x14ac:dyDescent="0.25">
      <c r="A41" s="10" t="s">
        <v>780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624.61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 t="s">
        <v>75</v>
      </c>
      <c r="O41" t="s">
        <v>75</v>
      </c>
    </row>
    <row r="42" spans="1:15" x14ac:dyDescent="0.25">
      <c r="A42" s="10" t="s">
        <v>790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2329.71</v>
      </c>
      <c r="J42" s="15">
        <v>0</v>
      </c>
      <c r="K42" s="15">
        <v>0</v>
      </c>
      <c r="L42" s="15">
        <v>0</v>
      </c>
      <c r="M42" s="15">
        <v>0</v>
      </c>
      <c r="N42" s="15" t="s">
        <v>75</v>
      </c>
      <c r="O42" t="s">
        <v>75</v>
      </c>
    </row>
    <row r="43" spans="1:15" x14ac:dyDescent="0.25">
      <c r="A43" s="10" t="s">
        <v>794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3958.72</v>
      </c>
      <c r="J43" s="15">
        <v>0</v>
      </c>
      <c r="K43" s="15">
        <v>0</v>
      </c>
      <c r="L43" s="15">
        <v>0</v>
      </c>
      <c r="M43" s="15">
        <v>0</v>
      </c>
      <c r="N43" s="15" t="s">
        <v>75</v>
      </c>
      <c r="O43" t="s">
        <v>75</v>
      </c>
    </row>
    <row r="44" spans="1:15" x14ac:dyDescent="0.25">
      <c r="A44" s="10" t="s">
        <v>804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939.63</v>
      </c>
      <c r="M44" s="15">
        <v>0</v>
      </c>
      <c r="N44" s="15" t="s">
        <v>75</v>
      </c>
      <c r="O44" t="s">
        <v>75</v>
      </c>
    </row>
    <row r="45" spans="1:15" x14ac:dyDescent="0.25">
      <c r="A45" s="10" t="s">
        <v>806</v>
      </c>
      <c r="B45" s="15">
        <v>0</v>
      </c>
      <c r="C45" s="15">
        <v>123.26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 t="s">
        <v>75</v>
      </c>
      <c r="O45" t="s">
        <v>75</v>
      </c>
    </row>
    <row r="46" spans="1:15" x14ac:dyDescent="0.25">
      <c r="A46" s="10" t="s">
        <v>814</v>
      </c>
      <c r="B46" s="15">
        <v>850.6</v>
      </c>
      <c r="C46" s="15">
        <v>0</v>
      </c>
      <c r="D46" s="15">
        <v>0</v>
      </c>
      <c r="E46" s="15">
        <v>0</v>
      </c>
      <c r="F46" s="15">
        <v>89.03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 t="s">
        <v>75</v>
      </c>
      <c r="O46" t="s">
        <v>75</v>
      </c>
    </row>
    <row r="47" spans="1:15" x14ac:dyDescent="0.25">
      <c r="A47" s="10" t="s">
        <v>816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939.63</v>
      </c>
      <c r="K47" s="15">
        <v>0</v>
      </c>
      <c r="L47" s="15">
        <v>0</v>
      </c>
      <c r="M47" s="15">
        <v>0</v>
      </c>
      <c r="N47" s="15" t="s">
        <v>75</v>
      </c>
      <c r="O47" t="s">
        <v>75</v>
      </c>
    </row>
    <row r="48" spans="1:15" x14ac:dyDescent="0.25">
      <c r="A48" s="10" t="s">
        <v>824</v>
      </c>
      <c r="B48" s="15">
        <v>0</v>
      </c>
      <c r="C48" s="15">
        <v>0</v>
      </c>
      <c r="D48" s="15">
        <v>0</v>
      </c>
      <c r="E48" s="15">
        <v>484.07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 t="s">
        <v>75</v>
      </c>
      <c r="O48" t="s">
        <v>75</v>
      </c>
    </row>
    <row r="49" spans="1:15" x14ac:dyDescent="0.25">
      <c r="A49" s="10" t="s">
        <v>828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3087.13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 t="s">
        <v>75</v>
      </c>
      <c r="O49" t="s">
        <v>75</v>
      </c>
    </row>
    <row r="50" spans="1:15" x14ac:dyDescent="0.25">
      <c r="A50" s="10" t="s">
        <v>838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939.63</v>
      </c>
      <c r="M50" s="15">
        <v>0</v>
      </c>
      <c r="N50" s="15" t="s">
        <v>75</v>
      </c>
      <c r="O50" t="s">
        <v>75</v>
      </c>
    </row>
    <row r="51" spans="1:15" x14ac:dyDescent="0.25">
      <c r="A51" s="10" t="s">
        <v>858</v>
      </c>
      <c r="B51" s="15">
        <v>3116.53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 t="s">
        <v>75</v>
      </c>
      <c r="O51" t="s">
        <v>75</v>
      </c>
    </row>
    <row r="52" spans="1:15" x14ac:dyDescent="0.25">
      <c r="A52" s="10" t="s">
        <v>864</v>
      </c>
      <c r="B52" s="15">
        <v>0</v>
      </c>
      <c r="C52" s="15">
        <v>0</v>
      </c>
      <c r="D52" s="15">
        <v>0</v>
      </c>
      <c r="E52" s="15">
        <v>0</v>
      </c>
      <c r="F52" s="15">
        <v>162.49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 t="s">
        <v>75</v>
      </c>
      <c r="O52" t="s">
        <v>75</v>
      </c>
    </row>
    <row r="53" spans="1:15" x14ac:dyDescent="0.25">
      <c r="A53" s="10" t="s">
        <v>868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939.63</v>
      </c>
      <c r="M53" s="15">
        <v>0</v>
      </c>
      <c r="N53" s="15" t="s">
        <v>75</v>
      </c>
      <c r="O53" t="s">
        <v>75</v>
      </c>
    </row>
    <row r="54" spans="1:15" x14ac:dyDescent="0.25">
      <c r="A54" s="10" t="s">
        <v>874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121.44</v>
      </c>
      <c r="M54" s="15">
        <v>0</v>
      </c>
      <c r="N54" s="15" t="s">
        <v>75</v>
      </c>
      <c r="O54" t="s">
        <v>75</v>
      </c>
    </row>
    <row r="55" spans="1:15" x14ac:dyDescent="0.25">
      <c r="A55" s="10" t="s">
        <v>876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939.63</v>
      </c>
      <c r="M55" s="15">
        <v>0</v>
      </c>
      <c r="N55" s="15" t="s">
        <v>75</v>
      </c>
      <c r="O55" t="s">
        <v>75</v>
      </c>
    </row>
    <row r="56" spans="1:15" x14ac:dyDescent="0.25">
      <c r="A56" s="10" t="s">
        <v>882</v>
      </c>
      <c r="B56" s="15">
        <v>850.6</v>
      </c>
      <c r="C56" s="15">
        <v>0</v>
      </c>
      <c r="D56" s="15">
        <v>0</v>
      </c>
      <c r="E56" s="15">
        <v>0</v>
      </c>
      <c r="F56" s="15">
        <v>89.03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 t="s">
        <v>75</v>
      </c>
      <c r="O56" t="s">
        <v>75</v>
      </c>
    </row>
    <row r="57" spans="1:15" x14ac:dyDescent="0.25">
      <c r="A57" s="10" t="s">
        <v>894</v>
      </c>
      <c r="B57" s="15">
        <v>0</v>
      </c>
      <c r="C57" s="15">
        <v>120.33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 t="s">
        <v>75</v>
      </c>
      <c r="O57" t="s">
        <v>75</v>
      </c>
    </row>
    <row r="58" spans="1:15" x14ac:dyDescent="0.25">
      <c r="A58" s="10" t="s">
        <v>900</v>
      </c>
      <c r="B58" s="15">
        <v>850.6</v>
      </c>
      <c r="C58" s="15">
        <v>0</v>
      </c>
      <c r="D58" s="15">
        <v>0</v>
      </c>
      <c r="E58" s="15">
        <v>0</v>
      </c>
      <c r="F58" s="15">
        <v>89.03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 t="s">
        <v>75</v>
      </c>
      <c r="O58" t="s">
        <v>75</v>
      </c>
    </row>
    <row r="59" spans="1:15" x14ac:dyDescent="0.25">
      <c r="A59" s="10" t="s">
        <v>902</v>
      </c>
      <c r="B59" s="15">
        <v>850.6</v>
      </c>
      <c r="C59" s="15">
        <v>0</v>
      </c>
      <c r="D59" s="15">
        <v>0</v>
      </c>
      <c r="E59" s="15">
        <v>0</v>
      </c>
      <c r="F59" s="15">
        <v>89.03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 t="s">
        <v>75</v>
      </c>
      <c r="O59" t="s">
        <v>75</v>
      </c>
    </row>
    <row r="60" spans="1:15" x14ac:dyDescent="0.25">
      <c r="A60" s="10" t="s">
        <v>908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939.63</v>
      </c>
      <c r="M60" s="15">
        <v>0</v>
      </c>
      <c r="N60" s="15" t="s">
        <v>75</v>
      </c>
      <c r="O60" t="s">
        <v>75</v>
      </c>
    </row>
    <row r="61" spans="1:15" x14ac:dyDescent="0.25">
      <c r="A61" s="10" t="s">
        <v>922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939.63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 t="s">
        <v>75</v>
      </c>
      <c r="O61" t="s">
        <v>75</v>
      </c>
    </row>
    <row r="62" spans="1:15" x14ac:dyDescent="0.25">
      <c r="A62" s="10" t="s">
        <v>926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939.63</v>
      </c>
      <c r="L62" s="15">
        <v>0</v>
      </c>
      <c r="M62" s="15">
        <v>0</v>
      </c>
      <c r="N62" s="15" t="s">
        <v>75</v>
      </c>
      <c r="O62" t="s">
        <v>75</v>
      </c>
    </row>
    <row r="63" spans="1:15" x14ac:dyDescent="0.25">
      <c r="A63" s="10" t="s">
        <v>930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939.63</v>
      </c>
      <c r="M63" s="15">
        <v>0</v>
      </c>
      <c r="N63" s="15" t="s">
        <v>75</v>
      </c>
      <c r="O63" t="s">
        <v>75</v>
      </c>
    </row>
    <row r="64" spans="1:15" x14ac:dyDescent="0.25">
      <c r="A64" s="10" t="s">
        <v>932</v>
      </c>
      <c r="B64" s="15">
        <v>1552.25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 t="s">
        <v>75</v>
      </c>
      <c r="O64" t="s">
        <v>75</v>
      </c>
    </row>
    <row r="65" spans="1:15" x14ac:dyDescent="0.25">
      <c r="A65" s="10" t="s">
        <v>940</v>
      </c>
      <c r="B65" s="15">
        <v>0</v>
      </c>
      <c r="C65" s="15">
        <v>0</v>
      </c>
      <c r="D65" s="15">
        <v>0</v>
      </c>
      <c r="E65" s="15">
        <v>893.72</v>
      </c>
      <c r="F65" s="15">
        <v>45.91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 t="s">
        <v>75</v>
      </c>
      <c r="O65" t="s">
        <v>75</v>
      </c>
    </row>
    <row r="66" spans="1:15" x14ac:dyDescent="0.25">
      <c r="A66" s="10" t="s">
        <v>944</v>
      </c>
      <c r="B66" s="15">
        <v>0</v>
      </c>
      <c r="C66" s="15">
        <v>0</v>
      </c>
      <c r="D66" s="15">
        <v>0</v>
      </c>
      <c r="E66" s="15">
        <v>893.72</v>
      </c>
      <c r="F66" s="15">
        <v>45.91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 t="s">
        <v>75</v>
      </c>
      <c r="O66" t="s">
        <v>75</v>
      </c>
    </row>
    <row r="67" spans="1:15" x14ac:dyDescent="0.25">
      <c r="A67" s="10" t="s">
        <v>948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512.53</v>
      </c>
      <c r="M67" s="15">
        <v>0</v>
      </c>
      <c r="N67" s="15" t="s">
        <v>75</v>
      </c>
      <c r="O67" t="s">
        <v>75</v>
      </c>
    </row>
    <row r="68" spans="1:15" x14ac:dyDescent="0.25">
      <c r="A68" s="10" t="s">
        <v>950</v>
      </c>
      <c r="B68" s="15">
        <v>0</v>
      </c>
      <c r="C68" s="15">
        <v>0</v>
      </c>
      <c r="D68" s="15">
        <v>0</v>
      </c>
      <c r="E68" s="15">
        <v>0</v>
      </c>
      <c r="F68" s="15">
        <v>939.63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 t="s">
        <v>75</v>
      </c>
      <c r="O68" t="s">
        <v>75</v>
      </c>
    </row>
    <row r="69" spans="1:15" x14ac:dyDescent="0.25">
      <c r="A69" s="10" t="s">
        <v>952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170.84</v>
      </c>
      <c r="N69" s="15" t="s">
        <v>75</v>
      </c>
      <c r="O69" t="s">
        <v>75</v>
      </c>
    </row>
    <row r="70" spans="1:15" x14ac:dyDescent="0.25">
      <c r="A70" s="10" t="s">
        <v>954</v>
      </c>
      <c r="B70" s="15">
        <v>0</v>
      </c>
      <c r="C70" s="15">
        <v>0</v>
      </c>
      <c r="D70" s="15">
        <v>0</v>
      </c>
      <c r="E70" s="15">
        <v>893.72</v>
      </c>
      <c r="F70" s="15">
        <v>45.91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 t="s">
        <v>75</v>
      </c>
      <c r="O70" t="s">
        <v>75</v>
      </c>
    </row>
    <row r="71" spans="1:15" x14ac:dyDescent="0.25">
      <c r="A71" s="10" t="s">
        <v>956</v>
      </c>
      <c r="B71" s="15">
        <v>0</v>
      </c>
      <c r="C71" s="15">
        <v>0</v>
      </c>
      <c r="D71" s="15">
        <v>0</v>
      </c>
      <c r="E71" s="15">
        <v>0</v>
      </c>
      <c r="F71" s="15">
        <v>162.49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 t="s">
        <v>75</v>
      </c>
      <c r="O71" t="s">
        <v>75</v>
      </c>
    </row>
    <row r="72" spans="1:15" x14ac:dyDescent="0.25">
      <c r="A72" s="10" t="s">
        <v>972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3010.44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 t="s">
        <v>75</v>
      </c>
      <c r="O72" t="s">
        <v>75</v>
      </c>
    </row>
    <row r="73" spans="1:15" x14ac:dyDescent="0.25">
      <c r="A73" s="10" t="s">
        <v>980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8860.32</v>
      </c>
      <c r="K73" s="15">
        <v>0</v>
      </c>
      <c r="L73" s="15">
        <v>0</v>
      </c>
      <c r="M73" s="15">
        <v>0</v>
      </c>
      <c r="N73" s="15" t="s">
        <v>75</v>
      </c>
      <c r="O73" t="s">
        <v>75</v>
      </c>
    </row>
    <row r="74" spans="1:15" x14ac:dyDescent="0.25">
      <c r="A74" s="10" t="s">
        <v>994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11843.88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 t="s">
        <v>75</v>
      </c>
      <c r="O74" t="s">
        <v>75</v>
      </c>
    </row>
    <row r="75" spans="1:15" x14ac:dyDescent="0.25">
      <c r="A75" s="10" t="s">
        <v>1003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2225.61</v>
      </c>
      <c r="J75" s="15">
        <v>0</v>
      </c>
      <c r="K75" s="15">
        <v>0</v>
      </c>
      <c r="L75" s="15">
        <v>0</v>
      </c>
      <c r="M75" s="15">
        <v>0</v>
      </c>
      <c r="N75" s="15" t="s">
        <v>75</v>
      </c>
      <c r="O75" t="s">
        <v>75</v>
      </c>
    </row>
    <row r="76" spans="1:15" x14ac:dyDescent="0.25">
      <c r="A76" s="10" t="s">
        <v>1013</v>
      </c>
      <c r="B76" s="15">
        <v>0</v>
      </c>
      <c r="C76" s="15">
        <v>0</v>
      </c>
      <c r="D76" s="15">
        <v>32965.17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 t="s">
        <v>75</v>
      </c>
      <c r="O76" t="s">
        <v>75</v>
      </c>
    </row>
    <row r="77" spans="1:15" x14ac:dyDescent="0.25">
      <c r="A77" s="10" t="s">
        <v>1107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739.84</v>
      </c>
      <c r="N77" s="15" t="s">
        <v>75</v>
      </c>
      <c r="O77" t="s">
        <v>75</v>
      </c>
    </row>
    <row r="78" spans="1:15" x14ac:dyDescent="0.25">
      <c r="A78" s="10" t="s">
        <v>1109</v>
      </c>
      <c r="B78" s="15">
        <v>0</v>
      </c>
      <c r="C78" s="15">
        <v>0</v>
      </c>
      <c r="D78" s="15">
        <v>921.31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 t="s">
        <v>75</v>
      </c>
      <c r="O78" t="s">
        <v>75</v>
      </c>
    </row>
    <row r="79" spans="1:15" x14ac:dyDescent="0.25">
      <c r="A79" s="10" t="s">
        <v>1113</v>
      </c>
      <c r="B79" s="15">
        <v>0</v>
      </c>
      <c r="C79" s="15">
        <v>918.2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 t="s">
        <v>75</v>
      </c>
      <c r="O79" t="s">
        <v>75</v>
      </c>
    </row>
    <row r="80" spans="1:15" x14ac:dyDescent="0.25">
      <c r="A80" s="10" t="s">
        <v>1117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4738.8100000000004</v>
      </c>
      <c r="N80" s="15" t="s">
        <v>75</v>
      </c>
      <c r="O80" t="s">
        <v>75</v>
      </c>
    </row>
    <row r="81" spans="1:15" x14ac:dyDescent="0.25">
      <c r="A81" s="10" t="s">
        <v>1162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2147.31</v>
      </c>
      <c r="M81" s="15">
        <v>0</v>
      </c>
      <c r="N81" s="15" t="s">
        <v>75</v>
      </c>
      <c r="O81" t="s">
        <v>75</v>
      </c>
    </row>
    <row r="82" spans="1:15" x14ac:dyDescent="0.25">
      <c r="A82" s="10" t="s">
        <v>1166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1091.1300000000001</v>
      </c>
      <c r="K82" s="15">
        <v>0</v>
      </c>
      <c r="L82" s="15">
        <v>0</v>
      </c>
      <c r="M82" s="15">
        <v>0</v>
      </c>
      <c r="N82" s="15" t="s">
        <v>75</v>
      </c>
      <c r="O82" t="s">
        <v>75</v>
      </c>
    </row>
    <row r="83" spans="1:15" x14ac:dyDescent="0.25">
      <c r="A83" s="10" t="s">
        <v>1196</v>
      </c>
      <c r="B83" s="15">
        <v>0</v>
      </c>
      <c r="C83" s="15">
        <v>0</v>
      </c>
      <c r="D83" s="15">
        <v>0</v>
      </c>
      <c r="E83" s="15">
        <v>0</v>
      </c>
      <c r="F83" s="15">
        <v>1474.09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 t="s">
        <v>75</v>
      </c>
      <c r="O83" t="s">
        <v>75</v>
      </c>
    </row>
    <row r="84" spans="1:15" x14ac:dyDescent="0.25">
      <c r="A84" s="10" t="s">
        <v>1198</v>
      </c>
      <c r="B84" s="15">
        <v>0</v>
      </c>
      <c r="C84" s="15">
        <v>0</v>
      </c>
      <c r="D84" s="15">
        <v>208.2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 t="s">
        <v>75</v>
      </c>
      <c r="O84" t="s">
        <v>75</v>
      </c>
    </row>
    <row r="85" spans="1:15" x14ac:dyDescent="0.25">
      <c r="A85" s="10" t="s">
        <v>1202</v>
      </c>
      <c r="B85" s="15">
        <v>0</v>
      </c>
      <c r="C85" s="15">
        <v>0</v>
      </c>
      <c r="D85" s="15">
        <v>0</v>
      </c>
      <c r="E85" s="15">
        <v>8686.94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 t="s">
        <v>75</v>
      </c>
      <c r="O85" t="s">
        <v>75</v>
      </c>
    </row>
    <row r="86" spans="1:15" x14ac:dyDescent="0.25">
      <c r="A86" s="10" t="s">
        <v>1224</v>
      </c>
      <c r="B86" s="15">
        <v>0</v>
      </c>
      <c r="C86" s="15">
        <v>0</v>
      </c>
      <c r="D86" s="15">
        <v>2746.04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 t="s">
        <v>75</v>
      </c>
      <c r="O86" t="s">
        <v>75</v>
      </c>
    </row>
    <row r="87" spans="1:15" x14ac:dyDescent="0.25">
      <c r="A87" s="10" t="s">
        <v>1228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1874.29</v>
      </c>
      <c r="M87" s="15">
        <v>0</v>
      </c>
      <c r="N87" s="15" t="s">
        <v>75</v>
      </c>
      <c r="O87" t="s">
        <v>75</v>
      </c>
    </row>
    <row r="88" spans="1:15" x14ac:dyDescent="0.25">
      <c r="A88" s="10" t="s">
        <v>1254</v>
      </c>
      <c r="B88" s="15">
        <v>0</v>
      </c>
      <c r="C88" s="15">
        <v>0</v>
      </c>
      <c r="D88" s="15">
        <v>0</v>
      </c>
      <c r="E88" s="15">
        <v>7194.14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 t="s">
        <v>75</v>
      </c>
      <c r="O88" t="s">
        <v>75</v>
      </c>
    </row>
    <row r="89" spans="1:15" x14ac:dyDescent="0.25">
      <c r="A89" s="10" t="s">
        <v>1272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843.05</v>
      </c>
      <c r="L89" s="15">
        <v>0</v>
      </c>
      <c r="M89" s="15">
        <v>0</v>
      </c>
      <c r="N89" s="15" t="s">
        <v>75</v>
      </c>
      <c r="O89" t="s">
        <v>75</v>
      </c>
    </row>
    <row r="90" spans="1:15" x14ac:dyDescent="0.25">
      <c r="A90" s="10" t="s">
        <v>1348</v>
      </c>
      <c r="B90" s="15">
        <v>1816.68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 t="s">
        <v>75</v>
      </c>
      <c r="O90" t="s">
        <v>75</v>
      </c>
    </row>
    <row r="91" spans="1:15" x14ac:dyDescent="0.25">
      <c r="A91" s="10" t="s">
        <v>1356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6847.17</v>
      </c>
      <c r="L91" s="15">
        <v>0</v>
      </c>
      <c r="M91" s="15">
        <v>0</v>
      </c>
      <c r="N91" s="15" t="s">
        <v>75</v>
      </c>
      <c r="O91" t="s">
        <v>75</v>
      </c>
    </row>
    <row r="92" spans="1:15" x14ac:dyDescent="0.25">
      <c r="A92" s="10" t="s">
        <v>1370</v>
      </c>
      <c r="B92" s="15">
        <v>0</v>
      </c>
      <c r="C92" s="15">
        <v>0</v>
      </c>
      <c r="D92" s="15">
        <v>23102.13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 t="s">
        <v>75</v>
      </c>
      <c r="O92" t="s">
        <v>75</v>
      </c>
    </row>
    <row r="93" spans="1:15" x14ac:dyDescent="0.25">
      <c r="A93" s="10" t="s">
        <v>1416</v>
      </c>
      <c r="B93" s="15">
        <v>0</v>
      </c>
      <c r="C93" s="15">
        <v>0</v>
      </c>
      <c r="D93" s="15">
        <v>2706.68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 t="s">
        <v>75</v>
      </c>
      <c r="O93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O40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155777,04</v>
      </c>
      <c r="C2" s="14" t="str">
        <f>CONCATENATE("FEVEREIRO",CHAR(10),"TOTAL: ",ROUND(SUM(C3:C1048576),2))</f>
        <v>FEVEREIRO
TOTAL: 191660,38</v>
      </c>
      <c r="D2" s="14" t="str">
        <f>CONCATENATE("MARÇO",CHAR(10),"TOTAL: ",ROUND(SUM(D3:D1048576),2))</f>
        <v>MARÇO
TOTAL: 181669,09</v>
      </c>
      <c r="E2" s="14" t="str">
        <f>CONCATENATE("ABRIL",CHAR(10),"TOTAL: ",ROUND(SUM(E3:E1048576),2))</f>
        <v>ABRIL
TOTAL: 182810,32</v>
      </c>
      <c r="F2" s="14" t="str">
        <f>CONCATENATE("MAIO",CHAR(10),"TOTAL: ",ROUND(SUM(F3:F1048576),2))</f>
        <v>MAIO
TOTAL: 182531,49</v>
      </c>
      <c r="G2" s="14" t="str">
        <f>CONCATENATE("JUNHO",CHAR(10),"TOTAL: ",ROUND(SUM(G3:G1048576),2))</f>
        <v>JUNHO
TOTAL: 189788,64</v>
      </c>
      <c r="H2" s="14" t="str">
        <f>CONCATENATE("JULHO",CHAR(10),"TOTAL: ",ROUND(SUM(H3:H1048576),2))</f>
        <v>JULHO
TOTAL: 187253,51</v>
      </c>
      <c r="I2" s="14" t="str">
        <f>CONCATENATE("AGOSTO",CHAR(10),"TOTAL: ",ROUND(SUM(I3:I1048576),2))</f>
        <v>AGOSTO
TOTAL: 184913,1</v>
      </c>
      <c r="J2" s="14" t="str">
        <f>CONCATENATE("SETEMBRO",CHAR(10),"TOTAL: ",ROUND(SUM(J3:J1048576),2))</f>
        <v>SETEMBRO
TOTAL: 173589,38</v>
      </c>
      <c r="K2" s="14" t="str">
        <f>CONCATENATE("OUTUBRO",CHAR(10),"TOTAL: ",ROUND(SUM(K3:K1048576),2))</f>
        <v>OUTUBRO
TOTAL: 184265,49</v>
      </c>
      <c r="L2" s="14" t="str">
        <f>CONCATENATE("NOVEMBRO",CHAR(10),"TOTAL: ",ROUND(SUM(L3:L1048576),2))</f>
        <v>NOVEMBRO
TOTAL: 185152,94</v>
      </c>
      <c r="M2" s="14" t="str">
        <f>CONCATENATE("DEZEMBRO",CHAR(10),"TOTAL: ",ROUND(SUM(M3:M1048576),2))</f>
        <v>DEZEMBRO
TOTAL: 206390,63</v>
      </c>
      <c r="N2" s="14" t="str">
        <f>CONCATENATE("DEC. TERCEIRO",CHAR(10),"TOTAL: ",ROUND(SUM(N3:N1048576),2))</f>
        <v>DEC. TERCEIRO
TOTAL: 179902,4</v>
      </c>
    </row>
    <row r="3" spans="1:15" x14ac:dyDescent="0.25">
      <c r="A3" s="10" t="s">
        <v>95</v>
      </c>
      <c r="B3" s="15">
        <v>135.57</v>
      </c>
      <c r="C3" s="15">
        <v>50.06</v>
      </c>
      <c r="D3" s="15">
        <v>178.07</v>
      </c>
      <c r="E3" s="15">
        <v>178.07</v>
      </c>
      <c r="F3" s="15">
        <v>178.07</v>
      </c>
      <c r="G3" s="15">
        <v>178.07</v>
      </c>
      <c r="H3" s="15">
        <v>178.07</v>
      </c>
      <c r="I3" s="15">
        <v>178.07</v>
      </c>
      <c r="J3" s="15">
        <v>10.17</v>
      </c>
      <c r="K3" s="15">
        <v>178.07</v>
      </c>
      <c r="L3" s="15">
        <v>178.07</v>
      </c>
      <c r="M3" s="15">
        <v>255.72</v>
      </c>
      <c r="N3" s="15">
        <v>182.44</v>
      </c>
      <c r="O3" t="s">
        <v>75</v>
      </c>
    </row>
    <row r="4" spans="1:15" x14ac:dyDescent="0.25">
      <c r="A4" s="10" t="s">
        <v>99</v>
      </c>
      <c r="B4" s="15">
        <v>1432.48</v>
      </c>
      <c r="C4" s="15">
        <v>1433.81</v>
      </c>
      <c r="D4" s="15">
        <v>1384</v>
      </c>
      <c r="E4" s="15">
        <v>1433.81</v>
      </c>
      <c r="F4" s="15">
        <v>1433.81</v>
      </c>
      <c r="G4" s="15">
        <v>1604.74</v>
      </c>
      <c r="H4" s="15">
        <v>688.53</v>
      </c>
      <c r="I4" s="15">
        <v>1433.81</v>
      </c>
      <c r="J4" s="15">
        <v>1433.81</v>
      </c>
      <c r="K4" s="15">
        <v>1925.92</v>
      </c>
      <c r="L4" s="15">
        <v>0</v>
      </c>
      <c r="M4" s="15">
        <v>0</v>
      </c>
      <c r="N4" s="15">
        <v>1471.57</v>
      </c>
      <c r="O4" t="s">
        <v>75</v>
      </c>
    </row>
    <row r="5" spans="1:15" x14ac:dyDescent="0.25">
      <c r="A5" s="10" t="s">
        <v>104</v>
      </c>
      <c r="B5" s="15">
        <v>0</v>
      </c>
      <c r="C5" s="15">
        <v>29.66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t="s">
        <v>75</v>
      </c>
    </row>
    <row r="6" spans="1:15" x14ac:dyDescent="0.25">
      <c r="A6" s="10" t="s">
        <v>108</v>
      </c>
      <c r="B6" s="15">
        <v>56.41</v>
      </c>
      <c r="C6" s="15">
        <v>90.97</v>
      </c>
      <c r="D6" s="15">
        <v>295.13</v>
      </c>
      <c r="E6" s="15">
        <v>72.23</v>
      </c>
      <c r="F6" s="15">
        <v>0</v>
      </c>
      <c r="G6" s="15">
        <v>46.16</v>
      </c>
      <c r="H6" s="15">
        <v>97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t="s">
        <v>75</v>
      </c>
    </row>
    <row r="7" spans="1:15" x14ac:dyDescent="0.25">
      <c r="A7" s="10" t="s">
        <v>110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40.56</v>
      </c>
      <c r="L7" s="15">
        <v>0</v>
      </c>
      <c r="M7" s="15">
        <v>0</v>
      </c>
      <c r="N7" s="15">
        <v>0</v>
      </c>
      <c r="O7" t="s">
        <v>75</v>
      </c>
    </row>
    <row r="8" spans="1:15" x14ac:dyDescent="0.25">
      <c r="A8" s="10" t="s">
        <v>112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1347.73</v>
      </c>
      <c r="N8" s="15">
        <v>0</v>
      </c>
      <c r="O8" t="s">
        <v>75</v>
      </c>
    </row>
    <row r="9" spans="1:15" x14ac:dyDescent="0.25">
      <c r="A9" s="10" t="s">
        <v>119</v>
      </c>
      <c r="B9" s="15">
        <v>0</v>
      </c>
      <c r="C9" s="15">
        <v>1017.66</v>
      </c>
      <c r="D9" s="15">
        <v>1396.18</v>
      </c>
      <c r="E9" s="15">
        <v>1258.03</v>
      </c>
      <c r="F9" s="15">
        <v>1700.11</v>
      </c>
      <c r="G9" s="15">
        <v>1865.82</v>
      </c>
      <c r="H9" s="15">
        <v>1669.54</v>
      </c>
      <c r="I9" s="15">
        <v>1646.07</v>
      </c>
      <c r="J9" s="15">
        <v>1674.42</v>
      </c>
      <c r="K9" s="15">
        <v>1505.39</v>
      </c>
      <c r="L9" s="15">
        <v>1772.81</v>
      </c>
      <c r="M9" s="15">
        <v>1707.77</v>
      </c>
      <c r="N9" s="15">
        <v>1636.62</v>
      </c>
      <c r="O9" t="s">
        <v>75</v>
      </c>
    </row>
    <row r="10" spans="1:15" x14ac:dyDescent="0.25">
      <c r="A10" s="10" t="s">
        <v>121</v>
      </c>
      <c r="B10" s="15">
        <v>634.53</v>
      </c>
      <c r="C10" s="15">
        <v>1019.07</v>
      </c>
      <c r="D10" s="15">
        <v>715.14</v>
      </c>
      <c r="E10" s="15">
        <v>756.95</v>
      </c>
      <c r="F10" s="15">
        <v>756.95</v>
      </c>
      <c r="G10" s="15">
        <v>756.95</v>
      </c>
      <c r="H10" s="15">
        <v>805.4</v>
      </c>
      <c r="I10" s="15">
        <v>756.95</v>
      </c>
      <c r="J10" s="15">
        <v>297.37</v>
      </c>
      <c r="K10" s="15">
        <v>249.22</v>
      </c>
      <c r="L10" s="15">
        <v>756.95</v>
      </c>
      <c r="M10" s="15">
        <v>756.95</v>
      </c>
      <c r="N10" s="15">
        <v>784.25</v>
      </c>
      <c r="O10" t="s">
        <v>75</v>
      </c>
    </row>
    <row r="11" spans="1:15" x14ac:dyDescent="0.25">
      <c r="A11" s="10" t="s">
        <v>123</v>
      </c>
      <c r="B11" s="15">
        <v>1142.47</v>
      </c>
      <c r="C11" s="15">
        <v>1531.58</v>
      </c>
      <c r="D11" s="15">
        <v>911.53</v>
      </c>
      <c r="E11" s="15">
        <v>1263.3</v>
      </c>
      <c r="F11" s="15">
        <v>1263.3</v>
      </c>
      <c r="G11" s="15">
        <v>1263.3</v>
      </c>
      <c r="H11" s="15">
        <v>2280.63</v>
      </c>
      <c r="I11" s="15">
        <v>1263.3</v>
      </c>
      <c r="J11" s="15">
        <v>58.44</v>
      </c>
      <c r="K11" s="15">
        <v>1263.3</v>
      </c>
      <c r="L11" s="15">
        <v>1263.3</v>
      </c>
      <c r="M11" s="15">
        <v>1413.29</v>
      </c>
      <c r="N11" s="15">
        <v>1263.3</v>
      </c>
      <c r="O11" t="s">
        <v>75</v>
      </c>
    </row>
    <row r="12" spans="1:15" x14ac:dyDescent="0.25">
      <c r="A12" s="10" t="s">
        <v>125</v>
      </c>
      <c r="B12" s="15">
        <v>0</v>
      </c>
      <c r="C12" s="15">
        <v>430.19</v>
      </c>
      <c r="D12" s="15">
        <v>338.71</v>
      </c>
      <c r="E12" s="15">
        <v>563.51</v>
      </c>
      <c r="F12" s="15">
        <v>427.16</v>
      </c>
      <c r="G12" s="15">
        <v>368.87</v>
      </c>
      <c r="H12" s="15">
        <v>368.87</v>
      </c>
      <c r="I12" s="15">
        <v>368.87</v>
      </c>
      <c r="J12" s="15">
        <v>368.87</v>
      </c>
      <c r="K12" s="15">
        <v>368.87</v>
      </c>
      <c r="L12" s="15">
        <v>368.87</v>
      </c>
      <c r="M12" s="15">
        <v>368.87</v>
      </c>
      <c r="N12" s="15">
        <v>392.32</v>
      </c>
      <c r="O12" t="s">
        <v>75</v>
      </c>
    </row>
    <row r="13" spans="1:15" x14ac:dyDescent="0.25">
      <c r="A13" s="10" t="s">
        <v>127</v>
      </c>
      <c r="B13" s="15">
        <v>686.95</v>
      </c>
      <c r="C13" s="15">
        <v>1297.47</v>
      </c>
      <c r="D13" s="15">
        <v>409.38</v>
      </c>
      <c r="E13" s="15">
        <v>193.61</v>
      </c>
      <c r="F13" s="15">
        <v>460.97</v>
      </c>
      <c r="G13" s="15">
        <v>450.87</v>
      </c>
      <c r="H13" s="15">
        <v>450.87</v>
      </c>
      <c r="I13" s="15">
        <v>1604.74</v>
      </c>
      <c r="J13" s="15">
        <v>0</v>
      </c>
      <c r="K13" s="15">
        <v>0</v>
      </c>
      <c r="L13" s="15">
        <v>0</v>
      </c>
      <c r="M13" s="15">
        <v>0</v>
      </c>
      <c r="N13" s="15">
        <v>230.17</v>
      </c>
      <c r="O13" t="s">
        <v>75</v>
      </c>
    </row>
    <row r="14" spans="1:15" x14ac:dyDescent="0.25">
      <c r="A14" s="10" t="s">
        <v>129</v>
      </c>
      <c r="B14" s="15">
        <v>1219.99</v>
      </c>
      <c r="C14" s="15">
        <v>1392.78</v>
      </c>
      <c r="D14" s="15">
        <v>1392.78</v>
      </c>
      <c r="E14" s="15">
        <v>1392.78</v>
      </c>
      <c r="F14" s="15">
        <v>1120.8399999999999</v>
      </c>
      <c r="G14" s="15">
        <v>1433.76</v>
      </c>
      <c r="H14" s="15">
        <v>540.83000000000004</v>
      </c>
      <c r="I14" s="15">
        <v>1392.78</v>
      </c>
      <c r="J14" s="15">
        <v>1392.78</v>
      </c>
      <c r="K14" s="15">
        <v>1392.78</v>
      </c>
      <c r="L14" s="15">
        <v>1392.78</v>
      </c>
      <c r="M14" s="15">
        <v>1392.78</v>
      </c>
      <c r="N14" s="15">
        <v>1188.83</v>
      </c>
      <c r="O14" t="s">
        <v>75</v>
      </c>
    </row>
    <row r="15" spans="1:15" x14ac:dyDescent="0.25">
      <c r="A15" s="10" t="s">
        <v>131</v>
      </c>
      <c r="B15" s="15">
        <v>360.83</v>
      </c>
      <c r="C15" s="15">
        <v>407.67</v>
      </c>
      <c r="D15" s="15">
        <v>429.31</v>
      </c>
      <c r="E15" s="15">
        <v>373.85</v>
      </c>
      <c r="F15" s="15">
        <v>453.02</v>
      </c>
      <c r="G15" s="15">
        <v>429.5</v>
      </c>
      <c r="H15" s="15">
        <v>160.43</v>
      </c>
      <c r="I15" s="15">
        <v>376.99</v>
      </c>
      <c r="J15" s="15">
        <v>407.67</v>
      </c>
      <c r="K15" s="15">
        <v>407.67</v>
      </c>
      <c r="L15" s="15">
        <v>407.67</v>
      </c>
      <c r="M15" s="15">
        <v>407.67</v>
      </c>
      <c r="N15" s="15">
        <v>413.25</v>
      </c>
      <c r="O15" t="s">
        <v>75</v>
      </c>
    </row>
    <row r="16" spans="1:15" x14ac:dyDescent="0.25">
      <c r="A16" s="10" t="s">
        <v>135</v>
      </c>
      <c r="B16" s="15">
        <v>0</v>
      </c>
      <c r="C16" s="15">
        <v>35.21</v>
      </c>
      <c r="D16" s="15">
        <v>35.6</v>
      </c>
      <c r="E16" s="15">
        <v>35.6</v>
      </c>
      <c r="F16" s="15">
        <v>35.6</v>
      </c>
      <c r="G16" s="15">
        <v>315.36</v>
      </c>
      <c r="H16" s="15">
        <v>0</v>
      </c>
      <c r="I16" s="15">
        <v>35.5</v>
      </c>
      <c r="J16" s="15">
        <v>315.36</v>
      </c>
      <c r="K16" s="15">
        <v>35.6</v>
      </c>
      <c r="L16" s="15">
        <v>35.6</v>
      </c>
      <c r="M16" s="15">
        <v>35.6</v>
      </c>
      <c r="N16" s="15">
        <v>58.73</v>
      </c>
      <c r="O16" t="s">
        <v>75</v>
      </c>
    </row>
    <row r="17" spans="1:15" x14ac:dyDescent="0.25">
      <c r="A17" s="10" t="s">
        <v>137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46.33</v>
      </c>
      <c r="L17" s="15">
        <v>0</v>
      </c>
      <c r="M17" s="15">
        <v>0</v>
      </c>
      <c r="N17" s="15">
        <v>0</v>
      </c>
      <c r="O17" t="s">
        <v>75</v>
      </c>
    </row>
    <row r="18" spans="1:15" x14ac:dyDescent="0.25">
      <c r="A18" s="10" t="s">
        <v>139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16.89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t="s">
        <v>75</v>
      </c>
    </row>
    <row r="19" spans="1:15" x14ac:dyDescent="0.25">
      <c r="A19" s="10" t="s">
        <v>141</v>
      </c>
      <c r="B19" s="15">
        <v>0</v>
      </c>
      <c r="C19" s="15">
        <v>0</v>
      </c>
      <c r="D19" s="15">
        <v>0</v>
      </c>
      <c r="E19" s="15">
        <v>0</v>
      </c>
      <c r="F19" s="15">
        <v>15.94</v>
      </c>
      <c r="G19" s="15">
        <v>0</v>
      </c>
      <c r="H19" s="15">
        <v>30.58</v>
      </c>
      <c r="I19" s="15">
        <v>30.58</v>
      </c>
      <c r="J19" s="15">
        <v>30.58</v>
      </c>
      <c r="K19" s="15">
        <v>30.58</v>
      </c>
      <c r="L19" s="15">
        <v>30.58</v>
      </c>
      <c r="M19" s="15">
        <v>30.58</v>
      </c>
      <c r="N19" s="15">
        <v>0</v>
      </c>
      <c r="O19" t="s">
        <v>75</v>
      </c>
    </row>
    <row r="20" spans="1:15" x14ac:dyDescent="0.25">
      <c r="A20" s="10" t="s">
        <v>143</v>
      </c>
      <c r="B20" s="15">
        <v>3922.3</v>
      </c>
      <c r="C20" s="15">
        <v>4287.57</v>
      </c>
      <c r="D20" s="15">
        <v>4287.57</v>
      </c>
      <c r="E20" s="15">
        <v>4287.57</v>
      </c>
      <c r="F20" s="15">
        <v>4287.57</v>
      </c>
      <c r="G20" s="15">
        <v>7934.05</v>
      </c>
      <c r="H20" s="15">
        <v>4287.57</v>
      </c>
      <c r="I20" s="15">
        <v>2496.34</v>
      </c>
      <c r="J20" s="15">
        <v>4287.57</v>
      </c>
      <c r="K20" s="15">
        <v>4287.57</v>
      </c>
      <c r="L20" s="15">
        <v>4287.57</v>
      </c>
      <c r="M20" s="15">
        <v>4287.57</v>
      </c>
      <c r="N20" s="15">
        <v>4287.57</v>
      </c>
      <c r="O20" t="s">
        <v>75</v>
      </c>
    </row>
    <row r="21" spans="1:15" x14ac:dyDescent="0.25">
      <c r="A21" s="10" t="s">
        <v>145</v>
      </c>
      <c r="B21" s="15">
        <v>0</v>
      </c>
      <c r="C21" s="15">
        <v>10.1</v>
      </c>
      <c r="D21" s="15">
        <v>0</v>
      </c>
      <c r="E21" s="15">
        <v>0</v>
      </c>
      <c r="F21" s="15">
        <v>27.49</v>
      </c>
      <c r="G21" s="15">
        <v>18.12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O21" t="s">
        <v>75</v>
      </c>
    </row>
    <row r="22" spans="1:15" x14ac:dyDescent="0.25">
      <c r="A22" s="10" t="s">
        <v>147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32.380000000000003</v>
      </c>
      <c r="K22" s="15">
        <v>0</v>
      </c>
      <c r="L22" s="15">
        <v>0</v>
      </c>
      <c r="M22" s="15">
        <v>0</v>
      </c>
      <c r="N22" s="15">
        <v>0</v>
      </c>
      <c r="O22" t="s">
        <v>75</v>
      </c>
    </row>
    <row r="23" spans="1:15" x14ac:dyDescent="0.25">
      <c r="A23" s="10" t="s">
        <v>151</v>
      </c>
      <c r="B23" s="15">
        <v>0</v>
      </c>
      <c r="C23" s="15">
        <v>56.58</v>
      </c>
      <c r="D23" s="15">
        <v>27.33</v>
      </c>
      <c r="E23" s="15">
        <v>27.33</v>
      </c>
      <c r="F23" s="15">
        <v>27.33</v>
      </c>
      <c r="G23" s="15">
        <v>27.29</v>
      </c>
      <c r="H23" s="15">
        <v>27.33</v>
      </c>
      <c r="I23" s="15">
        <v>0</v>
      </c>
      <c r="J23" s="15">
        <v>27.33</v>
      </c>
      <c r="K23" s="15">
        <v>27.33</v>
      </c>
      <c r="L23" s="15">
        <v>27.33</v>
      </c>
      <c r="M23" s="15">
        <v>27.33</v>
      </c>
      <c r="N23" s="15">
        <v>29.77</v>
      </c>
      <c r="O23" t="s">
        <v>75</v>
      </c>
    </row>
    <row r="24" spans="1:15" x14ac:dyDescent="0.25">
      <c r="A24" s="10" t="s">
        <v>155</v>
      </c>
      <c r="B24" s="15">
        <v>17.25</v>
      </c>
      <c r="C24" s="15">
        <v>10.46</v>
      </c>
      <c r="D24" s="15">
        <v>0</v>
      </c>
      <c r="E24" s="15">
        <v>10.46</v>
      </c>
      <c r="F24" s="15">
        <v>19.64</v>
      </c>
      <c r="G24" s="15">
        <v>19.010000000000002</v>
      </c>
      <c r="H24" s="15">
        <v>26.36</v>
      </c>
      <c r="I24" s="15">
        <v>0</v>
      </c>
      <c r="J24" s="15">
        <v>0</v>
      </c>
      <c r="K24" s="15">
        <v>44.4</v>
      </c>
      <c r="L24" s="15">
        <v>19.010000000000002</v>
      </c>
      <c r="M24" s="15">
        <v>24.9</v>
      </c>
      <c r="N24" s="15">
        <v>19.559999999999999</v>
      </c>
      <c r="O24" t="s">
        <v>75</v>
      </c>
    </row>
    <row r="25" spans="1:15" x14ac:dyDescent="0.25">
      <c r="A25" s="10" t="s">
        <v>157</v>
      </c>
      <c r="B25" s="15">
        <v>1085.04</v>
      </c>
      <c r="C25" s="15">
        <v>1223.3499999999999</v>
      </c>
      <c r="D25" s="15">
        <v>895.4</v>
      </c>
      <c r="E25" s="15">
        <v>895.4</v>
      </c>
      <c r="F25" s="15">
        <v>895.4</v>
      </c>
      <c r="G25" s="15">
        <v>1125.54</v>
      </c>
      <c r="H25" s="15">
        <v>2519.34</v>
      </c>
      <c r="I25" s="15">
        <v>895.4</v>
      </c>
      <c r="J25" s="15">
        <v>271.33</v>
      </c>
      <c r="K25" s="15">
        <v>0</v>
      </c>
      <c r="L25" s="15">
        <v>0</v>
      </c>
      <c r="M25" s="15">
        <v>0</v>
      </c>
      <c r="N25" s="15">
        <v>422.95</v>
      </c>
      <c r="O25" t="s">
        <v>75</v>
      </c>
    </row>
    <row r="26" spans="1:15" x14ac:dyDescent="0.25">
      <c r="A26" s="10" t="s">
        <v>167</v>
      </c>
      <c r="B26" s="15">
        <v>369.66</v>
      </c>
      <c r="C26" s="15">
        <v>1195.5899999999999</v>
      </c>
      <c r="D26" s="15">
        <v>426.34</v>
      </c>
      <c r="E26" s="15">
        <v>463.25</v>
      </c>
      <c r="F26" s="15">
        <v>491.7</v>
      </c>
      <c r="G26" s="15">
        <v>463.25</v>
      </c>
      <c r="H26" s="15">
        <v>131.83000000000001</v>
      </c>
      <c r="I26" s="15">
        <v>443.46</v>
      </c>
      <c r="J26" s="15">
        <v>463.25</v>
      </c>
      <c r="K26" s="15">
        <v>453.24</v>
      </c>
      <c r="L26" s="15">
        <v>463.25</v>
      </c>
      <c r="M26" s="15">
        <v>463.25</v>
      </c>
      <c r="N26" s="15">
        <v>524.28</v>
      </c>
      <c r="O26" t="s">
        <v>75</v>
      </c>
    </row>
    <row r="27" spans="1:15" x14ac:dyDescent="0.25">
      <c r="A27" s="10" t="s">
        <v>169</v>
      </c>
      <c r="B27" s="15">
        <v>0</v>
      </c>
      <c r="C27" s="15">
        <v>12.59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t="s">
        <v>75</v>
      </c>
    </row>
    <row r="28" spans="1:15" x14ac:dyDescent="0.25">
      <c r="A28" s="10" t="s">
        <v>173</v>
      </c>
      <c r="B28" s="15">
        <v>0</v>
      </c>
      <c r="C28" s="15">
        <v>21.41</v>
      </c>
      <c r="D28" s="15">
        <v>0</v>
      </c>
      <c r="E28" s="15">
        <v>0</v>
      </c>
      <c r="F28" s="15">
        <v>34.64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t="s">
        <v>75</v>
      </c>
    </row>
    <row r="29" spans="1:15" x14ac:dyDescent="0.25">
      <c r="A29" s="10" t="s">
        <v>175</v>
      </c>
      <c r="B29" s="15">
        <v>394.13</v>
      </c>
      <c r="C29" s="15">
        <v>430.63</v>
      </c>
      <c r="D29" s="15">
        <v>396.71</v>
      </c>
      <c r="E29" s="15">
        <v>910.85</v>
      </c>
      <c r="F29" s="15">
        <v>1259.43</v>
      </c>
      <c r="G29" s="15">
        <v>109.26</v>
      </c>
      <c r="H29" s="15">
        <v>1093.67</v>
      </c>
      <c r="I29" s="15">
        <v>430.63</v>
      </c>
      <c r="J29" s="15">
        <v>430.63</v>
      </c>
      <c r="K29" s="15">
        <v>430.63</v>
      </c>
      <c r="L29" s="15">
        <v>430.63</v>
      </c>
      <c r="M29" s="15">
        <v>430.63</v>
      </c>
      <c r="N29" s="15">
        <v>602.24</v>
      </c>
      <c r="O29" t="s">
        <v>75</v>
      </c>
    </row>
    <row r="30" spans="1:15" x14ac:dyDescent="0.25">
      <c r="A30" s="10" t="s">
        <v>177</v>
      </c>
      <c r="B30" s="15">
        <v>575.01</v>
      </c>
      <c r="C30" s="15">
        <v>418.9</v>
      </c>
      <c r="D30" s="15">
        <v>373.24</v>
      </c>
      <c r="E30" s="15">
        <v>636.91</v>
      </c>
      <c r="F30" s="15">
        <v>636.91</v>
      </c>
      <c r="G30" s="15">
        <v>636.91</v>
      </c>
      <c r="H30" s="15">
        <v>665.78</v>
      </c>
      <c r="I30" s="15">
        <v>330.03</v>
      </c>
      <c r="J30" s="15">
        <v>416.54</v>
      </c>
      <c r="K30" s="15">
        <v>636.91</v>
      </c>
      <c r="L30" s="15">
        <v>636.91</v>
      </c>
      <c r="M30" s="15">
        <v>636.91</v>
      </c>
      <c r="N30" s="15">
        <v>636.91</v>
      </c>
      <c r="O30" t="s">
        <v>75</v>
      </c>
    </row>
    <row r="31" spans="1:15" x14ac:dyDescent="0.25">
      <c r="A31" s="10" t="s">
        <v>179</v>
      </c>
      <c r="B31" s="15">
        <v>12.82</v>
      </c>
      <c r="C31" s="15">
        <v>496.59</v>
      </c>
      <c r="D31" s="15">
        <v>25.12</v>
      </c>
      <c r="E31" s="15">
        <v>25.12</v>
      </c>
      <c r="F31" s="15">
        <v>25.12</v>
      </c>
      <c r="G31" s="15">
        <v>25.12</v>
      </c>
      <c r="H31" s="15">
        <v>25.12</v>
      </c>
      <c r="I31" s="15">
        <v>47.17</v>
      </c>
      <c r="J31" s="15">
        <v>25.12</v>
      </c>
      <c r="K31" s="15">
        <v>0</v>
      </c>
      <c r="L31" s="15">
        <v>25.12</v>
      </c>
      <c r="M31" s="15">
        <v>25.12</v>
      </c>
      <c r="N31" s="15">
        <v>41.79</v>
      </c>
      <c r="O31" t="s">
        <v>75</v>
      </c>
    </row>
    <row r="32" spans="1:15" x14ac:dyDescent="0.25">
      <c r="A32" s="10" t="s">
        <v>183</v>
      </c>
      <c r="B32" s="15">
        <v>45.62</v>
      </c>
      <c r="C32" s="15">
        <v>0</v>
      </c>
      <c r="D32" s="15">
        <v>0</v>
      </c>
      <c r="E32" s="15">
        <v>41.67</v>
      </c>
      <c r="F32" s="15">
        <v>42.21</v>
      </c>
      <c r="G32" s="15">
        <v>41.67</v>
      </c>
      <c r="H32" s="15">
        <v>41.67</v>
      </c>
      <c r="I32" s="15">
        <v>41.67</v>
      </c>
      <c r="J32" s="15">
        <v>41.67</v>
      </c>
      <c r="K32" s="15">
        <v>41.67</v>
      </c>
      <c r="L32" s="15">
        <v>41.67</v>
      </c>
      <c r="M32" s="15">
        <v>63.65</v>
      </c>
      <c r="N32" s="15">
        <v>41.72</v>
      </c>
      <c r="O32" t="s">
        <v>75</v>
      </c>
    </row>
    <row r="33" spans="1:15" x14ac:dyDescent="0.25">
      <c r="A33" s="10" t="s">
        <v>185</v>
      </c>
      <c r="B33" s="15">
        <v>16.690000000000001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t="s">
        <v>75</v>
      </c>
    </row>
    <row r="34" spans="1:15" x14ac:dyDescent="0.25">
      <c r="A34" s="10" t="s">
        <v>189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93.92</v>
      </c>
      <c r="K34" s="15">
        <v>0</v>
      </c>
      <c r="L34" s="15">
        <v>0</v>
      </c>
      <c r="M34" s="15">
        <v>0</v>
      </c>
      <c r="N34" s="15">
        <v>0</v>
      </c>
      <c r="O34" t="s">
        <v>75</v>
      </c>
    </row>
    <row r="35" spans="1:15" x14ac:dyDescent="0.25">
      <c r="A35" s="10" t="s">
        <v>191</v>
      </c>
      <c r="B35" s="15">
        <v>0</v>
      </c>
      <c r="C35" s="15">
        <v>0</v>
      </c>
      <c r="D35" s="15">
        <v>10.1</v>
      </c>
      <c r="E35" s="15">
        <v>10.1</v>
      </c>
      <c r="F35" s="15">
        <v>10.1</v>
      </c>
      <c r="G35" s="15">
        <v>10.1</v>
      </c>
      <c r="H35" s="15">
        <v>10.1</v>
      </c>
      <c r="I35" s="15">
        <v>10.1</v>
      </c>
      <c r="J35" s="15">
        <v>0</v>
      </c>
      <c r="K35" s="15">
        <v>10.1</v>
      </c>
      <c r="L35" s="15">
        <v>10.1</v>
      </c>
      <c r="M35" s="15">
        <v>10.1</v>
      </c>
      <c r="N35" s="15">
        <v>11.55</v>
      </c>
      <c r="O35" t="s">
        <v>75</v>
      </c>
    </row>
    <row r="36" spans="1:15" x14ac:dyDescent="0.25">
      <c r="A36" s="10" t="s">
        <v>193</v>
      </c>
      <c r="B36" s="15">
        <v>0</v>
      </c>
      <c r="C36" s="15">
        <v>27.17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t="s">
        <v>75</v>
      </c>
    </row>
    <row r="37" spans="1:15" x14ac:dyDescent="0.25">
      <c r="A37" s="10" t="s">
        <v>197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234.41</v>
      </c>
      <c r="L37" s="15">
        <v>0</v>
      </c>
      <c r="M37" s="15">
        <v>0</v>
      </c>
      <c r="N37" s="15">
        <v>0</v>
      </c>
      <c r="O37" t="s">
        <v>75</v>
      </c>
    </row>
    <row r="38" spans="1:15" x14ac:dyDescent="0.25">
      <c r="A38" s="10" t="s">
        <v>201</v>
      </c>
      <c r="B38" s="15">
        <v>284.29000000000002</v>
      </c>
      <c r="C38" s="15">
        <v>61.88</v>
      </c>
      <c r="D38" s="15">
        <v>389.09</v>
      </c>
      <c r="E38" s="15">
        <v>341.42</v>
      </c>
      <c r="F38" s="15">
        <v>315.52</v>
      </c>
      <c r="G38" s="15">
        <v>318.33</v>
      </c>
      <c r="H38" s="15">
        <v>341.42</v>
      </c>
      <c r="I38" s="15">
        <v>341.42</v>
      </c>
      <c r="J38" s="15">
        <v>341.42</v>
      </c>
      <c r="K38" s="15">
        <v>341.42</v>
      </c>
      <c r="L38" s="15">
        <v>570.04999999999995</v>
      </c>
      <c r="M38" s="15">
        <v>341.42</v>
      </c>
      <c r="N38" s="15">
        <v>345.39</v>
      </c>
      <c r="O38" t="s">
        <v>75</v>
      </c>
    </row>
    <row r="39" spans="1:15" x14ac:dyDescent="0.25">
      <c r="A39" s="10" t="s">
        <v>205</v>
      </c>
      <c r="B39" s="15">
        <v>0</v>
      </c>
      <c r="C39" s="15">
        <v>190.2</v>
      </c>
      <c r="D39" s="15">
        <v>1309.7</v>
      </c>
      <c r="E39" s="15">
        <v>1309.7</v>
      </c>
      <c r="F39" s="15">
        <v>1309.7</v>
      </c>
      <c r="G39" s="15">
        <v>2368.27</v>
      </c>
      <c r="H39" s="15">
        <v>1309.7</v>
      </c>
      <c r="I39" s="15">
        <v>529.16999999999996</v>
      </c>
      <c r="J39" s="15">
        <v>1309.7</v>
      </c>
      <c r="K39" s="15">
        <v>1309.7</v>
      </c>
      <c r="L39" s="15">
        <v>1309.7</v>
      </c>
      <c r="M39" s="15">
        <v>1309.7</v>
      </c>
      <c r="N39" s="15">
        <v>1309.7</v>
      </c>
      <c r="O39" t="s">
        <v>75</v>
      </c>
    </row>
    <row r="40" spans="1:15" x14ac:dyDescent="0.25">
      <c r="A40" s="10" t="s">
        <v>207</v>
      </c>
      <c r="B40" s="15">
        <v>1484.12</v>
      </c>
      <c r="C40" s="15">
        <v>1789.51</v>
      </c>
      <c r="D40" s="15">
        <v>1098.1600000000001</v>
      </c>
      <c r="E40" s="15">
        <v>1485.94</v>
      </c>
      <c r="F40" s="15">
        <v>1485.94</v>
      </c>
      <c r="G40" s="15">
        <v>1485.94</v>
      </c>
      <c r="H40" s="15">
        <v>2701.18</v>
      </c>
      <c r="I40" s="15">
        <v>1485.94</v>
      </c>
      <c r="J40" s="15">
        <v>88.17</v>
      </c>
      <c r="K40" s="15">
        <v>1485.94</v>
      </c>
      <c r="L40" s="15">
        <v>1485.94</v>
      </c>
      <c r="M40" s="15">
        <v>1485.94</v>
      </c>
      <c r="N40" s="15">
        <v>1485.94</v>
      </c>
      <c r="O40" t="s">
        <v>75</v>
      </c>
    </row>
    <row r="41" spans="1:15" x14ac:dyDescent="0.25">
      <c r="A41" s="10" t="s">
        <v>209</v>
      </c>
      <c r="B41" s="15">
        <v>798.46</v>
      </c>
      <c r="C41" s="15">
        <v>1361.46</v>
      </c>
      <c r="D41" s="15">
        <v>998.44</v>
      </c>
      <c r="E41" s="15">
        <v>634.65</v>
      </c>
      <c r="F41" s="15">
        <v>1157.25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292.64</v>
      </c>
      <c r="N41" s="15">
        <v>24.97</v>
      </c>
      <c r="O41" t="s">
        <v>75</v>
      </c>
    </row>
    <row r="42" spans="1:15" x14ac:dyDescent="0.25">
      <c r="A42" s="10" t="s">
        <v>211</v>
      </c>
      <c r="B42" s="15">
        <v>1294.1400000000001</v>
      </c>
      <c r="C42" s="15">
        <v>1130.96</v>
      </c>
      <c r="D42" s="15">
        <v>1666.83</v>
      </c>
      <c r="E42" s="15">
        <v>1666.83</v>
      </c>
      <c r="F42" s="15">
        <v>1666.83</v>
      </c>
      <c r="G42" s="15">
        <v>1666.83</v>
      </c>
      <c r="H42" s="15">
        <v>2449.4699999999998</v>
      </c>
      <c r="I42" s="15">
        <v>1666.83</v>
      </c>
      <c r="J42" s="15">
        <v>413.24</v>
      </c>
      <c r="K42" s="15">
        <v>1666.83</v>
      </c>
      <c r="L42" s="15">
        <v>1666.83</v>
      </c>
      <c r="M42" s="15">
        <v>1666.83</v>
      </c>
      <c r="N42" s="15">
        <v>1666.83</v>
      </c>
      <c r="O42" t="s">
        <v>75</v>
      </c>
    </row>
    <row r="43" spans="1:15" x14ac:dyDescent="0.25">
      <c r="A43" s="10" t="s">
        <v>213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24.84</v>
      </c>
      <c r="L43" s="15">
        <v>53.95</v>
      </c>
      <c r="M43" s="15">
        <v>53.95</v>
      </c>
      <c r="N43" s="15">
        <v>0</v>
      </c>
      <c r="O43" t="s">
        <v>75</v>
      </c>
    </row>
    <row r="44" spans="1:15" x14ac:dyDescent="0.25">
      <c r="A44" s="10" t="s">
        <v>215</v>
      </c>
      <c r="B44" s="15">
        <v>79.73</v>
      </c>
      <c r="C44" s="15">
        <v>127.46</v>
      </c>
      <c r="D44" s="15">
        <v>77.03</v>
      </c>
      <c r="E44" s="15">
        <v>75.53</v>
      </c>
      <c r="F44" s="15">
        <v>68.150000000000006</v>
      </c>
      <c r="G44" s="15">
        <v>68.16</v>
      </c>
      <c r="H44" s="15">
        <v>70.62</v>
      </c>
      <c r="I44" s="15">
        <v>130.01</v>
      </c>
      <c r="J44" s="15">
        <v>14.02</v>
      </c>
      <c r="K44" s="15">
        <v>50.12</v>
      </c>
      <c r="L44" s="15">
        <v>77.03</v>
      </c>
      <c r="M44" s="15">
        <v>77.03</v>
      </c>
      <c r="N44" s="15">
        <v>81.23</v>
      </c>
      <c r="O44" t="s">
        <v>75</v>
      </c>
    </row>
    <row r="45" spans="1:15" x14ac:dyDescent="0.25">
      <c r="A45" s="10" t="s">
        <v>217</v>
      </c>
      <c r="B45" s="15">
        <v>0</v>
      </c>
      <c r="C45" s="15">
        <v>369.39</v>
      </c>
      <c r="D45" s="15">
        <v>90.88</v>
      </c>
      <c r="E45" s="15">
        <v>21.44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1024.68</v>
      </c>
      <c r="L45" s="15">
        <v>1246.6199999999999</v>
      </c>
      <c r="M45" s="15">
        <v>1246.6199999999999</v>
      </c>
      <c r="N45" s="15">
        <v>169.36</v>
      </c>
      <c r="O45" t="s">
        <v>75</v>
      </c>
    </row>
    <row r="46" spans="1:15" x14ac:dyDescent="0.25">
      <c r="A46" s="10" t="s">
        <v>219</v>
      </c>
      <c r="B46" s="15">
        <v>50.45</v>
      </c>
      <c r="C46" s="15">
        <v>148.18</v>
      </c>
      <c r="D46" s="15">
        <v>81.09</v>
      </c>
      <c r="E46" s="15">
        <v>81.09</v>
      </c>
      <c r="F46" s="15">
        <v>81.09</v>
      </c>
      <c r="G46" s="15">
        <v>81.09</v>
      </c>
      <c r="H46" s="15">
        <v>81.09</v>
      </c>
      <c r="I46" s="15">
        <v>59.48</v>
      </c>
      <c r="J46" s="15">
        <v>75.09</v>
      </c>
      <c r="K46" s="15">
        <v>486.46</v>
      </c>
      <c r="L46" s="15">
        <v>81.09</v>
      </c>
      <c r="M46" s="15">
        <v>0</v>
      </c>
      <c r="N46" s="15">
        <v>111.29</v>
      </c>
      <c r="O46" t="s">
        <v>75</v>
      </c>
    </row>
    <row r="47" spans="1:15" x14ac:dyDescent="0.25">
      <c r="A47" s="10" t="s">
        <v>221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32.130000000000003</v>
      </c>
      <c r="K47" s="15">
        <v>0</v>
      </c>
      <c r="L47" s="15">
        <v>0</v>
      </c>
      <c r="M47" s="15">
        <v>0</v>
      </c>
      <c r="N47" s="15">
        <v>0</v>
      </c>
      <c r="O47" t="s">
        <v>75</v>
      </c>
    </row>
    <row r="48" spans="1:15" x14ac:dyDescent="0.25">
      <c r="A48" s="10" t="s">
        <v>227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16.18</v>
      </c>
      <c r="L48" s="15">
        <v>0</v>
      </c>
      <c r="M48" s="15">
        <v>0</v>
      </c>
      <c r="N48" s="15">
        <v>0</v>
      </c>
      <c r="O48" t="s">
        <v>75</v>
      </c>
    </row>
    <row r="49" spans="1:15" x14ac:dyDescent="0.25">
      <c r="A49" s="10" t="s">
        <v>229</v>
      </c>
      <c r="B49" s="15">
        <v>33.17</v>
      </c>
      <c r="C49" s="15">
        <v>28.05</v>
      </c>
      <c r="D49" s="15">
        <v>37.549999999999997</v>
      </c>
      <c r="E49" s="15">
        <v>28.05</v>
      </c>
      <c r="F49" s="15">
        <v>26.6</v>
      </c>
      <c r="G49" s="15">
        <v>0</v>
      </c>
      <c r="H49" s="15">
        <v>28.05</v>
      </c>
      <c r="I49" s="15">
        <v>27.33</v>
      </c>
      <c r="J49" s="15">
        <v>28.77</v>
      </c>
      <c r="K49" s="15">
        <v>80.27</v>
      </c>
      <c r="L49" s="15">
        <v>27.33</v>
      </c>
      <c r="M49" s="15">
        <v>40.44</v>
      </c>
      <c r="N49" s="15">
        <v>35.21</v>
      </c>
      <c r="O49" t="s">
        <v>75</v>
      </c>
    </row>
    <row r="50" spans="1:15" x14ac:dyDescent="0.25">
      <c r="A50" s="10" t="s">
        <v>231</v>
      </c>
      <c r="B50" s="15">
        <v>0</v>
      </c>
      <c r="C50" s="15">
        <v>20.420000000000002</v>
      </c>
      <c r="D50" s="15">
        <v>0</v>
      </c>
      <c r="E50" s="15">
        <v>0</v>
      </c>
      <c r="F50" s="15">
        <v>0</v>
      </c>
      <c r="G50" s="15">
        <v>0</v>
      </c>
      <c r="H50" s="15">
        <v>89.51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t="s">
        <v>75</v>
      </c>
    </row>
    <row r="51" spans="1:15" x14ac:dyDescent="0.25">
      <c r="A51" s="10" t="s">
        <v>237</v>
      </c>
      <c r="B51" s="15">
        <v>152.81</v>
      </c>
      <c r="C51" s="15">
        <v>0</v>
      </c>
      <c r="D51" s="15">
        <v>766.85</v>
      </c>
      <c r="E51" s="15">
        <v>107.56</v>
      </c>
      <c r="F51" s="15">
        <v>81.099999999999994</v>
      </c>
      <c r="G51" s="15">
        <v>81.099999999999994</v>
      </c>
      <c r="H51" s="15">
        <v>81.099999999999994</v>
      </c>
      <c r="I51" s="15">
        <v>81.099999999999994</v>
      </c>
      <c r="J51" s="15">
        <v>81.099999999999994</v>
      </c>
      <c r="K51" s="15">
        <v>81.099999999999994</v>
      </c>
      <c r="L51" s="15">
        <v>81.099999999999994</v>
      </c>
      <c r="M51" s="15">
        <v>171.34</v>
      </c>
      <c r="N51" s="15">
        <v>130.37</v>
      </c>
      <c r="O51" t="s">
        <v>75</v>
      </c>
    </row>
    <row r="52" spans="1:15" x14ac:dyDescent="0.25">
      <c r="A52" s="10" t="s">
        <v>239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837.68</v>
      </c>
      <c r="L52" s="15">
        <v>1370.64</v>
      </c>
      <c r="M52" s="15">
        <v>1145.32</v>
      </c>
      <c r="N52" s="15">
        <v>19.37</v>
      </c>
      <c r="O52" t="s">
        <v>75</v>
      </c>
    </row>
    <row r="53" spans="1:15" x14ac:dyDescent="0.25">
      <c r="A53" s="10" t="s">
        <v>243</v>
      </c>
      <c r="B53" s="15">
        <v>0</v>
      </c>
      <c r="C53" s="15">
        <v>0</v>
      </c>
      <c r="D53" s="15">
        <v>0</v>
      </c>
      <c r="E53" s="15">
        <v>55.56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t="s">
        <v>75</v>
      </c>
    </row>
    <row r="54" spans="1:15" x14ac:dyDescent="0.25">
      <c r="A54" s="10" t="s">
        <v>245</v>
      </c>
      <c r="B54" s="15">
        <v>1429.44</v>
      </c>
      <c r="C54" s="15">
        <v>1194.48</v>
      </c>
      <c r="D54" s="15">
        <v>804.18</v>
      </c>
      <c r="E54" s="15">
        <v>1194.48</v>
      </c>
      <c r="F54" s="15">
        <v>1194.48</v>
      </c>
      <c r="G54" s="15">
        <v>1656.62</v>
      </c>
      <c r="H54" s="15">
        <v>1194.48</v>
      </c>
      <c r="I54" s="15">
        <v>220</v>
      </c>
      <c r="J54" s="15">
        <v>1194.48</v>
      </c>
      <c r="K54" s="15">
        <v>1194.48</v>
      </c>
      <c r="L54" s="15">
        <v>1194.48</v>
      </c>
      <c r="M54" s="15">
        <v>1194.48</v>
      </c>
      <c r="N54" s="15">
        <v>1194.48</v>
      </c>
      <c r="O54" t="s">
        <v>75</v>
      </c>
    </row>
    <row r="55" spans="1:15" x14ac:dyDescent="0.25">
      <c r="A55" s="10" t="s">
        <v>254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18.48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t="s">
        <v>75</v>
      </c>
    </row>
    <row r="56" spans="1:15" x14ac:dyDescent="0.25">
      <c r="A56" s="10" t="s">
        <v>258</v>
      </c>
      <c r="B56" s="15">
        <v>21.6</v>
      </c>
      <c r="C56" s="15">
        <v>37.72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25.52</v>
      </c>
      <c r="L56" s="15">
        <v>0</v>
      </c>
      <c r="M56" s="15">
        <v>0</v>
      </c>
      <c r="N56" s="15">
        <v>0</v>
      </c>
      <c r="O56" t="s">
        <v>75</v>
      </c>
    </row>
    <row r="57" spans="1:15" x14ac:dyDescent="0.25">
      <c r="A57" s="10" t="s">
        <v>264</v>
      </c>
      <c r="B57" s="15">
        <v>0</v>
      </c>
      <c r="C57" s="15">
        <v>0</v>
      </c>
      <c r="D57" s="15">
        <v>0</v>
      </c>
      <c r="E57" s="15">
        <v>0</v>
      </c>
      <c r="F57" s="15">
        <v>10.1</v>
      </c>
      <c r="G57" s="15">
        <v>10.1</v>
      </c>
      <c r="H57" s="15">
        <v>10.1</v>
      </c>
      <c r="I57" s="15">
        <v>0</v>
      </c>
      <c r="J57" s="15">
        <v>10.1</v>
      </c>
      <c r="K57" s="15">
        <v>10.1</v>
      </c>
      <c r="L57" s="15">
        <v>10.1</v>
      </c>
      <c r="M57" s="15">
        <v>10.1</v>
      </c>
      <c r="N57" s="15">
        <v>10.67</v>
      </c>
      <c r="O57" t="s">
        <v>75</v>
      </c>
    </row>
    <row r="58" spans="1:15" x14ac:dyDescent="0.25">
      <c r="A58" s="10" t="s">
        <v>268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25.52</v>
      </c>
      <c r="L58" s="15">
        <v>0</v>
      </c>
      <c r="M58" s="15">
        <v>0</v>
      </c>
      <c r="N58" s="15">
        <v>0</v>
      </c>
      <c r="O58" t="s">
        <v>75</v>
      </c>
    </row>
    <row r="59" spans="1:15" x14ac:dyDescent="0.25">
      <c r="A59" s="10" t="s">
        <v>270</v>
      </c>
      <c r="B59" s="15">
        <v>18.8</v>
      </c>
      <c r="C59" s="15">
        <v>50.76</v>
      </c>
      <c r="D59" s="15">
        <v>37.51</v>
      </c>
      <c r="E59" s="15">
        <v>37.51</v>
      </c>
      <c r="F59" s="15">
        <v>37.51</v>
      </c>
      <c r="G59" s="15">
        <v>37.51</v>
      </c>
      <c r="H59" s="15">
        <v>0</v>
      </c>
      <c r="I59" s="15">
        <v>37.51</v>
      </c>
      <c r="J59" s="15">
        <v>37.51</v>
      </c>
      <c r="K59" s="15">
        <v>37.51</v>
      </c>
      <c r="L59" s="15">
        <v>37.51</v>
      </c>
      <c r="M59" s="15">
        <v>37.51</v>
      </c>
      <c r="N59" s="15">
        <v>38.61</v>
      </c>
      <c r="O59" t="s">
        <v>75</v>
      </c>
    </row>
    <row r="60" spans="1:15" x14ac:dyDescent="0.25">
      <c r="A60" s="10" t="s">
        <v>274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590.63</v>
      </c>
      <c r="M60" s="15">
        <v>1703.39</v>
      </c>
      <c r="N60" s="15">
        <v>15.58</v>
      </c>
      <c r="O60" t="s">
        <v>75</v>
      </c>
    </row>
    <row r="61" spans="1:15" x14ac:dyDescent="0.25">
      <c r="A61" s="10" t="s">
        <v>278</v>
      </c>
      <c r="B61" s="15">
        <v>3922.3</v>
      </c>
      <c r="C61" s="15">
        <v>4287.57</v>
      </c>
      <c r="D61" s="15">
        <v>4287.57</v>
      </c>
      <c r="E61" s="15">
        <v>4287.57</v>
      </c>
      <c r="F61" s="15">
        <v>4287.57</v>
      </c>
      <c r="G61" s="15">
        <v>4287.57</v>
      </c>
      <c r="H61" s="15">
        <v>4287.57</v>
      </c>
      <c r="I61" s="15">
        <v>4287.57</v>
      </c>
      <c r="J61" s="15">
        <v>4287.57</v>
      </c>
      <c r="K61" s="15">
        <v>4287.57</v>
      </c>
      <c r="L61" s="15">
        <v>4287.57</v>
      </c>
      <c r="M61" s="15">
        <v>4287.57</v>
      </c>
      <c r="N61" s="15">
        <v>4287.57</v>
      </c>
      <c r="O61" t="s">
        <v>75</v>
      </c>
    </row>
    <row r="62" spans="1:15" x14ac:dyDescent="0.25">
      <c r="A62" s="10" t="s">
        <v>280</v>
      </c>
      <c r="B62" s="15">
        <v>0</v>
      </c>
      <c r="C62" s="15">
        <v>0</v>
      </c>
      <c r="D62" s="15">
        <v>28.28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t="s">
        <v>75</v>
      </c>
    </row>
    <row r="63" spans="1:15" x14ac:dyDescent="0.25">
      <c r="A63" s="10" t="s">
        <v>282</v>
      </c>
      <c r="B63" s="15">
        <v>0</v>
      </c>
      <c r="C63" s="15">
        <v>0</v>
      </c>
      <c r="D63" s="15">
        <v>0</v>
      </c>
      <c r="E63" s="15">
        <v>0</v>
      </c>
      <c r="F63" s="15">
        <v>20.67</v>
      </c>
      <c r="G63" s="15">
        <v>0</v>
      </c>
      <c r="H63" s="15">
        <v>58.87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  <c r="O63" t="s">
        <v>75</v>
      </c>
    </row>
    <row r="64" spans="1:15" x14ac:dyDescent="0.25">
      <c r="A64" s="10" t="s">
        <v>288</v>
      </c>
      <c r="B64" s="15">
        <v>0</v>
      </c>
      <c r="C64" s="15">
        <v>0</v>
      </c>
      <c r="D64" s="15">
        <v>0</v>
      </c>
      <c r="E64" s="15">
        <v>0</v>
      </c>
      <c r="F64" s="15">
        <v>24.01</v>
      </c>
      <c r="G64" s="15">
        <v>0</v>
      </c>
      <c r="H64" s="15">
        <v>0</v>
      </c>
      <c r="I64" s="15">
        <v>0</v>
      </c>
      <c r="J64" s="15">
        <v>0</v>
      </c>
      <c r="K64" s="15">
        <v>135.33000000000001</v>
      </c>
      <c r="L64" s="15">
        <v>0</v>
      </c>
      <c r="M64" s="15">
        <v>0</v>
      </c>
      <c r="N64" s="15">
        <v>0</v>
      </c>
      <c r="O64" t="s">
        <v>75</v>
      </c>
    </row>
    <row r="65" spans="1:15" x14ac:dyDescent="0.25">
      <c r="A65" s="10" t="s">
        <v>290</v>
      </c>
      <c r="B65" s="15">
        <v>1721.03</v>
      </c>
      <c r="C65" s="15">
        <v>3948.21</v>
      </c>
      <c r="D65" s="15">
        <v>1851.53</v>
      </c>
      <c r="E65" s="15">
        <v>843.52</v>
      </c>
      <c r="F65" s="15">
        <v>1851.53</v>
      </c>
      <c r="G65" s="15">
        <v>1851.53</v>
      </c>
      <c r="H65" s="15">
        <v>1851.53</v>
      </c>
      <c r="I65" s="15">
        <v>1851.53</v>
      </c>
      <c r="J65" s="15">
        <v>1851.53</v>
      </c>
      <c r="K65" s="15">
        <v>1851.53</v>
      </c>
      <c r="L65" s="15">
        <v>1851.53</v>
      </c>
      <c r="M65" s="15">
        <v>1851.53</v>
      </c>
      <c r="N65" s="15">
        <v>1896.47</v>
      </c>
      <c r="O65" t="s">
        <v>75</v>
      </c>
    </row>
    <row r="66" spans="1:15" x14ac:dyDescent="0.25">
      <c r="A66" s="10" t="s">
        <v>294</v>
      </c>
      <c r="B66" s="15">
        <v>22.31</v>
      </c>
      <c r="C66" s="15">
        <v>0</v>
      </c>
      <c r="D66" s="15">
        <v>0</v>
      </c>
      <c r="E66" s="15">
        <v>46.88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t="s">
        <v>75</v>
      </c>
    </row>
    <row r="67" spans="1:15" x14ac:dyDescent="0.25">
      <c r="A67" s="10" t="s">
        <v>296</v>
      </c>
      <c r="B67" s="15">
        <v>11.14</v>
      </c>
      <c r="C67" s="15">
        <v>0</v>
      </c>
      <c r="D67" s="15">
        <v>148.88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t="s">
        <v>75</v>
      </c>
    </row>
    <row r="68" spans="1:15" x14ac:dyDescent="0.25">
      <c r="A68" s="10" t="s">
        <v>298</v>
      </c>
      <c r="B68" s="15">
        <v>18.8</v>
      </c>
      <c r="C68" s="15">
        <v>83.98</v>
      </c>
      <c r="D68" s="15">
        <v>127.1</v>
      </c>
      <c r="E68" s="15">
        <v>0</v>
      </c>
      <c r="F68" s="15">
        <v>47.65</v>
      </c>
      <c r="G68" s="15">
        <v>47.65</v>
      </c>
      <c r="H68" s="15">
        <v>47.65</v>
      </c>
      <c r="I68" s="15">
        <v>47.65</v>
      </c>
      <c r="J68" s="15">
        <v>0</v>
      </c>
      <c r="K68" s="15">
        <v>47.65</v>
      </c>
      <c r="L68" s="15">
        <v>47.65</v>
      </c>
      <c r="M68" s="15">
        <v>47.65</v>
      </c>
      <c r="N68" s="15">
        <v>48</v>
      </c>
      <c r="O68" t="s">
        <v>75</v>
      </c>
    </row>
    <row r="69" spans="1:15" x14ac:dyDescent="0.25">
      <c r="A69" s="10" t="s">
        <v>302</v>
      </c>
      <c r="B69" s="15">
        <v>3283.79</v>
      </c>
      <c r="C69" s="15">
        <v>511.37</v>
      </c>
      <c r="D69" s="15">
        <v>3052.83</v>
      </c>
      <c r="E69" s="15">
        <v>2750.54</v>
      </c>
      <c r="F69" s="15">
        <v>2750.54</v>
      </c>
      <c r="G69" s="15">
        <v>2750.54</v>
      </c>
      <c r="H69" s="15">
        <v>2750.54</v>
      </c>
      <c r="I69" s="15">
        <v>2750.54</v>
      </c>
      <c r="J69" s="15">
        <v>2750.54</v>
      </c>
      <c r="K69" s="15">
        <v>2750.54</v>
      </c>
      <c r="L69" s="15">
        <v>2750.54</v>
      </c>
      <c r="M69" s="15">
        <v>5072.16</v>
      </c>
      <c r="N69" s="15">
        <v>2750.54</v>
      </c>
      <c r="O69" t="s">
        <v>75</v>
      </c>
    </row>
    <row r="70" spans="1:15" x14ac:dyDescent="0.25">
      <c r="A70" s="10" t="s">
        <v>304</v>
      </c>
      <c r="B70" s="15">
        <v>788.08</v>
      </c>
      <c r="C70" s="15">
        <v>664.88</v>
      </c>
      <c r="D70" s="15">
        <v>488.6</v>
      </c>
      <c r="E70" s="15">
        <v>770.75</v>
      </c>
      <c r="F70" s="15">
        <v>770.75</v>
      </c>
      <c r="G70" s="15">
        <v>770.75</v>
      </c>
      <c r="H70" s="15">
        <v>954.51</v>
      </c>
      <c r="I70" s="15">
        <v>770.75</v>
      </c>
      <c r="J70" s="15">
        <v>126.07</v>
      </c>
      <c r="K70" s="15">
        <v>770.75</v>
      </c>
      <c r="L70" s="15">
        <v>873.29</v>
      </c>
      <c r="M70" s="15">
        <v>770.75</v>
      </c>
      <c r="N70" s="15">
        <v>770.79</v>
      </c>
      <c r="O70" t="s">
        <v>75</v>
      </c>
    </row>
    <row r="71" spans="1:15" x14ac:dyDescent="0.25">
      <c r="A71" s="10" t="s">
        <v>306</v>
      </c>
      <c r="B71" s="15">
        <v>705.39</v>
      </c>
      <c r="C71" s="15">
        <v>822.89</v>
      </c>
      <c r="D71" s="15">
        <v>914.77</v>
      </c>
      <c r="E71" s="15">
        <v>727.4</v>
      </c>
      <c r="F71" s="15">
        <v>1370.79</v>
      </c>
      <c r="G71" s="15">
        <v>822.89</v>
      </c>
      <c r="H71" s="15">
        <v>34.53</v>
      </c>
      <c r="I71" s="15">
        <v>822.89</v>
      </c>
      <c r="J71" s="15">
        <v>822.89</v>
      </c>
      <c r="K71" s="15">
        <v>822.89</v>
      </c>
      <c r="L71" s="15">
        <v>822.89</v>
      </c>
      <c r="M71" s="15">
        <v>914.52</v>
      </c>
      <c r="N71" s="15">
        <v>822.89</v>
      </c>
      <c r="O71" t="s">
        <v>75</v>
      </c>
    </row>
    <row r="72" spans="1:15" x14ac:dyDescent="0.25">
      <c r="A72" s="10" t="s">
        <v>308</v>
      </c>
      <c r="B72" s="15">
        <v>342.44</v>
      </c>
      <c r="C72" s="15">
        <v>391.89</v>
      </c>
      <c r="D72" s="15">
        <v>391.89</v>
      </c>
      <c r="E72" s="15">
        <v>676.48</v>
      </c>
      <c r="F72" s="15">
        <v>391.89</v>
      </c>
      <c r="G72" s="15">
        <v>74.959999999999994</v>
      </c>
      <c r="H72" s="15">
        <v>391.89</v>
      </c>
      <c r="I72" s="15">
        <v>391.89</v>
      </c>
      <c r="J72" s="15">
        <v>391.89</v>
      </c>
      <c r="K72" s="15">
        <v>391.89</v>
      </c>
      <c r="L72" s="15">
        <v>391.89</v>
      </c>
      <c r="M72" s="15">
        <v>391.89</v>
      </c>
      <c r="N72" s="15">
        <v>391.89</v>
      </c>
      <c r="O72" t="s">
        <v>75</v>
      </c>
    </row>
    <row r="73" spans="1:15" x14ac:dyDescent="0.25">
      <c r="A73" s="10" t="s">
        <v>312</v>
      </c>
      <c r="B73" s="15">
        <v>12.82</v>
      </c>
      <c r="C73" s="15">
        <v>157.18</v>
      </c>
      <c r="D73" s="15">
        <v>110.11</v>
      </c>
      <c r="E73" s="15">
        <v>25.12</v>
      </c>
      <c r="F73" s="15">
        <v>23.65</v>
      </c>
      <c r="G73" s="15">
        <v>46.36</v>
      </c>
      <c r="H73" s="15">
        <v>25.12</v>
      </c>
      <c r="I73" s="15">
        <v>0</v>
      </c>
      <c r="J73" s="15">
        <v>25.12</v>
      </c>
      <c r="K73" s="15">
        <v>25.12</v>
      </c>
      <c r="L73" s="15">
        <v>25.12</v>
      </c>
      <c r="M73" s="15">
        <v>25.12</v>
      </c>
      <c r="N73" s="15">
        <v>37.840000000000003</v>
      </c>
      <c r="O73" t="s">
        <v>75</v>
      </c>
    </row>
    <row r="74" spans="1:15" x14ac:dyDescent="0.25">
      <c r="A74" s="10" t="s">
        <v>314</v>
      </c>
      <c r="B74" s="15">
        <v>119.29</v>
      </c>
      <c r="C74" s="15">
        <v>63.28</v>
      </c>
      <c r="D74" s="15">
        <v>58.89</v>
      </c>
      <c r="E74" s="15">
        <v>58.89</v>
      </c>
      <c r="F74" s="15">
        <v>58.89</v>
      </c>
      <c r="G74" s="15">
        <v>65.86</v>
      </c>
      <c r="H74" s="15">
        <v>44.67</v>
      </c>
      <c r="I74" s="15">
        <v>94.18</v>
      </c>
      <c r="J74" s="15">
        <v>51.64</v>
      </c>
      <c r="K74" s="15">
        <v>0</v>
      </c>
      <c r="L74" s="15">
        <v>29.28</v>
      </c>
      <c r="M74" s="15">
        <v>44.67</v>
      </c>
      <c r="N74" s="15">
        <v>45.04</v>
      </c>
      <c r="O74" t="s">
        <v>75</v>
      </c>
    </row>
    <row r="75" spans="1:15" x14ac:dyDescent="0.25">
      <c r="A75" s="10" t="s">
        <v>316</v>
      </c>
      <c r="B75" s="15">
        <v>111.16</v>
      </c>
      <c r="C75" s="15">
        <v>184.4</v>
      </c>
      <c r="D75" s="15">
        <v>160.52000000000001</v>
      </c>
      <c r="E75" s="15">
        <v>131.78</v>
      </c>
      <c r="F75" s="15">
        <v>160.52000000000001</v>
      </c>
      <c r="G75" s="15">
        <v>160.52000000000001</v>
      </c>
      <c r="H75" s="15">
        <v>160.52000000000001</v>
      </c>
      <c r="I75" s="15">
        <v>160.52000000000001</v>
      </c>
      <c r="J75" s="15">
        <v>23.53</v>
      </c>
      <c r="K75" s="15">
        <v>160.52000000000001</v>
      </c>
      <c r="L75" s="15">
        <v>160.52000000000001</v>
      </c>
      <c r="M75" s="15">
        <v>160.52000000000001</v>
      </c>
      <c r="N75" s="15">
        <v>162.51</v>
      </c>
      <c r="O75" t="s">
        <v>75</v>
      </c>
    </row>
    <row r="76" spans="1:15" x14ac:dyDescent="0.25">
      <c r="A76" s="10" t="s">
        <v>318</v>
      </c>
      <c r="B76" s="15">
        <v>389.79</v>
      </c>
      <c r="C76" s="15">
        <v>762.93</v>
      </c>
      <c r="D76" s="15">
        <v>473.13</v>
      </c>
      <c r="E76" s="15">
        <v>473.13</v>
      </c>
      <c r="F76" s="15">
        <v>473.13</v>
      </c>
      <c r="G76" s="15">
        <v>473.13</v>
      </c>
      <c r="H76" s="15">
        <v>473.13</v>
      </c>
      <c r="I76" s="15">
        <v>473.13</v>
      </c>
      <c r="J76" s="15">
        <v>473.13</v>
      </c>
      <c r="K76" s="15">
        <v>490.45</v>
      </c>
      <c r="L76" s="15">
        <v>129.84</v>
      </c>
      <c r="M76" s="15">
        <v>473.13</v>
      </c>
      <c r="N76" s="15">
        <v>502.07</v>
      </c>
      <c r="O76" t="s">
        <v>75</v>
      </c>
    </row>
    <row r="77" spans="1:15" x14ac:dyDescent="0.25">
      <c r="A77" s="10" t="s">
        <v>320</v>
      </c>
      <c r="B77" s="15">
        <v>58.7</v>
      </c>
      <c r="C77" s="15">
        <v>342.73</v>
      </c>
      <c r="D77" s="15">
        <v>0</v>
      </c>
      <c r="E77" s="15">
        <v>44.67</v>
      </c>
      <c r="F77" s="15">
        <v>44.67</v>
      </c>
      <c r="G77" s="15">
        <v>0</v>
      </c>
      <c r="H77" s="15">
        <v>44.67</v>
      </c>
      <c r="I77" s="15">
        <v>417.35</v>
      </c>
      <c r="J77" s="15">
        <v>110.6</v>
      </c>
      <c r="K77" s="15">
        <v>44.67</v>
      </c>
      <c r="L77" s="15">
        <v>71.05</v>
      </c>
      <c r="M77" s="15">
        <v>44.67</v>
      </c>
      <c r="N77" s="15">
        <v>82.57</v>
      </c>
      <c r="O77" t="s">
        <v>75</v>
      </c>
    </row>
    <row r="78" spans="1:15" x14ac:dyDescent="0.25">
      <c r="A78" s="10" t="s">
        <v>324</v>
      </c>
      <c r="B78" s="15">
        <v>0</v>
      </c>
      <c r="C78" s="15">
        <v>0</v>
      </c>
      <c r="D78" s="15">
        <v>0</v>
      </c>
      <c r="E78" s="15">
        <v>0</v>
      </c>
      <c r="F78" s="15">
        <v>16.32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t="s">
        <v>75</v>
      </c>
    </row>
    <row r="79" spans="1:15" x14ac:dyDescent="0.25">
      <c r="A79" s="10" t="s">
        <v>326</v>
      </c>
      <c r="B79" s="15">
        <v>0</v>
      </c>
      <c r="C79" s="15">
        <v>10.11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54.22</v>
      </c>
      <c r="M79" s="15">
        <v>0</v>
      </c>
      <c r="N79" s="15">
        <v>0</v>
      </c>
      <c r="O79" t="s">
        <v>75</v>
      </c>
    </row>
    <row r="80" spans="1:15" x14ac:dyDescent="0.25">
      <c r="A80" s="10" t="s">
        <v>330</v>
      </c>
      <c r="B80" s="15">
        <v>298.55</v>
      </c>
      <c r="C80" s="15">
        <v>513.47</v>
      </c>
      <c r="D80" s="15">
        <v>366.72</v>
      </c>
      <c r="E80" s="15">
        <v>366.72</v>
      </c>
      <c r="F80" s="15">
        <v>476.23</v>
      </c>
      <c r="G80" s="15">
        <v>220.53</v>
      </c>
      <c r="H80" s="15">
        <v>366.72</v>
      </c>
      <c r="I80" s="15">
        <v>366.72</v>
      </c>
      <c r="J80" s="15">
        <v>366.72</v>
      </c>
      <c r="K80" s="15">
        <v>621.54</v>
      </c>
      <c r="L80" s="15">
        <v>366.72</v>
      </c>
      <c r="M80" s="15">
        <v>0</v>
      </c>
      <c r="N80" s="15">
        <v>377.44</v>
      </c>
      <c r="O80" t="s">
        <v>75</v>
      </c>
    </row>
    <row r="81" spans="1:15" x14ac:dyDescent="0.25">
      <c r="A81" s="10" t="s">
        <v>332</v>
      </c>
      <c r="B81" s="15">
        <v>24.95</v>
      </c>
      <c r="C81" s="15">
        <v>0</v>
      </c>
      <c r="D81" s="15">
        <v>0</v>
      </c>
      <c r="E81" s="15">
        <v>0</v>
      </c>
      <c r="F81" s="15">
        <v>39.32</v>
      </c>
      <c r="G81" s="15">
        <v>0</v>
      </c>
      <c r="H81" s="15">
        <v>0</v>
      </c>
      <c r="I81" s="15">
        <v>0</v>
      </c>
      <c r="J81" s="15">
        <v>0</v>
      </c>
      <c r="K81" s="15">
        <v>25.52</v>
      </c>
      <c r="L81" s="15">
        <v>0</v>
      </c>
      <c r="M81" s="15">
        <v>0</v>
      </c>
      <c r="N81" s="15">
        <v>0</v>
      </c>
      <c r="O81" t="s">
        <v>75</v>
      </c>
    </row>
    <row r="82" spans="1:15" x14ac:dyDescent="0.25">
      <c r="A82" s="10" t="s">
        <v>334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15.79</v>
      </c>
      <c r="K82" s="15">
        <v>0</v>
      </c>
      <c r="L82" s="15">
        <v>0</v>
      </c>
      <c r="M82" s="15">
        <v>0</v>
      </c>
      <c r="N82" s="15">
        <v>0</v>
      </c>
      <c r="O82" t="s">
        <v>75</v>
      </c>
    </row>
    <row r="83" spans="1:15" x14ac:dyDescent="0.25">
      <c r="A83" s="10" t="s">
        <v>336</v>
      </c>
      <c r="B83" s="15">
        <v>17.829999999999998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53.99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  <c r="O83" t="s">
        <v>75</v>
      </c>
    </row>
    <row r="84" spans="1:15" x14ac:dyDescent="0.25">
      <c r="A84" s="10" t="s">
        <v>84</v>
      </c>
      <c r="B84" s="15">
        <v>269.31</v>
      </c>
      <c r="C84" s="15">
        <v>446.22</v>
      </c>
      <c r="D84" s="15">
        <v>437.45</v>
      </c>
      <c r="E84" s="15">
        <v>404.35</v>
      </c>
      <c r="F84" s="15">
        <v>392.1</v>
      </c>
      <c r="G84" s="15">
        <v>378.61</v>
      </c>
      <c r="H84" s="15">
        <v>442.15</v>
      </c>
      <c r="I84" s="15">
        <v>355.46</v>
      </c>
      <c r="J84" s="15">
        <v>405.94</v>
      </c>
      <c r="K84" s="15">
        <v>401.56</v>
      </c>
      <c r="L84" s="15">
        <v>113.9</v>
      </c>
      <c r="M84" s="15">
        <v>442.15</v>
      </c>
      <c r="N84" s="15">
        <v>442.15</v>
      </c>
      <c r="O84" t="s">
        <v>75</v>
      </c>
    </row>
    <row r="85" spans="1:15" x14ac:dyDescent="0.25">
      <c r="A85" s="10" t="s">
        <v>340</v>
      </c>
      <c r="B85" s="15">
        <v>0</v>
      </c>
      <c r="C85" s="15">
        <v>27.79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t="s">
        <v>75</v>
      </c>
    </row>
    <row r="86" spans="1:15" x14ac:dyDescent="0.25">
      <c r="A86" s="10" t="s">
        <v>348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28.37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t="s">
        <v>75</v>
      </c>
    </row>
    <row r="87" spans="1:15" x14ac:dyDescent="0.25">
      <c r="A87" s="10" t="s">
        <v>352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41.92</v>
      </c>
      <c r="L87" s="15">
        <v>0</v>
      </c>
      <c r="M87" s="15">
        <v>0</v>
      </c>
      <c r="N87" s="15">
        <v>0</v>
      </c>
      <c r="O87" t="s">
        <v>75</v>
      </c>
    </row>
    <row r="88" spans="1:15" x14ac:dyDescent="0.25">
      <c r="A88" s="10" t="s">
        <v>356</v>
      </c>
      <c r="B88" s="15">
        <v>13.93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t="s">
        <v>75</v>
      </c>
    </row>
    <row r="89" spans="1:15" x14ac:dyDescent="0.25">
      <c r="A89" s="10" t="s">
        <v>358</v>
      </c>
      <c r="B89" s="15">
        <v>0</v>
      </c>
      <c r="C89" s="15">
        <v>13.25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  <c r="O89" t="s">
        <v>75</v>
      </c>
    </row>
    <row r="90" spans="1:15" x14ac:dyDescent="0.25">
      <c r="A90" s="10" t="s">
        <v>362</v>
      </c>
      <c r="B90" s="15">
        <v>0</v>
      </c>
      <c r="C90" s="15">
        <v>29.09</v>
      </c>
      <c r="D90" s="15">
        <v>10.1</v>
      </c>
      <c r="E90" s="15">
        <v>10.1</v>
      </c>
      <c r="F90" s="15">
        <v>10.1</v>
      </c>
      <c r="G90" s="15">
        <v>10.1</v>
      </c>
      <c r="H90" s="15">
        <v>10.1</v>
      </c>
      <c r="I90" s="15">
        <v>10.1</v>
      </c>
      <c r="J90" s="15">
        <v>0</v>
      </c>
      <c r="K90" s="15">
        <v>10.1</v>
      </c>
      <c r="L90" s="15">
        <v>10.1</v>
      </c>
      <c r="M90" s="15">
        <v>10.1</v>
      </c>
      <c r="N90" s="15">
        <v>12.06</v>
      </c>
      <c r="O90" t="s">
        <v>75</v>
      </c>
    </row>
    <row r="91" spans="1:15" x14ac:dyDescent="0.25">
      <c r="A91" s="10" t="s">
        <v>372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41.71</v>
      </c>
      <c r="L91" s="15">
        <v>0</v>
      </c>
      <c r="M91" s="15">
        <v>0</v>
      </c>
      <c r="N91" s="15">
        <v>0</v>
      </c>
      <c r="O91" t="s">
        <v>75</v>
      </c>
    </row>
    <row r="92" spans="1:15" x14ac:dyDescent="0.25">
      <c r="A92" s="10" t="s">
        <v>376</v>
      </c>
      <c r="B92" s="15">
        <v>33.1</v>
      </c>
      <c r="C92" s="15">
        <v>120.59</v>
      </c>
      <c r="D92" s="15">
        <v>120.59</v>
      </c>
      <c r="E92" s="15">
        <v>120.59</v>
      </c>
      <c r="F92" s="15">
        <v>197.83</v>
      </c>
      <c r="G92" s="15">
        <v>120.59</v>
      </c>
      <c r="H92" s="15">
        <v>0</v>
      </c>
      <c r="I92" s="15">
        <v>120.59</v>
      </c>
      <c r="J92" s="15">
        <v>120.59</v>
      </c>
      <c r="K92" s="15">
        <v>120.59</v>
      </c>
      <c r="L92" s="15">
        <v>120.59</v>
      </c>
      <c r="M92" s="15">
        <v>120.59</v>
      </c>
      <c r="N92" s="15">
        <v>120.59</v>
      </c>
      <c r="O92" t="s">
        <v>75</v>
      </c>
    </row>
    <row r="93" spans="1:15" x14ac:dyDescent="0.25">
      <c r="A93" s="10" t="s">
        <v>378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10.92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t="s">
        <v>75</v>
      </c>
    </row>
    <row r="94" spans="1:15" x14ac:dyDescent="0.25">
      <c r="A94" s="10" t="s">
        <v>380</v>
      </c>
      <c r="B94" s="15">
        <v>20.59</v>
      </c>
      <c r="C94" s="15">
        <v>26.19</v>
      </c>
      <c r="D94" s="15">
        <v>25.12</v>
      </c>
      <c r="E94" s="15">
        <v>25.12</v>
      </c>
      <c r="F94" s="15">
        <v>25.12</v>
      </c>
      <c r="G94" s="15">
        <v>25.12</v>
      </c>
      <c r="H94" s="15">
        <v>25.12</v>
      </c>
      <c r="I94" s="15">
        <v>25.12</v>
      </c>
      <c r="J94" s="15">
        <v>25.12</v>
      </c>
      <c r="K94" s="15">
        <v>25.12</v>
      </c>
      <c r="L94" s="15">
        <v>25.12</v>
      </c>
      <c r="M94" s="15">
        <v>25.12</v>
      </c>
      <c r="N94" s="15">
        <v>25.21</v>
      </c>
      <c r="O94" t="s">
        <v>75</v>
      </c>
    </row>
    <row r="95" spans="1:15" x14ac:dyDescent="0.25">
      <c r="A95" s="10" t="s">
        <v>384</v>
      </c>
      <c r="B95" s="15">
        <v>0</v>
      </c>
      <c r="C95" s="15">
        <v>863.23</v>
      </c>
      <c r="D95" s="15">
        <v>822.89</v>
      </c>
      <c r="E95" s="15">
        <v>822.89</v>
      </c>
      <c r="F95" s="15">
        <v>822.89</v>
      </c>
      <c r="G95" s="15">
        <v>822.89</v>
      </c>
      <c r="H95" s="15">
        <v>822.89</v>
      </c>
      <c r="I95" s="15">
        <v>1092.4100000000001</v>
      </c>
      <c r="J95" s="15">
        <v>822.89</v>
      </c>
      <c r="K95" s="15">
        <v>517.73</v>
      </c>
      <c r="L95" s="15">
        <v>822.89</v>
      </c>
      <c r="M95" s="15">
        <v>822.89</v>
      </c>
      <c r="N95" s="15">
        <v>826.25</v>
      </c>
      <c r="O95" t="s">
        <v>75</v>
      </c>
    </row>
    <row r="96" spans="1:15" x14ac:dyDescent="0.25">
      <c r="A96" s="10" t="s">
        <v>386</v>
      </c>
      <c r="B96" s="15">
        <v>50.18</v>
      </c>
      <c r="C96" s="15">
        <v>647.25</v>
      </c>
      <c r="D96" s="15">
        <v>320.88</v>
      </c>
      <c r="E96" s="15">
        <v>0</v>
      </c>
      <c r="F96" s="15">
        <v>68.599999999999994</v>
      </c>
      <c r="G96" s="15">
        <v>68.599999999999994</v>
      </c>
      <c r="H96" s="15">
        <v>68.599999999999994</v>
      </c>
      <c r="I96" s="15">
        <v>68.599999999999994</v>
      </c>
      <c r="J96" s="15">
        <v>68.599999999999994</v>
      </c>
      <c r="K96" s="15">
        <v>68.599999999999994</v>
      </c>
      <c r="L96" s="15">
        <v>68.599999999999994</v>
      </c>
      <c r="M96" s="15">
        <v>68.599999999999994</v>
      </c>
      <c r="N96" s="15">
        <v>119.97</v>
      </c>
      <c r="O96" t="s">
        <v>75</v>
      </c>
    </row>
    <row r="97" spans="1:15" x14ac:dyDescent="0.25">
      <c r="A97" s="10" t="s">
        <v>390</v>
      </c>
      <c r="B97" s="15">
        <v>0</v>
      </c>
      <c r="C97" s="15">
        <v>37.369999999999997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t="s">
        <v>75</v>
      </c>
    </row>
    <row r="98" spans="1:15" x14ac:dyDescent="0.25">
      <c r="A98" s="10" t="s">
        <v>398</v>
      </c>
      <c r="B98" s="15">
        <v>1313.69</v>
      </c>
      <c r="C98" s="15">
        <v>1485.94</v>
      </c>
      <c r="D98" s="15">
        <v>2756.46</v>
      </c>
      <c r="E98" s="15">
        <v>1887.02</v>
      </c>
      <c r="F98" s="15">
        <v>269.2</v>
      </c>
      <c r="G98" s="15">
        <v>1701.76</v>
      </c>
      <c r="H98" s="15">
        <v>1485.94</v>
      </c>
      <c r="I98" s="15">
        <v>743.02</v>
      </c>
      <c r="J98" s="15">
        <v>1485.94</v>
      </c>
      <c r="K98" s="15">
        <v>1485.94</v>
      </c>
      <c r="L98" s="15">
        <v>1485.94</v>
      </c>
      <c r="M98" s="15">
        <v>1485.94</v>
      </c>
      <c r="N98" s="15">
        <v>1485.94</v>
      </c>
      <c r="O98" t="s">
        <v>75</v>
      </c>
    </row>
    <row r="99" spans="1:15" x14ac:dyDescent="0.25">
      <c r="A99" s="10" t="s">
        <v>400</v>
      </c>
      <c r="B99" s="15">
        <v>0</v>
      </c>
      <c r="C99" s="15">
        <v>27.04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32.99</v>
      </c>
      <c r="N99" s="15">
        <v>0</v>
      </c>
      <c r="O99" t="s">
        <v>75</v>
      </c>
    </row>
    <row r="100" spans="1:15" x14ac:dyDescent="0.25">
      <c r="A100" s="10" t="s">
        <v>404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16.18</v>
      </c>
      <c r="L100" s="15">
        <v>0</v>
      </c>
      <c r="M100" s="15">
        <v>0</v>
      </c>
      <c r="N100" s="15">
        <v>0</v>
      </c>
      <c r="O100" t="s">
        <v>75</v>
      </c>
    </row>
    <row r="101" spans="1:15" x14ac:dyDescent="0.25">
      <c r="A101" s="10" t="s">
        <v>412</v>
      </c>
      <c r="B101" s="15">
        <v>0</v>
      </c>
      <c r="C101" s="15">
        <v>11.4</v>
      </c>
      <c r="D101" s="15">
        <v>0</v>
      </c>
      <c r="E101" s="15">
        <v>0</v>
      </c>
      <c r="F101" s="15">
        <v>14.4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t="s">
        <v>75</v>
      </c>
    </row>
    <row r="102" spans="1:15" x14ac:dyDescent="0.25">
      <c r="A102" s="10" t="s">
        <v>414</v>
      </c>
      <c r="B102" s="15">
        <v>0</v>
      </c>
      <c r="C102" s="15">
        <v>0</v>
      </c>
      <c r="D102" s="15">
        <v>0</v>
      </c>
      <c r="E102" s="15">
        <v>29.39</v>
      </c>
      <c r="F102" s="15">
        <v>487.86</v>
      </c>
      <c r="G102" s="15">
        <v>0</v>
      </c>
      <c r="H102" s="15">
        <v>0</v>
      </c>
      <c r="I102" s="15">
        <v>180.75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t="s">
        <v>75</v>
      </c>
    </row>
    <row r="103" spans="1:15" x14ac:dyDescent="0.25">
      <c r="A103" s="10" t="s">
        <v>416</v>
      </c>
      <c r="B103" s="15">
        <v>436.67</v>
      </c>
      <c r="C103" s="15">
        <v>587.33000000000004</v>
      </c>
      <c r="D103" s="15">
        <v>525.27</v>
      </c>
      <c r="E103" s="15">
        <v>525.27</v>
      </c>
      <c r="F103" s="15">
        <v>844.27</v>
      </c>
      <c r="G103" s="15">
        <v>525.27</v>
      </c>
      <c r="H103" s="15">
        <v>575.59</v>
      </c>
      <c r="I103" s="15">
        <v>796.34</v>
      </c>
      <c r="J103" s="15">
        <v>525.27</v>
      </c>
      <c r="K103" s="15">
        <v>10.77</v>
      </c>
      <c r="L103" s="15">
        <v>525.27</v>
      </c>
      <c r="M103" s="15">
        <v>844.27</v>
      </c>
      <c r="N103" s="15">
        <v>583.61</v>
      </c>
      <c r="O103" t="s">
        <v>75</v>
      </c>
    </row>
    <row r="104" spans="1:15" x14ac:dyDescent="0.25">
      <c r="A104" s="10" t="s">
        <v>418</v>
      </c>
      <c r="B104" s="15">
        <v>0</v>
      </c>
      <c r="C104" s="15">
        <v>49.44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t="s">
        <v>75</v>
      </c>
    </row>
    <row r="105" spans="1:15" x14ac:dyDescent="0.25">
      <c r="A105" s="10" t="s">
        <v>420</v>
      </c>
      <c r="B105" s="15">
        <v>0</v>
      </c>
      <c r="C105" s="15">
        <v>0</v>
      </c>
      <c r="D105" s="15">
        <v>0</v>
      </c>
      <c r="E105" s="15">
        <v>10.29</v>
      </c>
      <c r="F105" s="15">
        <v>400.44</v>
      </c>
      <c r="G105" s="15">
        <v>400.44</v>
      </c>
      <c r="H105" s="15">
        <v>400.44</v>
      </c>
      <c r="I105" s="15">
        <v>400.44</v>
      </c>
      <c r="J105" s="15">
        <v>400.44</v>
      </c>
      <c r="K105" s="15">
        <v>400.44</v>
      </c>
      <c r="L105" s="15">
        <v>949.94</v>
      </c>
      <c r="M105" s="15">
        <v>0</v>
      </c>
      <c r="N105" s="15">
        <v>60.26</v>
      </c>
      <c r="O105" t="s">
        <v>75</v>
      </c>
    </row>
    <row r="106" spans="1:15" x14ac:dyDescent="0.25">
      <c r="A106" s="10" t="s">
        <v>422</v>
      </c>
      <c r="B106" s="15">
        <v>530.38</v>
      </c>
      <c r="C106" s="15">
        <v>532.1</v>
      </c>
      <c r="D106" s="15">
        <v>567.97</v>
      </c>
      <c r="E106" s="15">
        <v>567.97</v>
      </c>
      <c r="F106" s="15">
        <v>567.97</v>
      </c>
      <c r="G106" s="15">
        <v>567.97</v>
      </c>
      <c r="H106" s="15">
        <v>567.97</v>
      </c>
      <c r="I106" s="15">
        <v>567.97</v>
      </c>
      <c r="J106" s="15">
        <v>1667.39</v>
      </c>
      <c r="K106" s="15">
        <v>422.36</v>
      </c>
      <c r="L106" s="15">
        <v>0</v>
      </c>
      <c r="M106" s="15">
        <v>567.97</v>
      </c>
      <c r="N106" s="15">
        <v>567.97</v>
      </c>
      <c r="O106" t="s">
        <v>75</v>
      </c>
    </row>
    <row r="107" spans="1:15" x14ac:dyDescent="0.25">
      <c r="A107" s="10" t="s">
        <v>424</v>
      </c>
      <c r="B107" s="15">
        <v>0</v>
      </c>
      <c r="C107" s="15">
        <v>30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t="s">
        <v>75</v>
      </c>
    </row>
    <row r="108" spans="1:15" x14ac:dyDescent="0.25">
      <c r="A108" s="10" t="s">
        <v>426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38.33</v>
      </c>
      <c r="J108" s="15">
        <v>33.72</v>
      </c>
      <c r="K108" s="15">
        <v>36.409999999999997</v>
      </c>
      <c r="L108" s="15">
        <v>70.45</v>
      </c>
      <c r="M108" s="15">
        <v>65.13</v>
      </c>
      <c r="N108" s="15">
        <v>0</v>
      </c>
      <c r="O108" t="s">
        <v>75</v>
      </c>
    </row>
    <row r="109" spans="1:15" x14ac:dyDescent="0.25">
      <c r="A109" s="10" t="s">
        <v>428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42.3</v>
      </c>
      <c r="I109" s="15">
        <v>289.38</v>
      </c>
      <c r="J109" s="15">
        <v>289.38</v>
      </c>
      <c r="K109" s="15">
        <v>289.38</v>
      </c>
      <c r="L109" s="15">
        <v>289.38</v>
      </c>
      <c r="M109" s="15">
        <v>632.01</v>
      </c>
      <c r="N109" s="15">
        <v>14.91</v>
      </c>
      <c r="O109" t="s">
        <v>75</v>
      </c>
    </row>
    <row r="110" spans="1:15" x14ac:dyDescent="0.25">
      <c r="A110" s="10" t="s">
        <v>432</v>
      </c>
      <c r="B110" s="15">
        <v>362</v>
      </c>
      <c r="C110" s="15">
        <v>754.26</v>
      </c>
      <c r="D110" s="15">
        <v>587.79999999999995</v>
      </c>
      <c r="E110" s="15">
        <v>587.79999999999995</v>
      </c>
      <c r="F110" s="15">
        <v>587.79999999999995</v>
      </c>
      <c r="G110" s="15">
        <v>587.79999999999995</v>
      </c>
      <c r="H110" s="15">
        <v>587.79999999999995</v>
      </c>
      <c r="I110" s="15">
        <v>641.61</v>
      </c>
      <c r="J110" s="15">
        <v>589.47</v>
      </c>
      <c r="K110" s="15">
        <v>535.66999999999996</v>
      </c>
      <c r="L110" s="15">
        <v>1681.68</v>
      </c>
      <c r="M110" s="15">
        <v>480.74</v>
      </c>
      <c r="N110" s="15">
        <v>549.54</v>
      </c>
      <c r="O110" t="s">
        <v>75</v>
      </c>
    </row>
    <row r="111" spans="1:15" x14ac:dyDescent="0.25">
      <c r="A111" s="10" t="s">
        <v>436</v>
      </c>
      <c r="B111" s="15">
        <v>0</v>
      </c>
      <c r="C111" s="15">
        <v>15.35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t="s">
        <v>75</v>
      </c>
    </row>
    <row r="112" spans="1:15" x14ac:dyDescent="0.25">
      <c r="A112" s="10" t="s">
        <v>438</v>
      </c>
      <c r="B112" s="15">
        <v>0</v>
      </c>
      <c r="C112" s="15">
        <v>32.31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t="s">
        <v>75</v>
      </c>
    </row>
    <row r="113" spans="1:15" x14ac:dyDescent="0.25">
      <c r="A113" s="10" t="s">
        <v>442</v>
      </c>
      <c r="B113" s="15">
        <v>0</v>
      </c>
      <c r="C113" s="15">
        <v>0</v>
      </c>
      <c r="D113" s="15">
        <v>0</v>
      </c>
      <c r="E113" s="15">
        <v>48.17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t="s">
        <v>75</v>
      </c>
    </row>
    <row r="114" spans="1:15" x14ac:dyDescent="0.25">
      <c r="A114" s="10" t="s">
        <v>448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42.1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t="s">
        <v>75</v>
      </c>
    </row>
    <row r="115" spans="1:15" x14ac:dyDescent="0.25">
      <c r="A115" s="10" t="s">
        <v>456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16.18</v>
      </c>
      <c r="L115" s="15">
        <v>27.31</v>
      </c>
      <c r="M115" s="15">
        <v>0</v>
      </c>
      <c r="N115" s="15">
        <v>0</v>
      </c>
      <c r="O115" t="s">
        <v>75</v>
      </c>
    </row>
    <row r="116" spans="1:15" x14ac:dyDescent="0.25">
      <c r="A116" s="10" t="s">
        <v>458</v>
      </c>
      <c r="B116" s="15">
        <v>1364.63</v>
      </c>
      <c r="C116" s="15">
        <v>1338.21</v>
      </c>
      <c r="D116" s="15">
        <v>1603.89</v>
      </c>
      <c r="E116" s="15">
        <v>1667.56</v>
      </c>
      <c r="F116" s="15">
        <v>1678.62</v>
      </c>
      <c r="G116" s="15">
        <v>3057.1</v>
      </c>
      <c r="H116" s="15">
        <v>1505.58</v>
      </c>
      <c r="I116" s="15">
        <v>1651.57</v>
      </c>
      <c r="J116" s="15">
        <v>1656.87</v>
      </c>
      <c r="K116" s="15">
        <v>1791.97</v>
      </c>
      <c r="L116" s="15">
        <v>4264.28</v>
      </c>
      <c r="M116" s="15">
        <v>1594.12</v>
      </c>
      <c r="N116" s="15">
        <v>1760.69</v>
      </c>
      <c r="O116" t="s">
        <v>75</v>
      </c>
    </row>
    <row r="117" spans="1:15" x14ac:dyDescent="0.25">
      <c r="A117" s="10" t="s">
        <v>460</v>
      </c>
      <c r="B117" s="15">
        <v>13.21</v>
      </c>
      <c r="C117" s="15">
        <v>0</v>
      </c>
      <c r="D117" s="15">
        <v>0</v>
      </c>
      <c r="E117" s="15">
        <v>35.53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t="s">
        <v>75</v>
      </c>
    </row>
    <row r="118" spans="1:15" x14ac:dyDescent="0.25">
      <c r="A118" s="10" t="s">
        <v>469</v>
      </c>
      <c r="B118" s="15">
        <v>0</v>
      </c>
      <c r="C118" s="15">
        <v>0</v>
      </c>
      <c r="D118" s="15">
        <v>0</v>
      </c>
      <c r="E118" s="15">
        <v>0</v>
      </c>
      <c r="F118" s="15">
        <v>32.450000000000003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t="s">
        <v>75</v>
      </c>
    </row>
    <row r="119" spans="1:15" x14ac:dyDescent="0.25">
      <c r="A119" s="10" t="s">
        <v>475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2760.49</v>
      </c>
      <c r="N119" s="15">
        <v>0</v>
      </c>
      <c r="O119" t="s">
        <v>75</v>
      </c>
    </row>
    <row r="120" spans="1:15" x14ac:dyDescent="0.25">
      <c r="A120" s="10" t="s">
        <v>477</v>
      </c>
      <c r="B120" s="15">
        <v>16.690000000000001</v>
      </c>
      <c r="C120" s="15">
        <v>19.260000000000002</v>
      </c>
      <c r="D120" s="15">
        <v>0</v>
      </c>
      <c r="E120" s="15">
        <v>0</v>
      </c>
      <c r="F120" s="15">
        <v>23.84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t="s">
        <v>75</v>
      </c>
    </row>
    <row r="121" spans="1:15" x14ac:dyDescent="0.25">
      <c r="A121" s="10" t="s">
        <v>481</v>
      </c>
      <c r="B121" s="15">
        <v>50.18</v>
      </c>
      <c r="C121" s="15">
        <v>205.26</v>
      </c>
      <c r="D121" s="15">
        <v>63.19</v>
      </c>
      <c r="E121" s="15">
        <v>63.19</v>
      </c>
      <c r="F121" s="15">
        <v>63.19</v>
      </c>
      <c r="G121" s="15">
        <v>63.19</v>
      </c>
      <c r="H121" s="15">
        <v>63.19</v>
      </c>
      <c r="I121" s="15">
        <v>63.19</v>
      </c>
      <c r="J121" s="15">
        <v>63.19</v>
      </c>
      <c r="K121" s="15">
        <v>63.19</v>
      </c>
      <c r="L121" s="15">
        <v>63.19</v>
      </c>
      <c r="M121" s="15">
        <v>63.19</v>
      </c>
      <c r="N121" s="15">
        <v>69.52</v>
      </c>
      <c r="O121" t="s">
        <v>75</v>
      </c>
    </row>
    <row r="122" spans="1:15" x14ac:dyDescent="0.25">
      <c r="A122" s="10" t="s">
        <v>483</v>
      </c>
      <c r="B122" s="15">
        <v>324.73</v>
      </c>
      <c r="C122" s="15">
        <v>382.14</v>
      </c>
      <c r="D122" s="15">
        <v>274.8</v>
      </c>
      <c r="E122" s="15">
        <v>382.14</v>
      </c>
      <c r="F122" s="15">
        <v>382.14</v>
      </c>
      <c r="G122" s="15">
        <v>382.14</v>
      </c>
      <c r="H122" s="15">
        <v>382.14</v>
      </c>
      <c r="I122" s="15">
        <v>47.29</v>
      </c>
      <c r="J122" s="15">
        <v>382.14</v>
      </c>
      <c r="K122" s="15">
        <v>382.14</v>
      </c>
      <c r="L122" s="15">
        <v>382.14</v>
      </c>
      <c r="M122" s="15">
        <v>382.14</v>
      </c>
      <c r="N122" s="15">
        <v>382.14</v>
      </c>
      <c r="O122" t="s">
        <v>75</v>
      </c>
    </row>
    <row r="123" spans="1:15" x14ac:dyDescent="0.25">
      <c r="A123" s="10" t="s">
        <v>485</v>
      </c>
      <c r="B123" s="15">
        <v>0</v>
      </c>
      <c r="C123" s="15">
        <v>129.52000000000001</v>
      </c>
      <c r="D123" s="15">
        <v>129.18</v>
      </c>
      <c r="E123" s="15">
        <v>129.18</v>
      </c>
      <c r="F123" s="15">
        <v>129.18</v>
      </c>
      <c r="G123" s="15">
        <v>129.18</v>
      </c>
      <c r="H123" s="15">
        <v>129.18</v>
      </c>
      <c r="I123" s="15">
        <v>129.18</v>
      </c>
      <c r="J123" s="15">
        <v>100.25</v>
      </c>
      <c r="K123" s="15">
        <v>129.18</v>
      </c>
      <c r="L123" s="15">
        <v>129.18</v>
      </c>
      <c r="M123" s="15">
        <v>129.18</v>
      </c>
      <c r="N123" s="15">
        <v>129.19999999999999</v>
      </c>
      <c r="O123" t="s">
        <v>75</v>
      </c>
    </row>
    <row r="124" spans="1:15" x14ac:dyDescent="0.25">
      <c r="A124" s="10" t="s">
        <v>489</v>
      </c>
      <c r="B124" s="15">
        <v>0</v>
      </c>
      <c r="C124" s="15">
        <v>261.99</v>
      </c>
      <c r="D124" s="15">
        <v>199.61</v>
      </c>
      <c r="E124" s="15">
        <v>385.88</v>
      </c>
      <c r="F124" s="15">
        <v>155.56</v>
      </c>
      <c r="G124" s="15">
        <v>42.59</v>
      </c>
      <c r="H124" s="15">
        <v>657.8</v>
      </c>
      <c r="I124" s="15">
        <v>199.61</v>
      </c>
      <c r="J124" s="15">
        <v>689.75</v>
      </c>
      <c r="K124" s="15">
        <v>199.61</v>
      </c>
      <c r="L124" s="15">
        <v>199.61</v>
      </c>
      <c r="M124" s="15">
        <v>371.49</v>
      </c>
      <c r="N124" s="15">
        <v>270.51</v>
      </c>
      <c r="O124" t="s">
        <v>75</v>
      </c>
    </row>
    <row r="125" spans="1:15" x14ac:dyDescent="0.25">
      <c r="A125" s="10" t="s">
        <v>491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32.43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  <c r="O125" t="s">
        <v>75</v>
      </c>
    </row>
    <row r="126" spans="1:15" x14ac:dyDescent="0.25">
      <c r="A126" s="10" t="s">
        <v>493</v>
      </c>
      <c r="B126" s="15">
        <v>0</v>
      </c>
      <c r="C126" s="15">
        <v>0</v>
      </c>
      <c r="D126" s="15">
        <v>100.84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t="s">
        <v>75</v>
      </c>
    </row>
    <row r="127" spans="1:15" x14ac:dyDescent="0.25">
      <c r="A127" s="10" t="s">
        <v>495</v>
      </c>
      <c r="B127" s="15">
        <v>12.82</v>
      </c>
      <c r="C127" s="15">
        <v>157.47</v>
      </c>
      <c r="D127" s="15">
        <v>15.65</v>
      </c>
      <c r="E127" s="15">
        <v>25.12</v>
      </c>
      <c r="F127" s="15">
        <v>31.12</v>
      </c>
      <c r="G127" s="15">
        <v>25.12</v>
      </c>
      <c r="H127" s="15">
        <v>25.12</v>
      </c>
      <c r="I127" s="15">
        <v>25.12</v>
      </c>
      <c r="J127" s="15">
        <v>25.12</v>
      </c>
      <c r="K127" s="15">
        <v>25.12</v>
      </c>
      <c r="L127" s="15">
        <v>0</v>
      </c>
      <c r="M127" s="15">
        <v>25.12</v>
      </c>
      <c r="N127" s="15">
        <v>32.97</v>
      </c>
      <c r="O127" t="s">
        <v>75</v>
      </c>
    </row>
    <row r="128" spans="1:15" x14ac:dyDescent="0.25">
      <c r="A128" s="10" t="s">
        <v>499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913.05</v>
      </c>
      <c r="L128" s="15">
        <v>741.63</v>
      </c>
      <c r="M128" s="15">
        <v>741.63</v>
      </c>
      <c r="N128" s="15">
        <v>0</v>
      </c>
      <c r="O128" t="s">
        <v>75</v>
      </c>
    </row>
    <row r="129" spans="1:15" x14ac:dyDescent="0.25">
      <c r="A129" s="10" t="s">
        <v>501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13.14</v>
      </c>
      <c r="H129" s="15">
        <v>0</v>
      </c>
      <c r="I129" s="15">
        <v>44.93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t="s">
        <v>75</v>
      </c>
    </row>
    <row r="130" spans="1:15" x14ac:dyDescent="0.25">
      <c r="A130" s="10" t="s">
        <v>503</v>
      </c>
      <c r="B130" s="15">
        <v>1657.74</v>
      </c>
      <c r="C130" s="15">
        <v>2272.73</v>
      </c>
      <c r="D130" s="15">
        <v>2237.09</v>
      </c>
      <c r="E130" s="15">
        <v>2389.46</v>
      </c>
      <c r="F130" s="15">
        <v>2463.0500000000002</v>
      </c>
      <c r="G130" s="15">
        <v>2127.34</v>
      </c>
      <c r="H130" s="15">
        <v>2357.34</v>
      </c>
      <c r="I130" s="15">
        <v>2455.2199999999998</v>
      </c>
      <c r="J130" s="15">
        <v>2455.4899999999998</v>
      </c>
      <c r="K130" s="15">
        <v>2268.67</v>
      </c>
      <c r="L130" s="15">
        <v>2613.62</v>
      </c>
      <c r="M130" s="15">
        <v>2393.96</v>
      </c>
      <c r="N130" s="15">
        <v>2401.73</v>
      </c>
      <c r="O130" t="s">
        <v>75</v>
      </c>
    </row>
    <row r="131" spans="1:15" x14ac:dyDescent="0.25">
      <c r="A131" s="10" t="s">
        <v>505</v>
      </c>
      <c r="B131" s="15">
        <v>798.46</v>
      </c>
      <c r="C131" s="15">
        <v>1562.48</v>
      </c>
      <c r="D131" s="15">
        <v>1173.0899999999999</v>
      </c>
      <c r="E131" s="15">
        <v>1141.94</v>
      </c>
      <c r="F131" s="15">
        <v>1135.07</v>
      </c>
      <c r="G131" s="15">
        <v>1141.94</v>
      </c>
      <c r="H131" s="15">
        <v>1244.2</v>
      </c>
      <c r="I131" s="15">
        <v>1141.94</v>
      </c>
      <c r="J131" s="15">
        <v>1551</v>
      </c>
      <c r="K131" s="15">
        <v>1268.48</v>
      </c>
      <c r="L131" s="15">
        <v>1141.94</v>
      </c>
      <c r="M131" s="15">
        <v>528.24</v>
      </c>
      <c r="N131" s="15">
        <v>1217.3800000000001</v>
      </c>
      <c r="O131" t="s">
        <v>75</v>
      </c>
    </row>
    <row r="132" spans="1:15" x14ac:dyDescent="0.25">
      <c r="A132" s="10" t="s">
        <v>507</v>
      </c>
      <c r="B132" s="15">
        <v>0</v>
      </c>
      <c r="C132" s="15">
        <v>23.74</v>
      </c>
      <c r="D132" s="15">
        <v>20.94</v>
      </c>
      <c r="E132" s="15">
        <v>20.94</v>
      </c>
      <c r="F132" s="15">
        <v>17.23</v>
      </c>
      <c r="G132" s="15">
        <v>20.94</v>
      </c>
      <c r="H132" s="15">
        <v>20.41</v>
      </c>
      <c r="I132" s="15">
        <v>20.94</v>
      </c>
      <c r="J132" s="15">
        <v>20.94</v>
      </c>
      <c r="K132" s="15">
        <v>20.94</v>
      </c>
      <c r="L132" s="15">
        <v>90.27</v>
      </c>
      <c r="M132" s="15">
        <v>20.8</v>
      </c>
      <c r="N132" s="15">
        <v>21.17</v>
      </c>
      <c r="O132" t="s">
        <v>75</v>
      </c>
    </row>
    <row r="133" spans="1:15" x14ac:dyDescent="0.25">
      <c r="A133" s="10" t="s">
        <v>520</v>
      </c>
      <c r="B133" s="15">
        <v>0</v>
      </c>
      <c r="C133" s="15">
        <v>21.39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  <c r="O133" t="s">
        <v>75</v>
      </c>
    </row>
    <row r="134" spans="1:15" x14ac:dyDescent="0.25">
      <c r="A134" s="10" t="s">
        <v>524</v>
      </c>
      <c r="B134" s="15">
        <v>0</v>
      </c>
      <c r="C134" s="15">
        <v>504.94</v>
      </c>
      <c r="D134" s="15">
        <v>473.13</v>
      </c>
      <c r="E134" s="15">
        <v>473.13</v>
      </c>
      <c r="F134" s="15">
        <v>473.13</v>
      </c>
      <c r="G134" s="15">
        <v>807.16</v>
      </c>
      <c r="H134" s="15">
        <v>676.26</v>
      </c>
      <c r="I134" s="15">
        <v>30.8</v>
      </c>
      <c r="J134" s="15">
        <v>473.13</v>
      </c>
      <c r="K134" s="15">
        <v>473.13</v>
      </c>
      <c r="L134" s="15">
        <v>487.55</v>
      </c>
      <c r="M134" s="15">
        <v>473.13</v>
      </c>
      <c r="N134" s="15">
        <v>475.78</v>
      </c>
      <c r="O134" t="s">
        <v>75</v>
      </c>
    </row>
    <row r="135" spans="1:15" x14ac:dyDescent="0.25">
      <c r="A135" s="10" t="s">
        <v>528</v>
      </c>
      <c r="B135" s="15">
        <v>798.46</v>
      </c>
      <c r="C135" s="15">
        <v>624.9</v>
      </c>
      <c r="D135" s="15">
        <v>981.06</v>
      </c>
      <c r="E135" s="15">
        <v>998.44</v>
      </c>
      <c r="F135" s="15">
        <v>998.44</v>
      </c>
      <c r="G135" s="15">
        <v>998.44</v>
      </c>
      <c r="H135" s="15">
        <v>918.29</v>
      </c>
      <c r="I135" s="15">
        <v>1771.91</v>
      </c>
      <c r="J135" s="15">
        <v>938.15</v>
      </c>
      <c r="K135" s="15">
        <v>401.35</v>
      </c>
      <c r="L135" s="15">
        <v>0</v>
      </c>
      <c r="M135" s="15">
        <v>0</v>
      </c>
      <c r="N135" s="15">
        <v>492.24</v>
      </c>
      <c r="O135" t="s">
        <v>75</v>
      </c>
    </row>
    <row r="136" spans="1:15" x14ac:dyDescent="0.25">
      <c r="A136" s="10" t="s">
        <v>530</v>
      </c>
      <c r="B136" s="15">
        <v>1019.44</v>
      </c>
      <c r="C136" s="15">
        <v>1246.6199999999999</v>
      </c>
      <c r="D136" s="15">
        <v>1392.91</v>
      </c>
      <c r="E136" s="15">
        <v>1246.6199999999999</v>
      </c>
      <c r="F136" s="15">
        <v>1199.22</v>
      </c>
      <c r="G136" s="15">
        <v>1246.6199999999999</v>
      </c>
      <c r="H136" s="15">
        <v>1246.6199999999999</v>
      </c>
      <c r="I136" s="15">
        <v>1246.6199999999999</v>
      </c>
      <c r="J136" s="15">
        <v>1246.6199999999999</v>
      </c>
      <c r="K136" s="15">
        <v>1246.6199999999999</v>
      </c>
      <c r="L136" s="15">
        <v>1392.91</v>
      </c>
      <c r="M136" s="15">
        <v>572.07000000000005</v>
      </c>
      <c r="N136" s="15">
        <v>1246.6199999999999</v>
      </c>
      <c r="O136" t="s">
        <v>75</v>
      </c>
    </row>
    <row r="137" spans="1:15" x14ac:dyDescent="0.25">
      <c r="A137" s="10" t="s">
        <v>534</v>
      </c>
      <c r="B137" s="15">
        <v>575.89</v>
      </c>
      <c r="C137" s="15">
        <v>947.97</v>
      </c>
      <c r="D137" s="15">
        <v>547.82000000000005</v>
      </c>
      <c r="E137" s="15">
        <v>547.82000000000005</v>
      </c>
      <c r="F137" s="15">
        <v>547.82000000000005</v>
      </c>
      <c r="G137" s="15">
        <v>547.82000000000005</v>
      </c>
      <c r="H137" s="15">
        <v>547.82000000000005</v>
      </c>
      <c r="I137" s="15">
        <v>547.82000000000005</v>
      </c>
      <c r="J137" s="15">
        <v>547.82000000000005</v>
      </c>
      <c r="K137" s="15">
        <v>547.82000000000005</v>
      </c>
      <c r="L137" s="15">
        <v>721.87</v>
      </c>
      <c r="M137" s="15">
        <v>512.92999999999995</v>
      </c>
      <c r="N137" s="15">
        <v>589.9</v>
      </c>
      <c r="O137" t="s">
        <v>75</v>
      </c>
    </row>
    <row r="138" spans="1:15" x14ac:dyDescent="0.25">
      <c r="A138" s="10" t="s">
        <v>538</v>
      </c>
      <c r="B138" s="15">
        <v>981.35</v>
      </c>
      <c r="C138" s="15">
        <v>1681.21</v>
      </c>
      <c r="D138" s="15">
        <v>1209.24</v>
      </c>
      <c r="E138" s="15">
        <v>815.77</v>
      </c>
      <c r="F138" s="15">
        <v>1209.24</v>
      </c>
      <c r="G138" s="15">
        <v>1209.24</v>
      </c>
      <c r="H138" s="15">
        <v>1681.21</v>
      </c>
      <c r="I138" s="15">
        <v>290.5</v>
      </c>
      <c r="J138" s="15">
        <v>1130.45</v>
      </c>
      <c r="K138" s="15">
        <v>1209.24</v>
      </c>
      <c r="L138" s="15">
        <v>1330.36</v>
      </c>
      <c r="M138" s="15">
        <v>1209.24</v>
      </c>
      <c r="N138" s="15">
        <v>1209.24</v>
      </c>
      <c r="O138" t="s">
        <v>75</v>
      </c>
    </row>
    <row r="139" spans="1:15" x14ac:dyDescent="0.25">
      <c r="A139" s="10" t="s">
        <v>544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16.18</v>
      </c>
      <c r="L139" s="15">
        <v>33.31</v>
      </c>
      <c r="M139" s="15">
        <v>0</v>
      </c>
      <c r="N139" s="15">
        <v>0</v>
      </c>
      <c r="O139" t="s">
        <v>75</v>
      </c>
    </row>
    <row r="140" spans="1:15" x14ac:dyDescent="0.25">
      <c r="A140" s="10" t="s">
        <v>546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29.55</v>
      </c>
      <c r="N140" s="15">
        <v>0</v>
      </c>
      <c r="O140" t="s">
        <v>75</v>
      </c>
    </row>
    <row r="141" spans="1:15" x14ac:dyDescent="0.25">
      <c r="A141" s="10" t="s">
        <v>550</v>
      </c>
      <c r="B141" s="15">
        <v>0</v>
      </c>
      <c r="C141" s="15">
        <v>11.5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  <c r="O141" t="s">
        <v>75</v>
      </c>
    </row>
    <row r="142" spans="1:15" x14ac:dyDescent="0.25">
      <c r="A142" s="10" t="s">
        <v>552</v>
      </c>
      <c r="B142" s="15">
        <v>213.59</v>
      </c>
      <c r="C142" s="15">
        <v>556.67999999999995</v>
      </c>
      <c r="D142" s="15">
        <v>40.67</v>
      </c>
      <c r="E142" s="15">
        <v>109.53</v>
      </c>
      <c r="F142" s="15">
        <v>109.53</v>
      </c>
      <c r="G142" s="15">
        <v>104.3</v>
      </c>
      <c r="H142" s="15">
        <v>109.53</v>
      </c>
      <c r="I142" s="15">
        <v>109.53</v>
      </c>
      <c r="J142" s="15">
        <v>109.53</v>
      </c>
      <c r="K142" s="15">
        <v>109.53</v>
      </c>
      <c r="L142" s="15">
        <v>109.53</v>
      </c>
      <c r="M142" s="15">
        <v>109.53</v>
      </c>
      <c r="N142" s="15">
        <v>148.61000000000001</v>
      </c>
      <c r="O142" t="s">
        <v>75</v>
      </c>
    </row>
    <row r="143" spans="1:15" x14ac:dyDescent="0.25">
      <c r="A143" s="10" t="s">
        <v>554</v>
      </c>
      <c r="B143" s="15">
        <v>0</v>
      </c>
      <c r="C143" s="15">
        <v>37.64</v>
      </c>
      <c r="D143" s="15">
        <v>0</v>
      </c>
      <c r="E143" s="15">
        <v>39.619999999999997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  <c r="O143" t="s">
        <v>75</v>
      </c>
    </row>
    <row r="144" spans="1:15" x14ac:dyDescent="0.25">
      <c r="A144" s="10" t="s">
        <v>556</v>
      </c>
      <c r="B144" s="15">
        <v>21.36</v>
      </c>
      <c r="C144" s="15">
        <v>0</v>
      </c>
      <c r="D144" s="15">
        <v>41.67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25.52</v>
      </c>
      <c r="L144" s="15">
        <v>0</v>
      </c>
      <c r="M144" s="15">
        <v>0</v>
      </c>
      <c r="N144" s="15">
        <v>0</v>
      </c>
      <c r="O144" t="s">
        <v>75</v>
      </c>
    </row>
    <row r="145" spans="1:15" x14ac:dyDescent="0.25">
      <c r="A145" s="10" t="s">
        <v>560</v>
      </c>
      <c r="B145" s="15">
        <v>0</v>
      </c>
      <c r="C145" s="15">
        <v>1583.4</v>
      </c>
      <c r="D145" s="15">
        <v>1385.17</v>
      </c>
      <c r="E145" s="15">
        <v>1385.17</v>
      </c>
      <c r="F145" s="15">
        <v>1385.17</v>
      </c>
      <c r="G145" s="15">
        <v>1385.17</v>
      </c>
      <c r="H145" s="15">
        <v>1385.17</v>
      </c>
      <c r="I145" s="15">
        <v>2228.4699999999998</v>
      </c>
      <c r="J145" s="15">
        <v>965.14</v>
      </c>
      <c r="K145" s="15">
        <v>1385.17</v>
      </c>
      <c r="L145" s="15">
        <v>1385.17</v>
      </c>
      <c r="M145" s="15">
        <v>2008.77</v>
      </c>
      <c r="N145" s="15">
        <v>1420</v>
      </c>
      <c r="O145" t="s">
        <v>75</v>
      </c>
    </row>
    <row r="146" spans="1:15" x14ac:dyDescent="0.25">
      <c r="A146" s="10" t="s">
        <v>562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106.94</v>
      </c>
      <c r="L146" s="15">
        <v>397.32</v>
      </c>
      <c r="M146" s="15">
        <v>397.32</v>
      </c>
      <c r="N146" s="15">
        <v>0</v>
      </c>
      <c r="O146" t="s">
        <v>75</v>
      </c>
    </row>
    <row r="147" spans="1:15" x14ac:dyDescent="0.25">
      <c r="A147" s="10" t="s">
        <v>564</v>
      </c>
      <c r="B147" s="15">
        <v>0</v>
      </c>
      <c r="C147" s="15">
        <v>31.37</v>
      </c>
      <c r="D147" s="15">
        <v>25.4</v>
      </c>
      <c r="E147" s="15">
        <v>25.4</v>
      </c>
      <c r="F147" s="15">
        <v>25.4</v>
      </c>
      <c r="G147" s="15">
        <v>25.4</v>
      </c>
      <c r="H147" s="15">
        <v>0</v>
      </c>
      <c r="I147" s="15">
        <v>25.4</v>
      </c>
      <c r="J147" s="15">
        <v>25.4</v>
      </c>
      <c r="K147" s="15">
        <v>38.909999999999997</v>
      </c>
      <c r="L147" s="15">
        <v>0</v>
      </c>
      <c r="M147" s="15">
        <v>0</v>
      </c>
      <c r="N147" s="15">
        <v>0</v>
      </c>
      <c r="O147" t="s">
        <v>75</v>
      </c>
    </row>
    <row r="148" spans="1:15" x14ac:dyDescent="0.25">
      <c r="A148" s="10" t="s">
        <v>566</v>
      </c>
      <c r="B148" s="15">
        <v>12.82</v>
      </c>
      <c r="C148" s="15">
        <v>1062.67</v>
      </c>
      <c r="D148" s="15">
        <v>126.84</v>
      </c>
      <c r="E148" s="15">
        <v>130.69</v>
      </c>
      <c r="F148" s="15">
        <v>68.599999999999994</v>
      </c>
      <c r="G148" s="15">
        <v>75.97</v>
      </c>
      <c r="H148" s="15">
        <v>221.14</v>
      </c>
      <c r="I148" s="15">
        <v>72.010000000000005</v>
      </c>
      <c r="J148" s="15">
        <v>381.37</v>
      </c>
      <c r="K148" s="15">
        <v>68.599999999999994</v>
      </c>
      <c r="L148" s="15">
        <v>68.599999999999994</v>
      </c>
      <c r="M148" s="15">
        <v>68.599999999999994</v>
      </c>
      <c r="N148" s="15">
        <v>150.32</v>
      </c>
      <c r="O148" t="s">
        <v>75</v>
      </c>
    </row>
    <row r="149" spans="1:15" x14ac:dyDescent="0.25">
      <c r="A149" s="10" t="s">
        <v>570</v>
      </c>
      <c r="B149" s="15">
        <v>727.44</v>
      </c>
      <c r="C149" s="15">
        <v>552.54</v>
      </c>
      <c r="D149" s="15">
        <v>271.11</v>
      </c>
      <c r="E149" s="15">
        <v>426.73</v>
      </c>
      <c r="F149" s="15">
        <v>631.96</v>
      </c>
      <c r="G149" s="15">
        <v>210.21</v>
      </c>
      <c r="H149" s="15">
        <v>616.03</v>
      </c>
      <c r="I149" s="15">
        <v>616.03</v>
      </c>
      <c r="J149" s="15">
        <v>341.96</v>
      </c>
      <c r="K149" s="15">
        <v>341.96</v>
      </c>
      <c r="L149" s="15">
        <v>341.96</v>
      </c>
      <c r="M149" s="15">
        <v>341.96</v>
      </c>
      <c r="N149" s="15">
        <v>341.96</v>
      </c>
      <c r="O149" t="s">
        <v>75</v>
      </c>
    </row>
    <row r="150" spans="1:15" x14ac:dyDescent="0.25">
      <c r="A150" s="10" t="s">
        <v>574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22.89</v>
      </c>
      <c r="L150" s="15">
        <v>26.38</v>
      </c>
      <c r="M150" s="15">
        <v>0</v>
      </c>
      <c r="N150" s="15">
        <v>0</v>
      </c>
      <c r="O150" t="s">
        <v>75</v>
      </c>
    </row>
    <row r="151" spans="1:15" x14ac:dyDescent="0.25">
      <c r="A151" s="10" t="s">
        <v>576</v>
      </c>
      <c r="B151" s="15">
        <v>0</v>
      </c>
      <c r="C151" s="15">
        <v>96.26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t="s">
        <v>75</v>
      </c>
    </row>
    <row r="152" spans="1:15" x14ac:dyDescent="0.25">
      <c r="A152" s="10" t="s">
        <v>578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28.92</v>
      </c>
      <c r="K152" s="15">
        <v>15.66</v>
      </c>
      <c r="L152" s="15">
        <v>0</v>
      </c>
      <c r="M152" s="15">
        <v>0</v>
      </c>
      <c r="N152" s="15">
        <v>0</v>
      </c>
      <c r="O152" t="s">
        <v>75</v>
      </c>
    </row>
    <row r="153" spans="1:15" x14ac:dyDescent="0.25">
      <c r="A153" s="10" t="s">
        <v>584</v>
      </c>
      <c r="B153" s="15">
        <v>642.02</v>
      </c>
      <c r="C153" s="15">
        <v>822.89</v>
      </c>
      <c r="D153" s="15">
        <v>1432.16</v>
      </c>
      <c r="E153" s="15">
        <v>822.89</v>
      </c>
      <c r="F153" s="15">
        <v>261.66000000000003</v>
      </c>
      <c r="G153" s="15">
        <v>822.89</v>
      </c>
      <c r="H153" s="15">
        <v>822.89</v>
      </c>
      <c r="I153" s="15">
        <v>822.89</v>
      </c>
      <c r="J153" s="15">
        <v>822.89</v>
      </c>
      <c r="K153" s="15">
        <v>822.89</v>
      </c>
      <c r="L153" s="15">
        <v>822.89</v>
      </c>
      <c r="M153" s="15">
        <v>822.89</v>
      </c>
      <c r="N153" s="15">
        <v>822.89</v>
      </c>
      <c r="O153" t="s">
        <v>75</v>
      </c>
    </row>
    <row r="154" spans="1:15" x14ac:dyDescent="0.25">
      <c r="A154" s="10" t="s">
        <v>586</v>
      </c>
      <c r="B154" s="15">
        <v>430.94</v>
      </c>
      <c r="C154" s="15">
        <v>635.57000000000005</v>
      </c>
      <c r="D154" s="15">
        <v>707.04</v>
      </c>
      <c r="E154" s="15">
        <v>779.74</v>
      </c>
      <c r="F154" s="15">
        <v>141.55000000000001</v>
      </c>
      <c r="G154" s="15">
        <v>545.41999999999996</v>
      </c>
      <c r="H154" s="15">
        <v>545.41999999999996</v>
      </c>
      <c r="I154" s="15">
        <v>545.41999999999996</v>
      </c>
      <c r="J154" s="15">
        <v>702.07</v>
      </c>
      <c r="K154" s="15">
        <v>55.31</v>
      </c>
      <c r="L154" s="15">
        <v>545.41999999999996</v>
      </c>
      <c r="M154" s="15">
        <v>545.41999999999996</v>
      </c>
      <c r="N154" s="15">
        <v>545.41999999999996</v>
      </c>
      <c r="O154" t="s">
        <v>75</v>
      </c>
    </row>
    <row r="155" spans="1:15" x14ac:dyDescent="0.25">
      <c r="A155" s="10" t="s">
        <v>588</v>
      </c>
      <c r="B155" s="15">
        <v>430.94</v>
      </c>
      <c r="C155" s="15">
        <v>619.92999999999995</v>
      </c>
      <c r="D155" s="15">
        <v>1051.0899999999999</v>
      </c>
      <c r="E155" s="15">
        <v>619.92999999999995</v>
      </c>
      <c r="F155" s="15">
        <v>619.92999999999995</v>
      </c>
      <c r="G155" s="15">
        <v>619.92999999999995</v>
      </c>
      <c r="H155" s="15">
        <v>1080.3399999999999</v>
      </c>
      <c r="I155" s="15">
        <v>1051.0899999999999</v>
      </c>
      <c r="J155" s="15">
        <v>169.01</v>
      </c>
      <c r="K155" s="15">
        <v>619.92999999999995</v>
      </c>
      <c r="L155" s="15">
        <v>619.92999999999995</v>
      </c>
      <c r="M155" s="15">
        <v>619.92999999999995</v>
      </c>
      <c r="N155" s="15">
        <v>691.79</v>
      </c>
      <c r="O155" t="s">
        <v>75</v>
      </c>
    </row>
    <row r="156" spans="1:15" x14ac:dyDescent="0.25">
      <c r="A156" s="10" t="s">
        <v>590</v>
      </c>
      <c r="B156" s="15">
        <v>16.09</v>
      </c>
      <c r="C156" s="15">
        <v>0</v>
      </c>
      <c r="D156" s="15">
        <v>97.85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t="s">
        <v>75</v>
      </c>
    </row>
    <row r="157" spans="1:15" x14ac:dyDescent="0.25">
      <c r="A157" s="10" t="s">
        <v>600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26.51</v>
      </c>
      <c r="L157" s="15">
        <v>0</v>
      </c>
      <c r="M157" s="15">
        <v>0</v>
      </c>
      <c r="N157" s="15">
        <v>0</v>
      </c>
      <c r="O157" t="s">
        <v>75</v>
      </c>
    </row>
    <row r="158" spans="1:15" x14ac:dyDescent="0.25">
      <c r="A158" s="10" t="s">
        <v>610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15.66</v>
      </c>
      <c r="L158" s="15">
        <v>27.11</v>
      </c>
      <c r="M158" s="15">
        <v>0</v>
      </c>
      <c r="N158" s="15">
        <v>0</v>
      </c>
      <c r="O158" t="s">
        <v>75</v>
      </c>
    </row>
    <row r="159" spans="1:15" x14ac:dyDescent="0.25">
      <c r="A159" s="10" t="s">
        <v>612</v>
      </c>
      <c r="B159" s="15">
        <v>430.94</v>
      </c>
      <c r="C159" s="15">
        <v>491.38</v>
      </c>
      <c r="D159" s="15">
        <v>491.38</v>
      </c>
      <c r="E159" s="15">
        <v>491.38</v>
      </c>
      <c r="F159" s="15">
        <v>491.38</v>
      </c>
      <c r="G159" s="15">
        <v>491.38</v>
      </c>
      <c r="H159" s="15">
        <v>748.35</v>
      </c>
      <c r="I159" s="15">
        <v>345.81</v>
      </c>
      <c r="J159" s="15">
        <v>288.17</v>
      </c>
      <c r="K159" s="15">
        <v>491.38</v>
      </c>
      <c r="L159" s="15">
        <v>702.14</v>
      </c>
      <c r="M159" s="15">
        <v>472.86</v>
      </c>
      <c r="N159" s="15">
        <v>619.92999999999995</v>
      </c>
      <c r="O159" t="s">
        <v>75</v>
      </c>
    </row>
    <row r="160" spans="1:15" x14ac:dyDescent="0.25">
      <c r="A160" s="10" t="s">
        <v>614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26.89</v>
      </c>
      <c r="L160" s="15">
        <v>0</v>
      </c>
      <c r="M160" s="15">
        <v>0</v>
      </c>
      <c r="N160" s="15">
        <v>0</v>
      </c>
      <c r="O160" t="s">
        <v>75</v>
      </c>
    </row>
    <row r="161" spans="1:15" x14ac:dyDescent="0.25">
      <c r="A161" s="10" t="s">
        <v>616</v>
      </c>
      <c r="B161" s="15">
        <v>22.31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t="s">
        <v>75</v>
      </c>
    </row>
    <row r="162" spans="1:15" x14ac:dyDescent="0.25">
      <c r="A162" s="10" t="s">
        <v>620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10.7</v>
      </c>
      <c r="L162" s="15">
        <v>0</v>
      </c>
      <c r="M162" s="15">
        <v>0</v>
      </c>
      <c r="N162" s="15">
        <v>0</v>
      </c>
      <c r="O162" t="s">
        <v>75</v>
      </c>
    </row>
    <row r="163" spans="1:15" x14ac:dyDescent="0.25">
      <c r="A163" s="10" t="s">
        <v>622</v>
      </c>
      <c r="B163" s="15">
        <v>0</v>
      </c>
      <c r="C163" s="15">
        <v>0</v>
      </c>
      <c r="D163" s="15">
        <v>97.8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  <c r="O163" t="s">
        <v>75</v>
      </c>
    </row>
    <row r="164" spans="1:15" x14ac:dyDescent="0.25">
      <c r="A164" s="10" t="s">
        <v>626</v>
      </c>
      <c r="B164" s="15">
        <v>213.24</v>
      </c>
      <c r="C164" s="15">
        <v>282.02</v>
      </c>
      <c r="D164" s="15">
        <v>326.20999999999998</v>
      </c>
      <c r="E164" s="15">
        <v>326.20999999999998</v>
      </c>
      <c r="F164" s="15">
        <v>326.20999999999998</v>
      </c>
      <c r="G164" s="15">
        <v>326.20999999999998</v>
      </c>
      <c r="H164" s="15">
        <v>326.20999999999998</v>
      </c>
      <c r="I164" s="15">
        <v>326.20999999999998</v>
      </c>
      <c r="J164" s="15">
        <v>326.20999999999998</v>
      </c>
      <c r="K164" s="15">
        <v>326.20999999999998</v>
      </c>
      <c r="L164" s="15">
        <v>326.20999999999998</v>
      </c>
      <c r="M164" s="15">
        <v>57.15</v>
      </c>
      <c r="N164" s="15">
        <v>326.20999999999998</v>
      </c>
      <c r="O164" t="s">
        <v>75</v>
      </c>
    </row>
    <row r="165" spans="1:15" x14ac:dyDescent="0.25">
      <c r="A165" s="10" t="s">
        <v>628</v>
      </c>
      <c r="B165" s="15">
        <v>642.02</v>
      </c>
      <c r="C165" s="15">
        <v>860.74</v>
      </c>
      <c r="D165" s="15">
        <v>813.64</v>
      </c>
      <c r="E165" s="15">
        <v>716.87</v>
      </c>
      <c r="F165" s="15">
        <v>759.03</v>
      </c>
      <c r="G165" s="15">
        <v>759.03</v>
      </c>
      <c r="H165" s="15">
        <v>759.03</v>
      </c>
      <c r="I165" s="15">
        <v>759.03</v>
      </c>
      <c r="J165" s="15">
        <v>759.03</v>
      </c>
      <c r="K165" s="15">
        <v>759.03</v>
      </c>
      <c r="L165" s="15">
        <v>813.64</v>
      </c>
      <c r="M165" s="15">
        <v>262.44</v>
      </c>
      <c r="N165" s="15">
        <v>767.5</v>
      </c>
      <c r="O165" t="s">
        <v>75</v>
      </c>
    </row>
    <row r="166" spans="1:15" x14ac:dyDescent="0.25">
      <c r="A166" s="10" t="s">
        <v>630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54.41</v>
      </c>
      <c r="K166" s="15">
        <v>0</v>
      </c>
      <c r="L166" s="15">
        <v>0</v>
      </c>
      <c r="M166" s="15">
        <v>0</v>
      </c>
      <c r="N166" s="15">
        <v>0</v>
      </c>
      <c r="O166" t="s">
        <v>75</v>
      </c>
    </row>
    <row r="167" spans="1:15" x14ac:dyDescent="0.25">
      <c r="A167" s="10" t="s">
        <v>632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41.71</v>
      </c>
      <c r="K167" s="15">
        <v>0</v>
      </c>
      <c r="L167" s="15">
        <v>0</v>
      </c>
      <c r="M167" s="15">
        <v>0</v>
      </c>
      <c r="N167" s="15">
        <v>0</v>
      </c>
      <c r="O167" t="s">
        <v>75</v>
      </c>
    </row>
    <row r="168" spans="1:15" x14ac:dyDescent="0.25">
      <c r="A168" s="10" t="s">
        <v>636</v>
      </c>
      <c r="B168" s="15">
        <v>0</v>
      </c>
      <c r="C168" s="15">
        <v>0</v>
      </c>
      <c r="D168" s="15">
        <v>0</v>
      </c>
      <c r="E168" s="15">
        <v>80.36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t="s">
        <v>75</v>
      </c>
    </row>
    <row r="169" spans="1:15" x14ac:dyDescent="0.25">
      <c r="A169" s="10" t="s">
        <v>638</v>
      </c>
      <c r="B169" s="15">
        <v>737.52</v>
      </c>
      <c r="C169" s="15">
        <v>230.01</v>
      </c>
      <c r="D169" s="15">
        <v>412.34</v>
      </c>
      <c r="E169" s="15">
        <v>522.29999999999995</v>
      </c>
      <c r="F169" s="15">
        <v>522.29999999999995</v>
      </c>
      <c r="G169" s="15">
        <v>522.29999999999995</v>
      </c>
      <c r="H169" s="15">
        <v>522.29999999999995</v>
      </c>
      <c r="I169" s="15">
        <v>522.29999999999995</v>
      </c>
      <c r="J169" s="15">
        <v>522.29999999999995</v>
      </c>
      <c r="K169" s="15">
        <v>522.29999999999995</v>
      </c>
      <c r="L169" s="15">
        <v>522.29999999999995</v>
      </c>
      <c r="M169" s="15">
        <v>1656.74</v>
      </c>
      <c r="N169" s="15">
        <v>572.82000000000005</v>
      </c>
      <c r="O169" t="s">
        <v>75</v>
      </c>
    </row>
    <row r="170" spans="1:15" x14ac:dyDescent="0.25">
      <c r="A170" s="10" t="s">
        <v>640</v>
      </c>
      <c r="B170" s="15">
        <v>106.7</v>
      </c>
      <c r="C170" s="15">
        <v>425.04</v>
      </c>
      <c r="D170" s="15">
        <v>587.63</v>
      </c>
      <c r="E170" s="15">
        <v>354.66</v>
      </c>
      <c r="F170" s="15">
        <v>64.34</v>
      </c>
      <c r="G170" s="15">
        <v>354.66</v>
      </c>
      <c r="H170" s="15">
        <v>354.66</v>
      </c>
      <c r="I170" s="15">
        <v>354.66</v>
      </c>
      <c r="J170" s="15">
        <v>354.66</v>
      </c>
      <c r="K170" s="15">
        <v>354.66</v>
      </c>
      <c r="L170" s="15">
        <v>354.66</v>
      </c>
      <c r="M170" s="15">
        <v>354.66</v>
      </c>
      <c r="N170" s="15">
        <v>360.35</v>
      </c>
      <c r="O170" t="s">
        <v>75</v>
      </c>
    </row>
    <row r="171" spans="1:15" x14ac:dyDescent="0.25">
      <c r="A171" s="10" t="s">
        <v>646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13.34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  <c r="O171" t="s">
        <v>75</v>
      </c>
    </row>
    <row r="172" spans="1:15" x14ac:dyDescent="0.25">
      <c r="A172" s="10" t="s">
        <v>654</v>
      </c>
      <c r="B172" s="15">
        <v>0</v>
      </c>
      <c r="C172" s="15">
        <v>30.7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t="s">
        <v>75</v>
      </c>
    </row>
    <row r="173" spans="1:15" x14ac:dyDescent="0.25">
      <c r="A173" s="10" t="s">
        <v>656</v>
      </c>
      <c r="B173" s="15">
        <v>389.78</v>
      </c>
      <c r="C173" s="15">
        <v>1006.1</v>
      </c>
      <c r="D173" s="15">
        <v>535.66999999999996</v>
      </c>
      <c r="E173" s="15">
        <v>105.77</v>
      </c>
      <c r="F173" s="15">
        <v>535.66999999999996</v>
      </c>
      <c r="G173" s="15">
        <v>527.16</v>
      </c>
      <c r="H173" s="15">
        <v>350.03</v>
      </c>
      <c r="I173" s="15">
        <v>281.11</v>
      </c>
      <c r="J173" s="15">
        <v>535.66999999999996</v>
      </c>
      <c r="K173" s="15">
        <v>535.66999999999996</v>
      </c>
      <c r="L173" s="15">
        <v>535.66999999999996</v>
      </c>
      <c r="M173" s="15">
        <v>535.66999999999996</v>
      </c>
      <c r="N173" s="15">
        <v>543.97</v>
      </c>
      <c r="O173" t="s">
        <v>75</v>
      </c>
    </row>
    <row r="174" spans="1:15" x14ac:dyDescent="0.25">
      <c r="A174" s="10" t="s">
        <v>658</v>
      </c>
      <c r="B174" s="15">
        <v>0</v>
      </c>
      <c r="C174" s="15">
        <v>23.15</v>
      </c>
      <c r="D174" s="15">
        <v>0</v>
      </c>
      <c r="E174" s="15">
        <v>21.48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t="s">
        <v>75</v>
      </c>
    </row>
    <row r="175" spans="1:15" x14ac:dyDescent="0.25">
      <c r="A175" s="10" t="s">
        <v>666</v>
      </c>
      <c r="B175" s="15">
        <v>0</v>
      </c>
      <c r="C175" s="15">
        <v>120.59</v>
      </c>
      <c r="D175" s="15">
        <v>120.59</v>
      </c>
      <c r="E175" s="15">
        <v>120.59</v>
      </c>
      <c r="F175" s="15">
        <v>120.59</v>
      </c>
      <c r="G175" s="15">
        <v>120.59</v>
      </c>
      <c r="H175" s="15">
        <v>120.59</v>
      </c>
      <c r="I175" s="15">
        <v>120.59</v>
      </c>
      <c r="J175" s="15">
        <v>120.59</v>
      </c>
      <c r="K175" s="15">
        <v>120.59</v>
      </c>
      <c r="L175" s="15">
        <v>200.13</v>
      </c>
      <c r="M175" s="15">
        <v>98.73</v>
      </c>
      <c r="N175" s="15">
        <v>120.59</v>
      </c>
      <c r="O175" t="s">
        <v>75</v>
      </c>
    </row>
    <row r="176" spans="1:15" x14ac:dyDescent="0.25">
      <c r="A176" s="10" t="s">
        <v>668</v>
      </c>
      <c r="B176" s="15">
        <v>0</v>
      </c>
      <c r="C176" s="15">
        <v>144.30000000000001</v>
      </c>
      <c r="D176" s="15">
        <v>126.23</v>
      </c>
      <c r="E176" s="15">
        <v>121.12</v>
      </c>
      <c r="F176" s="15">
        <v>136.81</v>
      </c>
      <c r="G176" s="15">
        <v>113.82</v>
      </c>
      <c r="H176" s="15">
        <v>46</v>
      </c>
      <c r="I176" s="15">
        <v>233.25</v>
      </c>
      <c r="J176" s="15">
        <v>184.63</v>
      </c>
      <c r="K176" s="15">
        <v>179.53</v>
      </c>
      <c r="L176" s="15">
        <v>132.41999999999999</v>
      </c>
      <c r="M176" s="15">
        <v>113.82</v>
      </c>
      <c r="N176" s="15">
        <v>136.03</v>
      </c>
      <c r="O176" t="s">
        <v>75</v>
      </c>
    </row>
    <row r="177" spans="1:15" x14ac:dyDescent="0.25">
      <c r="A177" s="10" t="s">
        <v>670</v>
      </c>
      <c r="B177" s="15">
        <v>972.43</v>
      </c>
      <c r="C177" s="15">
        <v>1127.54</v>
      </c>
      <c r="D177" s="15">
        <v>1127.54</v>
      </c>
      <c r="E177" s="15">
        <v>1127.54</v>
      </c>
      <c r="F177" s="15">
        <v>1127.54</v>
      </c>
      <c r="G177" s="15">
        <v>565.85</v>
      </c>
      <c r="H177" s="15">
        <v>0</v>
      </c>
      <c r="I177" s="15">
        <v>0</v>
      </c>
      <c r="J177" s="15">
        <v>893.5</v>
      </c>
      <c r="K177" s="15">
        <v>0</v>
      </c>
      <c r="L177" s="15">
        <v>816.32</v>
      </c>
      <c r="M177" s="15">
        <v>1127.54</v>
      </c>
      <c r="N177" s="15">
        <v>600.96</v>
      </c>
      <c r="O177" t="s">
        <v>75</v>
      </c>
    </row>
    <row r="178" spans="1:15" x14ac:dyDescent="0.25">
      <c r="A178" s="10" t="s">
        <v>672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15.66</v>
      </c>
      <c r="L178" s="15">
        <v>0</v>
      </c>
      <c r="M178" s="15">
        <v>0</v>
      </c>
      <c r="N178" s="15">
        <v>0</v>
      </c>
      <c r="O178" t="s">
        <v>75</v>
      </c>
    </row>
    <row r="179" spans="1:15" x14ac:dyDescent="0.25">
      <c r="A179" s="10" t="s">
        <v>674</v>
      </c>
      <c r="B179" s="15">
        <v>0</v>
      </c>
      <c r="C179" s="15">
        <v>10.9</v>
      </c>
      <c r="D179" s="15">
        <v>10.5</v>
      </c>
      <c r="E179" s="15">
        <v>0</v>
      </c>
      <c r="F179" s="15">
        <v>10.9</v>
      </c>
      <c r="G179" s="15">
        <v>10.07</v>
      </c>
      <c r="H179" s="15">
        <v>10.19</v>
      </c>
      <c r="I179" s="15">
        <v>10.9</v>
      </c>
      <c r="J179" s="15">
        <v>0</v>
      </c>
      <c r="K179" s="15">
        <v>0</v>
      </c>
      <c r="L179" s="15">
        <v>10.9</v>
      </c>
      <c r="M179" s="15">
        <v>0</v>
      </c>
      <c r="N179" s="15">
        <v>0</v>
      </c>
      <c r="O179" t="s">
        <v>75</v>
      </c>
    </row>
    <row r="180" spans="1:15" x14ac:dyDescent="0.25">
      <c r="A180" s="10" t="s">
        <v>678</v>
      </c>
      <c r="B180" s="15">
        <v>0</v>
      </c>
      <c r="C180" s="15">
        <v>0</v>
      </c>
      <c r="D180" s="15">
        <v>0</v>
      </c>
      <c r="E180" s="15">
        <v>518.01</v>
      </c>
      <c r="F180" s="15">
        <v>1698.99</v>
      </c>
      <c r="G180" s="15">
        <v>1850.4</v>
      </c>
      <c r="H180" s="15">
        <v>1856.46</v>
      </c>
      <c r="I180" s="15">
        <v>1929.14</v>
      </c>
      <c r="J180" s="15">
        <v>1923.08</v>
      </c>
      <c r="K180" s="15">
        <v>1885.75</v>
      </c>
      <c r="L180" s="15">
        <v>1917.02</v>
      </c>
      <c r="M180" s="15">
        <v>2031.47</v>
      </c>
      <c r="N180" s="15">
        <v>1369.79</v>
      </c>
      <c r="O180" t="s">
        <v>75</v>
      </c>
    </row>
    <row r="181" spans="1:15" x14ac:dyDescent="0.25">
      <c r="A181" s="10" t="s">
        <v>690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15.66</v>
      </c>
      <c r="L181" s="15">
        <v>0</v>
      </c>
      <c r="M181" s="15">
        <v>0</v>
      </c>
      <c r="N181" s="15">
        <v>0</v>
      </c>
      <c r="O181" t="s">
        <v>75</v>
      </c>
    </row>
    <row r="182" spans="1:15" x14ac:dyDescent="0.25">
      <c r="A182" s="10" t="s">
        <v>694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55.03</v>
      </c>
      <c r="M182" s="15">
        <v>10.46</v>
      </c>
      <c r="N182" s="15">
        <v>0</v>
      </c>
      <c r="O182" t="s">
        <v>75</v>
      </c>
    </row>
    <row r="183" spans="1:15" x14ac:dyDescent="0.25">
      <c r="A183" s="10" t="s">
        <v>698</v>
      </c>
      <c r="B183" s="15">
        <v>0</v>
      </c>
      <c r="C183" s="15">
        <v>17.059999999999999</v>
      </c>
      <c r="D183" s="15">
        <v>13.71</v>
      </c>
      <c r="E183" s="15">
        <v>13.71</v>
      </c>
      <c r="F183" s="15">
        <v>13.71</v>
      </c>
      <c r="G183" s="15">
        <v>0</v>
      </c>
      <c r="H183" s="15">
        <v>0</v>
      </c>
      <c r="I183" s="15">
        <v>13.71</v>
      </c>
      <c r="J183" s="15">
        <v>13.71</v>
      </c>
      <c r="K183" s="15">
        <v>13.71</v>
      </c>
      <c r="L183" s="15">
        <v>13.71</v>
      </c>
      <c r="M183" s="15">
        <v>0</v>
      </c>
      <c r="N183" s="15">
        <v>13.99</v>
      </c>
      <c r="O183" t="s">
        <v>75</v>
      </c>
    </row>
    <row r="184" spans="1:15" x14ac:dyDescent="0.25">
      <c r="A184" s="10" t="s">
        <v>700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41.77</v>
      </c>
      <c r="L184" s="15">
        <v>0</v>
      </c>
      <c r="M184" s="15">
        <v>0</v>
      </c>
      <c r="N184" s="15">
        <v>0</v>
      </c>
      <c r="O184" t="s">
        <v>75</v>
      </c>
    </row>
    <row r="185" spans="1:15" x14ac:dyDescent="0.25">
      <c r="A185" s="10" t="s">
        <v>708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22.1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t="s">
        <v>75</v>
      </c>
    </row>
    <row r="186" spans="1:15" x14ac:dyDescent="0.25">
      <c r="A186" s="10" t="s">
        <v>710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15.55</v>
      </c>
      <c r="L186" s="15">
        <v>0</v>
      </c>
      <c r="M186" s="15">
        <v>0</v>
      </c>
      <c r="N186" s="15">
        <v>0</v>
      </c>
      <c r="O186" t="s">
        <v>75</v>
      </c>
    </row>
    <row r="187" spans="1:15" x14ac:dyDescent="0.25">
      <c r="A187" s="10" t="s">
        <v>712</v>
      </c>
      <c r="B187" s="15">
        <v>936.25</v>
      </c>
      <c r="C187" s="15">
        <v>1058.18</v>
      </c>
      <c r="D187" s="15">
        <v>946.31</v>
      </c>
      <c r="E187" s="15">
        <v>946.31</v>
      </c>
      <c r="F187" s="15">
        <v>946.31</v>
      </c>
      <c r="G187" s="15">
        <v>946.31</v>
      </c>
      <c r="H187" s="15">
        <v>946.31</v>
      </c>
      <c r="I187" s="15">
        <v>946.31</v>
      </c>
      <c r="J187" s="15">
        <v>1676.68</v>
      </c>
      <c r="K187" s="15">
        <v>946.31</v>
      </c>
      <c r="L187" s="15">
        <v>287.58999999999997</v>
      </c>
      <c r="M187" s="15">
        <v>946.31</v>
      </c>
      <c r="N187" s="15">
        <v>955.63</v>
      </c>
      <c r="O187" t="s">
        <v>75</v>
      </c>
    </row>
    <row r="188" spans="1:15" x14ac:dyDescent="0.25">
      <c r="A188" s="10" t="s">
        <v>714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10.54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t="s">
        <v>75</v>
      </c>
    </row>
    <row r="189" spans="1:15" x14ac:dyDescent="0.25">
      <c r="A189" s="10" t="s">
        <v>716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28.98</v>
      </c>
      <c r="L189" s="15">
        <v>0</v>
      </c>
      <c r="M189" s="15">
        <v>0</v>
      </c>
      <c r="N189" s="15">
        <v>0</v>
      </c>
      <c r="O189" t="s">
        <v>75</v>
      </c>
    </row>
    <row r="190" spans="1:15" x14ac:dyDescent="0.25">
      <c r="A190" s="10" t="s">
        <v>720</v>
      </c>
      <c r="B190" s="15">
        <v>14.76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t="s">
        <v>75</v>
      </c>
    </row>
    <row r="191" spans="1:15" x14ac:dyDescent="0.25">
      <c r="A191" s="10" t="s">
        <v>722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16.95</v>
      </c>
      <c r="L191" s="15">
        <v>0</v>
      </c>
      <c r="M191" s="15">
        <v>0</v>
      </c>
      <c r="N191" s="15">
        <v>0</v>
      </c>
      <c r="O191" t="s">
        <v>75</v>
      </c>
    </row>
    <row r="192" spans="1:15" x14ac:dyDescent="0.25">
      <c r="A192" s="10" t="s">
        <v>726</v>
      </c>
      <c r="B192" s="15">
        <v>0</v>
      </c>
      <c r="C192" s="15">
        <v>12.75</v>
      </c>
      <c r="D192" s="15">
        <v>0</v>
      </c>
      <c r="E192" s="15">
        <v>0</v>
      </c>
      <c r="F192" s="15">
        <v>40.94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t="s">
        <v>75</v>
      </c>
    </row>
    <row r="193" spans="1:15" x14ac:dyDescent="0.25">
      <c r="A193" s="10" t="s">
        <v>732</v>
      </c>
      <c r="B193" s="15">
        <v>22.31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  <c r="O193" t="s">
        <v>75</v>
      </c>
    </row>
    <row r="194" spans="1:15" x14ac:dyDescent="0.25">
      <c r="A194" s="10" t="s">
        <v>734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33.950000000000003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t="s">
        <v>75</v>
      </c>
    </row>
    <row r="195" spans="1:15" x14ac:dyDescent="0.25">
      <c r="A195" s="10" t="s">
        <v>736</v>
      </c>
      <c r="B195" s="15">
        <v>1371.85</v>
      </c>
      <c r="C195" s="15">
        <v>1547.06</v>
      </c>
      <c r="D195" s="15">
        <v>1547.06</v>
      </c>
      <c r="E195" s="15">
        <v>1547.06</v>
      </c>
      <c r="F195" s="15">
        <v>1547.06</v>
      </c>
      <c r="G195" s="15">
        <v>3926.61</v>
      </c>
      <c r="H195" s="15">
        <v>1547.06</v>
      </c>
      <c r="I195" s="15">
        <v>127.64</v>
      </c>
      <c r="J195" s="15">
        <v>1375.49</v>
      </c>
      <c r="K195" s="15">
        <v>1547.06</v>
      </c>
      <c r="L195" s="15">
        <v>1547.06</v>
      </c>
      <c r="M195" s="15">
        <v>1547.06</v>
      </c>
      <c r="N195" s="15">
        <v>1547.06</v>
      </c>
      <c r="O195" t="s">
        <v>75</v>
      </c>
    </row>
    <row r="196" spans="1:15" x14ac:dyDescent="0.25">
      <c r="A196" s="10" t="s">
        <v>738</v>
      </c>
      <c r="B196" s="15">
        <v>50.18</v>
      </c>
      <c r="C196" s="15">
        <v>363.54</v>
      </c>
      <c r="D196" s="15">
        <v>77.03</v>
      </c>
      <c r="E196" s="15">
        <v>61.89</v>
      </c>
      <c r="F196" s="15">
        <v>77.03</v>
      </c>
      <c r="G196" s="15">
        <v>77.03</v>
      </c>
      <c r="H196" s="15">
        <v>77.03</v>
      </c>
      <c r="I196" s="15">
        <v>77.03</v>
      </c>
      <c r="J196" s="15">
        <v>77.03</v>
      </c>
      <c r="K196" s="15">
        <v>0</v>
      </c>
      <c r="L196" s="15">
        <v>77.03</v>
      </c>
      <c r="M196" s="15">
        <v>77.03</v>
      </c>
      <c r="N196" s="15">
        <v>96.38</v>
      </c>
      <c r="O196" t="s">
        <v>75</v>
      </c>
    </row>
    <row r="197" spans="1:15" x14ac:dyDescent="0.25">
      <c r="A197" s="10" t="s">
        <v>740</v>
      </c>
      <c r="B197" s="15">
        <v>539.05999999999995</v>
      </c>
      <c r="C197" s="15">
        <v>869.66</v>
      </c>
      <c r="D197" s="15">
        <v>822.89</v>
      </c>
      <c r="E197" s="15">
        <v>822.89</v>
      </c>
      <c r="F197" s="15">
        <v>822.89</v>
      </c>
      <c r="G197" s="15">
        <v>884.07</v>
      </c>
      <c r="H197" s="15">
        <v>779.91</v>
      </c>
      <c r="I197" s="15">
        <v>822.89</v>
      </c>
      <c r="J197" s="15">
        <v>822.89</v>
      </c>
      <c r="K197" s="15">
        <v>822.89</v>
      </c>
      <c r="L197" s="15">
        <v>884.07</v>
      </c>
      <c r="M197" s="15">
        <v>299.11</v>
      </c>
      <c r="N197" s="15">
        <v>826.79</v>
      </c>
      <c r="O197" t="s">
        <v>75</v>
      </c>
    </row>
    <row r="198" spans="1:15" x14ac:dyDescent="0.25">
      <c r="A198" s="10" t="s">
        <v>744</v>
      </c>
      <c r="B198" s="15">
        <v>0</v>
      </c>
      <c r="C198" s="15">
        <v>11.56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t="s">
        <v>75</v>
      </c>
    </row>
    <row r="199" spans="1:15" x14ac:dyDescent="0.25">
      <c r="A199" s="10" t="s">
        <v>748</v>
      </c>
      <c r="B199" s="15">
        <v>466.82</v>
      </c>
      <c r="C199" s="15">
        <v>525.28</v>
      </c>
      <c r="D199" s="15">
        <v>525.28</v>
      </c>
      <c r="E199" s="15">
        <v>525.28</v>
      </c>
      <c r="F199" s="15">
        <v>525.28</v>
      </c>
      <c r="G199" s="15">
        <v>525.28</v>
      </c>
      <c r="H199" s="15">
        <v>525.27</v>
      </c>
      <c r="I199" s="15">
        <v>525.27</v>
      </c>
      <c r="J199" s="15">
        <v>525.27</v>
      </c>
      <c r="K199" s="15">
        <v>525.27</v>
      </c>
      <c r="L199" s="15">
        <v>525.27</v>
      </c>
      <c r="M199" s="15">
        <v>525.27</v>
      </c>
      <c r="N199" s="15">
        <v>525.27</v>
      </c>
      <c r="O199" t="s">
        <v>75</v>
      </c>
    </row>
    <row r="200" spans="1:15" x14ac:dyDescent="0.25">
      <c r="A200" s="10" t="s">
        <v>752</v>
      </c>
      <c r="B200" s="15">
        <v>11.95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67.349999999999994</v>
      </c>
      <c r="M200" s="15">
        <v>0</v>
      </c>
      <c r="N200" s="15">
        <v>0</v>
      </c>
      <c r="O200" t="s">
        <v>75</v>
      </c>
    </row>
    <row r="201" spans="1:15" x14ac:dyDescent="0.25">
      <c r="A201" s="10" t="s">
        <v>756</v>
      </c>
      <c r="B201" s="15">
        <v>798.46</v>
      </c>
      <c r="C201" s="15">
        <v>605.5</v>
      </c>
      <c r="D201" s="15">
        <v>421.41</v>
      </c>
      <c r="E201" s="15">
        <v>1515.64</v>
      </c>
      <c r="F201" s="15">
        <v>473.13</v>
      </c>
      <c r="G201" s="15">
        <v>78.86</v>
      </c>
      <c r="H201" s="15">
        <v>155.16</v>
      </c>
      <c r="I201" s="15">
        <v>473.13</v>
      </c>
      <c r="J201" s="15">
        <v>473.13</v>
      </c>
      <c r="K201" s="15">
        <v>473.13</v>
      </c>
      <c r="L201" s="15">
        <v>473.13</v>
      </c>
      <c r="M201" s="15">
        <v>473.13</v>
      </c>
      <c r="N201" s="15">
        <v>475.51</v>
      </c>
      <c r="O201" t="s">
        <v>75</v>
      </c>
    </row>
    <row r="202" spans="1:15" x14ac:dyDescent="0.25">
      <c r="A202" s="10" t="s">
        <v>760</v>
      </c>
      <c r="B202" s="15">
        <v>0</v>
      </c>
      <c r="C202" s="15">
        <v>125.4</v>
      </c>
      <c r="D202" s="15">
        <v>25.12</v>
      </c>
      <c r="E202" s="15">
        <v>25.12</v>
      </c>
      <c r="F202" s="15">
        <v>37.19</v>
      </c>
      <c r="G202" s="15">
        <v>25.12</v>
      </c>
      <c r="H202" s="15">
        <v>0</v>
      </c>
      <c r="I202" s="15">
        <v>13.21</v>
      </c>
      <c r="J202" s="15">
        <v>25.12</v>
      </c>
      <c r="K202" s="15">
        <v>25.12</v>
      </c>
      <c r="L202" s="15">
        <v>25.12</v>
      </c>
      <c r="M202" s="15">
        <v>25.12</v>
      </c>
      <c r="N202" s="15">
        <v>32.17</v>
      </c>
      <c r="O202" t="s">
        <v>75</v>
      </c>
    </row>
    <row r="203" spans="1:15" x14ac:dyDescent="0.25">
      <c r="A203" s="10" t="s">
        <v>762</v>
      </c>
      <c r="B203" s="15">
        <v>0</v>
      </c>
      <c r="C203" s="15">
        <v>23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44.91</v>
      </c>
      <c r="M203" s="15">
        <v>0</v>
      </c>
      <c r="N203" s="15">
        <v>0</v>
      </c>
      <c r="O203" t="s">
        <v>75</v>
      </c>
    </row>
    <row r="204" spans="1:15" x14ac:dyDescent="0.25">
      <c r="A204" s="10" t="s">
        <v>764</v>
      </c>
      <c r="B204" s="15">
        <v>12.82</v>
      </c>
      <c r="C204" s="15">
        <v>0</v>
      </c>
      <c r="D204" s="15">
        <v>23.66</v>
      </c>
      <c r="E204" s="15">
        <v>23.66</v>
      </c>
      <c r="F204" s="15">
        <v>22.69</v>
      </c>
      <c r="G204" s="15">
        <v>23.66</v>
      </c>
      <c r="H204" s="15">
        <v>23.66</v>
      </c>
      <c r="I204" s="15">
        <v>23.66</v>
      </c>
      <c r="J204" s="15">
        <v>23.66</v>
      </c>
      <c r="K204" s="15">
        <v>23.66</v>
      </c>
      <c r="L204" s="15">
        <v>0</v>
      </c>
      <c r="M204" s="15">
        <v>23.66</v>
      </c>
      <c r="N204" s="15">
        <v>23.9</v>
      </c>
      <c r="O204" t="s">
        <v>75</v>
      </c>
    </row>
    <row r="205" spans="1:15" x14ac:dyDescent="0.25">
      <c r="A205" s="10" t="s">
        <v>768</v>
      </c>
      <c r="B205" s="15">
        <v>1497.9</v>
      </c>
      <c r="C205" s="15">
        <v>1428.91</v>
      </c>
      <c r="D205" s="15">
        <v>1183.3900000000001</v>
      </c>
      <c r="E205" s="15">
        <v>1428.91</v>
      </c>
      <c r="F205" s="15">
        <v>1428.91</v>
      </c>
      <c r="G205" s="15">
        <v>1428.91</v>
      </c>
      <c r="H205" s="15">
        <v>1428.91</v>
      </c>
      <c r="I205" s="15">
        <v>1428.91</v>
      </c>
      <c r="J205" s="15">
        <v>1428.91</v>
      </c>
      <c r="K205" s="15">
        <v>1428.91</v>
      </c>
      <c r="L205" s="15">
        <v>1428.91</v>
      </c>
      <c r="M205" s="15">
        <v>1428.91</v>
      </c>
      <c r="N205" s="15">
        <v>1428.91</v>
      </c>
      <c r="O205" t="s">
        <v>75</v>
      </c>
    </row>
    <row r="206" spans="1:15" x14ac:dyDescent="0.25">
      <c r="A206" s="10" t="s">
        <v>770</v>
      </c>
      <c r="B206" s="15">
        <v>30.26</v>
      </c>
      <c r="C206" s="15">
        <v>45.68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t="s">
        <v>75</v>
      </c>
    </row>
    <row r="207" spans="1:15" x14ac:dyDescent="0.25">
      <c r="A207" s="10" t="s">
        <v>774</v>
      </c>
      <c r="B207" s="15">
        <v>33.1</v>
      </c>
      <c r="C207" s="15">
        <v>120.59</v>
      </c>
      <c r="D207" s="15">
        <v>189.89</v>
      </c>
      <c r="E207" s="15">
        <v>120.59</v>
      </c>
      <c r="F207" s="15">
        <v>0</v>
      </c>
      <c r="G207" s="15">
        <v>92.15</v>
      </c>
      <c r="H207" s="15">
        <v>92.15</v>
      </c>
      <c r="I207" s="15">
        <v>92.15</v>
      </c>
      <c r="J207" s="15">
        <v>107.21</v>
      </c>
      <c r="K207" s="15">
        <v>0</v>
      </c>
      <c r="L207" s="15">
        <v>0</v>
      </c>
      <c r="M207" s="15">
        <v>0</v>
      </c>
      <c r="N207" s="15">
        <v>35.25</v>
      </c>
      <c r="O207" t="s">
        <v>75</v>
      </c>
    </row>
    <row r="208" spans="1:15" x14ac:dyDescent="0.25">
      <c r="A208" s="10" t="s">
        <v>776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27.88</v>
      </c>
      <c r="K208" s="15">
        <v>15.88</v>
      </c>
      <c r="L208" s="15">
        <v>0</v>
      </c>
      <c r="M208" s="15">
        <v>0</v>
      </c>
      <c r="N208" s="15">
        <v>0</v>
      </c>
      <c r="O208" t="s">
        <v>75</v>
      </c>
    </row>
    <row r="209" spans="1:15" x14ac:dyDescent="0.25">
      <c r="A209" s="10" t="s">
        <v>778</v>
      </c>
      <c r="B209" s="15">
        <v>617.57000000000005</v>
      </c>
      <c r="C209" s="15">
        <v>578.22</v>
      </c>
      <c r="D209" s="15">
        <v>525.27</v>
      </c>
      <c r="E209" s="15">
        <v>525.27</v>
      </c>
      <c r="F209" s="15">
        <v>525.27</v>
      </c>
      <c r="G209" s="15">
        <v>525.27</v>
      </c>
      <c r="H209" s="15">
        <v>525.27</v>
      </c>
      <c r="I209" s="15">
        <v>898.28</v>
      </c>
      <c r="J209" s="15">
        <v>524.24</v>
      </c>
      <c r="K209" s="15">
        <v>160.33000000000001</v>
      </c>
      <c r="L209" s="15">
        <v>479.08</v>
      </c>
      <c r="M209" s="15">
        <v>525.27</v>
      </c>
      <c r="N209" s="15">
        <v>529.67999999999995</v>
      </c>
      <c r="O209" t="s">
        <v>75</v>
      </c>
    </row>
    <row r="210" spans="1:15" x14ac:dyDescent="0.25">
      <c r="A210" s="10" t="s">
        <v>784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25.41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t="s">
        <v>75</v>
      </c>
    </row>
    <row r="211" spans="1:15" x14ac:dyDescent="0.25">
      <c r="A211" s="10" t="s">
        <v>794</v>
      </c>
      <c r="B211" s="15">
        <v>13.54</v>
      </c>
      <c r="C211" s="15">
        <v>25.75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11.16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  <c r="O211" t="s">
        <v>75</v>
      </c>
    </row>
    <row r="212" spans="1:15" x14ac:dyDescent="0.25">
      <c r="A212" s="10" t="s">
        <v>796</v>
      </c>
      <c r="B212" s="15">
        <v>0</v>
      </c>
      <c r="C212" s="15">
        <v>0</v>
      </c>
      <c r="D212" s="15">
        <v>422.41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t="s">
        <v>75</v>
      </c>
    </row>
    <row r="213" spans="1:15" x14ac:dyDescent="0.25">
      <c r="A213" s="10" t="s">
        <v>800</v>
      </c>
      <c r="B213" s="15">
        <v>0</v>
      </c>
      <c r="C213" s="15">
        <v>24.49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  <c r="O213" t="s">
        <v>75</v>
      </c>
    </row>
    <row r="214" spans="1:15" x14ac:dyDescent="0.25">
      <c r="A214" s="10" t="s">
        <v>810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157.91</v>
      </c>
      <c r="L214" s="15">
        <v>157.91</v>
      </c>
      <c r="M214" s="15">
        <v>120.59</v>
      </c>
      <c r="N214" s="15">
        <v>0</v>
      </c>
      <c r="O214" t="s">
        <v>75</v>
      </c>
    </row>
    <row r="215" spans="1:15" x14ac:dyDescent="0.25">
      <c r="A215" s="10" t="s">
        <v>820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11.66</v>
      </c>
      <c r="H215" s="15">
        <v>0</v>
      </c>
      <c r="I215" s="15">
        <v>0</v>
      </c>
      <c r="J215" s="15">
        <v>0</v>
      </c>
      <c r="K215" s="15">
        <v>24.94</v>
      </c>
      <c r="L215" s="15">
        <v>0</v>
      </c>
      <c r="M215" s="15">
        <v>0</v>
      </c>
      <c r="N215" s="15">
        <v>0</v>
      </c>
      <c r="O215" t="s">
        <v>75</v>
      </c>
    </row>
    <row r="216" spans="1:15" x14ac:dyDescent="0.25">
      <c r="A216" s="10" t="s">
        <v>822</v>
      </c>
      <c r="B216" s="15">
        <v>0</v>
      </c>
      <c r="C216" s="15">
        <v>0</v>
      </c>
      <c r="D216" s="15">
        <v>0</v>
      </c>
      <c r="E216" s="15">
        <v>0</v>
      </c>
      <c r="F216" s="15">
        <v>0</v>
      </c>
      <c r="G216" s="15">
        <v>15.32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t="s">
        <v>75</v>
      </c>
    </row>
    <row r="217" spans="1:15" x14ac:dyDescent="0.25">
      <c r="A217" s="10" t="s">
        <v>826</v>
      </c>
      <c r="B217" s="15">
        <v>0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38.68</v>
      </c>
      <c r="K217" s="15">
        <v>26.07</v>
      </c>
      <c r="L217" s="15">
        <v>0</v>
      </c>
      <c r="M217" s="15">
        <v>0</v>
      </c>
      <c r="N217" s="15">
        <v>0</v>
      </c>
      <c r="O217" t="s">
        <v>75</v>
      </c>
    </row>
    <row r="218" spans="1:15" x14ac:dyDescent="0.25">
      <c r="A218" s="10" t="s">
        <v>828</v>
      </c>
      <c r="B218" s="15">
        <v>0</v>
      </c>
      <c r="C218" s="15">
        <v>0</v>
      </c>
      <c r="D218" s="15">
        <v>0</v>
      </c>
      <c r="E218" s="15">
        <v>0</v>
      </c>
      <c r="F218" s="15">
        <v>0</v>
      </c>
      <c r="G218" s="15">
        <v>0</v>
      </c>
      <c r="H218" s="15">
        <v>28.9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t="s">
        <v>75</v>
      </c>
    </row>
    <row r="219" spans="1:15" x14ac:dyDescent="0.25">
      <c r="A219" s="10" t="s">
        <v>830</v>
      </c>
      <c r="B219" s="15">
        <v>949.46</v>
      </c>
      <c r="C219" s="15">
        <v>377.93</v>
      </c>
      <c r="D219" s="15">
        <v>1178.3800000000001</v>
      </c>
      <c r="E219" s="15">
        <v>1178.3800000000001</v>
      </c>
      <c r="F219" s="15">
        <v>1178.3800000000001</v>
      </c>
      <c r="G219" s="15">
        <v>1178.3800000000001</v>
      </c>
      <c r="H219" s="15">
        <v>1178.3800000000001</v>
      </c>
      <c r="I219" s="15">
        <v>1178.3800000000001</v>
      </c>
      <c r="J219" s="15">
        <v>1178.3800000000001</v>
      </c>
      <c r="K219" s="15">
        <v>1178.3800000000001</v>
      </c>
      <c r="L219" s="15">
        <v>1178.3800000000001</v>
      </c>
      <c r="M219" s="15">
        <v>3101.12</v>
      </c>
      <c r="N219" s="15">
        <v>1178.3800000000001</v>
      </c>
      <c r="O219" t="s">
        <v>75</v>
      </c>
    </row>
    <row r="220" spans="1:15" x14ac:dyDescent="0.25">
      <c r="A220" s="10" t="s">
        <v>832</v>
      </c>
      <c r="B220" s="15">
        <v>13.05</v>
      </c>
      <c r="C220" s="15">
        <v>0</v>
      </c>
      <c r="D220" s="15">
        <v>0</v>
      </c>
      <c r="E220" s="15">
        <v>0</v>
      </c>
      <c r="F220" s="15">
        <v>0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t="s">
        <v>75</v>
      </c>
    </row>
    <row r="221" spans="1:15" x14ac:dyDescent="0.25">
      <c r="A221" s="10" t="s">
        <v>840</v>
      </c>
      <c r="B221" s="15">
        <v>0</v>
      </c>
      <c r="C221" s="15">
        <v>0</v>
      </c>
      <c r="D221" s="15">
        <v>0</v>
      </c>
      <c r="E221" s="15">
        <v>0</v>
      </c>
      <c r="F221" s="15">
        <v>0</v>
      </c>
      <c r="G221" s="15">
        <v>0</v>
      </c>
      <c r="H221" s="15">
        <v>0</v>
      </c>
      <c r="I221" s="15">
        <v>0</v>
      </c>
      <c r="J221" s="15">
        <v>0</v>
      </c>
      <c r="K221" s="15">
        <v>0</v>
      </c>
      <c r="L221" s="15">
        <v>0</v>
      </c>
      <c r="M221" s="15">
        <v>37.44</v>
      </c>
      <c r="N221" s="15">
        <v>0</v>
      </c>
      <c r="O221" t="s">
        <v>75</v>
      </c>
    </row>
    <row r="222" spans="1:15" x14ac:dyDescent="0.25">
      <c r="A222" s="10" t="s">
        <v>844</v>
      </c>
      <c r="B222" s="15">
        <v>31.77</v>
      </c>
      <c r="C222" s="15">
        <v>0</v>
      </c>
      <c r="D222" s="15">
        <v>0</v>
      </c>
      <c r="E222" s="15">
        <v>0</v>
      </c>
      <c r="F222" s="15">
        <v>18.88</v>
      </c>
      <c r="G222" s="15">
        <v>0</v>
      </c>
      <c r="H222" s="15">
        <v>0</v>
      </c>
      <c r="I222" s="15">
        <v>0</v>
      </c>
      <c r="J222" s="15">
        <v>0</v>
      </c>
      <c r="K222" s="15">
        <v>28.27</v>
      </c>
      <c r="L222" s="15">
        <v>0</v>
      </c>
      <c r="M222" s="15">
        <v>74.819999999999993</v>
      </c>
      <c r="N222" s="15">
        <v>0</v>
      </c>
      <c r="O222" t="s">
        <v>75</v>
      </c>
    </row>
    <row r="223" spans="1:15" x14ac:dyDescent="0.25">
      <c r="A223" s="10" t="s">
        <v>848</v>
      </c>
      <c r="B223" s="15">
        <v>0</v>
      </c>
      <c r="C223" s="15">
        <v>0</v>
      </c>
      <c r="D223" s="15">
        <v>0</v>
      </c>
      <c r="E223" s="15">
        <v>0</v>
      </c>
      <c r="F223" s="15">
        <v>0</v>
      </c>
      <c r="G223" s="15">
        <v>0</v>
      </c>
      <c r="H223" s="15">
        <v>0</v>
      </c>
      <c r="I223" s="15">
        <v>0</v>
      </c>
      <c r="J223" s="15">
        <v>0</v>
      </c>
      <c r="K223" s="15">
        <v>26.91</v>
      </c>
      <c r="L223" s="15">
        <v>0</v>
      </c>
      <c r="M223" s="15">
        <v>0</v>
      </c>
      <c r="N223" s="15">
        <v>0</v>
      </c>
      <c r="O223" t="s">
        <v>75</v>
      </c>
    </row>
    <row r="224" spans="1:15" x14ac:dyDescent="0.25">
      <c r="A224" s="10" t="s">
        <v>850</v>
      </c>
      <c r="B224" s="15">
        <v>0</v>
      </c>
      <c r="C224" s="15">
        <v>0</v>
      </c>
      <c r="D224" s="15">
        <v>0</v>
      </c>
      <c r="E224" s="15">
        <v>0</v>
      </c>
      <c r="F224" s="15">
        <v>0</v>
      </c>
      <c r="G224" s="15">
        <v>31.97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t="s">
        <v>75</v>
      </c>
    </row>
    <row r="225" spans="1:15" x14ac:dyDescent="0.25">
      <c r="A225" s="10" t="s">
        <v>852</v>
      </c>
      <c r="B225" s="15">
        <v>0</v>
      </c>
      <c r="C225" s="15">
        <v>0</v>
      </c>
      <c r="D225" s="15">
        <v>0</v>
      </c>
      <c r="E225" s="15">
        <v>11.66</v>
      </c>
      <c r="F225" s="15">
        <v>11.56</v>
      </c>
      <c r="G225" s="15">
        <v>11.01</v>
      </c>
      <c r="H225" s="15">
        <v>0</v>
      </c>
      <c r="I225" s="15">
        <v>92.08</v>
      </c>
      <c r="J225" s="15">
        <v>17.46</v>
      </c>
      <c r="K225" s="15">
        <v>0</v>
      </c>
      <c r="L225" s="15">
        <v>12.53</v>
      </c>
      <c r="M225" s="15">
        <v>25.45</v>
      </c>
      <c r="N225" s="15">
        <v>21.65</v>
      </c>
      <c r="O225" t="s">
        <v>75</v>
      </c>
    </row>
    <row r="226" spans="1:15" x14ac:dyDescent="0.25">
      <c r="A226" s="10" t="s">
        <v>854</v>
      </c>
      <c r="B226" s="15">
        <v>16.690000000000001</v>
      </c>
      <c r="C226" s="15">
        <v>0</v>
      </c>
      <c r="D226" s="15">
        <v>0</v>
      </c>
      <c r="E226" s="15">
        <v>0</v>
      </c>
      <c r="F226" s="15">
        <v>0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t="s">
        <v>75</v>
      </c>
    </row>
    <row r="227" spans="1:15" x14ac:dyDescent="0.25">
      <c r="A227" s="10" t="s">
        <v>860</v>
      </c>
      <c r="B227" s="15">
        <v>0</v>
      </c>
      <c r="C227" s="15">
        <v>11.84</v>
      </c>
      <c r="D227" s="15">
        <v>0</v>
      </c>
      <c r="E227" s="15">
        <v>0</v>
      </c>
      <c r="F227" s="15">
        <v>0</v>
      </c>
      <c r="G227" s="15">
        <v>0</v>
      </c>
      <c r="H227" s="15">
        <v>0</v>
      </c>
      <c r="I227" s="15">
        <v>0</v>
      </c>
      <c r="J227" s="15">
        <v>0</v>
      </c>
      <c r="K227" s="15">
        <v>0</v>
      </c>
      <c r="L227" s="15">
        <v>0</v>
      </c>
      <c r="M227" s="15">
        <v>0</v>
      </c>
      <c r="N227" s="15">
        <v>0</v>
      </c>
      <c r="O227" t="s">
        <v>75</v>
      </c>
    </row>
    <row r="228" spans="1:15" x14ac:dyDescent="0.25">
      <c r="A228" s="10" t="s">
        <v>866</v>
      </c>
      <c r="B228" s="15">
        <v>0</v>
      </c>
      <c r="C228" s="15">
        <v>27.52</v>
      </c>
      <c r="D228" s="15">
        <v>0</v>
      </c>
      <c r="E228" s="15">
        <v>0</v>
      </c>
      <c r="F228" s="15">
        <v>0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t="s">
        <v>75</v>
      </c>
    </row>
    <row r="229" spans="1:15" x14ac:dyDescent="0.25">
      <c r="A229" s="10" t="s">
        <v>870</v>
      </c>
      <c r="B229" s="15">
        <v>0</v>
      </c>
      <c r="C229" s="15">
        <v>24.26</v>
      </c>
      <c r="D229" s="15">
        <v>0</v>
      </c>
      <c r="E229" s="15">
        <v>0</v>
      </c>
      <c r="F229" s="15">
        <v>0</v>
      </c>
      <c r="G229" s="15">
        <v>0</v>
      </c>
      <c r="H229" s="15">
        <v>0</v>
      </c>
      <c r="I229" s="15">
        <v>0</v>
      </c>
      <c r="J229" s="15">
        <v>0</v>
      </c>
      <c r="K229" s="15">
        <v>0</v>
      </c>
      <c r="L229" s="15">
        <v>0</v>
      </c>
      <c r="M229" s="15">
        <v>0</v>
      </c>
      <c r="N229" s="15">
        <v>0</v>
      </c>
      <c r="O229" t="s">
        <v>75</v>
      </c>
    </row>
    <row r="230" spans="1:15" x14ac:dyDescent="0.25">
      <c r="A230" s="10" t="s">
        <v>880</v>
      </c>
      <c r="B230" s="15">
        <v>28.35</v>
      </c>
      <c r="C230" s="15">
        <v>43.02</v>
      </c>
      <c r="D230" s="15">
        <v>43.06</v>
      </c>
      <c r="E230" s="15">
        <v>43.06</v>
      </c>
      <c r="F230" s="15">
        <v>70.41</v>
      </c>
      <c r="G230" s="15">
        <v>43.06</v>
      </c>
      <c r="H230" s="15">
        <v>0</v>
      </c>
      <c r="I230" s="15">
        <v>24.79</v>
      </c>
      <c r="J230" s="15">
        <v>30.14</v>
      </c>
      <c r="K230" s="15">
        <v>30.14</v>
      </c>
      <c r="L230" s="15">
        <v>30.14</v>
      </c>
      <c r="M230" s="15">
        <v>30.14</v>
      </c>
      <c r="N230" s="15">
        <v>30.14</v>
      </c>
      <c r="O230" t="s">
        <v>75</v>
      </c>
    </row>
    <row r="231" spans="1:15" x14ac:dyDescent="0.25">
      <c r="A231" s="10" t="s">
        <v>896</v>
      </c>
      <c r="B231" s="15">
        <v>0</v>
      </c>
      <c r="C231" s="15">
        <v>0</v>
      </c>
      <c r="D231" s="15">
        <v>115.4</v>
      </c>
      <c r="E231" s="15">
        <v>0</v>
      </c>
      <c r="F231" s="15">
        <v>0</v>
      </c>
      <c r="G231" s="15">
        <v>0</v>
      </c>
      <c r="H231" s="15">
        <v>0</v>
      </c>
      <c r="I231" s="15">
        <v>0</v>
      </c>
      <c r="J231" s="15">
        <v>0</v>
      </c>
      <c r="K231" s="15">
        <v>0</v>
      </c>
      <c r="L231" s="15">
        <v>0</v>
      </c>
      <c r="M231" s="15">
        <v>0</v>
      </c>
      <c r="N231" s="15">
        <v>0</v>
      </c>
      <c r="O231" t="s">
        <v>75</v>
      </c>
    </row>
    <row r="232" spans="1:15" x14ac:dyDescent="0.25">
      <c r="A232" s="10" t="s">
        <v>904</v>
      </c>
      <c r="B232" s="15">
        <v>0</v>
      </c>
      <c r="C232" s="15">
        <v>22.78</v>
      </c>
      <c r="D232" s="15">
        <v>0</v>
      </c>
      <c r="E232" s="15">
        <v>0</v>
      </c>
      <c r="F232" s="15">
        <v>0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t="s">
        <v>75</v>
      </c>
    </row>
    <row r="233" spans="1:15" x14ac:dyDescent="0.25">
      <c r="A233" s="10" t="s">
        <v>912</v>
      </c>
      <c r="B233" s="15">
        <v>0</v>
      </c>
      <c r="C233" s="15">
        <v>72.5</v>
      </c>
      <c r="D233" s="15">
        <v>54.38</v>
      </c>
      <c r="E233" s="15">
        <v>54.38</v>
      </c>
      <c r="F233" s="15">
        <v>54.38</v>
      </c>
      <c r="G233" s="15">
        <v>54.38</v>
      </c>
      <c r="H233" s="15">
        <v>54.38</v>
      </c>
      <c r="I233" s="15">
        <v>54.38</v>
      </c>
      <c r="J233" s="15">
        <v>42.55</v>
      </c>
      <c r="K233" s="15">
        <v>54.38</v>
      </c>
      <c r="L233" s="15">
        <v>54.38</v>
      </c>
      <c r="M233" s="15">
        <v>54.38</v>
      </c>
      <c r="N233" s="15">
        <v>55.76</v>
      </c>
      <c r="O233" t="s">
        <v>75</v>
      </c>
    </row>
    <row r="234" spans="1:15" x14ac:dyDescent="0.25">
      <c r="A234" s="10" t="s">
        <v>916</v>
      </c>
      <c r="B234" s="15">
        <v>0</v>
      </c>
      <c r="C234" s="15">
        <v>0</v>
      </c>
      <c r="D234" s="15">
        <v>0</v>
      </c>
      <c r="E234" s="15">
        <v>0</v>
      </c>
      <c r="F234" s="15">
        <v>0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47.24</v>
      </c>
      <c r="M234" s="15">
        <v>0</v>
      </c>
      <c r="N234" s="15">
        <v>0</v>
      </c>
      <c r="O234" t="s">
        <v>75</v>
      </c>
    </row>
    <row r="235" spans="1:15" x14ac:dyDescent="0.25">
      <c r="A235" s="10" t="s">
        <v>924</v>
      </c>
      <c r="B235" s="15">
        <v>19.2</v>
      </c>
      <c r="C235" s="15">
        <v>0</v>
      </c>
      <c r="D235" s="15">
        <v>0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v>0</v>
      </c>
      <c r="K235" s="15">
        <v>0</v>
      </c>
      <c r="L235" s="15">
        <v>0</v>
      </c>
      <c r="M235" s="15">
        <v>0</v>
      </c>
      <c r="N235" s="15">
        <v>0</v>
      </c>
      <c r="O235" t="s">
        <v>75</v>
      </c>
    </row>
    <row r="236" spans="1:15" x14ac:dyDescent="0.25">
      <c r="A236" s="10" t="s">
        <v>934</v>
      </c>
      <c r="B236" s="15">
        <v>3335.93</v>
      </c>
      <c r="C236" s="15">
        <v>3273.8</v>
      </c>
      <c r="D236" s="15">
        <v>3273.8</v>
      </c>
      <c r="E236" s="15">
        <v>3273.8</v>
      </c>
      <c r="F236" s="15">
        <v>3273.8</v>
      </c>
      <c r="G236" s="15">
        <v>3273.8</v>
      </c>
      <c r="H236" s="15">
        <v>3273.8</v>
      </c>
      <c r="I236" s="15">
        <v>6014.32</v>
      </c>
      <c r="J236" s="15">
        <v>3273.8</v>
      </c>
      <c r="K236" s="15">
        <v>1882.29</v>
      </c>
      <c r="L236" s="15">
        <v>3273.8</v>
      </c>
      <c r="M236" s="15">
        <v>3273.8</v>
      </c>
      <c r="N236" s="15">
        <v>3273.8</v>
      </c>
      <c r="O236" t="s">
        <v>75</v>
      </c>
    </row>
    <row r="237" spans="1:15" x14ac:dyDescent="0.25">
      <c r="A237" s="10" t="s">
        <v>942</v>
      </c>
      <c r="B237" s="15">
        <v>0</v>
      </c>
      <c r="C237" s="15">
        <v>0</v>
      </c>
      <c r="D237" s="15">
        <v>0</v>
      </c>
      <c r="E237" s="15">
        <v>41.31</v>
      </c>
      <c r="F237" s="15">
        <v>0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15">
        <v>0</v>
      </c>
      <c r="N237" s="15">
        <v>0</v>
      </c>
      <c r="O237" t="s">
        <v>75</v>
      </c>
    </row>
    <row r="238" spans="1:15" x14ac:dyDescent="0.25">
      <c r="A238" s="10" t="s">
        <v>960</v>
      </c>
      <c r="B238" s="15">
        <v>379.42</v>
      </c>
      <c r="C238" s="15">
        <v>2428.1999999999998</v>
      </c>
      <c r="D238" s="15">
        <v>1784.83</v>
      </c>
      <c r="E238" s="15">
        <v>2126.38</v>
      </c>
      <c r="F238" s="15">
        <v>2073.41</v>
      </c>
      <c r="G238" s="15">
        <v>2053.69</v>
      </c>
      <c r="H238" s="15">
        <v>2078.37</v>
      </c>
      <c r="I238" s="15">
        <v>1992.65</v>
      </c>
      <c r="J238" s="15">
        <v>2053.1799999999998</v>
      </c>
      <c r="K238" s="15">
        <v>2477.21</v>
      </c>
      <c r="L238" s="15">
        <v>1962.17</v>
      </c>
      <c r="M238" s="15">
        <v>813.62</v>
      </c>
      <c r="N238" s="15">
        <v>1897.96</v>
      </c>
      <c r="O238" t="s">
        <v>75</v>
      </c>
    </row>
    <row r="239" spans="1:15" x14ac:dyDescent="0.25">
      <c r="A239" s="10" t="s">
        <v>962</v>
      </c>
      <c r="B239" s="15">
        <v>625.67999999999995</v>
      </c>
      <c r="C239" s="15">
        <v>886.14</v>
      </c>
      <c r="D239" s="15">
        <v>703.7</v>
      </c>
      <c r="E239" s="15">
        <v>703.7</v>
      </c>
      <c r="F239" s="15">
        <v>697.36</v>
      </c>
      <c r="G239" s="15">
        <v>1360.68</v>
      </c>
      <c r="H239" s="15">
        <v>1599.58</v>
      </c>
      <c r="I239" s="15">
        <v>1599.58</v>
      </c>
      <c r="J239" s="15">
        <v>1599.58</v>
      </c>
      <c r="K239" s="15">
        <v>2104.2399999999998</v>
      </c>
      <c r="L239" s="15">
        <v>347.27</v>
      </c>
      <c r="M239" s="15">
        <v>644.77</v>
      </c>
      <c r="N239" s="15">
        <v>1077.26</v>
      </c>
      <c r="O239" t="s">
        <v>75</v>
      </c>
    </row>
    <row r="240" spans="1:15" x14ac:dyDescent="0.25">
      <c r="A240" s="10" t="s">
        <v>964</v>
      </c>
      <c r="B240" s="15">
        <v>3433.07</v>
      </c>
      <c r="C240" s="15">
        <v>3662.9</v>
      </c>
      <c r="D240" s="15">
        <v>3662.9</v>
      </c>
      <c r="E240" s="15">
        <v>3662.9</v>
      </c>
      <c r="F240" s="15">
        <v>3662.9</v>
      </c>
      <c r="G240" s="15">
        <v>3662.9</v>
      </c>
      <c r="H240" s="15">
        <v>3662.9</v>
      </c>
      <c r="I240" s="15">
        <v>3487.92</v>
      </c>
      <c r="J240" s="15">
        <v>5133.8999999999996</v>
      </c>
      <c r="K240" s="15">
        <v>4917.1099999999997</v>
      </c>
      <c r="L240" s="15">
        <v>4917.1099999999997</v>
      </c>
      <c r="M240" s="15">
        <v>4917.1099999999997</v>
      </c>
      <c r="N240" s="15">
        <v>4917.1099999999997</v>
      </c>
      <c r="O240" t="s">
        <v>75</v>
      </c>
    </row>
    <row r="241" spans="1:15" x14ac:dyDescent="0.25">
      <c r="A241" s="10" t="s">
        <v>966</v>
      </c>
      <c r="B241" s="15">
        <v>554.29</v>
      </c>
      <c r="C241" s="15">
        <v>834.89</v>
      </c>
      <c r="D241" s="15">
        <v>165.2</v>
      </c>
      <c r="E241" s="15">
        <v>167.11</v>
      </c>
      <c r="F241" s="15">
        <v>188.32</v>
      </c>
      <c r="G241" s="15">
        <v>188.32</v>
      </c>
      <c r="H241" s="15">
        <v>188.32</v>
      </c>
      <c r="I241" s="15">
        <v>188.32</v>
      </c>
      <c r="J241" s="15">
        <v>188.32</v>
      </c>
      <c r="K241" s="15">
        <v>371.73</v>
      </c>
      <c r="L241" s="15">
        <v>0</v>
      </c>
      <c r="M241" s="15">
        <v>169.01</v>
      </c>
      <c r="N241" s="15">
        <v>241.31</v>
      </c>
      <c r="O241" t="s">
        <v>75</v>
      </c>
    </row>
    <row r="242" spans="1:15" x14ac:dyDescent="0.25">
      <c r="A242" s="10" t="s">
        <v>968</v>
      </c>
      <c r="B242" s="15">
        <v>145.22</v>
      </c>
      <c r="C242" s="15">
        <v>945.22</v>
      </c>
      <c r="D242" s="15">
        <v>126.24</v>
      </c>
      <c r="E242" s="15">
        <v>157.99</v>
      </c>
      <c r="F242" s="15">
        <v>126.24</v>
      </c>
      <c r="G242" s="15">
        <v>44.07</v>
      </c>
      <c r="H242" s="15">
        <v>158.44999999999999</v>
      </c>
      <c r="I242" s="15">
        <v>0</v>
      </c>
      <c r="J242" s="15">
        <v>107.89</v>
      </c>
      <c r="K242" s="15">
        <v>126.24</v>
      </c>
      <c r="L242" s="15">
        <v>126.24</v>
      </c>
      <c r="M242" s="15">
        <v>126.24</v>
      </c>
      <c r="N242" s="15">
        <v>172.05</v>
      </c>
      <c r="O242" t="s">
        <v>75</v>
      </c>
    </row>
    <row r="243" spans="1:15" x14ac:dyDescent="0.25">
      <c r="A243" s="10" t="s">
        <v>970</v>
      </c>
      <c r="B243" s="15">
        <v>0</v>
      </c>
      <c r="C243" s="15">
        <v>0</v>
      </c>
      <c r="D243" s="15">
        <v>0</v>
      </c>
      <c r="E243" s="15">
        <v>0</v>
      </c>
      <c r="F243" s="15">
        <v>0</v>
      </c>
      <c r="G243" s="15">
        <v>0</v>
      </c>
      <c r="H243" s="15">
        <v>0</v>
      </c>
      <c r="I243" s="15">
        <v>0</v>
      </c>
      <c r="J243" s="15">
        <v>0</v>
      </c>
      <c r="K243" s="15">
        <v>0</v>
      </c>
      <c r="L243" s="15">
        <v>14.15</v>
      </c>
      <c r="M243" s="15">
        <v>0</v>
      </c>
      <c r="N243" s="15">
        <v>0</v>
      </c>
      <c r="O243" t="s">
        <v>75</v>
      </c>
    </row>
    <row r="244" spans="1:15" x14ac:dyDescent="0.25">
      <c r="A244" s="10" t="s">
        <v>972</v>
      </c>
      <c r="B244" s="15">
        <v>11.61</v>
      </c>
      <c r="C244" s="15">
        <v>17.88</v>
      </c>
      <c r="D244" s="15">
        <v>0</v>
      </c>
      <c r="E244" s="15">
        <v>0</v>
      </c>
      <c r="F244" s="15">
        <v>0</v>
      </c>
      <c r="G244" s="15">
        <v>0</v>
      </c>
      <c r="H244" s="15">
        <v>131.9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t="s">
        <v>75</v>
      </c>
    </row>
    <row r="245" spans="1:15" x14ac:dyDescent="0.25">
      <c r="A245" s="10" t="s">
        <v>974</v>
      </c>
      <c r="B245" s="15">
        <v>30.06</v>
      </c>
      <c r="C245" s="15">
        <v>45.57</v>
      </c>
      <c r="D245" s="15">
        <v>43.06</v>
      </c>
      <c r="E245" s="15">
        <v>43.06</v>
      </c>
      <c r="F245" s="15">
        <v>43.06</v>
      </c>
      <c r="G245" s="15">
        <v>43.06</v>
      </c>
      <c r="H245" s="15">
        <v>43.06</v>
      </c>
      <c r="I245" s="15">
        <v>72.22</v>
      </c>
      <c r="J245" s="15">
        <v>32.82</v>
      </c>
      <c r="K245" s="15">
        <v>0</v>
      </c>
      <c r="L245" s="15">
        <v>43.06</v>
      </c>
      <c r="M245" s="15">
        <v>43.06</v>
      </c>
      <c r="N245" s="15">
        <v>43.27</v>
      </c>
      <c r="O245" t="s">
        <v>75</v>
      </c>
    </row>
    <row r="246" spans="1:15" x14ac:dyDescent="0.25">
      <c r="A246" s="10" t="s">
        <v>976</v>
      </c>
      <c r="B246" s="15">
        <v>0</v>
      </c>
      <c r="C246" s="15">
        <v>69.52</v>
      </c>
      <c r="D246" s="15">
        <v>974.29</v>
      </c>
      <c r="E246" s="15">
        <v>974.29</v>
      </c>
      <c r="F246" s="15">
        <v>974.29</v>
      </c>
      <c r="G246" s="15">
        <v>974.29</v>
      </c>
      <c r="H246" s="15">
        <v>974.29</v>
      </c>
      <c r="I246" s="15">
        <v>974.29</v>
      </c>
      <c r="J246" s="15">
        <v>974.29</v>
      </c>
      <c r="K246" s="15">
        <v>974.29</v>
      </c>
      <c r="L246" s="15">
        <v>1737.36</v>
      </c>
      <c r="M246" s="15">
        <v>974.29</v>
      </c>
      <c r="N246" s="15">
        <v>974.29</v>
      </c>
      <c r="O246" t="s">
        <v>75</v>
      </c>
    </row>
    <row r="247" spans="1:15" x14ac:dyDescent="0.25">
      <c r="A247" s="10" t="s">
        <v>978</v>
      </c>
      <c r="B247" s="15">
        <v>642.02</v>
      </c>
      <c r="C247" s="15">
        <v>849.93</v>
      </c>
      <c r="D247" s="15">
        <v>822.89</v>
      </c>
      <c r="E247" s="15">
        <v>1100.08</v>
      </c>
      <c r="F247" s="15">
        <v>1049.6500000000001</v>
      </c>
      <c r="G247" s="15">
        <v>305.89999999999998</v>
      </c>
      <c r="H247" s="15">
        <v>822.89</v>
      </c>
      <c r="I247" s="15">
        <v>822.89</v>
      </c>
      <c r="J247" s="15">
        <v>822.89</v>
      </c>
      <c r="K247" s="15">
        <v>1095.75</v>
      </c>
      <c r="L247" s="15">
        <v>155.26</v>
      </c>
      <c r="M247" s="15">
        <v>766.1</v>
      </c>
      <c r="N247" s="15">
        <v>825.14</v>
      </c>
      <c r="O247" t="s">
        <v>75</v>
      </c>
    </row>
    <row r="248" spans="1:15" x14ac:dyDescent="0.25">
      <c r="A248" s="10" t="s">
        <v>980</v>
      </c>
      <c r="B248" s="15">
        <v>0</v>
      </c>
      <c r="C248" s="15">
        <v>0</v>
      </c>
      <c r="D248" s="15">
        <v>0</v>
      </c>
      <c r="E248" s="15">
        <v>0</v>
      </c>
      <c r="F248" s="15">
        <v>0</v>
      </c>
      <c r="G248" s="15">
        <v>0</v>
      </c>
      <c r="H248" s="15">
        <v>567.97</v>
      </c>
      <c r="I248" s="15">
        <v>567.97</v>
      </c>
      <c r="J248" s="15">
        <v>1166.8900000000001</v>
      </c>
      <c r="K248" s="15">
        <v>0</v>
      </c>
      <c r="L248" s="15">
        <v>0</v>
      </c>
      <c r="M248" s="15">
        <v>0</v>
      </c>
      <c r="N248" s="15">
        <v>0</v>
      </c>
      <c r="O248" t="s">
        <v>75</v>
      </c>
    </row>
    <row r="249" spans="1:15" x14ac:dyDescent="0.25">
      <c r="A249" s="10" t="s">
        <v>982</v>
      </c>
      <c r="B249" s="15">
        <v>216.68</v>
      </c>
      <c r="C249" s="15">
        <v>243.49</v>
      </c>
      <c r="D249" s="15">
        <v>208.68</v>
      </c>
      <c r="E249" s="15">
        <v>198.47</v>
      </c>
      <c r="F249" s="15">
        <v>244.49</v>
      </c>
      <c r="G249" s="15">
        <v>244.49</v>
      </c>
      <c r="H249" s="15">
        <v>862.58</v>
      </c>
      <c r="I249" s="15">
        <v>244.49</v>
      </c>
      <c r="J249" s="15">
        <v>0</v>
      </c>
      <c r="K249" s="15">
        <v>244.49</v>
      </c>
      <c r="L249" s="15">
        <v>244.49</v>
      </c>
      <c r="M249" s="15">
        <v>244.49</v>
      </c>
      <c r="N249" s="15">
        <v>241.08</v>
      </c>
      <c r="O249" t="s">
        <v>75</v>
      </c>
    </row>
    <row r="250" spans="1:15" x14ac:dyDescent="0.25">
      <c r="A250" s="10" t="s">
        <v>986</v>
      </c>
      <c r="B250" s="15">
        <v>2444.12</v>
      </c>
      <c r="C250" s="15">
        <v>3365.03</v>
      </c>
      <c r="D250" s="15">
        <v>2860.08</v>
      </c>
      <c r="E250" s="15">
        <v>6991.29</v>
      </c>
      <c r="F250" s="15">
        <v>2691.63</v>
      </c>
      <c r="G250" s="15">
        <v>177.45</v>
      </c>
      <c r="H250" s="15">
        <v>2629.86</v>
      </c>
      <c r="I250" s="15">
        <v>2606.9</v>
      </c>
      <c r="J250" s="15">
        <v>2347.9</v>
      </c>
      <c r="K250" s="15">
        <v>2513.79</v>
      </c>
      <c r="L250" s="15">
        <v>2617.0100000000002</v>
      </c>
      <c r="M250" s="15">
        <v>2629.86</v>
      </c>
      <c r="N250" s="15">
        <v>2659.27</v>
      </c>
      <c r="O250" t="s">
        <v>75</v>
      </c>
    </row>
    <row r="251" spans="1:15" x14ac:dyDescent="0.25">
      <c r="A251" s="10" t="s">
        <v>988</v>
      </c>
      <c r="B251" s="15">
        <v>0</v>
      </c>
      <c r="C251" s="15">
        <v>645.19000000000005</v>
      </c>
      <c r="D251" s="15">
        <v>0</v>
      </c>
      <c r="E251" s="15">
        <v>0</v>
      </c>
      <c r="F251" s="15">
        <v>0</v>
      </c>
      <c r="G251" s="15">
        <v>0</v>
      </c>
      <c r="H251" s="15">
        <v>0</v>
      </c>
      <c r="I251" s="15">
        <v>0</v>
      </c>
      <c r="J251" s="15">
        <v>0</v>
      </c>
      <c r="K251" s="15">
        <v>0</v>
      </c>
      <c r="L251" s="15">
        <v>123.19</v>
      </c>
      <c r="M251" s="15">
        <v>46.22</v>
      </c>
      <c r="N251" s="15">
        <v>39.97</v>
      </c>
      <c r="O251" t="s">
        <v>75</v>
      </c>
    </row>
    <row r="252" spans="1:15" x14ac:dyDescent="0.25">
      <c r="A252" s="10" t="s">
        <v>990</v>
      </c>
      <c r="B252" s="15">
        <v>950.29</v>
      </c>
      <c r="C252" s="15">
        <v>363.17</v>
      </c>
      <c r="D252" s="15">
        <v>1181.8900000000001</v>
      </c>
      <c r="E252" s="15">
        <v>1181.8900000000001</v>
      </c>
      <c r="F252" s="15">
        <v>1181.8900000000001</v>
      </c>
      <c r="G252" s="15">
        <v>1181.8900000000001</v>
      </c>
      <c r="H252" s="15">
        <v>1181.8900000000001</v>
      </c>
      <c r="I252" s="15">
        <v>1181.8900000000001</v>
      </c>
      <c r="J252" s="15">
        <v>1181.8900000000001</v>
      </c>
      <c r="K252" s="15">
        <v>1181.8900000000001</v>
      </c>
      <c r="L252" s="15">
        <v>1181.8900000000001</v>
      </c>
      <c r="M252" s="15">
        <v>2109.48</v>
      </c>
      <c r="N252" s="15">
        <v>1181.8900000000001</v>
      </c>
      <c r="O252" t="s">
        <v>75</v>
      </c>
    </row>
    <row r="253" spans="1:15" x14ac:dyDescent="0.25">
      <c r="A253" s="10" t="s">
        <v>992</v>
      </c>
      <c r="B253" s="15">
        <v>0</v>
      </c>
      <c r="C253" s="15">
        <v>1054.25</v>
      </c>
      <c r="D253" s="15">
        <v>1285.43</v>
      </c>
      <c r="E253" s="15">
        <v>1278.3</v>
      </c>
      <c r="F253" s="15">
        <v>1285.43</v>
      </c>
      <c r="G253" s="15">
        <v>1285.43</v>
      </c>
      <c r="H253" s="15">
        <v>1285.43</v>
      </c>
      <c r="I253" s="15">
        <v>1285.43</v>
      </c>
      <c r="J253" s="15">
        <v>1285.43</v>
      </c>
      <c r="K253" s="15">
        <v>1285.43</v>
      </c>
      <c r="L253" s="15">
        <v>1285.43</v>
      </c>
      <c r="M253" s="15">
        <v>1429.41</v>
      </c>
      <c r="N253" s="15">
        <v>1285.43</v>
      </c>
      <c r="O253" t="s">
        <v>75</v>
      </c>
    </row>
    <row r="254" spans="1:15" x14ac:dyDescent="0.25">
      <c r="A254" s="10" t="s">
        <v>994</v>
      </c>
      <c r="B254" s="15">
        <v>138.4</v>
      </c>
      <c r="C254" s="15">
        <v>657.68</v>
      </c>
      <c r="D254" s="15">
        <v>252.41</v>
      </c>
      <c r="E254" s="15">
        <v>219.37</v>
      </c>
      <c r="F254" s="15">
        <v>165.32</v>
      </c>
      <c r="G254" s="15">
        <v>1267.6600000000001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14.7</v>
      </c>
      <c r="O254" t="s">
        <v>75</v>
      </c>
    </row>
    <row r="255" spans="1:15" x14ac:dyDescent="0.25">
      <c r="A255" s="10" t="s">
        <v>996</v>
      </c>
      <c r="B255" s="15">
        <v>2468.39</v>
      </c>
      <c r="C255" s="15">
        <v>842.38</v>
      </c>
      <c r="D255" s="15">
        <v>1948.88</v>
      </c>
      <c r="E255" s="15">
        <v>2583.2600000000002</v>
      </c>
      <c r="F255" s="15">
        <v>2319.5500000000002</v>
      </c>
      <c r="G255" s="15">
        <v>2319.5500000000002</v>
      </c>
      <c r="H255" s="15">
        <v>2319.5500000000002</v>
      </c>
      <c r="I255" s="15">
        <v>2319.5500000000002</v>
      </c>
      <c r="J255" s="15">
        <v>2322.59</v>
      </c>
      <c r="K255" s="15">
        <v>2322.59</v>
      </c>
      <c r="L255" s="15">
        <v>2322.59</v>
      </c>
      <c r="M255" s="15">
        <v>6053.31</v>
      </c>
      <c r="N255" s="15">
        <v>2307.58</v>
      </c>
      <c r="O255" t="s">
        <v>75</v>
      </c>
    </row>
    <row r="256" spans="1:15" x14ac:dyDescent="0.25">
      <c r="A256" s="10" t="s">
        <v>1001</v>
      </c>
      <c r="B256" s="15">
        <v>0</v>
      </c>
      <c r="C256" s="15">
        <v>54.9</v>
      </c>
      <c r="D256" s="15">
        <v>53.2</v>
      </c>
      <c r="E256" s="15">
        <v>53.2</v>
      </c>
      <c r="F256" s="15">
        <v>53.2</v>
      </c>
      <c r="G256" s="15">
        <v>53.2</v>
      </c>
      <c r="H256" s="15">
        <v>53.2</v>
      </c>
      <c r="I256" s="15">
        <v>53.2</v>
      </c>
      <c r="J256" s="15">
        <v>53.2</v>
      </c>
      <c r="K256" s="15">
        <v>218.1</v>
      </c>
      <c r="L256" s="15">
        <v>53.2</v>
      </c>
      <c r="M256" s="15">
        <v>0</v>
      </c>
      <c r="N256" s="15">
        <v>53.34</v>
      </c>
      <c r="O256" t="s">
        <v>75</v>
      </c>
    </row>
    <row r="257" spans="1:15" x14ac:dyDescent="0.25">
      <c r="A257" s="10" t="s">
        <v>1003</v>
      </c>
      <c r="B257" s="15">
        <v>22.31</v>
      </c>
      <c r="C257" s="15">
        <v>0</v>
      </c>
      <c r="D257" s="15">
        <v>0</v>
      </c>
      <c r="E257" s="15">
        <v>21.49</v>
      </c>
      <c r="F257" s="15">
        <v>0</v>
      </c>
      <c r="G257" s="15">
        <v>0</v>
      </c>
      <c r="H257" s="15">
        <v>0</v>
      </c>
      <c r="I257" s="15">
        <v>167.68</v>
      </c>
      <c r="J257" s="15">
        <v>0</v>
      </c>
      <c r="K257" s="15">
        <v>0</v>
      </c>
      <c r="L257" s="15">
        <v>0</v>
      </c>
      <c r="M257" s="15">
        <v>0</v>
      </c>
      <c r="N257" s="15">
        <v>0</v>
      </c>
      <c r="O257" t="s">
        <v>75</v>
      </c>
    </row>
    <row r="258" spans="1:15" x14ac:dyDescent="0.25">
      <c r="A258" s="10" t="s">
        <v>1005</v>
      </c>
      <c r="B258" s="15">
        <v>74.66</v>
      </c>
      <c r="C258" s="15">
        <v>195.88</v>
      </c>
      <c r="D258" s="15">
        <v>160.52000000000001</v>
      </c>
      <c r="E258" s="15">
        <v>160.52000000000001</v>
      </c>
      <c r="F258" s="15">
        <v>199.2</v>
      </c>
      <c r="G258" s="15">
        <v>160.52000000000001</v>
      </c>
      <c r="H258" s="15">
        <v>160.52000000000001</v>
      </c>
      <c r="I258" s="15">
        <v>160.52000000000001</v>
      </c>
      <c r="J258" s="15">
        <v>160.52000000000001</v>
      </c>
      <c r="K258" s="15">
        <v>567.75</v>
      </c>
      <c r="L258" s="15">
        <v>160.52000000000001</v>
      </c>
      <c r="M258" s="15">
        <v>0</v>
      </c>
      <c r="N258" s="15">
        <v>166.69</v>
      </c>
      <c r="O258" t="s">
        <v>75</v>
      </c>
    </row>
    <row r="259" spans="1:15" x14ac:dyDescent="0.25">
      <c r="A259" s="10" t="s">
        <v>1007</v>
      </c>
      <c r="B259" s="15">
        <v>1325.9</v>
      </c>
      <c r="C259" s="15">
        <v>2725.41</v>
      </c>
      <c r="D259" s="15">
        <v>1498.77</v>
      </c>
      <c r="E259" s="15">
        <v>646.16999999999996</v>
      </c>
      <c r="F259" s="15">
        <v>1498.77</v>
      </c>
      <c r="G259" s="15">
        <v>1498.77</v>
      </c>
      <c r="H259" s="15">
        <v>1498.77</v>
      </c>
      <c r="I259" s="15">
        <v>1498.77</v>
      </c>
      <c r="J259" s="15">
        <v>1498.77</v>
      </c>
      <c r="K259" s="15">
        <v>1498.77</v>
      </c>
      <c r="L259" s="15">
        <v>1498.77</v>
      </c>
      <c r="M259" s="15">
        <v>1498.77</v>
      </c>
      <c r="N259" s="15">
        <v>1498.77</v>
      </c>
      <c r="O259" t="s">
        <v>75</v>
      </c>
    </row>
    <row r="260" spans="1:15" x14ac:dyDescent="0.25">
      <c r="A260" s="10" t="s">
        <v>1009</v>
      </c>
      <c r="B260" s="15">
        <v>1691.24</v>
      </c>
      <c r="C260" s="15">
        <v>4779.25</v>
      </c>
      <c r="D260" s="15">
        <v>1692.19</v>
      </c>
      <c r="E260" s="15">
        <v>43.48</v>
      </c>
      <c r="F260" s="15">
        <v>1580.95</v>
      </c>
      <c r="G260" s="15">
        <v>1576.69</v>
      </c>
      <c r="H260" s="15">
        <v>1561.45</v>
      </c>
      <c r="I260" s="15">
        <v>1599.07</v>
      </c>
      <c r="J260" s="15">
        <v>1552.96</v>
      </c>
      <c r="K260" s="15">
        <v>1556.04</v>
      </c>
      <c r="L260" s="15">
        <v>1534.36</v>
      </c>
      <c r="M260" s="15">
        <v>1298.3399999999999</v>
      </c>
      <c r="N260" s="15">
        <v>1337.23</v>
      </c>
      <c r="O260" t="s">
        <v>75</v>
      </c>
    </row>
    <row r="261" spans="1:15" x14ac:dyDescent="0.25">
      <c r="A261" s="10" t="s">
        <v>1013</v>
      </c>
      <c r="B261" s="15">
        <v>348.87</v>
      </c>
      <c r="C261" s="15">
        <v>573.29</v>
      </c>
      <c r="D261" s="15">
        <v>898.75</v>
      </c>
      <c r="E261" s="15">
        <v>0</v>
      </c>
      <c r="F261" s="15">
        <v>0</v>
      </c>
      <c r="G261" s="15">
        <v>0</v>
      </c>
      <c r="H261" s="15">
        <v>0</v>
      </c>
      <c r="I261" s="15">
        <v>0</v>
      </c>
      <c r="J261" s="15">
        <v>0</v>
      </c>
      <c r="K261" s="15">
        <v>0</v>
      </c>
      <c r="L261" s="15">
        <v>0</v>
      </c>
      <c r="M261" s="15">
        <v>0</v>
      </c>
      <c r="N261" s="15">
        <v>3.16</v>
      </c>
      <c r="O261" t="s">
        <v>75</v>
      </c>
    </row>
    <row r="262" spans="1:15" x14ac:dyDescent="0.25">
      <c r="A262" s="10" t="s">
        <v>1015</v>
      </c>
      <c r="B262" s="15">
        <v>834.73</v>
      </c>
      <c r="C262" s="15">
        <v>1149.96</v>
      </c>
      <c r="D262" s="15">
        <v>942.65</v>
      </c>
      <c r="E262" s="15">
        <v>851.84</v>
      </c>
      <c r="F262" s="15">
        <v>2311.19</v>
      </c>
      <c r="G262" s="15">
        <v>814.16</v>
      </c>
      <c r="H262" s="15">
        <v>0</v>
      </c>
      <c r="I262" s="15">
        <v>679.09</v>
      </c>
      <c r="J262" s="15">
        <v>744.43</v>
      </c>
      <c r="K262" s="15">
        <v>805.21</v>
      </c>
      <c r="L262" s="15">
        <v>741.95</v>
      </c>
      <c r="M262" s="15">
        <v>814.02</v>
      </c>
      <c r="N262" s="15">
        <v>828.17</v>
      </c>
      <c r="O262" t="s">
        <v>75</v>
      </c>
    </row>
    <row r="263" spans="1:15" x14ac:dyDescent="0.25">
      <c r="A263" s="10" t="s">
        <v>1017</v>
      </c>
      <c r="B263" s="15">
        <v>0</v>
      </c>
      <c r="C263" s="15">
        <v>17.78</v>
      </c>
      <c r="D263" s="15">
        <v>0</v>
      </c>
      <c r="E263" s="15">
        <v>0</v>
      </c>
      <c r="F263" s="15">
        <v>0</v>
      </c>
      <c r="G263" s="15">
        <v>0</v>
      </c>
      <c r="H263" s="15">
        <v>0</v>
      </c>
      <c r="I263" s="15">
        <v>0</v>
      </c>
      <c r="J263" s="15">
        <v>0</v>
      </c>
      <c r="K263" s="15">
        <v>0</v>
      </c>
      <c r="L263" s="15">
        <v>0</v>
      </c>
      <c r="M263" s="15">
        <v>0</v>
      </c>
      <c r="N263" s="15">
        <v>0</v>
      </c>
      <c r="O263" t="s">
        <v>75</v>
      </c>
    </row>
    <row r="264" spans="1:15" x14ac:dyDescent="0.25">
      <c r="A264" s="10" t="s">
        <v>1019</v>
      </c>
      <c r="B264" s="15">
        <v>1015.77</v>
      </c>
      <c r="C264" s="15">
        <v>1245.4100000000001</v>
      </c>
      <c r="D264" s="15">
        <v>1245.4100000000001</v>
      </c>
      <c r="E264" s="15">
        <v>1245.4100000000001</v>
      </c>
      <c r="F264" s="15">
        <v>1245.4100000000001</v>
      </c>
      <c r="G264" s="15">
        <v>1245.4100000000001</v>
      </c>
      <c r="H264" s="15">
        <v>1245.4100000000001</v>
      </c>
      <c r="I264" s="15">
        <v>1374.55</v>
      </c>
      <c r="J264" s="15">
        <v>1245.4100000000001</v>
      </c>
      <c r="K264" s="15">
        <v>1197.5</v>
      </c>
      <c r="L264" s="15">
        <v>1245.4100000000001</v>
      </c>
      <c r="M264" s="15">
        <v>1374.55</v>
      </c>
      <c r="N264" s="15">
        <v>1245.4100000000001</v>
      </c>
      <c r="O264" t="s">
        <v>75</v>
      </c>
    </row>
    <row r="265" spans="1:15" x14ac:dyDescent="0.25">
      <c r="A265" s="10" t="s">
        <v>1021</v>
      </c>
      <c r="B265" s="15">
        <v>35.96</v>
      </c>
      <c r="C265" s="15">
        <v>327.52999999999997</v>
      </c>
      <c r="D265" s="15">
        <v>311</v>
      </c>
      <c r="E265" s="15">
        <v>58.28</v>
      </c>
      <c r="F265" s="15">
        <v>58.25</v>
      </c>
      <c r="G265" s="15">
        <v>58.89</v>
      </c>
      <c r="H265" s="15">
        <v>123.56</v>
      </c>
      <c r="I265" s="15">
        <v>65.38</v>
      </c>
      <c r="J265" s="15">
        <v>0</v>
      </c>
      <c r="K265" s="15">
        <v>58.89</v>
      </c>
      <c r="L265" s="15">
        <v>58.89</v>
      </c>
      <c r="M265" s="15">
        <v>56.91</v>
      </c>
      <c r="N265" s="15">
        <v>87.12</v>
      </c>
      <c r="O265" t="s">
        <v>75</v>
      </c>
    </row>
    <row r="266" spans="1:15" x14ac:dyDescent="0.25">
      <c r="A266" s="10" t="s">
        <v>1023</v>
      </c>
      <c r="B266" s="15">
        <v>629.67999999999995</v>
      </c>
      <c r="C266" s="15">
        <v>860.06</v>
      </c>
      <c r="D266" s="15">
        <v>592.51</v>
      </c>
      <c r="E266" s="15">
        <v>592.51</v>
      </c>
      <c r="F266" s="15">
        <v>592.51</v>
      </c>
      <c r="G266" s="15">
        <v>592.51</v>
      </c>
      <c r="H266" s="15">
        <v>481.06</v>
      </c>
      <c r="I266" s="15">
        <v>592.51</v>
      </c>
      <c r="J266" s="15">
        <v>592.51</v>
      </c>
      <c r="K266" s="15">
        <v>592.51</v>
      </c>
      <c r="L266" s="15">
        <v>592.51</v>
      </c>
      <c r="M266" s="15">
        <v>592.51</v>
      </c>
      <c r="N266" s="15">
        <v>599.17999999999995</v>
      </c>
      <c r="O266" t="s">
        <v>75</v>
      </c>
    </row>
    <row r="267" spans="1:15" x14ac:dyDescent="0.25">
      <c r="A267" s="10" t="s">
        <v>1025</v>
      </c>
      <c r="B267" s="15">
        <v>0</v>
      </c>
      <c r="C267" s="15">
        <v>43.35</v>
      </c>
      <c r="D267" s="15">
        <v>173.2</v>
      </c>
      <c r="E267" s="15">
        <v>0</v>
      </c>
      <c r="F267" s="15">
        <v>0</v>
      </c>
      <c r="G267" s="15">
        <v>0</v>
      </c>
      <c r="H267" s="15">
        <v>0</v>
      </c>
      <c r="I267" s="15">
        <v>0</v>
      </c>
      <c r="J267" s="15">
        <v>173.2</v>
      </c>
      <c r="K267" s="15">
        <v>0</v>
      </c>
      <c r="L267" s="15">
        <v>0</v>
      </c>
      <c r="M267" s="15">
        <v>0</v>
      </c>
      <c r="N267" s="15">
        <v>10.87</v>
      </c>
      <c r="O267" t="s">
        <v>75</v>
      </c>
    </row>
    <row r="268" spans="1:15" x14ac:dyDescent="0.25">
      <c r="A268" s="10" t="s">
        <v>1027</v>
      </c>
      <c r="B268" s="15">
        <v>0</v>
      </c>
      <c r="C268" s="15">
        <v>0</v>
      </c>
      <c r="D268" s="15">
        <v>0</v>
      </c>
      <c r="E268" s="15">
        <v>0</v>
      </c>
      <c r="F268" s="15">
        <v>62.2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t="s">
        <v>75</v>
      </c>
    </row>
    <row r="269" spans="1:15" x14ac:dyDescent="0.25">
      <c r="A269" s="10" t="s">
        <v>1029</v>
      </c>
      <c r="B269" s="15">
        <v>0</v>
      </c>
      <c r="C269" s="15">
        <v>52.15</v>
      </c>
      <c r="D269" s="15">
        <v>0</v>
      </c>
      <c r="E269" s="15">
        <v>82.13</v>
      </c>
      <c r="F269" s="15">
        <v>67.53</v>
      </c>
      <c r="G269" s="15">
        <v>67.97</v>
      </c>
      <c r="H269" s="15">
        <v>82.13</v>
      </c>
      <c r="I269" s="15">
        <v>68.13</v>
      </c>
      <c r="J269" s="15">
        <v>81.91</v>
      </c>
      <c r="K269" s="15">
        <v>82.13</v>
      </c>
      <c r="L269" s="15">
        <v>82.13</v>
      </c>
      <c r="M269" s="15">
        <v>82.13</v>
      </c>
      <c r="N269" s="15">
        <v>58.03</v>
      </c>
      <c r="O269" t="s">
        <v>75</v>
      </c>
    </row>
    <row r="270" spans="1:15" x14ac:dyDescent="0.25">
      <c r="A270" s="10" t="s">
        <v>1031</v>
      </c>
      <c r="B270" s="15">
        <v>1820.92</v>
      </c>
      <c r="C270" s="15">
        <v>918.86</v>
      </c>
      <c r="D270" s="15">
        <v>780.01</v>
      </c>
      <c r="E270" s="15">
        <v>1246.6199999999999</v>
      </c>
      <c r="F270" s="15">
        <v>1246.6199999999999</v>
      </c>
      <c r="G270" s="15">
        <v>1246.6199999999999</v>
      </c>
      <c r="H270" s="15">
        <v>1246.6199999999999</v>
      </c>
      <c r="I270" s="15">
        <v>1246.6199999999999</v>
      </c>
      <c r="J270" s="15">
        <v>1246.6199999999999</v>
      </c>
      <c r="K270" s="15">
        <v>441.03</v>
      </c>
      <c r="L270" s="15">
        <v>0</v>
      </c>
      <c r="M270" s="15">
        <v>0</v>
      </c>
      <c r="N270" s="15">
        <v>697.36</v>
      </c>
      <c r="O270" t="s">
        <v>75</v>
      </c>
    </row>
    <row r="271" spans="1:15" x14ac:dyDescent="0.25">
      <c r="A271" s="10" t="s">
        <v>1042</v>
      </c>
      <c r="B271" s="15">
        <v>0</v>
      </c>
      <c r="C271" s="15">
        <v>37.82</v>
      </c>
      <c r="D271" s="15">
        <v>18.57</v>
      </c>
      <c r="E271" s="15">
        <v>29.69</v>
      </c>
      <c r="F271" s="15">
        <v>30.45</v>
      </c>
      <c r="G271" s="15">
        <v>30.45</v>
      </c>
      <c r="H271" s="15">
        <v>30.45</v>
      </c>
      <c r="I271" s="15">
        <v>30.45</v>
      </c>
      <c r="J271" s="15">
        <v>66.680000000000007</v>
      </c>
      <c r="K271" s="15">
        <v>261.56</v>
      </c>
      <c r="L271" s="15">
        <v>0</v>
      </c>
      <c r="M271" s="15">
        <v>29.27</v>
      </c>
      <c r="N271" s="15">
        <v>41.43</v>
      </c>
      <c r="O271" t="s">
        <v>75</v>
      </c>
    </row>
    <row r="272" spans="1:15" x14ac:dyDescent="0.25">
      <c r="A272" s="10" t="s">
        <v>1044</v>
      </c>
      <c r="B272" s="15">
        <v>0</v>
      </c>
      <c r="C272" s="15">
        <v>28.37</v>
      </c>
      <c r="D272" s="15">
        <v>21.04</v>
      </c>
      <c r="E272" s="15">
        <v>25.64</v>
      </c>
      <c r="F272" s="15">
        <v>23.29</v>
      </c>
      <c r="G272" s="15">
        <v>28.69</v>
      </c>
      <c r="H272" s="15">
        <v>28.84</v>
      </c>
      <c r="I272" s="15">
        <v>43.75</v>
      </c>
      <c r="J272" s="15">
        <v>18.600000000000001</v>
      </c>
      <c r="K272" s="15">
        <v>0</v>
      </c>
      <c r="L272" s="15">
        <v>25.5</v>
      </c>
      <c r="M272" s="15">
        <v>28.84</v>
      </c>
      <c r="N272" s="15">
        <v>28.84</v>
      </c>
      <c r="O272" t="s">
        <v>75</v>
      </c>
    </row>
    <row r="273" spans="1:15" x14ac:dyDescent="0.25">
      <c r="A273" s="10" t="s">
        <v>1046</v>
      </c>
      <c r="B273" s="15">
        <v>858.39</v>
      </c>
      <c r="C273" s="15">
        <v>935.14</v>
      </c>
      <c r="D273" s="15">
        <v>887.55</v>
      </c>
      <c r="E273" s="15">
        <v>935.14</v>
      </c>
      <c r="F273" s="15">
        <v>935.14</v>
      </c>
      <c r="G273" s="15">
        <v>935.14</v>
      </c>
      <c r="H273" s="15">
        <v>935.14</v>
      </c>
      <c r="I273" s="15">
        <v>1057.3499999999999</v>
      </c>
      <c r="J273" s="15">
        <v>283.62</v>
      </c>
      <c r="K273" s="15">
        <v>935.14</v>
      </c>
      <c r="L273" s="15">
        <v>935.14</v>
      </c>
      <c r="M273" s="15">
        <v>987.28</v>
      </c>
      <c r="N273" s="15">
        <v>1266.3</v>
      </c>
      <c r="O273" t="s">
        <v>75</v>
      </c>
    </row>
    <row r="274" spans="1:15" x14ac:dyDescent="0.25">
      <c r="A274" s="10" t="s">
        <v>1053</v>
      </c>
      <c r="B274" s="15">
        <v>0</v>
      </c>
      <c r="C274" s="15">
        <v>0</v>
      </c>
      <c r="D274" s="15">
        <v>0</v>
      </c>
      <c r="E274" s="15">
        <v>54.78</v>
      </c>
      <c r="F274" s="15">
        <v>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t="s">
        <v>75</v>
      </c>
    </row>
    <row r="275" spans="1:15" x14ac:dyDescent="0.25">
      <c r="A275" s="10" t="s">
        <v>1055</v>
      </c>
      <c r="B275" s="15">
        <v>2064.36</v>
      </c>
      <c r="C275" s="15">
        <v>455.05</v>
      </c>
      <c r="D275" s="15">
        <v>22.28</v>
      </c>
      <c r="E275" s="15">
        <v>704.59</v>
      </c>
      <c r="F275" s="15">
        <v>704.59</v>
      </c>
      <c r="G275" s="15">
        <v>704.59</v>
      </c>
      <c r="H275" s="15">
        <v>704.59</v>
      </c>
      <c r="I275" s="15">
        <v>704.59</v>
      </c>
      <c r="J275" s="15">
        <v>704.59</v>
      </c>
      <c r="K275" s="15">
        <v>704.59</v>
      </c>
      <c r="L275" s="15">
        <v>704.59</v>
      </c>
      <c r="M275" s="15">
        <v>704.59</v>
      </c>
      <c r="N275" s="15">
        <v>700.69</v>
      </c>
      <c r="O275" t="s">
        <v>75</v>
      </c>
    </row>
    <row r="276" spans="1:15" x14ac:dyDescent="0.25">
      <c r="A276" s="10" t="s">
        <v>1059</v>
      </c>
      <c r="B276" s="15">
        <v>0</v>
      </c>
      <c r="C276" s="15">
        <v>10.14</v>
      </c>
      <c r="D276" s="15">
        <v>0</v>
      </c>
      <c r="E276" s="15">
        <v>0</v>
      </c>
      <c r="F276" s="15">
        <v>0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t="s">
        <v>75</v>
      </c>
    </row>
    <row r="277" spans="1:15" x14ac:dyDescent="0.25">
      <c r="A277" s="10" t="s">
        <v>1063</v>
      </c>
      <c r="B277" s="15">
        <v>0</v>
      </c>
      <c r="C277" s="15">
        <v>0</v>
      </c>
      <c r="D277" s="15">
        <v>0</v>
      </c>
      <c r="E277" s="15">
        <v>371.53</v>
      </c>
      <c r="F277" s="15">
        <v>0</v>
      </c>
      <c r="G277" s="15">
        <v>0</v>
      </c>
      <c r="H277" s="15">
        <v>0</v>
      </c>
      <c r="I277" s="15">
        <v>0</v>
      </c>
      <c r="J277" s="15">
        <v>117.82</v>
      </c>
      <c r="K277" s="15">
        <v>0</v>
      </c>
      <c r="L277" s="15">
        <v>0</v>
      </c>
      <c r="M277" s="15">
        <v>0</v>
      </c>
      <c r="N277" s="15">
        <v>17.43</v>
      </c>
      <c r="O277" t="s">
        <v>75</v>
      </c>
    </row>
    <row r="278" spans="1:15" x14ac:dyDescent="0.25">
      <c r="A278" s="10" t="s">
        <v>1065</v>
      </c>
      <c r="B278" s="15">
        <v>1650.9</v>
      </c>
      <c r="C278" s="15">
        <v>785</v>
      </c>
      <c r="D278" s="15">
        <v>582.35</v>
      </c>
      <c r="E278" s="15">
        <v>1020.36</v>
      </c>
      <c r="F278" s="15">
        <v>1020.36</v>
      </c>
      <c r="G278" s="15">
        <v>1020.36</v>
      </c>
      <c r="H278" s="15">
        <v>1020.36</v>
      </c>
      <c r="I278" s="15">
        <v>1020.36</v>
      </c>
      <c r="J278" s="15">
        <v>1020.36</v>
      </c>
      <c r="K278" s="15">
        <v>1020.36</v>
      </c>
      <c r="L278" s="15">
        <v>1020.36</v>
      </c>
      <c r="M278" s="15">
        <v>1824.38</v>
      </c>
      <c r="N278" s="15">
        <v>1020.36</v>
      </c>
      <c r="O278" t="s">
        <v>75</v>
      </c>
    </row>
    <row r="279" spans="1:15" x14ac:dyDescent="0.25">
      <c r="A279" s="10" t="s">
        <v>1067</v>
      </c>
      <c r="B279" s="15">
        <v>0</v>
      </c>
      <c r="C279" s="15">
        <v>0</v>
      </c>
      <c r="D279" s="15">
        <v>0</v>
      </c>
      <c r="E279" s="15">
        <v>0</v>
      </c>
      <c r="F279" s="15">
        <v>0</v>
      </c>
      <c r="G279" s="15">
        <v>0</v>
      </c>
      <c r="H279" s="15">
        <v>0</v>
      </c>
      <c r="I279" s="15">
        <v>0</v>
      </c>
      <c r="J279" s="15">
        <v>41.68</v>
      </c>
      <c r="K279" s="15">
        <v>0</v>
      </c>
      <c r="L279" s="15">
        <v>0</v>
      </c>
      <c r="M279" s="15">
        <v>0</v>
      </c>
      <c r="N279" s="15">
        <v>0</v>
      </c>
      <c r="O279" t="s">
        <v>75</v>
      </c>
    </row>
    <row r="280" spans="1:15" x14ac:dyDescent="0.25">
      <c r="A280" s="10" t="s">
        <v>1073</v>
      </c>
      <c r="B280" s="15">
        <v>737.55</v>
      </c>
      <c r="C280" s="15">
        <v>1824.32</v>
      </c>
      <c r="D280" s="15">
        <v>1906.72</v>
      </c>
      <c r="E280" s="15">
        <v>1906.72</v>
      </c>
      <c r="F280" s="15">
        <v>1906.72</v>
      </c>
      <c r="G280" s="15">
        <v>1906.72</v>
      </c>
      <c r="H280" s="15">
        <v>1906.72</v>
      </c>
      <c r="I280" s="15">
        <v>1906.72</v>
      </c>
      <c r="J280" s="15">
        <v>1906.72</v>
      </c>
      <c r="K280" s="15">
        <v>1906.72</v>
      </c>
      <c r="L280" s="15">
        <v>3492.25</v>
      </c>
      <c r="M280" s="15">
        <v>1874.35</v>
      </c>
      <c r="N280" s="15">
        <v>2067.31</v>
      </c>
      <c r="O280" t="s">
        <v>75</v>
      </c>
    </row>
    <row r="281" spans="1:15" x14ac:dyDescent="0.25">
      <c r="A281" s="10" t="s">
        <v>1075</v>
      </c>
      <c r="B281" s="15">
        <v>1817.84</v>
      </c>
      <c r="C281" s="15">
        <v>2627.57</v>
      </c>
      <c r="D281" s="15">
        <v>1891.49</v>
      </c>
      <c r="E281" s="15">
        <v>1964.66</v>
      </c>
      <c r="F281" s="15">
        <v>1985.56</v>
      </c>
      <c r="G281" s="15">
        <v>2024.54</v>
      </c>
      <c r="H281" s="15">
        <v>1923.83</v>
      </c>
      <c r="I281" s="15">
        <v>2417.27</v>
      </c>
      <c r="J281" s="15">
        <v>2416.7600000000002</v>
      </c>
      <c r="K281" s="15">
        <v>2026.17</v>
      </c>
      <c r="L281" s="15">
        <v>1903.39</v>
      </c>
      <c r="M281" s="15">
        <v>1864.82</v>
      </c>
      <c r="N281" s="15">
        <v>1986.37</v>
      </c>
      <c r="O281" t="s">
        <v>75</v>
      </c>
    </row>
    <row r="282" spans="1:15" x14ac:dyDescent="0.25">
      <c r="A282" s="10" t="s">
        <v>1077</v>
      </c>
      <c r="B282" s="15">
        <v>150.88999999999999</v>
      </c>
      <c r="C282" s="15">
        <v>190.71</v>
      </c>
      <c r="D282" s="15">
        <v>188.76</v>
      </c>
      <c r="E282" s="15">
        <v>188.76</v>
      </c>
      <c r="F282" s="15">
        <v>188.76</v>
      </c>
      <c r="G282" s="15">
        <v>188.76</v>
      </c>
      <c r="H282" s="15">
        <v>316.88</v>
      </c>
      <c r="I282" s="15">
        <v>188.76</v>
      </c>
      <c r="J282" s="15">
        <v>25.86</v>
      </c>
      <c r="K282" s="15">
        <v>188.76</v>
      </c>
      <c r="L282" s="15">
        <v>188.76</v>
      </c>
      <c r="M282" s="15">
        <v>188.76</v>
      </c>
      <c r="N282" s="15">
        <v>187.55</v>
      </c>
      <c r="O282" t="s">
        <v>75</v>
      </c>
    </row>
    <row r="283" spans="1:15" x14ac:dyDescent="0.25">
      <c r="A283" s="10" t="s">
        <v>1079</v>
      </c>
      <c r="B283" s="15">
        <v>2155.46</v>
      </c>
      <c r="C283" s="15">
        <v>1006.28</v>
      </c>
      <c r="D283" s="15">
        <v>856.24</v>
      </c>
      <c r="E283" s="15">
        <v>1380.46</v>
      </c>
      <c r="F283" s="15">
        <v>1380.46</v>
      </c>
      <c r="G283" s="15">
        <v>1380.46</v>
      </c>
      <c r="H283" s="15">
        <v>1380.46</v>
      </c>
      <c r="I283" s="15">
        <v>1380.46</v>
      </c>
      <c r="J283" s="15">
        <v>1380.46</v>
      </c>
      <c r="K283" s="15">
        <v>1380.46</v>
      </c>
      <c r="L283" s="15">
        <v>1380.46</v>
      </c>
      <c r="M283" s="15">
        <v>1380.46</v>
      </c>
      <c r="N283" s="15">
        <v>1380.46</v>
      </c>
      <c r="O283" t="s">
        <v>75</v>
      </c>
    </row>
    <row r="284" spans="1:15" x14ac:dyDescent="0.25">
      <c r="A284" s="10" t="s">
        <v>1081</v>
      </c>
      <c r="B284" s="15">
        <v>3513.74</v>
      </c>
      <c r="C284" s="15">
        <v>2092.5</v>
      </c>
      <c r="D284" s="15">
        <v>3701.76</v>
      </c>
      <c r="E284" s="15">
        <v>3701.76</v>
      </c>
      <c r="F284" s="15">
        <v>3701.76</v>
      </c>
      <c r="G284" s="15">
        <v>3701.76</v>
      </c>
      <c r="H284" s="15">
        <v>3701.76</v>
      </c>
      <c r="I284" s="15">
        <v>6827.53</v>
      </c>
      <c r="J284" s="15">
        <v>858.63</v>
      </c>
      <c r="K284" s="15">
        <v>3701.76</v>
      </c>
      <c r="L284" s="15">
        <v>3701.76</v>
      </c>
      <c r="M284" s="15">
        <v>3701.76</v>
      </c>
      <c r="N284" s="15">
        <v>3701.76</v>
      </c>
      <c r="O284" t="s">
        <v>75</v>
      </c>
    </row>
    <row r="285" spans="1:15" x14ac:dyDescent="0.25">
      <c r="A285" s="10" t="s">
        <v>1083</v>
      </c>
      <c r="B285" s="15">
        <v>259.86</v>
      </c>
      <c r="C285" s="15">
        <v>1170.58</v>
      </c>
      <c r="D285" s="15">
        <v>499.88</v>
      </c>
      <c r="E285" s="15">
        <v>0</v>
      </c>
      <c r="F285" s="15">
        <v>348.18</v>
      </c>
      <c r="G285" s="15">
        <v>348.18</v>
      </c>
      <c r="H285" s="15">
        <v>348.18</v>
      </c>
      <c r="I285" s="15">
        <v>348.18</v>
      </c>
      <c r="J285" s="15">
        <v>348.18</v>
      </c>
      <c r="K285" s="15">
        <v>348.18</v>
      </c>
      <c r="L285" s="15">
        <v>348.18</v>
      </c>
      <c r="M285" s="15">
        <v>348.18</v>
      </c>
      <c r="N285" s="15">
        <v>351.89</v>
      </c>
      <c r="O285" t="s">
        <v>75</v>
      </c>
    </row>
    <row r="286" spans="1:15" x14ac:dyDescent="0.25">
      <c r="A286" s="10" t="s">
        <v>1085</v>
      </c>
      <c r="B286" s="15">
        <v>43.09</v>
      </c>
      <c r="C286" s="15">
        <v>74.260000000000005</v>
      </c>
      <c r="D286" s="15">
        <v>66.010000000000005</v>
      </c>
      <c r="E286" s="15">
        <v>66.010000000000005</v>
      </c>
      <c r="F286" s="15">
        <v>66.010000000000005</v>
      </c>
      <c r="G286" s="15">
        <v>66.010000000000005</v>
      </c>
      <c r="H286" s="15">
        <v>66.010000000000005</v>
      </c>
      <c r="I286" s="15">
        <v>66.010000000000005</v>
      </c>
      <c r="J286" s="15">
        <v>66.010000000000005</v>
      </c>
      <c r="K286" s="15">
        <v>66.010000000000005</v>
      </c>
      <c r="L286" s="15">
        <v>84.28</v>
      </c>
      <c r="M286" s="15">
        <v>66.010000000000005</v>
      </c>
      <c r="N286" s="15">
        <v>66.489999999999995</v>
      </c>
      <c r="O286" t="s">
        <v>75</v>
      </c>
    </row>
    <row r="287" spans="1:15" x14ac:dyDescent="0.25">
      <c r="A287" s="10" t="s">
        <v>1090</v>
      </c>
      <c r="B287" s="15">
        <v>0</v>
      </c>
      <c r="C287" s="15">
        <v>58.78</v>
      </c>
      <c r="D287" s="15">
        <v>0</v>
      </c>
      <c r="E287" s="15">
        <v>0</v>
      </c>
      <c r="F287" s="15">
        <v>0</v>
      </c>
      <c r="G287" s="15">
        <v>0</v>
      </c>
      <c r="H287" s="15">
        <v>0</v>
      </c>
      <c r="I287" s="15">
        <v>0</v>
      </c>
      <c r="J287" s="15">
        <v>0</v>
      </c>
      <c r="K287" s="15">
        <v>0</v>
      </c>
      <c r="L287" s="15">
        <v>0</v>
      </c>
      <c r="M287" s="15">
        <v>0</v>
      </c>
      <c r="N287" s="15">
        <v>0</v>
      </c>
      <c r="O287" t="s">
        <v>75</v>
      </c>
    </row>
    <row r="288" spans="1:15" x14ac:dyDescent="0.25">
      <c r="A288" s="10" t="s">
        <v>1092</v>
      </c>
      <c r="B288" s="15">
        <v>26.47</v>
      </c>
      <c r="C288" s="15">
        <v>49.56</v>
      </c>
      <c r="D288" s="15">
        <v>37.590000000000003</v>
      </c>
      <c r="E288" s="15">
        <v>37.590000000000003</v>
      </c>
      <c r="F288" s="15">
        <v>37.590000000000003</v>
      </c>
      <c r="G288" s="15">
        <v>37.590000000000003</v>
      </c>
      <c r="H288" s="15">
        <v>59.04</v>
      </c>
      <c r="I288" s="15">
        <v>37.590000000000003</v>
      </c>
      <c r="J288" s="15">
        <v>0</v>
      </c>
      <c r="K288" s="15">
        <v>37.590000000000003</v>
      </c>
      <c r="L288" s="15">
        <v>37.590000000000003</v>
      </c>
      <c r="M288" s="15">
        <v>37.590000000000003</v>
      </c>
      <c r="N288" s="15">
        <v>38.590000000000003</v>
      </c>
      <c r="O288" t="s">
        <v>75</v>
      </c>
    </row>
    <row r="289" spans="1:15" x14ac:dyDescent="0.25">
      <c r="A289" s="10" t="s">
        <v>1094</v>
      </c>
      <c r="B289" s="15">
        <v>15.21</v>
      </c>
      <c r="C289" s="15">
        <v>617.34</v>
      </c>
      <c r="D289" s="15">
        <v>0</v>
      </c>
      <c r="E289" s="15">
        <v>0</v>
      </c>
      <c r="F289" s="15">
        <v>0</v>
      </c>
      <c r="G289" s="15">
        <v>0</v>
      </c>
      <c r="H289" s="15">
        <v>0</v>
      </c>
      <c r="I289" s="15">
        <v>0</v>
      </c>
      <c r="J289" s="15">
        <v>0</v>
      </c>
      <c r="K289" s="15">
        <v>0</v>
      </c>
      <c r="L289" s="15">
        <v>0</v>
      </c>
      <c r="M289" s="15">
        <v>134.28</v>
      </c>
      <c r="N289" s="15">
        <v>30.94</v>
      </c>
      <c r="O289" t="s">
        <v>75</v>
      </c>
    </row>
    <row r="290" spans="1:15" x14ac:dyDescent="0.25">
      <c r="A290" s="10" t="s">
        <v>1096</v>
      </c>
      <c r="B290" s="15">
        <v>0</v>
      </c>
      <c r="C290" s="15">
        <v>10.27</v>
      </c>
      <c r="D290" s="15">
        <v>12.13</v>
      </c>
      <c r="E290" s="15">
        <v>22.55</v>
      </c>
      <c r="F290" s="15">
        <v>10.27</v>
      </c>
      <c r="G290" s="15">
        <v>10.27</v>
      </c>
      <c r="H290" s="15">
        <v>0</v>
      </c>
      <c r="I290" s="15">
        <v>10.27</v>
      </c>
      <c r="J290" s="15">
        <v>10.27</v>
      </c>
      <c r="K290" s="15">
        <v>10.27</v>
      </c>
      <c r="L290" s="15">
        <v>10.27</v>
      </c>
      <c r="M290" s="15">
        <v>28.69</v>
      </c>
      <c r="N290" s="15">
        <v>12.98</v>
      </c>
      <c r="O290" t="s">
        <v>75</v>
      </c>
    </row>
    <row r="291" spans="1:15" x14ac:dyDescent="0.25">
      <c r="A291" s="10" t="s">
        <v>1098</v>
      </c>
      <c r="B291" s="15">
        <v>1430.9</v>
      </c>
      <c r="C291" s="15">
        <v>849.03</v>
      </c>
      <c r="D291" s="15">
        <v>1838.16</v>
      </c>
      <c r="E291" s="15">
        <v>1838.16</v>
      </c>
      <c r="F291" s="15">
        <v>1838.16</v>
      </c>
      <c r="G291" s="15">
        <v>1838.16</v>
      </c>
      <c r="H291" s="15">
        <v>1838.16</v>
      </c>
      <c r="I291" s="15">
        <v>1838.16</v>
      </c>
      <c r="J291" s="15">
        <v>1838.16</v>
      </c>
      <c r="K291" s="15">
        <v>1838.16</v>
      </c>
      <c r="L291" s="15">
        <v>1838.16</v>
      </c>
      <c r="M291" s="15">
        <v>3374.91</v>
      </c>
      <c r="N291" s="15">
        <v>1838.16</v>
      </c>
      <c r="O291" t="s">
        <v>75</v>
      </c>
    </row>
    <row r="292" spans="1:15" x14ac:dyDescent="0.25">
      <c r="A292" s="10" t="s">
        <v>1100</v>
      </c>
      <c r="B292" s="15">
        <v>1006.07</v>
      </c>
      <c r="C292" s="15">
        <v>425.07</v>
      </c>
      <c r="D292" s="15">
        <v>1235.21</v>
      </c>
      <c r="E292" s="15">
        <v>1235.21</v>
      </c>
      <c r="F292" s="15">
        <v>1235.21</v>
      </c>
      <c r="G292" s="15">
        <v>1235.21</v>
      </c>
      <c r="H292" s="15">
        <v>1235.21</v>
      </c>
      <c r="I292" s="15">
        <v>1235.21</v>
      </c>
      <c r="J292" s="15">
        <v>1235.21</v>
      </c>
      <c r="K292" s="15">
        <v>1235.21</v>
      </c>
      <c r="L292" s="15">
        <v>2221.7800000000002</v>
      </c>
      <c r="M292" s="15">
        <v>1235.21</v>
      </c>
      <c r="N292" s="15">
        <v>1235.21</v>
      </c>
      <c r="O292" t="s">
        <v>75</v>
      </c>
    </row>
    <row r="293" spans="1:15" x14ac:dyDescent="0.25">
      <c r="A293" s="10" t="s">
        <v>1102</v>
      </c>
      <c r="B293" s="15">
        <v>2408.75</v>
      </c>
      <c r="C293" s="15">
        <v>2340.92</v>
      </c>
      <c r="D293" s="15">
        <v>480.55</v>
      </c>
      <c r="E293" s="15">
        <v>1682.34</v>
      </c>
      <c r="F293" s="15">
        <v>1682.34</v>
      </c>
      <c r="G293" s="15">
        <v>1682.34</v>
      </c>
      <c r="H293" s="15">
        <v>1673.52</v>
      </c>
      <c r="I293" s="15">
        <v>1682.34</v>
      </c>
      <c r="J293" s="15">
        <v>1682.34</v>
      </c>
      <c r="K293" s="15">
        <v>1682.34</v>
      </c>
      <c r="L293" s="15">
        <v>1682.34</v>
      </c>
      <c r="M293" s="15">
        <v>1682.34</v>
      </c>
      <c r="N293" s="15">
        <v>1714.49</v>
      </c>
      <c r="O293" t="s">
        <v>75</v>
      </c>
    </row>
    <row r="294" spans="1:15" x14ac:dyDescent="0.25">
      <c r="A294" s="10" t="s">
        <v>1107</v>
      </c>
      <c r="B294" s="15">
        <v>0</v>
      </c>
      <c r="C294" s="15">
        <v>17.03</v>
      </c>
      <c r="D294" s="15">
        <v>0</v>
      </c>
      <c r="E294" s="15">
        <v>0</v>
      </c>
      <c r="F294" s="15">
        <v>0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10.39</v>
      </c>
      <c r="N294" s="15">
        <v>0</v>
      </c>
      <c r="O294" t="s">
        <v>75</v>
      </c>
    </row>
    <row r="295" spans="1:15" x14ac:dyDescent="0.25">
      <c r="A295" s="10" t="s">
        <v>1109</v>
      </c>
      <c r="B295" s="15">
        <v>0</v>
      </c>
      <c r="C295" s="15">
        <v>0</v>
      </c>
      <c r="D295" s="15">
        <v>28.28</v>
      </c>
      <c r="E295" s="15">
        <v>0</v>
      </c>
      <c r="F295" s="15">
        <v>0</v>
      </c>
      <c r="G295" s="15">
        <v>0</v>
      </c>
      <c r="H295" s="15">
        <v>0</v>
      </c>
      <c r="I295" s="15">
        <v>0</v>
      </c>
      <c r="J295" s="15">
        <v>0</v>
      </c>
      <c r="K295" s="15">
        <v>0</v>
      </c>
      <c r="L295" s="15">
        <v>0</v>
      </c>
      <c r="M295" s="15">
        <v>0</v>
      </c>
      <c r="N295" s="15">
        <v>0</v>
      </c>
      <c r="O295" t="s">
        <v>75</v>
      </c>
    </row>
    <row r="296" spans="1:15" x14ac:dyDescent="0.25">
      <c r="A296" s="10" t="s">
        <v>1111</v>
      </c>
      <c r="B296" s="15">
        <v>224.17</v>
      </c>
      <c r="C296" s="15">
        <v>114.35</v>
      </c>
      <c r="D296" s="15">
        <v>83.7</v>
      </c>
      <c r="E296" s="15">
        <v>179.82</v>
      </c>
      <c r="F296" s="15">
        <v>179.82</v>
      </c>
      <c r="G296" s="15">
        <v>48.21</v>
      </c>
      <c r="H296" s="15">
        <v>121.67</v>
      </c>
      <c r="I296" s="15">
        <v>179.82</v>
      </c>
      <c r="J296" s="15">
        <v>179.82</v>
      </c>
      <c r="K296" s="15">
        <v>179.08</v>
      </c>
      <c r="L296" s="15">
        <v>562.23</v>
      </c>
      <c r="M296" s="15">
        <v>229.93</v>
      </c>
      <c r="N296" s="15">
        <v>201.7</v>
      </c>
      <c r="O296" t="s">
        <v>75</v>
      </c>
    </row>
    <row r="297" spans="1:15" x14ac:dyDescent="0.25">
      <c r="A297" s="10" t="s">
        <v>1113</v>
      </c>
      <c r="B297" s="15">
        <v>0</v>
      </c>
      <c r="C297" s="15">
        <v>15.43</v>
      </c>
      <c r="D297" s="15">
        <v>0</v>
      </c>
      <c r="E297" s="15">
        <v>0</v>
      </c>
      <c r="F297" s="15">
        <v>0</v>
      </c>
      <c r="G297" s="15">
        <v>0</v>
      </c>
      <c r="H297" s="15">
        <v>0</v>
      </c>
      <c r="I297" s="15">
        <v>0</v>
      </c>
      <c r="J297" s="15">
        <v>0</v>
      </c>
      <c r="K297" s="15">
        <v>0</v>
      </c>
      <c r="L297" s="15">
        <v>0</v>
      </c>
      <c r="M297" s="15">
        <v>0</v>
      </c>
      <c r="N297" s="15">
        <v>0</v>
      </c>
      <c r="O297" t="s">
        <v>75</v>
      </c>
    </row>
    <row r="298" spans="1:15" x14ac:dyDescent="0.25">
      <c r="A298" s="10" t="s">
        <v>1115</v>
      </c>
      <c r="B298" s="15">
        <v>0</v>
      </c>
      <c r="C298" s="15">
        <v>0</v>
      </c>
      <c r="D298" s="15">
        <v>0</v>
      </c>
      <c r="E298" s="15">
        <v>0</v>
      </c>
      <c r="F298" s="15">
        <v>45.97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t="s">
        <v>75</v>
      </c>
    </row>
    <row r="299" spans="1:15" x14ac:dyDescent="0.25">
      <c r="A299" s="10" t="s">
        <v>1117</v>
      </c>
      <c r="B299" s="15">
        <v>35.96</v>
      </c>
      <c r="C299" s="15">
        <v>146.1</v>
      </c>
      <c r="D299" s="15">
        <v>58.89</v>
      </c>
      <c r="E299" s="15">
        <v>58.89</v>
      </c>
      <c r="F299" s="15">
        <v>58.89</v>
      </c>
      <c r="G299" s="15">
        <v>46.92</v>
      </c>
      <c r="H299" s="15">
        <v>58.89</v>
      </c>
      <c r="I299" s="15">
        <v>64.930000000000007</v>
      </c>
      <c r="J299" s="15">
        <v>0</v>
      </c>
      <c r="K299" s="15">
        <v>0</v>
      </c>
      <c r="L299" s="15">
        <v>0</v>
      </c>
      <c r="M299" s="15">
        <v>196.86</v>
      </c>
      <c r="N299" s="15">
        <v>27.86</v>
      </c>
      <c r="O299" t="s">
        <v>75</v>
      </c>
    </row>
    <row r="300" spans="1:15" x14ac:dyDescent="0.25">
      <c r="A300" s="10" t="s">
        <v>1119</v>
      </c>
      <c r="B300" s="15">
        <v>2293.56</v>
      </c>
      <c r="C300" s="15">
        <v>4109.3599999999997</v>
      </c>
      <c r="D300" s="15">
        <v>2519.69</v>
      </c>
      <c r="E300" s="15">
        <v>2534.0100000000002</v>
      </c>
      <c r="F300" s="15">
        <v>2407.9</v>
      </c>
      <c r="G300" s="15">
        <v>4539.16</v>
      </c>
      <c r="H300" s="15">
        <v>2404.9299999999998</v>
      </c>
      <c r="I300" s="15">
        <v>1246.25</v>
      </c>
      <c r="J300" s="15">
        <v>2383.7399999999998</v>
      </c>
      <c r="K300" s="15">
        <v>2329.9899999999998</v>
      </c>
      <c r="L300" s="15">
        <v>2397.9299999999998</v>
      </c>
      <c r="M300" s="15">
        <v>2319.41</v>
      </c>
      <c r="N300" s="15">
        <v>2526.58</v>
      </c>
      <c r="O300" t="s">
        <v>75</v>
      </c>
    </row>
    <row r="301" spans="1:15" x14ac:dyDescent="0.25">
      <c r="A301" s="10" t="s">
        <v>1121</v>
      </c>
      <c r="B301" s="15">
        <v>1341.26</v>
      </c>
      <c r="C301" s="15">
        <v>1702.92</v>
      </c>
      <c r="D301" s="15">
        <v>1007.15</v>
      </c>
      <c r="E301" s="15">
        <v>1397.33</v>
      </c>
      <c r="F301" s="15">
        <v>1397.33</v>
      </c>
      <c r="G301" s="15">
        <v>1397.33</v>
      </c>
      <c r="H301" s="15">
        <v>1397.33</v>
      </c>
      <c r="I301" s="15">
        <v>1397.33</v>
      </c>
      <c r="J301" s="15">
        <v>1397.33</v>
      </c>
      <c r="K301" s="15">
        <v>1397.33</v>
      </c>
      <c r="L301" s="15">
        <v>1397.33</v>
      </c>
      <c r="M301" s="15">
        <v>1397.33</v>
      </c>
      <c r="N301" s="15">
        <v>1397.33</v>
      </c>
      <c r="O301" t="s">
        <v>75</v>
      </c>
    </row>
    <row r="302" spans="1:15" x14ac:dyDescent="0.25">
      <c r="A302" s="10" t="s">
        <v>1123</v>
      </c>
      <c r="B302" s="15">
        <v>16.690000000000001</v>
      </c>
      <c r="C302" s="15">
        <v>0</v>
      </c>
      <c r="D302" s="15">
        <v>0</v>
      </c>
      <c r="E302" s="15">
        <v>0</v>
      </c>
      <c r="F302" s="15">
        <v>0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32.24</v>
      </c>
      <c r="N302" s="15">
        <v>0</v>
      </c>
      <c r="O302" t="s">
        <v>75</v>
      </c>
    </row>
    <row r="303" spans="1:15" x14ac:dyDescent="0.25">
      <c r="A303" s="10" t="s">
        <v>1125</v>
      </c>
      <c r="B303" s="15">
        <v>2273.7800000000002</v>
      </c>
      <c r="C303" s="15">
        <v>1360.87</v>
      </c>
      <c r="D303" s="15">
        <v>587.26</v>
      </c>
      <c r="E303" s="15">
        <v>1274.81</v>
      </c>
      <c r="F303" s="15">
        <v>1360.87</v>
      </c>
      <c r="G303" s="15">
        <v>1360.87</v>
      </c>
      <c r="H303" s="15">
        <v>1360.87</v>
      </c>
      <c r="I303" s="15">
        <v>1360.87</v>
      </c>
      <c r="J303" s="15">
        <v>1360.87</v>
      </c>
      <c r="K303" s="15">
        <v>1360.87</v>
      </c>
      <c r="L303" s="15">
        <v>1360.87</v>
      </c>
      <c r="M303" s="15">
        <v>2447.5500000000002</v>
      </c>
      <c r="N303" s="15">
        <v>1360.87</v>
      </c>
      <c r="O303" t="s">
        <v>75</v>
      </c>
    </row>
    <row r="304" spans="1:15" x14ac:dyDescent="0.25">
      <c r="A304" s="10" t="s">
        <v>1127</v>
      </c>
      <c r="B304" s="15">
        <v>0</v>
      </c>
      <c r="C304" s="15">
        <v>0</v>
      </c>
      <c r="D304" s="15">
        <v>20.94</v>
      </c>
      <c r="E304" s="15">
        <v>20.94</v>
      </c>
      <c r="F304" s="15">
        <v>20.94</v>
      </c>
      <c r="G304" s="15">
        <v>20.94</v>
      </c>
      <c r="H304" s="15">
        <v>20.56</v>
      </c>
      <c r="I304" s="15">
        <v>20.94</v>
      </c>
      <c r="J304" s="15">
        <v>0</v>
      </c>
      <c r="K304" s="15">
        <v>0</v>
      </c>
      <c r="L304" s="15">
        <v>20.94</v>
      </c>
      <c r="M304" s="15">
        <v>20.94</v>
      </c>
      <c r="N304" s="15">
        <v>20.98</v>
      </c>
      <c r="O304" t="s">
        <v>75</v>
      </c>
    </row>
    <row r="305" spans="1:15" x14ac:dyDescent="0.25">
      <c r="A305" s="10" t="s">
        <v>1129</v>
      </c>
      <c r="B305" s="15">
        <v>888.84</v>
      </c>
      <c r="C305" s="15">
        <v>1142.25</v>
      </c>
      <c r="D305" s="15">
        <v>1088.1099999999999</v>
      </c>
      <c r="E305" s="15">
        <v>1247.17</v>
      </c>
      <c r="F305" s="15">
        <v>1115.18</v>
      </c>
      <c r="G305" s="15">
        <v>1028.3800000000001</v>
      </c>
      <c r="H305" s="15">
        <v>1247.17</v>
      </c>
      <c r="I305" s="15">
        <v>1115.18</v>
      </c>
      <c r="J305" s="15">
        <v>401.14</v>
      </c>
      <c r="K305" s="15">
        <v>1115.18</v>
      </c>
      <c r="L305" s="15">
        <v>1115.18</v>
      </c>
      <c r="M305" s="15">
        <v>1115.18</v>
      </c>
      <c r="N305" s="15">
        <v>1115.18</v>
      </c>
      <c r="O305" t="s">
        <v>75</v>
      </c>
    </row>
    <row r="306" spans="1:15" x14ac:dyDescent="0.25">
      <c r="A306" s="10" t="s">
        <v>1134</v>
      </c>
      <c r="B306" s="15">
        <v>0</v>
      </c>
      <c r="C306" s="15">
        <v>0</v>
      </c>
      <c r="D306" s="15">
        <v>0</v>
      </c>
      <c r="E306" s="15">
        <v>0</v>
      </c>
      <c r="F306" s="15">
        <v>0</v>
      </c>
      <c r="G306" s="15">
        <v>0</v>
      </c>
      <c r="H306" s="15">
        <v>41.36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t="s">
        <v>75</v>
      </c>
    </row>
    <row r="307" spans="1:15" x14ac:dyDescent="0.25">
      <c r="A307" s="10" t="s">
        <v>1136</v>
      </c>
      <c r="B307" s="15">
        <v>0</v>
      </c>
      <c r="C307" s="15">
        <v>42.28</v>
      </c>
      <c r="D307" s="15">
        <v>0</v>
      </c>
      <c r="E307" s="15">
        <v>0</v>
      </c>
      <c r="F307" s="15">
        <v>0</v>
      </c>
      <c r="G307" s="15">
        <v>0</v>
      </c>
      <c r="H307" s="15">
        <v>0</v>
      </c>
      <c r="I307" s="15">
        <v>0</v>
      </c>
      <c r="J307" s="15">
        <v>0</v>
      </c>
      <c r="K307" s="15">
        <v>0</v>
      </c>
      <c r="L307" s="15">
        <v>36.200000000000003</v>
      </c>
      <c r="M307" s="15">
        <v>54.21</v>
      </c>
      <c r="N307" s="15">
        <v>39.08</v>
      </c>
      <c r="O307" t="s">
        <v>75</v>
      </c>
    </row>
    <row r="308" spans="1:15" x14ac:dyDescent="0.25">
      <c r="A308" s="10" t="s">
        <v>1140</v>
      </c>
      <c r="B308" s="15">
        <v>0</v>
      </c>
      <c r="C308" s="15">
        <v>0</v>
      </c>
      <c r="D308" s="15">
        <v>0</v>
      </c>
      <c r="E308" s="15">
        <v>0</v>
      </c>
      <c r="F308" s="15">
        <v>0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35.92</v>
      </c>
      <c r="M308" s="15">
        <v>0</v>
      </c>
      <c r="N308" s="15">
        <v>0</v>
      </c>
      <c r="O308" t="s">
        <v>75</v>
      </c>
    </row>
    <row r="309" spans="1:15" x14ac:dyDescent="0.25">
      <c r="A309" s="10" t="s">
        <v>1142</v>
      </c>
      <c r="B309" s="15">
        <v>0</v>
      </c>
      <c r="C309" s="15">
        <v>0</v>
      </c>
      <c r="D309" s="15">
        <v>1203.46</v>
      </c>
      <c r="E309" s="15">
        <v>1203.46</v>
      </c>
      <c r="F309" s="15">
        <v>1203.46</v>
      </c>
      <c r="G309" s="15">
        <v>1203.46</v>
      </c>
      <c r="H309" s="15">
        <v>1203.46</v>
      </c>
      <c r="I309" s="15">
        <v>1203.46</v>
      </c>
      <c r="J309" s="15">
        <v>1203.46</v>
      </c>
      <c r="K309" s="15">
        <v>1203.46</v>
      </c>
      <c r="L309" s="15">
        <v>1203.46</v>
      </c>
      <c r="M309" s="15">
        <v>3159.64</v>
      </c>
      <c r="N309" s="15">
        <v>1203.46</v>
      </c>
      <c r="O309" t="s">
        <v>75</v>
      </c>
    </row>
    <row r="310" spans="1:15" x14ac:dyDescent="0.25">
      <c r="A310" s="10" t="s">
        <v>1144</v>
      </c>
      <c r="B310" s="15">
        <v>1354.23</v>
      </c>
      <c r="C310" s="15">
        <v>1405.74</v>
      </c>
      <c r="D310" s="15">
        <v>1405.74</v>
      </c>
      <c r="E310" s="15">
        <v>1405.74</v>
      </c>
      <c r="F310" s="15">
        <v>4009.47</v>
      </c>
      <c r="G310" s="15">
        <v>1405.74</v>
      </c>
      <c r="H310" s="15">
        <v>29.18</v>
      </c>
      <c r="I310" s="15">
        <v>963.6</v>
      </c>
      <c r="J310" s="15">
        <v>1405.74</v>
      </c>
      <c r="K310" s="15">
        <v>1405.74</v>
      </c>
      <c r="L310" s="15">
        <v>1405.74</v>
      </c>
      <c r="M310" s="15">
        <v>1405.74</v>
      </c>
      <c r="N310" s="15">
        <v>1702.16</v>
      </c>
      <c r="O310" t="s">
        <v>75</v>
      </c>
    </row>
    <row r="311" spans="1:15" x14ac:dyDescent="0.25">
      <c r="A311" s="10" t="s">
        <v>1146</v>
      </c>
      <c r="B311" s="15">
        <v>1702.44</v>
      </c>
      <c r="C311" s="15">
        <v>2317.6999999999998</v>
      </c>
      <c r="D311" s="15">
        <v>4364.99</v>
      </c>
      <c r="E311" s="15">
        <v>1646.89</v>
      </c>
      <c r="F311" s="15">
        <v>136.5</v>
      </c>
      <c r="G311" s="15">
        <v>1275.92</v>
      </c>
      <c r="H311" s="15">
        <v>1600.13</v>
      </c>
      <c r="I311" s="15">
        <v>1612.64</v>
      </c>
      <c r="J311" s="15">
        <v>1610.51</v>
      </c>
      <c r="K311" s="15">
        <v>1535.21</v>
      </c>
      <c r="L311" s="15">
        <v>1530.48</v>
      </c>
      <c r="M311" s="15">
        <v>1615.71</v>
      </c>
      <c r="N311" s="15">
        <v>1664.51</v>
      </c>
      <c r="O311" t="s">
        <v>75</v>
      </c>
    </row>
    <row r="312" spans="1:15" x14ac:dyDescent="0.25">
      <c r="A312" s="10" t="s">
        <v>1148</v>
      </c>
      <c r="B312" s="15">
        <v>836.8</v>
      </c>
      <c r="C312" s="15">
        <v>448.73</v>
      </c>
      <c r="D312" s="15">
        <v>921.42</v>
      </c>
      <c r="E312" s="15">
        <v>921.42</v>
      </c>
      <c r="F312" s="15">
        <v>921.42</v>
      </c>
      <c r="G312" s="15">
        <v>921.42</v>
      </c>
      <c r="H312" s="15">
        <v>921.42</v>
      </c>
      <c r="I312" s="15">
        <v>921.42</v>
      </c>
      <c r="J312" s="15">
        <v>921.42</v>
      </c>
      <c r="K312" s="15">
        <v>921.42</v>
      </c>
      <c r="L312" s="15">
        <v>921.42</v>
      </c>
      <c r="M312" s="15">
        <v>1640.47</v>
      </c>
      <c r="N312" s="15">
        <v>938.05</v>
      </c>
      <c r="O312" t="s">
        <v>75</v>
      </c>
    </row>
    <row r="313" spans="1:15" x14ac:dyDescent="0.25">
      <c r="A313" s="10" t="s">
        <v>1150</v>
      </c>
      <c r="B313" s="15">
        <v>441.52</v>
      </c>
      <c r="C313" s="15">
        <v>856.71</v>
      </c>
      <c r="D313" s="15">
        <v>502.5</v>
      </c>
      <c r="E313" s="15">
        <v>135.59</v>
      </c>
      <c r="F313" s="15">
        <v>502.5</v>
      </c>
      <c r="G313" s="15">
        <v>502.5</v>
      </c>
      <c r="H313" s="15">
        <v>502.5</v>
      </c>
      <c r="I313" s="15">
        <v>502.5</v>
      </c>
      <c r="J313" s="15">
        <v>502.5</v>
      </c>
      <c r="K313" s="15">
        <v>502.5</v>
      </c>
      <c r="L313" s="15">
        <v>502.5</v>
      </c>
      <c r="M313" s="15">
        <v>502.5</v>
      </c>
      <c r="N313" s="15">
        <v>502.5</v>
      </c>
      <c r="O313" t="s">
        <v>75</v>
      </c>
    </row>
    <row r="314" spans="1:15" x14ac:dyDescent="0.25">
      <c r="A314" s="10" t="s">
        <v>1152</v>
      </c>
      <c r="B314" s="15">
        <v>39.619999999999997</v>
      </c>
      <c r="C314" s="15">
        <v>68.55</v>
      </c>
      <c r="D314" s="15">
        <v>57.86</v>
      </c>
      <c r="E314" s="15">
        <v>57.86</v>
      </c>
      <c r="F314" s="15">
        <v>82.51</v>
      </c>
      <c r="G314" s="15">
        <v>57.86</v>
      </c>
      <c r="H314" s="15">
        <v>47.81</v>
      </c>
      <c r="I314" s="15">
        <v>48.19</v>
      </c>
      <c r="J314" s="15">
        <v>57.86</v>
      </c>
      <c r="K314" s="15">
        <v>97.92</v>
      </c>
      <c r="L314" s="15">
        <v>17.64</v>
      </c>
      <c r="M314" s="15">
        <v>12.12</v>
      </c>
      <c r="N314" s="15">
        <v>60.25</v>
      </c>
      <c r="O314" t="s">
        <v>75</v>
      </c>
    </row>
    <row r="315" spans="1:15" x14ac:dyDescent="0.25">
      <c r="A315" s="10" t="s">
        <v>1154</v>
      </c>
      <c r="B315" s="15">
        <v>0</v>
      </c>
      <c r="C315" s="15">
        <v>0</v>
      </c>
      <c r="D315" s="15">
        <v>0</v>
      </c>
      <c r="E315" s="15">
        <v>0</v>
      </c>
      <c r="F315" s="15">
        <v>46.99</v>
      </c>
      <c r="G315" s="15">
        <v>0</v>
      </c>
      <c r="H315" s="15">
        <v>0</v>
      </c>
      <c r="I315" s="15">
        <v>0</v>
      </c>
      <c r="J315" s="15">
        <v>0</v>
      </c>
      <c r="K315" s="15">
        <v>0</v>
      </c>
      <c r="L315" s="15">
        <v>0</v>
      </c>
      <c r="M315" s="15">
        <v>0</v>
      </c>
      <c r="N315" s="15">
        <v>0</v>
      </c>
      <c r="O315" t="s">
        <v>75</v>
      </c>
    </row>
    <row r="316" spans="1:15" x14ac:dyDescent="0.25">
      <c r="A316" s="10" t="s">
        <v>1156</v>
      </c>
      <c r="B316" s="15">
        <v>231.27</v>
      </c>
      <c r="C316" s="15">
        <v>162.46</v>
      </c>
      <c r="D316" s="15">
        <v>162.46</v>
      </c>
      <c r="E316" s="15">
        <v>162.46</v>
      </c>
      <c r="F316" s="15">
        <v>162.46</v>
      </c>
      <c r="G316" s="15">
        <v>162.46</v>
      </c>
      <c r="H316" s="15">
        <v>162.46</v>
      </c>
      <c r="I316" s="15">
        <v>162.46</v>
      </c>
      <c r="J316" s="15">
        <v>734.66</v>
      </c>
      <c r="K316" s="15">
        <v>162.46</v>
      </c>
      <c r="L316" s="15">
        <v>0</v>
      </c>
      <c r="M316" s="15">
        <v>162.46</v>
      </c>
      <c r="N316" s="15">
        <v>228.78</v>
      </c>
      <c r="O316" t="s">
        <v>75</v>
      </c>
    </row>
    <row r="317" spans="1:15" x14ac:dyDescent="0.25">
      <c r="A317" s="10" t="s">
        <v>1160</v>
      </c>
      <c r="B317" s="15">
        <v>38.299999999999997</v>
      </c>
      <c r="C317" s="15">
        <v>62.46</v>
      </c>
      <c r="D317" s="15">
        <v>122.68</v>
      </c>
      <c r="E317" s="15">
        <v>517.19000000000005</v>
      </c>
      <c r="F317" s="15">
        <v>0</v>
      </c>
      <c r="G317" s="15">
        <v>61.35</v>
      </c>
      <c r="H317" s="15">
        <v>61.35</v>
      </c>
      <c r="I317" s="15">
        <v>660.57</v>
      </c>
      <c r="J317" s="15">
        <v>61.35</v>
      </c>
      <c r="K317" s="15">
        <v>61.35</v>
      </c>
      <c r="L317" s="15">
        <v>61.35</v>
      </c>
      <c r="M317" s="15">
        <v>61.35</v>
      </c>
      <c r="N317" s="15">
        <v>110.05</v>
      </c>
      <c r="O317" t="s">
        <v>75</v>
      </c>
    </row>
    <row r="318" spans="1:15" x14ac:dyDescent="0.25">
      <c r="A318" s="10" t="s">
        <v>1162</v>
      </c>
      <c r="B318" s="15">
        <v>0</v>
      </c>
      <c r="C318" s="15">
        <v>0</v>
      </c>
      <c r="D318" s="15">
        <v>0</v>
      </c>
      <c r="E318" s="15">
        <v>0</v>
      </c>
      <c r="F318" s="15">
        <v>0</v>
      </c>
      <c r="G318" s="15">
        <v>0</v>
      </c>
      <c r="H318" s="15">
        <v>74.11</v>
      </c>
      <c r="I318" s="15">
        <v>57.17</v>
      </c>
      <c r="J318" s="15">
        <v>49.86</v>
      </c>
      <c r="K318" s="15">
        <v>56.75</v>
      </c>
      <c r="L318" s="15">
        <v>468.61</v>
      </c>
      <c r="M318" s="15">
        <v>0</v>
      </c>
      <c r="N318" s="15">
        <v>0</v>
      </c>
      <c r="O318" t="s">
        <v>75</v>
      </c>
    </row>
    <row r="319" spans="1:15" x14ac:dyDescent="0.25">
      <c r="A319" s="10" t="s">
        <v>1164</v>
      </c>
      <c r="B319" s="15">
        <v>0</v>
      </c>
      <c r="C319" s="15">
        <v>14.42</v>
      </c>
      <c r="D319" s="15">
        <v>0</v>
      </c>
      <c r="E319" s="15">
        <v>0</v>
      </c>
      <c r="F319" s="15">
        <v>23.7</v>
      </c>
      <c r="G319" s="15">
        <v>0</v>
      </c>
      <c r="H319" s="15">
        <v>0</v>
      </c>
      <c r="I319" s="15">
        <v>0</v>
      </c>
      <c r="J319" s="15">
        <v>0</v>
      </c>
      <c r="K319" s="15">
        <v>0</v>
      </c>
      <c r="L319" s="15">
        <v>0</v>
      </c>
      <c r="M319" s="15">
        <v>0</v>
      </c>
      <c r="N319" s="15">
        <v>0</v>
      </c>
      <c r="O319" t="s">
        <v>75</v>
      </c>
    </row>
    <row r="320" spans="1:15" x14ac:dyDescent="0.25">
      <c r="A320" s="10" t="s">
        <v>1168</v>
      </c>
      <c r="B320" s="15">
        <v>1261.98</v>
      </c>
      <c r="C320" s="15">
        <v>518.25</v>
      </c>
      <c r="D320" s="15">
        <v>1439.54</v>
      </c>
      <c r="E320" s="15">
        <v>1439.54</v>
      </c>
      <c r="F320" s="15">
        <v>1439.54</v>
      </c>
      <c r="G320" s="15">
        <v>1439.54</v>
      </c>
      <c r="H320" s="15">
        <v>1439.54</v>
      </c>
      <c r="I320" s="15">
        <v>1439.54</v>
      </c>
      <c r="J320" s="15">
        <v>1577.99</v>
      </c>
      <c r="K320" s="15">
        <v>1439.54</v>
      </c>
      <c r="L320" s="15">
        <v>661.76</v>
      </c>
      <c r="M320" s="15">
        <v>1439.54</v>
      </c>
      <c r="N320" s="15">
        <v>1439.54</v>
      </c>
      <c r="O320" t="s">
        <v>75</v>
      </c>
    </row>
    <row r="321" spans="1:15" x14ac:dyDescent="0.25">
      <c r="A321" s="10" t="s">
        <v>1170</v>
      </c>
      <c r="B321" s="15">
        <v>69.400000000000006</v>
      </c>
      <c r="C321" s="15">
        <v>0</v>
      </c>
      <c r="D321" s="15">
        <v>0</v>
      </c>
      <c r="E321" s="15">
        <v>0</v>
      </c>
      <c r="F321" s="15">
        <v>0</v>
      </c>
      <c r="G321" s="15">
        <v>0</v>
      </c>
      <c r="H321" s="15">
        <v>0</v>
      </c>
      <c r="I321" s="15">
        <v>0</v>
      </c>
      <c r="J321" s="15">
        <v>0</v>
      </c>
      <c r="K321" s="15">
        <v>25.52</v>
      </c>
      <c r="L321" s="15">
        <v>0</v>
      </c>
      <c r="M321" s="15">
        <v>0</v>
      </c>
      <c r="N321" s="15">
        <v>0</v>
      </c>
      <c r="O321" t="s">
        <v>75</v>
      </c>
    </row>
    <row r="322" spans="1:15" x14ac:dyDescent="0.25">
      <c r="A322" s="10" t="s">
        <v>1174</v>
      </c>
      <c r="B322" s="15">
        <v>0</v>
      </c>
      <c r="C322" s="15">
        <v>0</v>
      </c>
      <c r="D322" s="15">
        <v>0</v>
      </c>
      <c r="E322" s="15">
        <v>0</v>
      </c>
      <c r="F322" s="15">
        <v>0</v>
      </c>
      <c r="G322" s="15">
        <v>26.03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t="s">
        <v>75</v>
      </c>
    </row>
    <row r="323" spans="1:15" x14ac:dyDescent="0.25">
      <c r="A323" s="10" t="s">
        <v>1176</v>
      </c>
      <c r="B323" s="15">
        <v>286.95</v>
      </c>
      <c r="C323" s="15">
        <v>375.42</v>
      </c>
      <c r="D323" s="15">
        <v>358.75</v>
      </c>
      <c r="E323" s="15">
        <v>302.69</v>
      </c>
      <c r="F323" s="15">
        <v>0</v>
      </c>
      <c r="G323" s="15">
        <v>0</v>
      </c>
      <c r="H323" s="15">
        <v>0</v>
      </c>
      <c r="I323" s="15">
        <v>0</v>
      </c>
      <c r="J323" s="15">
        <v>0</v>
      </c>
      <c r="K323" s="15">
        <v>0</v>
      </c>
      <c r="L323" s="15">
        <v>0</v>
      </c>
      <c r="M323" s="15">
        <v>0</v>
      </c>
      <c r="N323" s="15">
        <v>2.58</v>
      </c>
      <c r="O323" t="s">
        <v>75</v>
      </c>
    </row>
    <row r="324" spans="1:15" x14ac:dyDescent="0.25">
      <c r="A324" s="10" t="s">
        <v>1180</v>
      </c>
      <c r="B324" s="15">
        <v>536.21</v>
      </c>
      <c r="C324" s="15">
        <v>480</v>
      </c>
      <c r="D324" s="15">
        <v>366.72</v>
      </c>
      <c r="E324" s="15">
        <v>749.21</v>
      </c>
      <c r="F324" s="15">
        <v>400.11</v>
      </c>
      <c r="G324" s="15">
        <v>401.4</v>
      </c>
      <c r="H324" s="15">
        <v>401.4</v>
      </c>
      <c r="I324" s="15">
        <v>682.39</v>
      </c>
      <c r="J324" s="15">
        <v>357.43</v>
      </c>
      <c r="K324" s="15">
        <v>95.99</v>
      </c>
      <c r="L324" s="15">
        <v>401.4</v>
      </c>
      <c r="M324" s="15">
        <v>401.4</v>
      </c>
      <c r="N324" s="15">
        <v>395.68</v>
      </c>
      <c r="O324" t="s">
        <v>75</v>
      </c>
    </row>
    <row r="325" spans="1:15" x14ac:dyDescent="0.25">
      <c r="A325" s="10" t="s">
        <v>1182</v>
      </c>
      <c r="B325" s="15">
        <v>391.56</v>
      </c>
      <c r="C325" s="15">
        <v>802.63</v>
      </c>
      <c r="D325" s="15">
        <v>601.24</v>
      </c>
      <c r="E325" s="15">
        <v>450.19</v>
      </c>
      <c r="F325" s="15">
        <v>450.19</v>
      </c>
      <c r="G325" s="15">
        <v>450.19</v>
      </c>
      <c r="H325" s="15">
        <v>450.19</v>
      </c>
      <c r="I325" s="15">
        <v>799.26</v>
      </c>
      <c r="J325" s="15">
        <v>576.05999999999995</v>
      </c>
      <c r="K325" s="15">
        <v>125.68</v>
      </c>
      <c r="L325" s="15">
        <v>399.35</v>
      </c>
      <c r="M325" s="15">
        <v>450.19</v>
      </c>
      <c r="N325" s="15">
        <v>502.63</v>
      </c>
      <c r="O325" t="s">
        <v>75</v>
      </c>
    </row>
    <row r="326" spans="1:15" x14ac:dyDescent="0.25">
      <c r="A326" s="10" t="s">
        <v>1184</v>
      </c>
      <c r="B326" s="15">
        <v>247.19</v>
      </c>
      <c r="C326" s="15">
        <v>101.15</v>
      </c>
      <c r="D326" s="15">
        <v>291</v>
      </c>
      <c r="E326" s="15">
        <v>283.17</v>
      </c>
      <c r="F326" s="15">
        <v>291</v>
      </c>
      <c r="G326" s="15">
        <v>439.25</v>
      </c>
      <c r="H326" s="15">
        <v>291</v>
      </c>
      <c r="I326" s="15">
        <v>291</v>
      </c>
      <c r="J326" s="15">
        <v>291</v>
      </c>
      <c r="K326" s="15">
        <v>291</v>
      </c>
      <c r="L326" s="15">
        <v>291</v>
      </c>
      <c r="M326" s="15">
        <v>551.73</v>
      </c>
      <c r="N326" s="15">
        <v>327.16000000000003</v>
      </c>
      <c r="O326" t="s">
        <v>75</v>
      </c>
    </row>
    <row r="327" spans="1:15" x14ac:dyDescent="0.25">
      <c r="A327" s="10" t="s">
        <v>1186</v>
      </c>
      <c r="B327" s="15">
        <v>0</v>
      </c>
      <c r="C327" s="15">
        <v>145.94999999999999</v>
      </c>
      <c r="D327" s="15">
        <v>470.28</v>
      </c>
      <c r="E327" s="15">
        <v>470.28</v>
      </c>
      <c r="F327" s="15">
        <v>470.28</v>
      </c>
      <c r="G327" s="15">
        <v>470.28</v>
      </c>
      <c r="H327" s="15">
        <v>796.32</v>
      </c>
      <c r="I327" s="15">
        <v>470.28</v>
      </c>
      <c r="J327" s="15">
        <v>113.87</v>
      </c>
      <c r="K327" s="15">
        <v>470.28</v>
      </c>
      <c r="L327" s="15">
        <v>470.28</v>
      </c>
      <c r="M327" s="15">
        <v>470.28</v>
      </c>
      <c r="N327" s="15">
        <v>470.28</v>
      </c>
      <c r="O327" t="s">
        <v>75</v>
      </c>
    </row>
    <row r="328" spans="1:15" x14ac:dyDescent="0.25">
      <c r="A328" s="10" t="s">
        <v>1190</v>
      </c>
      <c r="B328" s="15">
        <v>69.39</v>
      </c>
      <c r="C328" s="15">
        <v>1231.82</v>
      </c>
      <c r="D328" s="15">
        <v>0</v>
      </c>
      <c r="E328" s="15">
        <v>67.02</v>
      </c>
      <c r="F328" s="15">
        <v>81.09</v>
      </c>
      <c r="G328" s="15">
        <v>81.09</v>
      </c>
      <c r="H328" s="15">
        <v>81.09</v>
      </c>
      <c r="I328" s="15">
        <v>81.09</v>
      </c>
      <c r="J328" s="15">
        <v>81.09</v>
      </c>
      <c r="K328" s="15">
        <v>81.09</v>
      </c>
      <c r="L328" s="15">
        <v>81.09</v>
      </c>
      <c r="M328" s="15">
        <v>81.09</v>
      </c>
      <c r="N328" s="15">
        <v>136.03</v>
      </c>
      <c r="O328" t="s">
        <v>75</v>
      </c>
    </row>
    <row r="329" spans="1:15" x14ac:dyDescent="0.25">
      <c r="A329" s="10" t="s">
        <v>1194</v>
      </c>
      <c r="B329" s="15">
        <v>401.15</v>
      </c>
      <c r="C329" s="15">
        <v>721.79</v>
      </c>
      <c r="D329" s="15">
        <v>466.92</v>
      </c>
      <c r="E329" s="15">
        <v>466.92</v>
      </c>
      <c r="F329" s="15">
        <v>466.92</v>
      </c>
      <c r="G329" s="15">
        <v>792.8</v>
      </c>
      <c r="H329" s="15">
        <v>466.92</v>
      </c>
      <c r="I329" s="15">
        <v>101.89</v>
      </c>
      <c r="J329" s="15">
        <v>466.92</v>
      </c>
      <c r="K329" s="15">
        <v>466.92</v>
      </c>
      <c r="L329" s="15">
        <v>466.92</v>
      </c>
      <c r="M329" s="15">
        <v>476.16</v>
      </c>
      <c r="N329" s="15">
        <v>488.92</v>
      </c>
      <c r="O329" t="s">
        <v>75</v>
      </c>
    </row>
    <row r="330" spans="1:15" x14ac:dyDescent="0.25">
      <c r="A330" s="10" t="s">
        <v>1196</v>
      </c>
      <c r="B330" s="15">
        <v>0</v>
      </c>
      <c r="C330" s="15">
        <v>0</v>
      </c>
      <c r="D330" s="15">
        <v>0</v>
      </c>
      <c r="E330" s="15">
        <v>0</v>
      </c>
      <c r="F330" s="15">
        <v>79.849999999999994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t="s">
        <v>75</v>
      </c>
    </row>
    <row r="331" spans="1:15" x14ac:dyDescent="0.25">
      <c r="A331" s="10" t="s">
        <v>1200</v>
      </c>
      <c r="B331" s="15">
        <v>35.96</v>
      </c>
      <c r="C331" s="15">
        <v>106.54</v>
      </c>
      <c r="D331" s="15">
        <v>10.119999999999999</v>
      </c>
      <c r="E331" s="15">
        <v>0</v>
      </c>
      <c r="F331" s="15">
        <v>58.89</v>
      </c>
      <c r="G331" s="15">
        <v>96.36</v>
      </c>
      <c r="H331" s="15">
        <v>58.89</v>
      </c>
      <c r="I331" s="15">
        <v>0</v>
      </c>
      <c r="J331" s="15">
        <v>58.89</v>
      </c>
      <c r="K331" s="15">
        <v>58.89</v>
      </c>
      <c r="L331" s="15">
        <v>58.89</v>
      </c>
      <c r="M331" s="15">
        <v>58.89</v>
      </c>
      <c r="N331" s="15">
        <v>62.45</v>
      </c>
      <c r="O331" t="s">
        <v>75</v>
      </c>
    </row>
    <row r="332" spans="1:15" x14ac:dyDescent="0.25">
      <c r="A332" s="10" t="s">
        <v>1202</v>
      </c>
      <c r="B332" s="15">
        <v>0</v>
      </c>
      <c r="C332" s="15">
        <v>0</v>
      </c>
      <c r="D332" s="15">
        <v>0</v>
      </c>
      <c r="E332" s="15">
        <v>45.44</v>
      </c>
      <c r="F332" s="15">
        <v>0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t="s">
        <v>75</v>
      </c>
    </row>
    <row r="333" spans="1:15" x14ac:dyDescent="0.25">
      <c r="A333" s="10" t="s">
        <v>1204</v>
      </c>
      <c r="B333" s="15">
        <v>0</v>
      </c>
      <c r="C333" s="15">
        <v>0</v>
      </c>
      <c r="D333" s="15">
        <v>0</v>
      </c>
      <c r="E333" s="15">
        <v>0</v>
      </c>
      <c r="F333" s="15">
        <v>0</v>
      </c>
      <c r="G333" s="15">
        <v>0</v>
      </c>
      <c r="H333" s="15">
        <v>0</v>
      </c>
      <c r="I333" s="15">
        <v>38.57</v>
      </c>
      <c r="J333" s="15">
        <v>0</v>
      </c>
      <c r="K333" s="15">
        <v>0</v>
      </c>
      <c r="L333" s="15">
        <v>0</v>
      </c>
      <c r="M333" s="15">
        <v>0</v>
      </c>
      <c r="N333" s="15">
        <v>0</v>
      </c>
      <c r="O333" t="s">
        <v>75</v>
      </c>
    </row>
    <row r="334" spans="1:15" x14ac:dyDescent="0.25">
      <c r="A334" s="10" t="s">
        <v>1206</v>
      </c>
      <c r="B334" s="15">
        <v>461.45</v>
      </c>
      <c r="C334" s="15">
        <v>1118.26</v>
      </c>
      <c r="D334" s="15">
        <v>640.82000000000005</v>
      </c>
      <c r="E334" s="15">
        <v>160.59</v>
      </c>
      <c r="F334" s="15">
        <v>640.82000000000005</v>
      </c>
      <c r="G334" s="15">
        <v>640.82000000000005</v>
      </c>
      <c r="H334" s="15">
        <v>620.62</v>
      </c>
      <c r="I334" s="15">
        <v>616.66</v>
      </c>
      <c r="J334" s="15">
        <v>640.82000000000005</v>
      </c>
      <c r="K334" s="15">
        <v>640.82000000000005</v>
      </c>
      <c r="L334" s="15">
        <v>1848.79</v>
      </c>
      <c r="M334" s="15">
        <v>640.82000000000005</v>
      </c>
      <c r="N334" s="15">
        <v>642.29999999999995</v>
      </c>
      <c r="O334" t="s">
        <v>75</v>
      </c>
    </row>
    <row r="335" spans="1:15" x14ac:dyDescent="0.25">
      <c r="A335" s="10" t="s">
        <v>1208</v>
      </c>
      <c r="B335" s="15">
        <v>351.52</v>
      </c>
      <c r="C335" s="15">
        <v>585.80999999999995</v>
      </c>
      <c r="D335" s="15">
        <v>433.09</v>
      </c>
      <c r="E335" s="15">
        <v>1360.41</v>
      </c>
      <c r="F335" s="15">
        <v>620.36</v>
      </c>
      <c r="G335" s="15">
        <v>0</v>
      </c>
      <c r="H335" s="15">
        <v>433.09</v>
      </c>
      <c r="I335" s="15">
        <v>433.09</v>
      </c>
      <c r="J335" s="15">
        <v>433.09</v>
      </c>
      <c r="K335" s="15">
        <v>433.09</v>
      </c>
      <c r="L335" s="15">
        <v>433.09</v>
      </c>
      <c r="M335" s="15">
        <v>0</v>
      </c>
      <c r="N335" s="15">
        <v>245.41</v>
      </c>
      <c r="O335" t="s">
        <v>75</v>
      </c>
    </row>
    <row r="336" spans="1:15" x14ac:dyDescent="0.25">
      <c r="A336" s="10" t="s">
        <v>1210</v>
      </c>
      <c r="B336" s="15">
        <v>0</v>
      </c>
      <c r="C336" s="15">
        <v>21.57</v>
      </c>
      <c r="D336" s="15">
        <v>21.38</v>
      </c>
      <c r="E336" s="15">
        <v>17.25</v>
      </c>
      <c r="F336" s="15">
        <v>15.91</v>
      </c>
      <c r="G336" s="15">
        <v>16.61</v>
      </c>
      <c r="H336" s="15">
        <v>21.38</v>
      </c>
      <c r="I336" s="15">
        <v>21.38</v>
      </c>
      <c r="J336" s="15">
        <v>21.38</v>
      </c>
      <c r="K336" s="15">
        <v>14.85</v>
      </c>
      <c r="L336" s="15">
        <v>14.62</v>
      </c>
      <c r="M336" s="15">
        <v>0</v>
      </c>
      <c r="N336" s="15">
        <v>21.4</v>
      </c>
      <c r="O336" t="s">
        <v>75</v>
      </c>
    </row>
    <row r="337" spans="1:15" x14ac:dyDescent="0.25">
      <c r="A337" s="10" t="s">
        <v>1212</v>
      </c>
      <c r="B337" s="15">
        <v>0</v>
      </c>
      <c r="C337" s="15">
        <v>0</v>
      </c>
      <c r="D337" s="15">
        <v>0</v>
      </c>
      <c r="E337" s="15">
        <v>0</v>
      </c>
      <c r="F337" s="15">
        <v>0</v>
      </c>
      <c r="G337" s="15">
        <v>0</v>
      </c>
      <c r="H337" s="15">
        <v>0</v>
      </c>
      <c r="I337" s="15">
        <v>0</v>
      </c>
      <c r="J337" s="15">
        <v>0</v>
      </c>
      <c r="K337" s="15">
        <v>36.630000000000003</v>
      </c>
      <c r="L337" s="15">
        <v>0</v>
      </c>
      <c r="M337" s="15">
        <v>0</v>
      </c>
      <c r="N337" s="15">
        <v>0</v>
      </c>
      <c r="O337" t="s">
        <v>75</v>
      </c>
    </row>
    <row r="338" spans="1:15" x14ac:dyDescent="0.25">
      <c r="A338" s="10" t="s">
        <v>1214</v>
      </c>
      <c r="B338" s="15">
        <v>21.74</v>
      </c>
      <c r="C338" s="15">
        <v>61.71</v>
      </c>
      <c r="D338" s="15">
        <v>44.67</v>
      </c>
      <c r="E338" s="15">
        <v>44.55</v>
      </c>
      <c r="F338" s="15">
        <v>40.89</v>
      </c>
      <c r="G338" s="15">
        <v>70.34</v>
      </c>
      <c r="H338" s="15">
        <v>44.67</v>
      </c>
      <c r="I338" s="15">
        <v>44.67</v>
      </c>
      <c r="J338" s="15">
        <v>44.67</v>
      </c>
      <c r="K338" s="15">
        <v>44.67</v>
      </c>
      <c r="L338" s="15">
        <v>44.67</v>
      </c>
      <c r="M338" s="15">
        <v>586.70000000000005</v>
      </c>
      <c r="N338" s="15">
        <v>63.82</v>
      </c>
      <c r="O338" t="s">
        <v>75</v>
      </c>
    </row>
    <row r="339" spans="1:15" x14ac:dyDescent="0.25">
      <c r="A339" s="10" t="s">
        <v>1216</v>
      </c>
      <c r="B339" s="15">
        <v>0</v>
      </c>
      <c r="C339" s="15">
        <v>0</v>
      </c>
      <c r="D339" s="15">
        <v>0</v>
      </c>
      <c r="E339" s="15">
        <v>0</v>
      </c>
      <c r="F339" s="15">
        <v>0</v>
      </c>
      <c r="G339" s="15">
        <v>47.87</v>
      </c>
      <c r="H339" s="15">
        <v>0</v>
      </c>
      <c r="I339" s="15">
        <v>0</v>
      </c>
      <c r="J339" s="15">
        <v>0</v>
      </c>
      <c r="K339" s="15">
        <v>0</v>
      </c>
      <c r="L339" s="15">
        <v>0</v>
      </c>
      <c r="M339" s="15">
        <v>0</v>
      </c>
      <c r="N339" s="15">
        <v>0</v>
      </c>
      <c r="O339" t="s">
        <v>75</v>
      </c>
    </row>
    <row r="340" spans="1:15" x14ac:dyDescent="0.25">
      <c r="A340" s="10" t="s">
        <v>1218</v>
      </c>
      <c r="B340" s="15">
        <v>0</v>
      </c>
      <c r="C340" s="15">
        <v>0</v>
      </c>
      <c r="D340" s="15">
        <v>0</v>
      </c>
      <c r="E340" s="15">
        <v>0</v>
      </c>
      <c r="F340" s="15">
        <v>0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47.9</v>
      </c>
      <c r="M340" s="15">
        <v>0</v>
      </c>
      <c r="N340" s="15">
        <v>0</v>
      </c>
      <c r="O340" t="s">
        <v>75</v>
      </c>
    </row>
    <row r="341" spans="1:15" x14ac:dyDescent="0.25">
      <c r="A341" s="10" t="s">
        <v>1220</v>
      </c>
      <c r="B341" s="15">
        <v>195.43</v>
      </c>
      <c r="C341" s="15">
        <v>317.62</v>
      </c>
      <c r="D341" s="15">
        <v>944.32</v>
      </c>
      <c r="E341" s="15">
        <v>236.14</v>
      </c>
      <c r="F341" s="15">
        <v>0</v>
      </c>
      <c r="G341" s="15">
        <v>262.42</v>
      </c>
      <c r="H341" s="15">
        <v>262.42</v>
      </c>
      <c r="I341" s="15">
        <v>262.42</v>
      </c>
      <c r="J341" s="15">
        <v>262.42</v>
      </c>
      <c r="K341" s="15">
        <v>262.42</v>
      </c>
      <c r="L341" s="15">
        <v>262.42</v>
      </c>
      <c r="M341" s="15">
        <v>262.42</v>
      </c>
      <c r="N341" s="15">
        <v>267.02</v>
      </c>
      <c r="O341" t="s">
        <v>75</v>
      </c>
    </row>
    <row r="342" spans="1:15" x14ac:dyDescent="0.25">
      <c r="A342" s="10" t="s">
        <v>1222</v>
      </c>
      <c r="B342" s="15">
        <v>0</v>
      </c>
      <c r="C342" s="15">
        <v>0</v>
      </c>
      <c r="D342" s="15">
        <v>0</v>
      </c>
      <c r="E342" s="15">
        <v>0</v>
      </c>
      <c r="F342" s="15">
        <v>0</v>
      </c>
      <c r="G342" s="15">
        <v>367.59</v>
      </c>
      <c r="H342" s="15">
        <v>354.66</v>
      </c>
      <c r="I342" s="15">
        <v>354.66</v>
      </c>
      <c r="J342" s="15">
        <v>354.66</v>
      </c>
      <c r="K342" s="15">
        <v>354.66</v>
      </c>
      <c r="L342" s="15">
        <v>354.66</v>
      </c>
      <c r="M342" s="15">
        <v>354.66</v>
      </c>
      <c r="N342" s="15">
        <v>67.930000000000007</v>
      </c>
      <c r="O342" t="s">
        <v>75</v>
      </c>
    </row>
    <row r="343" spans="1:15" x14ac:dyDescent="0.25">
      <c r="A343" s="10" t="s">
        <v>1224</v>
      </c>
      <c r="B343" s="15">
        <v>49.73</v>
      </c>
      <c r="C343" s="15">
        <v>66.58</v>
      </c>
      <c r="D343" s="15">
        <v>68.03</v>
      </c>
      <c r="E343" s="15">
        <v>0</v>
      </c>
      <c r="F343" s="15">
        <v>0</v>
      </c>
      <c r="G343" s="15">
        <v>0</v>
      </c>
      <c r="H343" s="15">
        <v>0</v>
      </c>
      <c r="I343" s="15">
        <v>0</v>
      </c>
      <c r="J343" s="15">
        <v>0</v>
      </c>
      <c r="K343" s="15">
        <v>0</v>
      </c>
      <c r="L343" s="15">
        <v>0</v>
      </c>
      <c r="M343" s="15">
        <v>0</v>
      </c>
      <c r="N343" s="15">
        <v>0</v>
      </c>
      <c r="O343" t="s">
        <v>75</v>
      </c>
    </row>
    <row r="344" spans="1:15" x14ac:dyDescent="0.25">
      <c r="A344" s="10" t="s">
        <v>1228</v>
      </c>
      <c r="B344" s="15">
        <v>0</v>
      </c>
      <c r="C344" s="15">
        <v>0</v>
      </c>
      <c r="D344" s="15">
        <v>0</v>
      </c>
      <c r="E344" s="15">
        <v>0</v>
      </c>
      <c r="F344" s="15">
        <v>0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31.48</v>
      </c>
      <c r="M344" s="15">
        <v>0</v>
      </c>
      <c r="N344" s="15">
        <v>0</v>
      </c>
      <c r="O344" t="s">
        <v>75</v>
      </c>
    </row>
    <row r="345" spans="1:15" x14ac:dyDescent="0.25">
      <c r="A345" s="10" t="s">
        <v>1230</v>
      </c>
      <c r="B345" s="15">
        <v>1248.6199999999999</v>
      </c>
      <c r="C345" s="15">
        <v>1550.8</v>
      </c>
      <c r="D345" s="15">
        <v>1550.8</v>
      </c>
      <c r="E345" s="15">
        <v>1550.8</v>
      </c>
      <c r="F345" s="15">
        <v>1550.8</v>
      </c>
      <c r="G345" s="15">
        <v>2594.81</v>
      </c>
      <c r="H345" s="15">
        <v>1798.98</v>
      </c>
      <c r="I345" s="15">
        <v>841.32</v>
      </c>
      <c r="J345" s="15">
        <v>1802.33</v>
      </c>
      <c r="K345" s="15">
        <v>1802.33</v>
      </c>
      <c r="L345" s="15">
        <v>1796.25</v>
      </c>
      <c r="M345" s="15">
        <v>1801.28</v>
      </c>
      <c r="N345" s="15">
        <v>1774.32</v>
      </c>
      <c r="O345" t="s">
        <v>75</v>
      </c>
    </row>
    <row r="346" spans="1:15" x14ac:dyDescent="0.25">
      <c r="A346" s="10" t="s">
        <v>1240</v>
      </c>
      <c r="B346" s="15">
        <v>1077.5999999999999</v>
      </c>
      <c r="C346" s="15">
        <v>1307.73</v>
      </c>
      <c r="D346" s="15">
        <v>1307.73</v>
      </c>
      <c r="E346" s="15">
        <v>1307.73</v>
      </c>
      <c r="F346" s="15">
        <v>1307.73</v>
      </c>
      <c r="G346" s="15">
        <v>2364.56</v>
      </c>
      <c r="H346" s="15">
        <v>1677.31</v>
      </c>
      <c r="I346" s="15">
        <v>205.78</v>
      </c>
      <c r="J346" s="15">
        <v>1307.73</v>
      </c>
      <c r="K346" s="15">
        <v>1307.73</v>
      </c>
      <c r="L346" s="15">
        <v>1307.73</v>
      </c>
      <c r="M346" s="15">
        <v>1307.73</v>
      </c>
      <c r="N346" s="15">
        <v>1307.73</v>
      </c>
      <c r="O346" t="s">
        <v>75</v>
      </c>
    </row>
    <row r="347" spans="1:15" x14ac:dyDescent="0.25">
      <c r="A347" s="10" t="s">
        <v>1250</v>
      </c>
      <c r="B347" s="15">
        <v>0</v>
      </c>
      <c r="C347" s="15">
        <v>0</v>
      </c>
      <c r="D347" s="15">
        <v>0</v>
      </c>
      <c r="E347" s="15">
        <v>0</v>
      </c>
      <c r="F347" s="15">
        <v>0</v>
      </c>
      <c r="G347" s="15">
        <v>0</v>
      </c>
      <c r="H347" s="15">
        <v>31.91</v>
      </c>
      <c r="I347" s="15">
        <v>0</v>
      </c>
      <c r="J347" s="15">
        <v>0</v>
      </c>
      <c r="K347" s="15">
        <v>0</v>
      </c>
      <c r="L347" s="15">
        <v>0</v>
      </c>
      <c r="M347" s="15">
        <v>0</v>
      </c>
      <c r="N347" s="15">
        <v>0</v>
      </c>
      <c r="O347" t="s">
        <v>75</v>
      </c>
    </row>
    <row r="348" spans="1:15" x14ac:dyDescent="0.25">
      <c r="A348" s="10" t="s">
        <v>1254</v>
      </c>
      <c r="B348" s="15">
        <v>0</v>
      </c>
      <c r="C348" s="15">
        <v>0</v>
      </c>
      <c r="D348" s="15">
        <v>0</v>
      </c>
      <c r="E348" s="15">
        <v>49.96</v>
      </c>
      <c r="F348" s="15">
        <v>0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t="s">
        <v>75</v>
      </c>
    </row>
    <row r="349" spans="1:15" x14ac:dyDescent="0.25">
      <c r="A349" s="10" t="s">
        <v>1256</v>
      </c>
      <c r="B349" s="15">
        <v>474.37</v>
      </c>
      <c r="C349" s="15">
        <v>1015.11</v>
      </c>
      <c r="D349" s="15">
        <v>640.82000000000005</v>
      </c>
      <c r="E349" s="15">
        <v>640.82000000000005</v>
      </c>
      <c r="F349" s="15">
        <v>640.82000000000005</v>
      </c>
      <c r="G349" s="15">
        <v>640.82000000000005</v>
      </c>
      <c r="H349" s="15">
        <v>640.82000000000005</v>
      </c>
      <c r="I349" s="15">
        <v>1848.6</v>
      </c>
      <c r="J349" s="15">
        <v>640.82000000000005</v>
      </c>
      <c r="K349" s="15">
        <v>77.77</v>
      </c>
      <c r="L349" s="15">
        <v>261.27999999999997</v>
      </c>
      <c r="M349" s="15">
        <v>640.82000000000005</v>
      </c>
      <c r="N349" s="15">
        <v>672.01</v>
      </c>
      <c r="O349" t="s">
        <v>75</v>
      </c>
    </row>
    <row r="350" spans="1:15" x14ac:dyDescent="0.25">
      <c r="A350" s="10" t="s">
        <v>1260</v>
      </c>
      <c r="B350" s="15">
        <v>3922.3</v>
      </c>
      <c r="C350" s="15">
        <v>4537.59</v>
      </c>
      <c r="D350" s="15">
        <v>4287.57</v>
      </c>
      <c r="E350" s="15">
        <v>4287.57</v>
      </c>
      <c r="F350" s="15">
        <v>4287.57</v>
      </c>
      <c r="G350" s="15">
        <v>4287.57</v>
      </c>
      <c r="H350" s="15">
        <v>4287.57</v>
      </c>
      <c r="I350" s="15">
        <v>4287.57</v>
      </c>
      <c r="J350" s="15">
        <v>4287.57</v>
      </c>
      <c r="K350" s="15">
        <v>7952.57</v>
      </c>
      <c r="L350" s="15">
        <v>2665.87</v>
      </c>
      <c r="M350" s="15">
        <v>4118.04</v>
      </c>
      <c r="N350" s="15">
        <v>4308.3999999999996</v>
      </c>
      <c r="O350" t="s">
        <v>75</v>
      </c>
    </row>
    <row r="351" spans="1:15" x14ac:dyDescent="0.25">
      <c r="A351" s="10" t="s">
        <v>1264</v>
      </c>
      <c r="B351" s="15">
        <v>0</v>
      </c>
      <c r="C351" s="15">
        <v>106.89</v>
      </c>
      <c r="D351" s="15">
        <v>23.22</v>
      </c>
      <c r="E351" s="15">
        <v>0</v>
      </c>
      <c r="F351" s="15">
        <v>0</v>
      </c>
      <c r="G351" s="15">
        <v>15.46</v>
      </c>
      <c r="H351" s="15">
        <v>23.22</v>
      </c>
      <c r="I351" s="15">
        <v>23.22</v>
      </c>
      <c r="J351" s="15">
        <v>23.22</v>
      </c>
      <c r="K351" s="15">
        <v>23.22</v>
      </c>
      <c r="L351" s="15">
        <v>19.97</v>
      </c>
      <c r="M351" s="15">
        <v>23.22</v>
      </c>
      <c r="N351" s="15">
        <v>23.42</v>
      </c>
      <c r="O351" t="s">
        <v>75</v>
      </c>
    </row>
    <row r="352" spans="1:15" x14ac:dyDescent="0.25">
      <c r="A352" s="10" t="s">
        <v>1266</v>
      </c>
      <c r="B352" s="15">
        <v>26.95</v>
      </c>
      <c r="C352" s="15">
        <v>364.57</v>
      </c>
      <c r="D352" s="15">
        <v>364.57</v>
      </c>
      <c r="E352" s="15">
        <v>364.57</v>
      </c>
      <c r="F352" s="15">
        <v>364.57</v>
      </c>
      <c r="G352" s="15">
        <v>364.57</v>
      </c>
      <c r="H352" s="15">
        <v>364.57</v>
      </c>
      <c r="I352" s="15">
        <v>364.57</v>
      </c>
      <c r="J352" s="15">
        <v>364.57</v>
      </c>
      <c r="K352" s="15">
        <v>364.57</v>
      </c>
      <c r="L352" s="15">
        <v>631.46</v>
      </c>
      <c r="M352" s="15">
        <v>331.8</v>
      </c>
      <c r="N352" s="15">
        <v>364.57</v>
      </c>
      <c r="O352" t="s">
        <v>75</v>
      </c>
    </row>
    <row r="353" spans="1:15" x14ac:dyDescent="0.25">
      <c r="A353" s="10" t="s">
        <v>1268</v>
      </c>
      <c r="B353" s="15">
        <v>64.040000000000006</v>
      </c>
      <c r="C353" s="15">
        <v>157.24</v>
      </c>
      <c r="D353" s="15">
        <v>248.6</v>
      </c>
      <c r="E353" s="15">
        <v>0</v>
      </c>
      <c r="F353" s="15">
        <v>0</v>
      </c>
      <c r="G353" s="15">
        <v>0</v>
      </c>
      <c r="H353" s="15">
        <v>0</v>
      </c>
      <c r="I353" s="15">
        <v>0</v>
      </c>
      <c r="J353" s="15">
        <v>51.37</v>
      </c>
      <c r="K353" s="15">
        <v>99.92</v>
      </c>
      <c r="L353" s="15">
        <v>99.92</v>
      </c>
      <c r="M353" s="15">
        <v>99.92</v>
      </c>
      <c r="N353" s="15">
        <v>22.33</v>
      </c>
      <c r="O353" t="s">
        <v>75</v>
      </c>
    </row>
    <row r="354" spans="1:15" x14ac:dyDescent="0.25">
      <c r="A354" s="10" t="s">
        <v>1270</v>
      </c>
      <c r="B354" s="15">
        <v>372.27</v>
      </c>
      <c r="C354" s="15">
        <v>534.96</v>
      </c>
      <c r="D354" s="15">
        <v>1383.38</v>
      </c>
      <c r="E354" s="15">
        <v>389.22</v>
      </c>
      <c r="F354" s="15">
        <v>0</v>
      </c>
      <c r="G354" s="15">
        <v>450.87</v>
      </c>
      <c r="H354" s="15">
        <v>450.87</v>
      </c>
      <c r="I354" s="15">
        <v>450.87</v>
      </c>
      <c r="J354" s="15">
        <v>439.32</v>
      </c>
      <c r="K354" s="15">
        <v>449.52</v>
      </c>
      <c r="L354" s="15">
        <v>474.5</v>
      </c>
      <c r="M354" s="15">
        <v>117.96</v>
      </c>
      <c r="N354" s="15">
        <v>452.23</v>
      </c>
      <c r="O354" t="s">
        <v>75</v>
      </c>
    </row>
    <row r="355" spans="1:15" x14ac:dyDescent="0.25">
      <c r="A355" s="10" t="s">
        <v>1282</v>
      </c>
      <c r="B355" s="15">
        <v>0</v>
      </c>
      <c r="C355" s="15">
        <v>133.04</v>
      </c>
      <c r="D355" s="15">
        <v>248.39</v>
      </c>
      <c r="E355" s="15">
        <v>183.96</v>
      </c>
      <c r="F355" s="15">
        <v>208.76</v>
      </c>
      <c r="G355" s="15">
        <v>183.96</v>
      </c>
      <c r="H355" s="15">
        <v>183.96</v>
      </c>
      <c r="I355" s="15">
        <v>183.96</v>
      </c>
      <c r="J355" s="15">
        <v>183.96</v>
      </c>
      <c r="K355" s="15">
        <v>183.96</v>
      </c>
      <c r="L355" s="15">
        <v>183.96</v>
      </c>
      <c r="M355" s="15">
        <v>630.55999999999995</v>
      </c>
      <c r="N355" s="15">
        <v>186</v>
      </c>
      <c r="O355" t="s">
        <v>75</v>
      </c>
    </row>
    <row r="356" spans="1:15" x14ac:dyDescent="0.25">
      <c r="A356" s="10" t="s">
        <v>1286</v>
      </c>
      <c r="B356" s="15">
        <v>1569.22</v>
      </c>
      <c r="C356" s="15">
        <v>2004.3</v>
      </c>
      <c r="D356" s="15">
        <v>2004.3</v>
      </c>
      <c r="E356" s="15">
        <v>2004.3</v>
      </c>
      <c r="F356" s="15">
        <v>2004.3</v>
      </c>
      <c r="G356" s="15">
        <v>2004.3</v>
      </c>
      <c r="H356" s="15">
        <v>5074.8999999999996</v>
      </c>
      <c r="I356" s="15">
        <v>2004.3</v>
      </c>
      <c r="J356" s="15">
        <v>119.83</v>
      </c>
      <c r="K356" s="15">
        <v>2293.71</v>
      </c>
      <c r="L356" s="15">
        <v>2416.09</v>
      </c>
      <c r="M356" s="15">
        <v>2416.09</v>
      </c>
      <c r="N356" s="15">
        <v>2416.09</v>
      </c>
      <c r="O356" t="s">
        <v>75</v>
      </c>
    </row>
    <row r="357" spans="1:15" x14ac:dyDescent="0.25">
      <c r="A357" s="10" t="s">
        <v>1288</v>
      </c>
      <c r="B357" s="15">
        <v>0</v>
      </c>
      <c r="C357" s="15">
        <v>1294.33</v>
      </c>
      <c r="D357" s="15">
        <v>1220.3699999999999</v>
      </c>
      <c r="E357" s="15">
        <v>1220.3699999999999</v>
      </c>
      <c r="F357" s="15">
        <v>1220.3699999999999</v>
      </c>
      <c r="G357" s="15">
        <v>1220.3699999999999</v>
      </c>
      <c r="H357" s="15">
        <v>1220.3699999999999</v>
      </c>
      <c r="I357" s="15">
        <v>1220.3699999999999</v>
      </c>
      <c r="J357" s="15">
        <v>1220.3699999999999</v>
      </c>
      <c r="K357" s="15">
        <v>1220.3699999999999</v>
      </c>
      <c r="L357" s="15">
        <v>3267.38</v>
      </c>
      <c r="M357" s="15">
        <v>1220.3699999999999</v>
      </c>
      <c r="N357" s="15">
        <v>1226.53</v>
      </c>
      <c r="O357" t="s">
        <v>75</v>
      </c>
    </row>
    <row r="358" spans="1:15" x14ac:dyDescent="0.25">
      <c r="A358" s="10" t="s">
        <v>1290</v>
      </c>
      <c r="B358" s="15">
        <v>258.26</v>
      </c>
      <c r="C358" s="15">
        <v>459.78</v>
      </c>
      <c r="D358" s="15">
        <v>372.22</v>
      </c>
      <c r="E358" s="15">
        <v>372.22</v>
      </c>
      <c r="F358" s="15">
        <v>386.12</v>
      </c>
      <c r="G358" s="15">
        <v>331.25</v>
      </c>
      <c r="H358" s="15">
        <v>372.22</v>
      </c>
      <c r="I358" s="15">
        <v>372.22</v>
      </c>
      <c r="J358" s="15">
        <v>372.22</v>
      </c>
      <c r="K358" s="15">
        <v>637.85</v>
      </c>
      <c r="L358" s="15">
        <v>0</v>
      </c>
      <c r="M358" s="15">
        <v>337.81</v>
      </c>
      <c r="N358" s="15">
        <v>378.81</v>
      </c>
      <c r="O358" t="s">
        <v>75</v>
      </c>
    </row>
    <row r="359" spans="1:15" x14ac:dyDescent="0.25">
      <c r="A359" s="10" t="s">
        <v>1296</v>
      </c>
      <c r="B359" s="15">
        <v>3217.86</v>
      </c>
      <c r="C359" s="15">
        <v>3097.99</v>
      </c>
      <c r="D359" s="15">
        <v>3097.99</v>
      </c>
      <c r="E359" s="15">
        <v>3097.99</v>
      </c>
      <c r="F359" s="15">
        <v>3097.99</v>
      </c>
      <c r="G359" s="15">
        <v>3097.99</v>
      </c>
      <c r="H359" s="15">
        <v>3097.99</v>
      </c>
      <c r="I359" s="15">
        <v>3097.99</v>
      </c>
      <c r="J359" s="15">
        <v>3097.99</v>
      </c>
      <c r="K359" s="15">
        <v>5737.72</v>
      </c>
      <c r="L359" s="15">
        <v>1673.99</v>
      </c>
      <c r="M359" s="15">
        <v>2960.52</v>
      </c>
      <c r="N359" s="15">
        <v>3097.99</v>
      </c>
      <c r="O359" t="s">
        <v>75</v>
      </c>
    </row>
    <row r="360" spans="1:15" x14ac:dyDescent="0.25">
      <c r="A360" s="10" t="s">
        <v>1298</v>
      </c>
      <c r="B360" s="15">
        <v>0</v>
      </c>
      <c r="C360" s="15">
        <v>0</v>
      </c>
      <c r="D360" s="15">
        <v>0</v>
      </c>
      <c r="E360" s="15">
        <v>0</v>
      </c>
      <c r="F360" s="15">
        <v>0</v>
      </c>
      <c r="G360" s="15">
        <v>61.22</v>
      </c>
      <c r="H360" s="15">
        <v>0</v>
      </c>
      <c r="I360" s="15">
        <v>0</v>
      </c>
      <c r="J360" s="15">
        <v>625.12</v>
      </c>
      <c r="K360" s="15">
        <v>0</v>
      </c>
      <c r="L360" s="15">
        <v>0</v>
      </c>
      <c r="M360" s="15">
        <v>0</v>
      </c>
      <c r="N360" s="15">
        <v>29.53</v>
      </c>
      <c r="O360" t="s">
        <v>75</v>
      </c>
    </row>
    <row r="361" spans="1:15" x14ac:dyDescent="0.25">
      <c r="A361" s="10" t="s">
        <v>1300</v>
      </c>
      <c r="B361" s="15">
        <v>3310.04</v>
      </c>
      <c r="C361" s="15">
        <v>3713.03</v>
      </c>
      <c r="D361" s="15">
        <v>3490.37</v>
      </c>
      <c r="E361" s="15">
        <v>3490.37</v>
      </c>
      <c r="F361" s="15">
        <v>3490.37</v>
      </c>
      <c r="G361" s="15">
        <v>3490.37</v>
      </c>
      <c r="H361" s="15">
        <v>3490.37</v>
      </c>
      <c r="I361" s="15">
        <v>6537.11</v>
      </c>
      <c r="J361" s="15">
        <v>3490.37</v>
      </c>
      <c r="K361" s="15">
        <v>2009.58</v>
      </c>
      <c r="L361" s="15">
        <v>3972.8</v>
      </c>
      <c r="M361" s="15">
        <v>3490.37</v>
      </c>
      <c r="N361" s="15">
        <v>3549.13</v>
      </c>
      <c r="O361" t="s">
        <v>75</v>
      </c>
    </row>
    <row r="362" spans="1:15" x14ac:dyDescent="0.25">
      <c r="A362" s="10" t="s">
        <v>1304</v>
      </c>
      <c r="B362" s="15">
        <v>188.48</v>
      </c>
      <c r="C362" s="15">
        <v>296.60000000000002</v>
      </c>
      <c r="D362" s="15">
        <v>202.4</v>
      </c>
      <c r="E362" s="15">
        <v>276.70999999999998</v>
      </c>
      <c r="F362" s="15">
        <v>228.5</v>
      </c>
      <c r="G362" s="15">
        <v>204.78</v>
      </c>
      <c r="H362" s="15">
        <v>221.99</v>
      </c>
      <c r="I362" s="15">
        <v>216.82</v>
      </c>
      <c r="J362" s="15">
        <v>255.11</v>
      </c>
      <c r="K362" s="15">
        <v>491.94</v>
      </c>
      <c r="L362" s="15">
        <v>296.60000000000002</v>
      </c>
      <c r="M362" s="15">
        <v>55.1</v>
      </c>
      <c r="N362" s="15">
        <v>296.60000000000002</v>
      </c>
      <c r="O362" t="s">
        <v>75</v>
      </c>
    </row>
    <row r="363" spans="1:15" x14ac:dyDescent="0.25">
      <c r="A363" s="10" t="s">
        <v>1308</v>
      </c>
      <c r="B363" s="15">
        <v>124.09</v>
      </c>
      <c r="C363" s="15">
        <v>21.88</v>
      </c>
      <c r="D363" s="15">
        <v>155.16</v>
      </c>
      <c r="E363" s="15">
        <v>155.16</v>
      </c>
      <c r="F363" s="15">
        <v>142.69999999999999</v>
      </c>
      <c r="G363" s="15">
        <v>155.16</v>
      </c>
      <c r="H363" s="15">
        <v>149.36000000000001</v>
      </c>
      <c r="I363" s="15">
        <v>155.16</v>
      </c>
      <c r="J363" s="15">
        <v>407.49</v>
      </c>
      <c r="K363" s="15">
        <v>407.49</v>
      </c>
      <c r="L363" s="15">
        <v>155.16</v>
      </c>
      <c r="M363" s="15">
        <v>155.16</v>
      </c>
      <c r="N363" s="15">
        <v>188.5</v>
      </c>
      <c r="O363" t="s">
        <v>75</v>
      </c>
    </row>
    <row r="364" spans="1:15" x14ac:dyDescent="0.25">
      <c r="A364" s="10" t="s">
        <v>1310</v>
      </c>
      <c r="B364" s="15">
        <v>1358.04</v>
      </c>
      <c r="C364" s="15">
        <v>1597.54</v>
      </c>
      <c r="D364" s="15">
        <v>1001.04</v>
      </c>
      <c r="E364" s="15">
        <v>1035.8900000000001</v>
      </c>
      <c r="F364" s="15">
        <v>1066.81</v>
      </c>
      <c r="G364" s="15">
        <v>1231.81</v>
      </c>
      <c r="H364" s="15">
        <v>1063.1400000000001</v>
      </c>
      <c r="I364" s="15">
        <v>2597.56</v>
      </c>
      <c r="J364" s="15">
        <v>1028.57</v>
      </c>
      <c r="K364" s="15">
        <v>0</v>
      </c>
      <c r="L364" s="15">
        <v>948.01</v>
      </c>
      <c r="M364" s="15">
        <v>960.18</v>
      </c>
      <c r="N364" s="15">
        <v>1066.95</v>
      </c>
      <c r="O364" t="s">
        <v>75</v>
      </c>
    </row>
    <row r="365" spans="1:15" x14ac:dyDescent="0.25">
      <c r="A365" s="10" t="s">
        <v>1312</v>
      </c>
      <c r="B365" s="15">
        <v>0</v>
      </c>
      <c r="C365" s="15">
        <v>0</v>
      </c>
      <c r="D365" s="15">
        <v>0</v>
      </c>
      <c r="E365" s="15">
        <v>0</v>
      </c>
      <c r="F365" s="15">
        <v>0</v>
      </c>
      <c r="G365" s="15">
        <v>0</v>
      </c>
      <c r="H365" s="15">
        <v>0</v>
      </c>
      <c r="I365" s="15">
        <v>0</v>
      </c>
      <c r="J365" s="15">
        <v>0</v>
      </c>
      <c r="K365" s="15">
        <v>0</v>
      </c>
      <c r="L365" s="15">
        <v>0</v>
      </c>
      <c r="M365" s="15">
        <v>0</v>
      </c>
      <c r="N365" s="15">
        <v>11.12</v>
      </c>
      <c r="O365" t="s">
        <v>75</v>
      </c>
    </row>
    <row r="366" spans="1:15" x14ac:dyDescent="0.25">
      <c r="A366" s="10" t="s">
        <v>1314</v>
      </c>
      <c r="B366" s="15">
        <v>1041.8</v>
      </c>
      <c r="C366" s="15">
        <v>1270.1199999999999</v>
      </c>
      <c r="D366" s="15">
        <v>1541.2</v>
      </c>
      <c r="E366" s="15">
        <v>1091.24</v>
      </c>
      <c r="F366" s="15">
        <v>1270.1199999999999</v>
      </c>
      <c r="G366" s="15">
        <v>2096.13</v>
      </c>
      <c r="H366" s="15">
        <v>1270.1199999999999</v>
      </c>
      <c r="I366" s="15">
        <v>129.68</v>
      </c>
      <c r="J366" s="15">
        <v>1270.1199999999999</v>
      </c>
      <c r="K366" s="15">
        <v>1270.1199999999999</v>
      </c>
      <c r="L366" s="15">
        <v>1270.1199999999999</v>
      </c>
      <c r="M366" s="15">
        <v>1541.2</v>
      </c>
      <c r="N366" s="15">
        <v>1270.1199999999999</v>
      </c>
      <c r="O366" t="s">
        <v>75</v>
      </c>
    </row>
    <row r="367" spans="1:15" x14ac:dyDescent="0.25">
      <c r="A367" s="10" t="s">
        <v>1316</v>
      </c>
      <c r="B367" s="15">
        <v>1515.1</v>
      </c>
      <c r="C367" s="15">
        <v>374.79</v>
      </c>
      <c r="D367" s="15">
        <v>1192.6300000000001</v>
      </c>
      <c r="E367" s="15">
        <v>1646.86</v>
      </c>
      <c r="F367" s="15">
        <v>1646.86</v>
      </c>
      <c r="G367" s="15">
        <v>1646.86</v>
      </c>
      <c r="H367" s="15">
        <v>1646.86</v>
      </c>
      <c r="I367" s="15">
        <v>1646.86</v>
      </c>
      <c r="J367" s="15">
        <v>1646.86</v>
      </c>
      <c r="K367" s="15">
        <v>1798.27</v>
      </c>
      <c r="L367" s="15">
        <v>1646.86</v>
      </c>
      <c r="M367" s="15">
        <v>4220.84</v>
      </c>
      <c r="N367" s="15">
        <v>1673.48</v>
      </c>
      <c r="O367" t="s">
        <v>75</v>
      </c>
    </row>
    <row r="368" spans="1:15" x14ac:dyDescent="0.25">
      <c r="A368" s="10" t="s">
        <v>1318</v>
      </c>
      <c r="B368" s="15">
        <v>35.96</v>
      </c>
      <c r="C368" s="15">
        <v>59.78</v>
      </c>
      <c r="D368" s="15">
        <v>58.89</v>
      </c>
      <c r="E368" s="15">
        <v>900.91</v>
      </c>
      <c r="F368" s="15">
        <v>58.89</v>
      </c>
      <c r="G368" s="15">
        <v>58.89</v>
      </c>
      <c r="H368" s="15">
        <v>58.89</v>
      </c>
      <c r="I368" s="15">
        <v>58.89</v>
      </c>
      <c r="J368" s="15">
        <v>312.29000000000002</v>
      </c>
      <c r="K368" s="15">
        <v>58.89</v>
      </c>
      <c r="L368" s="15">
        <v>0</v>
      </c>
      <c r="M368" s="15">
        <v>51.31</v>
      </c>
      <c r="N368" s="15">
        <v>93.06</v>
      </c>
      <c r="O368" t="s">
        <v>75</v>
      </c>
    </row>
    <row r="369" spans="1:15" x14ac:dyDescent="0.25">
      <c r="A369" s="10" t="s">
        <v>1324</v>
      </c>
      <c r="B369" s="15">
        <v>1015.77</v>
      </c>
      <c r="C369" s="15">
        <v>1038.4100000000001</v>
      </c>
      <c r="D369" s="15">
        <v>1245.4100000000001</v>
      </c>
      <c r="E369" s="15">
        <v>1245.4100000000001</v>
      </c>
      <c r="F369" s="15">
        <v>1245.4100000000001</v>
      </c>
      <c r="G369" s="15">
        <v>1245.4100000000001</v>
      </c>
      <c r="H369" s="15">
        <v>2041.22</v>
      </c>
      <c r="I369" s="15">
        <v>315.95</v>
      </c>
      <c r="J369" s="15">
        <v>928.81</v>
      </c>
      <c r="K369" s="15">
        <v>1245.4100000000001</v>
      </c>
      <c r="L369" s="15">
        <v>1245.4100000000001</v>
      </c>
      <c r="M369" s="15">
        <v>1484.78</v>
      </c>
      <c r="N369" s="15">
        <v>1245.4100000000001</v>
      </c>
      <c r="O369" t="s">
        <v>75</v>
      </c>
    </row>
    <row r="370" spans="1:15" x14ac:dyDescent="0.25">
      <c r="A370" s="10" t="s">
        <v>1330</v>
      </c>
      <c r="B370" s="15">
        <v>2581.35</v>
      </c>
      <c r="C370" s="15">
        <v>3119.83</v>
      </c>
      <c r="D370" s="15">
        <v>1789.57</v>
      </c>
      <c r="E370" s="15">
        <v>2227.83</v>
      </c>
      <c r="F370" s="15">
        <v>2447.2800000000002</v>
      </c>
      <c r="G370" s="15">
        <v>2414.41</v>
      </c>
      <c r="H370" s="15">
        <v>2338.0300000000002</v>
      </c>
      <c r="I370" s="15">
        <v>2304.4</v>
      </c>
      <c r="J370" s="15">
        <v>2247.39</v>
      </c>
      <c r="K370" s="15">
        <v>2446.9899999999998</v>
      </c>
      <c r="L370" s="15">
        <v>2244.3200000000002</v>
      </c>
      <c r="M370" s="15">
        <v>2305.23</v>
      </c>
      <c r="N370" s="15">
        <v>2367.71</v>
      </c>
      <c r="O370" t="s">
        <v>75</v>
      </c>
    </row>
    <row r="371" spans="1:15" x14ac:dyDescent="0.25">
      <c r="A371" s="10" t="s">
        <v>1332</v>
      </c>
      <c r="B371" s="15">
        <v>0</v>
      </c>
      <c r="C371" s="15">
        <v>132.01</v>
      </c>
      <c r="D371" s="15">
        <v>0</v>
      </c>
      <c r="E371" s="15">
        <v>0</v>
      </c>
      <c r="F371" s="15">
        <v>0</v>
      </c>
      <c r="G371" s="15">
        <v>0</v>
      </c>
      <c r="H371" s="15">
        <v>0</v>
      </c>
      <c r="I371" s="15">
        <v>0</v>
      </c>
      <c r="J371" s="15">
        <v>0</v>
      </c>
      <c r="K371" s="15">
        <v>0</v>
      </c>
      <c r="L371" s="15">
        <v>0</v>
      </c>
      <c r="M371" s="15">
        <v>0</v>
      </c>
      <c r="N371" s="15">
        <v>0</v>
      </c>
      <c r="O371" t="s">
        <v>75</v>
      </c>
    </row>
    <row r="372" spans="1:15" x14ac:dyDescent="0.25">
      <c r="A372" s="10" t="s">
        <v>1334</v>
      </c>
      <c r="B372" s="15">
        <v>1234.8499999999999</v>
      </c>
      <c r="C372" s="15">
        <v>1654.68</v>
      </c>
      <c r="D372" s="15">
        <v>1533.62</v>
      </c>
      <c r="E372" s="15">
        <v>1533.62</v>
      </c>
      <c r="F372" s="15">
        <v>1533.62</v>
      </c>
      <c r="G372" s="15">
        <v>1533.62</v>
      </c>
      <c r="H372" s="15">
        <v>1533.62</v>
      </c>
      <c r="I372" s="15">
        <v>1533.62</v>
      </c>
      <c r="J372" s="15">
        <v>1533.62</v>
      </c>
      <c r="K372" s="15">
        <v>1533.62</v>
      </c>
      <c r="L372" s="15">
        <v>2773.85</v>
      </c>
      <c r="M372" s="15">
        <v>2044.08</v>
      </c>
      <c r="N372" s="15">
        <v>1533.62</v>
      </c>
      <c r="O372" t="s">
        <v>75</v>
      </c>
    </row>
    <row r="373" spans="1:15" x14ac:dyDescent="0.25">
      <c r="A373" s="10" t="s">
        <v>1336</v>
      </c>
      <c r="B373" s="15">
        <v>78.44</v>
      </c>
      <c r="C373" s="15">
        <v>164.26</v>
      </c>
      <c r="D373" s="15">
        <v>36.36</v>
      </c>
      <c r="E373" s="15">
        <v>42.88</v>
      </c>
      <c r="F373" s="15">
        <v>102.62</v>
      </c>
      <c r="G373" s="15">
        <v>100.18</v>
      </c>
      <c r="H373" s="15">
        <v>102.62</v>
      </c>
      <c r="I373" s="15">
        <v>102.62</v>
      </c>
      <c r="J373" s="15">
        <v>102.62</v>
      </c>
      <c r="K373" s="15">
        <v>102.62</v>
      </c>
      <c r="L373" s="15">
        <v>102.62</v>
      </c>
      <c r="M373" s="15">
        <v>102.62</v>
      </c>
      <c r="N373" s="15">
        <v>102.62</v>
      </c>
      <c r="O373" t="s">
        <v>75</v>
      </c>
    </row>
    <row r="374" spans="1:15" x14ac:dyDescent="0.25">
      <c r="A374" s="10" t="s">
        <v>1338</v>
      </c>
      <c r="B374" s="15">
        <v>732.6</v>
      </c>
      <c r="C374" s="15">
        <v>560.26</v>
      </c>
      <c r="D374" s="15">
        <v>132.51</v>
      </c>
      <c r="E374" s="15">
        <v>439.93</v>
      </c>
      <c r="F374" s="15">
        <v>497.19</v>
      </c>
      <c r="G374" s="15">
        <v>497.19</v>
      </c>
      <c r="H374" s="15">
        <v>497.19</v>
      </c>
      <c r="I374" s="15">
        <v>497.19</v>
      </c>
      <c r="J374" s="15">
        <v>497.19</v>
      </c>
      <c r="K374" s="15">
        <v>1052.08</v>
      </c>
      <c r="L374" s="15">
        <v>497.19</v>
      </c>
      <c r="M374" s="15">
        <v>497.19</v>
      </c>
      <c r="N374" s="15">
        <v>543.42999999999995</v>
      </c>
      <c r="O374" t="s">
        <v>75</v>
      </c>
    </row>
    <row r="375" spans="1:15" x14ac:dyDescent="0.25">
      <c r="A375" s="10" t="s">
        <v>1340</v>
      </c>
      <c r="B375" s="15">
        <v>52.21</v>
      </c>
      <c r="C375" s="15">
        <v>806.28</v>
      </c>
      <c r="D375" s="15">
        <v>81.290000000000006</v>
      </c>
      <c r="E375" s="15">
        <v>520.37</v>
      </c>
      <c r="F375" s="15">
        <v>81.290000000000006</v>
      </c>
      <c r="G375" s="15">
        <v>81.290000000000006</v>
      </c>
      <c r="H375" s="15">
        <v>81.290000000000006</v>
      </c>
      <c r="I375" s="15">
        <v>427.74</v>
      </c>
      <c r="J375" s="15">
        <v>81.290000000000006</v>
      </c>
      <c r="K375" s="15">
        <v>0</v>
      </c>
      <c r="L375" s="15">
        <v>0</v>
      </c>
      <c r="M375" s="15">
        <v>81.290000000000006</v>
      </c>
      <c r="N375" s="15">
        <v>145.54</v>
      </c>
      <c r="O375" t="s">
        <v>75</v>
      </c>
    </row>
    <row r="376" spans="1:15" x14ac:dyDescent="0.25">
      <c r="A376" s="10" t="s">
        <v>1342</v>
      </c>
      <c r="B376" s="15">
        <v>967.3</v>
      </c>
      <c r="C376" s="15">
        <v>402.36</v>
      </c>
      <c r="D376" s="15">
        <v>1194.48</v>
      </c>
      <c r="E376" s="15">
        <v>1194.48</v>
      </c>
      <c r="F376" s="15">
        <v>1194.48</v>
      </c>
      <c r="G376" s="15">
        <v>1194.48</v>
      </c>
      <c r="H376" s="15">
        <v>1194.48</v>
      </c>
      <c r="I376" s="15">
        <v>1194.48</v>
      </c>
      <c r="J376" s="15">
        <v>1194.48</v>
      </c>
      <c r="K376" s="15">
        <v>1317.8</v>
      </c>
      <c r="L376" s="15">
        <v>722.3</v>
      </c>
      <c r="M376" s="15">
        <v>982.08</v>
      </c>
      <c r="N376" s="15">
        <v>1194.48</v>
      </c>
      <c r="O376" t="s">
        <v>75</v>
      </c>
    </row>
    <row r="377" spans="1:15" x14ac:dyDescent="0.25">
      <c r="A377" s="10" t="s">
        <v>1346</v>
      </c>
      <c r="B377" s="15">
        <v>0</v>
      </c>
      <c r="C377" s="15">
        <v>83.34</v>
      </c>
      <c r="D377" s="15">
        <v>0</v>
      </c>
      <c r="E377" s="15">
        <v>0</v>
      </c>
      <c r="F377" s="15">
        <v>35.11</v>
      </c>
      <c r="G377" s="15">
        <v>0</v>
      </c>
      <c r="H377" s="15">
        <v>49.17</v>
      </c>
      <c r="I377" s="15">
        <v>0</v>
      </c>
      <c r="J377" s="15">
        <v>0</v>
      </c>
      <c r="K377" s="15">
        <v>0</v>
      </c>
      <c r="L377" s="15">
        <v>0</v>
      </c>
      <c r="M377" s="15">
        <v>0</v>
      </c>
      <c r="N377" s="15">
        <v>0</v>
      </c>
      <c r="O377" t="s">
        <v>75</v>
      </c>
    </row>
    <row r="378" spans="1:15" x14ac:dyDescent="0.25">
      <c r="A378" s="10" t="s">
        <v>1350</v>
      </c>
      <c r="B378" s="15">
        <v>2206.41</v>
      </c>
      <c r="C378" s="15">
        <v>1210.29</v>
      </c>
      <c r="D378" s="15">
        <v>891.34</v>
      </c>
      <c r="E378" s="15">
        <v>1399.1</v>
      </c>
      <c r="F378" s="15">
        <v>1399.1</v>
      </c>
      <c r="G378" s="15">
        <v>1399.1</v>
      </c>
      <c r="H378" s="15">
        <v>1399.1</v>
      </c>
      <c r="I378" s="15">
        <v>1399.1</v>
      </c>
      <c r="J378" s="15">
        <v>1399.1</v>
      </c>
      <c r="K378" s="15">
        <v>1399.1</v>
      </c>
      <c r="L378" s="15">
        <v>1399.1</v>
      </c>
      <c r="M378" s="15">
        <v>1399.1</v>
      </c>
      <c r="N378" s="15">
        <v>1413.2</v>
      </c>
      <c r="O378" t="s">
        <v>75</v>
      </c>
    </row>
    <row r="379" spans="1:15" x14ac:dyDescent="0.25">
      <c r="A379" s="10" t="s">
        <v>1352</v>
      </c>
      <c r="B379" s="15">
        <v>1582.79</v>
      </c>
      <c r="C379" s="15">
        <v>852.3</v>
      </c>
      <c r="D379" s="15">
        <v>1954.73</v>
      </c>
      <c r="E379" s="15">
        <v>1954.73</v>
      </c>
      <c r="F379" s="15">
        <v>1954.73</v>
      </c>
      <c r="G379" s="15">
        <v>1954.73</v>
      </c>
      <c r="H379" s="15">
        <v>1954.73</v>
      </c>
      <c r="I379" s="15">
        <v>1954.73</v>
      </c>
      <c r="J379" s="15">
        <v>1954.73</v>
      </c>
      <c r="K379" s="15">
        <v>1954.73</v>
      </c>
      <c r="L379" s="15">
        <v>1954.73</v>
      </c>
      <c r="M379" s="15">
        <v>4922.63</v>
      </c>
      <c r="N379" s="15">
        <v>1954.73</v>
      </c>
      <c r="O379" t="s">
        <v>75</v>
      </c>
    </row>
    <row r="380" spans="1:15" x14ac:dyDescent="0.25">
      <c r="A380" s="10" t="s">
        <v>1354</v>
      </c>
      <c r="B380" s="15">
        <v>0</v>
      </c>
      <c r="C380" s="15">
        <v>24.47</v>
      </c>
      <c r="D380" s="15">
        <v>37.93</v>
      </c>
      <c r="E380" s="15">
        <v>0</v>
      </c>
      <c r="F380" s="15">
        <v>0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>
        <v>0</v>
      </c>
      <c r="O380" t="s">
        <v>75</v>
      </c>
    </row>
    <row r="381" spans="1:15" x14ac:dyDescent="0.25">
      <c r="A381" s="10" t="s">
        <v>1356</v>
      </c>
      <c r="B381" s="15">
        <v>0</v>
      </c>
      <c r="C381" s="15">
        <v>0</v>
      </c>
      <c r="D381" s="15">
        <v>0</v>
      </c>
      <c r="E381" s="15">
        <v>0</v>
      </c>
      <c r="F381" s="15">
        <v>0</v>
      </c>
      <c r="G381" s="15">
        <v>0</v>
      </c>
      <c r="H381" s="15">
        <v>0</v>
      </c>
      <c r="I381" s="15">
        <v>0</v>
      </c>
      <c r="J381" s="15">
        <v>0</v>
      </c>
      <c r="K381" s="15">
        <v>21.49</v>
      </c>
      <c r="L381" s="15">
        <v>0</v>
      </c>
      <c r="M381" s="15">
        <v>0</v>
      </c>
      <c r="N381" s="15">
        <v>0</v>
      </c>
      <c r="O381" t="s">
        <v>75</v>
      </c>
    </row>
    <row r="382" spans="1:15" x14ac:dyDescent="0.25">
      <c r="A382" s="10" t="s">
        <v>1358</v>
      </c>
      <c r="B382" s="15">
        <v>13.94</v>
      </c>
      <c r="C382" s="15">
        <v>25.64</v>
      </c>
      <c r="D382" s="15">
        <v>24.84</v>
      </c>
      <c r="E382" s="15">
        <v>24.84</v>
      </c>
      <c r="F382" s="15">
        <v>112.67</v>
      </c>
      <c r="G382" s="15">
        <v>24.84</v>
      </c>
      <c r="H382" s="15">
        <v>0</v>
      </c>
      <c r="I382" s="15">
        <v>24.84</v>
      </c>
      <c r="J382" s="15">
        <v>24.84</v>
      </c>
      <c r="K382" s="15">
        <v>24.84</v>
      </c>
      <c r="L382" s="15">
        <v>24.84</v>
      </c>
      <c r="M382" s="15">
        <v>24.84</v>
      </c>
      <c r="N382" s="15">
        <v>24.91</v>
      </c>
      <c r="O382" t="s">
        <v>75</v>
      </c>
    </row>
    <row r="383" spans="1:15" x14ac:dyDescent="0.25">
      <c r="A383" s="10" t="s">
        <v>1360</v>
      </c>
      <c r="B383" s="15">
        <v>0</v>
      </c>
      <c r="C383" s="15">
        <v>10.220000000000001</v>
      </c>
      <c r="D383" s="15">
        <v>0</v>
      </c>
      <c r="E383" s="15">
        <v>0</v>
      </c>
      <c r="F383" s="15">
        <v>0</v>
      </c>
      <c r="G383" s="15">
        <v>0</v>
      </c>
      <c r="H383" s="15">
        <v>0</v>
      </c>
      <c r="I383" s="15">
        <v>13.14</v>
      </c>
      <c r="J383" s="15">
        <v>13.14</v>
      </c>
      <c r="K383" s="15">
        <v>0</v>
      </c>
      <c r="L383" s="15">
        <v>72.3</v>
      </c>
      <c r="M383" s="15">
        <v>10.72</v>
      </c>
      <c r="N383" s="15">
        <v>0</v>
      </c>
      <c r="O383" t="s">
        <v>75</v>
      </c>
    </row>
    <row r="384" spans="1:15" x14ac:dyDescent="0.25">
      <c r="A384" s="10" t="s">
        <v>1362</v>
      </c>
      <c r="B384" s="15">
        <v>0</v>
      </c>
      <c r="C384" s="15">
        <v>493.31</v>
      </c>
      <c r="D384" s="15">
        <v>1401.76</v>
      </c>
      <c r="E384" s="15">
        <v>1391.87</v>
      </c>
      <c r="F384" s="15">
        <v>1422.09</v>
      </c>
      <c r="G384" s="15">
        <v>1367.76</v>
      </c>
      <c r="H384" s="15">
        <v>1418.24</v>
      </c>
      <c r="I384" s="15">
        <v>1422.56</v>
      </c>
      <c r="J384" s="15">
        <v>1483.35</v>
      </c>
      <c r="K384" s="15">
        <v>1360.92</v>
      </c>
      <c r="L384" s="15">
        <v>1402.76</v>
      </c>
      <c r="M384" s="15">
        <v>1475.24</v>
      </c>
      <c r="N384" s="15">
        <v>1375.98</v>
      </c>
      <c r="O384" t="s">
        <v>75</v>
      </c>
    </row>
    <row r="385" spans="1:15" x14ac:dyDescent="0.25">
      <c r="A385" s="10" t="s">
        <v>1364</v>
      </c>
      <c r="B385" s="15">
        <v>299.77999999999997</v>
      </c>
      <c r="C385" s="15">
        <v>159.93</v>
      </c>
      <c r="D385" s="15">
        <v>349.23</v>
      </c>
      <c r="E385" s="15">
        <v>349.23</v>
      </c>
      <c r="F385" s="15">
        <v>349.23</v>
      </c>
      <c r="G385" s="15">
        <v>411.11</v>
      </c>
      <c r="H385" s="15">
        <v>16.53</v>
      </c>
      <c r="I385" s="15">
        <v>311.2</v>
      </c>
      <c r="J385" s="15">
        <v>349.23</v>
      </c>
      <c r="K385" s="15">
        <v>349.23</v>
      </c>
      <c r="L385" s="15">
        <v>349.23</v>
      </c>
      <c r="M385" s="15">
        <v>349.23</v>
      </c>
      <c r="N385" s="15">
        <v>349.23</v>
      </c>
      <c r="O385" t="s">
        <v>75</v>
      </c>
    </row>
    <row r="386" spans="1:15" x14ac:dyDescent="0.25">
      <c r="A386" s="10" t="s">
        <v>1368</v>
      </c>
      <c r="B386" s="15">
        <v>2428.4299999999998</v>
      </c>
      <c r="C386" s="15">
        <v>3133.38</v>
      </c>
      <c r="D386" s="15">
        <v>2578.5100000000002</v>
      </c>
      <c r="E386" s="15">
        <v>2578.5100000000002</v>
      </c>
      <c r="F386" s="15">
        <v>2851.37</v>
      </c>
      <c r="G386" s="15">
        <v>2578.5100000000002</v>
      </c>
      <c r="H386" s="15">
        <v>2578.5100000000002</v>
      </c>
      <c r="I386" s="15">
        <v>2578.5100000000002</v>
      </c>
      <c r="J386" s="15">
        <v>5268.12</v>
      </c>
      <c r="K386" s="15">
        <v>1783.23</v>
      </c>
      <c r="L386" s="15">
        <v>2207.33</v>
      </c>
      <c r="M386" s="15">
        <v>2578.5100000000002</v>
      </c>
      <c r="N386" s="15">
        <v>2686.86</v>
      </c>
      <c r="O386" t="s">
        <v>75</v>
      </c>
    </row>
    <row r="387" spans="1:15" x14ac:dyDescent="0.25">
      <c r="A387" s="10" t="s">
        <v>1370</v>
      </c>
      <c r="B387" s="15">
        <v>1536.48</v>
      </c>
      <c r="C387" s="15">
        <v>1955.54</v>
      </c>
      <c r="D387" s="15">
        <v>3365.89</v>
      </c>
      <c r="E387" s="15">
        <v>0</v>
      </c>
      <c r="F387" s="15">
        <v>0</v>
      </c>
      <c r="G387" s="15">
        <v>0</v>
      </c>
      <c r="H387" s="15">
        <v>0</v>
      </c>
      <c r="I387" s="15">
        <v>0</v>
      </c>
      <c r="J387" s="15">
        <v>0</v>
      </c>
      <c r="K387" s="15">
        <v>0</v>
      </c>
      <c r="L387" s="15">
        <v>0</v>
      </c>
      <c r="M387" s="15">
        <v>0</v>
      </c>
      <c r="N387" s="15">
        <v>0</v>
      </c>
      <c r="O387" t="s">
        <v>75</v>
      </c>
    </row>
    <row r="388" spans="1:15" x14ac:dyDescent="0.25">
      <c r="A388" s="10" t="s">
        <v>1372</v>
      </c>
      <c r="B388" s="15">
        <v>0</v>
      </c>
      <c r="C388" s="15">
        <v>13.61</v>
      </c>
      <c r="D388" s="15">
        <v>0</v>
      </c>
      <c r="E388" s="15">
        <v>0</v>
      </c>
      <c r="F388" s="15">
        <v>0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15">
        <v>0</v>
      </c>
      <c r="N388" s="15">
        <v>0</v>
      </c>
      <c r="O388" t="s">
        <v>75</v>
      </c>
    </row>
    <row r="389" spans="1:15" x14ac:dyDescent="0.25">
      <c r="A389" s="10" t="s">
        <v>1374</v>
      </c>
      <c r="B389" s="15">
        <v>97.48</v>
      </c>
      <c r="C389" s="15">
        <v>34.32</v>
      </c>
      <c r="D389" s="15">
        <v>285.16000000000003</v>
      </c>
      <c r="E389" s="15">
        <v>77.03</v>
      </c>
      <c r="F389" s="15">
        <v>72.290000000000006</v>
      </c>
      <c r="G389" s="15">
        <v>52.21</v>
      </c>
      <c r="H389" s="15">
        <v>350.39</v>
      </c>
      <c r="I389" s="15">
        <v>53.64</v>
      </c>
      <c r="J389" s="15">
        <v>66.69</v>
      </c>
      <c r="K389" s="15">
        <v>77.03</v>
      </c>
      <c r="L389" s="15">
        <v>152.35</v>
      </c>
      <c r="M389" s="15">
        <v>71.040000000000006</v>
      </c>
      <c r="N389" s="15">
        <v>128.94</v>
      </c>
      <c r="O389" t="s">
        <v>75</v>
      </c>
    </row>
    <row r="390" spans="1:15" x14ac:dyDescent="0.25">
      <c r="A390" s="10" t="s">
        <v>1376</v>
      </c>
      <c r="B390" s="15">
        <v>0</v>
      </c>
      <c r="C390" s="15">
        <v>434.21</v>
      </c>
      <c r="D390" s="15">
        <v>473.13</v>
      </c>
      <c r="E390" s="15">
        <v>473.13</v>
      </c>
      <c r="F390" s="15">
        <v>473.13</v>
      </c>
      <c r="G390" s="15">
        <v>473.13</v>
      </c>
      <c r="H390" s="15">
        <v>516.97</v>
      </c>
      <c r="I390" s="15">
        <v>473.13</v>
      </c>
      <c r="J390" s="15">
        <v>346.32</v>
      </c>
      <c r="K390" s="15">
        <v>473.13</v>
      </c>
      <c r="L390" s="15">
        <v>473.13</v>
      </c>
      <c r="M390" s="15">
        <v>473.13</v>
      </c>
      <c r="N390" s="15">
        <v>473.13</v>
      </c>
      <c r="O390" t="s">
        <v>75</v>
      </c>
    </row>
    <row r="391" spans="1:15" x14ac:dyDescent="0.25">
      <c r="A391" s="10" t="s">
        <v>1378</v>
      </c>
      <c r="B391" s="15">
        <v>0</v>
      </c>
      <c r="C391" s="15">
        <v>1445.42</v>
      </c>
      <c r="D391" s="15">
        <v>1240.93</v>
      </c>
      <c r="E391" s="15">
        <v>1396.11</v>
      </c>
      <c r="F391" s="15">
        <v>1240.93</v>
      </c>
      <c r="G391" s="15">
        <v>1240.93</v>
      </c>
      <c r="H391" s="15">
        <v>1240.93</v>
      </c>
      <c r="I391" s="15">
        <v>1404.27</v>
      </c>
      <c r="J391" s="15">
        <v>1413.07</v>
      </c>
      <c r="K391" s="15">
        <v>1206.19</v>
      </c>
      <c r="L391" s="15">
        <v>1240.93</v>
      </c>
      <c r="M391" s="15">
        <v>1413.07</v>
      </c>
      <c r="N391" s="15">
        <v>1291.28</v>
      </c>
      <c r="O391" t="s">
        <v>75</v>
      </c>
    </row>
    <row r="392" spans="1:15" x14ac:dyDescent="0.25">
      <c r="A392" s="10" t="s">
        <v>1384</v>
      </c>
      <c r="B392" s="15">
        <v>0</v>
      </c>
      <c r="C392" s="15">
        <v>0</v>
      </c>
      <c r="D392" s="15">
        <v>0</v>
      </c>
      <c r="E392" s="15">
        <v>0</v>
      </c>
      <c r="F392" s="15">
        <v>0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60.73</v>
      </c>
      <c r="M392" s="15">
        <v>0</v>
      </c>
      <c r="N392" s="15">
        <v>0</v>
      </c>
      <c r="O392" t="s">
        <v>75</v>
      </c>
    </row>
    <row r="393" spans="1:15" x14ac:dyDescent="0.25">
      <c r="A393" s="10" t="s">
        <v>1386</v>
      </c>
      <c r="B393" s="15">
        <v>2517</v>
      </c>
      <c r="C393" s="15">
        <v>1348.94</v>
      </c>
      <c r="D393" s="15">
        <v>1211.3800000000001</v>
      </c>
      <c r="E393" s="15">
        <v>1818.71</v>
      </c>
      <c r="F393" s="15">
        <v>1818.71</v>
      </c>
      <c r="G393" s="15">
        <v>1818.71</v>
      </c>
      <c r="H393" s="15">
        <v>1818.71</v>
      </c>
      <c r="I393" s="15">
        <v>1818.71</v>
      </c>
      <c r="J393" s="15">
        <v>1818.71</v>
      </c>
      <c r="K393" s="15">
        <v>3318.16</v>
      </c>
      <c r="L393" s="15">
        <v>1150.4100000000001</v>
      </c>
      <c r="M393" s="15">
        <v>652.46</v>
      </c>
      <c r="N393" s="15">
        <v>1818.71</v>
      </c>
      <c r="O393" t="s">
        <v>75</v>
      </c>
    </row>
    <row r="394" spans="1:15" x14ac:dyDescent="0.25">
      <c r="A394" s="10" t="s">
        <v>1390</v>
      </c>
      <c r="B394" s="15">
        <v>91.67</v>
      </c>
      <c r="C394" s="15">
        <v>91.38</v>
      </c>
      <c r="D394" s="15">
        <v>0</v>
      </c>
      <c r="E394" s="15">
        <v>59.03</v>
      </c>
      <c r="F394" s="15">
        <v>58.77</v>
      </c>
      <c r="G394" s="15">
        <v>84.15</v>
      </c>
      <c r="H394" s="15">
        <v>84.15</v>
      </c>
      <c r="I394" s="15">
        <v>59.03</v>
      </c>
      <c r="J394" s="15">
        <v>59.03</v>
      </c>
      <c r="K394" s="15">
        <v>189.75</v>
      </c>
      <c r="L394" s="15">
        <v>58.77</v>
      </c>
      <c r="M394" s="15">
        <v>75.069999999999993</v>
      </c>
      <c r="N394" s="15">
        <v>74.78</v>
      </c>
      <c r="O394" t="s">
        <v>75</v>
      </c>
    </row>
    <row r="395" spans="1:15" x14ac:dyDescent="0.25">
      <c r="A395" s="10" t="s">
        <v>1392</v>
      </c>
      <c r="B395" s="15">
        <v>17.440000000000001</v>
      </c>
      <c r="C395" s="15">
        <v>79.540000000000006</v>
      </c>
      <c r="D395" s="15">
        <v>0</v>
      </c>
      <c r="E395" s="15">
        <v>24.78</v>
      </c>
      <c r="F395" s="15">
        <v>30.96</v>
      </c>
      <c r="G395" s="15">
        <v>30.96</v>
      </c>
      <c r="H395" s="15">
        <v>30.96</v>
      </c>
      <c r="I395" s="15">
        <v>30.96</v>
      </c>
      <c r="J395" s="15">
        <v>30.96</v>
      </c>
      <c r="K395" s="15">
        <v>30.96</v>
      </c>
      <c r="L395" s="15">
        <v>30.96</v>
      </c>
      <c r="M395" s="15">
        <v>30.96</v>
      </c>
      <c r="N395" s="15">
        <v>34.58</v>
      </c>
      <c r="O395" t="s">
        <v>75</v>
      </c>
    </row>
    <row r="396" spans="1:15" x14ac:dyDescent="0.25">
      <c r="A396" s="10" t="s">
        <v>1394</v>
      </c>
      <c r="B396" s="15">
        <v>1292.7</v>
      </c>
      <c r="C396" s="15">
        <v>1694.6</v>
      </c>
      <c r="D396" s="15">
        <v>1694.6</v>
      </c>
      <c r="E396" s="15">
        <v>1694.6</v>
      </c>
      <c r="F396" s="15">
        <v>1694.6</v>
      </c>
      <c r="G396" s="15">
        <v>1694.6</v>
      </c>
      <c r="H396" s="15">
        <v>1694.6</v>
      </c>
      <c r="I396" s="15">
        <v>3083.72</v>
      </c>
      <c r="J396" s="15">
        <v>1678.47</v>
      </c>
      <c r="K396" s="15">
        <v>743.72</v>
      </c>
      <c r="L396" s="15">
        <v>1694.6</v>
      </c>
      <c r="M396" s="15">
        <v>1694.6</v>
      </c>
      <c r="N396" s="15">
        <v>1694.6</v>
      </c>
      <c r="O396" t="s">
        <v>75</v>
      </c>
    </row>
    <row r="397" spans="1:15" x14ac:dyDescent="0.25">
      <c r="A397" s="10" t="s">
        <v>1396</v>
      </c>
      <c r="B397" s="15">
        <v>2516.9499999999998</v>
      </c>
      <c r="C397" s="15">
        <v>2787.4</v>
      </c>
      <c r="D397" s="15">
        <v>2787.4</v>
      </c>
      <c r="E397" s="15">
        <v>3485.49</v>
      </c>
      <c r="F397" s="15">
        <v>3358.56</v>
      </c>
      <c r="G397" s="15">
        <v>2787.4</v>
      </c>
      <c r="H397" s="15">
        <v>2787.4</v>
      </c>
      <c r="I397" s="15">
        <v>2787.4</v>
      </c>
      <c r="J397" s="15">
        <v>2787.4</v>
      </c>
      <c r="K397" s="15">
        <v>2787.4</v>
      </c>
      <c r="L397" s="15">
        <v>2787.4</v>
      </c>
      <c r="M397" s="15">
        <v>5735.14</v>
      </c>
      <c r="N397" s="15">
        <v>2935.48</v>
      </c>
      <c r="O397" t="s">
        <v>75</v>
      </c>
    </row>
    <row r="398" spans="1:15" x14ac:dyDescent="0.25">
      <c r="A398" s="10" t="s">
        <v>1402</v>
      </c>
      <c r="B398" s="15">
        <v>1001.16</v>
      </c>
      <c r="C398" s="15">
        <v>1245.56</v>
      </c>
      <c r="D398" s="15">
        <v>1121.31</v>
      </c>
      <c r="E398" s="15">
        <v>1121.31</v>
      </c>
      <c r="F398" s="15">
        <v>1121.31</v>
      </c>
      <c r="G398" s="15">
        <v>1121.31</v>
      </c>
      <c r="H398" s="15">
        <v>2006.64</v>
      </c>
      <c r="I398" s="15">
        <v>1121.31</v>
      </c>
      <c r="J398" s="15">
        <v>396.48</v>
      </c>
      <c r="K398" s="15">
        <v>1121.31</v>
      </c>
      <c r="L398" s="15">
        <v>1121.31</v>
      </c>
      <c r="M398" s="15">
        <v>1121.31</v>
      </c>
      <c r="N398" s="15">
        <v>1131.67</v>
      </c>
      <c r="O398" t="s">
        <v>75</v>
      </c>
    </row>
    <row r="399" spans="1:15" x14ac:dyDescent="0.25">
      <c r="A399" s="10" t="s">
        <v>1404</v>
      </c>
      <c r="B399" s="15">
        <v>0</v>
      </c>
      <c r="C399" s="15">
        <v>0</v>
      </c>
      <c r="D399" s="15">
        <v>0</v>
      </c>
      <c r="E399" s="15">
        <v>0</v>
      </c>
      <c r="F399" s="15">
        <v>0</v>
      </c>
      <c r="G399" s="15">
        <v>0</v>
      </c>
      <c r="H399" s="15">
        <v>0</v>
      </c>
      <c r="I399" s="15">
        <v>33.58</v>
      </c>
      <c r="J399" s="15">
        <v>0</v>
      </c>
      <c r="K399" s="15">
        <v>0</v>
      </c>
      <c r="L399" s="15">
        <v>0</v>
      </c>
      <c r="M399" s="15">
        <v>0</v>
      </c>
      <c r="N399" s="15">
        <v>0</v>
      </c>
      <c r="O399" t="s">
        <v>75</v>
      </c>
    </row>
    <row r="400" spans="1:15" x14ac:dyDescent="0.25">
      <c r="A400" s="10" t="s">
        <v>1406</v>
      </c>
      <c r="B400" s="15">
        <v>0</v>
      </c>
      <c r="C400" s="15">
        <v>0</v>
      </c>
      <c r="D400" s="15">
        <v>0</v>
      </c>
      <c r="E400" s="15">
        <v>0</v>
      </c>
      <c r="F400" s="15">
        <v>0</v>
      </c>
      <c r="G400" s="15">
        <v>0</v>
      </c>
      <c r="H400" s="15">
        <v>0</v>
      </c>
      <c r="I400" s="15">
        <v>0</v>
      </c>
      <c r="J400" s="15">
        <v>0</v>
      </c>
      <c r="K400" s="15">
        <v>26.62</v>
      </c>
      <c r="L400" s="15">
        <v>0</v>
      </c>
      <c r="M400" s="15">
        <v>36.729999999999997</v>
      </c>
      <c r="N400" s="15">
        <v>0</v>
      </c>
      <c r="O400" t="s">
        <v>75</v>
      </c>
    </row>
    <row r="401" spans="1:15" x14ac:dyDescent="0.25">
      <c r="A401" s="10" t="s">
        <v>1414</v>
      </c>
      <c r="B401" s="15">
        <v>2562.42</v>
      </c>
      <c r="C401" s="15">
        <v>1376.77</v>
      </c>
      <c r="D401" s="15">
        <v>1338.92</v>
      </c>
      <c r="E401" s="15">
        <v>1837.81</v>
      </c>
      <c r="F401" s="15">
        <v>1837.81</v>
      </c>
      <c r="G401" s="15">
        <v>1837.81</v>
      </c>
      <c r="H401" s="15">
        <v>2228.84</v>
      </c>
      <c r="I401" s="15">
        <v>1837.81</v>
      </c>
      <c r="J401" s="15">
        <v>877.4</v>
      </c>
      <c r="K401" s="15">
        <v>1837.81</v>
      </c>
      <c r="L401" s="15">
        <v>1837.81</v>
      </c>
      <c r="M401" s="15">
        <v>1837.81</v>
      </c>
      <c r="N401" s="15">
        <v>1837.81</v>
      </c>
      <c r="O401" t="s">
        <v>75</v>
      </c>
    </row>
    <row r="402" spans="1:15" x14ac:dyDescent="0.25">
      <c r="A402" s="10" t="s">
        <v>1416</v>
      </c>
      <c r="B402" s="15">
        <v>0</v>
      </c>
      <c r="C402" s="15">
        <v>0</v>
      </c>
      <c r="D402" s="15">
        <v>40.43</v>
      </c>
      <c r="E402" s="15">
        <v>0</v>
      </c>
      <c r="F402" s="15">
        <v>0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0</v>
      </c>
      <c r="O402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P19"/>
  <sheetViews>
    <sheetView workbookViewId="0">
      <selection activeCell="B8" sqref="B8"/>
    </sheetView>
  </sheetViews>
  <sheetFormatPr defaultRowHeight="15" x14ac:dyDescent="0.25"/>
  <cols>
    <col min="1" max="1" width="10.5" style="10" bestFit="1" customWidth="1"/>
    <col min="2" max="2" width="12.625" style="10" bestFit="1" customWidth="1"/>
    <col min="3" max="14" width="10.875" style="15" customWidth="1"/>
    <col min="15" max="15" width="10.875" customWidth="1"/>
  </cols>
  <sheetData>
    <row r="1" spans="1:16" ht="47.85" customHeight="1" x14ac:dyDescent="0.25">
      <c r="A1" s="28" t="s">
        <v>34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43.5" customHeight="1" x14ac:dyDescent="0.25">
      <c r="A2" s="12" t="s">
        <v>72</v>
      </c>
      <c r="B2" s="12" t="s">
        <v>63</v>
      </c>
      <c r="C2" s="14" t="str">
        <f>CONCATENATE("JANEIRO",CHAR(10),"TOTAL: ",ROUND(SUM(C3:C1048576),2))</f>
        <v>JANEIRO
TOTAL: 12809,08</v>
      </c>
      <c r="D2" s="14" t="str">
        <f>CONCATENATE("FEVEREIRO",CHAR(10),"TOTAL: ",ROUND(SUM(D3:D1048576),2))</f>
        <v>FEVEREIRO
TOTAL: 10332,29</v>
      </c>
      <c r="E2" s="14" t="str">
        <f>CONCATENATE("MARÇO",CHAR(10),"TOTAL: ",ROUND(SUM(E3:E1048576),2))</f>
        <v>MARÇO
TOTAL: 9279,56</v>
      </c>
      <c r="F2" s="14" t="str">
        <f>CONCATENATE("ABRIL",CHAR(10),"TOTAL: ",ROUND(SUM(F3:F1048576),2))</f>
        <v>ABRIL
TOTAL: 10200,04</v>
      </c>
      <c r="G2" s="14" t="str">
        <f>CONCATENATE("MAIO",CHAR(10),"TOTAL: ",ROUND(SUM(G3:G1048576),2))</f>
        <v>MAIO
TOTAL: 10311</v>
      </c>
      <c r="H2" s="14" t="str">
        <f>CONCATENATE("JUNHO",CHAR(10),"TOTAL: ",ROUND(SUM(H3:H1048576),2))</f>
        <v>JUNHO
TOTAL: 13753,51</v>
      </c>
      <c r="I2" s="14" t="str">
        <f>CONCATENATE("JULHO",CHAR(10),"TOTAL: ",ROUND(SUM(I3:I1048576),2))</f>
        <v>JULHO
TOTAL: 9890,53</v>
      </c>
      <c r="J2" s="14" t="str">
        <f>CONCATENATE("AGOSTO",CHAR(10),"TOTAL: ",ROUND(SUM(J3:J1048576),2))</f>
        <v>AGOSTO
TOTAL: 9516,77</v>
      </c>
      <c r="K2" s="14" t="str">
        <f>CONCATENATE("SETEMBRO",CHAR(10),"TOTAL: ",ROUND(SUM(K3:K1048576),2))</f>
        <v>SETEMBRO
TOTAL: 9849,69</v>
      </c>
      <c r="L2" s="14" t="str">
        <f>CONCATENATE("OUTUBRO",CHAR(10),"TOTAL: ",ROUND(SUM(L3:L1048576),2))</f>
        <v>OUTUBRO
TOTAL: 9440,88</v>
      </c>
      <c r="M2" s="14" t="str">
        <f>CONCATENATE("NOVEMBRO",CHAR(10),"TOTAL: ",ROUND(SUM(M3:M1048576),2))</f>
        <v>NOVEMBRO
TOTAL: 10936,74</v>
      </c>
      <c r="N2" s="14" t="str">
        <f>CONCATENATE("DEZEMBRO",CHAR(10),"TOTAL: ",ROUND(SUM(N3:N1048576),2))</f>
        <v>DEZEMBRO
TOTAL: 10934,17</v>
      </c>
      <c r="O2" s="14" t="str">
        <f>CONCATENATE("DEC. TERCEIRO",CHAR(10),"TOTAL: ",ROUND(SUM(O3:O1048576),2))</f>
        <v>DEC. TERCEIRO
TOTAL: 8724,3</v>
      </c>
    </row>
    <row r="3" spans="1:16" x14ac:dyDescent="0.25">
      <c r="A3" s="10" t="s">
        <v>114</v>
      </c>
      <c r="B3" s="10" t="s">
        <v>116</v>
      </c>
      <c r="C3" s="15">
        <v>122.98</v>
      </c>
      <c r="D3" s="15">
        <v>133.97999999999999</v>
      </c>
      <c r="E3" s="15">
        <v>133.97999999999999</v>
      </c>
      <c r="F3" s="15">
        <v>133.97999999999999</v>
      </c>
      <c r="G3" s="15">
        <v>333.98</v>
      </c>
      <c r="H3" s="15">
        <v>133.97999999999999</v>
      </c>
      <c r="I3" s="15">
        <v>133.96</v>
      </c>
      <c r="J3" s="15">
        <v>133.97999999999999</v>
      </c>
      <c r="K3" s="15">
        <v>133.97999999999999</v>
      </c>
      <c r="L3" s="15">
        <v>133.97999999999999</v>
      </c>
      <c r="M3" s="15">
        <v>133.97999999999999</v>
      </c>
      <c r="N3" s="15">
        <v>133.97999999999999</v>
      </c>
      <c r="O3">
        <v>138.58000000000001</v>
      </c>
      <c r="P3" t="s">
        <v>75</v>
      </c>
    </row>
    <row r="4" spans="1:16" x14ac:dyDescent="0.25">
      <c r="A4" s="10" t="s">
        <v>249</v>
      </c>
      <c r="B4" s="10" t="s">
        <v>253</v>
      </c>
      <c r="C4" s="15">
        <v>875.23</v>
      </c>
      <c r="D4" s="15">
        <v>512.73</v>
      </c>
      <c r="E4" s="15">
        <v>368.16</v>
      </c>
      <c r="F4" s="15">
        <v>476.17</v>
      </c>
      <c r="G4" s="15">
        <v>523.91</v>
      </c>
      <c r="H4" s="15">
        <v>528.08000000000004</v>
      </c>
      <c r="I4" s="15">
        <v>566.75</v>
      </c>
      <c r="J4" s="15">
        <v>532.65</v>
      </c>
      <c r="K4" s="15">
        <v>541.79</v>
      </c>
      <c r="L4" s="15">
        <v>640.5</v>
      </c>
      <c r="M4" s="15">
        <v>909.59</v>
      </c>
      <c r="N4" s="15">
        <v>301.85000000000002</v>
      </c>
      <c r="O4">
        <v>565.4</v>
      </c>
      <c r="P4" t="s">
        <v>75</v>
      </c>
    </row>
    <row r="5" spans="1:16" x14ac:dyDescent="0.25">
      <c r="A5" s="10" t="s">
        <v>394</v>
      </c>
      <c r="B5" s="10" t="s">
        <v>253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197.45</v>
      </c>
      <c r="J5" s="15">
        <v>462.05</v>
      </c>
      <c r="K5" s="15">
        <v>197.45</v>
      </c>
      <c r="L5" s="15">
        <v>79.98</v>
      </c>
      <c r="M5" s="15">
        <v>171.12</v>
      </c>
      <c r="N5" s="15">
        <v>252.64</v>
      </c>
      <c r="O5">
        <v>203.05</v>
      </c>
      <c r="P5" t="s">
        <v>75</v>
      </c>
    </row>
    <row r="6" spans="1:16" x14ac:dyDescent="0.25">
      <c r="A6" s="10" t="s">
        <v>442</v>
      </c>
      <c r="B6" s="10" t="s">
        <v>253</v>
      </c>
      <c r="C6" s="15">
        <v>289.63</v>
      </c>
      <c r="D6" s="15">
        <v>311.25</v>
      </c>
      <c r="E6" s="15">
        <v>307.22000000000003</v>
      </c>
      <c r="F6" s="15">
        <v>860.73</v>
      </c>
      <c r="G6" s="15">
        <v>422.01</v>
      </c>
      <c r="H6" s="15">
        <v>340.47</v>
      </c>
      <c r="I6" s="15">
        <v>389.51</v>
      </c>
      <c r="J6" s="15">
        <v>390.73</v>
      </c>
      <c r="K6" s="15">
        <v>389.84</v>
      </c>
      <c r="L6" s="15">
        <v>0</v>
      </c>
      <c r="M6" s="15">
        <v>0</v>
      </c>
      <c r="N6" s="15">
        <v>0</v>
      </c>
      <c r="O6">
        <v>0</v>
      </c>
      <c r="P6" t="s">
        <v>75</v>
      </c>
    </row>
    <row r="7" spans="1:16" x14ac:dyDescent="0.25">
      <c r="A7" s="10" t="s">
        <v>462</v>
      </c>
      <c r="B7" s="10" t="s">
        <v>464</v>
      </c>
      <c r="C7" s="15">
        <v>318.67</v>
      </c>
      <c r="D7" s="15">
        <v>421.11</v>
      </c>
      <c r="E7" s="15">
        <v>691.14</v>
      </c>
      <c r="F7" s="15">
        <v>350.22</v>
      </c>
      <c r="G7" s="15">
        <v>109.7</v>
      </c>
      <c r="H7" s="15">
        <v>350.22</v>
      </c>
      <c r="I7" s="15">
        <v>350.22</v>
      </c>
      <c r="J7" s="15">
        <v>350.22</v>
      </c>
      <c r="K7" s="15">
        <v>350.22</v>
      </c>
      <c r="L7" s="15">
        <v>350.22</v>
      </c>
      <c r="M7" s="15">
        <v>350.22</v>
      </c>
      <c r="N7" s="15">
        <v>350.22</v>
      </c>
      <c r="O7">
        <v>358.63</v>
      </c>
      <c r="P7" t="s">
        <v>75</v>
      </c>
    </row>
    <row r="8" spans="1:16" x14ac:dyDescent="0.25">
      <c r="A8" s="10" t="s">
        <v>462</v>
      </c>
      <c r="B8" s="10" t="s">
        <v>464</v>
      </c>
      <c r="C8" s="15">
        <v>318.67</v>
      </c>
      <c r="D8" s="15">
        <v>421.11</v>
      </c>
      <c r="E8" s="15">
        <v>691.14</v>
      </c>
      <c r="F8" s="15">
        <v>350.22</v>
      </c>
      <c r="G8" s="15">
        <v>109.7</v>
      </c>
      <c r="H8" s="15">
        <v>350.22</v>
      </c>
      <c r="I8" s="15">
        <v>350.22</v>
      </c>
      <c r="J8" s="15">
        <v>350.22</v>
      </c>
      <c r="K8" s="15">
        <v>350.22</v>
      </c>
      <c r="L8" s="15">
        <v>350.22</v>
      </c>
      <c r="M8" s="15">
        <v>350.22</v>
      </c>
      <c r="N8" s="15">
        <v>350.22</v>
      </c>
      <c r="O8">
        <v>358.63</v>
      </c>
      <c r="P8" t="s">
        <v>75</v>
      </c>
    </row>
    <row r="9" spans="1:16" x14ac:dyDescent="0.25">
      <c r="A9" s="10" t="s">
        <v>513</v>
      </c>
      <c r="B9" s="10" t="s">
        <v>515</v>
      </c>
      <c r="C9" s="15">
        <v>157.6</v>
      </c>
      <c r="D9" s="15">
        <v>213.37</v>
      </c>
      <c r="E9" s="15">
        <v>197.45</v>
      </c>
      <c r="F9" s="15">
        <v>197.45</v>
      </c>
      <c r="G9" s="15">
        <v>197.45</v>
      </c>
      <c r="H9" s="15">
        <v>197.45</v>
      </c>
      <c r="I9" s="15">
        <v>197.45</v>
      </c>
      <c r="J9" s="15">
        <v>197.45</v>
      </c>
      <c r="K9" s="15">
        <v>197.66</v>
      </c>
      <c r="L9" s="15">
        <v>197.45</v>
      </c>
      <c r="M9" s="15">
        <v>504.94</v>
      </c>
      <c r="N9" s="15">
        <v>197.45</v>
      </c>
      <c r="O9">
        <v>203.29</v>
      </c>
      <c r="P9" t="s">
        <v>75</v>
      </c>
    </row>
    <row r="10" spans="1:16" x14ac:dyDescent="0.25">
      <c r="A10" s="10" t="s">
        <v>996</v>
      </c>
      <c r="B10" s="10" t="s">
        <v>998</v>
      </c>
      <c r="C10" s="15">
        <v>0</v>
      </c>
      <c r="D10" s="15">
        <v>0</v>
      </c>
      <c r="E10" s="15">
        <v>0</v>
      </c>
      <c r="F10" s="15">
        <v>0</v>
      </c>
      <c r="G10" s="15">
        <v>769.37</v>
      </c>
      <c r="H10" s="15">
        <v>769.37</v>
      </c>
      <c r="I10" s="15">
        <v>769.37</v>
      </c>
      <c r="J10" s="15">
        <v>769.37</v>
      </c>
      <c r="K10" s="15">
        <v>758.3</v>
      </c>
      <c r="L10" s="15">
        <v>758.3</v>
      </c>
      <c r="M10" s="15">
        <v>758.3</v>
      </c>
      <c r="N10" s="15">
        <v>2036.42</v>
      </c>
      <c r="O10">
        <v>853.36</v>
      </c>
      <c r="P10" t="s">
        <v>75</v>
      </c>
    </row>
    <row r="11" spans="1:16" x14ac:dyDescent="0.25">
      <c r="A11" s="10" t="s">
        <v>1033</v>
      </c>
      <c r="B11" s="10" t="s">
        <v>1035</v>
      </c>
      <c r="C11" s="15">
        <v>623.47</v>
      </c>
      <c r="D11" s="15">
        <v>392.9</v>
      </c>
      <c r="E11" s="15">
        <v>242.45</v>
      </c>
      <c r="F11" s="15">
        <v>388.81</v>
      </c>
      <c r="G11" s="15">
        <v>402.42</v>
      </c>
      <c r="H11" s="15">
        <v>402.42</v>
      </c>
      <c r="I11" s="15">
        <v>402.42</v>
      </c>
      <c r="J11" s="15">
        <v>400.31</v>
      </c>
      <c r="K11" s="15">
        <v>402.42</v>
      </c>
      <c r="L11" s="15">
        <v>402.42</v>
      </c>
      <c r="M11" s="15">
        <v>402.42</v>
      </c>
      <c r="N11" s="15">
        <v>779.78</v>
      </c>
      <c r="O11">
        <v>402.42</v>
      </c>
      <c r="P11" t="s">
        <v>75</v>
      </c>
    </row>
    <row r="12" spans="1:16" x14ac:dyDescent="0.25">
      <c r="A12" s="10" t="s">
        <v>1046</v>
      </c>
      <c r="B12" s="10" t="s">
        <v>1048</v>
      </c>
      <c r="C12" s="15">
        <v>454.28</v>
      </c>
      <c r="D12" s="15">
        <v>507.32</v>
      </c>
      <c r="E12" s="15">
        <v>507.32</v>
      </c>
      <c r="F12" s="15">
        <v>507.32</v>
      </c>
      <c r="G12" s="15">
        <v>507.32</v>
      </c>
      <c r="H12" s="15">
        <v>507.32</v>
      </c>
      <c r="I12" s="15">
        <v>507.32</v>
      </c>
      <c r="J12" s="15">
        <v>507.32</v>
      </c>
      <c r="K12" s="15">
        <v>507.32</v>
      </c>
      <c r="L12" s="15">
        <v>507.32</v>
      </c>
      <c r="M12" s="15">
        <v>507.32</v>
      </c>
      <c r="N12" s="15">
        <v>507.32</v>
      </c>
      <c r="O12">
        <v>0</v>
      </c>
      <c r="P12" t="s">
        <v>75</v>
      </c>
    </row>
    <row r="13" spans="1:16" x14ac:dyDescent="0.25">
      <c r="A13" s="10" t="s">
        <v>1046</v>
      </c>
      <c r="B13" s="10" t="s">
        <v>1048</v>
      </c>
      <c r="C13" s="15">
        <v>454.28</v>
      </c>
      <c r="D13" s="15">
        <v>507.32</v>
      </c>
      <c r="E13" s="15">
        <v>507.32</v>
      </c>
      <c r="F13" s="15">
        <v>507.32</v>
      </c>
      <c r="G13" s="15">
        <v>507.32</v>
      </c>
      <c r="H13" s="15">
        <v>507.32</v>
      </c>
      <c r="I13" s="15">
        <v>507.32</v>
      </c>
      <c r="J13" s="15">
        <v>507.32</v>
      </c>
      <c r="K13" s="15">
        <v>507.32</v>
      </c>
      <c r="L13" s="15">
        <v>507.32</v>
      </c>
      <c r="M13" s="15">
        <v>507.32</v>
      </c>
      <c r="N13" s="15">
        <v>507.32</v>
      </c>
      <c r="O13">
        <v>0</v>
      </c>
      <c r="P13" t="s">
        <v>75</v>
      </c>
    </row>
    <row r="14" spans="1:16" x14ac:dyDescent="0.25">
      <c r="A14" s="10" t="s">
        <v>1085</v>
      </c>
      <c r="B14" s="10" t="s">
        <v>1087</v>
      </c>
      <c r="C14" s="15">
        <v>468.08</v>
      </c>
      <c r="D14" s="15">
        <v>532.71</v>
      </c>
      <c r="E14" s="15">
        <v>519.79999999999995</v>
      </c>
      <c r="F14" s="15">
        <v>519.79999999999995</v>
      </c>
      <c r="G14" s="15">
        <v>519.79999999999995</v>
      </c>
      <c r="H14" s="15">
        <v>519.79999999999995</v>
      </c>
      <c r="I14" s="15">
        <v>519.79999999999995</v>
      </c>
      <c r="J14" s="15">
        <v>519.79999999999995</v>
      </c>
      <c r="K14" s="15">
        <v>519.79999999999995</v>
      </c>
      <c r="L14" s="15">
        <v>519.79999999999995</v>
      </c>
      <c r="M14" s="15">
        <v>1325.84</v>
      </c>
      <c r="N14" s="15">
        <v>519.79999999999995</v>
      </c>
      <c r="O14">
        <v>520.87</v>
      </c>
      <c r="P14" t="s">
        <v>75</v>
      </c>
    </row>
    <row r="15" spans="1:16" x14ac:dyDescent="0.25">
      <c r="A15" s="10" t="s">
        <v>1102</v>
      </c>
      <c r="B15" s="10" t="s">
        <v>1104</v>
      </c>
      <c r="C15" s="15">
        <v>5547.67</v>
      </c>
      <c r="D15" s="15">
        <v>2773.01</v>
      </c>
      <c r="E15" s="15">
        <v>1311.22</v>
      </c>
      <c r="F15" s="15">
        <v>2204.1</v>
      </c>
      <c r="G15" s="15">
        <v>2204.1</v>
      </c>
      <c r="H15" s="15">
        <v>2204.1</v>
      </c>
      <c r="I15" s="15">
        <v>2197.29</v>
      </c>
      <c r="J15" s="15">
        <v>2204.1</v>
      </c>
      <c r="K15" s="15">
        <v>2204.1</v>
      </c>
      <c r="L15" s="15">
        <v>2204.1</v>
      </c>
      <c r="M15" s="15">
        <v>2204.1</v>
      </c>
      <c r="N15" s="15">
        <v>2204.1</v>
      </c>
      <c r="O15">
        <v>2228.94</v>
      </c>
      <c r="P15" t="s">
        <v>75</v>
      </c>
    </row>
    <row r="16" spans="1:16" x14ac:dyDescent="0.25">
      <c r="A16" s="10" t="s">
        <v>1129</v>
      </c>
      <c r="B16" s="10" t="s">
        <v>1131</v>
      </c>
      <c r="C16" s="15">
        <v>898.07</v>
      </c>
      <c r="D16" s="15">
        <v>898.07</v>
      </c>
      <c r="E16" s="15">
        <v>1094.95</v>
      </c>
      <c r="F16" s="15">
        <v>996.51</v>
      </c>
      <c r="G16" s="15">
        <v>996.51</v>
      </c>
      <c r="H16" s="15">
        <v>996.51</v>
      </c>
      <c r="I16" s="15">
        <v>996.51</v>
      </c>
      <c r="J16" s="15">
        <v>996.51</v>
      </c>
      <c r="K16" s="15">
        <v>996.51</v>
      </c>
      <c r="L16" s="15">
        <v>996.51</v>
      </c>
      <c r="M16" s="15">
        <v>996.51</v>
      </c>
      <c r="N16" s="15">
        <v>996.51</v>
      </c>
      <c r="O16">
        <v>996.51</v>
      </c>
      <c r="P16" t="s">
        <v>75</v>
      </c>
    </row>
    <row r="17" spans="1:16" x14ac:dyDescent="0.25">
      <c r="A17" s="10" t="s">
        <v>1230</v>
      </c>
      <c r="B17" s="10" t="s">
        <v>1232</v>
      </c>
      <c r="C17" s="15">
        <v>760.15</v>
      </c>
      <c r="D17" s="15">
        <v>902.47</v>
      </c>
      <c r="E17" s="15">
        <v>902.47</v>
      </c>
      <c r="F17" s="15">
        <v>902.47</v>
      </c>
      <c r="G17" s="15">
        <v>902.47</v>
      </c>
      <c r="H17" s="15">
        <v>902.47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>
        <v>0</v>
      </c>
      <c r="P17" t="s">
        <v>75</v>
      </c>
    </row>
    <row r="18" spans="1:16" x14ac:dyDescent="0.25">
      <c r="A18" s="10" t="s">
        <v>1230</v>
      </c>
      <c r="B18" s="10" t="s">
        <v>1232</v>
      </c>
      <c r="C18" s="15">
        <v>760.15</v>
      </c>
      <c r="D18" s="15">
        <v>902.47</v>
      </c>
      <c r="E18" s="15">
        <v>902.47</v>
      </c>
      <c r="F18" s="15">
        <v>902.47</v>
      </c>
      <c r="G18" s="15">
        <v>902.47</v>
      </c>
      <c r="H18" s="15">
        <v>2521.89</v>
      </c>
      <c r="I18" s="15">
        <v>902.47</v>
      </c>
      <c r="J18" s="15">
        <v>597.37</v>
      </c>
      <c r="K18" s="15">
        <v>896.38</v>
      </c>
      <c r="L18" s="15">
        <v>896.38</v>
      </c>
      <c r="M18" s="15">
        <v>907.43</v>
      </c>
      <c r="N18" s="15">
        <v>898.28</v>
      </c>
      <c r="O18">
        <v>947.31</v>
      </c>
      <c r="P18" t="s">
        <v>75</v>
      </c>
    </row>
    <row r="19" spans="1:16" x14ac:dyDescent="0.25">
      <c r="A19" s="10" t="s">
        <v>1230</v>
      </c>
      <c r="B19" s="10" t="s">
        <v>1232</v>
      </c>
      <c r="C19" s="15">
        <v>760.15</v>
      </c>
      <c r="D19" s="15">
        <v>902.47</v>
      </c>
      <c r="E19" s="15">
        <v>902.47</v>
      </c>
      <c r="F19" s="15">
        <v>902.47</v>
      </c>
      <c r="G19" s="15">
        <v>902.47</v>
      </c>
      <c r="H19" s="15">
        <v>2521.89</v>
      </c>
      <c r="I19" s="15">
        <v>902.47</v>
      </c>
      <c r="J19" s="15">
        <v>597.37</v>
      </c>
      <c r="K19" s="15">
        <v>896.38</v>
      </c>
      <c r="L19" s="15">
        <v>896.38</v>
      </c>
      <c r="M19" s="15">
        <v>907.43</v>
      </c>
      <c r="N19" s="15">
        <v>898.28</v>
      </c>
      <c r="O19">
        <v>947.31</v>
      </c>
      <c r="P19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5"/>
  <dimension ref="A1:F19"/>
  <sheetViews>
    <sheetView tabSelected="1" workbookViewId="0">
      <selection activeCell="A17" sqref="A17"/>
    </sheetView>
  </sheetViews>
  <sheetFormatPr defaultRowHeight="15" x14ac:dyDescent="0.25"/>
  <cols>
    <col min="1" max="1" width="10.5" style="10" bestFit="1" customWidth="1"/>
    <col min="2" max="3" width="11.875" style="10" customWidth="1"/>
    <col min="4" max="4" width="41.625" style="9" customWidth="1"/>
    <col min="5" max="5" width="9.375" style="9" customWidth="1"/>
  </cols>
  <sheetData>
    <row r="1" spans="1:6" ht="47.85" customHeight="1" x14ac:dyDescent="0.25">
      <c r="A1" s="30" t="s">
        <v>76</v>
      </c>
      <c r="B1" s="31"/>
      <c r="C1" s="31"/>
      <c r="D1" s="31"/>
      <c r="E1" s="31"/>
    </row>
    <row r="2" spans="1:6" ht="24" x14ac:dyDescent="0.25">
      <c r="A2" s="12" t="s">
        <v>72</v>
      </c>
      <c r="B2" s="12" t="s">
        <v>63</v>
      </c>
      <c r="C2" s="12" t="s">
        <v>64</v>
      </c>
      <c r="D2" s="12" t="s">
        <v>23</v>
      </c>
      <c r="E2" s="12" t="s">
        <v>65</v>
      </c>
    </row>
    <row r="3" spans="1:6" x14ac:dyDescent="0.25">
      <c r="A3" s="10" t="s">
        <v>114</v>
      </c>
      <c r="B3" s="10" t="s">
        <v>116</v>
      </c>
      <c r="C3" s="10" t="s">
        <v>117</v>
      </c>
      <c r="D3" s="9" t="s">
        <v>118</v>
      </c>
      <c r="E3" s="9">
        <v>4</v>
      </c>
      <c r="F3" t="s">
        <v>75</v>
      </c>
    </row>
    <row r="4" spans="1:6" x14ac:dyDescent="0.25">
      <c r="A4" s="10" t="s">
        <v>249</v>
      </c>
      <c r="B4" s="10" t="s">
        <v>75</v>
      </c>
      <c r="C4" s="10" t="s">
        <v>251</v>
      </c>
      <c r="D4" s="9" t="s">
        <v>252</v>
      </c>
      <c r="E4" s="9">
        <v>4</v>
      </c>
      <c r="F4" t="s">
        <v>75</v>
      </c>
    </row>
    <row r="5" spans="1:6" x14ac:dyDescent="0.25">
      <c r="A5" s="10" t="s">
        <v>394</v>
      </c>
      <c r="B5" s="10" t="s">
        <v>75</v>
      </c>
      <c r="C5" s="10" t="s">
        <v>396</v>
      </c>
      <c r="D5" s="9" t="s">
        <v>397</v>
      </c>
      <c r="E5" s="9">
        <v>4</v>
      </c>
      <c r="F5" t="s">
        <v>75</v>
      </c>
    </row>
    <row r="6" spans="1:6" x14ac:dyDescent="0.25">
      <c r="A6" s="10" t="s">
        <v>442</v>
      </c>
      <c r="B6" s="10" t="s">
        <v>75</v>
      </c>
      <c r="C6" s="10" t="s">
        <v>444</v>
      </c>
      <c r="D6" s="9" t="s">
        <v>445</v>
      </c>
      <c r="E6" s="9">
        <v>4</v>
      </c>
      <c r="F6" t="s">
        <v>75</v>
      </c>
    </row>
    <row r="7" spans="1:6" x14ac:dyDescent="0.25">
      <c r="A7" s="10" t="s">
        <v>462</v>
      </c>
      <c r="B7" s="10" t="s">
        <v>464</v>
      </c>
      <c r="C7" s="10" t="s">
        <v>465</v>
      </c>
      <c r="D7" s="9" t="s">
        <v>466</v>
      </c>
      <c r="E7" s="9">
        <v>4</v>
      </c>
      <c r="F7" t="s">
        <v>75</v>
      </c>
    </row>
    <row r="8" spans="1:6" x14ac:dyDescent="0.25">
      <c r="A8" s="10" t="s">
        <v>462</v>
      </c>
      <c r="B8" s="10" t="s">
        <v>464</v>
      </c>
      <c r="C8" s="10" t="s">
        <v>467</v>
      </c>
      <c r="D8" s="9" t="s">
        <v>468</v>
      </c>
      <c r="E8" s="9">
        <v>4</v>
      </c>
      <c r="F8" t="s">
        <v>75</v>
      </c>
    </row>
    <row r="9" spans="1:6" x14ac:dyDescent="0.25">
      <c r="A9" s="10" t="s">
        <v>513</v>
      </c>
      <c r="B9" s="10" t="s">
        <v>515</v>
      </c>
      <c r="C9" s="10" t="s">
        <v>516</v>
      </c>
      <c r="D9" s="9" t="s">
        <v>517</v>
      </c>
      <c r="E9" s="9">
        <v>4</v>
      </c>
      <c r="F9" t="s">
        <v>75</v>
      </c>
    </row>
    <row r="10" spans="1:6" x14ac:dyDescent="0.25">
      <c r="A10" s="10" t="s">
        <v>996</v>
      </c>
      <c r="B10" s="10" t="s">
        <v>998</v>
      </c>
      <c r="C10" s="10" t="s">
        <v>999</v>
      </c>
      <c r="D10" s="9" t="s">
        <v>1000</v>
      </c>
      <c r="E10" s="9">
        <v>10</v>
      </c>
      <c r="F10" t="s">
        <v>75</v>
      </c>
    </row>
    <row r="11" spans="1:6" x14ac:dyDescent="0.25">
      <c r="A11" s="10" t="s">
        <v>1033</v>
      </c>
      <c r="B11" s="10" t="s">
        <v>1035</v>
      </c>
      <c r="C11" s="10" t="s">
        <v>1036</v>
      </c>
      <c r="D11" s="9" t="s">
        <v>1037</v>
      </c>
      <c r="E11" s="9">
        <v>4</v>
      </c>
      <c r="F11" t="s">
        <v>75</v>
      </c>
    </row>
    <row r="12" spans="1:6" x14ac:dyDescent="0.25">
      <c r="A12" s="10" t="s">
        <v>1046</v>
      </c>
      <c r="B12" s="10" t="s">
        <v>1048</v>
      </c>
      <c r="C12" s="10" t="s">
        <v>1049</v>
      </c>
      <c r="D12" s="9" t="s">
        <v>1050</v>
      </c>
      <c r="E12" s="9">
        <v>4</v>
      </c>
      <c r="F12" t="s">
        <v>75</v>
      </c>
    </row>
    <row r="13" spans="1:6" x14ac:dyDescent="0.25">
      <c r="A13" s="10" t="s">
        <v>1046</v>
      </c>
      <c r="B13" s="10" t="s">
        <v>1048</v>
      </c>
      <c r="C13" s="10" t="s">
        <v>1051</v>
      </c>
      <c r="D13" s="9" t="s">
        <v>1052</v>
      </c>
      <c r="E13" s="9">
        <v>4</v>
      </c>
      <c r="F13" t="s">
        <v>75</v>
      </c>
    </row>
    <row r="14" spans="1:6" x14ac:dyDescent="0.25">
      <c r="A14" s="10" t="s">
        <v>1085</v>
      </c>
      <c r="B14" s="10" t="s">
        <v>1087</v>
      </c>
      <c r="C14" s="10" t="s">
        <v>1088</v>
      </c>
      <c r="D14" s="9" t="s">
        <v>1089</v>
      </c>
      <c r="E14" s="9">
        <v>4</v>
      </c>
      <c r="F14" t="s">
        <v>75</v>
      </c>
    </row>
    <row r="15" spans="1:6" x14ac:dyDescent="0.25">
      <c r="A15" s="10" t="s">
        <v>1102</v>
      </c>
      <c r="B15" s="10" t="s">
        <v>1104</v>
      </c>
      <c r="C15" s="10" t="s">
        <v>1105</v>
      </c>
      <c r="D15" s="9" t="s">
        <v>1106</v>
      </c>
      <c r="E15" s="9">
        <v>10</v>
      </c>
      <c r="F15" t="s">
        <v>75</v>
      </c>
    </row>
    <row r="16" spans="1:6" x14ac:dyDescent="0.25">
      <c r="A16" s="10" t="s">
        <v>1129</v>
      </c>
      <c r="B16" s="10" t="s">
        <v>1131</v>
      </c>
      <c r="C16" s="10" t="s">
        <v>1132</v>
      </c>
      <c r="D16" s="9" t="s">
        <v>1133</v>
      </c>
      <c r="E16" s="9">
        <v>4</v>
      </c>
      <c r="F16" t="s">
        <v>75</v>
      </c>
    </row>
    <row r="17" spans="1:6" x14ac:dyDescent="0.25">
      <c r="A17" s="10" t="s">
        <v>1230</v>
      </c>
      <c r="B17" s="10" t="s">
        <v>1232</v>
      </c>
      <c r="C17" s="10" t="s">
        <v>1233</v>
      </c>
      <c r="D17" s="9" t="s">
        <v>1234</v>
      </c>
      <c r="E17" s="9">
        <v>4</v>
      </c>
      <c r="F17" t="s">
        <v>75</v>
      </c>
    </row>
    <row r="18" spans="1:6" x14ac:dyDescent="0.25">
      <c r="A18" s="10" t="s">
        <v>1230</v>
      </c>
      <c r="B18" s="10" t="s">
        <v>1232</v>
      </c>
      <c r="C18" s="10" t="s">
        <v>1235</v>
      </c>
      <c r="D18" s="9" t="s">
        <v>1236</v>
      </c>
      <c r="E18" s="9">
        <v>4</v>
      </c>
      <c r="F18" t="s">
        <v>75</v>
      </c>
    </row>
    <row r="19" spans="1:6" x14ac:dyDescent="0.25">
      <c r="A19" s="10" t="s">
        <v>1230</v>
      </c>
      <c r="B19" s="10" t="s">
        <v>1232</v>
      </c>
      <c r="C19" s="10" t="s">
        <v>1235</v>
      </c>
      <c r="D19" s="9" t="s">
        <v>1237</v>
      </c>
      <c r="E19" s="9">
        <v>4</v>
      </c>
      <c r="F19" t="s">
        <v>75</v>
      </c>
    </row>
  </sheetData>
  <mergeCells count="1">
    <mergeCell ref="A1:E1"/>
  </mergeCells>
  <conditionalFormatting sqref="B7">
    <cfRule type="duplicateValues" dxfId="3" priority="2"/>
  </conditionalFormatting>
  <conditionalFormatting sqref="B1:B104857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66BF9830-EEC2-424E-8A31-517ED2B21BD4}">
            <xm:f>AND((VALUE(DIRF!$C$3)-VALUE(LEFT($C3,4)))&gt;=18,$B3="")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A3:E1048576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O230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69389,94</v>
      </c>
      <c r="C2" s="14" t="str">
        <f>CONCATENATE("FEVEREIRO",CHAR(10),"TOTAL: ",ROUND(SUM(C3:C1048576),2))</f>
        <v>FEVEREIRO
TOTAL: 82092,47</v>
      </c>
      <c r="D2" s="14" t="str">
        <f>CONCATENATE("MARÇO",CHAR(10),"TOTAL: ",ROUND(SUM(D3:D1048576),2))</f>
        <v>MARÇO
TOTAL: 62375,11</v>
      </c>
      <c r="E2" s="14" t="str">
        <f>CONCATENATE("ABRIL",CHAR(10),"TOTAL: ",ROUND(SUM(E3:E1048576),2))</f>
        <v>ABRIL
TOTAL: 64460,6</v>
      </c>
      <c r="F2" s="14" t="str">
        <f>CONCATENATE("MAIO",CHAR(10),"TOTAL: ",ROUND(SUM(F3:F1048576),2))</f>
        <v>MAIO
TOTAL: 66356,5</v>
      </c>
      <c r="G2" s="14" t="str">
        <f>CONCATENATE("JUNHO",CHAR(10),"TOTAL: ",ROUND(SUM(G3:G1048576),2))</f>
        <v>JUNHO
TOTAL: 67873,22</v>
      </c>
      <c r="H2" s="14" t="str">
        <f>CONCATENATE("JULHO",CHAR(10),"TOTAL: ",ROUND(SUM(H3:H1048576),2))</f>
        <v>JULHO
TOTAL: 67873,22</v>
      </c>
      <c r="I2" s="14" t="str">
        <f>CONCATENATE("AGOSTO",CHAR(10),"TOTAL: ",ROUND(SUM(I3:I1048576),2))</f>
        <v>AGOSTO
TOTAL: 65787,73</v>
      </c>
      <c r="J2" s="14" t="str">
        <f>CONCATENATE("SETEMBRO",CHAR(10),"TOTAL: ",ROUND(SUM(J3:J1048576),2))</f>
        <v>SETEMBRO
TOTAL: 65598,14</v>
      </c>
      <c r="K2" s="14" t="str">
        <f>CONCATENATE("OUTUBRO",CHAR(10),"TOTAL: ",ROUND(SUM(K3:K1048576),2))</f>
        <v>OUTUBRO
TOTAL: 65977,32</v>
      </c>
      <c r="L2" s="14" t="str">
        <f>CONCATENATE("NOVEMBRO",CHAR(10),"TOTAL: ",ROUND(SUM(L3:L1048576),2))</f>
        <v>NOVEMBRO
TOTAL: 68441,99</v>
      </c>
      <c r="M2" s="14" t="str">
        <f>CONCATENATE("DEZEMBRO",CHAR(10),"TOTAL: ",ROUND(SUM(M3:M1048576),2))</f>
        <v>DEZEMBRO
TOTAL: 72423,38</v>
      </c>
      <c r="N2" s="14" t="str">
        <f>CONCATENATE("DEC. TERCEIRO",CHAR(10),"TOTAL: ",ROUND(SUM(N3:N1048576),2))</f>
        <v>DEC. TERCEIRO
TOTAL: 67304,45</v>
      </c>
    </row>
    <row r="3" spans="1:15" x14ac:dyDescent="0.25">
      <c r="A3" s="10" t="s">
        <v>99</v>
      </c>
      <c r="B3" s="15">
        <v>379.18</v>
      </c>
      <c r="C3" s="15">
        <v>189.59</v>
      </c>
      <c r="D3" s="15">
        <v>189.59</v>
      </c>
      <c r="E3" s="15">
        <v>189.59</v>
      </c>
      <c r="F3" s="15">
        <v>189.59</v>
      </c>
      <c r="G3" s="15">
        <v>379.18</v>
      </c>
      <c r="H3" s="15">
        <v>189.59</v>
      </c>
      <c r="I3" s="15">
        <v>189.59</v>
      </c>
      <c r="J3" s="15">
        <v>189.59</v>
      </c>
      <c r="K3" s="15">
        <v>189.59</v>
      </c>
      <c r="L3" s="15">
        <v>0</v>
      </c>
      <c r="M3" s="15">
        <v>0</v>
      </c>
      <c r="N3" s="15">
        <v>189.59</v>
      </c>
      <c r="O3" t="s">
        <v>75</v>
      </c>
    </row>
    <row r="4" spans="1:15" x14ac:dyDescent="0.25">
      <c r="A4" s="10" t="s">
        <v>102</v>
      </c>
      <c r="B4" s="15">
        <v>758.36</v>
      </c>
      <c r="C4" s="15">
        <v>1516.72</v>
      </c>
      <c r="D4" s="15">
        <v>758.36</v>
      </c>
      <c r="E4" s="15">
        <v>758.36</v>
      </c>
      <c r="F4" s="15">
        <v>758.36</v>
      </c>
      <c r="G4" s="15">
        <v>758.36</v>
      </c>
      <c r="H4" s="15">
        <v>758.36</v>
      </c>
      <c r="I4" s="15">
        <v>758.36</v>
      </c>
      <c r="J4" s="15">
        <v>758.36</v>
      </c>
      <c r="K4" s="15">
        <v>758.36</v>
      </c>
      <c r="L4" s="15">
        <v>758.36</v>
      </c>
      <c r="M4" s="15">
        <v>758.36</v>
      </c>
      <c r="N4" s="15">
        <v>758.36</v>
      </c>
      <c r="O4" t="s">
        <v>75</v>
      </c>
    </row>
    <row r="5" spans="1:15" x14ac:dyDescent="0.25">
      <c r="A5" s="10" t="s">
        <v>108</v>
      </c>
      <c r="B5" s="15">
        <v>0</v>
      </c>
      <c r="C5" s="15">
        <v>0</v>
      </c>
      <c r="D5" s="15">
        <v>379.18</v>
      </c>
      <c r="E5" s="15">
        <v>189.59</v>
      </c>
      <c r="F5" s="15">
        <v>189.59</v>
      </c>
      <c r="G5" s="15">
        <v>189.59</v>
      </c>
      <c r="H5" s="15">
        <v>189.59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189.59</v>
      </c>
      <c r="O5" t="s">
        <v>75</v>
      </c>
    </row>
    <row r="6" spans="1:15" x14ac:dyDescent="0.25">
      <c r="A6" s="10" t="s">
        <v>110</v>
      </c>
      <c r="B6" s="15">
        <v>379.18</v>
      </c>
      <c r="C6" s="15">
        <v>379.18</v>
      </c>
      <c r="D6" s="15">
        <v>379.18</v>
      </c>
      <c r="E6" s="15">
        <v>379.18</v>
      </c>
      <c r="F6" s="15">
        <v>758.36</v>
      </c>
      <c r="G6" s="15">
        <v>379.18</v>
      </c>
      <c r="H6" s="15">
        <v>379.18</v>
      </c>
      <c r="I6" s="15">
        <v>379.18</v>
      </c>
      <c r="J6" s="15">
        <v>379.18</v>
      </c>
      <c r="K6" s="15">
        <v>758.36</v>
      </c>
      <c r="L6" s="15">
        <v>379.18</v>
      </c>
      <c r="M6" s="15">
        <v>379.18</v>
      </c>
      <c r="N6" s="15">
        <v>379.18</v>
      </c>
      <c r="O6" t="s">
        <v>75</v>
      </c>
    </row>
    <row r="7" spans="1:15" x14ac:dyDescent="0.25">
      <c r="A7" s="10" t="s">
        <v>114</v>
      </c>
      <c r="B7" s="15">
        <v>758.36</v>
      </c>
      <c r="C7" s="15">
        <v>758.36</v>
      </c>
      <c r="D7" s="15">
        <v>758.36</v>
      </c>
      <c r="E7" s="15">
        <v>758.36</v>
      </c>
      <c r="F7" s="15">
        <v>1516.72</v>
      </c>
      <c r="G7" s="15">
        <v>758.36</v>
      </c>
      <c r="H7" s="15">
        <v>758.36</v>
      </c>
      <c r="I7" s="15">
        <v>758.36</v>
      </c>
      <c r="J7" s="15">
        <v>758.36</v>
      </c>
      <c r="K7" s="15">
        <v>758.36</v>
      </c>
      <c r="L7" s="15">
        <v>758.36</v>
      </c>
      <c r="M7" s="15">
        <v>758.36</v>
      </c>
      <c r="N7" s="15">
        <v>758.36</v>
      </c>
      <c r="O7" t="s">
        <v>75</v>
      </c>
    </row>
    <row r="8" spans="1:15" x14ac:dyDescent="0.25">
      <c r="A8" s="10" t="s">
        <v>121</v>
      </c>
      <c r="B8" s="15">
        <v>379.18</v>
      </c>
      <c r="C8" s="15">
        <v>189.59</v>
      </c>
      <c r="D8" s="15">
        <v>189.59</v>
      </c>
      <c r="E8" s="15">
        <v>189.59</v>
      </c>
      <c r="F8" s="15">
        <v>189.59</v>
      </c>
      <c r="G8" s="15">
        <v>189.59</v>
      </c>
      <c r="H8" s="15">
        <v>379.18</v>
      </c>
      <c r="I8" s="15">
        <v>189.59</v>
      </c>
      <c r="J8" s="15">
        <v>379.18</v>
      </c>
      <c r="K8" s="15">
        <v>189.59</v>
      </c>
      <c r="L8" s="15">
        <v>189.59</v>
      </c>
      <c r="M8" s="15">
        <v>189.59</v>
      </c>
      <c r="N8" s="15">
        <v>189.59</v>
      </c>
      <c r="O8" t="s">
        <v>75</v>
      </c>
    </row>
    <row r="9" spans="1:15" x14ac:dyDescent="0.25">
      <c r="A9" s="10" t="s">
        <v>125</v>
      </c>
      <c r="B9" s="15">
        <v>758.36</v>
      </c>
      <c r="C9" s="15">
        <v>379.18</v>
      </c>
      <c r="D9" s="15">
        <v>379.18</v>
      </c>
      <c r="E9" s="15">
        <v>379.18</v>
      </c>
      <c r="F9" s="15">
        <v>379.18</v>
      </c>
      <c r="G9" s="15">
        <v>379.18</v>
      </c>
      <c r="H9" s="15">
        <v>379.18</v>
      </c>
      <c r="I9" s="15">
        <v>379.18</v>
      </c>
      <c r="J9" s="15">
        <v>379.18</v>
      </c>
      <c r="K9" s="15">
        <v>379.18</v>
      </c>
      <c r="L9" s="15">
        <v>379.18</v>
      </c>
      <c r="M9" s="15">
        <v>758.36</v>
      </c>
      <c r="N9" s="15">
        <v>379.18</v>
      </c>
      <c r="O9" t="s">
        <v>75</v>
      </c>
    </row>
    <row r="10" spans="1:15" x14ac:dyDescent="0.25">
      <c r="A10" s="10" t="s">
        <v>129</v>
      </c>
      <c r="B10" s="15">
        <v>379.18</v>
      </c>
      <c r="C10" s="15">
        <v>379.18</v>
      </c>
      <c r="D10" s="15">
        <v>379.18</v>
      </c>
      <c r="E10" s="15">
        <v>379.18</v>
      </c>
      <c r="F10" s="15">
        <v>758.36</v>
      </c>
      <c r="G10" s="15">
        <v>379.18</v>
      </c>
      <c r="H10" s="15">
        <v>379.18</v>
      </c>
      <c r="I10" s="15">
        <v>379.18</v>
      </c>
      <c r="J10" s="15">
        <v>379.18</v>
      </c>
      <c r="K10" s="15">
        <v>379.18</v>
      </c>
      <c r="L10" s="15">
        <v>379.18</v>
      </c>
      <c r="M10" s="15">
        <v>379.18</v>
      </c>
      <c r="N10" s="15">
        <v>379.18</v>
      </c>
      <c r="O10" t="s">
        <v>75</v>
      </c>
    </row>
    <row r="11" spans="1:15" x14ac:dyDescent="0.25">
      <c r="A11" s="10" t="s">
        <v>135</v>
      </c>
      <c r="B11" s="15">
        <v>189.59</v>
      </c>
      <c r="C11" s="15">
        <v>189.59</v>
      </c>
      <c r="D11" s="15">
        <v>189.59</v>
      </c>
      <c r="E11" s="15">
        <v>189.59</v>
      </c>
      <c r="F11" s="15">
        <v>379.18</v>
      </c>
      <c r="G11" s="15">
        <v>189.59</v>
      </c>
      <c r="H11" s="15">
        <v>189.59</v>
      </c>
      <c r="I11" s="15">
        <v>189.59</v>
      </c>
      <c r="J11" s="15">
        <v>189.59</v>
      </c>
      <c r="K11" s="15">
        <v>189.59</v>
      </c>
      <c r="L11" s="15">
        <v>189.59</v>
      </c>
      <c r="M11" s="15">
        <v>189.59</v>
      </c>
      <c r="N11" s="15">
        <v>189.59</v>
      </c>
      <c r="O11" t="s">
        <v>75</v>
      </c>
    </row>
    <row r="12" spans="1:15" x14ac:dyDescent="0.25">
      <c r="A12" s="10" t="s">
        <v>139</v>
      </c>
      <c r="B12" s="15">
        <v>189.59</v>
      </c>
      <c r="C12" s="15">
        <v>189.59</v>
      </c>
      <c r="D12" s="15">
        <v>189.59</v>
      </c>
      <c r="E12" s="15">
        <v>189.59</v>
      </c>
      <c r="F12" s="15">
        <v>379.18</v>
      </c>
      <c r="G12" s="15">
        <v>189.59</v>
      </c>
      <c r="H12" s="15">
        <v>189.59</v>
      </c>
      <c r="I12" s="15">
        <v>189.59</v>
      </c>
      <c r="J12" s="15">
        <v>189.59</v>
      </c>
      <c r="K12" s="15">
        <v>189.59</v>
      </c>
      <c r="L12" s="15">
        <v>189.59</v>
      </c>
      <c r="M12" s="15">
        <v>189.59</v>
      </c>
      <c r="N12" s="15">
        <v>189.59</v>
      </c>
      <c r="O12" t="s">
        <v>75</v>
      </c>
    </row>
    <row r="13" spans="1:15" x14ac:dyDescent="0.25">
      <c r="A13" s="10" t="s">
        <v>145</v>
      </c>
      <c r="B13" s="15">
        <v>189.59</v>
      </c>
      <c r="C13" s="15">
        <v>189.59</v>
      </c>
      <c r="D13" s="15">
        <v>189.59</v>
      </c>
      <c r="E13" s="15">
        <v>189.59</v>
      </c>
      <c r="F13" s="15">
        <v>189.59</v>
      </c>
      <c r="G13" s="15">
        <v>379.18</v>
      </c>
      <c r="H13" s="15">
        <v>189.59</v>
      </c>
      <c r="I13" s="15">
        <v>189.59</v>
      </c>
      <c r="J13" s="15">
        <v>189.59</v>
      </c>
      <c r="K13" s="15">
        <v>189.59</v>
      </c>
      <c r="L13" s="15">
        <v>189.59</v>
      </c>
      <c r="M13" s="15">
        <v>189.59</v>
      </c>
      <c r="N13" s="15">
        <v>189.59</v>
      </c>
      <c r="O13" t="s">
        <v>75</v>
      </c>
    </row>
    <row r="14" spans="1:15" x14ac:dyDescent="0.25">
      <c r="A14" s="10" t="s">
        <v>149</v>
      </c>
      <c r="B14" s="15">
        <v>189.59</v>
      </c>
      <c r="C14" s="15">
        <v>189.59</v>
      </c>
      <c r="D14" s="15">
        <v>189.59</v>
      </c>
      <c r="E14" s="15">
        <v>189.59</v>
      </c>
      <c r="F14" s="15">
        <v>189.59</v>
      </c>
      <c r="G14" s="15">
        <v>189.59</v>
      </c>
      <c r="H14" s="15">
        <v>189.59</v>
      </c>
      <c r="I14" s="15">
        <v>189.59</v>
      </c>
      <c r="J14" s="15">
        <v>189.59</v>
      </c>
      <c r="K14" s="15">
        <v>379.18</v>
      </c>
      <c r="L14" s="15">
        <v>189.59</v>
      </c>
      <c r="M14" s="15">
        <v>189.59</v>
      </c>
      <c r="N14" s="15">
        <v>189.59</v>
      </c>
      <c r="O14" t="s">
        <v>75</v>
      </c>
    </row>
    <row r="15" spans="1:15" x14ac:dyDescent="0.25">
      <c r="A15" s="10" t="s">
        <v>151</v>
      </c>
      <c r="B15" s="15">
        <v>568.77</v>
      </c>
      <c r="C15" s="15">
        <v>568.77</v>
      </c>
      <c r="D15" s="15">
        <v>568.77</v>
      </c>
      <c r="E15" s="15">
        <v>568.77</v>
      </c>
      <c r="F15" s="15">
        <v>568.77</v>
      </c>
      <c r="G15" s="15">
        <v>1137.54</v>
      </c>
      <c r="H15" s="15">
        <v>568.77</v>
      </c>
      <c r="I15" s="15">
        <v>568.77</v>
      </c>
      <c r="J15" s="15">
        <v>568.77</v>
      </c>
      <c r="K15" s="15">
        <v>568.77</v>
      </c>
      <c r="L15" s="15">
        <v>568.77</v>
      </c>
      <c r="M15" s="15">
        <v>1137.54</v>
      </c>
      <c r="N15" s="15">
        <v>568.77</v>
      </c>
      <c r="O15" t="s">
        <v>75</v>
      </c>
    </row>
    <row r="16" spans="1:15" x14ac:dyDescent="0.25">
      <c r="A16" s="10" t="s">
        <v>153</v>
      </c>
      <c r="B16" s="15">
        <v>189.59</v>
      </c>
      <c r="C16" s="15">
        <v>189.59</v>
      </c>
      <c r="D16" s="15">
        <v>189.59</v>
      </c>
      <c r="E16" s="15">
        <v>189.59</v>
      </c>
      <c r="F16" s="15">
        <v>189.59</v>
      </c>
      <c r="G16" s="15">
        <v>379.18</v>
      </c>
      <c r="H16" s="15">
        <v>379.18</v>
      </c>
      <c r="I16" s="15">
        <v>379.18</v>
      </c>
      <c r="J16" s="15">
        <v>758.36</v>
      </c>
      <c r="K16" s="15">
        <v>379.18</v>
      </c>
      <c r="L16" s="15">
        <v>379.18</v>
      </c>
      <c r="M16" s="15">
        <v>379.18</v>
      </c>
      <c r="N16" s="15">
        <v>379.18</v>
      </c>
      <c r="O16" t="s">
        <v>75</v>
      </c>
    </row>
    <row r="17" spans="1:15" x14ac:dyDescent="0.25">
      <c r="A17" s="10" t="s">
        <v>157</v>
      </c>
      <c r="B17" s="15">
        <v>189.59</v>
      </c>
      <c r="C17" s="15">
        <v>189.59</v>
      </c>
      <c r="D17" s="15">
        <v>189.59</v>
      </c>
      <c r="E17" s="15">
        <v>189.59</v>
      </c>
      <c r="F17" s="15">
        <v>189.59</v>
      </c>
      <c r="G17" s="15">
        <v>189.59</v>
      </c>
      <c r="H17" s="15">
        <v>379.18</v>
      </c>
      <c r="I17" s="15">
        <v>189.59</v>
      </c>
      <c r="J17" s="15">
        <v>189.59</v>
      </c>
      <c r="K17" s="15">
        <v>0</v>
      </c>
      <c r="L17" s="15">
        <v>0</v>
      </c>
      <c r="M17" s="15">
        <v>0</v>
      </c>
      <c r="N17" s="15">
        <v>189.59</v>
      </c>
      <c r="O17" t="s">
        <v>75</v>
      </c>
    </row>
    <row r="18" spans="1:15" x14ac:dyDescent="0.25">
      <c r="A18" s="10" t="s">
        <v>171</v>
      </c>
      <c r="B18" s="15">
        <v>379.18</v>
      </c>
      <c r="C18" s="15">
        <v>379.18</v>
      </c>
      <c r="D18" s="15">
        <v>379.18</v>
      </c>
      <c r="E18" s="15">
        <v>379.18</v>
      </c>
      <c r="F18" s="15">
        <v>379.18</v>
      </c>
      <c r="G18" s="15">
        <v>379.18</v>
      </c>
      <c r="H18" s="15">
        <v>379.18</v>
      </c>
      <c r="I18" s="15">
        <v>379.18</v>
      </c>
      <c r="J18" s="15">
        <v>379.18</v>
      </c>
      <c r="K18" s="15">
        <v>379.18</v>
      </c>
      <c r="L18" s="15">
        <v>758.36</v>
      </c>
      <c r="M18" s="15">
        <v>379.18</v>
      </c>
      <c r="N18" s="15">
        <v>379.18</v>
      </c>
      <c r="O18" t="s">
        <v>75</v>
      </c>
    </row>
    <row r="19" spans="1:15" x14ac:dyDescent="0.25">
      <c r="A19" s="10" t="s">
        <v>175</v>
      </c>
      <c r="B19" s="15">
        <v>379.18</v>
      </c>
      <c r="C19" s="15">
        <v>189.59</v>
      </c>
      <c r="D19" s="15">
        <v>189.59</v>
      </c>
      <c r="E19" s="15">
        <v>379.18</v>
      </c>
      <c r="F19" s="15">
        <v>189.59</v>
      </c>
      <c r="G19" s="15">
        <v>189.59</v>
      </c>
      <c r="H19" s="15">
        <v>189.59</v>
      </c>
      <c r="I19" s="15">
        <v>189.59</v>
      </c>
      <c r="J19" s="15">
        <v>189.59</v>
      </c>
      <c r="K19" s="15">
        <v>189.59</v>
      </c>
      <c r="L19" s="15">
        <v>189.59</v>
      </c>
      <c r="M19" s="15">
        <v>189.59</v>
      </c>
      <c r="N19" s="15">
        <v>189.59</v>
      </c>
      <c r="O19" t="s">
        <v>75</v>
      </c>
    </row>
    <row r="20" spans="1:15" x14ac:dyDescent="0.25">
      <c r="A20" s="10" t="s">
        <v>177</v>
      </c>
      <c r="B20" s="15">
        <v>758.36</v>
      </c>
      <c r="C20" s="15">
        <v>758.36</v>
      </c>
      <c r="D20" s="15">
        <v>379.18</v>
      </c>
      <c r="E20" s="15">
        <v>379.18</v>
      </c>
      <c r="F20" s="15">
        <v>379.18</v>
      </c>
      <c r="G20" s="15">
        <v>379.18</v>
      </c>
      <c r="H20" s="15">
        <v>758.36</v>
      </c>
      <c r="I20" s="15">
        <v>379.18</v>
      </c>
      <c r="J20" s="15">
        <v>379.18</v>
      </c>
      <c r="K20" s="15">
        <v>379.18</v>
      </c>
      <c r="L20" s="15">
        <v>379.18</v>
      </c>
      <c r="M20" s="15">
        <v>379.18</v>
      </c>
      <c r="N20" s="15">
        <v>379.18</v>
      </c>
      <c r="O20" t="s">
        <v>75</v>
      </c>
    </row>
    <row r="21" spans="1:15" x14ac:dyDescent="0.25">
      <c r="A21" s="10" t="s">
        <v>187</v>
      </c>
      <c r="B21" s="15">
        <v>189.59</v>
      </c>
      <c r="C21" s="15">
        <v>189.59</v>
      </c>
      <c r="D21" s="15">
        <v>189.59</v>
      </c>
      <c r="E21" s="15">
        <v>189.59</v>
      </c>
      <c r="F21" s="15">
        <v>189.59</v>
      </c>
      <c r="G21" s="15">
        <v>189.59</v>
      </c>
      <c r="H21" s="15">
        <v>189.59</v>
      </c>
      <c r="I21" s="15">
        <v>189.59</v>
      </c>
      <c r="J21" s="15">
        <v>189.59</v>
      </c>
      <c r="K21" s="15">
        <v>189.59</v>
      </c>
      <c r="L21" s="15">
        <v>189.59</v>
      </c>
      <c r="M21" s="15">
        <v>379.18</v>
      </c>
      <c r="N21" s="15">
        <v>189.59</v>
      </c>
      <c r="O21" t="s">
        <v>75</v>
      </c>
    </row>
    <row r="22" spans="1:15" x14ac:dyDescent="0.25">
      <c r="A22" s="10" t="s">
        <v>193</v>
      </c>
      <c r="B22" s="15">
        <v>379.18</v>
      </c>
      <c r="C22" s="15">
        <v>189.59</v>
      </c>
      <c r="D22" s="15">
        <v>189.59</v>
      </c>
      <c r="E22" s="15">
        <v>189.59</v>
      </c>
      <c r="F22" s="15">
        <v>189.59</v>
      </c>
      <c r="G22" s="15">
        <v>189.59</v>
      </c>
      <c r="H22" s="15">
        <v>189.59</v>
      </c>
      <c r="I22" s="15">
        <v>189.59</v>
      </c>
      <c r="J22" s="15">
        <v>189.59</v>
      </c>
      <c r="K22" s="15">
        <v>379.18</v>
      </c>
      <c r="L22" s="15">
        <v>189.59</v>
      </c>
      <c r="M22" s="15">
        <v>379.18</v>
      </c>
      <c r="N22" s="15">
        <v>189.59</v>
      </c>
      <c r="O22" t="s">
        <v>75</v>
      </c>
    </row>
    <row r="23" spans="1:15" x14ac:dyDescent="0.25">
      <c r="A23" s="10" t="s">
        <v>201</v>
      </c>
      <c r="B23" s="15">
        <v>189.59</v>
      </c>
      <c r="C23" s="15">
        <v>379.18</v>
      </c>
      <c r="D23" s="15">
        <v>189.59</v>
      </c>
      <c r="E23" s="15">
        <v>189.59</v>
      </c>
      <c r="F23" s="15">
        <v>189.59</v>
      </c>
      <c r="G23" s="15">
        <v>189.59</v>
      </c>
      <c r="H23" s="15">
        <v>189.59</v>
      </c>
      <c r="I23" s="15">
        <v>189.59</v>
      </c>
      <c r="J23" s="15">
        <v>189.59</v>
      </c>
      <c r="K23" s="15">
        <v>189.59</v>
      </c>
      <c r="L23" s="15">
        <v>379.18</v>
      </c>
      <c r="M23" s="15">
        <v>189.59</v>
      </c>
      <c r="N23" s="15">
        <v>189.59</v>
      </c>
      <c r="O23" t="s">
        <v>75</v>
      </c>
    </row>
    <row r="24" spans="1:15" x14ac:dyDescent="0.25">
      <c r="A24" s="10" t="s">
        <v>211</v>
      </c>
      <c r="B24" s="15">
        <v>189.59</v>
      </c>
      <c r="C24" s="15">
        <v>379.18</v>
      </c>
      <c r="D24" s="15">
        <v>189.59</v>
      </c>
      <c r="E24" s="15">
        <v>189.59</v>
      </c>
      <c r="F24" s="15">
        <v>189.59</v>
      </c>
      <c r="G24" s="15">
        <v>189.59</v>
      </c>
      <c r="H24" s="15">
        <v>379.18</v>
      </c>
      <c r="I24" s="15">
        <v>189.59</v>
      </c>
      <c r="J24" s="15">
        <v>189.59</v>
      </c>
      <c r="K24" s="15">
        <v>189.59</v>
      </c>
      <c r="L24" s="15">
        <v>189.59</v>
      </c>
      <c r="M24" s="15">
        <v>189.59</v>
      </c>
      <c r="N24" s="15">
        <v>189.59</v>
      </c>
      <c r="O24" t="s">
        <v>75</v>
      </c>
    </row>
    <row r="25" spans="1:15" x14ac:dyDescent="0.25">
      <c r="A25" s="10" t="s">
        <v>219</v>
      </c>
      <c r="B25" s="15">
        <v>189.59</v>
      </c>
      <c r="C25" s="15">
        <v>189.59</v>
      </c>
      <c r="D25" s="15">
        <v>189.59</v>
      </c>
      <c r="E25" s="15">
        <v>189.59</v>
      </c>
      <c r="F25" s="15">
        <v>189.59</v>
      </c>
      <c r="G25" s="15">
        <v>379.18</v>
      </c>
      <c r="H25" s="15">
        <v>189.59</v>
      </c>
      <c r="I25" s="15">
        <v>189.59</v>
      </c>
      <c r="J25" s="15">
        <v>189.59</v>
      </c>
      <c r="K25" s="15">
        <v>189.59</v>
      </c>
      <c r="L25" s="15">
        <v>379.18</v>
      </c>
      <c r="M25" s="15">
        <v>189.59</v>
      </c>
      <c r="N25" s="15">
        <v>189.59</v>
      </c>
      <c r="O25" t="s">
        <v>75</v>
      </c>
    </row>
    <row r="26" spans="1:15" x14ac:dyDescent="0.25">
      <c r="A26" s="10" t="s">
        <v>221</v>
      </c>
      <c r="B26" s="15">
        <v>189.59</v>
      </c>
      <c r="C26" s="15">
        <v>189.59</v>
      </c>
      <c r="D26" s="15">
        <v>189.59</v>
      </c>
      <c r="E26" s="15">
        <v>189.59</v>
      </c>
      <c r="F26" s="15">
        <v>189.59</v>
      </c>
      <c r="G26" s="15">
        <v>189.59</v>
      </c>
      <c r="H26" s="15">
        <v>189.59</v>
      </c>
      <c r="I26" s="15">
        <v>189.59</v>
      </c>
      <c r="J26" s="15">
        <v>379.18</v>
      </c>
      <c r="K26" s="15">
        <v>189.59</v>
      </c>
      <c r="L26" s="15">
        <v>189.59</v>
      </c>
      <c r="M26" s="15">
        <v>189.59</v>
      </c>
      <c r="N26" s="15">
        <v>189.59</v>
      </c>
      <c r="O26" t="s">
        <v>75</v>
      </c>
    </row>
    <row r="27" spans="1:15" x14ac:dyDescent="0.25">
      <c r="A27" s="10" t="s">
        <v>229</v>
      </c>
      <c r="B27" s="15">
        <v>379.18</v>
      </c>
      <c r="C27" s="15">
        <v>379.18</v>
      </c>
      <c r="D27" s="15">
        <v>379.18</v>
      </c>
      <c r="E27" s="15">
        <v>758.36</v>
      </c>
      <c r="F27" s="15">
        <v>379.18</v>
      </c>
      <c r="G27" s="15">
        <v>379.18</v>
      </c>
      <c r="H27" s="15">
        <v>379.18</v>
      </c>
      <c r="I27" s="15">
        <v>379.18</v>
      </c>
      <c r="J27" s="15">
        <v>379.18</v>
      </c>
      <c r="K27" s="15">
        <v>379.18</v>
      </c>
      <c r="L27" s="15">
        <v>379.18</v>
      </c>
      <c r="M27" s="15">
        <v>379.18</v>
      </c>
      <c r="N27" s="15">
        <v>379.18</v>
      </c>
      <c r="O27" t="s">
        <v>75</v>
      </c>
    </row>
    <row r="28" spans="1:15" x14ac:dyDescent="0.25">
      <c r="A28" s="10" t="s">
        <v>235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758.36</v>
      </c>
      <c r="N28" s="15">
        <v>758.36</v>
      </c>
      <c r="O28" t="s">
        <v>75</v>
      </c>
    </row>
    <row r="29" spans="1:15" x14ac:dyDescent="0.25">
      <c r="A29" s="10" t="s">
        <v>239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379.18</v>
      </c>
      <c r="L29" s="15">
        <v>379.18</v>
      </c>
      <c r="M29" s="15">
        <v>379.18</v>
      </c>
      <c r="N29" s="15">
        <v>379.18</v>
      </c>
      <c r="O29" t="s">
        <v>75</v>
      </c>
    </row>
    <row r="30" spans="1:15" x14ac:dyDescent="0.25">
      <c r="A30" s="10" t="s">
        <v>241</v>
      </c>
      <c r="B30" s="15">
        <v>189.59</v>
      </c>
      <c r="C30" s="15">
        <v>379.18</v>
      </c>
      <c r="D30" s="15">
        <v>189.59</v>
      </c>
      <c r="E30" s="15">
        <v>189.59</v>
      </c>
      <c r="F30" s="15">
        <v>189.59</v>
      </c>
      <c r="G30" s="15">
        <v>379.18</v>
      </c>
      <c r="H30" s="15">
        <v>189.59</v>
      </c>
      <c r="I30" s="15">
        <v>189.59</v>
      </c>
      <c r="J30" s="15">
        <v>189.59</v>
      </c>
      <c r="K30" s="15">
        <v>189.59</v>
      </c>
      <c r="L30" s="15">
        <v>189.59</v>
      </c>
      <c r="M30" s="15">
        <v>189.59</v>
      </c>
      <c r="N30" s="15">
        <v>189.59</v>
      </c>
      <c r="O30" t="s">
        <v>75</v>
      </c>
    </row>
    <row r="31" spans="1:15" x14ac:dyDescent="0.25">
      <c r="A31" s="10" t="s">
        <v>245</v>
      </c>
      <c r="B31" s="15">
        <v>379.18</v>
      </c>
      <c r="C31" s="15">
        <v>189.59</v>
      </c>
      <c r="D31" s="15">
        <v>189.59</v>
      </c>
      <c r="E31" s="15">
        <v>189.59</v>
      </c>
      <c r="F31" s="15">
        <v>189.59</v>
      </c>
      <c r="G31" s="15">
        <v>379.18</v>
      </c>
      <c r="H31" s="15">
        <v>189.59</v>
      </c>
      <c r="I31" s="15">
        <v>189.59</v>
      </c>
      <c r="J31" s="15">
        <v>189.59</v>
      </c>
      <c r="K31" s="15">
        <v>189.59</v>
      </c>
      <c r="L31" s="15">
        <v>189.59</v>
      </c>
      <c r="M31" s="15">
        <v>189.59</v>
      </c>
      <c r="N31" s="15">
        <v>189.59</v>
      </c>
      <c r="O31" t="s">
        <v>75</v>
      </c>
    </row>
    <row r="32" spans="1:15" x14ac:dyDescent="0.25">
      <c r="A32" s="10" t="s">
        <v>274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189.59</v>
      </c>
      <c r="M32" s="15">
        <v>189.59</v>
      </c>
      <c r="N32" s="15">
        <v>189.59</v>
      </c>
      <c r="O32" t="s">
        <v>75</v>
      </c>
    </row>
    <row r="33" spans="1:15" x14ac:dyDescent="0.25">
      <c r="A33" s="10" t="s">
        <v>280</v>
      </c>
      <c r="B33" s="15">
        <v>189.59</v>
      </c>
      <c r="C33" s="15">
        <v>189.59</v>
      </c>
      <c r="D33" s="15">
        <v>379.18</v>
      </c>
      <c r="E33" s="15">
        <v>189.59</v>
      </c>
      <c r="F33" s="15">
        <v>189.59</v>
      </c>
      <c r="G33" s="15">
        <v>189.59</v>
      </c>
      <c r="H33" s="15">
        <v>189.59</v>
      </c>
      <c r="I33" s="15">
        <v>189.59</v>
      </c>
      <c r="J33" s="15">
        <v>189.59</v>
      </c>
      <c r="K33" s="15">
        <v>189.59</v>
      </c>
      <c r="L33" s="15">
        <v>189.59</v>
      </c>
      <c r="M33" s="15">
        <v>189.59</v>
      </c>
      <c r="N33" s="15">
        <v>189.59</v>
      </c>
      <c r="O33" t="s">
        <v>75</v>
      </c>
    </row>
    <row r="34" spans="1:15" x14ac:dyDescent="0.25">
      <c r="A34" s="10" t="s">
        <v>284</v>
      </c>
      <c r="B34" s="15">
        <v>189.59</v>
      </c>
      <c r="C34" s="15">
        <v>379.18</v>
      </c>
      <c r="D34" s="15">
        <v>189.59</v>
      </c>
      <c r="E34" s="15">
        <v>189.59</v>
      </c>
      <c r="F34" s="15">
        <v>189.59</v>
      </c>
      <c r="G34" s="15">
        <v>189.59</v>
      </c>
      <c r="H34" s="15">
        <v>379.18</v>
      </c>
      <c r="I34" s="15">
        <v>189.59</v>
      </c>
      <c r="J34" s="15">
        <v>189.59</v>
      </c>
      <c r="K34" s="15">
        <v>189.59</v>
      </c>
      <c r="L34" s="15">
        <v>189.59</v>
      </c>
      <c r="M34" s="15">
        <v>379.18</v>
      </c>
      <c r="N34" s="15">
        <v>189.59</v>
      </c>
      <c r="O34" t="s">
        <v>75</v>
      </c>
    </row>
    <row r="35" spans="1:15" x14ac:dyDescent="0.25">
      <c r="A35" s="10" t="s">
        <v>286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379.18</v>
      </c>
      <c r="H35" s="15">
        <v>379.18</v>
      </c>
      <c r="I35" s="15">
        <v>379.18</v>
      </c>
      <c r="J35" s="15">
        <v>379.18</v>
      </c>
      <c r="K35" s="15">
        <v>379.18</v>
      </c>
      <c r="L35" s="15">
        <v>379.18</v>
      </c>
      <c r="M35" s="15">
        <v>379.18</v>
      </c>
      <c r="N35" s="15">
        <v>379.18</v>
      </c>
      <c r="O35" t="s">
        <v>75</v>
      </c>
    </row>
    <row r="36" spans="1:15" x14ac:dyDescent="0.25">
      <c r="A36" s="10" t="s">
        <v>290</v>
      </c>
      <c r="B36" s="15">
        <v>568.77</v>
      </c>
      <c r="C36" s="15">
        <v>1137.54</v>
      </c>
      <c r="D36" s="15">
        <v>568.77</v>
      </c>
      <c r="E36" s="15">
        <v>568.77</v>
      </c>
      <c r="F36" s="15">
        <v>568.77</v>
      </c>
      <c r="G36" s="15">
        <v>568.77</v>
      </c>
      <c r="H36" s="15">
        <v>568.77</v>
      </c>
      <c r="I36" s="15">
        <v>568.77</v>
      </c>
      <c r="J36" s="15">
        <v>568.77</v>
      </c>
      <c r="K36" s="15">
        <v>568.77</v>
      </c>
      <c r="L36" s="15">
        <v>568.77</v>
      </c>
      <c r="M36" s="15">
        <v>568.77</v>
      </c>
      <c r="N36" s="15">
        <v>568.77</v>
      </c>
      <c r="O36" t="s">
        <v>75</v>
      </c>
    </row>
    <row r="37" spans="1:15" x14ac:dyDescent="0.25">
      <c r="A37" s="10" t="s">
        <v>292</v>
      </c>
      <c r="B37" s="15">
        <v>189.59</v>
      </c>
      <c r="C37" s="15">
        <v>189.59</v>
      </c>
      <c r="D37" s="15">
        <v>379.18</v>
      </c>
      <c r="E37" s="15">
        <v>189.59</v>
      </c>
      <c r="F37" s="15">
        <v>189.59</v>
      </c>
      <c r="G37" s="15">
        <v>189.59</v>
      </c>
      <c r="H37" s="15">
        <v>189.59</v>
      </c>
      <c r="I37" s="15">
        <v>379.18</v>
      </c>
      <c r="J37" s="15">
        <v>189.59</v>
      </c>
      <c r="K37" s="15">
        <v>189.59</v>
      </c>
      <c r="L37" s="15">
        <v>189.59</v>
      </c>
      <c r="M37" s="15">
        <v>189.59</v>
      </c>
      <c r="N37" s="15">
        <v>189.59</v>
      </c>
      <c r="O37" t="s">
        <v>75</v>
      </c>
    </row>
    <row r="38" spans="1:15" x14ac:dyDescent="0.25">
      <c r="A38" s="10" t="s">
        <v>302</v>
      </c>
      <c r="B38" s="15">
        <v>379.18</v>
      </c>
      <c r="C38" s="15">
        <v>379.18</v>
      </c>
      <c r="D38" s="15">
        <v>379.18</v>
      </c>
      <c r="E38" s="15">
        <v>379.18</v>
      </c>
      <c r="F38" s="15">
        <v>379.18</v>
      </c>
      <c r="G38" s="15">
        <v>379.18</v>
      </c>
      <c r="H38" s="15">
        <v>379.18</v>
      </c>
      <c r="I38" s="15">
        <v>379.18</v>
      </c>
      <c r="J38" s="15">
        <v>379.18</v>
      </c>
      <c r="K38" s="15">
        <v>379.18</v>
      </c>
      <c r="L38" s="15">
        <v>379.18</v>
      </c>
      <c r="M38" s="15">
        <v>758.36</v>
      </c>
      <c r="N38" s="15">
        <v>379.18</v>
      </c>
      <c r="O38" t="s">
        <v>75</v>
      </c>
    </row>
    <row r="39" spans="1:15" x14ac:dyDescent="0.25">
      <c r="A39" s="10" t="s">
        <v>304</v>
      </c>
      <c r="B39" s="15">
        <v>379.18</v>
      </c>
      <c r="C39" s="15">
        <v>379.18</v>
      </c>
      <c r="D39" s="15">
        <v>189.59</v>
      </c>
      <c r="E39" s="15">
        <v>189.59</v>
      </c>
      <c r="F39" s="15">
        <v>189.59</v>
      </c>
      <c r="G39" s="15">
        <v>189.59</v>
      </c>
      <c r="H39" s="15">
        <v>379.18</v>
      </c>
      <c r="I39" s="15">
        <v>189.59</v>
      </c>
      <c r="J39" s="15">
        <v>189.59</v>
      </c>
      <c r="K39" s="15">
        <v>189.59</v>
      </c>
      <c r="L39" s="15">
        <v>379.18</v>
      </c>
      <c r="M39" s="15">
        <v>189.59</v>
      </c>
      <c r="N39" s="15">
        <v>189.59</v>
      </c>
      <c r="O39" t="s">
        <v>75</v>
      </c>
    </row>
    <row r="40" spans="1:15" x14ac:dyDescent="0.25">
      <c r="A40" s="10" t="s">
        <v>308</v>
      </c>
      <c r="B40" s="15">
        <v>379.18</v>
      </c>
      <c r="C40" s="15">
        <v>379.18</v>
      </c>
      <c r="D40" s="15">
        <v>379.18</v>
      </c>
      <c r="E40" s="15">
        <v>758.36</v>
      </c>
      <c r="F40" s="15">
        <v>379.18</v>
      </c>
      <c r="G40" s="15">
        <v>379.18</v>
      </c>
      <c r="H40" s="15">
        <v>379.18</v>
      </c>
      <c r="I40" s="15">
        <v>379.18</v>
      </c>
      <c r="J40" s="15">
        <v>379.18</v>
      </c>
      <c r="K40" s="15">
        <v>379.18</v>
      </c>
      <c r="L40" s="15">
        <v>379.18</v>
      </c>
      <c r="M40" s="15">
        <v>379.18</v>
      </c>
      <c r="N40" s="15">
        <v>379.18</v>
      </c>
      <c r="O40" t="s">
        <v>75</v>
      </c>
    </row>
    <row r="41" spans="1:15" x14ac:dyDescent="0.25">
      <c r="A41" s="10" t="s">
        <v>314</v>
      </c>
      <c r="B41" s="15">
        <v>189.59</v>
      </c>
      <c r="C41" s="15">
        <v>189.59</v>
      </c>
      <c r="D41" s="15">
        <v>189.59</v>
      </c>
      <c r="E41" s="15">
        <v>189.59</v>
      </c>
      <c r="F41" s="15">
        <v>379.18</v>
      </c>
      <c r="G41" s="15">
        <v>379.18</v>
      </c>
      <c r="H41" s="15">
        <v>379.18</v>
      </c>
      <c r="I41" s="15">
        <v>758.36</v>
      </c>
      <c r="J41" s="15">
        <v>379.18</v>
      </c>
      <c r="K41" s="15">
        <v>379.18</v>
      </c>
      <c r="L41" s="15">
        <v>379.18</v>
      </c>
      <c r="M41" s="15">
        <v>379.18</v>
      </c>
      <c r="N41" s="15">
        <v>379.18</v>
      </c>
      <c r="O41" t="s">
        <v>75</v>
      </c>
    </row>
    <row r="42" spans="1:15" x14ac:dyDescent="0.25">
      <c r="A42" s="10" t="s">
        <v>318</v>
      </c>
      <c r="B42" s="15">
        <v>189.59</v>
      </c>
      <c r="C42" s="15">
        <v>379.18</v>
      </c>
      <c r="D42" s="15">
        <v>189.59</v>
      </c>
      <c r="E42" s="15">
        <v>189.59</v>
      </c>
      <c r="F42" s="15">
        <v>189.59</v>
      </c>
      <c r="G42" s="15">
        <v>189.59</v>
      </c>
      <c r="H42" s="15">
        <v>189.59</v>
      </c>
      <c r="I42" s="15">
        <v>189.59</v>
      </c>
      <c r="J42" s="15">
        <v>189.59</v>
      </c>
      <c r="K42" s="15">
        <v>379.18</v>
      </c>
      <c r="L42" s="15">
        <v>189.59</v>
      </c>
      <c r="M42" s="15">
        <v>189.59</v>
      </c>
      <c r="N42" s="15">
        <v>189.59</v>
      </c>
      <c r="O42" t="s">
        <v>75</v>
      </c>
    </row>
    <row r="43" spans="1:15" x14ac:dyDescent="0.25">
      <c r="A43" s="10" t="s">
        <v>320</v>
      </c>
      <c r="B43" s="15">
        <v>758.36</v>
      </c>
      <c r="C43" s="15">
        <v>758.36</v>
      </c>
      <c r="D43" s="15">
        <v>379.18</v>
      </c>
      <c r="E43" s="15">
        <v>758.36</v>
      </c>
      <c r="F43" s="15">
        <v>379.18</v>
      </c>
      <c r="G43" s="15">
        <v>379.18</v>
      </c>
      <c r="H43" s="15">
        <v>379.18</v>
      </c>
      <c r="I43" s="15">
        <v>379.18</v>
      </c>
      <c r="J43" s="15">
        <v>379.18</v>
      </c>
      <c r="K43" s="15">
        <v>379.18</v>
      </c>
      <c r="L43" s="15">
        <v>758.36</v>
      </c>
      <c r="M43" s="15">
        <v>379.18</v>
      </c>
      <c r="N43" s="15">
        <v>379.18</v>
      </c>
      <c r="O43" t="s">
        <v>75</v>
      </c>
    </row>
    <row r="44" spans="1:15" x14ac:dyDescent="0.25">
      <c r="A44" s="10" t="s">
        <v>330</v>
      </c>
      <c r="B44" s="15">
        <v>189.59</v>
      </c>
      <c r="C44" s="15">
        <v>189.59</v>
      </c>
      <c r="D44" s="15">
        <v>189.59</v>
      </c>
      <c r="E44" s="15">
        <v>379.18</v>
      </c>
      <c r="F44" s="15">
        <v>189.59</v>
      </c>
      <c r="G44" s="15">
        <v>189.59</v>
      </c>
      <c r="H44" s="15">
        <v>189.59</v>
      </c>
      <c r="I44" s="15">
        <v>189.59</v>
      </c>
      <c r="J44" s="15">
        <v>189.59</v>
      </c>
      <c r="K44" s="15">
        <v>379.18</v>
      </c>
      <c r="L44" s="15">
        <v>189.59</v>
      </c>
      <c r="M44" s="15">
        <v>189.59</v>
      </c>
      <c r="N44" s="15">
        <v>189.59</v>
      </c>
      <c r="O44" t="s">
        <v>75</v>
      </c>
    </row>
    <row r="45" spans="1:15" x14ac:dyDescent="0.25">
      <c r="A45" s="10" t="s">
        <v>334</v>
      </c>
      <c r="B45" s="15">
        <v>189.59</v>
      </c>
      <c r="C45" s="15">
        <v>189.59</v>
      </c>
      <c r="D45" s="15">
        <v>189.59</v>
      </c>
      <c r="E45" s="15">
        <v>189.59</v>
      </c>
      <c r="F45" s="15">
        <v>189.59</v>
      </c>
      <c r="G45" s="15">
        <v>189.59</v>
      </c>
      <c r="H45" s="15">
        <v>189.59</v>
      </c>
      <c r="I45" s="15">
        <v>189.59</v>
      </c>
      <c r="J45" s="15">
        <v>379.18</v>
      </c>
      <c r="K45" s="15">
        <v>189.59</v>
      </c>
      <c r="L45" s="15">
        <v>189.59</v>
      </c>
      <c r="M45" s="15">
        <v>189.59</v>
      </c>
      <c r="N45" s="15">
        <v>189.59</v>
      </c>
      <c r="O45" t="s">
        <v>75</v>
      </c>
    </row>
    <row r="46" spans="1:15" x14ac:dyDescent="0.25">
      <c r="A46" s="10" t="s">
        <v>84</v>
      </c>
      <c r="B46" s="15">
        <v>189.59</v>
      </c>
      <c r="C46" s="15">
        <v>379.18</v>
      </c>
      <c r="D46" s="15">
        <v>189.59</v>
      </c>
      <c r="E46" s="15">
        <v>189.59</v>
      </c>
      <c r="F46" s="15">
        <v>189.59</v>
      </c>
      <c r="G46" s="15">
        <v>189.59</v>
      </c>
      <c r="H46" s="15">
        <v>189.59</v>
      </c>
      <c r="I46" s="15">
        <v>189.59</v>
      </c>
      <c r="J46" s="15">
        <v>379.18</v>
      </c>
      <c r="K46" s="15">
        <v>189.59</v>
      </c>
      <c r="L46" s="15">
        <v>189.59</v>
      </c>
      <c r="M46" s="15">
        <v>189.59</v>
      </c>
      <c r="N46" s="15">
        <v>189.59</v>
      </c>
      <c r="O46" t="s">
        <v>75</v>
      </c>
    </row>
    <row r="47" spans="1:15" x14ac:dyDescent="0.25">
      <c r="A47" s="10" t="s">
        <v>358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379.18</v>
      </c>
      <c r="N47" s="15">
        <v>379.18</v>
      </c>
      <c r="O47" t="s">
        <v>75</v>
      </c>
    </row>
    <row r="48" spans="1:15" x14ac:dyDescent="0.25">
      <c r="A48" s="10" t="s">
        <v>360</v>
      </c>
      <c r="B48" s="15">
        <v>189.59</v>
      </c>
      <c r="C48" s="15">
        <v>189.59</v>
      </c>
      <c r="D48" s="15">
        <v>189.59</v>
      </c>
      <c r="E48" s="15">
        <v>189.59</v>
      </c>
      <c r="F48" s="15">
        <v>189.59</v>
      </c>
      <c r="G48" s="15">
        <v>189.59</v>
      </c>
      <c r="H48" s="15">
        <v>189.59</v>
      </c>
      <c r="I48" s="15">
        <v>189.59</v>
      </c>
      <c r="J48" s="15">
        <v>189.59</v>
      </c>
      <c r="K48" s="15">
        <v>189.59</v>
      </c>
      <c r="L48" s="15">
        <v>189.59</v>
      </c>
      <c r="M48" s="15">
        <v>379.18</v>
      </c>
      <c r="N48" s="15">
        <v>189.59</v>
      </c>
      <c r="O48" t="s">
        <v>75</v>
      </c>
    </row>
    <row r="49" spans="1:15" x14ac:dyDescent="0.25">
      <c r="A49" s="10" t="s">
        <v>364</v>
      </c>
      <c r="B49" s="15">
        <v>758.36</v>
      </c>
      <c r="C49" s="15">
        <v>1516.72</v>
      </c>
      <c r="D49" s="15">
        <v>758.36</v>
      </c>
      <c r="E49" s="15">
        <v>758.36</v>
      </c>
      <c r="F49" s="15">
        <v>758.36</v>
      </c>
      <c r="G49" s="15">
        <v>758.36</v>
      </c>
      <c r="H49" s="15">
        <v>758.36</v>
      </c>
      <c r="I49" s="15">
        <v>758.36</v>
      </c>
      <c r="J49" s="15">
        <v>758.36</v>
      </c>
      <c r="K49" s="15">
        <v>758.36</v>
      </c>
      <c r="L49" s="15">
        <v>758.36</v>
      </c>
      <c r="M49" s="15">
        <v>758.36</v>
      </c>
      <c r="N49" s="15">
        <v>758.36</v>
      </c>
      <c r="O49" t="s">
        <v>75</v>
      </c>
    </row>
    <row r="50" spans="1:15" x14ac:dyDescent="0.25">
      <c r="A50" s="10" t="s">
        <v>368</v>
      </c>
      <c r="B50" s="15">
        <v>0</v>
      </c>
      <c r="C50" s="15">
        <v>189.59</v>
      </c>
      <c r="D50" s="15">
        <v>189.59</v>
      </c>
      <c r="E50" s="15">
        <v>189.59</v>
      </c>
      <c r="F50" s="15">
        <v>189.59</v>
      </c>
      <c r="G50" s="15">
        <v>189.59</v>
      </c>
      <c r="H50" s="15">
        <v>189.59</v>
      </c>
      <c r="I50" s="15">
        <v>189.59</v>
      </c>
      <c r="J50" s="15">
        <v>189.59</v>
      </c>
      <c r="K50" s="15">
        <v>189.59</v>
      </c>
      <c r="L50" s="15">
        <v>189.59</v>
      </c>
      <c r="M50" s="15">
        <v>189.59</v>
      </c>
      <c r="N50" s="15">
        <v>189.59</v>
      </c>
      <c r="O50" t="s">
        <v>75</v>
      </c>
    </row>
    <row r="51" spans="1:15" x14ac:dyDescent="0.25">
      <c r="A51" s="10" t="s">
        <v>378</v>
      </c>
      <c r="B51" s="15">
        <v>379.18</v>
      </c>
      <c r="C51" s="15">
        <v>379.18</v>
      </c>
      <c r="D51" s="15">
        <v>379.18</v>
      </c>
      <c r="E51" s="15">
        <v>379.18</v>
      </c>
      <c r="F51" s="15">
        <v>758.36</v>
      </c>
      <c r="G51" s="15">
        <v>379.18</v>
      </c>
      <c r="H51" s="15">
        <v>379.18</v>
      </c>
      <c r="I51" s="15">
        <v>379.18</v>
      </c>
      <c r="J51" s="15">
        <v>379.18</v>
      </c>
      <c r="K51" s="15">
        <v>379.18</v>
      </c>
      <c r="L51" s="15">
        <v>379.18</v>
      </c>
      <c r="M51" s="15">
        <v>0</v>
      </c>
      <c r="N51" s="15">
        <v>379.18</v>
      </c>
      <c r="O51" t="s">
        <v>75</v>
      </c>
    </row>
    <row r="52" spans="1:15" x14ac:dyDescent="0.25">
      <c r="A52" s="10" t="s">
        <v>392</v>
      </c>
      <c r="B52" s="15">
        <v>379.18</v>
      </c>
      <c r="C52" s="15">
        <v>758.36</v>
      </c>
      <c r="D52" s="15">
        <v>379.18</v>
      </c>
      <c r="E52" s="15">
        <v>379.18</v>
      </c>
      <c r="F52" s="15">
        <v>379.18</v>
      </c>
      <c r="G52" s="15">
        <v>379.18</v>
      </c>
      <c r="H52" s="15">
        <v>379.18</v>
      </c>
      <c r="I52" s="15">
        <v>379.18</v>
      </c>
      <c r="J52" s="15">
        <v>379.18</v>
      </c>
      <c r="K52" s="15">
        <v>379.18</v>
      </c>
      <c r="L52" s="15">
        <v>379.18</v>
      </c>
      <c r="M52" s="15">
        <v>758.36</v>
      </c>
      <c r="N52" s="15">
        <v>379.18</v>
      </c>
      <c r="O52" t="s">
        <v>75</v>
      </c>
    </row>
    <row r="53" spans="1:15" x14ac:dyDescent="0.25">
      <c r="A53" s="10" t="s">
        <v>394</v>
      </c>
      <c r="B53" s="15">
        <v>568.77</v>
      </c>
      <c r="C53" s="15">
        <v>568.77</v>
      </c>
      <c r="D53" s="15">
        <v>568.77</v>
      </c>
      <c r="E53" s="15">
        <v>568.77</v>
      </c>
      <c r="F53" s="15">
        <v>568.77</v>
      </c>
      <c r="G53" s="15">
        <v>379.18</v>
      </c>
      <c r="H53" s="15">
        <v>379.18</v>
      </c>
      <c r="I53" s="15">
        <v>758.36</v>
      </c>
      <c r="J53" s="15">
        <v>379.18</v>
      </c>
      <c r="K53" s="15">
        <v>379.18</v>
      </c>
      <c r="L53" s="15">
        <v>379.18</v>
      </c>
      <c r="M53" s="15">
        <v>379.18</v>
      </c>
      <c r="N53" s="15">
        <v>379.18</v>
      </c>
      <c r="O53" t="s">
        <v>75</v>
      </c>
    </row>
    <row r="54" spans="1:15" x14ac:dyDescent="0.25">
      <c r="A54" s="10" t="s">
        <v>400</v>
      </c>
      <c r="B54" s="15">
        <v>189.59</v>
      </c>
      <c r="C54" s="15">
        <v>379.18</v>
      </c>
      <c r="D54" s="15">
        <v>189.59</v>
      </c>
      <c r="E54" s="15">
        <v>189.59</v>
      </c>
      <c r="F54" s="15">
        <v>189.59</v>
      </c>
      <c r="G54" s="15">
        <v>189.59</v>
      </c>
      <c r="H54" s="15">
        <v>189.59</v>
      </c>
      <c r="I54" s="15">
        <v>189.59</v>
      </c>
      <c r="J54" s="15">
        <v>189.59</v>
      </c>
      <c r="K54" s="15">
        <v>189.59</v>
      </c>
      <c r="L54" s="15">
        <v>189.59</v>
      </c>
      <c r="M54" s="15">
        <v>379.18</v>
      </c>
      <c r="N54" s="15">
        <v>189.59</v>
      </c>
      <c r="O54" t="s">
        <v>75</v>
      </c>
    </row>
    <row r="55" spans="1:15" x14ac:dyDescent="0.25">
      <c r="A55" s="10" t="s">
        <v>408</v>
      </c>
      <c r="B55" s="15">
        <v>379.18</v>
      </c>
      <c r="C55" s="15">
        <v>379.18</v>
      </c>
      <c r="D55" s="15">
        <v>379.18</v>
      </c>
      <c r="E55" s="15">
        <v>379.18</v>
      </c>
      <c r="F55" s="15">
        <v>379.18</v>
      </c>
      <c r="G55" s="15">
        <v>758.36</v>
      </c>
      <c r="H55" s="15">
        <v>379.18</v>
      </c>
      <c r="I55" s="15">
        <v>379.18</v>
      </c>
      <c r="J55" s="15">
        <v>379.18</v>
      </c>
      <c r="K55" s="15">
        <v>379.18</v>
      </c>
      <c r="L55" s="15">
        <v>379.18</v>
      </c>
      <c r="M55" s="15">
        <v>379.18</v>
      </c>
      <c r="N55" s="15">
        <v>379.18</v>
      </c>
      <c r="O55" t="s">
        <v>75</v>
      </c>
    </row>
    <row r="56" spans="1:15" x14ac:dyDescent="0.25">
      <c r="A56" s="10" t="s">
        <v>410</v>
      </c>
      <c r="B56" s="15">
        <v>0</v>
      </c>
      <c r="C56" s="15">
        <v>0</v>
      </c>
      <c r="D56" s="15">
        <v>189.59</v>
      </c>
      <c r="E56" s="15">
        <v>189.59</v>
      </c>
      <c r="F56" s="15">
        <v>189.59</v>
      </c>
      <c r="G56" s="15">
        <v>189.59</v>
      </c>
      <c r="H56" s="15">
        <v>189.59</v>
      </c>
      <c r="I56" s="15">
        <v>189.59</v>
      </c>
      <c r="J56" s="15">
        <v>189.59</v>
      </c>
      <c r="K56" s="15">
        <v>189.59</v>
      </c>
      <c r="L56" s="15">
        <v>189.59</v>
      </c>
      <c r="M56" s="15">
        <v>189.59</v>
      </c>
      <c r="N56" s="15">
        <v>189.59</v>
      </c>
      <c r="O56" t="s">
        <v>75</v>
      </c>
    </row>
    <row r="57" spans="1:15" x14ac:dyDescent="0.25">
      <c r="A57" s="10" t="s">
        <v>414</v>
      </c>
      <c r="B57" s="15">
        <v>379.18</v>
      </c>
      <c r="C57" s="15">
        <v>379.18</v>
      </c>
      <c r="D57" s="15">
        <v>379.18</v>
      </c>
      <c r="E57" s="15">
        <v>379.18</v>
      </c>
      <c r="F57" s="15">
        <v>379.18</v>
      </c>
      <c r="G57" s="15">
        <v>379.18</v>
      </c>
      <c r="H57" s="15">
        <v>379.18</v>
      </c>
      <c r="I57" s="15">
        <v>758.36</v>
      </c>
      <c r="J57" s="15">
        <v>379.18</v>
      </c>
      <c r="K57" s="15">
        <v>379.18</v>
      </c>
      <c r="L57" s="15">
        <v>379.18</v>
      </c>
      <c r="M57" s="15">
        <v>758.36</v>
      </c>
      <c r="N57" s="15">
        <v>379.18</v>
      </c>
      <c r="O57" t="s">
        <v>75</v>
      </c>
    </row>
    <row r="58" spans="1:15" x14ac:dyDescent="0.25">
      <c r="A58" s="10" t="s">
        <v>424</v>
      </c>
      <c r="B58" s="15">
        <v>189.59</v>
      </c>
      <c r="C58" s="15">
        <v>189.59</v>
      </c>
      <c r="D58" s="15">
        <v>189.59</v>
      </c>
      <c r="E58" s="15">
        <v>379.18</v>
      </c>
      <c r="F58" s="15">
        <v>189.59</v>
      </c>
      <c r="G58" s="15">
        <v>189.59</v>
      </c>
      <c r="H58" s="15">
        <v>189.59</v>
      </c>
      <c r="I58" s="15">
        <v>189.59</v>
      </c>
      <c r="J58" s="15">
        <v>189.59</v>
      </c>
      <c r="K58" s="15">
        <v>189.59</v>
      </c>
      <c r="L58" s="15">
        <v>189.59</v>
      </c>
      <c r="M58" s="15">
        <v>189.59</v>
      </c>
      <c r="N58" s="15">
        <v>189.59</v>
      </c>
      <c r="O58" t="s">
        <v>75</v>
      </c>
    </row>
    <row r="59" spans="1:15" x14ac:dyDescent="0.25">
      <c r="A59" s="10" t="s">
        <v>426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379.18</v>
      </c>
      <c r="I59" s="15">
        <v>379.18</v>
      </c>
      <c r="J59" s="15">
        <v>379.18</v>
      </c>
      <c r="K59" s="15">
        <v>379.18</v>
      </c>
      <c r="L59" s="15">
        <v>379.18</v>
      </c>
      <c r="M59" s="15">
        <v>379.18</v>
      </c>
      <c r="N59" s="15">
        <v>379.18</v>
      </c>
      <c r="O59" t="s">
        <v>75</v>
      </c>
    </row>
    <row r="60" spans="1:15" x14ac:dyDescent="0.25">
      <c r="A60" s="10" t="s">
        <v>432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189.59</v>
      </c>
      <c r="J60" s="15">
        <v>189.59</v>
      </c>
      <c r="K60" s="15">
        <v>189.59</v>
      </c>
      <c r="L60" s="15">
        <v>379.18</v>
      </c>
      <c r="M60" s="15">
        <v>189.59</v>
      </c>
      <c r="N60" s="15">
        <v>189.59</v>
      </c>
      <c r="O60" t="s">
        <v>75</v>
      </c>
    </row>
    <row r="61" spans="1:15" x14ac:dyDescent="0.25">
      <c r="A61" s="10" t="s">
        <v>434</v>
      </c>
      <c r="B61" s="15">
        <v>189.59</v>
      </c>
      <c r="C61" s="15">
        <v>379.18</v>
      </c>
      <c r="D61" s="15">
        <v>189.59</v>
      </c>
      <c r="E61" s="15">
        <v>189.59</v>
      </c>
      <c r="F61" s="15">
        <v>189.59</v>
      </c>
      <c r="G61" s="15">
        <v>189.59</v>
      </c>
      <c r="H61" s="15">
        <v>189.59</v>
      </c>
      <c r="I61" s="15">
        <v>189.59</v>
      </c>
      <c r="J61" s="15">
        <v>189.59</v>
      </c>
      <c r="K61" s="15">
        <v>189.59</v>
      </c>
      <c r="L61" s="15">
        <v>189.59</v>
      </c>
      <c r="M61" s="15">
        <v>189.59</v>
      </c>
      <c r="N61" s="15">
        <v>189.59</v>
      </c>
      <c r="O61" t="s">
        <v>75</v>
      </c>
    </row>
    <row r="62" spans="1:15" x14ac:dyDescent="0.25">
      <c r="A62" s="10" t="s">
        <v>440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189.59</v>
      </c>
      <c r="O62" t="s">
        <v>75</v>
      </c>
    </row>
    <row r="63" spans="1:15" x14ac:dyDescent="0.25">
      <c r="A63" s="10" t="s">
        <v>454</v>
      </c>
      <c r="B63" s="15">
        <v>189.59</v>
      </c>
      <c r="C63" s="15">
        <v>189.59</v>
      </c>
      <c r="D63" s="15">
        <v>189.59</v>
      </c>
      <c r="E63" s="15">
        <v>189.59</v>
      </c>
      <c r="F63" s="15">
        <v>189.59</v>
      </c>
      <c r="G63" s="15">
        <v>189.59</v>
      </c>
      <c r="H63" s="15">
        <v>189.59</v>
      </c>
      <c r="I63" s="15">
        <v>189.59</v>
      </c>
      <c r="J63" s="15">
        <v>189.59</v>
      </c>
      <c r="K63" s="15">
        <v>189.59</v>
      </c>
      <c r="L63" s="15">
        <v>189.59</v>
      </c>
      <c r="M63" s="15">
        <v>379.18</v>
      </c>
      <c r="N63" s="15">
        <v>189.59</v>
      </c>
      <c r="O63" t="s">
        <v>75</v>
      </c>
    </row>
    <row r="64" spans="1:15" x14ac:dyDescent="0.25">
      <c r="A64" s="10" t="s">
        <v>471</v>
      </c>
      <c r="B64" s="15">
        <v>189.59</v>
      </c>
      <c r="C64" s="15">
        <v>379.18</v>
      </c>
      <c r="D64" s="15">
        <v>189.59</v>
      </c>
      <c r="E64" s="15">
        <v>189.59</v>
      </c>
      <c r="F64" s="15">
        <v>189.59</v>
      </c>
      <c r="G64" s="15">
        <v>189.59</v>
      </c>
      <c r="H64" s="15">
        <v>379.18</v>
      </c>
      <c r="I64" s="15">
        <v>189.59</v>
      </c>
      <c r="J64" s="15">
        <v>189.59</v>
      </c>
      <c r="K64" s="15">
        <v>189.59</v>
      </c>
      <c r="L64" s="15">
        <v>189.59</v>
      </c>
      <c r="M64" s="15">
        <v>189.59</v>
      </c>
      <c r="N64" s="15">
        <v>189.59</v>
      </c>
      <c r="O64" t="s">
        <v>75</v>
      </c>
    </row>
    <row r="65" spans="1:15" x14ac:dyDescent="0.25">
      <c r="A65" s="10" t="s">
        <v>475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379.18</v>
      </c>
      <c r="N65" s="15">
        <v>379.18</v>
      </c>
      <c r="O65" t="s">
        <v>75</v>
      </c>
    </row>
    <row r="66" spans="1:15" x14ac:dyDescent="0.25">
      <c r="A66" s="10" t="s">
        <v>483</v>
      </c>
      <c r="B66" s="15">
        <v>379.18</v>
      </c>
      <c r="C66" s="15">
        <v>189.59</v>
      </c>
      <c r="D66" s="15">
        <v>189.59</v>
      </c>
      <c r="E66" s="15">
        <v>189.59</v>
      </c>
      <c r="F66" s="15">
        <v>189.59</v>
      </c>
      <c r="G66" s="15">
        <v>189.59</v>
      </c>
      <c r="H66" s="15">
        <v>379.18</v>
      </c>
      <c r="I66" s="15">
        <v>189.59</v>
      </c>
      <c r="J66" s="15">
        <v>189.59</v>
      </c>
      <c r="K66" s="15">
        <v>189.59</v>
      </c>
      <c r="L66" s="15">
        <v>189.59</v>
      </c>
      <c r="M66" s="15">
        <v>189.59</v>
      </c>
      <c r="N66" s="15">
        <v>189.59</v>
      </c>
      <c r="O66" t="s">
        <v>75</v>
      </c>
    </row>
    <row r="67" spans="1:15" x14ac:dyDescent="0.25">
      <c r="A67" s="10" t="s">
        <v>485</v>
      </c>
      <c r="B67" s="15">
        <v>568.77</v>
      </c>
      <c r="C67" s="15">
        <v>568.77</v>
      </c>
      <c r="D67" s="15">
        <v>568.77</v>
      </c>
      <c r="E67" s="15">
        <v>568.77</v>
      </c>
      <c r="F67" s="15">
        <v>568.77</v>
      </c>
      <c r="G67" s="15">
        <v>568.77</v>
      </c>
      <c r="H67" s="15">
        <v>1137.54</v>
      </c>
      <c r="I67" s="15">
        <v>568.77</v>
      </c>
      <c r="J67" s="15">
        <v>568.77</v>
      </c>
      <c r="K67" s="15">
        <v>568.77</v>
      </c>
      <c r="L67" s="15">
        <v>1137.54</v>
      </c>
      <c r="M67" s="15">
        <v>568.77</v>
      </c>
      <c r="N67" s="15">
        <v>568.77</v>
      </c>
      <c r="O67" t="s">
        <v>75</v>
      </c>
    </row>
    <row r="68" spans="1:15" x14ac:dyDescent="0.25">
      <c r="A68" s="10" t="s">
        <v>491</v>
      </c>
      <c r="B68" s="15">
        <v>189.59</v>
      </c>
      <c r="C68" s="15">
        <v>379.18</v>
      </c>
      <c r="D68" s="15">
        <v>189.59</v>
      </c>
      <c r="E68" s="15">
        <v>189.59</v>
      </c>
      <c r="F68" s="15">
        <v>189.59</v>
      </c>
      <c r="G68" s="15">
        <v>189.59</v>
      </c>
      <c r="H68" s="15">
        <v>379.18</v>
      </c>
      <c r="I68" s="15">
        <v>189.59</v>
      </c>
      <c r="J68" s="15">
        <v>189.59</v>
      </c>
      <c r="K68" s="15">
        <v>189.59</v>
      </c>
      <c r="L68" s="15">
        <v>189.59</v>
      </c>
      <c r="M68" s="15">
        <v>189.59</v>
      </c>
      <c r="N68" s="15">
        <v>189.59</v>
      </c>
      <c r="O68" t="s">
        <v>75</v>
      </c>
    </row>
    <row r="69" spans="1:15" x14ac:dyDescent="0.25">
      <c r="A69" s="10" t="s">
        <v>493</v>
      </c>
      <c r="B69" s="15">
        <v>379.18</v>
      </c>
      <c r="C69" s="15">
        <v>758.36</v>
      </c>
      <c r="D69" s="15">
        <v>379.18</v>
      </c>
      <c r="E69" s="15">
        <v>379.18</v>
      </c>
      <c r="F69" s="15">
        <v>379.18</v>
      </c>
      <c r="G69" s="15">
        <v>758.36</v>
      </c>
      <c r="H69" s="15">
        <v>379.18</v>
      </c>
      <c r="I69" s="15">
        <v>379.18</v>
      </c>
      <c r="J69" s="15">
        <v>379.18</v>
      </c>
      <c r="K69" s="15">
        <v>379.18</v>
      </c>
      <c r="L69" s="15">
        <v>379.18</v>
      </c>
      <c r="M69" s="15">
        <v>379.18</v>
      </c>
      <c r="N69" s="15">
        <v>379.18</v>
      </c>
      <c r="O69" t="s">
        <v>75</v>
      </c>
    </row>
    <row r="70" spans="1:15" x14ac:dyDescent="0.25">
      <c r="A70" s="10" t="s">
        <v>499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189.59</v>
      </c>
      <c r="L70" s="15">
        <v>189.59</v>
      </c>
      <c r="M70" s="15">
        <v>189.59</v>
      </c>
      <c r="N70" s="15">
        <v>189.59</v>
      </c>
      <c r="O70" t="s">
        <v>75</v>
      </c>
    </row>
    <row r="71" spans="1:15" x14ac:dyDescent="0.25">
      <c r="A71" s="10" t="s">
        <v>501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189.59</v>
      </c>
      <c r="H71" s="15">
        <v>189.59</v>
      </c>
      <c r="I71" s="15">
        <v>379.18</v>
      </c>
      <c r="J71" s="15">
        <v>189.59</v>
      </c>
      <c r="K71" s="15">
        <v>189.59</v>
      </c>
      <c r="L71" s="15">
        <v>189.59</v>
      </c>
      <c r="M71" s="15">
        <v>189.59</v>
      </c>
      <c r="N71" s="15">
        <v>189.59</v>
      </c>
      <c r="O71" t="s">
        <v>75</v>
      </c>
    </row>
    <row r="72" spans="1:15" x14ac:dyDescent="0.25">
      <c r="A72" s="10" t="s">
        <v>503</v>
      </c>
      <c r="B72" s="15">
        <v>379.18</v>
      </c>
      <c r="C72" s="15">
        <v>379.18</v>
      </c>
      <c r="D72" s="15">
        <v>379.18</v>
      </c>
      <c r="E72" s="15">
        <v>379.18</v>
      </c>
      <c r="F72" s="15">
        <v>379.18</v>
      </c>
      <c r="G72" s="15">
        <v>379.18</v>
      </c>
      <c r="H72" s="15">
        <v>379.18</v>
      </c>
      <c r="I72" s="15">
        <v>379.18</v>
      </c>
      <c r="J72" s="15">
        <v>379.18</v>
      </c>
      <c r="K72" s="15">
        <v>379.18</v>
      </c>
      <c r="L72" s="15">
        <v>379.18</v>
      </c>
      <c r="M72" s="15">
        <v>379.18</v>
      </c>
      <c r="N72" s="15">
        <v>379.18</v>
      </c>
      <c r="O72" t="s">
        <v>75</v>
      </c>
    </row>
    <row r="73" spans="1:15" x14ac:dyDescent="0.25">
      <c r="A73" s="10" t="s">
        <v>509</v>
      </c>
      <c r="B73" s="15">
        <v>189.59</v>
      </c>
      <c r="C73" s="15">
        <v>189.59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189.59</v>
      </c>
      <c r="O73" t="s">
        <v>75</v>
      </c>
    </row>
    <row r="74" spans="1:15" x14ac:dyDescent="0.25">
      <c r="A74" s="10" t="s">
        <v>513</v>
      </c>
      <c r="B74" s="15">
        <v>189.59</v>
      </c>
      <c r="C74" s="15">
        <v>379.18</v>
      </c>
      <c r="D74" s="15">
        <v>189.59</v>
      </c>
      <c r="E74" s="15">
        <v>189.59</v>
      </c>
      <c r="F74" s="15">
        <v>189.59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t="s">
        <v>75</v>
      </c>
    </row>
    <row r="75" spans="1:15" x14ac:dyDescent="0.25">
      <c r="A75" s="10" t="s">
        <v>524</v>
      </c>
      <c r="B75" s="15">
        <v>189.59</v>
      </c>
      <c r="C75" s="15">
        <v>189.59</v>
      </c>
      <c r="D75" s="15">
        <v>189.59</v>
      </c>
      <c r="E75" s="15">
        <v>189.59</v>
      </c>
      <c r="F75" s="15">
        <v>189.59</v>
      </c>
      <c r="G75" s="15">
        <v>379.18</v>
      </c>
      <c r="H75" s="15">
        <v>189.59</v>
      </c>
      <c r="I75" s="15">
        <v>189.59</v>
      </c>
      <c r="J75" s="15">
        <v>189.59</v>
      </c>
      <c r="K75" s="15">
        <v>189.59</v>
      </c>
      <c r="L75" s="15">
        <v>379.18</v>
      </c>
      <c r="M75" s="15">
        <v>189.59</v>
      </c>
      <c r="N75" s="15">
        <v>189.59</v>
      </c>
      <c r="O75" t="s">
        <v>75</v>
      </c>
    </row>
    <row r="76" spans="1:15" x14ac:dyDescent="0.25">
      <c r="A76" s="10" t="s">
        <v>532</v>
      </c>
      <c r="B76" s="15">
        <v>379.18</v>
      </c>
      <c r="C76" s="15">
        <v>379.18</v>
      </c>
      <c r="D76" s="15">
        <v>379.18</v>
      </c>
      <c r="E76" s="15">
        <v>379.18</v>
      </c>
      <c r="F76" s="15">
        <v>758.36</v>
      </c>
      <c r="G76" s="15">
        <v>379.18</v>
      </c>
      <c r="H76" s="15">
        <v>379.18</v>
      </c>
      <c r="I76" s="15">
        <v>379.18</v>
      </c>
      <c r="J76" s="15">
        <v>379.18</v>
      </c>
      <c r="K76" s="15">
        <v>379.18</v>
      </c>
      <c r="L76" s="15">
        <v>379.18</v>
      </c>
      <c r="M76" s="15">
        <v>379.18</v>
      </c>
      <c r="N76" s="15">
        <v>379.18</v>
      </c>
      <c r="O76" t="s">
        <v>75</v>
      </c>
    </row>
    <row r="77" spans="1:15" x14ac:dyDescent="0.25">
      <c r="A77" s="10" t="s">
        <v>536</v>
      </c>
      <c r="B77" s="15">
        <v>189.59</v>
      </c>
      <c r="C77" s="15">
        <v>189.59</v>
      </c>
      <c r="D77" s="15">
        <v>189.59</v>
      </c>
      <c r="E77" s="15">
        <v>189.59</v>
      </c>
      <c r="F77" s="15">
        <v>189.59</v>
      </c>
      <c r="G77" s="15">
        <v>189.59</v>
      </c>
      <c r="H77" s="15">
        <v>189.59</v>
      </c>
      <c r="I77" s="15">
        <v>189.59</v>
      </c>
      <c r="J77" s="15">
        <v>189.59</v>
      </c>
      <c r="K77" s="15">
        <v>189.59</v>
      </c>
      <c r="L77" s="15">
        <v>379.18</v>
      </c>
      <c r="M77" s="15">
        <v>189.59</v>
      </c>
      <c r="N77" s="15">
        <v>189.59</v>
      </c>
      <c r="O77" t="s">
        <v>75</v>
      </c>
    </row>
    <row r="78" spans="1:15" x14ac:dyDescent="0.25">
      <c r="A78" s="10" t="s">
        <v>538</v>
      </c>
      <c r="B78" s="15">
        <v>189.59</v>
      </c>
      <c r="C78" s="15">
        <v>379.18</v>
      </c>
      <c r="D78" s="15">
        <v>189.59</v>
      </c>
      <c r="E78" s="15">
        <v>189.59</v>
      </c>
      <c r="F78" s="15">
        <v>189.59</v>
      </c>
      <c r="G78" s="15">
        <v>189.59</v>
      </c>
      <c r="H78" s="15">
        <v>379.18</v>
      </c>
      <c r="I78" s="15">
        <v>189.59</v>
      </c>
      <c r="J78" s="15">
        <v>189.59</v>
      </c>
      <c r="K78" s="15">
        <v>189.59</v>
      </c>
      <c r="L78" s="15">
        <v>379.18</v>
      </c>
      <c r="M78" s="15">
        <v>189.59</v>
      </c>
      <c r="N78" s="15">
        <v>189.59</v>
      </c>
      <c r="O78" t="s">
        <v>75</v>
      </c>
    </row>
    <row r="79" spans="1:15" x14ac:dyDescent="0.25">
      <c r="A79" s="10" t="s">
        <v>542</v>
      </c>
      <c r="B79" s="15">
        <v>189.59</v>
      </c>
      <c r="C79" s="15">
        <v>379.18</v>
      </c>
      <c r="D79" s="15">
        <v>189.59</v>
      </c>
      <c r="E79" s="15">
        <v>189.59</v>
      </c>
      <c r="F79" s="15">
        <v>189.59</v>
      </c>
      <c r="G79" s="15">
        <v>189.59</v>
      </c>
      <c r="H79" s="15">
        <v>189.59</v>
      </c>
      <c r="I79" s="15">
        <v>189.59</v>
      </c>
      <c r="J79" s="15">
        <v>189.59</v>
      </c>
      <c r="K79" s="15">
        <v>189.59</v>
      </c>
      <c r="L79" s="15">
        <v>189.59</v>
      </c>
      <c r="M79" s="15">
        <v>379.18</v>
      </c>
      <c r="N79" s="15">
        <v>189.59</v>
      </c>
      <c r="O79" t="s">
        <v>75</v>
      </c>
    </row>
    <row r="80" spans="1:15" x14ac:dyDescent="0.25">
      <c r="A80" s="10" t="s">
        <v>546</v>
      </c>
      <c r="B80" s="15">
        <v>379.18</v>
      </c>
      <c r="C80" s="15">
        <v>189.59</v>
      </c>
      <c r="D80" s="15">
        <v>189.59</v>
      </c>
      <c r="E80" s="15">
        <v>189.59</v>
      </c>
      <c r="F80" s="15">
        <v>189.59</v>
      </c>
      <c r="G80" s="15">
        <v>189.59</v>
      </c>
      <c r="H80" s="15">
        <v>189.59</v>
      </c>
      <c r="I80" s="15">
        <v>189.59</v>
      </c>
      <c r="J80" s="15">
        <v>189.59</v>
      </c>
      <c r="K80" s="15">
        <v>189.59</v>
      </c>
      <c r="L80" s="15">
        <v>189.59</v>
      </c>
      <c r="M80" s="15">
        <v>379.18</v>
      </c>
      <c r="N80" s="15">
        <v>189.59</v>
      </c>
      <c r="O80" t="s">
        <v>75</v>
      </c>
    </row>
    <row r="81" spans="1:15" x14ac:dyDescent="0.25">
      <c r="A81" s="10" t="s">
        <v>554</v>
      </c>
      <c r="B81" s="15">
        <v>189.59</v>
      </c>
      <c r="C81" s="15">
        <v>189.59</v>
      </c>
      <c r="D81" s="15">
        <v>189.59</v>
      </c>
      <c r="E81" s="15">
        <v>379.18</v>
      </c>
      <c r="F81" s="15">
        <v>189.59</v>
      </c>
      <c r="G81" s="15">
        <v>189.59</v>
      </c>
      <c r="H81" s="15">
        <v>189.59</v>
      </c>
      <c r="I81" s="15">
        <v>189.59</v>
      </c>
      <c r="J81" s="15">
        <v>189.59</v>
      </c>
      <c r="K81" s="15">
        <v>189.59</v>
      </c>
      <c r="L81" s="15">
        <v>189.59</v>
      </c>
      <c r="M81" s="15">
        <v>189.59</v>
      </c>
      <c r="N81" s="15">
        <v>189.59</v>
      </c>
      <c r="O81" t="s">
        <v>75</v>
      </c>
    </row>
    <row r="82" spans="1:15" x14ac:dyDescent="0.25">
      <c r="A82" s="10" t="s">
        <v>562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189.59</v>
      </c>
      <c r="L82" s="15">
        <v>189.59</v>
      </c>
      <c r="M82" s="15">
        <v>189.59</v>
      </c>
      <c r="N82" s="15">
        <v>189.59</v>
      </c>
      <c r="O82" t="s">
        <v>75</v>
      </c>
    </row>
    <row r="83" spans="1:15" x14ac:dyDescent="0.25">
      <c r="A83" s="10" t="s">
        <v>564</v>
      </c>
      <c r="B83" s="15">
        <v>189.59</v>
      </c>
      <c r="C83" s="15">
        <v>189.59</v>
      </c>
      <c r="D83" s="15">
        <v>189.59</v>
      </c>
      <c r="E83" s="15">
        <v>189.59</v>
      </c>
      <c r="F83" s="15">
        <v>379.18</v>
      </c>
      <c r="G83" s="15">
        <v>189.59</v>
      </c>
      <c r="H83" s="15">
        <v>189.59</v>
      </c>
      <c r="I83" s="15">
        <v>189.59</v>
      </c>
      <c r="J83" s="15">
        <v>189.59</v>
      </c>
      <c r="K83" s="15">
        <v>189.59</v>
      </c>
      <c r="L83" s="15">
        <v>0</v>
      </c>
      <c r="M83" s="15">
        <v>0</v>
      </c>
      <c r="N83" s="15">
        <v>189.59</v>
      </c>
      <c r="O83" t="s">
        <v>75</v>
      </c>
    </row>
    <row r="84" spans="1:15" x14ac:dyDescent="0.25">
      <c r="A84" s="10" t="s">
        <v>576</v>
      </c>
      <c r="B84" s="15">
        <v>379.18</v>
      </c>
      <c r="C84" s="15">
        <v>379.18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379.18</v>
      </c>
      <c r="O84" t="s">
        <v>75</v>
      </c>
    </row>
    <row r="85" spans="1:15" x14ac:dyDescent="0.25">
      <c r="A85" s="10" t="s">
        <v>596</v>
      </c>
      <c r="B85" s="15">
        <v>189.59</v>
      </c>
      <c r="C85" s="15">
        <v>189.59</v>
      </c>
      <c r="D85" s="15">
        <v>189.59</v>
      </c>
      <c r="E85" s="15">
        <v>189.59</v>
      </c>
      <c r="F85" s="15">
        <v>189.59</v>
      </c>
      <c r="G85" s="15">
        <v>189.59</v>
      </c>
      <c r="H85" s="15">
        <v>189.59</v>
      </c>
      <c r="I85" s="15">
        <v>189.59</v>
      </c>
      <c r="J85" s="15">
        <v>189.59</v>
      </c>
      <c r="K85" s="15">
        <v>189.59</v>
      </c>
      <c r="L85" s="15">
        <v>189.59</v>
      </c>
      <c r="M85" s="15">
        <v>189.59</v>
      </c>
      <c r="N85" s="15">
        <v>189.59</v>
      </c>
      <c r="O85" t="s">
        <v>75</v>
      </c>
    </row>
    <row r="86" spans="1:15" x14ac:dyDescent="0.25">
      <c r="A86" s="10" t="s">
        <v>600</v>
      </c>
      <c r="B86" s="15">
        <v>189.59</v>
      </c>
      <c r="C86" s="15">
        <v>189.59</v>
      </c>
      <c r="D86" s="15">
        <v>189.59</v>
      </c>
      <c r="E86" s="15">
        <v>189.59</v>
      </c>
      <c r="F86" s="15">
        <v>189.59</v>
      </c>
      <c r="G86" s="15">
        <v>189.59</v>
      </c>
      <c r="H86" s="15">
        <v>189.59</v>
      </c>
      <c r="I86" s="15">
        <v>189.59</v>
      </c>
      <c r="J86" s="15">
        <v>189.59</v>
      </c>
      <c r="K86" s="15">
        <v>379.18</v>
      </c>
      <c r="L86" s="15">
        <v>189.59</v>
      </c>
      <c r="M86" s="15">
        <v>189.59</v>
      </c>
      <c r="N86" s="15">
        <v>189.59</v>
      </c>
      <c r="O86" t="s">
        <v>75</v>
      </c>
    </row>
    <row r="87" spans="1:15" x14ac:dyDescent="0.25">
      <c r="A87" s="10" t="s">
        <v>602</v>
      </c>
      <c r="B87" s="15">
        <v>189.59</v>
      </c>
      <c r="C87" s="15">
        <v>189.59</v>
      </c>
      <c r="D87" s="15">
        <v>189.59</v>
      </c>
      <c r="E87" s="15">
        <v>189.59</v>
      </c>
      <c r="F87" s="15">
        <v>189.59</v>
      </c>
      <c r="G87" s="15">
        <v>189.59</v>
      </c>
      <c r="H87" s="15">
        <v>189.59</v>
      </c>
      <c r="I87" s="15">
        <v>379.18</v>
      </c>
      <c r="J87" s="15">
        <v>189.59</v>
      </c>
      <c r="K87" s="15">
        <v>189.59</v>
      </c>
      <c r="L87" s="15">
        <v>189.59</v>
      </c>
      <c r="M87" s="15">
        <v>189.59</v>
      </c>
      <c r="N87" s="15">
        <v>189.59</v>
      </c>
      <c r="O87" t="s">
        <v>75</v>
      </c>
    </row>
    <row r="88" spans="1:15" x14ac:dyDescent="0.25">
      <c r="A88" s="10" t="s">
        <v>608</v>
      </c>
      <c r="B88" s="15">
        <v>189.59</v>
      </c>
      <c r="C88" s="15">
        <v>758.36</v>
      </c>
      <c r="D88" s="15">
        <v>379.18</v>
      </c>
      <c r="E88" s="15">
        <v>379.18</v>
      </c>
      <c r="F88" s="15">
        <v>379.18</v>
      </c>
      <c r="G88" s="15">
        <v>379.18</v>
      </c>
      <c r="H88" s="15">
        <v>379.18</v>
      </c>
      <c r="I88" s="15">
        <v>379.18</v>
      </c>
      <c r="J88" s="15">
        <v>379.18</v>
      </c>
      <c r="K88" s="15">
        <v>379.18</v>
      </c>
      <c r="L88" s="15">
        <v>379.18</v>
      </c>
      <c r="M88" s="15">
        <v>379.18</v>
      </c>
      <c r="N88" s="15">
        <v>379.18</v>
      </c>
      <c r="O88" t="s">
        <v>75</v>
      </c>
    </row>
    <row r="89" spans="1:15" x14ac:dyDescent="0.25">
      <c r="A89" s="10" t="s">
        <v>618</v>
      </c>
      <c r="B89" s="15">
        <v>189.59</v>
      </c>
      <c r="C89" s="15">
        <v>379.18</v>
      </c>
      <c r="D89" s="15">
        <v>189.59</v>
      </c>
      <c r="E89" s="15">
        <v>189.59</v>
      </c>
      <c r="F89" s="15">
        <v>189.59</v>
      </c>
      <c r="G89" s="15">
        <v>189.59</v>
      </c>
      <c r="H89" s="15">
        <v>189.59</v>
      </c>
      <c r="I89" s="15">
        <v>189.59</v>
      </c>
      <c r="J89" s="15">
        <v>189.59</v>
      </c>
      <c r="K89" s="15">
        <v>189.59</v>
      </c>
      <c r="L89" s="15">
        <v>189.59</v>
      </c>
      <c r="M89" s="15">
        <v>189.59</v>
      </c>
      <c r="N89" s="15">
        <v>189.59</v>
      </c>
      <c r="O89" t="s">
        <v>75</v>
      </c>
    </row>
    <row r="90" spans="1:15" x14ac:dyDescent="0.25">
      <c r="A90" s="10" t="s">
        <v>620</v>
      </c>
      <c r="B90" s="15">
        <v>189.59</v>
      </c>
      <c r="C90" s="15">
        <v>189.59</v>
      </c>
      <c r="D90" s="15">
        <v>189.59</v>
      </c>
      <c r="E90" s="15">
        <v>189.59</v>
      </c>
      <c r="F90" s="15">
        <v>189.59</v>
      </c>
      <c r="G90" s="15">
        <v>189.59</v>
      </c>
      <c r="H90" s="15">
        <v>189.59</v>
      </c>
      <c r="I90" s="15">
        <v>189.59</v>
      </c>
      <c r="J90" s="15">
        <v>189.59</v>
      </c>
      <c r="K90" s="15">
        <v>189.59</v>
      </c>
      <c r="L90" s="15">
        <v>189.59</v>
      </c>
      <c r="M90" s="15">
        <v>189.59</v>
      </c>
      <c r="N90" s="15">
        <v>189.59</v>
      </c>
      <c r="O90" t="s">
        <v>75</v>
      </c>
    </row>
    <row r="91" spans="1:15" x14ac:dyDescent="0.25">
      <c r="A91" s="10" t="s">
        <v>626</v>
      </c>
      <c r="B91" s="15">
        <v>568.77</v>
      </c>
      <c r="C91" s="15">
        <v>1137.54</v>
      </c>
      <c r="D91" s="15">
        <v>568.77</v>
      </c>
      <c r="E91" s="15">
        <v>568.77</v>
      </c>
      <c r="F91" s="15">
        <v>568.77</v>
      </c>
      <c r="G91" s="15">
        <v>568.77</v>
      </c>
      <c r="H91" s="15">
        <v>568.77</v>
      </c>
      <c r="I91" s="15">
        <v>568.77</v>
      </c>
      <c r="J91" s="15">
        <v>568.77</v>
      </c>
      <c r="K91" s="15">
        <v>1137.54</v>
      </c>
      <c r="L91" s="15">
        <v>568.77</v>
      </c>
      <c r="M91" s="15">
        <v>1137.54</v>
      </c>
      <c r="N91" s="15">
        <v>568.77</v>
      </c>
      <c r="O91" t="s">
        <v>75</v>
      </c>
    </row>
    <row r="92" spans="1:15" x14ac:dyDescent="0.25">
      <c r="A92" s="10" t="s">
        <v>638</v>
      </c>
      <c r="B92" s="15">
        <v>379.18</v>
      </c>
      <c r="C92" s="15">
        <v>758.36</v>
      </c>
      <c r="D92" s="15">
        <v>379.18</v>
      </c>
      <c r="E92" s="15">
        <v>379.18</v>
      </c>
      <c r="F92" s="15">
        <v>379.18</v>
      </c>
      <c r="G92" s="15">
        <v>379.18</v>
      </c>
      <c r="H92" s="15">
        <v>379.18</v>
      </c>
      <c r="I92" s="15">
        <v>379.18</v>
      </c>
      <c r="J92" s="15">
        <v>379.18</v>
      </c>
      <c r="K92" s="15">
        <v>379.18</v>
      </c>
      <c r="L92" s="15">
        <v>379.18</v>
      </c>
      <c r="M92" s="15">
        <v>758.36</v>
      </c>
      <c r="N92" s="15">
        <v>379.18</v>
      </c>
      <c r="O92" t="s">
        <v>75</v>
      </c>
    </row>
    <row r="93" spans="1:15" x14ac:dyDescent="0.25">
      <c r="A93" s="10" t="s">
        <v>640</v>
      </c>
      <c r="B93" s="15">
        <v>379.18</v>
      </c>
      <c r="C93" s="15">
        <v>379.18</v>
      </c>
      <c r="D93" s="15">
        <v>758.36</v>
      </c>
      <c r="E93" s="15">
        <v>379.18</v>
      </c>
      <c r="F93" s="15">
        <v>379.18</v>
      </c>
      <c r="G93" s="15">
        <v>379.18</v>
      </c>
      <c r="H93" s="15">
        <v>379.18</v>
      </c>
      <c r="I93" s="15">
        <v>379.18</v>
      </c>
      <c r="J93" s="15">
        <v>379.18</v>
      </c>
      <c r="K93" s="15">
        <v>379.18</v>
      </c>
      <c r="L93" s="15">
        <v>379.18</v>
      </c>
      <c r="M93" s="15">
        <v>379.18</v>
      </c>
      <c r="N93" s="15">
        <v>379.18</v>
      </c>
      <c r="O93" t="s">
        <v>75</v>
      </c>
    </row>
    <row r="94" spans="1:15" x14ac:dyDescent="0.25">
      <c r="A94" s="10" t="s">
        <v>646</v>
      </c>
      <c r="B94" s="15">
        <v>189.59</v>
      </c>
      <c r="C94" s="15">
        <v>189.59</v>
      </c>
      <c r="D94" s="15">
        <v>189.59</v>
      </c>
      <c r="E94" s="15">
        <v>189.59</v>
      </c>
      <c r="F94" s="15">
        <v>189.59</v>
      </c>
      <c r="G94" s="15">
        <v>189.59</v>
      </c>
      <c r="H94" s="15">
        <v>379.18</v>
      </c>
      <c r="I94" s="15">
        <v>189.59</v>
      </c>
      <c r="J94" s="15">
        <v>189.59</v>
      </c>
      <c r="K94" s="15">
        <v>189.59</v>
      </c>
      <c r="L94" s="15">
        <v>189.59</v>
      </c>
      <c r="M94" s="15">
        <v>0</v>
      </c>
      <c r="N94" s="15">
        <v>189.59</v>
      </c>
      <c r="O94" t="s">
        <v>75</v>
      </c>
    </row>
    <row r="95" spans="1:15" x14ac:dyDescent="0.25">
      <c r="A95" s="10" t="s">
        <v>656</v>
      </c>
      <c r="B95" s="15">
        <v>189.59</v>
      </c>
      <c r="C95" s="15">
        <v>379.18</v>
      </c>
      <c r="D95" s="15">
        <v>189.59</v>
      </c>
      <c r="E95" s="15">
        <v>189.59</v>
      </c>
      <c r="F95" s="15">
        <v>189.59</v>
      </c>
      <c r="G95" s="15">
        <v>379.18</v>
      </c>
      <c r="H95" s="15">
        <v>189.59</v>
      </c>
      <c r="I95" s="15">
        <v>189.59</v>
      </c>
      <c r="J95" s="15">
        <v>189.59</v>
      </c>
      <c r="K95" s="15">
        <v>189.59</v>
      </c>
      <c r="L95" s="15">
        <v>189.59</v>
      </c>
      <c r="M95" s="15">
        <v>189.59</v>
      </c>
      <c r="N95" s="15">
        <v>189.59</v>
      </c>
      <c r="O95" t="s">
        <v>75</v>
      </c>
    </row>
    <row r="96" spans="1:15" x14ac:dyDescent="0.25">
      <c r="A96" s="10" t="s">
        <v>668</v>
      </c>
      <c r="B96" s="15">
        <v>189.59</v>
      </c>
      <c r="C96" s="15">
        <v>189.59</v>
      </c>
      <c r="D96" s="15">
        <v>189.59</v>
      </c>
      <c r="E96" s="15">
        <v>189.59</v>
      </c>
      <c r="F96" s="15">
        <v>379.18</v>
      </c>
      <c r="G96" s="15">
        <v>189.59</v>
      </c>
      <c r="H96" s="15">
        <v>189.59</v>
      </c>
      <c r="I96" s="15">
        <v>189.59</v>
      </c>
      <c r="J96" s="15">
        <v>189.59</v>
      </c>
      <c r="K96" s="15">
        <v>189.59</v>
      </c>
      <c r="L96" s="15">
        <v>379.18</v>
      </c>
      <c r="M96" s="15">
        <v>189.59</v>
      </c>
      <c r="N96" s="15">
        <v>189.59</v>
      </c>
      <c r="O96" t="s">
        <v>75</v>
      </c>
    </row>
    <row r="97" spans="1:15" x14ac:dyDescent="0.25">
      <c r="A97" s="10" t="s">
        <v>670</v>
      </c>
      <c r="B97" s="15">
        <v>379.18</v>
      </c>
      <c r="C97" s="15">
        <v>379.18</v>
      </c>
      <c r="D97" s="15">
        <v>379.18</v>
      </c>
      <c r="E97" s="15">
        <v>379.18</v>
      </c>
      <c r="F97" s="15">
        <v>379.18</v>
      </c>
      <c r="G97" s="15">
        <v>379.18</v>
      </c>
      <c r="H97" s="15">
        <v>0</v>
      </c>
      <c r="I97" s="15">
        <v>0</v>
      </c>
      <c r="J97" s="15">
        <v>758.36</v>
      </c>
      <c r="K97" s="15">
        <v>379.18</v>
      </c>
      <c r="L97" s="15">
        <v>379.18</v>
      </c>
      <c r="M97" s="15">
        <v>379.18</v>
      </c>
      <c r="N97" s="15">
        <v>379.18</v>
      </c>
      <c r="O97" t="s">
        <v>75</v>
      </c>
    </row>
    <row r="98" spans="1:15" x14ac:dyDescent="0.25">
      <c r="A98" s="10" t="s">
        <v>674</v>
      </c>
      <c r="B98" s="15">
        <v>189.59</v>
      </c>
      <c r="C98" s="15">
        <v>189.59</v>
      </c>
      <c r="D98" s="15">
        <v>379.18</v>
      </c>
      <c r="E98" s="15">
        <v>189.59</v>
      </c>
      <c r="F98" s="15">
        <v>189.59</v>
      </c>
      <c r="G98" s="15">
        <v>189.59</v>
      </c>
      <c r="H98" s="15">
        <v>189.59</v>
      </c>
      <c r="I98" s="15">
        <v>379.18</v>
      </c>
      <c r="J98" s="15">
        <v>189.59</v>
      </c>
      <c r="K98" s="15">
        <v>189.59</v>
      </c>
      <c r="L98" s="15">
        <v>189.59</v>
      </c>
      <c r="M98" s="15">
        <v>189.59</v>
      </c>
      <c r="N98" s="15">
        <v>189.59</v>
      </c>
      <c r="O98" t="s">
        <v>75</v>
      </c>
    </row>
    <row r="99" spans="1:15" x14ac:dyDescent="0.25">
      <c r="A99" s="10" t="s">
        <v>684</v>
      </c>
      <c r="B99" s="15">
        <v>0</v>
      </c>
      <c r="C99" s="15">
        <v>379.18</v>
      </c>
      <c r="D99" s="15">
        <v>379.18</v>
      </c>
      <c r="E99" s="15">
        <v>758.36</v>
      </c>
      <c r="F99" s="15">
        <v>379.18</v>
      </c>
      <c r="G99" s="15">
        <v>379.18</v>
      </c>
      <c r="H99" s="15">
        <v>379.18</v>
      </c>
      <c r="I99" s="15">
        <v>379.18</v>
      </c>
      <c r="J99" s="15">
        <v>379.18</v>
      </c>
      <c r="K99" s="15">
        <v>379.18</v>
      </c>
      <c r="L99" s="15">
        <v>379.18</v>
      </c>
      <c r="M99" s="15">
        <v>379.18</v>
      </c>
      <c r="N99" s="15">
        <v>379.18</v>
      </c>
      <c r="O99" t="s">
        <v>75</v>
      </c>
    </row>
    <row r="100" spans="1:15" x14ac:dyDescent="0.25">
      <c r="A100" s="10" t="s">
        <v>708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189.59</v>
      </c>
      <c r="N100" s="15">
        <v>189.59</v>
      </c>
      <c r="O100" t="s">
        <v>75</v>
      </c>
    </row>
    <row r="101" spans="1:15" x14ac:dyDescent="0.25">
      <c r="A101" s="10" t="s">
        <v>710</v>
      </c>
      <c r="B101" s="15">
        <v>189.59</v>
      </c>
      <c r="C101" s="15">
        <v>189.59</v>
      </c>
      <c r="D101" s="15">
        <v>189.59</v>
      </c>
      <c r="E101" s="15">
        <v>189.59</v>
      </c>
      <c r="F101" s="15">
        <v>189.59</v>
      </c>
      <c r="G101" s="15">
        <v>189.59</v>
      </c>
      <c r="H101" s="15">
        <v>189.59</v>
      </c>
      <c r="I101" s="15">
        <v>189.59</v>
      </c>
      <c r="J101" s="15">
        <v>189.59</v>
      </c>
      <c r="K101" s="15">
        <v>379.18</v>
      </c>
      <c r="L101" s="15">
        <v>189.59</v>
      </c>
      <c r="M101" s="15">
        <v>189.59</v>
      </c>
      <c r="N101" s="15">
        <v>189.59</v>
      </c>
      <c r="O101" t="s">
        <v>75</v>
      </c>
    </row>
    <row r="102" spans="1:15" x14ac:dyDescent="0.25">
      <c r="A102" s="10" t="s">
        <v>712</v>
      </c>
      <c r="B102" s="15">
        <v>189.59</v>
      </c>
      <c r="C102" s="15">
        <v>189.59</v>
      </c>
      <c r="D102" s="15">
        <v>189.59</v>
      </c>
      <c r="E102" s="15">
        <v>189.59</v>
      </c>
      <c r="F102" s="15">
        <v>189.59</v>
      </c>
      <c r="G102" s="15">
        <v>189.59</v>
      </c>
      <c r="H102" s="15">
        <v>189.59</v>
      </c>
      <c r="I102" s="15">
        <v>189.59</v>
      </c>
      <c r="J102" s="15">
        <v>379.18</v>
      </c>
      <c r="K102" s="15">
        <v>189.59</v>
      </c>
      <c r="L102" s="15">
        <v>189.59</v>
      </c>
      <c r="M102" s="15">
        <v>189.59</v>
      </c>
      <c r="N102" s="15">
        <v>189.59</v>
      </c>
      <c r="O102" t="s">
        <v>75</v>
      </c>
    </row>
    <row r="103" spans="1:15" x14ac:dyDescent="0.25">
      <c r="A103" s="10" t="s">
        <v>714</v>
      </c>
      <c r="B103" s="15">
        <v>379.18</v>
      </c>
      <c r="C103" s="15">
        <v>379.18</v>
      </c>
      <c r="D103" s="15">
        <v>379.18</v>
      </c>
      <c r="E103" s="15">
        <v>379.18</v>
      </c>
      <c r="F103" s="15">
        <v>379.18</v>
      </c>
      <c r="G103" s="15">
        <v>379.18</v>
      </c>
      <c r="H103" s="15">
        <v>379.18</v>
      </c>
      <c r="I103" s="15">
        <v>758.36</v>
      </c>
      <c r="J103" s="15">
        <v>379.18</v>
      </c>
      <c r="K103" s="15">
        <v>379.18</v>
      </c>
      <c r="L103" s="15">
        <v>379.18</v>
      </c>
      <c r="M103" s="15">
        <v>379.18</v>
      </c>
      <c r="N103" s="15">
        <v>379.18</v>
      </c>
      <c r="O103" t="s">
        <v>75</v>
      </c>
    </row>
    <row r="104" spans="1:15" x14ac:dyDescent="0.25">
      <c r="A104" s="10" t="s">
        <v>716</v>
      </c>
      <c r="B104" s="15">
        <v>189.59</v>
      </c>
      <c r="C104" s="15">
        <v>189.59</v>
      </c>
      <c r="D104" s="15">
        <v>189.59</v>
      </c>
      <c r="E104" s="15">
        <v>189.59</v>
      </c>
      <c r="F104" s="15">
        <v>189.59</v>
      </c>
      <c r="G104" s="15">
        <v>189.59</v>
      </c>
      <c r="H104" s="15">
        <v>189.59</v>
      </c>
      <c r="I104" s="15">
        <v>189.59</v>
      </c>
      <c r="J104" s="15">
        <v>189.59</v>
      </c>
      <c r="K104" s="15">
        <v>379.18</v>
      </c>
      <c r="L104" s="15">
        <v>189.59</v>
      </c>
      <c r="M104" s="15">
        <v>189.59</v>
      </c>
      <c r="N104" s="15">
        <v>189.59</v>
      </c>
      <c r="O104" t="s">
        <v>75</v>
      </c>
    </row>
    <row r="105" spans="1:15" x14ac:dyDescent="0.25">
      <c r="A105" s="10" t="s">
        <v>756</v>
      </c>
      <c r="B105" s="15">
        <v>189.59</v>
      </c>
      <c r="C105" s="15">
        <v>189.59</v>
      </c>
      <c r="D105" s="15">
        <v>189.59</v>
      </c>
      <c r="E105" s="15">
        <v>379.18</v>
      </c>
      <c r="F105" s="15">
        <v>189.59</v>
      </c>
      <c r="G105" s="15">
        <v>189.59</v>
      </c>
      <c r="H105" s="15">
        <v>189.59</v>
      </c>
      <c r="I105" s="15">
        <v>189.59</v>
      </c>
      <c r="J105" s="15">
        <v>189.59</v>
      </c>
      <c r="K105" s="15">
        <v>189.59</v>
      </c>
      <c r="L105" s="15">
        <v>189.59</v>
      </c>
      <c r="M105" s="15">
        <v>189.59</v>
      </c>
      <c r="N105" s="15">
        <v>189.59</v>
      </c>
      <c r="O105" t="s">
        <v>75</v>
      </c>
    </row>
    <row r="106" spans="1:15" x14ac:dyDescent="0.25">
      <c r="A106" s="10" t="s">
        <v>774</v>
      </c>
      <c r="B106" s="15">
        <v>0</v>
      </c>
      <c r="C106" s="15">
        <v>0</v>
      </c>
      <c r="D106" s="15">
        <v>0</v>
      </c>
      <c r="E106" s="15">
        <v>189.59</v>
      </c>
      <c r="F106" s="15">
        <v>189.59</v>
      </c>
      <c r="G106" s="15">
        <v>189.59</v>
      </c>
      <c r="H106" s="15">
        <v>189.59</v>
      </c>
      <c r="I106" s="15">
        <v>189.59</v>
      </c>
      <c r="J106" s="15">
        <v>189.59</v>
      </c>
      <c r="K106" s="15">
        <v>0</v>
      </c>
      <c r="L106" s="15">
        <v>0</v>
      </c>
      <c r="M106" s="15">
        <v>0</v>
      </c>
      <c r="N106" s="15">
        <v>189.59</v>
      </c>
      <c r="O106" t="s">
        <v>75</v>
      </c>
    </row>
    <row r="107" spans="1:15" x14ac:dyDescent="0.25">
      <c r="A107" s="10" t="s">
        <v>790</v>
      </c>
      <c r="B107" s="15">
        <v>189.59</v>
      </c>
      <c r="C107" s="15">
        <v>379.18</v>
      </c>
      <c r="D107" s="15">
        <v>189.59</v>
      </c>
      <c r="E107" s="15">
        <v>189.59</v>
      </c>
      <c r="F107" s="15">
        <v>189.59</v>
      </c>
      <c r="G107" s="15">
        <v>189.59</v>
      </c>
      <c r="H107" s="15">
        <v>189.59</v>
      </c>
      <c r="I107" s="15">
        <v>189.59</v>
      </c>
      <c r="J107" s="15">
        <v>0</v>
      </c>
      <c r="K107" s="15">
        <v>0</v>
      </c>
      <c r="L107" s="15">
        <v>0</v>
      </c>
      <c r="M107" s="15">
        <v>0</v>
      </c>
      <c r="N107" s="15">
        <v>189.59</v>
      </c>
      <c r="O107" t="s">
        <v>75</v>
      </c>
    </row>
    <row r="108" spans="1:15" x14ac:dyDescent="0.25">
      <c r="A108" s="10" t="s">
        <v>822</v>
      </c>
      <c r="B108" s="15">
        <v>189.59</v>
      </c>
      <c r="C108" s="15">
        <v>189.59</v>
      </c>
      <c r="D108" s="15">
        <v>189.59</v>
      </c>
      <c r="E108" s="15">
        <v>189.59</v>
      </c>
      <c r="F108" s="15">
        <v>189.59</v>
      </c>
      <c r="G108" s="15">
        <v>379.18</v>
      </c>
      <c r="H108" s="15">
        <v>189.59</v>
      </c>
      <c r="I108" s="15">
        <v>189.59</v>
      </c>
      <c r="J108" s="15">
        <v>189.59</v>
      </c>
      <c r="K108" s="15">
        <v>189.59</v>
      </c>
      <c r="L108" s="15">
        <v>189.59</v>
      </c>
      <c r="M108" s="15">
        <v>189.59</v>
      </c>
      <c r="N108" s="15">
        <v>189.59</v>
      </c>
      <c r="O108" t="s">
        <v>75</v>
      </c>
    </row>
    <row r="109" spans="1:15" x14ac:dyDescent="0.25">
      <c r="A109" s="10" t="s">
        <v>830</v>
      </c>
      <c r="B109" s="15">
        <v>379.18</v>
      </c>
      <c r="C109" s="15">
        <v>758.36</v>
      </c>
      <c r="D109" s="15">
        <v>379.18</v>
      </c>
      <c r="E109" s="15">
        <v>379.18</v>
      </c>
      <c r="F109" s="15">
        <v>379.18</v>
      </c>
      <c r="G109" s="15">
        <v>379.18</v>
      </c>
      <c r="H109" s="15">
        <v>379.18</v>
      </c>
      <c r="I109" s="15">
        <v>379.18</v>
      </c>
      <c r="J109" s="15">
        <v>379.18</v>
      </c>
      <c r="K109" s="15">
        <v>379.18</v>
      </c>
      <c r="L109" s="15">
        <v>379.18</v>
      </c>
      <c r="M109" s="15">
        <v>758.36</v>
      </c>
      <c r="N109" s="15">
        <v>379.18</v>
      </c>
      <c r="O109" t="s">
        <v>75</v>
      </c>
    </row>
    <row r="110" spans="1:15" x14ac:dyDescent="0.25">
      <c r="A110" s="10" t="s">
        <v>846</v>
      </c>
      <c r="B110" s="15">
        <v>189.59</v>
      </c>
      <c r="C110" s="15">
        <v>189.59</v>
      </c>
      <c r="D110" s="15">
        <v>189.59</v>
      </c>
      <c r="E110" s="15">
        <v>189.59</v>
      </c>
      <c r="F110" s="15">
        <v>189.59</v>
      </c>
      <c r="G110" s="15">
        <v>189.59</v>
      </c>
      <c r="H110" s="15">
        <v>379.18</v>
      </c>
      <c r="I110" s="15">
        <v>189.59</v>
      </c>
      <c r="J110" s="15">
        <v>189.59</v>
      </c>
      <c r="K110" s="15">
        <v>189.59</v>
      </c>
      <c r="L110" s="15">
        <v>189.59</v>
      </c>
      <c r="M110" s="15">
        <v>189.59</v>
      </c>
      <c r="N110" s="15">
        <v>189.59</v>
      </c>
      <c r="O110" t="s">
        <v>75</v>
      </c>
    </row>
    <row r="111" spans="1:15" x14ac:dyDescent="0.25">
      <c r="A111" s="10" t="s">
        <v>852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189.59</v>
      </c>
      <c r="N111" s="15">
        <v>189.59</v>
      </c>
      <c r="O111" t="s">
        <v>75</v>
      </c>
    </row>
    <row r="112" spans="1:15" x14ac:dyDescent="0.25">
      <c r="A112" s="10" t="s">
        <v>880</v>
      </c>
      <c r="B112" s="15">
        <v>189.59</v>
      </c>
      <c r="C112" s="15">
        <v>189.59</v>
      </c>
      <c r="D112" s="15">
        <v>189.59</v>
      </c>
      <c r="E112" s="15">
        <v>189.59</v>
      </c>
      <c r="F112" s="15">
        <v>379.18</v>
      </c>
      <c r="G112" s="15">
        <v>189.59</v>
      </c>
      <c r="H112" s="15">
        <v>189.59</v>
      </c>
      <c r="I112" s="15">
        <v>189.59</v>
      </c>
      <c r="J112" s="15">
        <v>189.59</v>
      </c>
      <c r="K112" s="15">
        <v>189.59</v>
      </c>
      <c r="L112" s="15">
        <v>189.59</v>
      </c>
      <c r="M112" s="15">
        <v>189.59</v>
      </c>
      <c r="N112" s="15">
        <v>189.59</v>
      </c>
      <c r="O112" t="s">
        <v>75</v>
      </c>
    </row>
    <row r="113" spans="1:15" x14ac:dyDescent="0.25">
      <c r="A113" s="10" t="s">
        <v>912</v>
      </c>
      <c r="B113" s="15">
        <v>189.59</v>
      </c>
      <c r="C113" s="15">
        <v>189.59</v>
      </c>
      <c r="D113" s="15">
        <v>189.59</v>
      </c>
      <c r="E113" s="15">
        <v>189.59</v>
      </c>
      <c r="F113" s="15">
        <v>189.59</v>
      </c>
      <c r="G113" s="15">
        <v>189.59</v>
      </c>
      <c r="H113" s="15">
        <v>189.59</v>
      </c>
      <c r="I113" s="15">
        <v>379.18</v>
      </c>
      <c r="J113" s="15">
        <v>189.59</v>
      </c>
      <c r="K113" s="15">
        <v>189.59</v>
      </c>
      <c r="L113" s="15">
        <v>189.59</v>
      </c>
      <c r="M113" s="15">
        <v>379.18</v>
      </c>
      <c r="N113" s="15">
        <v>189.59</v>
      </c>
      <c r="O113" t="s">
        <v>75</v>
      </c>
    </row>
    <row r="114" spans="1:15" x14ac:dyDescent="0.25">
      <c r="A114" s="10" t="s">
        <v>934</v>
      </c>
      <c r="B114" s="15">
        <v>189.59</v>
      </c>
      <c r="C114" s="15">
        <v>189.59</v>
      </c>
      <c r="D114" s="15">
        <v>189.59</v>
      </c>
      <c r="E114" s="15">
        <v>189.59</v>
      </c>
      <c r="F114" s="15">
        <v>189.59</v>
      </c>
      <c r="G114" s="15">
        <v>189.59</v>
      </c>
      <c r="H114" s="15">
        <v>189.59</v>
      </c>
      <c r="I114" s="15">
        <v>379.18</v>
      </c>
      <c r="J114" s="15">
        <v>189.59</v>
      </c>
      <c r="K114" s="15">
        <v>189.59</v>
      </c>
      <c r="L114" s="15">
        <v>189.59</v>
      </c>
      <c r="M114" s="15">
        <v>189.59</v>
      </c>
      <c r="N114" s="15">
        <v>189.59</v>
      </c>
      <c r="O114" t="s">
        <v>75</v>
      </c>
    </row>
    <row r="115" spans="1:15" x14ac:dyDescent="0.25">
      <c r="A115" s="10" t="s">
        <v>958</v>
      </c>
      <c r="B115" s="15">
        <v>189.59</v>
      </c>
      <c r="C115" s="15">
        <v>189.59</v>
      </c>
      <c r="D115" s="15">
        <v>189.59</v>
      </c>
      <c r="E115" s="15">
        <v>379.18</v>
      </c>
      <c r="F115" s="15">
        <v>189.59</v>
      </c>
      <c r="G115" s="15">
        <v>189.59</v>
      </c>
      <c r="H115" s="15">
        <v>189.59</v>
      </c>
      <c r="I115" s="15">
        <v>189.59</v>
      </c>
      <c r="J115" s="15">
        <v>189.59</v>
      </c>
      <c r="K115" s="15">
        <v>189.59</v>
      </c>
      <c r="L115" s="15">
        <v>189.59</v>
      </c>
      <c r="M115" s="15">
        <v>189.59</v>
      </c>
      <c r="N115" s="15">
        <v>189.59</v>
      </c>
      <c r="O115" t="s">
        <v>75</v>
      </c>
    </row>
    <row r="116" spans="1:15" x14ac:dyDescent="0.25">
      <c r="A116" s="10" t="s">
        <v>960</v>
      </c>
      <c r="B116" s="15">
        <v>379.18</v>
      </c>
      <c r="C116" s="15">
        <v>189.59</v>
      </c>
      <c r="D116" s="15">
        <v>189.59</v>
      </c>
      <c r="E116" s="15">
        <v>189.59</v>
      </c>
      <c r="F116" s="15">
        <v>189.59</v>
      </c>
      <c r="G116" s="15">
        <v>189.59</v>
      </c>
      <c r="H116" s="15">
        <v>189.59</v>
      </c>
      <c r="I116" s="15">
        <v>189.59</v>
      </c>
      <c r="J116" s="15">
        <v>189.59</v>
      </c>
      <c r="K116" s="15">
        <v>379.18</v>
      </c>
      <c r="L116" s="15">
        <v>189.59</v>
      </c>
      <c r="M116" s="15">
        <v>189.59</v>
      </c>
      <c r="N116" s="15">
        <v>189.59</v>
      </c>
      <c r="O116" t="s">
        <v>75</v>
      </c>
    </row>
    <row r="117" spans="1:15" x14ac:dyDescent="0.25">
      <c r="A117" s="10" t="s">
        <v>964</v>
      </c>
      <c r="B117" s="15">
        <v>379.18</v>
      </c>
      <c r="C117" s="15">
        <v>379.18</v>
      </c>
      <c r="D117" s="15">
        <v>379.18</v>
      </c>
      <c r="E117" s="15">
        <v>379.18</v>
      </c>
      <c r="F117" s="15">
        <v>379.18</v>
      </c>
      <c r="G117" s="15">
        <v>379.18</v>
      </c>
      <c r="H117" s="15">
        <v>379.18</v>
      </c>
      <c r="I117" s="15">
        <v>379.18</v>
      </c>
      <c r="J117" s="15">
        <v>379.18</v>
      </c>
      <c r="K117" s="15">
        <v>379.18</v>
      </c>
      <c r="L117" s="15">
        <v>379.18</v>
      </c>
      <c r="M117" s="15">
        <v>379.18</v>
      </c>
      <c r="N117" s="15">
        <v>379.18</v>
      </c>
      <c r="O117" t="s">
        <v>75</v>
      </c>
    </row>
    <row r="118" spans="1:15" x14ac:dyDescent="0.25">
      <c r="A118" s="10" t="s">
        <v>968</v>
      </c>
      <c r="B118" s="15">
        <v>189.59</v>
      </c>
      <c r="C118" s="15">
        <v>189.59</v>
      </c>
      <c r="D118" s="15">
        <v>189.59</v>
      </c>
      <c r="E118" s="15">
        <v>379.18</v>
      </c>
      <c r="F118" s="15">
        <v>189.59</v>
      </c>
      <c r="G118" s="15">
        <v>189.59</v>
      </c>
      <c r="H118" s="15">
        <v>379.18</v>
      </c>
      <c r="I118" s="15">
        <v>189.59</v>
      </c>
      <c r="J118" s="15">
        <v>189.59</v>
      </c>
      <c r="K118" s="15">
        <v>189.59</v>
      </c>
      <c r="L118" s="15">
        <v>189.59</v>
      </c>
      <c r="M118" s="15">
        <v>189.59</v>
      </c>
      <c r="N118" s="15">
        <v>189.59</v>
      </c>
      <c r="O118" t="s">
        <v>75</v>
      </c>
    </row>
    <row r="119" spans="1:15" x14ac:dyDescent="0.25">
      <c r="A119" s="10" t="s">
        <v>970</v>
      </c>
      <c r="B119" s="15">
        <v>379.18</v>
      </c>
      <c r="C119" s="15">
        <v>758.36</v>
      </c>
      <c r="D119" s="15">
        <v>379.18</v>
      </c>
      <c r="E119" s="15">
        <v>379.18</v>
      </c>
      <c r="F119" s="15">
        <v>379.18</v>
      </c>
      <c r="G119" s="15">
        <v>379.18</v>
      </c>
      <c r="H119" s="15">
        <v>379.18</v>
      </c>
      <c r="I119" s="15">
        <v>379.18</v>
      </c>
      <c r="J119" s="15">
        <v>379.18</v>
      </c>
      <c r="K119" s="15">
        <v>379.18</v>
      </c>
      <c r="L119" s="15">
        <v>758.36</v>
      </c>
      <c r="M119" s="15">
        <v>379.18</v>
      </c>
      <c r="N119" s="15">
        <v>379.18</v>
      </c>
      <c r="O119" t="s">
        <v>75</v>
      </c>
    </row>
    <row r="120" spans="1:15" x14ac:dyDescent="0.25">
      <c r="A120" s="10" t="s">
        <v>976</v>
      </c>
      <c r="B120" s="15">
        <v>189.59</v>
      </c>
      <c r="C120" s="15">
        <v>379.18</v>
      </c>
      <c r="D120" s="15">
        <v>189.59</v>
      </c>
      <c r="E120" s="15">
        <v>189.59</v>
      </c>
      <c r="F120" s="15">
        <v>189.59</v>
      </c>
      <c r="G120" s="15">
        <v>189.59</v>
      </c>
      <c r="H120" s="15">
        <v>189.59</v>
      </c>
      <c r="I120" s="15">
        <v>189.59</v>
      </c>
      <c r="J120" s="15">
        <v>189.59</v>
      </c>
      <c r="K120" s="15">
        <v>189.59</v>
      </c>
      <c r="L120" s="15">
        <v>379.18</v>
      </c>
      <c r="M120" s="15">
        <v>189.59</v>
      </c>
      <c r="N120" s="15">
        <v>189.59</v>
      </c>
      <c r="O120" t="s">
        <v>75</v>
      </c>
    </row>
    <row r="121" spans="1:15" x14ac:dyDescent="0.25">
      <c r="A121" s="10" t="s">
        <v>982</v>
      </c>
      <c r="B121" s="15">
        <v>379.18</v>
      </c>
      <c r="C121" s="15">
        <v>379.18</v>
      </c>
      <c r="D121" s="15">
        <v>379.18</v>
      </c>
      <c r="E121" s="15">
        <v>379.18</v>
      </c>
      <c r="F121" s="15">
        <v>379.18</v>
      </c>
      <c r="G121" s="15">
        <v>379.18</v>
      </c>
      <c r="H121" s="15">
        <v>758.36</v>
      </c>
      <c r="I121" s="15">
        <v>379.18</v>
      </c>
      <c r="J121" s="15">
        <v>379.18</v>
      </c>
      <c r="K121" s="15">
        <v>379.18</v>
      </c>
      <c r="L121" s="15">
        <v>379.18</v>
      </c>
      <c r="M121" s="15">
        <v>379.18</v>
      </c>
      <c r="N121" s="15">
        <v>379.18</v>
      </c>
      <c r="O121" t="s">
        <v>75</v>
      </c>
    </row>
    <row r="122" spans="1:15" x14ac:dyDescent="0.25">
      <c r="A122" s="10" t="s">
        <v>984</v>
      </c>
      <c r="B122" s="15">
        <v>189.59</v>
      </c>
      <c r="C122" s="15">
        <v>379.18</v>
      </c>
      <c r="D122" s="15">
        <v>189.59</v>
      </c>
      <c r="E122" s="15">
        <v>379.18</v>
      </c>
      <c r="F122" s="15">
        <v>189.59</v>
      </c>
      <c r="G122" s="15">
        <v>189.59</v>
      </c>
      <c r="H122" s="15">
        <v>189.59</v>
      </c>
      <c r="I122" s="15">
        <v>379.18</v>
      </c>
      <c r="J122" s="15">
        <v>189.59</v>
      </c>
      <c r="K122" s="15">
        <v>189.59</v>
      </c>
      <c r="L122" s="15">
        <v>189.59</v>
      </c>
      <c r="M122" s="15">
        <v>189.59</v>
      </c>
      <c r="N122" s="15">
        <v>189.59</v>
      </c>
      <c r="O122" t="s">
        <v>75</v>
      </c>
    </row>
    <row r="123" spans="1:15" x14ac:dyDescent="0.25">
      <c r="A123" s="10" t="s">
        <v>988</v>
      </c>
      <c r="B123" s="15">
        <v>1137.54</v>
      </c>
      <c r="C123" s="15">
        <v>568.77</v>
      </c>
      <c r="D123" s="15">
        <v>568.77</v>
      </c>
      <c r="E123" s="15">
        <v>568.77</v>
      </c>
      <c r="F123" s="15">
        <v>568.77</v>
      </c>
      <c r="G123" s="15">
        <v>568.77</v>
      </c>
      <c r="H123" s="15">
        <v>568.77</v>
      </c>
      <c r="I123" s="15">
        <v>568.77</v>
      </c>
      <c r="J123" s="15">
        <v>568.77</v>
      </c>
      <c r="K123" s="15">
        <v>568.77</v>
      </c>
      <c r="L123" s="15">
        <v>568.77</v>
      </c>
      <c r="M123" s="15">
        <v>568.77</v>
      </c>
      <c r="N123" s="15">
        <v>568.77</v>
      </c>
      <c r="O123" t="s">
        <v>75</v>
      </c>
    </row>
    <row r="124" spans="1:15" x14ac:dyDescent="0.25">
      <c r="A124" s="10" t="s">
        <v>990</v>
      </c>
      <c r="B124" s="15">
        <v>568.77</v>
      </c>
      <c r="C124" s="15">
        <v>1137.54</v>
      </c>
      <c r="D124" s="15">
        <v>568.77</v>
      </c>
      <c r="E124" s="15">
        <v>568.77</v>
      </c>
      <c r="F124" s="15">
        <v>568.77</v>
      </c>
      <c r="G124" s="15">
        <v>568.77</v>
      </c>
      <c r="H124" s="15">
        <v>568.77</v>
      </c>
      <c r="I124" s="15">
        <v>568.77</v>
      </c>
      <c r="J124" s="15">
        <v>568.77</v>
      </c>
      <c r="K124" s="15">
        <v>568.77</v>
      </c>
      <c r="L124" s="15">
        <v>568.77</v>
      </c>
      <c r="M124" s="15">
        <v>1137.54</v>
      </c>
      <c r="N124" s="15">
        <v>568.77</v>
      </c>
      <c r="O124" t="s">
        <v>75</v>
      </c>
    </row>
    <row r="125" spans="1:15" x14ac:dyDescent="0.25">
      <c r="A125" s="10" t="s">
        <v>994</v>
      </c>
      <c r="B125" s="15">
        <v>379.18</v>
      </c>
      <c r="C125" s="15">
        <v>379.18</v>
      </c>
      <c r="D125" s="15">
        <v>379.18</v>
      </c>
      <c r="E125" s="15">
        <v>379.18</v>
      </c>
      <c r="F125" s="15">
        <v>379.18</v>
      </c>
      <c r="G125" s="15">
        <v>379.18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379.18</v>
      </c>
      <c r="O125" t="s">
        <v>75</v>
      </c>
    </row>
    <row r="126" spans="1:15" x14ac:dyDescent="0.25">
      <c r="A126" s="10" t="s">
        <v>996</v>
      </c>
      <c r="B126" s="15">
        <v>379.18</v>
      </c>
      <c r="C126" s="15">
        <v>758.36</v>
      </c>
      <c r="D126" s="15">
        <v>379.18</v>
      </c>
      <c r="E126" s="15">
        <v>568.77</v>
      </c>
      <c r="F126" s="15">
        <v>568.77</v>
      </c>
      <c r="G126" s="15">
        <v>568.77</v>
      </c>
      <c r="H126" s="15">
        <v>568.77</v>
      </c>
      <c r="I126" s="15">
        <v>568.77</v>
      </c>
      <c r="J126" s="15">
        <v>568.77</v>
      </c>
      <c r="K126" s="15">
        <v>568.77</v>
      </c>
      <c r="L126" s="15">
        <v>568.77</v>
      </c>
      <c r="M126" s="15">
        <v>1137.54</v>
      </c>
      <c r="N126" s="15">
        <v>568.77</v>
      </c>
      <c r="O126" t="s">
        <v>75</v>
      </c>
    </row>
    <row r="127" spans="1:15" x14ac:dyDescent="0.25">
      <c r="A127" s="10" t="s">
        <v>1009</v>
      </c>
      <c r="B127" s="15">
        <v>189.59</v>
      </c>
      <c r="C127" s="15">
        <v>379.18</v>
      </c>
      <c r="D127" s="15">
        <v>189.59</v>
      </c>
      <c r="E127" s="15">
        <v>189.59</v>
      </c>
      <c r="F127" s="15">
        <v>189.59</v>
      </c>
      <c r="G127" s="15">
        <v>189.59</v>
      </c>
      <c r="H127" s="15">
        <v>189.59</v>
      </c>
      <c r="I127" s="15">
        <v>189.59</v>
      </c>
      <c r="J127" s="15">
        <v>189.59</v>
      </c>
      <c r="K127" s="15">
        <v>189.59</v>
      </c>
      <c r="L127" s="15">
        <v>189.59</v>
      </c>
      <c r="M127" s="15">
        <v>189.59</v>
      </c>
      <c r="N127" s="15">
        <v>189.59</v>
      </c>
      <c r="O127" t="s">
        <v>75</v>
      </c>
    </row>
    <row r="128" spans="1:15" x14ac:dyDescent="0.25">
      <c r="A128" s="10" t="s">
        <v>1013</v>
      </c>
      <c r="B128" s="15">
        <v>568.77</v>
      </c>
      <c r="C128" s="15">
        <v>568.77</v>
      </c>
      <c r="D128" s="15">
        <v>568.77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568.77</v>
      </c>
      <c r="O128" t="s">
        <v>75</v>
      </c>
    </row>
    <row r="129" spans="1:15" x14ac:dyDescent="0.25">
      <c r="A129" s="10" t="s">
        <v>1015</v>
      </c>
      <c r="B129" s="15">
        <v>189.59</v>
      </c>
      <c r="C129" s="15">
        <v>189.59</v>
      </c>
      <c r="D129" s="15">
        <v>189.59</v>
      </c>
      <c r="E129" s="15">
        <v>189.59</v>
      </c>
      <c r="F129" s="15">
        <v>379.18</v>
      </c>
      <c r="G129" s="15">
        <v>189.59</v>
      </c>
      <c r="H129" s="15">
        <v>189.59</v>
      </c>
      <c r="I129" s="15">
        <v>189.59</v>
      </c>
      <c r="J129" s="15">
        <v>189.59</v>
      </c>
      <c r="K129" s="15">
        <v>189.59</v>
      </c>
      <c r="L129" s="15">
        <v>189.59</v>
      </c>
      <c r="M129" s="15">
        <v>189.59</v>
      </c>
      <c r="N129" s="15">
        <v>189.59</v>
      </c>
      <c r="O129" t="s">
        <v>75</v>
      </c>
    </row>
    <row r="130" spans="1:15" x14ac:dyDescent="0.25">
      <c r="A130" s="10" t="s">
        <v>1017</v>
      </c>
      <c r="B130" s="15">
        <v>379.18</v>
      </c>
      <c r="C130" s="15">
        <v>379.18</v>
      </c>
      <c r="D130" s="15">
        <v>379.18</v>
      </c>
      <c r="E130" s="15">
        <v>0</v>
      </c>
      <c r="F130" s="15">
        <v>0</v>
      </c>
      <c r="G130" s="15">
        <v>758.36</v>
      </c>
      <c r="H130" s="15">
        <v>379.18</v>
      </c>
      <c r="I130" s="15">
        <v>379.18</v>
      </c>
      <c r="J130" s="15">
        <v>379.18</v>
      </c>
      <c r="K130" s="15">
        <v>379.18</v>
      </c>
      <c r="L130" s="15">
        <v>379.18</v>
      </c>
      <c r="M130" s="15">
        <v>758.36</v>
      </c>
      <c r="N130" s="15">
        <v>379.18</v>
      </c>
      <c r="O130" t="s">
        <v>75</v>
      </c>
    </row>
    <row r="131" spans="1:15" x14ac:dyDescent="0.25">
      <c r="A131" s="10" t="s">
        <v>1019</v>
      </c>
      <c r="B131" s="15">
        <v>189.59</v>
      </c>
      <c r="C131" s="15">
        <v>189.59</v>
      </c>
      <c r="D131" s="15">
        <v>189.59</v>
      </c>
      <c r="E131" s="15">
        <v>189.59</v>
      </c>
      <c r="F131" s="15">
        <v>189.59</v>
      </c>
      <c r="G131" s="15">
        <v>189.59</v>
      </c>
      <c r="H131" s="15">
        <v>189.59</v>
      </c>
      <c r="I131" s="15">
        <v>379.18</v>
      </c>
      <c r="J131" s="15">
        <v>189.59</v>
      </c>
      <c r="K131" s="15">
        <v>189.59</v>
      </c>
      <c r="L131" s="15">
        <v>189.59</v>
      </c>
      <c r="M131" s="15">
        <v>379.18</v>
      </c>
      <c r="N131" s="15">
        <v>189.59</v>
      </c>
      <c r="O131" t="s">
        <v>75</v>
      </c>
    </row>
    <row r="132" spans="1:15" x14ac:dyDescent="0.25">
      <c r="A132" s="10" t="s">
        <v>1021</v>
      </c>
      <c r="B132" s="15">
        <v>189.59</v>
      </c>
      <c r="C132" s="15">
        <v>189.59</v>
      </c>
      <c r="D132" s="15">
        <v>189.59</v>
      </c>
      <c r="E132" s="15">
        <v>189.59</v>
      </c>
      <c r="F132" s="15">
        <v>189.59</v>
      </c>
      <c r="G132" s="15">
        <v>189.59</v>
      </c>
      <c r="H132" s="15">
        <v>379.18</v>
      </c>
      <c r="I132" s="15">
        <v>189.59</v>
      </c>
      <c r="J132" s="15">
        <v>189.59</v>
      </c>
      <c r="K132" s="15">
        <v>189.59</v>
      </c>
      <c r="L132" s="15">
        <v>189.59</v>
      </c>
      <c r="M132" s="15">
        <v>189.59</v>
      </c>
      <c r="N132" s="15">
        <v>189.59</v>
      </c>
      <c r="O132" t="s">
        <v>75</v>
      </c>
    </row>
    <row r="133" spans="1:15" x14ac:dyDescent="0.25">
      <c r="A133" s="10" t="s">
        <v>1023</v>
      </c>
      <c r="B133" s="15">
        <v>189.59</v>
      </c>
      <c r="C133" s="15">
        <v>189.59</v>
      </c>
      <c r="D133" s="15">
        <v>189.59</v>
      </c>
      <c r="E133" s="15">
        <v>189.59</v>
      </c>
      <c r="F133" s="15">
        <v>189.59</v>
      </c>
      <c r="G133" s="15">
        <v>189.59</v>
      </c>
      <c r="H133" s="15">
        <v>189.59</v>
      </c>
      <c r="I133" s="15">
        <v>189.59</v>
      </c>
      <c r="J133" s="15">
        <v>189.59</v>
      </c>
      <c r="K133" s="15">
        <v>189.59</v>
      </c>
      <c r="L133" s="15">
        <v>189.59</v>
      </c>
      <c r="M133" s="15">
        <v>189.59</v>
      </c>
      <c r="N133" s="15">
        <v>189.59</v>
      </c>
      <c r="O133" t="s">
        <v>75</v>
      </c>
    </row>
    <row r="134" spans="1:15" x14ac:dyDescent="0.25">
      <c r="A134" s="10" t="s">
        <v>1025</v>
      </c>
      <c r="B134" s="15">
        <v>189.59</v>
      </c>
      <c r="C134" s="15">
        <v>189.59</v>
      </c>
      <c r="D134" s="15">
        <v>189.59</v>
      </c>
      <c r="E134" s="15">
        <v>189.59</v>
      </c>
      <c r="F134" s="15">
        <v>189.59</v>
      </c>
      <c r="G134" s="15">
        <v>189.59</v>
      </c>
      <c r="H134" s="15">
        <v>189.59</v>
      </c>
      <c r="I134" s="15">
        <v>189.59</v>
      </c>
      <c r="J134" s="15">
        <v>189.59</v>
      </c>
      <c r="K134" s="15">
        <v>189.59</v>
      </c>
      <c r="L134" s="15">
        <v>379.18</v>
      </c>
      <c r="M134" s="15">
        <v>189.59</v>
      </c>
      <c r="N134" s="15">
        <v>189.59</v>
      </c>
      <c r="O134" t="s">
        <v>75</v>
      </c>
    </row>
    <row r="135" spans="1:15" x14ac:dyDescent="0.25">
      <c r="A135" s="10" t="s">
        <v>1033</v>
      </c>
      <c r="B135" s="15">
        <v>379.18</v>
      </c>
      <c r="C135" s="15">
        <v>189.59</v>
      </c>
      <c r="D135" s="15">
        <v>189.59</v>
      </c>
      <c r="E135" s="15">
        <v>189.59</v>
      </c>
      <c r="F135" s="15">
        <v>189.59</v>
      </c>
      <c r="G135" s="15">
        <v>189.59</v>
      </c>
      <c r="H135" s="15">
        <v>189.59</v>
      </c>
      <c r="I135" s="15">
        <v>189.59</v>
      </c>
      <c r="J135" s="15">
        <v>189.59</v>
      </c>
      <c r="K135" s="15">
        <v>189.59</v>
      </c>
      <c r="L135" s="15">
        <v>189.59</v>
      </c>
      <c r="M135" s="15">
        <v>379.18</v>
      </c>
      <c r="N135" s="15">
        <v>189.59</v>
      </c>
      <c r="O135" t="s">
        <v>75</v>
      </c>
    </row>
    <row r="136" spans="1:15" x14ac:dyDescent="0.25">
      <c r="A136" s="10" t="s">
        <v>1042</v>
      </c>
      <c r="B136" s="15">
        <v>568.77</v>
      </c>
      <c r="C136" s="15">
        <v>1137.54</v>
      </c>
      <c r="D136" s="15">
        <v>568.77</v>
      </c>
      <c r="E136" s="15">
        <v>568.77</v>
      </c>
      <c r="F136" s="15">
        <v>568.77</v>
      </c>
      <c r="G136" s="15">
        <v>568.77</v>
      </c>
      <c r="H136" s="15">
        <v>568.77</v>
      </c>
      <c r="I136" s="15">
        <v>568.77</v>
      </c>
      <c r="J136" s="15">
        <v>1137.54</v>
      </c>
      <c r="K136" s="15">
        <v>568.77</v>
      </c>
      <c r="L136" s="15">
        <v>568.77</v>
      </c>
      <c r="M136" s="15">
        <v>568.77</v>
      </c>
      <c r="N136" s="15">
        <v>568.77</v>
      </c>
      <c r="O136" t="s">
        <v>75</v>
      </c>
    </row>
    <row r="137" spans="1:15" x14ac:dyDescent="0.25">
      <c r="A137" s="10" t="s">
        <v>1044</v>
      </c>
      <c r="B137" s="15">
        <v>189.59</v>
      </c>
      <c r="C137" s="15">
        <v>189.59</v>
      </c>
      <c r="D137" s="15">
        <v>189.59</v>
      </c>
      <c r="E137" s="15">
        <v>189.59</v>
      </c>
      <c r="F137" s="15">
        <v>189.59</v>
      </c>
      <c r="G137" s="15">
        <v>189.59</v>
      </c>
      <c r="H137" s="15">
        <v>189.59</v>
      </c>
      <c r="I137" s="15">
        <v>379.18</v>
      </c>
      <c r="J137" s="15">
        <v>189.59</v>
      </c>
      <c r="K137" s="15">
        <v>189.59</v>
      </c>
      <c r="L137" s="15">
        <v>189.59</v>
      </c>
      <c r="M137" s="15">
        <v>189.59</v>
      </c>
      <c r="N137" s="15">
        <v>189.59</v>
      </c>
      <c r="O137" t="s">
        <v>75</v>
      </c>
    </row>
    <row r="138" spans="1:15" x14ac:dyDescent="0.25">
      <c r="A138" s="10" t="s">
        <v>1046</v>
      </c>
      <c r="B138" s="15">
        <v>379.18</v>
      </c>
      <c r="C138" s="15">
        <v>189.59</v>
      </c>
      <c r="D138" s="15">
        <v>189.59</v>
      </c>
      <c r="E138" s="15">
        <v>189.59</v>
      </c>
      <c r="F138" s="15">
        <v>189.59</v>
      </c>
      <c r="G138" s="15">
        <v>189.59</v>
      </c>
      <c r="H138" s="15">
        <v>189.59</v>
      </c>
      <c r="I138" s="15">
        <v>379.18</v>
      </c>
      <c r="J138" s="15">
        <v>189.59</v>
      </c>
      <c r="K138" s="15">
        <v>189.59</v>
      </c>
      <c r="L138" s="15">
        <v>0</v>
      </c>
      <c r="M138" s="15">
        <v>0</v>
      </c>
      <c r="N138" s="15">
        <v>0</v>
      </c>
      <c r="O138" t="s">
        <v>75</v>
      </c>
    </row>
    <row r="139" spans="1:15" x14ac:dyDescent="0.25">
      <c r="A139" s="10" t="s">
        <v>1055</v>
      </c>
      <c r="B139" s="15">
        <v>758.36</v>
      </c>
      <c r="C139" s="15">
        <v>758.36</v>
      </c>
      <c r="D139" s="15">
        <v>379.18</v>
      </c>
      <c r="E139" s="15">
        <v>379.18</v>
      </c>
      <c r="F139" s="15">
        <v>379.18</v>
      </c>
      <c r="G139" s="15">
        <v>379.18</v>
      </c>
      <c r="H139" s="15">
        <v>379.18</v>
      </c>
      <c r="I139" s="15">
        <v>379.18</v>
      </c>
      <c r="J139" s="15">
        <v>379.18</v>
      </c>
      <c r="K139" s="15">
        <v>379.18</v>
      </c>
      <c r="L139" s="15">
        <v>379.18</v>
      </c>
      <c r="M139" s="15">
        <v>379.18</v>
      </c>
      <c r="N139" s="15">
        <v>379.18</v>
      </c>
      <c r="O139" t="s">
        <v>75</v>
      </c>
    </row>
    <row r="140" spans="1:15" x14ac:dyDescent="0.25">
      <c r="A140" s="10" t="s">
        <v>1061</v>
      </c>
      <c r="B140" s="15">
        <v>379.18</v>
      </c>
      <c r="C140" s="15">
        <v>379.18</v>
      </c>
      <c r="D140" s="15">
        <v>379.18</v>
      </c>
      <c r="E140" s="15">
        <v>379.18</v>
      </c>
      <c r="F140" s="15">
        <v>379.18</v>
      </c>
      <c r="G140" s="15">
        <v>758.36</v>
      </c>
      <c r="H140" s="15">
        <v>379.18</v>
      </c>
      <c r="I140" s="15">
        <v>379.18</v>
      </c>
      <c r="J140" s="15">
        <v>379.18</v>
      </c>
      <c r="K140" s="15">
        <v>379.18</v>
      </c>
      <c r="L140" s="15">
        <v>379.18</v>
      </c>
      <c r="M140" s="15">
        <v>379.18</v>
      </c>
      <c r="N140" s="15">
        <v>379.18</v>
      </c>
      <c r="O140" t="s">
        <v>75</v>
      </c>
    </row>
    <row r="141" spans="1:15" x14ac:dyDescent="0.25">
      <c r="A141" s="10" t="s">
        <v>1063</v>
      </c>
      <c r="B141" s="15">
        <v>189.59</v>
      </c>
      <c r="C141" s="15">
        <v>379.18</v>
      </c>
      <c r="D141" s="15">
        <v>189.59</v>
      </c>
      <c r="E141" s="15">
        <v>189.59</v>
      </c>
      <c r="F141" s="15">
        <v>189.59</v>
      </c>
      <c r="G141" s="15">
        <v>379.18</v>
      </c>
      <c r="H141" s="15">
        <v>189.59</v>
      </c>
      <c r="I141" s="15">
        <v>189.59</v>
      </c>
      <c r="J141" s="15">
        <v>189.59</v>
      </c>
      <c r="K141" s="15">
        <v>189.59</v>
      </c>
      <c r="L141" s="15">
        <v>189.59</v>
      </c>
      <c r="M141" s="15">
        <v>379.18</v>
      </c>
      <c r="N141" s="15">
        <v>189.59</v>
      </c>
      <c r="O141" t="s">
        <v>75</v>
      </c>
    </row>
    <row r="142" spans="1:15" x14ac:dyDescent="0.25">
      <c r="A142" s="10" t="s">
        <v>1065</v>
      </c>
      <c r="B142" s="15">
        <v>379.18</v>
      </c>
      <c r="C142" s="15">
        <v>379.18</v>
      </c>
      <c r="D142" s="15">
        <v>189.59</v>
      </c>
      <c r="E142" s="15">
        <v>189.59</v>
      </c>
      <c r="F142" s="15">
        <v>189.59</v>
      </c>
      <c r="G142" s="15">
        <v>189.59</v>
      </c>
      <c r="H142" s="15">
        <v>189.59</v>
      </c>
      <c r="I142" s="15">
        <v>189.59</v>
      </c>
      <c r="J142" s="15">
        <v>189.59</v>
      </c>
      <c r="K142" s="15">
        <v>189.59</v>
      </c>
      <c r="L142" s="15">
        <v>189.59</v>
      </c>
      <c r="M142" s="15">
        <v>379.18</v>
      </c>
      <c r="N142" s="15">
        <v>189.59</v>
      </c>
      <c r="O142" t="s">
        <v>75</v>
      </c>
    </row>
    <row r="143" spans="1:15" x14ac:dyDescent="0.25">
      <c r="A143" s="10" t="s">
        <v>1069</v>
      </c>
      <c r="B143" s="15">
        <v>758.36</v>
      </c>
      <c r="C143" s="15">
        <v>568.77</v>
      </c>
      <c r="D143" s="15">
        <v>568.77</v>
      </c>
      <c r="E143" s="15">
        <v>568.77</v>
      </c>
      <c r="F143" s="15">
        <v>568.77</v>
      </c>
      <c r="G143" s="15">
        <v>1137.54</v>
      </c>
      <c r="H143" s="15">
        <v>568.77</v>
      </c>
      <c r="I143" s="15">
        <v>568.77</v>
      </c>
      <c r="J143" s="15">
        <v>568.77</v>
      </c>
      <c r="K143" s="15">
        <v>568.77</v>
      </c>
      <c r="L143" s="15">
        <v>568.77</v>
      </c>
      <c r="M143" s="15">
        <v>568.77</v>
      </c>
      <c r="N143" s="15">
        <v>568.77</v>
      </c>
      <c r="O143" t="s">
        <v>75</v>
      </c>
    </row>
    <row r="144" spans="1:15" x14ac:dyDescent="0.25">
      <c r="A144" s="10" t="s">
        <v>1071</v>
      </c>
      <c r="B144" s="15">
        <v>189.59</v>
      </c>
      <c r="C144" s="15">
        <v>189.59</v>
      </c>
      <c r="D144" s="15">
        <v>189.59</v>
      </c>
      <c r="E144" s="15">
        <v>379.18</v>
      </c>
      <c r="F144" s="15">
        <v>189.59</v>
      </c>
      <c r="G144" s="15">
        <v>189.59</v>
      </c>
      <c r="H144" s="15">
        <v>189.59</v>
      </c>
      <c r="I144" s="15">
        <v>189.59</v>
      </c>
      <c r="J144" s="15">
        <v>189.59</v>
      </c>
      <c r="K144" s="15">
        <v>189.59</v>
      </c>
      <c r="L144" s="15">
        <v>189.59</v>
      </c>
      <c r="M144" s="15">
        <v>189.59</v>
      </c>
      <c r="N144" s="15">
        <v>189.59</v>
      </c>
      <c r="O144" t="s">
        <v>75</v>
      </c>
    </row>
    <row r="145" spans="1:15" x14ac:dyDescent="0.25">
      <c r="A145" s="10" t="s">
        <v>1073</v>
      </c>
      <c r="B145" s="15">
        <v>189.59</v>
      </c>
      <c r="C145" s="15">
        <v>189.59</v>
      </c>
      <c r="D145" s="15">
        <v>189.59</v>
      </c>
      <c r="E145" s="15">
        <v>189.59</v>
      </c>
      <c r="F145" s="15">
        <v>189.59</v>
      </c>
      <c r="G145" s="15">
        <v>189.59</v>
      </c>
      <c r="H145" s="15">
        <v>189.59</v>
      </c>
      <c r="I145" s="15">
        <v>189.59</v>
      </c>
      <c r="J145" s="15">
        <v>189.59</v>
      </c>
      <c r="K145" s="15">
        <v>189.59</v>
      </c>
      <c r="L145" s="15">
        <v>379.18</v>
      </c>
      <c r="M145" s="15">
        <v>189.59</v>
      </c>
      <c r="N145" s="15">
        <v>189.59</v>
      </c>
      <c r="O145" t="s">
        <v>75</v>
      </c>
    </row>
    <row r="146" spans="1:15" x14ac:dyDescent="0.25">
      <c r="A146" s="10" t="s">
        <v>1079</v>
      </c>
      <c r="B146" s="15">
        <v>1137.54</v>
      </c>
      <c r="C146" s="15">
        <v>1137.54</v>
      </c>
      <c r="D146" s="15">
        <v>568.77</v>
      </c>
      <c r="E146" s="15">
        <v>568.77</v>
      </c>
      <c r="F146" s="15">
        <v>568.77</v>
      </c>
      <c r="G146" s="15">
        <v>568.77</v>
      </c>
      <c r="H146" s="15">
        <v>568.77</v>
      </c>
      <c r="I146" s="15">
        <v>568.77</v>
      </c>
      <c r="J146" s="15">
        <v>568.77</v>
      </c>
      <c r="K146" s="15">
        <v>568.77</v>
      </c>
      <c r="L146" s="15">
        <v>568.77</v>
      </c>
      <c r="M146" s="15">
        <v>568.77</v>
      </c>
      <c r="N146" s="15">
        <v>568.77</v>
      </c>
      <c r="O146" t="s">
        <v>75</v>
      </c>
    </row>
    <row r="147" spans="1:15" x14ac:dyDescent="0.25">
      <c r="A147" s="10" t="s">
        <v>1092</v>
      </c>
      <c r="B147" s="15">
        <v>189.59</v>
      </c>
      <c r="C147" s="15">
        <v>189.59</v>
      </c>
      <c r="D147" s="15">
        <v>189.59</v>
      </c>
      <c r="E147" s="15">
        <v>189.59</v>
      </c>
      <c r="F147" s="15">
        <v>189.59</v>
      </c>
      <c r="G147" s="15">
        <v>189.59</v>
      </c>
      <c r="H147" s="15">
        <v>379.18</v>
      </c>
      <c r="I147" s="15">
        <v>189.59</v>
      </c>
      <c r="J147" s="15">
        <v>189.59</v>
      </c>
      <c r="K147" s="15">
        <v>189.59</v>
      </c>
      <c r="L147" s="15">
        <v>189.59</v>
      </c>
      <c r="M147" s="15">
        <v>189.59</v>
      </c>
      <c r="N147" s="15">
        <v>189.59</v>
      </c>
      <c r="O147" t="s">
        <v>75</v>
      </c>
    </row>
    <row r="148" spans="1:15" x14ac:dyDescent="0.25">
      <c r="A148" s="10" t="s">
        <v>1094</v>
      </c>
      <c r="B148" s="15">
        <v>1137.54</v>
      </c>
      <c r="C148" s="15">
        <v>568.77</v>
      </c>
      <c r="D148" s="15">
        <v>568.77</v>
      </c>
      <c r="E148" s="15">
        <v>568.77</v>
      </c>
      <c r="F148" s="15">
        <v>568.77</v>
      </c>
      <c r="G148" s="15">
        <v>568.77</v>
      </c>
      <c r="H148" s="15">
        <v>568.77</v>
      </c>
      <c r="I148" s="15">
        <v>568.77</v>
      </c>
      <c r="J148" s="15">
        <v>568.77</v>
      </c>
      <c r="K148" s="15">
        <v>568.77</v>
      </c>
      <c r="L148" s="15">
        <v>568.77</v>
      </c>
      <c r="M148" s="15">
        <v>568.77</v>
      </c>
      <c r="N148" s="15">
        <v>568.77</v>
      </c>
      <c r="O148" t="s">
        <v>75</v>
      </c>
    </row>
    <row r="149" spans="1:15" x14ac:dyDescent="0.25">
      <c r="A149" s="10" t="s">
        <v>1096</v>
      </c>
      <c r="B149" s="15">
        <v>189.59</v>
      </c>
      <c r="C149" s="15">
        <v>189.59</v>
      </c>
      <c r="D149" s="15">
        <v>189.59</v>
      </c>
      <c r="E149" s="15">
        <v>189.59</v>
      </c>
      <c r="F149" s="15">
        <v>379.18</v>
      </c>
      <c r="G149" s="15">
        <v>189.59</v>
      </c>
      <c r="H149" s="15">
        <v>189.59</v>
      </c>
      <c r="I149" s="15">
        <v>189.59</v>
      </c>
      <c r="J149" s="15">
        <v>189.59</v>
      </c>
      <c r="K149" s="15">
        <v>189.59</v>
      </c>
      <c r="L149" s="15">
        <v>189.59</v>
      </c>
      <c r="M149" s="15">
        <v>189.59</v>
      </c>
      <c r="N149" s="15">
        <v>189.59</v>
      </c>
      <c r="O149" t="s">
        <v>75</v>
      </c>
    </row>
    <row r="150" spans="1:15" x14ac:dyDescent="0.25">
      <c r="A150" s="10" t="s">
        <v>1100</v>
      </c>
      <c r="B150" s="15">
        <v>189.59</v>
      </c>
      <c r="C150" s="15">
        <v>379.18</v>
      </c>
      <c r="D150" s="15">
        <v>189.59</v>
      </c>
      <c r="E150" s="15">
        <v>189.59</v>
      </c>
      <c r="F150" s="15">
        <v>189.59</v>
      </c>
      <c r="G150" s="15">
        <v>189.59</v>
      </c>
      <c r="H150" s="15">
        <v>189.59</v>
      </c>
      <c r="I150" s="15">
        <v>189.59</v>
      </c>
      <c r="J150" s="15">
        <v>189.59</v>
      </c>
      <c r="K150" s="15">
        <v>189.59</v>
      </c>
      <c r="L150" s="15">
        <v>379.18</v>
      </c>
      <c r="M150" s="15">
        <v>189.59</v>
      </c>
      <c r="N150" s="15">
        <v>189.59</v>
      </c>
      <c r="O150" t="s">
        <v>75</v>
      </c>
    </row>
    <row r="151" spans="1:15" x14ac:dyDescent="0.25">
      <c r="A151" s="10" t="s">
        <v>1102</v>
      </c>
      <c r="B151" s="15">
        <v>379.18</v>
      </c>
      <c r="C151" s="15">
        <v>379.18</v>
      </c>
      <c r="D151" s="15">
        <v>189.59</v>
      </c>
      <c r="E151" s="15">
        <v>189.59</v>
      </c>
      <c r="F151" s="15">
        <v>189.59</v>
      </c>
      <c r="G151" s="15">
        <v>189.59</v>
      </c>
      <c r="H151" s="15">
        <v>189.59</v>
      </c>
      <c r="I151" s="15">
        <v>189.59</v>
      </c>
      <c r="J151" s="15">
        <v>189.59</v>
      </c>
      <c r="K151" s="15">
        <v>189.59</v>
      </c>
      <c r="L151" s="15">
        <v>189.59</v>
      </c>
      <c r="M151" s="15">
        <v>189.59</v>
      </c>
      <c r="N151" s="15">
        <v>189.59</v>
      </c>
      <c r="O151" t="s">
        <v>75</v>
      </c>
    </row>
    <row r="152" spans="1:15" x14ac:dyDescent="0.25">
      <c r="A152" s="10" t="s">
        <v>1109</v>
      </c>
      <c r="B152" s="15">
        <v>379.18</v>
      </c>
      <c r="C152" s="15">
        <v>379.18</v>
      </c>
      <c r="D152" s="15">
        <v>379.18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379.18</v>
      </c>
      <c r="O152" t="s">
        <v>75</v>
      </c>
    </row>
    <row r="153" spans="1:15" x14ac:dyDescent="0.25">
      <c r="A153" s="10" t="s">
        <v>1115</v>
      </c>
      <c r="B153" s="15">
        <v>379.18</v>
      </c>
      <c r="C153" s="15">
        <v>379.18</v>
      </c>
      <c r="D153" s="15">
        <v>379.18</v>
      </c>
      <c r="E153" s="15">
        <v>379.18</v>
      </c>
      <c r="F153" s="15">
        <v>758.36</v>
      </c>
      <c r="G153" s="15">
        <v>379.18</v>
      </c>
      <c r="H153" s="15">
        <v>379.18</v>
      </c>
      <c r="I153" s="15">
        <v>379.18</v>
      </c>
      <c r="J153" s="15">
        <v>379.18</v>
      </c>
      <c r="K153" s="15">
        <v>379.18</v>
      </c>
      <c r="L153" s="15">
        <v>379.18</v>
      </c>
      <c r="M153" s="15">
        <v>379.18</v>
      </c>
      <c r="N153" s="15">
        <v>379.18</v>
      </c>
      <c r="O153" t="s">
        <v>75</v>
      </c>
    </row>
    <row r="154" spans="1:15" x14ac:dyDescent="0.25">
      <c r="A154" s="10" t="s">
        <v>1117</v>
      </c>
      <c r="B154" s="15">
        <v>189.59</v>
      </c>
      <c r="C154" s="15">
        <v>189.59</v>
      </c>
      <c r="D154" s="15">
        <v>189.59</v>
      </c>
      <c r="E154" s="15">
        <v>189.59</v>
      </c>
      <c r="F154" s="15">
        <v>379.18</v>
      </c>
      <c r="G154" s="15">
        <v>189.59</v>
      </c>
      <c r="H154" s="15">
        <v>189.59</v>
      </c>
      <c r="I154" s="15">
        <v>189.59</v>
      </c>
      <c r="J154" s="15">
        <v>189.59</v>
      </c>
      <c r="K154" s="15">
        <v>0</v>
      </c>
      <c r="L154" s="15">
        <v>379.18</v>
      </c>
      <c r="M154" s="15">
        <v>189.59</v>
      </c>
      <c r="N154" s="15">
        <v>189.59</v>
      </c>
      <c r="O154" t="s">
        <v>75</v>
      </c>
    </row>
    <row r="155" spans="1:15" x14ac:dyDescent="0.25">
      <c r="A155" s="10" t="s">
        <v>1121</v>
      </c>
      <c r="B155" s="15">
        <v>758.36</v>
      </c>
      <c r="C155" s="15">
        <v>758.36</v>
      </c>
      <c r="D155" s="15">
        <v>379.18</v>
      </c>
      <c r="E155" s="15">
        <v>379.18</v>
      </c>
      <c r="F155" s="15">
        <v>379.18</v>
      </c>
      <c r="G155" s="15">
        <v>379.18</v>
      </c>
      <c r="H155" s="15">
        <v>379.18</v>
      </c>
      <c r="I155" s="15">
        <v>379.18</v>
      </c>
      <c r="J155" s="15">
        <v>379.18</v>
      </c>
      <c r="K155" s="15">
        <v>379.18</v>
      </c>
      <c r="L155" s="15">
        <v>379.18</v>
      </c>
      <c r="M155" s="15">
        <v>379.18</v>
      </c>
      <c r="N155" s="15">
        <v>379.18</v>
      </c>
      <c r="O155" t="s">
        <v>75</v>
      </c>
    </row>
    <row r="156" spans="1:15" x14ac:dyDescent="0.25">
      <c r="A156" s="10" t="s">
        <v>1125</v>
      </c>
      <c r="B156" s="15">
        <v>1137.54</v>
      </c>
      <c r="C156" s="15">
        <v>568.77</v>
      </c>
      <c r="D156" s="15">
        <v>568.77</v>
      </c>
      <c r="E156" s="15">
        <v>568.77</v>
      </c>
      <c r="F156" s="15">
        <v>568.77</v>
      </c>
      <c r="G156" s="15">
        <v>568.77</v>
      </c>
      <c r="H156" s="15">
        <v>568.77</v>
      </c>
      <c r="I156" s="15">
        <v>568.77</v>
      </c>
      <c r="J156" s="15">
        <v>568.77</v>
      </c>
      <c r="K156" s="15">
        <v>568.77</v>
      </c>
      <c r="L156" s="15">
        <v>568.77</v>
      </c>
      <c r="M156" s="15">
        <v>1137.54</v>
      </c>
      <c r="N156" s="15">
        <v>568.77</v>
      </c>
      <c r="O156" t="s">
        <v>75</v>
      </c>
    </row>
    <row r="157" spans="1:15" x14ac:dyDescent="0.25">
      <c r="A157" s="10" t="s">
        <v>1129</v>
      </c>
      <c r="B157" s="15">
        <v>379.18</v>
      </c>
      <c r="C157" s="15">
        <v>379.18</v>
      </c>
      <c r="D157" s="15">
        <v>379.18</v>
      </c>
      <c r="E157" s="15">
        <v>758.36</v>
      </c>
      <c r="F157" s="15">
        <v>379.18</v>
      </c>
      <c r="G157" s="15">
        <v>379.18</v>
      </c>
      <c r="H157" s="15">
        <v>758.36</v>
      </c>
      <c r="I157" s="15">
        <v>379.18</v>
      </c>
      <c r="J157" s="15">
        <v>379.18</v>
      </c>
      <c r="K157" s="15">
        <v>379.18</v>
      </c>
      <c r="L157" s="15">
        <v>379.18</v>
      </c>
      <c r="M157" s="15">
        <v>379.18</v>
      </c>
      <c r="N157" s="15">
        <v>379.18</v>
      </c>
      <c r="O157" t="s">
        <v>75</v>
      </c>
    </row>
    <row r="158" spans="1:15" x14ac:dyDescent="0.25">
      <c r="A158" s="10" t="s">
        <v>1136</v>
      </c>
      <c r="B158" s="15">
        <v>568.77</v>
      </c>
      <c r="C158" s="15">
        <v>568.77</v>
      </c>
      <c r="D158" s="15">
        <v>568.77</v>
      </c>
      <c r="E158" s="15">
        <v>568.77</v>
      </c>
      <c r="F158" s="15">
        <v>568.77</v>
      </c>
      <c r="G158" s="15">
        <v>568.77</v>
      </c>
      <c r="H158" s="15">
        <v>568.77</v>
      </c>
      <c r="I158" s="15">
        <v>568.77</v>
      </c>
      <c r="J158" s="15">
        <v>568.77</v>
      </c>
      <c r="K158" s="15">
        <v>189.59</v>
      </c>
      <c r="L158" s="15">
        <v>189.59</v>
      </c>
      <c r="M158" s="15">
        <v>379.18</v>
      </c>
      <c r="N158" s="15">
        <v>189.59</v>
      </c>
      <c r="O158" t="s">
        <v>75</v>
      </c>
    </row>
    <row r="159" spans="1:15" x14ac:dyDescent="0.25">
      <c r="A159" s="10" t="s">
        <v>1142</v>
      </c>
      <c r="B159" s="15">
        <v>379.18</v>
      </c>
      <c r="C159" s="15">
        <v>758.36</v>
      </c>
      <c r="D159" s="15">
        <v>379.18</v>
      </c>
      <c r="E159" s="15">
        <v>379.18</v>
      </c>
      <c r="F159" s="15">
        <v>379.18</v>
      </c>
      <c r="G159" s="15">
        <v>379.18</v>
      </c>
      <c r="H159" s="15">
        <v>379.18</v>
      </c>
      <c r="I159" s="15">
        <v>379.18</v>
      </c>
      <c r="J159" s="15">
        <v>379.18</v>
      </c>
      <c r="K159" s="15">
        <v>379.18</v>
      </c>
      <c r="L159" s="15">
        <v>379.18</v>
      </c>
      <c r="M159" s="15">
        <v>758.36</v>
      </c>
      <c r="N159" s="15">
        <v>379.18</v>
      </c>
      <c r="O159" t="s">
        <v>75</v>
      </c>
    </row>
    <row r="160" spans="1:15" x14ac:dyDescent="0.25">
      <c r="A160" s="10" t="s">
        <v>1144</v>
      </c>
      <c r="B160" s="15">
        <v>189.59</v>
      </c>
      <c r="C160" s="15">
        <v>189.59</v>
      </c>
      <c r="D160" s="15">
        <v>189.59</v>
      </c>
      <c r="E160" s="15">
        <v>189.59</v>
      </c>
      <c r="F160" s="15">
        <v>379.18</v>
      </c>
      <c r="G160" s="15">
        <v>189.59</v>
      </c>
      <c r="H160" s="15">
        <v>189.59</v>
      </c>
      <c r="I160" s="15">
        <v>189.59</v>
      </c>
      <c r="J160" s="15">
        <v>189.59</v>
      </c>
      <c r="K160" s="15">
        <v>189.59</v>
      </c>
      <c r="L160" s="15">
        <v>189.59</v>
      </c>
      <c r="M160" s="15">
        <v>189.59</v>
      </c>
      <c r="N160" s="15">
        <v>189.59</v>
      </c>
      <c r="O160" t="s">
        <v>75</v>
      </c>
    </row>
    <row r="161" spans="1:15" x14ac:dyDescent="0.25">
      <c r="A161" s="10" t="s">
        <v>1146</v>
      </c>
      <c r="B161" s="15">
        <v>189.59</v>
      </c>
      <c r="C161" s="15">
        <v>189.59</v>
      </c>
      <c r="D161" s="15">
        <v>379.18</v>
      </c>
      <c r="E161" s="15">
        <v>189.59</v>
      </c>
      <c r="F161" s="15">
        <v>189.59</v>
      </c>
      <c r="G161" s="15">
        <v>189.59</v>
      </c>
      <c r="H161" s="15">
        <v>189.59</v>
      </c>
      <c r="I161" s="15">
        <v>189.59</v>
      </c>
      <c r="J161" s="15">
        <v>189.59</v>
      </c>
      <c r="K161" s="15">
        <v>189.59</v>
      </c>
      <c r="L161" s="15">
        <v>189.59</v>
      </c>
      <c r="M161" s="15">
        <v>189.59</v>
      </c>
      <c r="N161" s="15">
        <v>189.59</v>
      </c>
      <c r="O161" t="s">
        <v>75</v>
      </c>
    </row>
    <row r="162" spans="1:15" x14ac:dyDescent="0.25">
      <c r="A162" s="10" t="s">
        <v>1148</v>
      </c>
      <c r="B162" s="15">
        <v>189.59</v>
      </c>
      <c r="C162" s="15">
        <v>379.18</v>
      </c>
      <c r="D162" s="15">
        <v>189.59</v>
      </c>
      <c r="E162" s="15">
        <v>189.59</v>
      </c>
      <c r="F162" s="15">
        <v>189.59</v>
      </c>
      <c r="G162" s="15">
        <v>189.59</v>
      </c>
      <c r="H162" s="15">
        <v>189.59</v>
      </c>
      <c r="I162" s="15">
        <v>189.59</v>
      </c>
      <c r="J162" s="15">
        <v>189.59</v>
      </c>
      <c r="K162" s="15">
        <v>189.59</v>
      </c>
      <c r="L162" s="15">
        <v>189.59</v>
      </c>
      <c r="M162" s="15">
        <v>379.18</v>
      </c>
      <c r="N162" s="15">
        <v>189.59</v>
      </c>
      <c r="O162" t="s">
        <v>75</v>
      </c>
    </row>
    <row r="163" spans="1:15" x14ac:dyDescent="0.25">
      <c r="A163" s="10" t="s">
        <v>1152</v>
      </c>
      <c r="B163" s="15">
        <v>189.59</v>
      </c>
      <c r="C163" s="15">
        <v>189.59</v>
      </c>
      <c r="D163" s="15">
        <v>189.59</v>
      </c>
      <c r="E163" s="15">
        <v>189.59</v>
      </c>
      <c r="F163" s="15">
        <v>189.59</v>
      </c>
      <c r="G163" s="15">
        <v>189.59</v>
      </c>
      <c r="H163" s="15">
        <v>189.59</v>
      </c>
      <c r="I163" s="15">
        <v>189.59</v>
      </c>
      <c r="J163" s="15">
        <v>189.59</v>
      </c>
      <c r="K163" s="15">
        <v>379.18</v>
      </c>
      <c r="L163" s="15">
        <v>189.59</v>
      </c>
      <c r="M163" s="15">
        <v>189.59</v>
      </c>
      <c r="N163" s="15">
        <v>189.59</v>
      </c>
      <c r="O163" t="s">
        <v>75</v>
      </c>
    </row>
    <row r="164" spans="1:15" x14ac:dyDescent="0.25">
      <c r="A164" s="10" t="s">
        <v>1156</v>
      </c>
      <c r="B164" s="15">
        <v>189.59</v>
      </c>
      <c r="C164" s="15">
        <v>189.59</v>
      </c>
      <c r="D164" s="15">
        <v>189.59</v>
      </c>
      <c r="E164" s="15">
        <v>189.59</v>
      </c>
      <c r="F164" s="15">
        <v>189.59</v>
      </c>
      <c r="G164" s="15">
        <v>189.59</v>
      </c>
      <c r="H164" s="15">
        <v>189.59</v>
      </c>
      <c r="I164" s="15">
        <v>189.59</v>
      </c>
      <c r="J164" s="15">
        <v>379.18</v>
      </c>
      <c r="K164" s="15">
        <v>189.59</v>
      </c>
      <c r="L164" s="15">
        <v>189.59</v>
      </c>
      <c r="M164" s="15">
        <v>189.59</v>
      </c>
      <c r="N164" s="15">
        <v>189.59</v>
      </c>
      <c r="O164" t="s">
        <v>75</v>
      </c>
    </row>
    <row r="165" spans="1:15" x14ac:dyDescent="0.25">
      <c r="A165" s="10" t="s">
        <v>1158</v>
      </c>
      <c r="B165" s="15">
        <v>189.59</v>
      </c>
      <c r="C165" s="15">
        <v>189.59</v>
      </c>
      <c r="D165" s="15">
        <v>189.59</v>
      </c>
      <c r="E165" s="15">
        <v>189.59</v>
      </c>
      <c r="F165" s="15">
        <v>189.59</v>
      </c>
      <c r="G165" s="15">
        <v>189.59</v>
      </c>
      <c r="H165" s="15">
        <v>189.59</v>
      </c>
      <c r="I165" s="15">
        <v>189.59</v>
      </c>
      <c r="J165" s="15">
        <v>189.59</v>
      </c>
      <c r="K165" s="15">
        <v>189.59</v>
      </c>
      <c r="L165" s="15">
        <v>189.59</v>
      </c>
      <c r="M165" s="15">
        <v>189.59</v>
      </c>
      <c r="N165" s="15">
        <v>189.59</v>
      </c>
      <c r="O165" t="s">
        <v>75</v>
      </c>
    </row>
    <row r="166" spans="1:15" x14ac:dyDescent="0.25">
      <c r="A166" s="10" t="s">
        <v>1160</v>
      </c>
      <c r="B166" s="15">
        <v>189.59</v>
      </c>
      <c r="C166" s="15">
        <v>189.59</v>
      </c>
      <c r="D166" s="15">
        <v>379.18</v>
      </c>
      <c r="E166" s="15">
        <v>189.59</v>
      </c>
      <c r="F166" s="15">
        <v>189.59</v>
      </c>
      <c r="G166" s="15">
        <v>189.59</v>
      </c>
      <c r="H166" s="15">
        <v>189.59</v>
      </c>
      <c r="I166" s="15">
        <v>189.59</v>
      </c>
      <c r="J166" s="15">
        <v>189.59</v>
      </c>
      <c r="K166" s="15">
        <v>189.59</v>
      </c>
      <c r="L166" s="15">
        <v>189.59</v>
      </c>
      <c r="M166" s="15">
        <v>189.59</v>
      </c>
      <c r="N166" s="15">
        <v>189.59</v>
      </c>
      <c r="O166" t="s">
        <v>75</v>
      </c>
    </row>
    <row r="167" spans="1:15" x14ac:dyDescent="0.25">
      <c r="A167" s="10" t="s">
        <v>1168</v>
      </c>
      <c r="B167" s="15">
        <v>568.77</v>
      </c>
      <c r="C167" s="15">
        <v>1137.54</v>
      </c>
      <c r="D167" s="15">
        <v>568.77</v>
      </c>
      <c r="E167" s="15">
        <v>568.77</v>
      </c>
      <c r="F167" s="15">
        <v>568.77</v>
      </c>
      <c r="G167" s="15">
        <v>568.77</v>
      </c>
      <c r="H167" s="15">
        <v>568.77</v>
      </c>
      <c r="I167" s="15">
        <v>568.77</v>
      </c>
      <c r="J167" s="15">
        <v>1137.54</v>
      </c>
      <c r="K167" s="15">
        <v>568.77</v>
      </c>
      <c r="L167" s="15">
        <v>568.77</v>
      </c>
      <c r="M167" s="15">
        <v>568.77</v>
      </c>
      <c r="N167" s="15">
        <v>568.77</v>
      </c>
      <c r="O167" t="s">
        <v>75</v>
      </c>
    </row>
    <row r="168" spans="1:15" x14ac:dyDescent="0.25">
      <c r="A168" s="10" t="s">
        <v>1172</v>
      </c>
      <c r="B168" s="15">
        <v>189.59</v>
      </c>
      <c r="C168" s="15">
        <v>189.59</v>
      </c>
      <c r="D168" s="15">
        <v>189.59</v>
      </c>
      <c r="E168" s="15">
        <v>189.59</v>
      </c>
      <c r="F168" s="15">
        <v>189.59</v>
      </c>
      <c r="G168" s="15">
        <v>189.59</v>
      </c>
      <c r="H168" s="15">
        <v>189.59</v>
      </c>
      <c r="I168" s="15">
        <v>189.59</v>
      </c>
      <c r="J168" s="15">
        <v>189.59</v>
      </c>
      <c r="K168" s="15">
        <v>189.59</v>
      </c>
      <c r="L168" s="15">
        <v>189.59</v>
      </c>
      <c r="M168" s="15">
        <v>379.18</v>
      </c>
      <c r="N168" s="15">
        <v>189.59</v>
      </c>
      <c r="O168" t="s">
        <v>75</v>
      </c>
    </row>
    <row r="169" spans="1:15" x14ac:dyDescent="0.25">
      <c r="A169" s="10" t="s">
        <v>1174</v>
      </c>
      <c r="B169" s="15">
        <v>379.18</v>
      </c>
      <c r="C169" s="15">
        <v>379.18</v>
      </c>
      <c r="D169" s="15">
        <v>379.18</v>
      </c>
      <c r="E169" s="15">
        <v>379.18</v>
      </c>
      <c r="F169" s="15">
        <v>379.18</v>
      </c>
      <c r="G169" s="15">
        <v>758.36</v>
      </c>
      <c r="H169" s="15">
        <v>379.18</v>
      </c>
      <c r="I169" s="15">
        <v>379.18</v>
      </c>
      <c r="J169" s="15">
        <v>379.18</v>
      </c>
      <c r="K169" s="15">
        <v>379.18</v>
      </c>
      <c r="L169" s="15">
        <v>379.18</v>
      </c>
      <c r="M169" s="15">
        <v>379.18</v>
      </c>
      <c r="N169" s="15">
        <v>379.18</v>
      </c>
      <c r="O169" t="s">
        <v>75</v>
      </c>
    </row>
    <row r="170" spans="1:15" x14ac:dyDescent="0.25">
      <c r="A170" s="10" t="s">
        <v>1176</v>
      </c>
      <c r="B170" s="15">
        <v>379.18</v>
      </c>
      <c r="C170" s="15">
        <v>379.18</v>
      </c>
      <c r="D170" s="15">
        <v>379.18</v>
      </c>
      <c r="E170" s="15">
        <v>379.18</v>
      </c>
      <c r="F170" s="15">
        <v>379.18</v>
      </c>
      <c r="G170" s="15">
        <v>0</v>
      </c>
      <c r="H170" s="15">
        <v>0</v>
      </c>
      <c r="I170" s="15">
        <v>0</v>
      </c>
      <c r="J170" s="15">
        <v>379.18</v>
      </c>
      <c r="K170" s="15">
        <v>379.18</v>
      </c>
      <c r="L170" s="15">
        <v>0</v>
      </c>
      <c r="M170" s="15">
        <v>0</v>
      </c>
      <c r="N170" s="15">
        <v>379.18</v>
      </c>
      <c r="O170" t="s">
        <v>75</v>
      </c>
    </row>
    <row r="171" spans="1:15" x14ac:dyDescent="0.25">
      <c r="A171" s="10" t="s">
        <v>1180</v>
      </c>
      <c r="B171" s="15">
        <v>0</v>
      </c>
      <c r="C171" s="15">
        <v>189.59</v>
      </c>
      <c r="D171" s="15">
        <v>189.59</v>
      </c>
      <c r="E171" s="15">
        <v>189.59</v>
      </c>
      <c r="F171" s="15">
        <v>189.59</v>
      </c>
      <c r="G171" s="15">
        <v>189.59</v>
      </c>
      <c r="H171" s="15">
        <v>189.59</v>
      </c>
      <c r="I171" s="15">
        <v>379.18</v>
      </c>
      <c r="J171" s="15">
        <v>189.59</v>
      </c>
      <c r="K171" s="15">
        <v>189.59</v>
      </c>
      <c r="L171" s="15">
        <v>189.59</v>
      </c>
      <c r="M171" s="15">
        <v>189.59</v>
      </c>
      <c r="N171" s="15">
        <v>189.59</v>
      </c>
      <c r="O171" t="s">
        <v>75</v>
      </c>
    </row>
    <row r="172" spans="1:15" x14ac:dyDescent="0.25">
      <c r="A172" s="10" t="s">
        <v>1182</v>
      </c>
      <c r="B172" s="15">
        <v>379.18</v>
      </c>
      <c r="C172" s="15">
        <v>379.18</v>
      </c>
      <c r="D172" s="15">
        <v>379.18</v>
      </c>
      <c r="E172" s="15">
        <v>379.18</v>
      </c>
      <c r="F172" s="15">
        <v>379.18</v>
      </c>
      <c r="G172" s="15">
        <v>379.18</v>
      </c>
      <c r="H172" s="15">
        <v>379.18</v>
      </c>
      <c r="I172" s="15">
        <v>758.36</v>
      </c>
      <c r="J172" s="15">
        <v>379.18</v>
      </c>
      <c r="K172" s="15">
        <v>379.18</v>
      </c>
      <c r="L172" s="15">
        <v>379.18</v>
      </c>
      <c r="M172" s="15">
        <v>379.18</v>
      </c>
      <c r="N172" s="15">
        <v>379.18</v>
      </c>
      <c r="O172" t="s">
        <v>75</v>
      </c>
    </row>
    <row r="173" spans="1:15" x14ac:dyDescent="0.25">
      <c r="A173" s="10" t="s">
        <v>1186</v>
      </c>
      <c r="B173" s="15">
        <v>189.59</v>
      </c>
      <c r="C173" s="15">
        <v>379.18</v>
      </c>
      <c r="D173" s="15">
        <v>189.59</v>
      </c>
      <c r="E173" s="15">
        <v>189.59</v>
      </c>
      <c r="F173" s="15">
        <v>189.59</v>
      </c>
      <c r="G173" s="15">
        <v>189.59</v>
      </c>
      <c r="H173" s="15">
        <v>379.18</v>
      </c>
      <c r="I173" s="15">
        <v>189.59</v>
      </c>
      <c r="J173" s="15">
        <v>189.59</v>
      </c>
      <c r="K173" s="15">
        <v>189.59</v>
      </c>
      <c r="L173" s="15">
        <v>189.59</v>
      </c>
      <c r="M173" s="15">
        <v>189.59</v>
      </c>
      <c r="N173" s="15">
        <v>189.59</v>
      </c>
      <c r="O173" t="s">
        <v>75</v>
      </c>
    </row>
    <row r="174" spans="1:15" x14ac:dyDescent="0.25">
      <c r="A174" s="10" t="s">
        <v>1188</v>
      </c>
      <c r="B174" s="15">
        <v>0</v>
      </c>
      <c r="C174" s="15">
        <v>0</v>
      </c>
      <c r="D174" s="15">
        <v>0</v>
      </c>
      <c r="E174" s="15">
        <v>0</v>
      </c>
      <c r="F174" s="15">
        <v>189.59</v>
      </c>
      <c r="G174" s="15">
        <v>189.59</v>
      </c>
      <c r="H174" s="15">
        <v>379.18</v>
      </c>
      <c r="I174" s="15">
        <v>189.59</v>
      </c>
      <c r="J174" s="15">
        <v>189.59</v>
      </c>
      <c r="K174" s="15">
        <v>189.59</v>
      </c>
      <c r="L174" s="15">
        <v>189.59</v>
      </c>
      <c r="M174" s="15">
        <v>189.59</v>
      </c>
      <c r="N174" s="15">
        <v>189.59</v>
      </c>
      <c r="O174" t="s">
        <v>75</v>
      </c>
    </row>
    <row r="175" spans="1:15" x14ac:dyDescent="0.25">
      <c r="A175" s="10" t="s">
        <v>1190</v>
      </c>
      <c r="B175" s="15">
        <v>379.18</v>
      </c>
      <c r="C175" s="15">
        <v>189.59</v>
      </c>
      <c r="D175" s="15">
        <v>189.59</v>
      </c>
      <c r="E175" s="15">
        <v>189.59</v>
      </c>
      <c r="F175" s="15">
        <v>189.59</v>
      </c>
      <c r="G175" s="15">
        <v>189.59</v>
      </c>
      <c r="H175" s="15">
        <v>189.59</v>
      </c>
      <c r="I175" s="15">
        <v>189.59</v>
      </c>
      <c r="J175" s="15">
        <v>189.59</v>
      </c>
      <c r="K175" s="15">
        <v>189.59</v>
      </c>
      <c r="L175" s="15">
        <v>189.59</v>
      </c>
      <c r="M175" s="15">
        <v>379.18</v>
      </c>
      <c r="N175" s="15">
        <v>189.59</v>
      </c>
      <c r="O175" t="s">
        <v>75</v>
      </c>
    </row>
    <row r="176" spans="1:15" x14ac:dyDescent="0.25">
      <c r="A176" s="10" t="s">
        <v>1194</v>
      </c>
      <c r="B176" s="15">
        <v>379.18</v>
      </c>
      <c r="C176" s="15">
        <v>379.18</v>
      </c>
      <c r="D176" s="15">
        <v>379.18</v>
      </c>
      <c r="E176" s="15">
        <v>379.18</v>
      </c>
      <c r="F176" s="15">
        <v>379.18</v>
      </c>
      <c r="G176" s="15">
        <v>758.36</v>
      </c>
      <c r="H176" s="15">
        <v>379.18</v>
      </c>
      <c r="I176" s="15">
        <v>379.18</v>
      </c>
      <c r="J176" s="15">
        <v>379.18</v>
      </c>
      <c r="K176" s="15">
        <v>379.18</v>
      </c>
      <c r="L176" s="15">
        <v>379.18</v>
      </c>
      <c r="M176" s="15">
        <v>379.18</v>
      </c>
      <c r="N176" s="15">
        <v>379.18</v>
      </c>
      <c r="O176" t="s">
        <v>75</v>
      </c>
    </row>
    <row r="177" spans="1:15" x14ac:dyDescent="0.25">
      <c r="A177" s="10" t="s">
        <v>1198</v>
      </c>
      <c r="B177" s="15">
        <v>0</v>
      </c>
      <c r="C177" s="15">
        <v>189.59</v>
      </c>
      <c r="D177" s="15">
        <v>189.59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189.59</v>
      </c>
      <c r="O177" t="s">
        <v>75</v>
      </c>
    </row>
    <row r="178" spans="1:15" x14ac:dyDescent="0.25">
      <c r="A178" s="10" t="s">
        <v>1200</v>
      </c>
      <c r="B178" s="15">
        <v>189.59</v>
      </c>
      <c r="C178" s="15">
        <v>379.18</v>
      </c>
      <c r="D178" s="15">
        <v>189.59</v>
      </c>
      <c r="E178" s="15">
        <v>189.59</v>
      </c>
      <c r="F178" s="15">
        <v>189.59</v>
      </c>
      <c r="G178" s="15">
        <v>379.18</v>
      </c>
      <c r="H178" s="15">
        <v>189.59</v>
      </c>
      <c r="I178" s="15">
        <v>189.59</v>
      </c>
      <c r="J178" s="15">
        <v>189.59</v>
      </c>
      <c r="K178" s="15">
        <v>189.59</v>
      </c>
      <c r="L178" s="15">
        <v>189.59</v>
      </c>
      <c r="M178" s="15">
        <v>189.59</v>
      </c>
      <c r="N178" s="15">
        <v>189.59</v>
      </c>
      <c r="O178" t="s">
        <v>75</v>
      </c>
    </row>
    <row r="179" spans="1:15" x14ac:dyDescent="0.25">
      <c r="A179" s="10" t="s">
        <v>1206</v>
      </c>
      <c r="B179" s="15">
        <v>379.18</v>
      </c>
      <c r="C179" s="15">
        <v>758.36</v>
      </c>
      <c r="D179" s="15">
        <v>379.18</v>
      </c>
      <c r="E179" s="15">
        <v>379.18</v>
      </c>
      <c r="F179" s="15">
        <v>379.18</v>
      </c>
      <c r="G179" s="15">
        <v>379.18</v>
      </c>
      <c r="H179" s="15">
        <v>379.18</v>
      </c>
      <c r="I179" s="15">
        <v>379.18</v>
      </c>
      <c r="J179" s="15">
        <v>379.18</v>
      </c>
      <c r="K179" s="15">
        <v>379.18</v>
      </c>
      <c r="L179" s="15">
        <v>758.36</v>
      </c>
      <c r="M179" s="15">
        <v>379.18</v>
      </c>
      <c r="N179" s="15">
        <v>379.18</v>
      </c>
      <c r="O179" t="s">
        <v>75</v>
      </c>
    </row>
    <row r="180" spans="1:15" x14ac:dyDescent="0.25">
      <c r="A180" s="10" t="s">
        <v>1208</v>
      </c>
      <c r="B180" s="15">
        <v>189.59</v>
      </c>
      <c r="C180" s="15">
        <v>189.59</v>
      </c>
      <c r="D180" s="15">
        <v>189.59</v>
      </c>
      <c r="E180" s="15">
        <v>379.18</v>
      </c>
      <c r="F180" s="15">
        <v>189.59</v>
      </c>
      <c r="G180" s="15">
        <v>189.59</v>
      </c>
      <c r="H180" s="15">
        <v>189.59</v>
      </c>
      <c r="I180" s="15">
        <v>189.59</v>
      </c>
      <c r="J180" s="15">
        <v>189.59</v>
      </c>
      <c r="K180" s="15">
        <v>189.59</v>
      </c>
      <c r="L180" s="15">
        <v>189.59</v>
      </c>
      <c r="M180" s="15">
        <v>0</v>
      </c>
      <c r="N180" s="15">
        <v>189.59</v>
      </c>
      <c r="O180" t="s">
        <v>75</v>
      </c>
    </row>
    <row r="181" spans="1:15" x14ac:dyDescent="0.25">
      <c r="A181" s="10" t="s">
        <v>1210</v>
      </c>
      <c r="B181" s="15">
        <v>379.18</v>
      </c>
      <c r="C181" s="15">
        <v>379.18</v>
      </c>
      <c r="D181" s="15">
        <v>379.18</v>
      </c>
      <c r="E181" s="15">
        <v>379.18</v>
      </c>
      <c r="F181" s="15">
        <v>379.18</v>
      </c>
      <c r="G181" s="15">
        <v>379.18</v>
      </c>
      <c r="H181" s="15">
        <v>379.18</v>
      </c>
      <c r="I181" s="15">
        <v>379.18</v>
      </c>
      <c r="J181" s="15">
        <v>379.18</v>
      </c>
      <c r="K181" s="15">
        <v>758.36</v>
      </c>
      <c r="L181" s="15">
        <v>379.18</v>
      </c>
      <c r="M181" s="15">
        <v>379.18</v>
      </c>
      <c r="N181" s="15">
        <v>379.18</v>
      </c>
      <c r="O181" t="s">
        <v>75</v>
      </c>
    </row>
    <row r="182" spans="1:15" x14ac:dyDescent="0.25">
      <c r="A182" s="10" t="s">
        <v>1212</v>
      </c>
      <c r="B182" s="15">
        <v>947.95</v>
      </c>
      <c r="C182" s="15">
        <v>1895.9</v>
      </c>
      <c r="D182" s="15">
        <v>947.95</v>
      </c>
      <c r="E182" s="15">
        <v>947.95</v>
      </c>
      <c r="F182" s="15">
        <v>1895.9</v>
      </c>
      <c r="G182" s="15">
        <v>947.95</v>
      </c>
      <c r="H182" s="15">
        <v>1895.9</v>
      </c>
      <c r="I182" s="15">
        <v>947.95</v>
      </c>
      <c r="J182" s="15">
        <v>947.95</v>
      </c>
      <c r="K182" s="15">
        <v>947.95</v>
      </c>
      <c r="L182" s="15">
        <v>947.95</v>
      </c>
      <c r="M182" s="15">
        <v>947.95</v>
      </c>
      <c r="N182" s="15">
        <v>947.95</v>
      </c>
      <c r="O182" t="s">
        <v>75</v>
      </c>
    </row>
    <row r="183" spans="1:15" x14ac:dyDescent="0.25">
      <c r="A183" s="10" t="s">
        <v>1214</v>
      </c>
      <c r="B183" s="15">
        <v>379.18</v>
      </c>
      <c r="C183" s="15">
        <v>379.18</v>
      </c>
      <c r="D183" s="15">
        <v>379.18</v>
      </c>
      <c r="E183" s="15">
        <v>379.18</v>
      </c>
      <c r="F183" s="15">
        <v>379.18</v>
      </c>
      <c r="G183" s="15">
        <v>379.18</v>
      </c>
      <c r="H183" s="15">
        <v>379.18</v>
      </c>
      <c r="I183" s="15">
        <v>379.18</v>
      </c>
      <c r="J183" s="15">
        <v>379.18</v>
      </c>
      <c r="K183" s="15">
        <v>379.18</v>
      </c>
      <c r="L183" s="15">
        <v>379.18</v>
      </c>
      <c r="M183" s="15">
        <v>758.36</v>
      </c>
      <c r="N183" s="15">
        <v>379.18</v>
      </c>
      <c r="O183" t="s">
        <v>75</v>
      </c>
    </row>
    <row r="184" spans="1:15" x14ac:dyDescent="0.25">
      <c r="A184" s="10" t="s">
        <v>1222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379.18</v>
      </c>
      <c r="H184" s="15">
        <v>379.18</v>
      </c>
      <c r="I184" s="15">
        <v>379.18</v>
      </c>
      <c r="J184" s="15">
        <v>379.18</v>
      </c>
      <c r="K184" s="15">
        <v>379.18</v>
      </c>
      <c r="L184" s="15">
        <v>379.18</v>
      </c>
      <c r="M184" s="15">
        <v>379.18</v>
      </c>
      <c r="N184" s="15">
        <v>379.18</v>
      </c>
      <c r="O184" t="s">
        <v>75</v>
      </c>
    </row>
    <row r="185" spans="1:15" x14ac:dyDescent="0.25">
      <c r="A185" s="10" t="s">
        <v>1226</v>
      </c>
      <c r="B185" s="15">
        <v>0</v>
      </c>
      <c r="C185" s="15">
        <v>0</v>
      </c>
      <c r="D185" s="15">
        <v>0</v>
      </c>
      <c r="E185" s="15">
        <v>189.59</v>
      </c>
      <c r="F185" s="15">
        <v>189.59</v>
      </c>
      <c r="G185" s="15">
        <v>189.59</v>
      </c>
      <c r="H185" s="15">
        <v>189.59</v>
      </c>
      <c r="I185" s="15">
        <v>189.59</v>
      </c>
      <c r="J185" s="15">
        <v>189.59</v>
      </c>
      <c r="K185" s="15">
        <v>189.59</v>
      </c>
      <c r="L185" s="15">
        <v>189.59</v>
      </c>
      <c r="M185" s="15">
        <v>0</v>
      </c>
      <c r="N185" s="15">
        <v>0</v>
      </c>
      <c r="O185" t="s">
        <v>75</v>
      </c>
    </row>
    <row r="186" spans="1:15" x14ac:dyDescent="0.25">
      <c r="A186" s="10" t="s">
        <v>1228</v>
      </c>
      <c r="B186" s="15">
        <v>0</v>
      </c>
      <c r="C186" s="15">
        <v>0</v>
      </c>
      <c r="D186" s="15">
        <v>189.59</v>
      </c>
      <c r="E186" s="15">
        <v>189.59</v>
      </c>
      <c r="F186" s="15">
        <v>189.59</v>
      </c>
      <c r="G186" s="15">
        <v>189.59</v>
      </c>
      <c r="H186" s="15">
        <v>189.59</v>
      </c>
      <c r="I186" s="15">
        <v>189.59</v>
      </c>
      <c r="J186" s="15">
        <v>189.59</v>
      </c>
      <c r="K186" s="15">
        <v>189.59</v>
      </c>
      <c r="L186" s="15">
        <v>189.59</v>
      </c>
      <c r="M186" s="15">
        <v>0</v>
      </c>
      <c r="N186" s="15">
        <v>189.59</v>
      </c>
      <c r="O186" t="s">
        <v>75</v>
      </c>
    </row>
    <row r="187" spans="1:15" x14ac:dyDescent="0.25">
      <c r="A187" s="10" t="s">
        <v>1248</v>
      </c>
      <c r="B187" s="15">
        <v>0</v>
      </c>
      <c r="C187" s="15">
        <v>0</v>
      </c>
      <c r="D187" s="15">
        <v>0</v>
      </c>
      <c r="E187" s="15">
        <v>379.18</v>
      </c>
      <c r="F187" s="15">
        <v>379.18</v>
      </c>
      <c r="G187" s="15">
        <v>379.18</v>
      </c>
      <c r="H187" s="15">
        <v>379.18</v>
      </c>
      <c r="I187" s="15">
        <v>379.18</v>
      </c>
      <c r="J187" s="15">
        <v>379.18</v>
      </c>
      <c r="K187" s="15">
        <v>379.18</v>
      </c>
      <c r="L187" s="15">
        <v>379.18</v>
      </c>
      <c r="M187" s="15">
        <v>379.18</v>
      </c>
      <c r="N187" s="15">
        <v>379.18</v>
      </c>
      <c r="O187" t="s">
        <v>75</v>
      </c>
    </row>
    <row r="188" spans="1:15" x14ac:dyDescent="0.25">
      <c r="A188" s="10" t="s">
        <v>1250</v>
      </c>
      <c r="B188" s="15">
        <v>0</v>
      </c>
      <c r="C188" s="15">
        <v>0</v>
      </c>
      <c r="D188" s="15">
        <v>0</v>
      </c>
      <c r="E188" s="15">
        <v>189.59</v>
      </c>
      <c r="F188" s="15">
        <v>189.59</v>
      </c>
      <c r="G188" s="15">
        <v>189.59</v>
      </c>
      <c r="H188" s="15">
        <v>379.18</v>
      </c>
      <c r="I188" s="15">
        <v>189.59</v>
      </c>
      <c r="J188" s="15">
        <v>189.59</v>
      </c>
      <c r="K188" s="15">
        <v>189.59</v>
      </c>
      <c r="L188" s="15">
        <v>189.59</v>
      </c>
      <c r="M188" s="15">
        <v>189.59</v>
      </c>
      <c r="N188" s="15">
        <v>189.59</v>
      </c>
      <c r="O188" t="s">
        <v>75</v>
      </c>
    </row>
    <row r="189" spans="1:15" x14ac:dyDescent="0.25">
      <c r="A189" s="10" t="s">
        <v>1256</v>
      </c>
      <c r="B189" s="15">
        <v>379.18</v>
      </c>
      <c r="C189" s="15">
        <v>379.18</v>
      </c>
      <c r="D189" s="15">
        <v>379.18</v>
      </c>
      <c r="E189" s="15">
        <v>379.18</v>
      </c>
      <c r="F189" s="15">
        <v>379.18</v>
      </c>
      <c r="G189" s="15">
        <v>379.18</v>
      </c>
      <c r="H189" s="15">
        <v>379.18</v>
      </c>
      <c r="I189" s="15">
        <v>758.36</v>
      </c>
      <c r="J189" s="15">
        <v>379.18</v>
      </c>
      <c r="K189" s="15">
        <v>379.18</v>
      </c>
      <c r="L189" s="15">
        <v>379.18</v>
      </c>
      <c r="M189" s="15">
        <v>379.18</v>
      </c>
      <c r="N189" s="15">
        <v>379.18</v>
      </c>
      <c r="O189" t="s">
        <v>75</v>
      </c>
    </row>
    <row r="190" spans="1:15" x14ac:dyDescent="0.25">
      <c r="A190" s="10" t="s">
        <v>1262</v>
      </c>
      <c r="B190" s="15">
        <v>758.36</v>
      </c>
      <c r="C190" s="15">
        <v>379.18</v>
      </c>
      <c r="D190" s="15">
        <v>379.18</v>
      </c>
      <c r="E190" s="15">
        <v>379.18</v>
      </c>
      <c r="F190" s="15">
        <v>379.18</v>
      </c>
      <c r="G190" s="15">
        <v>379.18</v>
      </c>
      <c r="H190" s="15">
        <v>379.18</v>
      </c>
      <c r="I190" s="15">
        <v>379.18</v>
      </c>
      <c r="J190" s="15">
        <v>379.18</v>
      </c>
      <c r="K190" s="15">
        <v>379.18</v>
      </c>
      <c r="L190" s="15">
        <v>758.36</v>
      </c>
      <c r="M190" s="15">
        <v>379.18</v>
      </c>
      <c r="N190" s="15">
        <v>379.18</v>
      </c>
      <c r="O190" t="s">
        <v>75</v>
      </c>
    </row>
    <row r="191" spans="1:15" x14ac:dyDescent="0.25">
      <c r="A191" s="10" t="s">
        <v>1266</v>
      </c>
      <c r="B191" s="15">
        <v>189.59</v>
      </c>
      <c r="C191" s="15">
        <v>189.59</v>
      </c>
      <c r="D191" s="15">
        <v>189.59</v>
      </c>
      <c r="E191" s="15">
        <v>189.59</v>
      </c>
      <c r="F191" s="15">
        <v>189.59</v>
      </c>
      <c r="G191" s="15">
        <v>189.59</v>
      </c>
      <c r="H191" s="15">
        <v>189.59</v>
      </c>
      <c r="I191" s="15">
        <v>189.59</v>
      </c>
      <c r="J191" s="15">
        <v>189.59</v>
      </c>
      <c r="K191" s="15">
        <v>189.59</v>
      </c>
      <c r="L191" s="15">
        <v>379.18</v>
      </c>
      <c r="M191" s="15">
        <v>189.59</v>
      </c>
      <c r="N191" s="15">
        <v>189.59</v>
      </c>
      <c r="O191" t="s">
        <v>75</v>
      </c>
    </row>
    <row r="192" spans="1:15" x14ac:dyDescent="0.25">
      <c r="A192" s="10" t="s">
        <v>1268</v>
      </c>
      <c r="B192" s="15">
        <v>379.18</v>
      </c>
      <c r="C192" s="15">
        <v>758.36</v>
      </c>
      <c r="D192" s="15">
        <v>379.18</v>
      </c>
      <c r="E192" s="15">
        <v>379.18</v>
      </c>
      <c r="F192" s="15">
        <v>379.18</v>
      </c>
      <c r="G192" s="15">
        <v>379.18</v>
      </c>
      <c r="H192" s="15">
        <v>0</v>
      </c>
      <c r="I192" s="15">
        <v>0</v>
      </c>
      <c r="J192" s="15">
        <v>379.18</v>
      </c>
      <c r="K192" s="15">
        <v>379.18</v>
      </c>
      <c r="L192" s="15">
        <v>379.18</v>
      </c>
      <c r="M192" s="15">
        <v>379.18</v>
      </c>
      <c r="N192" s="15">
        <v>379.18</v>
      </c>
      <c r="O192" t="s">
        <v>75</v>
      </c>
    </row>
    <row r="193" spans="1:15" x14ac:dyDescent="0.25">
      <c r="A193" s="10" t="s">
        <v>1274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189.59</v>
      </c>
      <c r="O193" t="s">
        <v>75</v>
      </c>
    </row>
    <row r="194" spans="1:15" x14ac:dyDescent="0.25">
      <c r="A194" s="10" t="s">
        <v>1280</v>
      </c>
      <c r="B194" s="15">
        <v>568.77</v>
      </c>
      <c r="C194" s="15">
        <v>1137.54</v>
      </c>
      <c r="D194" s="15">
        <v>568.77</v>
      </c>
      <c r="E194" s="15">
        <v>568.77</v>
      </c>
      <c r="F194" s="15">
        <v>568.77</v>
      </c>
      <c r="G194" s="15">
        <v>568.77</v>
      </c>
      <c r="H194" s="15">
        <v>379.18</v>
      </c>
      <c r="I194" s="15">
        <v>379.18</v>
      </c>
      <c r="J194" s="15">
        <v>379.18</v>
      </c>
      <c r="K194" s="15">
        <v>379.18</v>
      </c>
      <c r="L194" s="15">
        <v>379.18</v>
      </c>
      <c r="M194" s="15">
        <v>379.18</v>
      </c>
      <c r="N194" s="15">
        <v>379.18</v>
      </c>
      <c r="O194" t="s">
        <v>75</v>
      </c>
    </row>
    <row r="195" spans="1:15" x14ac:dyDescent="0.25">
      <c r="A195" s="10" t="s">
        <v>1284</v>
      </c>
      <c r="B195" s="15">
        <v>379.18</v>
      </c>
      <c r="C195" s="15">
        <v>758.36</v>
      </c>
      <c r="D195" s="15">
        <v>379.18</v>
      </c>
      <c r="E195" s="15">
        <v>379.18</v>
      </c>
      <c r="F195" s="15">
        <v>379.18</v>
      </c>
      <c r="G195" s="15">
        <v>379.18</v>
      </c>
      <c r="H195" s="15">
        <v>379.18</v>
      </c>
      <c r="I195" s="15">
        <v>379.18</v>
      </c>
      <c r="J195" s="15">
        <v>379.18</v>
      </c>
      <c r="K195" s="15">
        <v>379.18</v>
      </c>
      <c r="L195" s="15">
        <v>758.36</v>
      </c>
      <c r="M195" s="15">
        <v>379.18</v>
      </c>
      <c r="N195" s="15">
        <v>379.18</v>
      </c>
      <c r="O195" t="s">
        <v>75</v>
      </c>
    </row>
    <row r="196" spans="1:15" x14ac:dyDescent="0.25">
      <c r="A196" s="10" t="s">
        <v>1286</v>
      </c>
      <c r="B196" s="15">
        <v>379.18</v>
      </c>
      <c r="C196" s="15">
        <v>379.18</v>
      </c>
      <c r="D196" s="15">
        <v>379.18</v>
      </c>
      <c r="E196" s="15">
        <v>379.18</v>
      </c>
      <c r="F196" s="15">
        <v>379.18</v>
      </c>
      <c r="G196" s="15">
        <v>379.18</v>
      </c>
      <c r="H196" s="15">
        <v>758.36</v>
      </c>
      <c r="I196" s="15">
        <v>379.18</v>
      </c>
      <c r="J196" s="15">
        <v>379.18</v>
      </c>
      <c r="K196" s="15">
        <v>758.36</v>
      </c>
      <c r="L196" s="15">
        <v>379.18</v>
      </c>
      <c r="M196" s="15">
        <v>379.18</v>
      </c>
      <c r="N196" s="15">
        <v>379.18</v>
      </c>
      <c r="O196" t="s">
        <v>75</v>
      </c>
    </row>
    <row r="197" spans="1:15" x14ac:dyDescent="0.25">
      <c r="A197" s="10" t="s">
        <v>1288</v>
      </c>
      <c r="B197" s="15">
        <v>758.36</v>
      </c>
      <c r="C197" s="15">
        <v>758.36</v>
      </c>
      <c r="D197" s="15">
        <v>758.36</v>
      </c>
      <c r="E197" s="15">
        <v>758.36</v>
      </c>
      <c r="F197" s="15">
        <v>758.36</v>
      </c>
      <c r="G197" s="15">
        <v>758.36</v>
      </c>
      <c r="H197" s="15">
        <v>758.36</v>
      </c>
      <c r="I197" s="15">
        <v>758.36</v>
      </c>
      <c r="J197" s="15">
        <v>758.36</v>
      </c>
      <c r="K197" s="15">
        <v>758.36</v>
      </c>
      <c r="L197" s="15">
        <v>1516.72</v>
      </c>
      <c r="M197" s="15">
        <v>758.36</v>
      </c>
      <c r="N197" s="15">
        <v>758.36</v>
      </c>
      <c r="O197" t="s">
        <v>75</v>
      </c>
    </row>
    <row r="198" spans="1:15" x14ac:dyDescent="0.25">
      <c r="A198" s="10" t="s">
        <v>1294</v>
      </c>
      <c r="B198" s="15">
        <v>758.36</v>
      </c>
      <c r="C198" s="15">
        <v>758.36</v>
      </c>
      <c r="D198" s="15">
        <v>758.36</v>
      </c>
      <c r="E198" s="15">
        <v>758.36</v>
      </c>
      <c r="F198" s="15">
        <v>758.36</v>
      </c>
      <c r="G198" s="15">
        <v>758.36</v>
      </c>
      <c r="H198" s="15">
        <v>758.36</v>
      </c>
      <c r="I198" s="15">
        <v>758.36</v>
      </c>
      <c r="J198" s="15">
        <v>758.36</v>
      </c>
      <c r="K198" s="15">
        <v>758.36</v>
      </c>
      <c r="L198" s="15">
        <v>758.36</v>
      </c>
      <c r="M198" s="15">
        <v>758.36</v>
      </c>
      <c r="N198" s="15">
        <v>758.36</v>
      </c>
      <c r="O198" t="s">
        <v>75</v>
      </c>
    </row>
    <row r="199" spans="1:15" x14ac:dyDescent="0.25">
      <c r="A199" s="10" t="s">
        <v>1298</v>
      </c>
      <c r="B199" s="15">
        <v>379.18</v>
      </c>
      <c r="C199" s="15">
        <v>758.36</v>
      </c>
      <c r="D199" s="15">
        <v>379.18</v>
      </c>
      <c r="E199" s="15">
        <v>379.18</v>
      </c>
      <c r="F199" s="15">
        <v>379.18</v>
      </c>
      <c r="G199" s="15">
        <v>379.18</v>
      </c>
      <c r="H199" s="15">
        <v>379.18</v>
      </c>
      <c r="I199" s="15">
        <v>379.18</v>
      </c>
      <c r="J199" s="15">
        <v>379.18</v>
      </c>
      <c r="K199" s="15">
        <v>379.18</v>
      </c>
      <c r="L199" s="15">
        <v>379.18</v>
      </c>
      <c r="M199" s="15">
        <v>379.18</v>
      </c>
      <c r="N199" s="15">
        <v>379.18</v>
      </c>
      <c r="O199" t="s">
        <v>75</v>
      </c>
    </row>
    <row r="200" spans="1:15" x14ac:dyDescent="0.25">
      <c r="A200" s="10" t="s">
        <v>1300</v>
      </c>
      <c r="B200" s="15">
        <v>189.59</v>
      </c>
      <c r="C200" s="15">
        <v>189.59</v>
      </c>
      <c r="D200" s="15">
        <v>189.59</v>
      </c>
      <c r="E200" s="15">
        <v>189.59</v>
      </c>
      <c r="F200" s="15">
        <v>189.59</v>
      </c>
      <c r="G200" s="15">
        <v>189.59</v>
      </c>
      <c r="H200" s="15">
        <v>189.59</v>
      </c>
      <c r="I200" s="15">
        <v>379.18</v>
      </c>
      <c r="J200" s="15">
        <v>189.59</v>
      </c>
      <c r="K200" s="15">
        <v>189.59</v>
      </c>
      <c r="L200" s="15">
        <v>189.59</v>
      </c>
      <c r="M200" s="15">
        <v>189.59</v>
      </c>
      <c r="N200" s="15">
        <v>189.59</v>
      </c>
      <c r="O200" t="s">
        <v>75</v>
      </c>
    </row>
    <row r="201" spans="1:15" x14ac:dyDescent="0.25">
      <c r="A201" s="10" t="s">
        <v>1302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189.59</v>
      </c>
      <c r="O201" t="s">
        <v>75</v>
      </c>
    </row>
    <row r="202" spans="1:15" x14ac:dyDescent="0.25">
      <c r="A202" s="10" t="s">
        <v>1304</v>
      </c>
      <c r="B202" s="15">
        <v>189.59</v>
      </c>
      <c r="C202" s="15">
        <v>189.59</v>
      </c>
      <c r="D202" s="15">
        <v>189.59</v>
      </c>
      <c r="E202" s="15">
        <v>189.59</v>
      </c>
      <c r="F202" s="15">
        <v>189.59</v>
      </c>
      <c r="G202" s="15">
        <v>189.59</v>
      </c>
      <c r="H202" s="15">
        <v>189.59</v>
      </c>
      <c r="I202" s="15">
        <v>189.59</v>
      </c>
      <c r="J202" s="15">
        <v>189.59</v>
      </c>
      <c r="K202" s="15">
        <v>379.18</v>
      </c>
      <c r="L202" s="15">
        <v>189.59</v>
      </c>
      <c r="M202" s="15">
        <v>189.59</v>
      </c>
      <c r="N202" s="15">
        <v>189.59</v>
      </c>
      <c r="O202" t="s">
        <v>75</v>
      </c>
    </row>
    <row r="203" spans="1:15" x14ac:dyDescent="0.25">
      <c r="A203" s="10" t="s">
        <v>1308</v>
      </c>
      <c r="B203" s="15">
        <v>758.36</v>
      </c>
      <c r="C203" s="15">
        <v>1516.72</v>
      </c>
      <c r="D203" s="15">
        <v>758.36</v>
      </c>
      <c r="E203" s="15">
        <v>758.36</v>
      </c>
      <c r="F203" s="15">
        <v>758.36</v>
      </c>
      <c r="G203" s="15">
        <v>758.36</v>
      </c>
      <c r="H203" s="15">
        <v>758.36</v>
      </c>
      <c r="I203" s="15">
        <v>758.36</v>
      </c>
      <c r="J203" s="15">
        <v>758.36</v>
      </c>
      <c r="K203" s="15">
        <v>758.36</v>
      </c>
      <c r="L203" s="15">
        <v>758.36</v>
      </c>
      <c r="M203" s="15">
        <v>758.36</v>
      </c>
      <c r="N203" s="15">
        <v>758.36</v>
      </c>
      <c r="O203" t="s">
        <v>75</v>
      </c>
    </row>
    <row r="204" spans="1:15" x14ac:dyDescent="0.25">
      <c r="A204" s="10" t="s">
        <v>1316</v>
      </c>
      <c r="B204" s="15">
        <v>189.59</v>
      </c>
      <c r="C204" s="15">
        <v>379.18</v>
      </c>
      <c r="D204" s="15">
        <v>189.59</v>
      </c>
      <c r="E204" s="15">
        <v>189.59</v>
      </c>
      <c r="F204" s="15">
        <v>189.59</v>
      </c>
      <c r="G204" s="15">
        <v>189.59</v>
      </c>
      <c r="H204" s="15">
        <v>189.59</v>
      </c>
      <c r="I204" s="15">
        <v>189.59</v>
      </c>
      <c r="J204" s="15">
        <v>189.59</v>
      </c>
      <c r="K204" s="15">
        <v>189.59</v>
      </c>
      <c r="L204" s="15">
        <v>189.59</v>
      </c>
      <c r="M204" s="15">
        <v>379.18</v>
      </c>
      <c r="N204" s="15">
        <v>189.59</v>
      </c>
      <c r="O204" t="s">
        <v>75</v>
      </c>
    </row>
    <row r="205" spans="1:15" x14ac:dyDescent="0.25">
      <c r="A205" s="10" t="s">
        <v>1318</v>
      </c>
      <c r="B205" s="15">
        <v>189.59</v>
      </c>
      <c r="C205" s="15">
        <v>189.59</v>
      </c>
      <c r="D205" s="15">
        <v>189.59</v>
      </c>
      <c r="E205" s="15">
        <v>189.59</v>
      </c>
      <c r="F205" s="15">
        <v>189.59</v>
      </c>
      <c r="G205" s="15">
        <v>189.59</v>
      </c>
      <c r="H205" s="15">
        <v>189.59</v>
      </c>
      <c r="I205" s="15">
        <v>189.59</v>
      </c>
      <c r="J205" s="15">
        <v>379.18</v>
      </c>
      <c r="K205" s="15">
        <v>189.59</v>
      </c>
      <c r="L205" s="15">
        <v>189.59</v>
      </c>
      <c r="M205" s="15">
        <v>189.59</v>
      </c>
      <c r="N205" s="15">
        <v>189.59</v>
      </c>
      <c r="O205" t="s">
        <v>75</v>
      </c>
    </row>
    <row r="206" spans="1:15" x14ac:dyDescent="0.25">
      <c r="A206" s="10" t="s">
        <v>1324</v>
      </c>
      <c r="B206" s="15">
        <v>189.59</v>
      </c>
      <c r="C206" s="15">
        <v>379.18</v>
      </c>
      <c r="D206" s="15">
        <v>189.59</v>
      </c>
      <c r="E206" s="15">
        <v>189.59</v>
      </c>
      <c r="F206" s="15">
        <v>189.59</v>
      </c>
      <c r="G206" s="15">
        <v>189.59</v>
      </c>
      <c r="H206" s="15">
        <v>379.18</v>
      </c>
      <c r="I206" s="15">
        <v>189.59</v>
      </c>
      <c r="J206" s="15">
        <v>189.59</v>
      </c>
      <c r="K206" s="15">
        <v>189.59</v>
      </c>
      <c r="L206" s="15">
        <v>189.59</v>
      </c>
      <c r="M206" s="15">
        <v>379.18</v>
      </c>
      <c r="N206" s="15">
        <v>189.59</v>
      </c>
      <c r="O206" t="s">
        <v>75</v>
      </c>
    </row>
    <row r="207" spans="1:15" x14ac:dyDescent="0.25">
      <c r="A207" s="10" t="s">
        <v>1326</v>
      </c>
      <c r="B207" s="15">
        <v>189.59</v>
      </c>
      <c r="C207" s="15">
        <v>189.59</v>
      </c>
      <c r="D207" s="15">
        <v>189.59</v>
      </c>
      <c r="E207" s="15">
        <v>189.59</v>
      </c>
      <c r="F207" s="15">
        <v>189.59</v>
      </c>
      <c r="G207" s="15">
        <v>379.18</v>
      </c>
      <c r="H207" s="15">
        <v>189.59</v>
      </c>
      <c r="I207" s="15">
        <v>189.59</v>
      </c>
      <c r="J207" s="15">
        <v>189.59</v>
      </c>
      <c r="K207" s="15">
        <v>189.59</v>
      </c>
      <c r="L207" s="15">
        <v>189.59</v>
      </c>
      <c r="M207" s="15">
        <v>189.59</v>
      </c>
      <c r="N207" s="15">
        <v>189.59</v>
      </c>
      <c r="O207" t="s">
        <v>75</v>
      </c>
    </row>
    <row r="208" spans="1:15" x14ac:dyDescent="0.25">
      <c r="A208" s="10" t="s">
        <v>1328</v>
      </c>
      <c r="B208" s="15">
        <v>189.59</v>
      </c>
      <c r="C208" s="15">
        <v>189.59</v>
      </c>
      <c r="D208" s="15">
        <v>379.18</v>
      </c>
      <c r="E208" s="15">
        <v>189.59</v>
      </c>
      <c r="F208" s="15">
        <v>189.59</v>
      </c>
      <c r="G208" s="15">
        <v>189.59</v>
      </c>
      <c r="H208" s="15">
        <v>189.59</v>
      </c>
      <c r="I208" s="15">
        <v>189.59</v>
      </c>
      <c r="J208" s="15">
        <v>189.59</v>
      </c>
      <c r="K208" s="15">
        <v>379.18</v>
      </c>
      <c r="L208" s="15">
        <v>189.59</v>
      </c>
      <c r="M208" s="15">
        <v>189.59</v>
      </c>
      <c r="N208" s="15">
        <v>189.59</v>
      </c>
      <c r="O208" t="s">
        <v>75</v>
      </c>
    </row>
    <row r="209" spans="1:15" x14ac:dyDescent="0.25">
      <c r="A209" s="10" t="s">
        <v>1330</v>
      </c>
      <c r="B209" s="15">
        <v>758.36</v>
      </c>
      <c r="C209" s="15">
        <v>758.36</v>
      </c>
      <c r="D209" s="15">
        <v>379.18</v>
      </c>
      <c r="E209" s="15">
        <v>379.18</v>
      </c>
      <c r="F209" s="15">
        <v>379.18</v>
      </c>
      <c r="G209" s="15">
        <v>379.18</v>
      </c>
      <c r="H209" s="15">
        <v>379.18</v>
      </c>
      <c r="I209" s="15">
        <v>379.18</v>
      </c>
      <c r="J209" s="15">
        <v>379.18</v>
      </c>
      <c r="K209" s="15">
        <v>379.18</v>
      </c>
      <c r="L209" s="15">
        <v>379.18</v>
      </c>
      <c r="M209" s="15">
        <v>379.18</v>
      </c>
      <c r="N209" s="15">
        <v>379.18</v>
      </c>
      <c r="O209" t="s">
        <v>75</v>
      </c>
    </row>
    <row r="210" spans="1:15" x14ac:dyDescent="0.25">
      <c r="A210" s="10" t="s">
        <v>1332</v>
      </c>
      <c r="B210" s="15">
        <v>379.18</v>
      </c>
      <c r="C210" s="15">
        <v>758.36</v>
      </c>
      <c r="D210" s="15">
        <v>379.18</v>
      </c>
      <c r="E210" s="15">
        <v>379.18</v>
      </c>
      <c r="F210" s="15">
        <v>379.18</v>
      </c>
      <c r="G210" s="15">
        <v>379.18</v>
      </c>
      <c r="H210" s="15">
        <v>379.18</v>
      </c>
      <c r="I210" s="15">
        <v>379.18</v>
      </c>
      <c r="J210" s="15">
        <v>379.18</v>
      </c>
      <c r="K210" s="15">
        <v>379.18</v>
      </c>
      <c r="L210" s="15">
        <v>379.18</v>
      </c>
      <c r="M210" s="15">
        <v>379.18</v>
      </c>
      <c r="N210" s="15">
        <v>379.18</v>
      </c>
      <c r="O210" t="s">
        <v>75</v>
      </c>
    </row>
    <row r="211" spans="1:15" x14ac:dyDescent="0.25">
      <c r="A211" s="10" t="s">
        <v>1334</v>
      </c>
      <c r="B211" s="15">
        <v>568.77</v>
      </c>
      <c r="C211" s="15">
        <v>568.77</v>
      </c>
      <c r="D211" s="15">
        <v>568.77</v>
      </c>
      <c r="E211" s="15">
        <v>568.77</v>
      </c>
      <c r="F211" s="15">
        <v>568.77</v>
      </c>
      <c r="G211" s="15">
        <v>568.77</v>
      </c>
      <c r="H211" s="15">
        <v>568.77</v>
      </c>
      <c r="I211" s="15">
        <v>568.77</v>
      </c>
      <c r="J211" s="15">
        <v>568.77</v>
      </c>
      <c r="K211" s="15">
        <v>568.77</v>
      </c>
      <c r="L211" s="15">
        <v>1137.54</v>
      </c>
      <c r="M211" s="15">
        <v>568.77</v>
      </c>
      <c r="N211" s="15">
        <v>568.77</v>
      </c>
      <c r="O211" t="s">
        <v>75</v>
      </c>
    </row>
    <row r="212" spans="1:15" x14ac:dyDescent="0.25">
      <c r="A212" s="10" t="s">
        <v>1336</v>
      </c>
      <c r="B212" s="15">
        <v>189.59</v>
      </c>
      <c r="C212" s="15">
        <v>379.18</v>
      </c>
      <c r="D212" s="15">
        <v>189.59</v>
      </c>
      <c r="E212" s="15">
        <v>189.59</v>
      </c>
      <c r="F212" s="15">
        <v>189.59</v>
      </c>
      <c r="G212" s="15">
        <v>189.59</v>
      </c>
      <c r="H212" s="15">
        <v>189.59</v>
      </c>
      <c r="I212" s="15">
        <v>189.59</v>
      </c>
      <c r="J212" s="15">
        <v>189.59</v>
      </c>
      <c r="K212" s="15">
        <v>189.59</v>
      </c>
      <c r="L212" s="15">
        <v>189.59</v>
      </c>
      <c r="M212" s="15">
        <v>189.59</v>
      </c>
      <c r="N212" s="15">
        <v>189.59</v>
      </c>
      <c r="O212" t="s">
        <v>75</v>
      </c>
    </row>
    <row r="213" spans="1:15" x14ac:dyDescent="0.25">
      <c r="A213" s="10" t="s">
        <v>1338</v>
      </c>
      <c r="B213" s="15">
        <v>1137.54</v>
      </c>
      <c r="C213" s="15">
        <v>568.77</v>
      </c>
      <c r="D213" s="15">
        <v>568.77</v>
      </c>
      <c r="E213" s="15">
        <v>568.77</v>
      </c>
      <c r="F213" s="15">
        <v>568.77</v>
      </c>
      <c r="G213" s="15">
        <v>568.77</v>
      </c>
      <c r="H213" s="15">
        <v>568.77</v>
      </c>
      <c r="I213" s="15">
        <v>568.77</v>
      </c>
      <c r="J213" s="15">
        <v>568.77</v>
      </c>
      <c r="K213" s="15">
        <v>568.77</v>
      </c>
      <c r="L213" s="15">
        <v>568.77</v>
      </c>
      <c r="M213" s="15">
        <v>568.77</v>
      </c>
      <c r="N213" s="15">
        <v>568.77</v>
      </c>
      <c r="O213" t="s">
        <v>75</v>
      </c>
    </row>
    <row r="214" spans="1:15" x14ac:dyDescent="0.25">
      <c r="A214" s="10" t="s">
        <v>1342</v>
      </c>
      <c r="B214" s="15">
        <v>189.59</v>
      </c>
      <c r="C214" s="15">
        <v>379.18</v>
      </c>
      <c r="D214" s="15">
        <v>189.59</v>
      </c>
      <c r="E214" s="15">
        <v>189.59</v>
      </c>
      <c r="F214" s="15">
        <v>189.59</v>
      </c>
      <c r="G214" s="15">
        <v>189.59</v>
      </c>
      <c r="H214" s="15">
        <v>189.59</v>
      </c>
      <c r="I214" s="15">
        <v>189.59</v>
      </c>
      <c r="J214" s="15">
        <v>189.59</v>
      </c>
      <c r="K214" s="15">
        <v>379.18</v>
      </c>
      <c r="L214" s="15">
        <v>189.59</v>
      </c>
      <c r="M214" s="15">
        <v>189.59</v>
      </c>
      <c r="N214" s="15">
        <v>189.59</v>
      </c>
      <c r="O214" t="s">
        <v>75</v>
      </c>
    </row>
    <row r="215" spans="1:15" x14ac:dyDescent="0.25">
      <c r="A215" s="10" t="s">
        <v>1348</v>
      </c>
      <c r="B215" s="15">
        <v>379.18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379.18</v>
      </c>
      <c r="O215" t="s">
        <v>75</v>
      </c>
    </row>
    <row r="216" spans="1:15" x14ac:dyDescent="0.25">
      <c r="A216" s="10" t="s">
        <v>1350</v>
      </c>
      <c r="B216" s="15">
        <v>379.18</v>
      </c>
      <c r="C216" s="15">
        <v>379.18</v>
      </c>
      <c r="D216" s="15">
        <v>189.59</v>
      </c>
      <c r="E216" s="15">
        <v>189.59</v>
      </c>
      <c r="F216" s="15">
        <v>189.59</v>
      </c>
      <c r="G216" s="15">
        <v>189.59</v>
      </c>
      <c r="H216" s="15">
        <v>189.59</v>
      </c>
      <c r="I216" s="15">
        <v>189.59</v>
      </c>
      <c r="J216" s="15">
        <v>189.59</v>
      </c>
      <c r="K216" s="15">
        <v>189.59</v>
      </c>
      <c r="L216" s="15">
        <v>189.59</v>
      </c>
      <c r="M216" s="15">
        <v>189.59</v>
      </c>
      <c r="N216" s="15">
        <v>189.59</v>
      </c>
      <c r="O216" t="s">
        <v>75</v>
      </c>
    </row>
    <row r="217" spans="1:15" x14ac:dyDescent="0.25">
      <c r="A217" s="10" t="s">
        <v>1352</v>
      </c>
      <c r="B217" s="15">
        <v>189.59</v>
      </c>
      <c r="C217" s="15">
        <v>379.18</v>
      </c>
      <c r="D217" s="15">
        <v>189.59</v>
      </c>
      <c r="E217" s="15">
        <v>189.59</v>
      </c>
      <c r="F217" s="15">
        <v>189.59</v>
      </c>
      <c r="G217" s="15">
        <v>189.59</v>
      </c>
      <c r="H217" s="15">
        <v>189.59</v>
      </c>
      <c r="I217" s="15">
        <v>189.59</v>
      </c>
      <c r="J217" s="15">
        <v>189.59</v>
      </c>
      <c r="K217" s="15">
        <v>189.59</v>
      </c>
      <c r="L217" s="15">
        <v>189.59</v>
      </c>
      <c r="M217" s="15">
        <v>379.18</v>
      </c>
      <c r="N217" s="15">
        <v>189.59</v>
      </c>
      <c r="O217" t="s">
        <v>75</v>
      </c>
    </row>
    <row r="218" spans="1:15" x14ac:dyDescent="0.25">
      <c r="A218" s="10" t="s">
        <v>1364</v>
      </c>
      <c r="B218" s="15">
        <v>568.77</v>
      </c>
      <c r="C218" s="15">
        <v>1137.54</v>
      </c>
      <c r="D218" s="15">
        <v>568.77</v>
      </c>
      <c r="E218" s="15">
        <v>568.77</v>
      </c>
      <c r="F218" s="15">
        <v>568.77</v>
      </c>
      <c r="G218" s="15">
        <v>1137.54</v>
      </c>
      <c r="H218" s="15">
        <v>568.77</v>
      </c>
      <c r="I218" s="15">
        <v>568.77</v>
      </c>
      <c r="J218" s="15">
        <v>568.77</v>
      </c>
      <c r="K218" s="15">
        <v>568.77</v>
      </c>
      <c r="L218" s="15">
        <v>568.77</v>
      </c>
      <c r="M218" s="15">
        <v>568.77</v>
      </c>
      <c r="N218" s="15">
        <v>568.77</v>
      </c>
      <c r="O218" t="s">
        <v>75</v>
      </c>
    </row>
    <row r="219" spans="1:15" x14ac:dyDescent="0.25">
      <c r="A219" s="10" t="s">
        <v>1368</v>
      </c>
      <c r="B219" s="15">
        <v>568.77</v>
      </c>
      <c r="C219" s="15">
        <v>568.77</v>
      </c>
      <c r="D219" s="15">
        <v>568.77</v>
      </c>
      <c r="E219" s="15">
        <v>568.77</v>
      </c>
      <c r="F219" s="15">
        <v>568.77</v>
      </c>
      <c r="G219" s="15">
        <v>568.77</v>
      </c>
      <c r="H219" s="15">
        <v>568.77</v>
      </c>
      <c r="I219" s="15">
        <v>568.77</v>
      </c>
      <c r="J219" s="15">
        <v>1137.54</v>
      </c>
      <c r="K219" s="15">
        <v>568.77</v>
      </c>
      <c r="L219" s="15">
        <v>568.77</v>
      </c>
      <c r="M219" s="15">
        <v>568.77</v>
      </c>
      <c r="N219" s="15">
        <v>568.77</v>
      </c>
      <c r="O219" t="s">
        <v>75</v>
      </c>
    </row>
    <row r="220" spans="1:15" x14ac:dyDescent="0.25">
      <c r="A220" s="10" t="s">
        <v>1376</v>
      </c>
      <c r="B220" s="15">
        <v>189.59</v>
      </c>
      <c r="C220" s="15">
        <v>189.59</v>
      </c>
      <c r="D220" s="15">
        <v>189.59</v>
      </c>
      <c r="E220" s="15">
        <v>189.59</v>
      </c>
      <c r="F220" s="15">
        <v>189.59</v>
      </c>
      <c r="G220" s="15">
        <v>189.59</v>
      </c>
      <c r="H220" s="15">
        <v>379.18</v>
      </c>
      <c r="I220" s="15">
        <v>189.59</v>
      </c>
      <c r="J220" s="15">
        <v>189.59</v>
      </c>
      <c r="K220" s="15">
        <v>189.59</v>
      </c>
      <c r="L220" s="15">
        <v>189.59</v>
      </c>
      <c r="M220" s="15">
        <v>189.59</v>
      </c>
      <c r="N220" s="15">
        <v>189.59</v>
      </c>
      <c r="O220" t="s">
        <v>75</v>
      </c>
    </row>
    <row r="221" spans="1:15" x14ac:dyDescent="0.25">
      <c r="A221" s="10" t="s">
        <v>1384</v>
      </c>
      <c r="B221" s="15">
        <v>568.77</v>
      </c>
      <c r="C221" s="15">
        <v>568.77</v>
      </c>
      <c r="D221" s="15">
        <v>568.77</v>
      </c>
      <c r="E221" s="15">
        <v>568.77</v>
      </c>
      <c r="F221" s="15">
        <v>568.77</v>
      </c>
      <c r="G221" s="15">
        <v>568.77</v>
      </c>
      <c r="H221" s="15">
        <v>568.77</v>
      </c>
      <c r="I221" s="15">
        <v>568.77</v>
      </c>
      <c r="J221" s="15">
        <v>568.77</v>
      </c>
      <c r="K221" s="15">
        <v>568.77</v>
      </c>
      <c r="L221" s="15">
        <v>1137.54</v>
      </c>
      <c r="M221" s="15">
        <v>568.77</v>
      </c>
      <c r="N221" s="15">
        <v>568.77</v>
      </c>
      <c r="O221" t="s">
        <v>75</v>
      </c>
    </row>
    <row r="222" spans="1:15" x14ac:dyDescent="0.25">
      <c r="A222" s="10" t="s">
        <v>1386</v>
      </c>
      <c r="B222" s="15">
        <v>758.36</v>
      </c>
      <c r="C222" s="15">
        <v>758.36</v>
      </c>
      <c r="D222" s="15">
        <v>379.18</v>
      </c>
      <c r="E222" s="15">
        <v>379.18</v>
      </c>
      <c r="F222" s="15">
        <v>379.18</v>
      </c>
      <c r="G222" s="15">
        <v>379.18</v>
      </c>
      <c r="H222" s="15">
        <v>379.18</v>
      </c>
      <c r="I222" s="15">
        <v>379.18</v>
      </c>
      <c r="J222" s="15">
        <v>379.18</v>
      </c>
      <c r="K222" s="15">
        <v>758.36</v>
      </c>
      <c r="L222" s="15">
        <v>379.18</v>
      </c>
      <c r="M222" s="15">
        <v>379.18</v>
      </c>
      <c r="N222" s="15">
        <v>379.18</v>
      </c>
      <c r="O222" t="s">
        <v>75</v>
      </c>
    </row>
    <row r="223" spans="1:15" x14ac:dyDescent="0.25">
      <c r="A223" s="10" t="s">
        <v>1390</v>
      </c>
      <c r="B223" s="15">
        <v>758.36</v>
      </c>
      <c r="C223" s="15">
        <v>379.18</v>
      </c>
      <c r="D223" s="15">
        <v>379.18</v>
      </c>
      <c r="E223" s="15">
        <v>379.18</v>
      </c>
      <c r="F223" s="15">
        <v>379.18</v>
      </c>
      <c r="G223" s="15">
        <v>379.18</v>
      </c>
      <c r="H223" s="15">
        <v>379.18</v>
      </c>
      <c r="I223" s="15">
        <v>379.18</v>
      </c>
      <c r="J223" s="15">
        <v>379.18</v>
      </c>
      <c r="K223" s="15">
        <v>379.18</v>
      </c>
      <c r="L223" s="15">
        <v>379.18</v>
      </c>
      <c r="M223" s="15">
        <v>379.18</v>
      </c>
      <c r="N223" s="15">
        <v>379.18</v>
      </c>
      <c r="O223" t="s">
        <v>75</v>
      </c>
    </row>
    <row r="224" spans="1:15" x14ac:dyDescent="0.25">
      <c r="A224" s="10" t="s">
        <v>1394</v>
      </c>
      <c r="B224" s="15">
        <v>379.18</v>
      </c>
      <c r="C224" s="15">
        <v>379.18</v>
      </c>
      <c r="D224" s="15">
        <v>379.18</v>
      </c>
      <c r="E224" s="15">
        <v>379.18</v>
      </c>
      <c r="F224" s="15">
        <v>379.18</v>
      </c>
      <c r="G224" s="15">
        <v>379.18</v>
      </c>
      <c r="H224" s="15">
        <v>379.18</v>
      </c>
      <c r="I224" s="15">
        <v>758.36</v>
      </c>
      <c r="J224" s="15">
        <v>379.18</v>
      </c>
      <c r="K224" s="15">
        <v>379.18</v>
      </c>
      <c r="L224" s="15">
        <v>379.18</v>
      </c>
      <c r="M224" s="15">
        <v>379.18</v>
      </c>
      <c r="N224" s="15">
        <v>379.18</v>
      </c>
      <c r="O224" t="s">
        <v>75</v>
      </c>
    </row>
    <row r="225" spans="1:15" x14ac:dyDescent="0.25">
      <c r="A225" s="10" t="s">
        <v>1396</v>
      </c>
      <c r="B225" s="15">
        <v>189.59</v>
      </c>
      <c r="C225" s="15">
        <v>189.59</v>
      </c>
      <c r="D225" s="15">
        <v>189.59</v>
      </c>
      <c r="E225" s="15">
        <v>189.59</v>
      </c>
      <c r="F225" s="15">
        <v>189.59</v>
      </c>
      <c r="G225" s="15">
        <v>189.59</v>
      </c>
      <c r="H225" s="15">
        <v>189.59</v>
      </c>
      <c r="I225" s="15">
        <v>189.59</v>
      </c>
      <c r="J225" s="15">
        <v>189.59</v>
      </c>
      <c r="K225" s="15">
        <v>189.59</v>
      </c>
      <c r="L225" s="15">
        <v>189.59</v>
      </c>
      <c r="M225" s="15">
        <v>379.18</v>
      </c>
      <c r="N225" s="15">
        <v>189.59</v>
      </c>
      <c r="O225" t="s">
        <v>75</v>
      </c>
    </row>
    <row r="226" spans="1:15" x14ac:dyDescent="0.25">
      <c r="A226" s="10" t="s">
        <v>1398</v>
      </c>
      <c r="B226" s="15">
        <v>189.59</v>
      </c>
      <c r="C226" s="15">
        <v>189.59</v>
      </c>
      <c r="D226" s="15">
        <v>189.59</v>
      </c>
      <c r="E226" s="15">
        <v>189.59</v>
      </c>
      <c r="F226" s="15">
        <v>189.59</v>
      </c>
      <c r="G226" s="15">
        <v>189.59</v>
      </c>
      <c r="H226" s="15">
        <v>189.59</v>
      </c>
      <c r="I226" s="15">
        <v>189.59</v>
      </c>
      <c r="J226" s="15">
        <v>189.59</v>
      </c>
      <c r="K226" s="15">
        <v>189.59</v>
      </c>
      <c r="L226" s="15">
        <v>189.59</v>
      </c>
      <c r="M226" s="15">
        <v>379.18</v>
      </c>
      <c r="N226" s="15">
        <v>189.59</v>
      </c>
      <c r="O226" t="s">
        <v>75</v>
      </c>
    </row>
    <row r="227" spans="1:15" x14ac:dyDescent="0.25">
      <c r="A227" s="10" t="s">
        <v>1402</v>
      </c>
      <c r="B227" s="15">
        <v>189.59</v>
      </c>
      <c r="C227" s="15">
        <v>189.59</v>
      </c>
      <c r="D227" s="15">
        <v>189.59</v>
      </c>
      <c r="E227" s="15">
        <v>189.59</v>
      </c>
      <c r="F227" s="15">
        <v>189.59</v>
      </c>
      <c r="G227" s="15">
        <v>189.59</v>
      </c>
      <c r="H227" s="15">
        <v>379.18</v>
      </c>
      <c r="I227" s="15">
        <v>189.59</v>
      </c>
      <c r="J227" s="15">
        <v>189.59</v>
      </c>
      <c r="K227" s="15">
        <v>189.59</v>
      </c>
      <c r="L227" s="15">
        <v>189.59</v>
      </c>
      <c r="M227" s="15">
        <v>189.59</v>
      </c>
      <c r="N227" s="15">
        <v>189.59</v>
      </c>
      <c r="O227" t="s">
        <v>75</v>
      </c>
    </row>
    <row r="228" spans="1:15" x14ac:dyDescent="0.25">
      <c r="A228" s="10" t="s">
        <v>1408</v>
      </c>
      <c r="B228" s="15">
        <v>189.59</v>
      </c>
      <c r="C228" s="15">
        <v>189.59</v>
      </c>
      <c r="D228" s="15">
        <v>189.59</v>
      </c>
      <c r="E228" s="15">
        <v>189.59</v>
      </c>
      <c r="F228" s="15">
        <v>189.59</v>
      </c>
      <c r="G228" s="15">
        <v>189.59</v>
      </c>
      <c r="H228" s="15">
        <v>189.59</v>
      </c>
      <c r="I228" s="15">
        <v>189.59</v>
      </c>
      <c r="J228" s="15">
        <v>189.59</v>
      </c>
      <c r="K228" s="15">
        <v>189.59</v>
      </c>
      <c r="L228" s="15">
        <v>189.59</v>
      </c>
      <c r="M228" s="15">
        <v>379.18</v>
      </c>
      <c r="N228" s="15">
        <v>189.59</v>
      </c>
      <c r="O228" t="s">
        <v>75</v>
      </c>
    </row>
    <row r="229" spans="1:15" x14ac:dyDescent="0.25">
      <c r="A229" s="10" t="s">
        <v>1412</v>
      </c>
      <c r="B229" s="15">
        <v>0</v>
      </c>
      <c r="C229" s="15">
        <v>0</v>
      </c>
      <c r="D229" s="15">
        <v>0</v>
      </c>
      <c r="E229" s="15">
        <v>379.18</v>
      </c>
      <c r="F229" s="15">
        <v>379.18</v>
      </c>
      <c r="G229" s="15">
        <v>379.18</v>
      </c>
      <c r="H229" s="15">
        <v>379.18</v>
      </c>
      <c r="I229" s="15">
        <v>379.18</v>
      </c>
      <c r="J229" s="15">
        <v>379.18</v>
      </c>
      <c r="K229" s="15">
        <v>379.18</v>
      </c>
      <c r="L229" s="15">
        <v>379.18</v>
      </c>
      <c r="M229" s="15">
        <v>379.18</v>
      </c>
      <c r="N229" s="15">
        <v>379.18</v>
      </c>
      <c r="O229" t="s">
        <v>75</v>
      </c>
    </row>
    <row r="230" spans="1:15" x14ac:dyDescent="0.25">
      <c r="A230" s="10" t="s">
        <v>1414</v>
      </c>
      <c r="B230" s="15">
        <v>379.18</v>
      </c>
      <c r="C230" s="15">
        <v>379.18</v>
      </c>
      <c r="D230" s="15">
        <v>189.59</v>
      </c>
      <c r="E230" s="15">
        <v>189.59</v>
      </c>
      <c r="F230" s="15">
        <v>189.59</v>
      </c>
      <c r="G230" s="15">
        <v>189.59</v>
      </c>
      <c r="H230" s="15">
        <v>379.18</v>
      </c>
      <c r="I230" s="15">
        <v>189.59</v>
      </c>
      <c r="J230" s="15">
        <v>189.59</v>
      </c>
      <c r="K230" s="15">
        <v>189.59</v>
      </c>
      <c r="L230" s="15">
        <v>189.59</v>
      </c>
      <c r="M230" s="15">
        <v>189.59</v>
      </c>
      <c r="N230" s="15">
        <v>189.59</v>
      </c>
      <c r="O230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O638"/>
  <sheetViews>
    <sheetView workbookViewId="0">
      <selection activeCell="F9" sqref="F9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5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155354,73</v>
      </c>
      <c r="C2" s="14" t="str">
        <f>CONCATENATE("FEVEREIRO",CHAR(10),"TOTAL: ",ROUND(SUM(C3:C1048576),2))</f>
        <v>FEVEREIRO
TOTAL: 162108,16</v>
      </c>
      <c r="D2" s="14" t="str">
        <f>CONCATENATE("MARÇO",CHAR(10),"TOTAL: ",ROUND(SUM(D3:D1048576),2))</f>
        <v>MARÇO
TOTAL: 168941,43</v>
      </c>
      <c r="E2" s="14" t="str">
        <f>CONCATENATE("ABRIL",CHAR(10),"TOTAL: ",ROUND(SUM(E3:E1048576),2))</f>
        <v>ABRIL
TOTAL: 163292,7</v>
      </c>
      <c r="F2" s="14" t="str">
        <f>CONCATENATE("MAIO",CHAR(10),"TOTAL: ",ROUND(SUM(F3:F1048576),2))</f>
        <v>MAIO
TOTAL: 168995,39</v>
      </c>
      <c r="G2" s="14" t="str">
        <f>CONCATENATE("JUNHO",CHAR(10),"TOTAL: ",ROUND(SUM(G3:G1048576),2))</f>
        <v>JUNHO
TOTAL: 172007,68</v>
      </c>
      <c r="H2" s="14" t="str">
        <f>CONCATENATE("JULHO",CHAR(10),"TOTAL: ",ROUND(SUM(H3:H1048576),2))</f>
        <v>JULHO
TOTAL: 173828,38</v>
      </c>
      <c r="I2" s="14" t="str">
        <f>CONCATENATE("AGOSTO",CHAR(10),"TOTAL: ",ROUND(SUM(I3:I1048576),2))</f>
        <v>AGOSTO
TOTAL: 168302,1</v>
      </c>
      <c r="J2" s="14" t="str">
        <f>CONCATENATE("SETEMBRO",CHAR(10),"TOTAL: ",ROUND(SUM(J3:J1048576),2))</f>
        <v>SETEMBRO
TOTAL: 160843,45</v>
      </c>
      <c r="K2" s="14" t="str">
        <f>CONCATENATE("OUTUBRO",CHAR(10),"TOTAL: ",ROUND(SUM(K3:K1048576),2))</f>
        <v>OUTUBRO
TOTAL: 170553,79</v>
      </c>
      <c r="L2" s="14" t="str">
        <f>CONCATENATE("NOVEMBRO",CHAR(10),"TOTAL: ",ROUND(SUM(L3:L1048576),2))</f>
        <v>NOVEMBRO
TOTAL: 172389,17</v>
      </c>
      <c r="M2" s="14" t="str">
        <f>CONCATENATE("DEZEMBRO",CHAR(10),"TOTAL: ",ROUND(SUM(M3:M1048576),2))</f>
        <v>DEZEMBRO
TOTAL: 178033,59</v>
      </c>
      <c r="N2" s="14" t="str">
        <f>CONCATENATE("DEC. TERCEIRO",CHAR(10),"TOTAL: ",ROUND(SUM(N3:N1048576),2))</f>
        <v>DEC. TERCEIRO
TOTAL: 168436,38</v>
      </c>
    </row>
    <row r="3" spans="1:15" x14ac:dyDescent="0.25">
      <c r="A3" s="10" t="s">
        <v>95</v>
      </c>
      <c r="B3" s="15">
        <v>437.44</v>
      </c>
      <c r="C3" s="15">
        <v>180.9</v>
      </c>
      <c r="D3" s="15">
        <v>475.06</v>
      </c>
      <c r="E3" s="15">
        <v>475.06</v>
      </c>
      <c r="F3" s="15">
        <v>475.06</v>
      </c>
      <c r="G3" s="15">
        <v>475.06</v>
      </c>
      <c r="H3" s="15">
        <v>475.06</v>
      </c>
      <c r="I3" s="15">
        <v>684.05</v>
      </c>
      <c r="J3" s="15">
        <v>331.48</v>
      </c>
      <c r="K3" s="15">
        <v>475.06</v>
      </c>
      <c r="L3" s="15">
        <v>475.06</v>
      </c>
      <c r="M3" s="15">
        <v>858.21</v>
      </c>
      <c r="N3" s="15">
        <v>479.06</v>
      </c>
      <c r="O3" t="s">
        <v>75</v>
      </c>
    </row>
    <row r="4" spans="1:15" x14ac:dyDescent="0.25">
      <c r="A4" s="10" t="s">
        <v>97</v>
      </c>
      <c r="B4" s="15">
        <v>79.56</v>
      </c>
      <c r="C4" s="15">
        <v>40.69</v>
      </c>
      <c r="D4" s="15">
        <v>88.44</v>
      </c>
      <c r="E4" s="15">
        <v>88.23</v>
      </c>
      <c r="F4" s="15">
        <v>88.44</v>
      </c>
      <c r="G4" s="15">
        <v>88.44</v>
      </c>
      <c r="H4" s="15">
        <v>88.44</v>
      </c>
      <c r="I4" s="15">
        <v>278.68</v>
      </c>
      <c r="J4" s="15">
        <v>0</v>
      </c>
      <c r="K4" s="15">
        <v>0</v>
      </c>
      <c r="L4" s="15">
        <v>0</v>
      </c>
      <c r="M4" s="15">
        <v>0</v>
      </c>
      <c r="N4" s="15">
        <v>66.64</v>
      </c>
      <c r="O4" t="s">
        <v>75</v>
      </c>
    </row>
    <row r="5" spans="1:15" x14ac:dyDescent="0.25">
      <c r="A5" s="10" t="s">
        <v>99</v>
      </c>
      <c r="B5" s="15">
        <v>1007.56</v>
      </c>
      <c r="C5" s="15">
        <v>570.88</v>
      </c>
      <c r="D5" s="15">
        <v>76.33</v>
      </c>
      <c r="E5" s="15">
        <v>570.88</v>
      </c>
      <c r="F5" s="15">
        <v>570.88</v>
      </c>
      <c r="G5" s="15">
        <v>1065.43</v>
      </c>
      <c r="H5" s="15">
        <v>76.33</v>
      </c>
      <c r="I5" s="15">
        <v>570.88</v>
      </c>
      <c r="J5" s="15">
        <v>570.88</v>
      </c>
      <c r="K5" s="15">
        <v>1141.76</v>
      </c>
      <c r="L5" s="15">
        <v>0</v>
      </c>
      <c r="M5" s="15">
        <v>0</v>
      </c>
      <c r="N5" s="15">
        <v>570.88</v>
      </c>
      <c r="O5" t="s">
        <v>75</v>
      </c>
    </row>
    <row r="6" spans="1:15" x14ac:dyDescent="0.25">
      <c r="A6" s="10" t="s">
        <v>102</v>
      </c>
      <c r="B6" s="15">
        <v>314.62</v>
      </c>
      <c r="C6" s="15">
        <v>651.15</v>
      </c>
      <c r="D6" s="15">
        <v>344.68</v>
      </c>
      <c r="E6" s="15">
        <v>114.32</v>
      </c>
      <c r="F6" s="15">
        <v>344.68</v>
      </c>
      <c r="G6" s="15">
        <v>344.68</v>
      </c>
      <c r="H6" s="15">
        <v>344.68</v>
      </c>
      <c r="I6" s="15">
        <v>344.68</v>
      </c>
      <c r="J6" s="15">
        <v>344.68</v>
      </c>
      <c r="K6" s="15">
        <v>344.68</v>
      </c>
      <c r="L6" s="15">
        <v>335.6</v>
      </c>
      <c r="M6" s="15">
        <v>344.68</v>
      </c>
      <c r="N6" s="15">
        <v>344.69</v>
      </c>
      <c r="O6" t="s">
        <v>75</v>
      </c>
    </row>
    <row r="7" spans="1:15" x14ac:dyDescent="0.25">
      <c r="A7" s="10" t="s">
        <v>104</v>
      </c>
      <c r="B7" s="15">
        <v>172.94</v>
      </c>
      <c r="C7" s="15">
        <v>512.64</v>
      </c>
      <c r="D7" s="15">
        <v>183.82</v>
      </c>
      <c r="E7" s="15">
        <v>0</v>
      </c>
      <c r="F7" s="15">
        <v>201.24</v>
      </c>
      <c r="G7" s="15">
        <v>183.82</v>
      </c>
      <c r="H7" s="15">
        <v>183.82</v>
      </c>
      <c r="I7" s="15">
        <v>183.82</v>
      </c>
      <c r="J7" s="15">
        <v>183.82</v>
      </c>
      <c r="K7" s="15">
        <v>183.82</v>
      </c>
      <c r="L7" s="15">
        <v>183.82</v>
      </c>
      <c r="M7" s="15">
        <v>183.82</v>
      </c>
      <c r="N7" s="15">
        <v>187.42</v>
      </c>
      <c r="O7" t="s">
        <v>75</v>
      </c>
    </row>
    <row r="8" spans="1:15" x14ac:dyDescent="0.25">
      <c r="A8" s="10" t="s">
        <v>106</v>
      </c>
      <c r="B8" s="15">
        <v>179.03</v>
      </c>
      <c r="C8" s="15">
        <v>376.95</v>
      </c>
      <c r="D8" s="15">
        <v>199</v>
      </c>
      <c r="E8" s="15">
        <v>120.62</v>
      </c>
      <c r="F8" s="15">
        <v>199</v>
      </c>
      <c r="G8" s="15">
        <v>199</v>
      </c>
      <c r="H8" s="15">
        <v>199</v>
      </c>
      <c r="I8" s="15">
        <v>199</v>
      </c>
      <c r="J8" s="15">
        <v>199</v>
      </c>
      <c r="K8" s="15">
        <v>199</v>
      </c>
      <c r="L8" s="15">
        <v>277.61</v>
      </c>
      <c r="M8" s="15">
        <v>142.5</v>
      </c>
      <c r="N8" s="15">
        <v>199</v>
      </c>
      <c r="O8" t="s">
        <v>75</v>
      </c>
    </row>
    <row r="9" spans="1:15" x14ac:dyDescent="0.25">
      <c r="A9" s="10" t="s">
        <v>108</v>
      </c>
      <c r="B9" s="15">
        <v>353.29</v>
      </c>
      <c r="C9" s="15">
        <v>395.34</v>
      </c>
      <c r="D9" s="15">
        <v>842.86</v>
      </c>
      <c r="E9" s="15">
        <v>330.42</v>
      </c>
      <c r="F9" s="15">
        <v>102.02</v>
      </c>
      <c r="G9" s="15">
        <v>359.28</v>
      </c>
      <c r="H9" s="15">
        <v>410.17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182.6</v>
      </c>
      <c r="O9" t="s">
        <v>75</v>
      </c>
    </row>
    <row r="10" spans="1:15" x14ac:dyDescent="0.25">
      <c r="A10" s="10" t="s">
        <v>110</v>
      </c>
      <c r="B10" s="15">
        <v>156.34</v>
      </c>
      <c r="C10" s="15">
        <v>231.96</v>
      </c>
      <c r="D10" s="15">
        <v>229.35</v>
      </c>
      <c r="E10" s="15">
        <v>228.48</v>
      </c>
      <c r="F10" s="15">
        <v>356.15</v>
      </c>
      <c r="G10" s="15">
        <v>240.73</v>
      </c>
      <c r="H10" s="15">
        <v>218.29</v>
      </c>
      <c r="I10" s="15">
        <v>229.35</v>
      </c>
      <c r="J10" s="15">
        <v>229.35</v>
      </c>
      <c r="K10" s="15">
        <v>589.02</v>
      </c>
      <c r="L10" s="15">
        <v>218.96</v>
      </c>
      <c r="M10" s="15">
        <v>18.690000000000001</v>
      </c>
      <c r="N10" s="15">
        <v>229.57</v>
      </c>
      <c r="O10" t="s">
        <v>75</v>
      </c>
    </row>
    <row r="11" spans="1:15" x14ac:dyDescent="0.25">
      <c r="A11" s="10" t="s">
        <v>112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570.88</v>
      </c>
      <c r="N11" s="15">
        <v>123.32</v>
      </c>
      <c r="O11" t="s">
        <v>75</v>
      </c>
    </row>
    <row r="12" spans="1:15" x14ac:dyDescent="0.25">
      <c r="A12" s="10" t="s">
        <v>114</v>
      </c>
      <c r="B12" s="15">
        <v>106.94</v>
      </c>
      <c r="C12" s="15">
        <v>116.5</v>
      </c>
      <c r="D12" s="15">
        <v>116.5</v>
      </c>
      <c r="E12" s="15">
        <v>116.5</v>
      </c>
      <c r="F12" s="15">
        <v>220.05</v>
      </c>
      <c r="G12" s="15">
        <v>116.5</v>
      </c>
      <c r="H12" s="15">
        <v>110.71</v>
      </c>
      <c r="I12" s="15">
        <v>116.5</v>
      </c>
      <c r="J12" s="15">
        <v>116.5</v>
      </c>
      <c r="K12" s="15">
        <v>116.5</v>
      </c>
      <c r="L12" s="15">
        <v>116.5</v>
      </c>
      <c r="M12" s="15">
        <v>116.5</v>
      </c>
      <c r="N12" s="15">
        <v>120.51</v>
      </c>
      <c r="O12" t="s">
        <v>75</v>
      </c>
    </row>
    <row r="13" spans="1:15" x14ac:dyDescent="0.25">
      <c r="A13" s="10" t="s">
        <v>119</v>
      </c>
      <c r="B13" s="15">
        <v>0</v>
      </c>
      <c r="C13" s="15">
        <v>570.88</v>
      </c>
      <c r="D13" s="15">
        <v>570.88</v>
      </c>
      <c r="E13" s="15">
        <v>570.88</v>
      </c>
      <c r="F13" s="15">
        <v>570.88</v>
      </c>
      <c r="G13" s="15">
        <v>570.88</v>
      </c>
      <c r="H13" s="15">
        <v>570.88</v>
      </c>
      <c r="I13" s="15">
        <v>570.88</v>
      </c>
      <c r="J13" s="15">
        <v>570.88</v>
      </c>
      <c r="K13" s="15">
        <v>570.88</v>
      </c>
      <c r="L13" s="15">
        <v>570.88</v>
      </c>
      <c r="M13" s="15">
        <v>570.88</v>
      </c>
      <c r="N13" s="15">
        <v>570.88</v>
      </c>
      <c r="O13" t="s">
        <v>75</v>
      </c>
    </row>
    <row r="14" spans="1:15" x14ac:dyDescent="0.25">
      <c r="A14" s="10" t="s">
        <v>121</v>
      </c>
      <c r="B14" s="15">
        <v>876.49</v>
      </c>
      <c r="C14" s="15">
        <v>570.88</v>
      </c>
      <c r="D14" s="15">
        <v>207.4</v>
      </c>
      <c r="E14" s="15">
        <v>570.88</v>
      </c>
      <c r="F14" s="15">
        <v>570.88</v>
      </c>
      <c r="G14" s="15">
        <v>570.88</v>
      </c>
      <c r="H14" s="15">
        <v>934.36</v>
      </c>
      <c r="I14" s="15">
        <v>570.88</v>
      </c>
      <c r="J14" s="15">
        <v>570.1</v>
      </c>
      <c r="K14" s="15">
        <v>208.18</v>
      </c>
      <c r="L14" s="15">
        <v>570.88</v>
      </c>
      <c r="M14" s="15">
        <v>570.88</v>
      </c>
      <c r="N14" s="15">
        <v>570.88</v>
      </c>
      <c r="O14" t="s">
        <v>75</v>
      </c>
    </row>
    <row r="15" spans="1:15" x14ac:dyDescent="0.25">
      <c r="A15" s="10" t="s">
        <v>123</v>
      </c>
      <c r="B15" s="15">
        <v>841.43</v>
      </c>
      <c r="C15" s="15">
        <v>426.29</v>
      </c>
      <c r="D15" s="15">
        <v>387.05</v>
      </c>
      <c r="E15" s="15">
        <v>570.88</v>
      </c>
      <c r="F15" s="15">
        <v>570.88</v>
      </c>
      <c r="G15" s="15">
        <v>570.88</v>
      </c>
      <c r="H15" s="15">
        <v>1141.76</v>
      </c>
      <c r="I15" s="15">
        <v>570.88</v>
      </c>
      <c r="J15" s="15">
        <v>0</v>
      </c>
      <c r="K15" s="15">
        <v>570.88</v>
      </c>
      <c r="L15" s="15">
        <v>570.88</v>
      </c>
      <c r="M15" s="15">
        <v>1020.24</v>
      </c>
      <c r="N15" s="15">
        <v>570.88</v>
      </c>
      <c r="O15" t="s">
        <v>75</v>
      </c>
    </row>
    <row r="16" spans="1:15" x14ac:dyDescent="0.25">
      <c r="A16" s="10" t="s">
        <v>125</v>
      </c>
      <c r="B16" s="15">
        <v>543.02</v>
      </c>
      <c r="C16" s="15">
        <v>570.88</v>
      </c>
      <c r="D16" s="15">
        <v>269.77999999999997</v>
      </c>
      <c r="E16" s="15">
        <v>570.88</v>
      </c>
      <c r="F16" s="15">
        <v>570.88</v>
      </c>
      <c r="G16" s="15">
        <v>570.88</v>
      </c>
      <c r="H16" s="15">
        <v>570.88</v>
      </c>
      <c r="I16" s="15">
        <v>570.88</v>
      </c>
      <c r="J16" s="15">
        <v>570.88</v>
      </c>
      <c r="K16" s="15">
        <v>570.88</v>
      </c>
      <c r="L16" s="15">
        <v>570.88</v>
      </c>
      <c r="M16" s="15">
        <v>863.65</v>
      </c>
      <c r="N16" s="15">
        <v>570.88</v>
      </c>
      <c r="O16" t="s">
        <v>75</v>
      </c>
    </row>
    <row r="17" spans="1:15" x14ac:dyDescent="0.25">
      <c r="A17" s="10" t="s">
        <v>127</v>
      </c>
      <c r="B17" s="15">
        <v>513.01</v>
      </c>
      <c r="C17" s="15">
        <v>1141.76</v>
      </c>
      <c r="D17" s="15">
        <v>570.88</v>
      </c>
      <c r="E17" s="15">
        <v>0</v>
      </c>
      <c r="F17" s="15">
        <v>570.88</v>
      </c>
      <c r="G17" s="15">
        <v>570.88</v>
      </c>
      <c r="H17" s="15">
        <v>570.88</v>
      </c>
      <c r="I17" s="15">
        <v>1141.76</v>
      </c>
      <c r="J17" s="15">
        <v>0</v>
      </c>
      <c r="K17" s="15">
        <v>0</v>
      </c>
      <c r="L17" s="15">
        <v>0</v>
      </c>
      <c r="M17" s="15">
        <v>0</v>
      </c>
      <c r="N17" s="15">
        <v>475.87</v>
      </c>
      <c r="O17" t="s">
        <v>75</v>
      </c>
    </row>
    <row r="18" spans="1:15" x14ac:dyDescent="0.25">
      <c r="A18" s="10" t="s">
        <v>129</v>
      </c>
      <c r="B18" s="15">
        <v>513.01</v>
      </c>
      <c r="C18" s="15">
        <v>570.88</v>
      </c>
      <c r="D18" s="15">
        <v>570.88</v>
      </c>
      <c r="E18" s="15">
        <v>570.88</v>
      </c>
      <c r="F18" s="15">
        <v>723.31</v>
      </c>
      <c r="G18" s="15">
        <v>570.88</v>
      </c>
      <c r="H18" s="15">
        <v>0</v>
      </c>
      <c r="I18" s="15">
        <v>570.88</v>
      </c>
      <c r="J18" s="15">
        <v>570.88</v>
      </c>
      <c r="K18" s="15">
        <v>570.88</v>
      </c>
      <c r="L18" s="15">
        <v>570.88</v>
      </c>
      <c r="M18" s="15">
        <v>570.88</v>
      </c>
      <c r="N18" s="15">
        <v>570.88</v>
      </c>
      <c r="O18" t="s">
        <v>75</v>
      </c>
    </row>
    <row r="19" spans="1:15" x14ac:dyDescent="0.25">
      <c r="A19" s="10" t="s">
        <v>131</v>
      </c>
      <c r="B19" s="15">
        <v>513.01</v>
      </c>
      <c r="C19" s="15">
        <v>570.88</v>
      </c>
      <c r="D19" s="15">
        <v>801.21</v>
      </c>
      <c r="E19" s="15">
        <v>340.55</v>
      </c>
      <c r="F19" s="15">
        <v>570.88</v>
      </c>
      <c r="G19" s="15">
        <v>798.65</v>
      </c>
      <c r="H19" s="15">
        <v>363.58</v>
      </c>
      <c r="I19" s="15">
        <v>550.41</v>
      </c>
      <c r="J19" s="15">
        <v>570.88</v>
      </c>
      <c r="K19" s="15">
        <v>570.88</v>
      </c>
      <c r="L19" s="15">
        <v>570.88</v>
      </c>
      <c r="M19" s="15">
        <v>570.88</v>
      </c>
      <c r="N19" s="15">
        <v>570.88</v>
      </c>
      <c r="O19" t="s">
        <v>75</v>
      </c>
    </row>
    <row r="20" spans="1:15" x14ac:dyDescent="0.25">
      <c r="A20" s="10" t="s">
        <v>133</v>
      </c>
      <c r="B20" s="15">
        <v>0</v>
      </c>
      <c r="C20" s="15">
        <v>0.77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3.88</v>
      </c>
      <c r="O20" t="s">
        <v>75</v>
      </c>
    </row>
    <row r="21" spans="1:15" x14ac:dyDescent="0.25">
      <c r="A21" s="10" t="s">
        <v>135</v>
      </c>
      <c r="B21" s="15">
        <v>178.8</v>
      </c>
      <c r="C21" s="15">
        <v>316.79000000000002</v>
      </c>
      <c r="D21" s="15">
        <v>317.43</v>
      </c>
      <c r="E21" s="15">
        <v>317.43</v>
      </c>
      <c r="F21" s="15">
        <v>499.97</v>
      </c>
      <c r="G21" s="15">
        <v>546.1</v>
      </c>
      <c r="H21" s="15">
        <v>184.86</v>
      </c>
      <c r="I21" s="15">
        <v>317.27</v>
      </c>
      <c r="J21" s="15">
        <v>546.1</v>
      </c>
      <c r="K21" s="15">
        <v>317.43</v>
      </c>
      <c r="L21" s="15">
        <v>317.43</v>
      </c>
      <c r="M21" s="15">
        <v>317.43</v>
      </c>
      <c r="N21" s="15">
        <v>355.54</v>
      </c>
      <c r="O21" t="s">
        <v>75</v>
      </c>
    </row>
    <row r="22" spans="1:15" x14ac:dyDescent="0.25">
      <c r="A22" s="10" t="s">
        <v>137</v>
      </c>
      <c r="B22" s="15">
        <v>179.03</v>
      </c>
      <c r="C22" s="15">
        <v>201.46</v>
      </c>
      <c r="D22" s="15">
        <v>199</v>
      </c>
      <c r="E22" s="15">
        <v>199</v>
      </c>
      <c r="F22" s="15">
        <v>199</v>
      </c>
      <c r="G22" s="15">
        <v>199</v>
      </c>
      <c r="H22" s="15">
        <v>199</v>
      </c>
      <c r="I22" s="15">
        <v>199</v>
      </c>
      <c r="J22" s="15">
        <v>199</v>
      </c>
      <c r="K22" s="15">
        <v>458.72</v>
      </c>
      <c r="L22" s="15">
        <v>199</v>
      </c>
      <c r="M22" s="15">
        <v>95.87</v>
      </c>
      <c r="N22" s="15">
        <v>199.2</v>
      </c>
      <c r="O22" t="s">
        <v>75</v>
      </c>
    </row>
    <row r="23" spans="1:15" x14ac:dyDescent="0.25">
      <c r="A23" s="10" t="s">
        <v>139</v>
      </c>
      <c r="B23" s="15">
        <v>179.03</v>
      </c>
      <c r="C23" s="15">
        <v>200.66</v>
      </c>
      <c r="D23" s="15">
        <v>199</v>
      </c>
      <c r="E23" s="15">
        <v>199</v>
      </c>
      <c r="F23" s="15">
        <v>374.36</v>
      </c>
      <c r="G23" s="15">
        <v>187.71</v>
      </c>
      <c r="H23" s="15">
        <v>132.76</v>
      </c>
      <c r="I23" s="15">
        <v>199</v>
      </c>
      <c r="J23" s="15">
        <v>199</v>
      </c>
      <c r="K23" s="15">
        <v>199</v>
      </c>
      <c r="L23" s="15">
        <v>199</v>
      </c>
      <c r="M23" s="15">
        <v>199</v>
      </c>
      <c r="N23" s="15">
        <v>199.14</v>
      </c>
      <c r="O23" t="s">
        <v>75</v>
      </c>
    </row>
    <row r="24" spans="1:15" x14ac:dyDescent="0.25">
      <c r="A24" s="10" t="s">
        <v>141</v>
      </c>
      <c r="B24" s="15">
        <v>0</v>
      </c>
      <c r="C24" s="15">
        <v>0</v>
      </c>
      <c r="D24" s="15">
        <v>0</v>
      </c>
      <c r="E24" s="15">
        <v>0</v>
      </c>
      <c r="F24" s="15">
        <v>222.36</v>
      </c>
      <c r="G24" s="15">
        <v>150.99</v>
      </c>
      <c r="H24" s="15">
        <v>304.73</v>
      </c>
      <c r="I24" s="15">
        <v>304.73</v>
      </c>
      <c r="J24" s="15">
        <v>304.73</v>
      </c>
      <c r="K24" s="15">
        <v>304.73</v>
      </c>
      <c r="L24" s="15">
        <v>304.73</v>
      </c>
      <c r="M24" s="15">
        <v>304.73</v>
      </c>
      <c r="N24" s="15">
        <v>166.22</v>
      </c>
      <c r="O24" t="s">
        <v>75</v>
      </c>
    </row>
    <row r="25" spans="1:15" x14ac:dyDescent="0.25">
      <c r="A25" s="10" t="s">
        <v>143</v>
      </c>
      <c r="B25" s="15">
        <v>513.01</v>
      </c>
      <c r="C25" s="15">
        <v>570.88</v>
      </c>
      <c r="D25" s="15">
        <v>570.88</v>
      </c>
      <c r="E25" s="15">
        <v>570.88</v>
      </c>
      <c r="F25" s="15">
        <v>570.88</v>
      </c>
      <c r="G25" s="15">
        <v>1141.76</v>
      </c>
      <c r="H25" s="15">
        <v>570.88</v>
      </c>
      <c r="I25" s="15">
        <v>0</v>
      </c>
      <c r="J25" s="15">
        <v>570.88</v>
      </c>
      <c r="K25" s="15">
        <v>570.88</v>
      </c>
      <c r="L25" s="15">
        <v>570.88</v>
      </c>
      <c r="M25" s="15">
        <v>570.88</v>
      </c>
      <c r="N25" s="15">
        <v>570.88</v>
      </c>
      <c r="O25" t="s">
        <v>75</v>
      </c>
    </row>
    <row r="26" spans="1:15" x14ac:dyDescent="0.25">
      <c r="A26" s="10" t="s">
        <v>145</v>
      </c>
      <c r="B26" s="15">
        <v>172.94</v>
      </c>
      <c r="C26" s="15">
        <v>293.27999999999997</v>
      </c>
      <c r="D26" s="15">
        <v>183.82</v>
      </c>
      <c r="E26" s="15">
        <v>183.82</v>
      </c>
      <c r="F26" s="15">
        <v>325.12</v>
      </c>
      <c r="G26" s="15">
        <v>485.42</v>
      </c>
      <c r="H26" s="15">
        <v>183.82</v>
      </c>
      <c r="I26" s="15">
        <v>14.98</v>
      </c>
      <c r="J26" s="15">
        <v>173.43</v>
      </c>
      <c r="K26" s="15">
        <v>183.82</v>
      </c>
      <c r="L26" s="15">
        <v>183.82</v>
      </c>
      <c r="M26" s="15">
        <v>183.82</v>
      </c>
      <c r="N26" s="15">
        <v>195.35</v>
      </c>
      <c r="O26" t="s">
        <v>75</v>
      </c>
    </row>
    <row r="27" spans="1:15" x14ac:dyDescent="0.25">
      <c r="A27" s="10" t="s">
        <v>147</v>
      </c>
      <c r="B27" s="15">
        <v>172.94</v>
      </c>
      <c r="C27" s="15">
        <v>183.82</v>
      </c>
      <c r="D27" s="15">
        <v>183.13</v>
      </c>
      <c r="E27" s="15">
        <v>183.82</v>
      </c>
      <c r="F27" s="15">
        <v>189.38</v>
      </c>
      <c r="G27" s="15">
        <v>183.82</v>
      </c>
      <c r="H27" s="15">
        <v>183.82</v>
      </c>
      <c r="I27" s="15">
        <v>183.82</v>
      </c>
      <c r="J27" s="15">
        <v>421.64</v>
      </c>
      <c r="K27" s="15">
        <v>183.82</v>
      </c>
      <c r="L27" s="15">
        <v>49.03</v>
      </c>
      <c r="M27" s="15">
        <v>142.07</v>
      </c>
      <c r="N27" s="15">
        <v>184.28</v>
      </c>
      <c r="O27" t="s">
        <v>75</v>
      </c>
    </row>
    <row r="28" spans="1:15" x14ac:dyDescent="0.25">
      <c r="A28" s="10" t="s">
        <v>149</v>
      </c>
      <c r="B28" s="15">
        <v>101.84</v>
      </c>
      <c r="C28" s="15">
        <v>171.6</v>
      </c>
      <c r="D28" s="15">
        <v>157.29</v>
      </c>
      <c r="E28" s="15">
        <v>143.71</v>
      </c>
      <c r="F28" s="15">
        <v>151.62</v>
      </c>
      <c r="G28" s="15">
        <v>148.38999999999999</v>
      </c>
      <c r="H28" s="15">
        <v>152.16999999999999</v>
      </c>
      <c r="I28" s="15">
        <v>154.38</v>
      </c>
      <c r="J28" s="15">
        <v>176.8</v>
      </c>
      <c r="K28" s="15">
        <v>347.28</v>
      </c>
      <c r="L28" s="15">
        <v>147.38999999999999</v>
      </c>
      <c r="M28" s="15">
        <v>70.92</v>
      </c>
      <c r="N28" s="15">
        <v>156.16999999999999</v>
      </c>
      <c r="O28" t="s">
        <v>75</v>
      </c>
    </row>
    <row r="29" spans="1:15" x14ac:dyDescent="0.25">
      <c r="A29" s="10" t="s">
        <v>151</v>
      </c>
      <c r="B29" s="15">
        <v>344.3</v>
      </c>
      <c r="C29" s="15">
        <v>430.41</v>
      </c>
      <c r="D29" s="15">
        <v>376.87</v>
      </c>
      <c r="E29" s="15">
        <v>376.87</v>
      </c>
      <c r="F29" s="15">
        <v>376.87</v>
      </c>
      <c r="G29" s="15">
        <v>715.73</v>
      </c>
      <c r="H29" s="15">
        <v>376.87</v>
      </c>
      <c r="I29" s="15">
        <v>96.45</v>
      </c>
      <c r="J29" s="15">
        <v>376.87</v>
      </c>
      <c r="K29" s="15">
        <v>376.87</v>
      </c>
      <c r="L29" s="15">
        <v>376.87</v>
      </c>
      <c r="M29" s="15">
        <v>500.12</v>
      </c>
      <c r="N29" s="15">
        <v>381.33</v>
      </c>
      <c r="O29" t="s">
        <v>75</v>
      </c>
    </row>
    <row r="30" spans="1:15" x14ac:dyDescent="0.25">
      <c r="A30" s="10" t="s">
        <v>153</v>
      </c>
      <c r="B30" s="15">
        <v>79.56</v>
      </c>
      <c r="C30" s="15">
        <v>116.39</v>
      </c>
      <c r="D30" s="15">
        <v>88.44</v>
      </c>
      <c r="E30" s="15">
        <v>88.44</v>
      </c>
      <c r="F30" s="15">
        <v>88.44</v>
      </c>
      <c r="G30" s="15">
        <v>91.39</v>
      </c>
      <c r="H30" s="15">
        <v>88.44</v>
      </c>
      <c r="I30" s="15">
        <v>91.39</v>
      </c>
      <c r="J30" s="15">
        <v>212.41</v>
      </c>
      <c r="K30" s="15">
        <v>58.96</v>
      </c>
      <c r="L30" s="15">
        <v>29.48</v>
      </c>
      <c r="M30" s="15">
        <v>88.44</v>
      </c>
      <c r="N30" s="15">
        <v>90.77</v>
      </c>
      <c r="O30" t="s">
        <v>75</v>
      </c>
    </row>
    <row r="31" spans="1:15" x14ac:dyDescent="0.25">
      <c r="A31" s="10" t="s">
        <v>155</v>
      </c>
      <c r="B31" s="15">
        <v>434.34</v>
      </c>
      <c r="C31" s="15">
        <v>214.68</v>
      </c>
      <c r="D31" s="15">
        <v>181.12</v>
      </c>
      <c r="E31" s="15">
        <v>214.68</v>
      </c>
      <c r="F31" s="15">
        <v>227.53</v>
      </c>
      <c r="G31" s="15">
        <v>226.66</v>
      </c>
      <c r="H31" s="15">
        <v>297.02</v>
      </c>
      <c r="I31" s="15">
        <v>213.37</v>
      </c>
      <c r="J31" s="15">
        <v>212.49</v>
      </c>
      <c r="K31" s="15">
        <v>330.04</v>
      </c>
      <c r="L31" s="15">
        <v>226.66</v>
      </c>
      <c r="M31" s="15">
        <v>294.33999999999997</v>
      </c>
      <c r="N31" s="15">
        <v>230.62</v>
      </c>
      <c r="O31" t="s">
        <v>75</v>
      </c>
    </row>
    <row r="32" spans="1:15" x14ac:dyDescent="0.25">
      <c r="A32" s="10" t="s">
        <v>157</v>
      </c>
      <c r="B32" s="15">
        <v>0</v>
      </c>
      <c r="C32" s="15">
        <v>57.87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570.88</v>
      </c>
      <c r="K32" s="15">
        <v>0</v>
      </c>
      <c r="L32" s="15">
        <v>0</v>
      </c>
      <c r="M32" s="15">
        <v>0</v>
      </c>
      <c r="N32" s="15">
        <v>570.88</v>
      </c>
      <c r="O32" t="s">
        <v>75</v>
      </c>
    </row>
    <row r="33" spans="1:15" x14ac:dyDescent="0.25">
      <c r="A33" s="10" t="s">
        <v>159</v>
      </c>
      <c r="B33" s="15">
        <v>108.36</v>
      </c>
      <c r="C33" s="15">
        <v>206.61</v>
      </c>
      <c r="D33" s="15">
        <v>199</v>
      </c>
      <c r="E33" s="15">
        <v>199</v>
      </c>
      <c r="F33" s="15">
        <v>199</v>
      </c>
      <c r="G33" s="15">
        <v>199</v>
      </c>
      <c r="H33" s="15">
        <v>199</v>
      </c>
      <c r="I33" s="15">
        <v>199</v>
      </c>
      <c r="J33" s="15">
        <v>199</v>
      </c>
      <c r="K33" s="15">
        <v>199</v>
      </c>
      <c r="L33" s="15">
        <v>199</v>
      </c>
      <c r="M33" s="15">
        <v>199</v>
      </c>
      <c r="N33" s="15">
        <v>199.63</v>
      </c>
      <c r="O33" t="s">
        <v>75</v>
      </c>
    </row>
    <row r="34" spans="1:15" x14ac:dyDescent="0.25">
      <c r="A34" s="10" t="s">
        <v>161</v>
      </c>
      <c r="B34" s="15">
        <v>108.31</v>
      </c>
      <c r="C34" s="15">
        <v>198.33</v>
      </c>
      <c r="D34" s="15">
        <v>199</v>
      </c>
      <c r="E34" s="15">
        <v>199</v>
      </c>
      <c r="F34" s="15">
        <v>196.03</v>
      </c>
      <c r="G34" s="15">
        <v>199</v>
      </c>
      <c r="H34" s="15">
        <v>199</v>
      </c>
      <c r="I34" s="15">
        <v>199</v>
      </c>
      <c r="J34" s="15">
        <v>199</v>
      </c>
      <c r="K34" s="15">
        <v>199</v>
      </c>
      <c r="L34" s="15">
        <v>199</v>
      </c>
      <c r="M34" s="15">
        <v>199</v>
      </c>
      <c r="N34" s="15">
        <v>199</v>
      </c>
      <c r="O34" t="s">
        <v>75</v>
      </c>
    </row>
    <row r="35" spans="1:15" x14ac:dyDescent="0.25">
      <c r="A35" s="10" t="s">
        <v>163</v>
      </c>
      <c r="B35" s="15">
        <v>296.95</v>
      </c>
      <c r="C35" s="15">
        <v>208.53</v>
      </c>
      <c r="D35" s="15">
        <v>114.24</v>
      </c>
      <c r="E35" s="15">
        <v>199</v>
      </c>
      <c r="F35" s="15">
        <v>199</v>
      </c>
      <c r="G35" s="15">
        <v>199</v>
      </c>
      <c r="H35" s="15">
        <v>317.39</v>
      </c>
      <c r="I35" s="15">
        <v>199</v>
      </c>
      <c r="J35" s="15">
        <v>114.3</v>
      </c>
      <c r="K35" s="15">
        <v>199</v>
      </c>
      <c r="L35" s="15">
        <v>199</v>
      </c>
      <c r="M35" s="15">
        <v>199</v>
      </c>
      <c r="N35" s="15">
        <v>199.79</v>
      </c>
      <c r="O35" t="s">
        <v>75</v>
      </c>
    </row>
    <row r="36" spans="1:15" x14ac:dyDescent="0.25">
      <c r="A36" s="10" t="s">
        <v>165</v>
      </c>
      <c r="B36" s="15">
        <v>172.94</v>
      </c>
      <c r="C36" s="15">
        <v>204.66</v>
      </c>
      <c r="D36" s="15">
        <v>257.5</v>
      </c>
      <c r="E36" s="15">
        <v>183.82</v>
      </c>
      <c r="F36" s="15">
        <v>143.18</v>
      </c>
      <c r="G36" s="15">
        <v>183.82</v>
      </c>
      <c r="H36" s="15">
        <v>183.82</v>
      </c>
      <c r="I36" s="15">
        <v>183.82</v>
      </c>
      <c r="J36" s="15">
        <v>257.5</v>
      </c>
      <c r="K36" s="15">
        <v>183.82</v>
      </c>
      <c r="L36" s="15">
        <v>131.76</v>
      </c>
      <c r="M36" s="15">
        <v>183.82</v>
      </c>
      <c r="N36" s="15">
        <v>186.51</v>
      </c>
      <c r="O36" t="s">
        <v>75</v>
      </c>
    </row>
    <row r="37" spans="1:15" x14ac:dyDescent="0.25">
      <c r="A37" s="10" t="s">
        <v>167</v>
      </c>
      <c r="B37" s="15">
        <v>813.86</v>
      </c>
      <c r="C37" s="15">
        <v>570.88</v>
      </c>
      <c r="D37" s="15">
        <v>270.02999999999997</v>
      </c>
      <c r="E37" s="15">
        <v>570.88</v>
      </c>
      <c r="F37" s="15">
        <v>871.73</v>
      </c>
      <c r="G37" s="15">
        <v>570.88</v>
      </c>
      <c r="H37" s="15">
        <v>270.02999999999997</v>
      </c>
      <c r="I37" s="15">
        <v>570.88</v>
      </c>
      <c r="J37" s="15">
        <v>570.88</v>
      </c>
      <c r="K37" s="15">
        <v>570.88</v>
      </c>
      <c r="L37" s="15">
        <v>570.88</v>
      </c>
      <c r="M37" s="15">
        <v>570.88</v>
      </c>
      <c r="N37" s="15">
        <v>570.88</v>
      </c>
      <c r="O37" t="s">
        <v>75</v>
      </c>
    </row>
    <row r="38" spans="1:15" x14ac:dyDescent="0.25">
      <c r="A38" s="10" t="s">
        <v>169</v>
      </c>
      <c r="B38" s="15">
        <v>249.75</v>
      </c>
      <c r="C38" s="15">
        <v>176.75</v>
      </c>
      <c r="D38" s="15">
        <v>171.31</v>
      </c>
      <c r="E38" s="15">
        <v>194.71</v>
      </c>
      <c r="F38" s="15">
        <v>194.71</v>
      </c>
      <c r="G38" s="15">
        <v>365.2</v>
      </c>
      <c r="H38" s="15">
        <v>84.37</v>
      </c>
      <c r="I38" s="15">
        <v>178.13</v>
      </c>
      <c r="J38" s="15">
        <v>194.71</v>
      </c>
      <c r="K38" s="15">
        <v>194.71</v>
      </c>
      <c r="L38" s="15">
        <v>194.71</v>
      </c>
      <c r="M38" s="15">
        <v>271.77</v>
      </c>
      <c r="N38" s="15">
        <v>195.06</v>
      </c>
      <c r="O38" t="s">
        <v>75</v>
      </c>
    </row>
    <row r="39" spans="1:15" x14ac:dyDescent="0.25">
      <c r="A39" s="10" t="s">
        <v>171</v>
      </c>
      <c r="B39" s="15">
        <v>172.94</v>
      </c>
      <c r="C39" s="15">
        <v>184.67</v>
      </c>
      <c r="D39" s="15">
        <v>183.82</v>
      </c>
      <c r="E39" s="15">
        <v>183.82</v>
      </c>
      <c r="F39" s="15">
        <v>195.06</v>
      </c>
      <c r="G39" s="15">
        <v>183.82</v>
      </c>
      <c r="H39" s="15">
        <v>183.82</v>
      </c>
      <c r="I39" s="15">
        <v>183.82</v>
      </c>
      <c r="J39" s="15">
        <v>183.82</v>
      </c>
      <c r="K39" s="15">
        <v>183.82</v>
      </c>
      <c r="L39" s="15">
        <v>348.11</v>
      </c>
      <c r="M39" s="15">
        <v>183.82</v>
      </c>
      <c r="N39" s="15">
        <v>184.83</v>
      </c>
      <c r="O39" t="s">
        <v>75</v>
      </c>
    </row>
    <row r="40" spans="1:15" x14ac:dyDescent="0.25">
      <c r="A40" s="10" t="s">
        <v>173</v>
      </c>
      <c r="B40" s="15">
        <v>179.02</v>
      </c>
      <c r="C40" s="15">
        <v>230.02</v>
      </c>
      <c r="D40" s="15">
        <v>199</v>
      </c>
      <c r="E40" s="15">
        <v>199</v>
      </c>
      <c r="F40" s="15">
        <v>312.18</v>
      </c>
      <c r="G40" s="15">
        <v>199</v>
      </c>
      <c r="H40" s="15">
        <v>199</v>
      </c>
      <c r="I40" s="15">
        <v>199</v>
      </c>
      <c r="J40" s="15">
        <v>199</v>
      </c>
      <c r="K40" s="15">
        <v>199</v>
      </c>
      <c r="L40" s="15">
        <v>382.36</v>
      </c>
      <c r="M40" s="15">
        <v>199</v>
      </c>
      <c r="N40" s="15">
        <v>206.28</v>
      </c>
      <c r="O40" t="s">
        <v>75</v>
      </c>
    </row>
    <row r="41" spans="1:15" x14ac:dyDescent="0.25">
      <c r="A41" s="10" t="s">
        <v>175</v>
      </c>
      <c r="B41" s="15">
        <v>817.25</v>
      </c>
      <c r="C41" s="15">
        <v>570.88</v>
      </c>
      <c r="D41" s="15">
        <v>266.64</v>
      </c>
      <c r="E41" s="15">
        <v>875.12</v>
      </c>
      <c r="F41" s="15">
        <v>570.88</v>
      </c>
      <c r="G41" s="15">
        <v>266.64</v>
      </c>
      <c r="H41" s="15">
        <v>570.88</v>
      </c>
      <c r="I41" s="15">
        <v>570.88</v>
      </c>
      <c r="J41" s="15">
        <v>570.88</v>
      </c>
      <c r="K41" s="15">
        <v>570.88</v>
      </c>
      <c r="L41" s="15">
        <v>570.88</v>
      </c>
      <c r="M41" s="15">
        <v>570.88</v>
      </c>
      <c r="N41" s="15">
        <v>570.88</v>
      </c>
      <c r="O41" t="s">
        <v>75</v>
      </c>
    </row>
    <row r="42" spans="1:15" x14ac:dyDescent="0.25">
      <c r="A42" s="10" t="s">
        <v>177</v>
      </c>
      <c r="B42" s="15">
        <v>998.43</v>
      </c>
      <c r="C42" s="15">
        <v>209.95</v>
      </c>
      <c r="D42" s="15">
        <v>446.39</v>
      </c>
      <c r="E42" s="15">
        <v>570.88</v>
      </c>
      <c r="F42" s="15">
        <v>570.88</v>
      </c>
      <c r="G42" s="15">
        <v>570.88</v>
      </c>
      <c r="H42" s="15">
        <v>839.33</v>
      </c>
      <c r="I42" s="15">
        <v>402.32</v>
      </c>
      <c r="J42" s="15">
        <v>470.99</v>
      </c>
      <c r="K42" s="15">
        <v>570.88</v>
      </c>
      <c r="L42" s="15">
        <v>570.88</v>
      </c>
      <c r="M42" s="15">
        <v>570.88</v>
      </c>
      <c r="N42" s="15">
        <v>570.88</v>
      </c>
      <c r="O42" t="s">
        <v>75</v>
      </c>
    </row>
    <row r="43" spans="1:15" x14ac:dyDescent="0.25">
      <c r="A43" s="10" t="s">
        <v>179</v>
      </c>
      <c r="B43" s="15">
        <v>273.51</v>
      </c>
      <c r="C43" s="15">
        <v>570.88</v>
      </c>
      <c r="D43" s="15">
        <v>294.75</v>
      </c>
      <c r="E43" s="15">
        <v>294.75</v>
      </c>
      <c r="F43" s="15">
        <v>294.75</v>
      </c>
      <c r="G43" s="15">
        <v>294.75</v>
      </c>
      <c r="H43" s="15">
        <v>294.75</v>
      </c>
      <c r="I43" s="15">
        <v>583.87</v>
      </c>
      <c r="J43" s="15">
        <v>294.75</v>
      </c>
      <c r="K43" s="15">
        <v>98.25</v>
      </c>
      <c r="L43" s="15">
        <v>294.75</v>
      </c>
      <c r="M43" s="15">
        <v>294.75</v>
      </c>
      <c r="N43" s="15">
        <v>325.26</v>
      </c>
      <c r="O43" t="s">
        <v>75</v>
      </c>
    </row>
    <row r="44" spans="1:15" x14ac:dyDescent="0.25">
      <c r="A44" s="10" t="s">
        <v>181</v>
      </c>
      <c r="B44" s="15">
        <v>172.94</v>
      </c>
      <c r="C44" s="15">
        <v>69.97</v>
      </c>
      <c r="D44" s="15">
        <v>176.7</v>
      </c>
      <c r="E44" s="15">
        <v>183.82</v>
      </c>
      <c r="F44" s="15">
        <v>185.54</v>
      </c>
      <c r="G44" s="15">
        <v>183.82</v>
      </c>
      <c r="H44" s="15">
        <v>183.82</v>
      </c>
      <c r="I44" s="15">
        <v>179.81</v>
      </c>
      <c r="J44" s="15">
        <v>180.68</v>
      </c>
      <c r="K44" s="15">
        <v>183.82</v>
      </c>
      <c r="L44" s="15">
        <v>183.82</v>
      </c>
      <c r="M44" s="15">
        <v>347.34</v>
      </c>
      <c r="N44" s="15">
        <v>183.96</v>
      </c>
      <c r="O44" t="s">
        <v>75</v>
      </c>
    </row>
    <row r="45" spans="1:15" x14ac:dyDescent="0.25">
      <c r="A45" s="10" t="s">
        <v>183</v>
      </c>
      <c r="B45" s="15">
        <v>519.16</v>
      </c>
      <c r="C45" s="15">
        <v>229.74</v>
      </c>
      <c r="D45" s="15">
        <v>283.61</v>
      </c>
      <c r="E45" s="15">
        <v>325.05</v>
      </c>
      <c r="F45" s="15">
        <v>326.02</v>
      </c>
      <c r="G45" s="15">
        <v>325.05</v>
      </c>
      <c r="H45" s="15">
        <v>325.05</v>
      </c>
      <c r="I45" s="15">
        <v>325.05</v>
      </c>
      <c r="J45" s="15">
        <v>325.05</v>
      </c>
      <c r="K45" s="15">
        <v>325.05</v>
      </c>
      <c r="L45" s="15">
        <v>325.05</v>
      </c>
      <c r="M45" s="15">
        <v>614.04999999999995</v>
      </c>
      <c r="N45" s="15">
        <v>325.13</v>
      </c>
      <c r="O45" t="s">
        <v>75</v>
      </c>
    </row>
    <row r="46" spans="1:15" x14ac:dyDescent="0.25">
      <c r="A46" s="10" t="s">
        <v>185</v>
      </c>
      <c r="B46" s="15">
        <v>309.58</v>
      </c>
      <c r="C46" s="15">
        <v>118.28</v>
      </c>
      <c r="D46" s="15">
        <v>152.51</v>
      </c>
      <c r="E46" s="15">
        <v>183.82</v>
      </c>
      <c r="F46" s="15">
        <v>191.3</v>
      </c>
      <c r="G46" s="15">
        <v>256.44</v>
      </c>
      <c r="H46" s="15">
        <v>183.82</v>
      </c>
      <c r="I46" s="15">
        <v>131.62</v>
      </c>
      <c r="J46" s="15">
        <v>183.82</v>
      </c>
      <c r="K46" s="15">
        <v>183.82</v>
      </c>
      <c r="L46" s="15">
        <v>183.82</v>
      </c>
      <c r="M46" s="15">
        <v>183.82</v>
      </c>
      <c r="N46" s="15">
        <v>184.44</v>
      </c>
      <c r="O46" t="s">
        <v>75</v>
      </c>
    </row>
    <row r="47" spans="1:15" x14ac:dyDescent="0.25">
      <c r="A47" s="10" t="s">
        <v>187</v>
      </c>
      <c r="B47" s="15">
        <v>111.33</v>
      </c>
      <c r="C47" s="15">
        <v>198.94</v>
      </c>
      <c r="D47" s="15">
        <v>183.82</v>
      </c>
      <c r="E47" s="15">
        <v>183.82</v>
      </c>
      <c r="F47" s="15">
        <v>225.34</v>
      </c>
      <c r="G47" s="15">
        <v>183.82</v>
      </c>
      <c r="H47" s="15">
        <v>183.82</v>
      </c>
      <c r="I47" s="15">
        <v>183.82</v>
      </c>
      <c r="J47" s="15">
        <v>183.82</v>
      </c>
      <c r="K47" s="15">
        <v>183.82</v>
      </c>
      <c r="L47" s="15">
        <v>183.82</v>
      </c>
      <c r="M47" s="15">
        <v>351.41</v>
      </c>
      <c r="N47" s="15">
        <v>188.54</v>
      </c>
      <c r="O47" t="s">
        <v>75</v>
      </c>
    </row>
    <row r="48" spans="1:15" x14ac:dyDescent="0.25">
      <c r="A48" s="10" t="s">
        <v>189</v>
      </c>
      <c r="B48" s="15">
        <v>0</v>
      </c>
      <c r="C48" s="15">
        <v>0</v>
      </c>
      <c r="D48" s="15">
        <v>0</v>
      </c>
      <c r="E48" s="15">
        <v>44.97</v>
      </c>
      <c r="F48" s="15">
        <v>168.64</v>
      </c>
      <c r="G48" s="15">
        <v>165.03</v>
      </c>
      <c r="H48" s="15">
        <v>172.25</v>
      </c>
      <c r="I48" s="15">
        <v>168.64</v>
      </c>
      <c r="J48" s="15">
        <v>280.49</v>
      </c>
      <c r="K48" s="15">
        <v>0</v>
      </c>
      <c r="L48" s="15">
        <v>0</v>
      </c>
      <c r="M48" s="15">
        <v>0</v>
      </c>
      <c r="N48" s="15">
        <v>75.53</v>
      </c>
      <c r="O48" t="s">
        <v>75</v>
      </c>
    </row>
    <row r="49" spans="1:15" x14ac:dyDescent="0.25">
      <c r="A49" s="10" t="s">
        <v>191</v>
      </c>
      <c r="B49" s="15">
        <v>196.93</v>
      </c>
      <c r="C49" s="15">
        <v>205.69</v>
      </c>
      <c r="D49" s="15">
        <v>214.18</v>
      </c>
      <c r="E49" s="15">
        <v>214.18</v>
      </c>
      <c r="F49" s="15">
        <v>214.18</v>
      </c>
      <c r="G49" s="15">
        <v>214.18</v>
      </c>
      <c r="H49" s="15">
        <v>361.96</v>
      </c>
      <c r="I49" s="15">
        <v>214.18</v>
      </c>
      <c r="J49" s="15">
        <v>163.72</v>
      </c>
      <c r="K49" s="15">
        <v>214.18</v>
      </c>
      <c r="L49" s="15">
        <v>214.18</v>
      </c>
      <c r="M49" s="15">
        <v>214.18</v>
      </c>
      <c r="N49" s="15">
        <v>216.2</v>
      </c>
      <c r="O49" t="s">
        <v>75</v>
      </c>
    </row>
    <row r="50" spans="1:15" x14ac:dyDescent="0.25">
      <c r="A50" s="10" t="s">
        <v>193</v>
      </c>
      <c r="B50" s="15">
        <v>256.16000000000003</v>
      </c>
      <c r="C50" s="15">
        <v>324.52</v>
      </c>
      <c r="D50" s="15">
        <v>139.44999999999999</v>
      </c>
      <c r="E50" s="15">
        <v>194.71</v>
      </c>
      <c r="F50" s="15">
        <v>194.71</v>
      </c>
      <c r="G50" s="15">
        <v>194.71</v>
      </c>
      <c r="H50" s="15">
        <v>194.71</v>
      </c>
      <c r="I50" s="15">
        <v>194.71</v>
      </c>
      <c r="J50" s="15">
        <v>194.71</v>
      </c>
      <c r="K50" s="15">
        <v>271.85000000000002</v>
      </c>
      <c r="L50" s="15">
        <v>189.19</v>
      </c>
      <c r="M50" s="15">
        <v>224.23</v>
      </c>
      <c r="N50" s="15">
        <v>200.61</v>
      </c>
      <c r="O50" t="s">
        <v>75</v>
      </c>
    </row>
    <row r="51" spans="1:15" x14ac:dyDescent="0.25">
      <c r="A51" s="10" t="s">
        <v>195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10.220000000000001</v>
      </c>
      <c r="O51" t="s">
        <v>75</v>
      </c>
    </row>
    <row r="52" spans="1:15" x14ac:dyDescent="0.25">
      <c r="A52" s="10" t="s">
        <v>197</v>
      </c>
      <c r="B52" s="15">
        <v>179.03</v>
      </c>
      <c r="C52" s="15">
        <v>200.24</v>
      </c>
      <c r="D52" s="15">
        <v>199</v>
      </c>
      <c r="E52" s="15">
        <v>199</v>
      </c>
      <c r="F52" s="15">
        <v>199</v>
      </c>
      <c r="G52" s="15">
        <v>199</v>
      </c>
      <c r="H52" s="15">
        <v>198.85</v>
      </c>
      <c r="I52" s="15">
        <v>199</v>
      </c>
      <c r="J52" s="15">
        <v>199</v>
      </c>
      <c r="K52" s="15">
        <v>339.63</v>
      </c>
      <c r="L52" s="15">
        <v>0</v>
      </c>
      <c r="M52" s="15">
        <v>0</v>
      </c>
      <c r="N52" s="15">
        <v>167.15</v>
      </c>
      <c r="O52" t="s">
        <v>75</v>
      </c>
    </row>
    <row r="53" spans="1:15" x14ac:dyDescent="0.25">
      <c r="A53" s="10" t="s">
        <v>199</v>
      </c>
      <c r="B53" s="15">
        <v>0</v>
      </c>
      <c r="C53" s="15">
        <v>84.94</v>
      </c>
      <c r="D53" s="15">
        <v>168.64</v>
      </c>
      <c r="E53" s="15">
        <v>168.64</v>
      </c>
      <c r="F53" s="15">
        <v>168.64</v>
      </c>
      <c r="G53" s="15">
        <v>168.64</v>
      </c>
      <c r="H53" s="15">
        <v>167.56</v>
      </c>
      <c r="I53" s="15">
        <v>165.97</v>
      </c>
      <c r="J53" s="15">
        <v>168.25</v>
      </c>
      <c r="K53" s="15">
        <v>171.99</v>
      </c>
      <c r="L53" s="15">
        <v>0</v>
      </c>
      <c r="M53" s="15">
        <v>0</v>
      </c>
      <c r="N53" s="15">
        <v>112.43</v>
      </c>
      <c r="O53" t="s">
        <v>75</v>
      </c>
    </row>
    <row r="54" spans="1:15" x14ac:dyDescent="0.25">
      <c r="A54" s="10" t="s">
        <v>201</v>
      </c>
      <c r="B54" s="15">
        <v>513.01</v>
      </c>
      <c r="C54" s="15">
        <v>63.43</v>
      </c>
      <c r="D54" s="15">
        <v>570.88</v>
      </c>
      <c r="E54" s="15">
        <v>570.88</v>
      </c>
      <c r="F54" s="15">
        <v>570.88</v>
      </c>
      <c r="G54" s="15">
        <v>570.88</v>
      </c>
      <c r="H54" s="15">
        <v>570.88</v>
      </c>
      <c r="I54" s="15">
        <v>570.88</v>
      </c>
      <c r="J54" s="15">
        <v>570.88</v>
      </c>
      <c r="K54" s="15">
        <v>570.88</v>
      </c>
      <c r="L54" s="15">
        <v>1111.9000000000001</v>
      </c>
      <c r="M54" s="15">
        <v>570.88</v>
      </c>
      <c r="N54" s="15">
        <v>570.88</v>
      </c>
      <c r="O54" t="s">
        <v>75</v>
      </c>
    </row>
    <row r="55" spans="1:15" x14ac:dyDescent="0.25">
      <c r="A55" s="10" t="s">
        <v>203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10.220000000000001</v>
      </c>
      <c r="O55" t="s">
        <v>75</v>
      </c>
    </row>
    <row r="56" spans="1:15" x14ac:dyDescent="0.25">
      <c r="A56" s="10" t="s">
        <v>205</v>
      </c>
      <c r="B56" s="15">
        <v>378.71</v>
      </c>
      <c r="C56" s="15">
        <v>192.17</v>
      </c>
      <c r="D56" s="15">
        <v>570.88</v>
      </c>
      <c r="E56" s="15">
        <v>570.88</v>
      </c>
      <c r="F56" s="15">
        <v>570.88</v>
      </c>
      <c r="G56" s="15">
        <v>1141.76</v>
      </c>
      <c r="H56" s="15">
        <v>570.88</v>
      </c>
      <c r="I56" s="15">
        <v>0</v>
      </c>
      <c r="J56" s="15">
        <v>570.88</v>
      </c>
      <c r="K56" s="15">
        <v>570.88</v>
      </c>
      <c r="L56" s="15">
        <v>570.88</v>
      </c>
      <c r="M56" s="15">
        <v>570.88</v>
      </c>
      <c r="N56" s="15">
        <v>570.88</v>
      </c>
      <c r="O56" t="s">
        <v>75</v>
      </c>
    </row>
    <row r="57" spans="1:15" x14ac:dyDescent="0.25">
      <c r="A57" s="10" t="s">
        <v>207</v>
      </c>
      <c r="B57" s="15">
        <v>887.67</v>
      </c>
      <c r="C57" s="15">
        <v>398.53</v>
      </c>
      <c r="D57" s="15">
        <v>368.57</v>
      </c>
      <c r="E57" s="15">
        <v>570.88</v>
      </c>
      <c r="F57" s="15">
        <v>570.88</v>
      </c>
      <c r="G57" s="15">
        <v>570.88</v>
      </c>
      <c r="H57" s="15">
        <v>1141.76</v>
      </c>
      <c r="I57" s="15">
        <v>570.88</v>
      </c>
      <c r="J57" s="15">
        <v>0</v>
      </c>
      <c r="K57" s="15">
        <v>570.88</v>
      </c>
      <c r="L57" s="15">
        <v>570.88</v>
      </c>
      <c r="M57" s="15">
        <v>570.88</v>
      </c>
      <c r="N57" s="15">
        <v>570.88</v>
      </c>
      <c r="O57" t="s">
        <v>75</v>
      </c>
    </row>
    <row r="58" spans="1:15" x14ac:dyDescent="0.25">
      <c r="A58" s="10" t="s">
        <v>209</v>
      </c>
      <c r="B58" s="15">
        <v>513.01</v>
      </c>
      <c r="C58" s="15">
        <v>1110.82</v>
      </c>
      <c r="D58" s="15">
        <v>570.88</v>
      </c>
      <c r="E58" s="15">
        <v>30.94</v>
      </c>
      <c r="F58" s="15">
        <v>621.09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510.18</v>
      </c>
      <c r="N58" s="15">
        <v>298.54000000000002</v>
      </c>
      <c r="O58" t="s">
        <v>75</v>
      </c>
    </row>
    <row r="59" spans="1:15" x14ac:dyDescent="0.25">
      <c r="A59" s="10" t="s">
        <v>211</v>
      </c>
      <c r="B59" s="15">
        <v>513.01</v>
      </c>
      <c r="C59" s="15">
        <v>57.87</v>
      </c>
      <c r="D59" s="15">
        <v>570.88</v>
      </c>
      <c r="E59" s="15">
        <v>570.88</v>
      </c>
      <c r="F59" s="15">
        <v>570.88</v>
      </c>
      <c r="G59" s="15">
        <v>570.88</v>
      </c>
      <c r="H59" s="15">
        <v>1141.76</v>
      </c>
      <c r="I59" s="15">
        <v>570.88</v>
      </c>
      <c r="J59" s="15">
        <v>0</v>
      </c>
      <c r="K59" s="15">
        <v>570.88</v>
      </c>
      <c r="L59" s="15">
        <v>570.88</v>
      </c>
      <c r="M59" s="15">
        <v>570.88</v>
      </c>
      <c r="N59" s="15">
        <v>570.88</v>
      </c>
      <c r="O59" t="s">
        <v>75</v>
      </c>
    </row>
    <row r="60" spans="1:15" x14ac:dyDescent="0.25">
      <c r="A60" s="10" t="s">
        <v>213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221.06</v>
      </c>
      <c r="L60" s="15">
        <v>324.23</v>
      </c>
      <c r="M60" s="15">
        <v>324.23</v>
      </c>
      <c r="N60" s="15">
        <v>78.599999999999994</v>
      </c>
      <c r="O60" t="s">
        <v>75</v>
      </c>
    </row>
    <row r="61" spans="1:15" x14ac:dyDescent="0.25">
      <c r="A61" s="10" t="s">
        <v>215</v>
      </c>
      <c r="B61" s="15">
        <v>341.89</v>
      </c>
      <c r="C61" s="15">
        <v>428.74</v>
      </c>
      <c r="D61" s="15">
        <v>382.59</v>
      </c>
      <c r="E61" s="15">
        <v>381.22</v>
      </c>
      <c r="F61" s="15">
        <v>373.5</v>
      </c>
      <c r="G61" s="15">
        <v>373.53</v>
      </c>
      <c r="H61" s="15">
        <v>376.72</v>
      </c>
      <c r="I61" s="15">
        <v>712.33</v>
      </c>
      <c r="J61" s="15">
        <v>165.79</v>
      </c>
      <c r="K61" s="15">
        <v>358.4</v>
      </c>
      <c r="L61" s="15">
        <v>382.59</v>
      </c>
      <c r="M61" s="15">
        <v>382.59</v>
      </c>
      <c r="N61" s="15">
        <v>386.43</v>
      </c>
      <c r="O61" t="s">
        <v>75</v>
      </c>
    </row>
    <row r="62" spans="1:15" x14ac:dyDescent="0.25">
      <c r="A62" s="10" t="s">
        <v>217</v>
      </c>
      <c r="B62" s="15">
        <v>179.03</v>
      </c>
      <c r="C62" s="15">
        <v>570.88</v>
      </c>
      <c r="D62" s="15">
        <v>485.48</v>
      </c>
      <c r="E62" s="15">
        <v>176.98</v>
      </c>
      <c r="F62" s="15">
        <v>165.61</v>
      </c>
      <c r="G62" s="15">
        <v>199</v>
      </c>
      <c r="H62" s="15">
        <v>199</v>
      </c>
      <c r="I62" s="15">
        <v>199</v>
      </c>
      <c r="J62" s="15">
        <v>199</v>
      </c>
      <c r="K62" s="15">
        <v>570.88</v>
      </c>
      <c r="L62" s="15">
        <v>570.88</v>
      </c>
      <c r="M62" s="15">
        <v>570.88</v>
      </c>
      <c r="N62" s="15">
        <v>467.09</v>
      </c>
      <c r="O62" t="s">
        <v>75</v>
      </c>
    </row>
    <row r="63" spans="1:15" x14ac:dyDescent="0.25">
      <c r="A63" s="10" t="s">
        <v>219</v>
      </c>
      <c r="B63" s="15">
        <v>341.9</v>
      </c>
      <c r="C63" s="15">
        <v>437.87</v>
      </c>
      <c r="D63" s="15">
        <v>382.59</v>
      </c>
      <c r="E63" s="15">
        <v>382.59</v>
      </c>
      <c r="F63" s="15">
        <v>382.59</v>
      </c>
      <c r="G63" s="15">
        <v>506.41</v>
      </c>
      <c r="H63" s="15">
        <v>382.59</v>
      </c>
      <c r="I63" s="15">
        <v>301.5</v>
      </c>
      <c r="J63" s="15">
        <v>377.65</v>
      </c>
      <c r="K63" s="15">
        <v>570.88</v>
      </c>
      <c r="L63" s="15">
        <v>506.41</v>
      </c>
      <c r="M63" s="15">
        <v>301.5</v>
      </c>
      <c r="N63" s="15">
        <v>407.48</v>
      </c>
      <c r="O63" t="s">
        <v>75</v>
      </c>
    </row>
    <row r="64" spans="1:15" x14ac:dyDescent="0.25">
      <c r="A64" s="10" t="s">
        <v>221</v>
      </c>
      <c r="B64" s="15">
        <v>179.03</v>
      </c>
      <c r="C64" s="15">
        <v>199.67</v>
      </c>
      <c r="D64" s="15">
        <v>199</v>
      </c>
      <c r="E64" s="15">
        <v>199</v>
      </c>
      <c r="F64" s="15">
        <v>198.77</v>
      </c>
      <c r="G64" s="15">
        <v>199</v>
      </c>
      <c r="H64" s="15">
        <v>191.2</v>
      </c>
      <c r="I64" s="15">
        <v>199</v>
      </c>
      <c r="J64" s="15">
        <v>455.48</v>
      </c>
      <c r="K64" s="15">
        <v>199</v>
      </c>
      <c r="L64" s="15">
        <v>114.24</v>
      </c>
      <c r="M64" s="15">
        <v>148.15</v>
      </c>
      <c r="N64" s="15">
        <v>199.05</v>
      </c>
      <c r="O64" t="s">
        <v>75</v>
      </c>
    </row>
    <row r="65" spans="1:15" x14ac:dyDescent="0.25">
      <c r="A65" s="10" t="s">
        <v>223</v>
      </c>
      <c r="B65" s="15">
        <v>0</v>
      </c>
      <c r="C65" s="15">
        <v>0</v>
      </c>
      <c r="D65" s="15">
        <v>0</v>
      </c>
      <c r="E65" s="15">
        <v>49.96</v>
      </c>
      <c r="F65" s="15">
        <v>168.64</v>
      </c>
      <c r="G65" s="15">
        <v>168.09</v>
      </c>
      <c r="H65" s="15">
        <v>107.98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37.47</v>
      </c>
      <c r="O65" t="s">
        <v>75</v>
      </c>
    </row>
    <row r="66" spans="1:15" x14ac:dyDescent="0.25">
      <c r="A66" s="10" t="s">
        <v>225</v>
      </c>
      <c r="B66" s="15">
        <v>296.95</v>
      </c>
      <c r="C66" s="15">
        <v>199.05</v>
      </c>
      <c r="D66" s="15">
        <v>114.24</v>
      </c>
      <c r="E66" s="15">
        <v>199</v>
      </c>
      <c r="F66" s="15">
        <v>199</v>
      </c>
      <c r="G66" s="15">
        <v>199</v>
      </c>
      <c r="H66" s="15">
        <v>199</v>
      </c>
      <c r="I66" s="15">
        <v>316.92</v>
      </c>
      <c r="J66" s="15">
        <v>114.24</v>
      </c>
      <c r="K66" s="15">
        <v>199</v>
      </c>
      <c r="L66" s="15">
        <v>199</v>
      </c>
      <c r="M66" s="15">
        <v>199</v>
      </c>
      <c r="N66" s="15">
        <v>199</v>
      </c>
      <c r="O66" t="s">
        <v>75</v>
      </c>
    </row>
    <row r="67" spans="1:15" x14ac:dyDescent="0.25">
      <c r="A67" s="10" t="s">
        <v>227</v>
      </c>
      <c r="B67" s="15">
        <v>132.79</v>
      </c>
      <c r="C67" s="15">
        <v>156.83000000000001</v>
      </c>
      <c r="D67" s="15">
        <v>186.92</v>
      </c>
      <c r="E67" s="15">
        <v>186.92</v>
      </c>
      <c r="F67" s="15">
        <v>187.22</v>
      </c>
      <c r="G67" s="15">
        <v>186.92</v>
      </c>
      <c r="H67" s="15">
        <v>285.45999999999998</v>
      </c>
      <c r="I67" s="15">
        <v>102.07</v>
      </c>
      <c r="J67" s="15">
        <v>175.23</v>
      </c>
      <c r="K67" s="15">
        <v>222.69</v>
      </c>
      <c r="L67" s="15">
        <v>186.92</v>
      </c>
      <c r="M67" s="15">
        <v>298.62</v>
      </c>
      <c r="N67" s="15">
        <v>187.12</v>
      </c>
      <c r="O67" t="s">
        <v>75</v>
      </c>
    </row>
    <row r="68" spans="1:15" x14ac:dyDescent="0.25">
      <c r="A68" s="10" t="s">
        <v>229</v>
      </c>
      <c r="B68" s="15">
        <v>362.82</v>
      </c>
      <c r="C68" s="15">
        <v>352.16</v>
      </c>
      <c r="D68" s="15">
        <v>369.55</v>
      </c>
      <c r="E68" s="15">
        <v>668.94</v>
      </c>
      <c r="F68" s="15">
        <v>349.51</v>
      </c>
      <c r="G68" s="15">
        <v>138.75</v>
      </c>
      <c r="H68" s="15">
        <v>352.16</v>
      </c>
      <c r="I68" s="15">
        <v>350.84</v>
      </c>
      <c r="J68" s="15">
        <v>353.48</v>
      </c>
      <c r="K68" s="15">
        <v>437.61</v>
      </c>
      <c r="L68" s="15">
        <v>350.84</v>
      </c>
      <c r="M68" s="15">
        <v>374.84</v>
      </c>
      <c r="N68" s="15">
        <v>365.28</v>
      </c>
      <c r="O68" t="s">
        <v>75</v>
      </c>
    </row>
    <row r="69" spans="1:15" x14ac:dyDescent="0.25">
      <c r="A69" s="10" t="s">
        <v>231</v>
      </c>
      <c r="B69" s="15">
        <v>179.03</v>
      </c>
      <c r="C69" s="15">
        <v>228.62</v>
      </c>
      <c r="D69" s="15">
        <v>199</v>
      </c>
      <c r="E69" s="15">
        <v>199</v>
      </c>
      <c r="F69" s="15">
        <v>199</v>
      </c>
      <c r="G69" s="15">
        <v>199</v>
      </c>
      <c r="H69" s="15">
        <v>243.78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91.42</v>
      </c>
      <c r="O69" t="s">
        <v>75</v>
      </c>
    </row>
    <row r="70" spans="1:15" x14ac:dyDescent="0.25">
      <c r="A70" s="10" t="s">
        <v>233</v>
      </c>
      <c r="B70" s="15">
        <v>0</v>
      </c>
      <c r="C70" s="15">
        <v>191.17</v>
      </c>
      <c r="D70" s="15">
        <v>183.82</v>
      </c>
      <c r="E70" s="15">
        <v>183.82</v>
      </c>
      <c r="F70" s="15">
        <v>201.28</v>
      </c>
      <c r="G70" s="15">
        <v>183.82</v>
      </c>
      <c r="H70" s="15">
        <v>183.82</v>
      </c>
      <c r="I70" s="15">
        <v>183.82</v>
      </c>
      <c r="J70" s="15">
        <v>183.82</v>
      </c>
      <c r="K70" s="15">
        <v>183.82</v>
      </c>
      <c r="L70" s="15">
        <v>21.78</v>
      </c>
      <c r="M70" s="15">
        <v>0</v>
      </c>
      <c r="N70" s="15">
        <v>123.92</v>
      </c>
      <c r="O70" t="s">
        <v>75</v>
      </c>
    </row>
    <row r="71" spans="1:15" x14ac:dyDescent="0.25">
      <c r="A71" s="10" t="s">
        <v>235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119.92</v>
      </c>
      <c r="N71" s="15">
        <v>24.98</v>
      </c>
      <c r="O71" t="s">
        <v>75</v>
      </c>
    </row>
    <row r="72" spans="1:15" x14ac:dyDescent="0.25">
      <c r="A72" s="10" t="s">
        <v>237</v>
      </c>
      <c r="B72" s="15">
        <v>345.44</v>
      </c>
      <c r="C72" s="15">
        <v>142.43</v>
      </c>
      <c r="D72" s="15">
        <v>500.82</v>
      </c>
      <c r="E72" s="15">
        <v>410.53</v>
      </c>
      <c r="F72" s="15">
        <v>386.32</v>
      </c>
      <c r="G72" s="15">
        <v>386.32</v>
      </c>
      <c r="H72" s="15">
        <v>386.32</v>
      </c>
      <c r="I72" s="15">
        <v>386.32</v>
      </c>
      <c r="J72" s="15">
        <v>386.32</v>
      </c>
      <c r="K72" s="15">
        <v>386.32</v>
      </c>
      <c r="L72" s="15">
        <v>386.32</v>
      </c>
      <c r="M72" s="15">
        <v>687.83</v>
      </c>
      <c r="N72" s="15">
        <v>431.41</v>
      </c>
      <c r="O72" t="s">
        <v>75</v>
      </c>
    </row>
    <row r="73" spans="1:15" x14ac:dyDescent="0.25">
      <c r="A73" s="10" t="s">
        <v>239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570.88</v>
      </c>
      <c r="L73" s="15">
        <v>570.88</v>
      </c>
      <c r="M73" s="15">
        <v>570.88</v>
      </c>
      <c r="N73" s="15">
        <v>314.11</v>
      </c>
      <c r="O73" t="s">
        <v>75</v>
      </c>
    </row>
    <row r="74" spans="1:15" x14ac:dyDescent="0.25">
      <c r="A74" s="10" t="s">
        <v>241</v>
      </c>
      <c r="B74" s="15">
        <v>114.87</v>
      </c>
      <c r="C74" s="15">
        <v>155.25</v>
      </c>
      <c r="D74" s="15">
        <v>189.31</v>
      </c>
      <c r="E74" s="15">
        <v>197.59</v>
      </c>
      <c r="F74" s="15">
        <v>191.04</v>
      </c>
      <c r="G74" s="15">
        <v>351.47</v>
      </c>
      <c r="H74" s="15">
        <v>116.94</v>
      </c>
      <c r="I74" s="15">
        <v>128.6</v>
      </c>
      <c r="J74" s="15">
        <v>179.1</v>
      </c>
      <c r="K74" s="15">
        <v>188.57</v>
      </c>
      <c r="L74" s="15">
        <v>190.57</v>
      </c>
      <c r="M74" s="15">
        <v>199</v>
      </c>
      <c r="N74" s="15">
        <v>199</v>
      </c>
      <c r="O74" t="s">
        <v>75</v>
      </c>
    </row>
    <row r="75" spans="1:15" x14ac:dyDescent="0.25">
      <c r="A75" s="10" t="s">
        <v>245</v>
      </c>
      <c r="B75" s="15">
        <v>1083.8900000000001</v>
      </c>
      <c r="C75" s="15">
        <v>570.88</v>
      </c>
      <c r="D75" s="15">
        <v>0</v>
      </c>
      <c r="E75" s="15">
        <v>570.88</v>
      </c>
      <c r="F75" s="15">
        <v>570.88</v>
      </c>
      <c r="G75" s="15">
        <v>1141.76</v>
      </c>
      <c r="H75" s="15">
        <v>570.88</v>
      </c>
      <c r="I75" s="15">
        <v>0</v>
      </c>
      <c r="J75" s="15">
        <v>570.88</v>
      </c>
      <c r="K75" s="15">
        <v>570.88</v>
      </c>
      <c r="L75" s="15">
        <v>570.88</v>
      </c>
      <c r="M75" s="15">
        <v>570.88</v>
      </c>
      <c r="N75" s="15">
        <v>570.88</v>
      </c>
      <c r="O75" t="s">
        <v>75</v>
      </c>
    </row>
    <row r="76" spans="1:15" x14ac:dyDescent="0.25">
      <c r="A76" s="10" t="s">
        <v>247</v>
      </c>
      <c r="B76" s="15">
        <v>143.38999999999999</v>
      </c>
      <c r="C76" s="15">
        <v>37.42</v>
      </c>
      <c r="D76" s="15">
        <v>147.38999999999999</v>
      </c>
      <c r="E76" s="15">
        <v>156.29</v>
      </c>
      <c r="F76" s="15">
        <v>156.29</v>
      </c>
      <c r="G76" s="15">
        <v>156.29</v>
      </c>
      <c r="H76" s="15">
        <v>156.29</v>
      </c>
      <c r="I76" s="15">
        <v>156.29</v>
      </c>
      <c r="J76" s="15">
        <v>156.29</v>
      </c>
      <c r="K76" s="15">
        <v>156.29</v>
      </c>
      <c r="L76" s="15">
        <v>156.29</v>
      </c>
      <c r="M76" s="15">
        <v>156.29</v>
      </c>
      <c r="N76" s="15">
        <v>157.01</v>
      </c>
      <c r="O76" t="s">
        <v>75</v>
      </c>
    </row>
    <row r="77" spans="1:15" x14ac:dyDescent="0.25">
      <c r="A77" s="10" t="s">
        <v>249</v>
      </c>
      <c r="B77" s="15">
        <v>436.23</v>
      </c>
      <c r="C77" s="15">
        <v>218.62</v>
      </c>
      <c r="D77" s="15">
        <v>178.81</v>
      </c>
      <c r="E77" s="15">
        <v>204.16</v>
      </c>
      <c r="F77" s="15">
        <v>216.82</v>
      </c>
      <c r="G77" s="15">
        <v>216.82</v>
      </c>
      <c r="H77" s="15">
        <v>232.11</v>
      </c>
      <c r="I77" s="15">
        <v>218.62</v>
      </c>
      <c r="J77" s="15">
        <v>222.24</v>
      </c>
      <c r="K77" s="15">
        <v>326.52999999999997</v>
      </c>
      <c r="L77" s="15">
        <v>367.74</v>
      </c>
      <c r="M77" s="15">
        <v>186.46</v>
      </c>
      <c r="N77" s="15">
        <v>223.67</v>
      </c>
      <c r="O77" t="s">
        <v>75</v>
      </c>
    </row>
    <row r="78" spans="1:15" x14ac:dyDescent="0.25">
      <c r="A78" s="10" t="s">
        <v>254</v>
      </c>
      <c r="B78" s="15">
        <v>0</v>
      </c>
      <c r="C78" s="15">
        <v>119.92</v>
      </c>
      <c r="D78" s="15">
        <v>168.64</v>
      </c>
      <c r="E78" s="15">
        <v>168.64</v>
      </c>
      <c r="F78" s="15">
        <v>168.64</v>
      </c>
      <c r="G78" s="15">
        <v>168.64</v>
      </c>
      <c r="H78" s="15">
        <v>207.35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75.680000000000007</v>
      </c>
      <c r="O78" t="s">
        <v>75</v>
      </c>
    </row>
    <row r="79" spans="1:15" x14ac:dyDescent="0.25">
      <c r="A79" s="10" t="s">
        <v>256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49.59</v>
      </c>
      <c r="K79" s="15">
        <v>49.59</v>
      </c>
      <c r="L79" s="15">
        <v>49.59</v>
      </c>
      <c r="M79" s="15">
        <v>47.94</v>
      </c>
      <c r="N79" s="15">
        <v>20.66</v>
      </c>
      <c r="O79" t="s">
        <v>75</v>
      </c>
    </row>
    <row r="80" spans="1:15" x14ac:dyDescent="0.25">
      <c r="A80" s="10" t="s">
        <v>258</v>
      </c>
      <c r="B80" s="15">
        <v>172.53</v>
      </c>
      <c r="C80" s="15">
        <v>473.45</v>
      </c>
      <c r="D80" s="15">
        <v>187.64</v>
      </c>
      <c r="E80" s="15">
        <v>0</v>
      </c>
      <c r="F80" s="15">
        <v>175.96</v>
      </c>
      <c r="G80" s="15">
        <v>186.92</v>
      </c>
      <c r="H80" s="15">
        <v>199.32</v>
      </c>
      <c r="I80" s="15">
        <v>175.96</v>
      </c>
      <c r="J80" s="15">
        <v>175.23</v>
      </c>
      <c r="K80" s="15">
        <v>221.97</v>
      </c>
      <c r="L80" s="15">
        <v>175.23</v>
      </c>
      <c r="M80" s="15">
        <v>199.32</v>
      </c>
      <c r="N80" s="15">
        <v>186.36</v>
      </c>
      <c r="O80" t="s">
        <v>75</v>
      </c>
    </row>
    <row r="81" spans="1:15" x14ac:dyDescent="0.25">
      <c r="A81" s="10" t="s">
        <v>260</v>
      </c>
      <c r="B81" s="15">
        <v>143.22</v>
      </c>
      <c r="C81" s="15">
        <v>283.66000000000003</v>
      </c>
      <c r="D81" s="15">
        <v>151.91999999999999</v>
      </c>
      <c r="E81" s="15">
        <v>65.709999999999994</v>
      </c>
      <c r="F81" s="15">
        <v>151.91999999999999</v>
      </c>
      <c r="G81" s="15">
        <v>151.91999999999999</v>
      </c>
      <c r="H81" s="15">
        <v>151.91999999999999</v>
      </c>
      <c r="I81" s="15">
        <v>151.91999999999999</v>
      </c>
      <c r="J81" s="15">
        <v>151.91999999999999</v>
      </c>
      <c r="K81" s="15">
        <v>151.91999999999999</v>
      </c>
      <c r="L81" s="15">
        <v>151.91999999999999</v>
      </c>
      <c r="M81" s="15">
        <v>151.91999999999999</v>
      </c>
      <c r="N81" s="15">
        <v>152.85</v>
      </c>
      <c r="O81" t="s">
        <v>75</v>
      </c>
    </row>
    <row r="82" spans="1:15" x14ac:dyDescent="0.25">
      <c r="A82" s="10" t="s">
        <v>262</v>
      </c>
      <c r="B82" s="15">
        <v>0</v>
      </c>
      <c r="C82" s="15">
        <v>77.97</v>
      </c>
      <c r="D82" s="15">
        <v>86.63</v>
      </c>
      <c r="E82" s="15">
        <v>86.63</v>
      </c>
      <c r="F82" s="15">
        <v>86.63</v>
      </c>
      <c r="G82" s="15">
        <v>86.63</v>
      </c>
      <c r="H82" s="15">
        <v>84.57</v>
      </c>
      <c r="I82" s="15">
        <v>86.63</v>
      </c>
      <c r="J82" s="15">
        <v>86.63</v>
      </c>
      <c r="K82" s="15">
        <v>86.63</v>
      </c>
      <c r="L82" s="15">
        <v>86.63</v>
      </c>
      <c r="M82" s="15">
        <v>86.63</v>
      </c>
      <c r="N82" s="15">
        <v>86.63</v>
      </c>
      <c r="O82" t="s">
        <v>75</v>
      </c>
    </row>
    <row r="83" spans="1:15" x14ac:dyDescent="0.25">
      <c r="A83" s="10" t="s">
        <v>264</v>
      </c>
      <c r="B83" s="15">
        <v>89.11</v>
      </c>
      <c r="C83" s="15">
        <v>42.94</v>
      </c>
      <c r="D83" s="15">
        <v>103.64</v>
      </c>
      <c r="E83" s="15">
        <v>95.19</v>
      </c>
      <c r="F83" s="15">
        <v>214.18</v>
      </c>
      <c r="G83" s="15">
        <v>214.18</v>
      </c>
      <c r="H83" s="15">
        <v>316.08999999999997</v>
      </c>
      <c r="I83" s="15">
        <v>195.28</v>
      </c>
      <c r="J83" s="15">
        <v>214.18</v>
      </c>
      <c r="K83" s="15">
        <v>214.18</v>
      </c>
      <c r="L83" s="15">
        <v>214.18</v>
      </c>
      <c r="M83" s="15">
        <v>386.15</v>
      </c>
      <c r="N83" s="15">
        <v>214.97</v>
      </c>
      <c r="O83" t="s">
        <v>75</v>
      </c>
    </row>
    <row r="84" spans="1:15" x14ac:dyDescent="0.25">
      <c r="A84" s="10" t="s">
        <v>266</v>
      </c>
      <c r="B84" s="15">
        <v>0</v>
      </c>
      <c r="C84" s="15">
        <v>119.92</v>
      </c>
      <c r="D84" s="15">
        <v>168.64</v>
      </c>
      <c r="E84" s="15">
        <v>168.64</v>
      </c>
      <c r="F84" s="15">
        <v>168.64</v>
      </c>
      <c r="G84" s="15">
        <v>164.05</v>
      </c>
      <c r="H84" s="15">
        <v>168.64</v>
      </c>
      <c r="I84" s="15">
        <v>168.64</v>
      </c>
      <c r="J84" s="15">
        <v>168.22</v>
      </c>
      <c r="K84" s="15">
        <v>168.64</v>
      </c>
      <c r="L84" s="15">
        <v>168.64</v>
      </c>
      <c r="M84" s="15">
        <v>168.64</v>
      </c>
      <c r="N84" s="15">
        <v>168.64</v>
      </c>
      <c r="O84" t="s">
        <v>75</v>
      </c>
    </row>
    <row r="85" spans="1:15" x14ac:dyDescent="0.25">
      <c r="A85" s="10" t="s">
        <v>268</v>
      </c>
      <c r="B85" s="15">
        <v>127.02</v>
      </c>
      <c r="C85" s="15">
        <v>186.92</v>
      </c>
      <c r="D85" s="15">
        <v>186.92</v>
      </c>
      <c r="E85" s="15">
        <v>177.04</v>
      </c>
      <c r="F85" s="15">
        <v>175.23</v>
      </c>
      <c r="G85" s="15">
        <v>199.32</v>
      </c>
      <c r="H85" s="15">
        <v>187.64</v>
      </c>
      <c r="I85" s="15">
        <v>177.04</v>
      </c>
      <c r="J85" s="15">
        <v>175.23</v>
      </c>
      <c r="K85" s="15">
        <v>221.97</v>
      </c>
      <c r="L85" s="15">
        <v>175.23</v>
      </c>
      <c r="M85" s="15">
        <v>198.6</v>
      </c>
      <c r="N85" s="15">
        <v>188.29</v>
      </c>
      <c r="O85" t="s">
        <v>75</v>
      </c>
    </row>
    <row r="86" spans="1:15" x14ac:dyDescent="0.25">
      <c r="A86" s="10" t="s">
        <v>270</v>
      </c>
      <c r="B86" s="15">
        <v>284.45999999999998</v>
      </c>
      <c r="C86" s="15">
        <v>341.67</v>
      </c>
      <c r="D86" s="15">
        <v>317.43</v>
      </c>
      <c r="E86" s="15">
        <v>317.43</v>
      </c>
      <c r="F86" s="15">
        <v>491.17</v>
      </c>
      <c r="G86" s="15">
        <v>317.43</v>
      </c>
      <c r="H86" s="15">
        <v>193.12</v>
      </c>
      <c r="I86" s="15">
        <v>317.43</v>
      </c>
      <c r="J86" s="15">
        <v>317.43</v>
      </c>
      <c r="K86" s="15">
        <v>317.43</v>
      </c>
      <c r="L86" s="15">
        <v>491.17</v>
      </c>
      <c r="M86" s="15">
        <v>317.43</v>
      </c>
      <c r="N86" s="15">
        <v>319.45</v>
      </c>
      <c r="O86" t="s">
        <v>75</v>
      </c>
    </row>
    <row r="87" spans="1:15" x14ac:dyDescent="0.25">
      <c r="A87" s="10" t="s">
        <v>272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151.78</v>
      </c>
      <c r="J87" s="15">
        <v>168.64</v>
      </c>
      <c r="K87" s="15">
        <v>168.64</v>
      </c>
      <c r="L87" s="15">
        <v>168.64</v>
      </c>
      <c r="M87" s="15">
        <v>168.64</v>
      </c>
      <c r="N87" s="15">
        <v>74.95</v>
      </c>
      <c r="O87" t="s">
        <v>75</v>
      </c>
    </row>
    <row r="88" spans="1:15" x14ac:dyDescent="0.25">
      <c r="A88" s="10" t="s">
        <v>274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570.88</v>
      </c>
      <c r="M88" s="15">
        <v>570.88</v>
      </c>
      <c r="N88" s="15">
        <v>227.6</v>
      </c>
      <c r="O88" t="s">
        <v>75</v>
      </c>
    </row>
    <row r="89" spans="1:15" x14ac:dyDescent="0.25">
      <c r="A89" s="10" t="s">
        <v>276</v>
      </c>
      <c r="B89" s="15">
        <v>0</v>
      </c>
      <c r="C89" s="15">
        <v>95.48</v>
      </c>
      <c r="D89" s="15">
        <v>179.03</v>
      </c>
      <c r="E89" s="15">
        <v>179.03</v>
      </c>
      <c r="F89" s="15">
        <v>179.03</v>
      </c>
      <c r="G89" s="15">
        <v>179.03</v>
      </c>
      <c r="H89" s="15">
        <v>176.16</v>
      </c>
      <c r="I89" s="15">
        <v>179.03</v>
      </c>
      <c r="J89" s="15">
        <v>179.03</v>
      </c>
      <c r="K89" s="15">
        <v>179.03</v>
      </c>
      <c r="L89" s="15">
        <v>179.03</v>
      </c>
      <c r="M89" s="15">
        <v>179.03</v>
      </c>
      <c r="N89" s="15">
        <v>179.03</v>
      </c>
      <c r="O89" t="s">
        <v>75</v>
      </c>
    </row>
    <row r="90" spans="1:15" x14ac:dyDescent="0.25">
      <c r="A90" s="10" t="s">
        <v>278</v>
      </c>
      <c r="B90" s="15">
        <v>513.01</v>
      </c>
      <c r="C90" s="15">
        <v>570.88</v>
      </c>
      <c r="D90" s="15">
        <v>570.88</v>
      </c>
      <c r="E90" s="15">
        <v>570.88</v>
      </c>
      <c r="F90" s="15">
        <v>570.88</v>
      </c>
      <c r="G90" s="15">
        <v>570.88</v>
      </c>
      <c r="H90" s="15">
        <v>570.88</v>
      </c>
      <c r="I90" s="15">
        <v>570.88</v>
      </c>
      <c r="J90" s="15">
        <v>570.88</v>
      </c>
      <c r="K90" s="15">
        <v>570.88</v>
      </c>
      <c r="L90" s="15">
        <v>570.88</v>
      </c>
      <c r="M90" s="15">
        <v>570.88</v>
      </c>
      <c r="N90" s="15">
        <v>570.88</v>
      </c>
      <c r="O90" t="s">
        <v>75</v>
      </c>
    </row>
    <row r="91" spans="1:15" x14ac:dyDescent="0.25">
      <c r="A91" s="10" t="s">
        <v>280</v>
      </c>
      <c r="B91" s="15">
        <v>179.03</v>
      </c>
      <c r="C91" s="15">
        <v>199</v>
      </c>
      <c r="D91" s="15">
        <v>495.57</v>
      </c>
      <c r="E91" s="15">
        <v>199</v>
      </c>
      <c r="F91" s="15">
        <v>24.32</v>
      </c>
      <c r="G91" s="15">
        <v>182.06</v>
      </c>
      <c r="H91" s="15">
        <v>199</v>
      </c>
      <c r="I91" s="15">
        <v>199</v>
      </c>
      <c r="J91" s="15">
        <v>178.9</v>
      </c>
      <c r="K91" s="15">
        <v>188.72</v>
      </c>
      <c r="L91" s="15">
        <v>199</v>
      </c>
      <c r="M91" s="15">
        <v>199</v>
      </c>
      <c r="N91" s="15">
        <v>199</v>
      </c>
      <c r="O91" t="s">
        <v>75</v>
      </c>
    </row>
    <row r="92" spans="1:15" x14ac:dyDescent="0.25">
      <c r="A92" s="10" t="s">
        <v>282</v>
      </c>
      <c r="B92" s="15">
        <v>172.93</v>
      </c>
      <c r="C92" s="15">
        <v>203.72</v>
      </c>
      <c r="D92" s="15">
        <v>183.82</v>
      </c>
      <c r="E92" s="15">
        <v>183.82</v>
      </c>
      <c r="F92" s="15">
        <v>286.61</v>
      </c>
      <c r="G92" s="15">
        <v>183.82</v>
      </c>
      <c r="H92" s="15">
        <v>356.53</v>
      </c>
      <c r="I92" s="15">
        <v>183.82</v>
      </c>
      <c r="J92" s="15">
        <v>183.82</v>
      </c>
      <c r="K92" s="15">
        <v>356.45</v>
      </c>
      <c r="L92" s="15">
        <v>183.82</v>
      </c>
      <c r="M92" s="15">
        <v>113.26</v>
      </c>
      <c r="N92" s="15">
        <v>198.69</v>
      </c>
      <c r="O92" t="s">
        <v>75</v>
      </c>
    </row>
    <row r="93" spans="1:15" x14ac:dyDescent="0.25">
      <c r="A93" s="10" t="s">
        <v>284</v>
      </c>
      <c r="B93" s="15">
        <v>172.94</v>
      </c>
      <c r="C93" s="15">
        <v>74.260000000000005</v>
      </c>
      <c r="D93" s="15">
        <v>183.82</v>
      </c>
      <c r="E93" s="15">
        <v>180.79</v>
      </c>
      <c r="F93" s="15">
        <v>178.34</v>
      </c>
      <c r="G93" s="15">
        <v>183.82</v>
      </c>
      <c r="H93" s="15">
        <v>256.26</v>
      </c>
      <c r="I93" s="15">
        <v>183.82</v>
      </c>
      <c r="J93" s="15">
        <v>131.63999999999999</v>
      </c>
      <c r="K93" s="15">
        <v>183.82</v>
      </c>
      <c r="L93" s="15">
        <v>183.82</v>
      </c>
      <c r="M93" s="15">
        <v>347.46</v>
      </c>
      <c r="N93" s="15">
        <v>184.1</v>
      </c>
      <c r="O93" t="s">
        <v>75</v>
      </c>
    </row>
    <row r="94" spans="1:15" x14ac:dyDescent="0.25">
      <c r="A94" s="10" t="s">
        <v>286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163.02000000000001</v>
      </c>
      <c r="H94" s="15">
        <v>168.64</v>
      </c>
      <c r="I94" s="15">
        <v>168.64</v>
      </c>
      <c r="J94" s="15">
        <v>168.64</v>
      </c>
      <c r="K94" s="15">
        <v>168.64</v>
      </c>
      <c r="L94" s="15">
        <v>168.64</v>
      </c>
      <c r="M94" s="15">
        <v>168.64</v>
      </c>
      <c r="N94" s="15">
        <v>99.93</v>
      </c>
      <c r="O94" t="s">
        <v>75</v>
      </c>
    </row>
    <row r="95" spans="1:15" x14ac:dyDescent="0.25">
      <c r="A95" s="10" t="s">
        <v>288</v>
      </c>
      <c r="B95" s="15">
        <v>172.53</v>
      </c>
      <c r="C95" s="15">
        <v>175.96</v>
      </c>
      <c r="D95" s="15">
        <v>188.73</v>
      </c>
      <c r="E95" s="15">
        <v>187.64</v>
      </c>
      <c r="F95" s="15">
        <v>468.67</v>
      </c>
      <c r="G95" s="15">
        <v>192.7</v>
      </c>
      <c r="H95" s="15">
        <v>0</v>
      </c>
      <c r="I95" s="15">
        <v>175.96</v>
      </c>
      <c r="J95" s="15">
        <v>175.96</v>
      </c>
      <c r="K95" s="15">
        <v>648.67999999999995</v>
      </c>
      <c r="L95" s="15">
        <v>0</v>
      </c>
      <c r="M95" s="15">
        <v>0</v>
      </c>
      <c r="N95" s="15">
        <v>173.42</v>
      </c>
      <c r="O95" t="s">
        <v>75</v>
      </c>
    </row>
    <row r="96" spans="1:15" x14ac:dyDescent="0.25">
      <c r="A96" s="10" t="s">
        <v>290</v>
      </c>
      <c r="B96" s="15">
        <v>513.01</v>
      </c>
      <c r="C96" s="15">
        <v>1141.76</v>
      </c>
      <c r="D96" s="15">
        <v>570.88</v>
      </c>
      <c r="E96" s="15">
        <v>0</v>
      </c>
      <c r="F96" s="15">
        <v>570.88</v>
      </c>
      <c r="G96" s="15">
        <v>570.88</v>
      </c>
      <c r="H96" s="15">
        <v>570.88</v>
      </c>
      <c r="I96" s="15">
        <v>570.88</v>
      </c>
      <c r="J96" s="15">
        <v>570.88</v>
      </c>
      <c r="K96" s="15">
        <v>570.88</v>
      </c>
      <c r="L96" s="15">
        <v>570.88</v>
      </c>
      <c r="M96" s="15">
        <v>570.88</v>
      </c>
      <c r="N96" s="15">
        <v>570.88</v>
      </c>
      <c r="O96" t="s">
        <v>75</v>
      </c>
    </row>
    <row r="97" spans="1:15" x14ac:dyDescent="0.25">
      <c r="A97" s="10" t="s">
        <v>292</v>
      </c>
      <c r="B97" s="15">
        <v>172.93</v>
      </c>
      <c r="C97" s="15">
        <v>231.04</v>
      </c>
      <c r="D97" s="15">
        <v>257.99</v>
      </c>
      <c r="E97" s="15">
        <v>131.5</v>
      </c>
      <c r="F97" s="15">
        <v>183.82</v>
      </c>
      <c r="G97" s="15">
        <v>179.07</v>
      </c>
      <c r="H97" s="15">
        <v>183.82</v>
      </c>
      <c r="I97" s="15">
        <v>257.99</v>
      </c>
      <c r="J97" s="15">
        <v>183.82</v>
      </c>
      <c r="K97" s="15">
        <v>131.82</v>
      </c>
      <c r="L97" s="15">
        <v>183.82</v>
      </c>
      <c r="M97" s="15">
        <v>183.82</v>
      </c>
      <c r="N97" s="15">
        <v>187.75</v>
      </c>
      <c r="O97" t="s">
        <v>75</v>
      </c>
    </row>
    <row r="98" spans="1:15" x14ac:dyDescent="0.25">
      <c r="A98" s="10" t="s">
        <v>294</v>
      </c>
      <c r="B98" s="15">
        <v>179.03</v>
      </c>
      <c r="C98" s="15">
        <v>198.58</v>
      </c>
      <c r="D98" s="15">
        <v>199</v>
      </c>
      <c r="E98" s="15">
        <v>450.79</v>
      </c>
      <c r="F98" s="15">
        <v>144.97999999999999</v>
      </c>
      <c r="G98" s="15">
        <v>119.9</v>
      </c>
      <c r="H98" s="15">
        <v>199</v>
      </c>
      <c r="I98" s="15">
        <v>199</v>
      </c>
      <c r="J98" s="15">
        <v>199</v>
      </c>
      <c r="K98" s="15">
        <v>199</v>
      </c>
      <c r="L98" s="15">
        <v>199</v>
      </c>
      <c r="M98" s="15">
        <v>199</v>
      </c>
      <c r="N98" s="15">
        <v>199</v>
      </c>
      <c r="O98" t="s">
        <v>75</v>
      </c>
    </row>
    <row r="99" spans="1:15" x14ac:dyDescent="0.25">
      <c r="A99" s="10" t="s">
        <v>296</v>
      </c>
      <c r="B99" s="15">
        <v>172.53</v>
      </c>
      <c r="C99" s="15">
        <v>175.96</v>
      </c>
      <c r="D99" s="15">
        <v>595.96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55.42</v>
      </c>
      <c r="O99" t="s">
        <v>75</v>
      </c>
    </row>
    <row r="100" spans="1:15" x14ac:dyDescent="0.25">
      <c r="A100" s="10" t="s">
        <v>298</v>
      </c>
      <c r="B100" s="15">
        <v>284.45999999999998</v>
      </c>
      <c r="C100" s="15">
        <v>587.67999999999995</v>
      </c>
      <c r="D100" s="15">
        <v>328.87</v>
      </c>
      <c r="E100" s="15">
        <v>174.98</v>
      </c>
      <c r="F100" s="15">
        <v>335.98</v>
      </c>
      <c r="G100" s="15">
        <v>335.98</v>
      </c>
      <c r="H100" s="15">
        <v>335.98</v>
      </c>
      <c r="I100" s="15">
        <v>445.02</v>
      </c>
      <c r="J100" s="15">
        <v>264.88</v>
      </c>
      <c r="K100" s="15">
        <v>335.98</v>
      </c>
      <c r="L100" s="15">
        <v>335.98</v>
      </c>
      <c r="M100" s="15">
        <v>335.98</v>
      </c>
      <c r="N100" s="15">
        <v>336.62</v>
      </c>
      <c r="O100" t="s">
        <v>75</v>
      </c>
    </row>
    <row r="101" spans="1:15" x14ac:dyDescent="0.25">
      <c r="A101" s="10" t="s">
        <v>300</v>
      </c>
      <c r="B101" s="15">
        <v>0</v>
      </c>
      <c r="C101" s="15">
        <v>175.23</v>
      </c>
      <c r="D101" s="15">
        <v>194.71</v>
      </c>
      <c r="E101" s="15">
        <v>194.71</v>
      </c>
      <c r="F101" s="15">
        <v>194.71</v>
      </c>
      <c r="G101" s="15">
        <v>362.42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86.53</v>
      </c>
      <c r="O101" t="s">
        <v>75</v>
      </c>
    </row>
    <row r="102" spans="1:15" x14ac:dyDescent="0.25">
      <c r="A102" s="10" t="s">
        <v>302</v>
      </c>
      <c r="B102" s="15">
        <v>513.01</v>
      </c>
      <c r="C102" s="15">
        <v>57.87</v>
      </c>
      <c r="D102" s="15">
        <v>570.88</v>
      </c>
      <c r="E102" s="15">
        <v>570.88</v>
      </c>
      <c r="F102" s="15">
        <v>570.88</v>
      </c>
      <c r="G102" s="15">
        <v>570.88</v>
      </c>
      <c r="H102" s="15">
        <v>570.88</v>
      </c>
      <c r="I102" s="15">
        <v>570.88</v>
      </c>
      <c r="J102" s="15">
        <v>570.88</v>
      </c>
      <c r="K102" s="15">
        <v>570.88</v>
      </c>
      <c r="L102" s="15">
        <v>570.88</v>
      </c>
      <c r="M102" s="15">
        <v>1141.76</v>
      </c>
      <c r="N102" s="15">
        <v>570.88</v>
      </c>
      <c r="O102" t="s">
        <v>75</v>
      </c>
    </row>
    <row r="103" spans="1:15" x14ac:dyDescent="0.25">
      <c r="A103" s="10" t="s">
        <v>304</v>
      </c>
      <c r="B103" s="15">
        <v>1000.55</v>
      </c>
      <c r="C103" s="15">
        <v>231.28</v>
      </c>
      <c r="D103" s="15">
        <v>422.94</v>
      </c>
      <c r="E103" s="15">
        <v>570.88</v>
      </c>
      <c r="F103" s="15">
        <v>570.88</v>
      </c>
      <c r="G103" s="15">
        <v>570.88</v>
      </c>
      <c r="H103" s="15">
        <v>1077.17</v>
      </c>
      <c r="I103" s="15">
        <v>570.88</v>
      </c>
      <c r="J103" s="15">
        <v>64.59</v>
      </c>
      <c r="K103" s="15">
        <v>570.88</v>
      </c>
      <c r="L103" s="15">
        <v>1002.84</v>
      </c>
      <c r="M103" s="15">
        <v>570.88</v>
      </c>
      <c r="N103" s="15">
        <v>570.88</v>
      </c>
      <c r="O103" t="s">
        <v>75</v>
      </c>
    </row>
    <row r="104" spans="1:15" x14ac:dyDescent="0.25">
      <c r="A104" s="10" t="s">
        <v>306</v>
      </c>
      <c r="B104" s="15">
        <v>513.01</v>
      </c>
      <c r="C104" s="15">
        <v>570.88</v>
      </c>
      <c r="D104" s="15">
        <v>967.06</v>
      </c>
      <c r="E104" s="15">
        <v>174.7</v>
      </c>
      <c r="F104" s="15">
        <v>1141.76</v>
      </c>
      <c r="G104" s="15">
        <v>570.88</v>
      </c>
      <c r="H104" s="15">
        <v>0</v>
      </c>
      <c r="I104" s="15">
        <v>570.88</v>
      </c>
      <c r="J104" s="15">
        <v>570.88</v>
      </c>
      <c r="K104" s="15">
        <v>570.88</v>
      </c>
      <c r="L104" s="15">
        <v>570.88</v>
      </c>
      <c r="M104" s="15">
        <v>966.84</v>
      </c>
      <c r="N104" s="15">
        <v>570.88</v>
      </c>
      <c r="O104" t="s">
        <v>75</v>
      </c>
    </row>
    <row r="105" spans="1:15" x14ac:dyDescent="0.25">
      <c r="A105" s="10" t="s">
        <v>308</v>
      </c>
      <c r="B105" s="15">
        <v>513.01</v>
      </c>
      <c r="C105" s="15">
        <v>570.88</v>
      </c>
      <c r="D105" s="15">
        <v>570.88</v>
      </c>
      <c r="E105" s="15">
        <v>1141.76</v>
      </c>
      <c r="F105" s="15">
        <v>570.88</v>
      </c>
      <c r="G105" s="15">
        <v>0</v>
      </c>
      <c r="H105" s="15">
        <v>570.88</v>
      </c>
      <c r="I105" s="15">
        <v>570.88</v>
      </c>
      <c r="J105" s="15">
        <v>570.88</v>
      </c>
      <c r="K105" s="15">
        <v>570.88</v>
      </c>
      <c r="L105" s="15">
        <v>570.88</v>
      </c>
      <c r="M105" s="15">
        <v>570.88</v>
      </c>
      <c r="N105" s="15">
        <v>570.88</v>
      </c>
      <c r="O105" t="s">
        <v>75</v>
      </c>
    </row>
    <row r="106" spans="1:15" x14ac:dyDescent="0.25">
      <c r="A106" s="10" t="s">
        <v>310</v>
      </c>
      <c r="B106" s="15">
        <v>179.03</v>
      </c>
      <c r="C106" s="15">
        <v>194.02</v>
      </c>
      <c r="D106" s="15">
        <v>199</v>
      </c>
      <c r="E106" s="15">
        <v>196.97</v>
      </c>
      <c r="F106" s="15">
        <v>198.9</v>
      </c>
      <c r="G106" s="15">
        <v>199</v>
      </c>
      <c r="H106" s="15">
        <v>373.18</v>
      </c>
      <c r="I106" s="15">
        <v>198.3</v>
      </c>
      <c r="J106" s="15">
        <v>119.53</v>
      </c>
      <c r="K106" s="15">
        <v>199</v>
      </c>
      <c r="L106" s="15">
        <v>198.91</v>
      </c>
      <c r="M106" s="15">
        <v>199</v>
      </c>
      <c r="N106" s="15">
        <v>199</v>
      </c>
      <c r="O106" t="s">
        <v>75</v>
      </c>
    </row>
    <row r="107" spans="1:15" x14ac:dyDescent="0.25">
      <c r="A107" s="10" t="s">
        <v>312</v>
      </c>
      <c r="B107" s="15">
        <v>273.51</v>
      </c>
      <c r="C107" s="15">
        <v>455.94</v>
      </c>
      <c r="D107" s="15">
        <v>412.87</v>
      </c>
      <c r="E107" s="15">
        <v>294.75</v>
      </c>
      <c r="F107" s="15">
        <v>292.05</v>
      </c>
      <c r="G107" s="15">
        <v>524.04999999999995</v>
      </c>
      <c r="H107" s="15">
        <v>294.75</v>
      </c>
      <c r="I107" s="15">
        <v>149.65</v>
      </c>
      <c r="J107" s="15">
        <v>294.75</v>
      </c>
      <c r="K107" s="15">
        <v>294.75</v>
      </c>
      <c r="L107" s="15">
        <v>294.75</v>
      </c>
      <c r="M107" s="15">
        <v>294.75</v>
      </c>
      <c r="N107" s="15">
        <v>318.02999999999997</v>
      </c>
      <c r="O107" t="s">
        <v>75</v>
      </c>
    </row>
    <row r="108" spans="1:15" x14ac:dyDescent="0.25">
      <c r="A108" s="10" t="s">
        <v>314</v>
      </c>
      <c r="B108" s="15">
        <v>341.89</v>
      </c>
      <c r="C108" s="15">
        <v>390.62</v>
      </c>
      <c r="D108" s="15">
        <v>382.59</v>
      </c>
      <c r="E108" s="15">
        <v>382.59</v>
      </c>
      <c r="F108" s="15">
        <v>382.59</v>
      </c>
      <c r="G108" s="15">
        <v>395.34</v>
      </c>
      <c r="H108" s="15">
        <v>382.59</v>
      </c>
      <c r="I108" s="15">
        <v>762.31</v>
      </c>
      <c r="J108" s="15">
        <v>395.34</v>
      </c>
      <c r="K108" s="15">
        <v>153.04</v>
      </c>
      <c r="L108" s="15">
        <v>367.38</v>
      </c>
      <c r="M108" s="15">
        <v>382.59</v>
      </c>
      <c r="N108" s="15">
        <v>383.26</v>
      </c>
      <c r="O108" t="s">
        <v>75</v>
      </c>
    </row>
    <row r="109" spans="1:15" x14ac:dyDescent="0.25">
      <c r="A109" s="10" t="s">
        <v>316</v>
      </c>
      <c r="B109" s="15">
        <v>415.1</v>
      </c>
      <c r="C109" s="15">
        <v>676.19</v>
      </c>
      <c r="D109" s="15">
        <v>459</v>
      </c>
      <c r="E109" s="15">
        <v>349.41</v>
      </c>
      <c r="F109" s="15">
        <v>459</v>
      </c>
      <c r="G109" s="15">
        <v>459</v>
      </c>
      <c r="H109" s="15">
        <v>626.55999999999995</v>
      </c>
      <c r="I109" s="15">
        <v>459</v>
      </c>
      <c r="J109" s="15">
        <v>343.24</v>
      </c>
      <c r="K109" s="15">
        <v>459</v>
      </c>
      <c r="L109" s="15">
        <v>459</v>
      </c>
      <c r="M109" s="15">
        <v>459</v>
      </c>
      <c r="N109" s="15">
        <v>460.82</v>
      </c>
      <c r="O109" t="s">
        <v>75</v>
      </c>
    </row>
    <row r="110" spans="1:15" x14ac:dyDescent="0.25">
      <c r="A110" s="10" t="s">
        <v>318</v>
      </c>
      <c r="B110" s="15">
        <v>513.01</v>
      </c>
      <c r="C110" s="15">
        <v>309.81</v>
      </c>
      <c r="D110" s="15">
        <v>570.88</v>
      </c>
      <c r="E110" s="15">
        <v>570.88</v>
      </c>
      <c r="F110" s="15">
        <v>570.88</v>
      </c>
      <c r="G110" s="15">
        <v>570.88</v>
      </c>
      <c r="H110" s="15">
        <v>570.88</v>
      </c>
      <c r="I110" s="15">
        <v>570.88</v>
      </c>
      <c r="J110" s="15">
        <v>570.88</v>
      </c>
      <c r="K110" s="15">
        <v>800.78</v>
      </c>
      <c r="L110" s="15">
        <v>340.98</v>
      </c>
      <c r="M110" s="15">
        <v>570.88</v>
      </c>
      <c r="N110" s="15">
        <v>570.88</v>
      </c>
      <c r="O110" t="s">
        <v>75</v>
      </c>
    </row>
    <row r="111" spans="1:15" x14ac:dyDescent="0.25">
      <c r="A111" s="10" t="s">
        <v>320</v>
      </c>
      <c r="B111" s="15">
        <v>626.16999999999996</v>
      </c>
      <c r="C111" s="15">
        <v>372.93</v>
      </c>
      <c r="D111" s="15">
        <v>338.43</v>
      </c>
      <c r="E111" s="15">
        <v>573</v>
      </c>
      <c r="F111" s="15">
        <v>382.59</v>
      </c>
      <c r="G111" s="15">
        <v>271.88</v>
      </c>
      <c r="H111" s="15">
        <v>382.59</v>
      </c>
      <c r="I111" s="15">
        <v>570.88</v>
      </c>
      <c r="J111" s="15">
        <v>465.37</v>
      </c>
      <c r="K111" s="15">
        <v>382.59</v>
      </c>
      <c r="L111" s="15">
        <v>731.69</v>
      </c>
      <c r="M111" s="15">
        <v>382.59</v>
      </c>
      <c r="N111" s="15">
        <v>439.71</v>
      </c>
      <c r="O111" t="s">
        <v>75</v>
      </c>
    </row>
    <row r="112" spans="1:15" x14ac:dyDescent="0.25">
      <c r="A112" s="10" t="s">
        <v>322</v>
      </c>
      <c r="B112" s="15">
        <v>0</v>
      </c>
      <c r="C112" s="15">
        <v>0</v>
      </c>
      <c r="D112" s="15">
        <v>171.56</v>
      </c>
      <c r="E112" s="15">
        <v>183.82</v>
      </c>
      <c r="F112" s="15">
        <v>191.36</v>
      </c>
      <c r="G112" s="15">
        <v>183.82</v>
      </c>
      <c r="H112" s="15">
        <v>183.82</v>
      </c>
      <c r="I112" s="15">
        <v>183.82</v>
      </c>
      <c r="J112" s="15">
        <v>183.82</v>
      </c>
      <c r="K112" s="15">
        <v>183.82</v>
      </c>
      <c r="L112" s="15">
        <v>183.82</v>
      </c>
      <c r="M112" s="15">
        <v>183.82</v>
      </c>
      <c r="N112" s="15">
        <v>169.19</v>
      </c>
      <c r="O112" t="s">
        <v>75</v>
      </c>
    </row>
    <row r="113" spans="1:15" x14ac:dyDescent="0.25">
      <c r="A113" s="10" t="s">
        <v>324</v>
      </c>
      <c r="B113" s="15">
        <v>172.94</v>
      </c>
      <c r="C113" s="15">
        <v>201.24</v>
      </c>
      <c r="D113" s="15">
        <v>183.82</v>
      </c>
      <c r="E113" s="15">
        <v>183.82</v>
      </c>
      <c r="F113" s="15">
        <v>222.89</v>
      </c>
      <c r="G113" s="15">
        <v>183.82</v>
      </c>
      <c r="H113" s="15">
        <v>183.82</v>
      </c>
      <c r="I113" s="15">
        <v>183.82</v>
      </c>
      <c r="J113" s="15">
        <v>183.82</v>
      </c>
      <c r="K113" s="15">
        <v>351.4</v>
      </c>
      <c r="L113" s="15">
        <v>183.82</v>
      </c>
      <c r="M113" s="15">
        <v>61.27</v>
      </c>
      <c r="N113" s="15">
        <v>188.53</v>
      </c>
      <c r="O113" t="s">
        <v>75</v>
      </c>
    </row>
    <row r="114" spans="1:15" x14ac:dyDescent="0.25">
      <c r="A114" s="10" t="s">
        <v>326</v>
      </c>
      <c r="B114" s="15">
        <v>172.87</v>
      </c>
      <c r="C114" s="15">
        <v>201.63</v>
      </c>
      <c r="D114" s="15">
        <v>199</v>
      </c>
      <c r="E114" s="15">
        <v>199</v>
      </c>
      <c r="F114" s="15">
        <v>199</v>
      </c>
      <c r="G114" s="15">
        <v>191.87</v>
      </c>
      <c r="H114" s="15">
        <v>193.11</v>
      </c>
      <c r="I114" s="15">
        <v>197.32</v>
      </c>
      <c r="J114" s="15">
        <v>199</v>
      </c>
      <c r="K114" s="15">
        <v>199</v>
      </c>
      <c r="L114" s="15">
        <v>520.16999999999996</v>
      </c>
      <c r="M114" s="15">
        <v>199</v>
      </c>
      <c r="N114" s="15">
        <v>199.22</v>
      </c>
      <c r="O114" t="s">
        <v>75</v>
      </c>
    </row>
    <row r="115" spans="1:15" x14ac:dyDescent="0.25">
      <c r="A115" s="10" t="s">
        <v>328</v>
      </c>
      <c r="B115" s="15">
        <v>673.18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27.75</v>
      </c>
      <c r="O115" t="s">
        <v>75</v>
      </c>
    </row>
    <row r="116" spans="1:15" x14ac:dyDescent="0.25">
      <c r="A116" s="10" t="s">
        <v>330</v>
      </c>
      <c r="B116" s="15">
        <v>513.01</v>
      </c>
      <c r="C116" s="15">
        <v>570.88</v>
      </c>
      <c r="D116" s="15">
        <v>570.88</v>
      </c>
      <c r="E116" s="15">
        <v>771.48</v>
      </c>
      <c r="F116" s="15">
        <v>450.52</v>
      </c>
      <c r="G116" s="15">
        <v>490.64</v>
      </c>
      <c r="H116" s="15">
        <v>570.88</v>
      </c>
      <c r="I116" s="15">
        <v>570.88</v>
      </c>
      <c r="J116" s="15">
        <v>570.88</v>
      </c>
      <c r="K116" s="15">
        <v>1127.8800000000001</v>
      </c>
      <c r="L116" s="15">
        <v>570.88</v>
      </c>
      <c r="M116" s="15">
        <v>13.88</v>
      </c>
      <c r="N116" s="15">
        <v>570.88</v>
      </c>
      <c r="O116" t="s">
        <v>75</v>
      </c>
    </row>
    <row r="117" spans="1:15" x14ac:dyDescent="0.25">
      <c r="A117" s="10" t="s">
        <v>332</v>
      </c>
      <c r="B117" s="15">
        <v>180.64</v>
      </c>
      <c r="C117" s="15">
        <v>186.92</v>
      </c>
      <c r="D117" s="15">
        <v>187.38</v>
      </c>
      <c r="E117" s="15">
        <v>187.64</v>
      </c>
      <c r="F117" s="15">
        <v>487.04</v>
      </c>
      <c r="G117" s="15">
        <v>199.32</v>
      </c>
      <c r="H117" s="15">
        <v>14.28</v>
      </c>
      <c r="I117" s="15">
        <v>175.72</v>
      </c>
      <c r="J117" s="15">
        <v>175.96</v>
      </c>
      <c r="K117" s="15">
        <v>221.97</v>
      </c>
      <c r="L117" s="15">
        <v>175.23</v>
      </c>
      <c r="M117" s="15">
        <v>198.79</v>
      </c>
      <c r="N117" s="15">
        <v>190.22</v>
      </c>
      <c r="O117" t="s">
        <v>75</v>
      </c>
    </row>
    <row r="118" spans="1:15" x14ac:dyDescent="0.25">
      <c r="A118" s="10" t="s">
        <v>334</v>
      </c>
      <c r="B118" s="15">
        <v>172.94</v>
      </c>
      <c r="C118" s="15">
        <v>207.97</v>
      </c>
      <c r="D118" s="15">
        <v>183.82</v>
      </c>
      <c r="E118" s="15">
        <v>183.82</v>
      </c>
      <c r="F118" s="15">
        <v>187.34</v>
      </c>
      <c r="G118" s="15">
        <v>183.82</v>
      </c>
      <c r="H118" s="15">
        <v>183.82</v>
      </c>
      <c r="I118" s="15">
        <v>183.82</v>
      </c>
      <c r="J118" s="15">
        <v>484.38</v>
      </c>
      <c r="K118" s="15">
        <v>183.82</v>
      </c>
      <c r="L118" s="15">
        <v>7.49</v>
      </c>
      <c r="M118" s="15">
        <v>178.62</v>
      </c>
      <c r="N118" s="15">
        <v>186.13</v>
      </c>
      <c r="O118" t="s">
        <v>75</v>
      </c>
    </row>
    <row r="119" spans="1:15" x14ac:dyDescent="0.25">
      <c r="A119" s="10" t="s">
        <v>336</v>
      </c>
      <c r="B119" s="15">
        <v>179.03</v>
      </c>
      <c r="C119" s="15">
        <v>194.14</v>
      </c>
      <c r="D119" s="15">
        <v>188.57</v>
      </c>
      <c r="E119" s="15">
        <v>196.86</v>
      </c>
      <c r="F119" s="15">
        <v>194.55</v>
      </c>
      <c r="G119" s="15">
        <v>199</v>
      </c>
      <c r="H119" s="15">
        <v>199</v>
      </c>
      <c r="I119" s="15">
        <v>523.29999999999995</v>
      </c>
      <c r="J119" s="15">
        <v>191.6</v>
      </c>
      <c r="K119" s="15">
        <v>0</v>
      </c>
      <c r="L119" s="15">
        <v>199</v>
      </c>
      <c r="M119" s="15">
        <v>199</v>
      </c>
      <c r="N119" s="15">
        <v>199</v>
      </c>
      <c r="O119" t="s">
        <v>75</v>
      </c>
    </row>
    <row r="120" spans="1:15" x14ac:dyDescent="0.25">
      <c r="A120" s="10" t="s">
        <v>338</v>
      </c>
      <c r="B120" s="15">
        <v>81.47</v>
      </c>
      <c r="C120" s="15">
        <v>86.63</v>
      </c>
      <c r="D120" s="15">
        <v>85.95</v>
      </c>
      <c r="E120" s="15">
        <v>78.290000000000006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34.97</v>
      </c>
      <c r="M120" s="15">
        <v>168.64</v>
      </c>
      <c r="N120" s="15">
        <v>46.63</v>
      </c>
      <c r="O120" t="s">
        <v>75</v>
      </c>
    </row>
    <row r="121" spans="1:15" x14ac:dyDescent="0.25">
      <c r="A121" s="10" t="s">
        <v>84</v>
      </c>
      <c r="B121" s="15">
        <v>513.01</v>
      </c>
      <c r="C121" s="15">
        <v>864.14</v>
      </c>
      <c r="D121" s="15">
        <v>570.88</v>
      </c>
      <c r="E121" s="15">
        <v>277.62</v>
      </c>
      <c r="F121" s="15">
        <v>570.88</v>
      </c>
      <c r="G121" s="15">
        <v>570.88</v>
      </c>
      <c r="H121" s="15">
        <v>570.88</v>
      </c>
      <c r="I121" s="15">
        <v>570.88</v>
      </c>
      <c r="J121" s="15">
        <v>864.14</v>
      </c>
      <c r="K121" s="15">
        <v>570.88</v>
      </c>
      <c r="L121" s="15">
        <v>277.62</v>
      </c>
      <c r="M121" s="15">
        <v>570.88</v>
      </c>
      <c r="N121" s="15">
        <v>570.88</v>
      </c>
      <c r="O121" t="s">
        <v>75</v>
      </c>
    </row>
    <row r="122" spans="1:15" x14ac:dyDescent="0.25">
      <c r="A122" s="10" t="s">
        <v>340</v>
      </c>
      <c r="B122" s="15">
        <v>153.63</v>
      </c>
      <c r="C122" s="15">
        <v>299.64</v>
      </c>
      <c r="D122" s="15">
        <v>194.71</v>
      </c>
      <c r="E122" s="15">
        <v>194.54</v>
      </c>
      <c r="F122" s="15">
        <v>194.71</v>
      </c>
      <c r="G122" s="15">
        <v>194.71</v>
      </c>
      <c r="H122" s="15">
        <v>194.71</v>
      </c>
      <c r="I122" s="15">
        <v>194.71</v>
      </c>
      <c r="J122" s="15">
        <v>194.71</v>
      </c>
      <c r="K122" s="15">
        <v>194.71</v>
      </c>
      <c r="L122" s="15">
        <v>351.87</v>
      </c>
      <c r="M122" s="15">
        <v>139.63</v>
      </c>
      <c r="N122" s="15">
        <v>198.91</v>
      </c>
      <c r="O122" t="s">
        <v>75</v>
      </c>
    </row>
    <row r="123" spans="1:15" x14ac:dyDescent="0.25">
      <c r="A123" s="10" t="s">
        <v>342</v>
      </c>
      <c r="B123" s="15">
        <v>179.03</v>
      </c>
      <c r="C123" s="15">
        <v>209.04</v>
      </c>
      <c r="D123" s="15">
        <v>194.71</v>
      </c>
      <c r="E123" s="15">
        <v>194.71</v>
      </c>
      <c r="F123" s="15">
        <v>194.71</v>
      </c>
      <c r="G123" s="15">
        <v>194.71</v>
      </c>
      <c r="H123" s="15">
        <v>360.14</v>
      </c>
      <c r="I123" s="15">
        <v>194.71</v>
      </c>
      <c r="J123" s="15">
        <v>124.02</v>
      </c>
      <c r="K123" s="15">
        <v>194.71</v>
      </c>
      <c r="L123" s="15">
        <v>194.71</v>
      </c>
      <c r="M123" s="15">
        <v>279.83999999999997</v>
      </c>
      <c r="N123" s="15">
        <v>195.9</v>
      </c>
      <c r="O123" t="s">
        <v>75</v>
      </c>
    </row>
    <row r="124" spans="1:15" x14ac:dyDescent="0.25">
      <c r="A124" s="10" t="s">
        <v>344</v>
      </c>
      <c r="B124" s="15">
        <v>172.94</v>
      </c>
      <c r="C124" s="15">
        <v>199.49</v>
      </c>
      <c r="D124" s="15">
        <v>183.82</v>
      </c>
      <c r="E124" s="15">
        <v>183.82</v>
      </c>
      <c r="F124" s="15">
        <v>183.82</v>
      </c>
      <c r="G124" s="15">
        <v>180.4</v>
      </c>
      <c r="H124" s="15">
        <v>181.49</v>
      </c>
      <c r="I124" s="15">
        <v>183.82</v>
      </c>
      <c r="J124" s="15">
        <v>332.24</v>
      </c>
      <c r="K124" s="15">
        <v>121.43</v>
      </c>
      <c r="L124" s="15">
        <v>142.22</v>
      </c>
      <c r="M124" s="15">
        <v>183.82</v>
      </c>
      <c r="N124" s="15">
        <v>185.13</v>
      </c>
      <c r="O124" t="s">
        <v>75</v>
      </c>
    </row>
    <row r="125" spans="1:15" x14ac:dyDescent="0.25">
      <c r="A125" s="10" t="s">
        <v>346</v>
      </c>
      <c r="B125" s="15">
        <v>320.74</v>
      </c>
      <c r="C125" s="15">
        <v>190.47</v>
      </c>
      <c r="D125" s="15">
        <v>161.55000000000001</v>
      </c>
      <c r="E125" s="15">
        <v>194.71</v>
      </c>
      <c r="F125" s="15">
        <v>194.71</v>
      </c>
      <c r="G125" s="15">
        <v>194.71</v>
      </c>
      <c r="H125" s="15">
        <v>194.71</v>
      </c>
      <c r="I125" s="15">
        <v>194.71</v>
      </c>
      <c r="J125" s="15">
        <v>194.71</v>
      </c>
      <c r="K125" s="15">
        <v>271.77</v>
      </c>
      <c r="L125" s="15">
        <v>150.5</v>
      </c>
      <c r="M125" s="15">
        <v>183.66</v>
      </c>
      <c r="N125" s="15">
        <v>195.08</v>
      </c>
      <c r="O125" t="s">
        <v>75</v>
      </c>
    </row>
    <row r="126" spans="1:15" x14ac:dyDescent="0.25">
      <c r="A126" s="10" t="s">
        <v>348</v>
      </c>
      <c r="B126" s="15">
        <v>182.61</v>
      </c>
      <c r="C126" s="15">
        <v>175.23</v>
      </c>
      <c r="D126" s="15">
        <v>186.44</v>
      </c>
      <c r="E126" s="15">
        <v>173.99</v>
      </c>
      <c r="F126" s="15">
        <v>186.47</v>
      </c>
      <c r="G126" s="15">
        <v>198.27</v>
      </c>
      <c r="H126" s="15">
        <v>478.37</v>
      </c>
      <c r="I126" s="15">
        <v>175.96</v>
      </c>
      <c r="J126" s="15">
        <v>7.14</v>
      </c>
      <c r="K126" s="15">
        <v>170.3</v>
      </c>
      <c r="L126" s="15">
        <v>175.96</v>
      </c>
      <c r="M126" s="15">
        <v>186.92</v>
      </c>
      <c r="N126" s="15">
        <v>183.11</v>
      </c>
      <c r="O126" t="s">
        <v>75</v>
      </c>
    </row>
    <row r="127" spans="1:15" x14ac:dyDescent="0.25">
      <c r="A127" s="10" t="s">
        <v>350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30.75</v>
      </c>
      <c r="H127" s="15">
        <v>61.5</v>
      </c>
      <c r="I127" s="15">
        <v>61.5</v>
      </c>
      <c r="J127" s="15">
        <v>61.5</v>
      </c>
      <c r="K127" s="15">
        <v>61.5</v>
      </c>
      <c r="L127" s="15">
        <v>61.5</v>
      </c>
      <c r="M127" s="15">
        <v>59.45</v>
      </c>
      <c r="N127" s="15">
        <v>41</v>
      </c>
      <c r="O127" t="s">
        <v>75</v>
      </c>
    </row>
    <row r="128" spans="1:15" x14ac:dyDescent="0.25">
      <c r="A128" s="10" t="s">
        <v>352</v>
      </c>
      <c r="B128" s="15">
        <v>178.31</v>
      </c>
      <c r="C128" s="15">
        <v>159.41999999999999</v>
      </c>
      <c r="D128" s="15">
        <v>199</v>
      </c>
      <c r="E128" s="15">
        <v>194.82</v>
      </c>
      <c r="F128" s="15">
        <v>199</v>
      </c>
      <c r="G128" s="15">
        <v>199</v>
      </c>
      <c r="H128" s="15">
        <v>199</v>
      </c>
      <c r="I128" s="15">
        <v>205.63</v>
      </c>
      <c r="J128" s="15">
        <v>205.63</v>
      </c>
      <c r="K128" s="15">
        <v>524.49</v>
      </c>
      <c r="L128" s="15">
        <v>205.63</v>
      </c>
      <c r="M128" s="15">
        <v>0</v>
      </c>
      <c r="N128" s="15">
        <v>199.73</v>
      </c>
      <c r="O128" t="s">
        <v>75</v>
      </c>
    </row>
    <row r="129" spans="1:15" x14ac:dyDescent="0.25">
      <c r="A129" s="10" t="s">
        <v>354</v>
      </c>
      <c r="B129" s="15">
        <v>104.7</v>
      </c>
      <c r="C129" s="15">
        <v>193.77</v>
      </c>
      <c r="D129" s="15">
        <v>183.82</v>
      </c>
      <c r="E129" s="15">
        <v>183.82</v>
      </c>
      <c r="F129" s="15">
        <v>182.4</v>
      </c>
      <c r="G129" s="15">
        <v>183.82</v>
      </c>
      <c r="H129" s="15">
        <v>183.82</v>
      </c>
      <c r="I129" s="15">
        <v>183.82</v>
      </c>
      <c r="J129" s="15">
        <v>183.82</v>
      </c>
      <c r="K129" s="15">
        <v>183.82</v>
      </c>
      <c r="L129" s="15">
        <v>183.82</v>
      </c>
      <c r="M129" s="15">
        <v>183.82</v>
      </c>
      <c r="N129" s="15">
        <v>184.65</v>
      </c>
      <c r="O129" t="s">
        <v>75</v>
      </c>
    </row>
    <row r="130" spans="1:15" x14ac:dyDescent="0.25">
      <c r="A130" s="10" t="s">
        <v>356</v>
      </c>
      <c r="B130" s="15">
        <v>184.27</v>
      </c>
      <c r="C130" s="15">
        <v>175.23</v>
      </c>
      <c r="D130" s="15">
        <v>188.73</v>
      </c>
      <c r="E130" s="15">
        <v>295.14999999999998</v>
      </c>
      <c r="F130" s="15">
        <v>187.64</v>
      </c>
      <c r="G130" s="15">
        <v>114.64</v>
      </c>
      <c r="H130" s="15">
        <v>175.23</v>
      </c>
      <c r="I130" s="15">
        <v>284.19</v>
      </c>
      <c r="J130" s="15">
        <v>177.04</v>
      </c>
      <c r="K130" s="15">
        <v>204.8</v>
      </c>
      <c r="L130" s="15">
        <v>175.23</v>
      </c>
      <c r="M130" s="15">
        <v>186.92</v>
      </c>
      <c r="N130" s="15">
        <v>184.98</v>
      </c>
      <c r="O130" t="s">
        <v>75</v>
      </c>
    </row>
    <row r="131" spans="1:15" x14ac:dyDescent="0.25">
      <c r="A131" s="10" t="s">
        <v>358</v>
      </c>
      <c r="B131" s="15">
        <v>172.94</v>
      </c>
      <c r="C131" s="15">
        <v>218.59</v>
      </c>
      <c r="D131" s="15">
        <v>183.82</v>
      </c>
      <c r="E131" s="15">
        <v>349.79</v>
      </c>
      <c r="F131" s="15">
        <v>202.94</v>
      </c>
      <c r="G131" s="15">
        <v>61.28</v>
      </c>
      <c r="H131" s="15">
        <v>183.82</v>
      </c>
      <c r="I131" s="15">
        <v>183.82</v>
      </c>
      <c r="J131" s="15">
        <v>183.82</v>
      </c>
      <c r="K131" s="15">
        <v>183.82</v>
      </c>
      <c r="L131" s="15">
        <v>183.82</v>
      </c>
      <c r="M131" s="15">
        <v>189.95</v>
      </c>
      <c r="N131" s="15">
        <v>188.31</v>
      </c>
      <c r="O131" t="s">
        <v>75</v>
      </c>
    </row>
    <row r="132" spans="1:15" x14ac:dyDescent="0.25">
      <c r="A132" s="10" t="s">
        <v>360</v>
      </c>
      <c r="B132" s="15">
        <v>47.74</v>
      </c>
      <c r="C132" s="15">
        <v>184.49</v>
      </c>
      <c r="D132" s="15">
        <v>168.64</v>
      </c>
      <c r="E132" s="15">
        <v>162.47</v>
      </c>
      <c r="F132" s="15">
        <v>168.64</v>
      </c>
      <c r="G132" s="15">
        <v>168.64</v>
      </c>
      <c r="H132" s="15">
        <v>168.64</v>
      </c>
      <c r="I132" s="15">
        <v>168.64</v>
      </c>
      <c r="J132" s="15">
        <v>166.43</v>
      </c>
      <c r="K132" s="15">
        <v>168.64</v>
      </c>
      <c r="L132" s="15">
        <v>168.64</v>
      </c>
      <c r="M132" s="15">
        <v>302.92</v>
      </c>
      <c r="N132" s="15">
        <v>169.96</v>
      </c>
      <c r="O132" t="s">
        <v>75</v>
      </c>
    </row>
    <row r="133" spans="1:15" x14ac:dyDescent="0.25">
      <c r="A133" s="10" t="s">
        <v>362</v>
      </c>
      <c r="B133" s="15">
        <v>179.03</v>
      </c>
      <c r="C133" s="15">
        <v>302.02</v>
      </c>
      <c r="D133" s="15">
        <v>214.18</v>
      </c>
      <c r="E133" s="15">
        <v>214.18</v>
      </c>
      <c r="F133" s="15">
        <v>214.18</v>
      </c>
      <c r="G133" s="15">
        <v>214.18</v>
      </c>
      <c r="H133" s="15">
        <v>299.87</v>
      </c>
      <c r="I133" s="15">
        <v>214.18</v>
      </c>
      <c r="J133" s="15">
        <v>206.66</v>
      </c>
      <c r="K133" s="15">
        <v>214.18</v>
      </c>
      <c r="L133" s="15">
        <v>214.18</v>
      </c>
      <c r="M133" s="15">
        <v>214.18</v>
      </c>
      <c r="N133" s="15">
        <v>216.92</v>
      </c>
      <c r="O133" t="s">
        <v>75</v>
      </c>
    </row>
    <row r="134" spans="1:15" x14ac:dyDescent="0.25">
      <c r="A134" s="10" t="s">
        <v>364</v>
      </c>
      <c r="B134" s="15">
        <v>269.33999999999997</v>
      </c>
      <c r="C134" s="15">
        <v>165.67</v>
      </c>
      <c r="D134" s="15">
        <v>294.75</v>
      </c>
      <c r="E134" s="15">
        <v>294.75</v>
      </c>
      <c r="F134" s="15">
        <v>308.02</v>
      </c>
      <c r="G134" s="15">
        <v>294.75</v>
      </c>
      <c r="H134" s="15">
        <v>225.91</v>
      </c>
      <c r="I134" s="15">
        <v>294.75</v>
      </c>
      <c r="J134" s="15">
        <v>294.75</v>
      </c>
      <c r="K134" s="15">
        <v>290.82</v>
      </c>
      <c r="L134" s="15">
        <v>294.75</v>
      </c>
      <c r="M134" s="15">
        <v>292.39</v>
      </c>
      <c r="N134" s="15">
        <v>296.2</v>
      </c>
      <c r="O134" t="s">
        <v>75</v>
      </c>
    </row>
    <row r="135" spans="1:15" x14ac:dyDescent="0.25">
      <c r="A135" s="10" t="s">
        <v>366</v>
      </c>
      <c r="B135" s="15">
        <v>176.8</v>
      </c>
      <c r="C135" s="15">
        <v>204.62</v>
      </c>
      <c r="D135" s="15">
        <v>277.8</v>
      </c>
      <c r="E135" s="15">
        <v>199</v>
      </c>
      <c r="F135" s="15">
        <v>144.76</v>
      </c>
      <c r="G135" s="15">
        <v>199</v>
      </c>
      <c r="H135" s="15">
        <v>371.75</v>
      </c>
      <c r="I135" s="15">
        <v>199</v>
      </c>
      <c r="J135" s="15">
        <v>120.48</v>
      </c>
      <c r="K135" s="15">
        <v>199</v>
      </c>
      <c r="L135" s="15">
        <v>199</v>
      </c>
      <c r="M135" s="15">
        <v>199</v>
      </c>
      <c r="N135" s="15">
        <v>199.65</v>
      </c>
      <c r="O135" t="s">
        <v>75</v>
      </c>
    </row>
    <row r="136" spans="1:15" x14ac:dyDescent="0.25">
      <c r="A136" s="10" t="s">
        <v>368</v>
      </c>
      <c r="B136" s="15">
        <v>0</v>
      </c>
      <c r="C136" s="15">
        <v>108.93</v>
      </c>
      <c r="D136" s="15">
        <v>183.82</v>
      </c>
      <c r="E136" s="15">
        <v>183.82</v>
      </c>
      <c r="F136" s="15">
        <v>291.63</v>
      </c>
      <c r="G136" s="15">
        <v>183.82</v>
      </c>
      <c r="H136" s="15">
        <v>183.82</v>
      </c>
      <c r="I136" s="15">
        <v>183.82</v>
      </c>
      <c r="J136" s="15">
        <v>183.82</v>
      </c>
      <c r="K136" s="15">
        <v>183.82</v>
      </c>
      <c r="L136" s="15">
        <v>183.82</v>
      </c>
      <c r="M136" s="15">
        <v>183.82</v>
      </c>
      <c r="N136" s="15">
        <v>188.8</v>
      </c>
      <c r="O136" t="s">
        <v>75</v>
      </c>
    </row>
    <row r="137" spans="1:15" x14ac:dyDescent="0.25">
      <c r="A137" s="10" t="s">
        <v>370</v>
      </c>
      <c r="B137" s="15">
        <v>0</v>
      </c>
      <c r="C137" s="15">
        <v>0</v>
      </c>
      <c r="D137" s="15">
        <v>86.63</v>
      </c>
      <c r="E137" s="15">
        <v>86.63</v>
      </c>
      <c r="F137" s="15">
        <v>86.46</v>
      </c>
      <c r="G137" s="15">
        <v>86.63</v>
      </c>
      <c r="H137" s="15">
        <v>86.63</v>
      </c>
      <c r="I137" s="15">
        <v>86.63</v>
      </c>
      <c r="J137" s="15">
        <v>86.63</v>
      </c>
      <c r="K137" s="15">
        <v>86.63</v>
      </c>
      <c r="L137" s="15">
        <v>89.64</v>
      </c>
      <c r="M137" s="15">
        <v>0</v>
      </c>
      <c r="N137" s="15">
        <v>65.260000000000005</v>
      </c>
      <c r="O137" t="s">
        <v>75</v>
      </c>
    </row>
    <row r="138" spans="1:15" x14ac:dyDescent="0.25">
      <c r="A138" s="10" t="s">
        <v>372</v>
      </c>
      <c r="B138" s="15">
        <v>168.87</v>
      </c>
      <c r="C138" s="15">
        <v>199</v>
      </c>
      <c r="D138" s="15">
        <v>199</v>
      </c>
      <c r="E138" s="15">
        <v>199</v>
      </c>
      <c r="F138" s="15">
        <v>199</v>
      </c>
      <c r="G138" s="15">
        <v>198.6</v>
      </c>
      <c r="H138" s="15">
        <v>199</v>
      </c>
      <c r="I138" s="15">
        <v>199</v>
      </c>
      <c r="J138" s="15">
        <v>199</v>
      </c>
      <c r="K138" s="15">
        <v>517.4</v>
      </c>
      <c r="L138" s="15">
        <v>194.8</v>
      </c>
      <c r="M138" s="15">
        <v>16.21</v>
      </c>
      <c r="N138" s="15">
        <v>199</v>
      </c>
      <c r="O138" t="s">
        <v>75</v>
      </c>
    </row>
    <row r="139" spans="1:15" x14ac:dyDescent="0.25">
      <c r="A139" s="10" t="s">
        <v>374</v>
      </c>
      <c r="B139" s="15">
        <v>33.99</v>
      </c>
      <c r="C139" s="15">
        <v>3.64</v>
      </c>
      <c r="D139" s="15">
        <v>33.340000000000003</v>
      </c>
      <c r="E139" s="15">
        <v>35.71</v>
      </c>
      <c r="F139" s="15">
        <v>35.71</v>
      </c>
      <c r="G139" s="15">
        <v>35.71</v>
      </c>
      <c r="H139" s="15">
        <v>52.37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20.83</v>
      </c>
      <c r="O139" t="s">
        <v>75</v>
      </c>
    </row>
    <row r="140" spans="1:15" x14ac:dyDescent="0.25">
      <c r="A140" s="10" t="s">
        <v>376</v>
      </c>
      <c r="B140" s="15">
        <v>310.63</v>
      </c>
      <c r="C140" s="15">
        <v>422.46</v>
      </c>
      <c r="D140" s="15">
        <v>422.46</v>
      </c>
      <c r="E140" s="15">
        <v>422.46</v>
      </c>
      <c r="F140" s="15">
        <v>805.25</v>
      </c>
      <c r="G140" s="15">
        <v>422.46</v>
      </c>
      <c r="H140" s="15">
        <v>140.82</v>
      </c>
      <c r="I140" s="15">
        <v>422.46</v>
      </c>
      <c r="J140" s="15">
        <v>422.46</v>
      </c>
      <c r="K140" s="15">
        <v>422.46</v>
      </c>
      <c r="L140" s="15">
        <v>422.46</v>
      </c>
      <c r="M140" s="15">
        <v>422.46</v>
      </c>
      <c r="N140" s="15">
        <v>422.46</v>
      </c>
      <c r="O140" t="s">
        <v>75</v>
      </c>
    </row>
    <row r="141" spans="1:15" x14ac:dyDescent="0.25">
      <c r="A141" s="10" t="s">
        <v>378</v>
      </c>
      <c r="B141" s="15">
        <v>158.71</v>
      </c>
      <c r="C141" s="15">
        <v>203.5</v>
      </c>
      <c r="D141" s="15">
        <v>199</v>
      </c>
      <c r="E141" s="15">
        <v>199</v>
      </c>
      <c r="F141" s="15">
        <v>374.83</v>
      </c>
      <c r="G141" s="15">
        <v>187.71</v>
      </c>
      <c r="H141" s="15">
        <v>132.86000000000001</v>
      </c>
      <c r="I141" s="15">
        <v>199</v>
      </c>
      <c r="J141" s="15">
        <v>199</v>
      </c>
      <c r="K141" s="15">
        <v>199</v>
      </c>
      <c r="L141" s="15">
        <v>204.32</v>
      </c>
      <c r="M141" s="15">
        <v>0</v>
      </c>
      <c r="N141" s="15">
        <v>166.17</v>
      </c>
      <c r="O141" t="s">
        <v>75</v>
      </c>
    </row>
    <row r="142" spans="1:15" x14ac:dyDescent="0.25">
      <c r="A142" s="10" t="s">
        <v>380</v>
      </c>
      <c r="B142" s="15">
        <v>273.52</v>
      </c>
      <c r="C142" s="15">
        <v>296.7</v>
      </c>
      <c r="D142" s="15">
        <v>294.75</v>
      </c>
      <c r="E142" s="15">
        <v>294.75</v>
      </c>
      <c r="F142" s="15">
        <v>294.75</v>
      </c>
      <c r="G142" s="15">
        <v>294.75</v>
      </c>
      <c r="H142" s="15">
        <v>294.75</v>
      </c>
      <c r="I142" s="15">
        <v>294.75</v>
      </c>
      <c r="J142" s="15">
        <v>294.75</v>
      </c>
      <c r="K142" s="15">
        <v>294.75</v>
      </c>
      <c r="L142" s="15">
        <v>294.75</v>
      </c>
      <c r="M142" s="15">
        <v>294.75</v>
      </c>
      <c r="N142" s="15">
        <v>294.91000000000003</v>
      </c>
      <c r="O142" t="s">
        <v>75</v>
      </c>
    </row>
    <row r="143" spans="1:15" x14ac:dyDescent="0.25">
      <c r="A143" s="10" t="s">
        <v>382</v>
      </c>
      <c r="B143" s="15">
        <v>179.03</v>
      </c>
      <c r="C143" s="15">
        <v>97.88</v>
      </c>
      <c r="D143" s="15">
        <v>187.7</v>
      </c>
      <c r="E143" s="15">
        <v>199</v>
      </c>
      <c r="F143" s="15">
        <v>199</v>
      </c>
      <c r="G143" s="15">
        <v>199</v>
      </c>
      <c r="H143" s="15">
        <v>199</v>
      </c>
      <c r="I143" s="15">
        <v>199</v>
      </c>
      <c r="J143" s="15">
        <v>145.93</v>
      </c>
      <c r="K143" s="15">
        <v>0</v>
      </c>
      <c r="L143" s="15">
        <v>199</v>
      </c>
      <c r="M143" s="15">
        <v>199</v>
      </c>
      <c r="N143" s="15">
        <v>185.38</v>
      </c>
      <c r="O143" t="s">
        <v>75</v>
      </c>
    </row>
    <row r="144" spans="1:15" x14ac:dyDescent="0.25">
      <c r="A144" s="10" t="s">
        <v>384</v>
      </c>
      <c r="B144" s="15">
        <v>30.64</v>
      </c>
      <c r="C144" s="15">
        <v>570.88</v>
      </c>
      <c r="D144" s="15">
        <v>570.88</v>
      </c>
      <c r="E144" s="15">
        <v>570.88</v>
      </c>
      <c r="F144" s="15">
        <v>570.88</v>
      </c>
      <c r="G144" s="15">
        <v>570.88</v>
      </c>
      <c r="H144" s="15">
        <v>570.88</v>
      </c>
      <c r="I144" s="15">
        <v>1110.82</v>
      </c>
      <c r="J144" s="15">
        <v>570.88</v>
      </c>
      <c r="K144" s="15">
        <v>30.94</v>
      </c>
      <c r="L144" s="15">
        <v>570.88</v>
      </c>
      <c r="M144" s="15">
        <v>570.88</v>
      </c>
      <c r="N144" s="15">
        <v>570.88</v>
      </c>
      <c r="O144" t="s">
        <v>75</v>
      </c>
    </row>
    <row r="145" spans="1:15" x14ac:dyDescent="0.25">
      <c r="A145" s="10" t="s">
        <v>386</v>
      </c>
      <c r="B145" s="15">
        <v>341.89</v>
      </c>
      <c r="C145" s="15">
        <v>460.14</v>
      </c>
      <c r="D145" s="15">
        <v>692.12</v>
      </c>
      <c r="E145" s="15">
        <v>295.02999999999997</v>
      </c>
      <c r="F145" s="15">
        <v>374.34</v>
      </c>
      <c r="G145" s="15">
        <v>374.34</v>
      </c>
      <c r="H145" s="15">
        <v>374.34</v>
      </c>
      <c r="I145" s="15">
        <v>374.34</v>
      </c>
      <c r="J145" s="15">
        <v>374.34</v>
      </c>
      <c r="K145" s="15">
        <v>374.34</v>
      </c>
      <c r="L145" s="15">
        <v>374.34</v>
      </c>
      <c r="M145" s="15">
        <v>527.75</v>
      </c>
      <c r="N145" s="15">
        <v>421.89</v>
      </c>
      <c r="O145" t="s">
        <v>75</v>
      </c>
    </row>
    <row r="146" spans="1:15" x14ac:dyDescent="0.25">
      <c r="A146" s="10" t="s">
        <v>388</v>
      </c>
      <c r="B146" s="15">
        <v>233.61</v>
      </c>
      <c r="C146" s="15">
        <v>160.69</v>
      </c>
      <c r="D146" s="15">
        <v>87.26</v>
      </c>
      <c r="E146" s="15">
        <v>151.91999999999999</v>
      </c>
      <c r="F146" s="15">
        <v>151.91999999999999</v>
      </c>
      <c r="G146" s="15">
        <v>151.91999999999999</v>
      </c>
      <c r="H146" s="15">
        <v>151.91999999999999</v>
      </c>
      <c r="I146" s="15">
        <v>151.91999999999999</v>
      </c>
      <c r="J146" s="15">
        <v>151.91999999999999</v>
      </c>
      <c r="K146" s="15">
        <v>151.91999999999999</v>
      </c>
      <c r="L146" s="15">
        <v>151.91999999999999</v>
      </c>
      <c r="M146" s="15">
        <v>242.37</v>
      </c>
      <c r="N146" s="15">
        <v>152.65</v>
      </c>
      <c r="O146" t="s">
        <v>75</v>
      </c>
    </row>
    <row r="147" spans="1:15" x14ac:dyDescent="0.25">
      <c r="A147" s="10" t="s">
        <v>390</v>
      </c>
      <c r="B147" s="15">
        <v>179.03</v>
      </c>
      <c r="C147" s="15">
        <v>296.89999999999998</v>
      </c>
      <c r="D147" s="15">
        <v>368.46</v>
      </c>
      <c r="E147" s="15">
        <v>191.06</v>
      </c>
      <c r="F147" s="15">
        <v>117.94</v>
      </c>
      <c r="G147" s="15">
        <v>194.71</v>
      </c>
      <c r="H147" s="15">
        <v>194.71</v>
      </c>
      <c r="I147" s="15">
        <v>194.71</v>
      </c>
      <c r="J147" s="15">
        <v>194.71</v>
      </c>
      <c r="K147" s="15">
        <v>194.71</v>
      </c>
      <c r="L147" s="15">
        <v>273.20999999999998</v>
      </c>
      <c r="M147" s="15">
        <v>139.63</v>
      </c>
      <c r="N147" s="15">
        <v>198.72</v>
      </c>
      <c r="O147" t="s">
        <v>75</v>
      </c>
    </row>
    <row r="148" spans="1:15" x14ac:dyDescent="0.25">
      <c r="A148" s="10" t="s">
        <v>392</v>
      </c>
      <c r="B148" s="15">
        <v>176.18</v>
      </c>
      <c r="C148" s="15">
        <v>85.36</v>
      </c>
      <c r="D148" s="15">
        <v>166.04</v>
      </c>
      <c r="E148" s="15">
        <v>175.23</v>
      </c>
      <c r="F148" s="15">
        <v>186.92</v>
      </c>
      <c r="G148" s="15">
        <v>199.19</v>
      </c>
      <c r="H148" s="15">
        <v>185.8</v>
      </c>
      <c r="I148" s="15">
        <v>175.23</v>
      </c>
      <c r="J148" s="15">
        <v>174.72</v>
      </c>
      <c r="K148" s="15">
        <v>222.69</v>
      </c>
      <c r="L148" s="15">
        <v>186.92</v>
      </c>
      <c r="M148" s="15">
        <v>506.06</v>
      </c>
      <c r="N148" s="15">
        <v>188.08</v>
      </c>
      <c r="O148" t="s">
        <v>75</v>
      </c>
    </row>
    <row r="149" spans="1:15" x14ac:dyDescent="0.25">
      <c r="A149" s="10" t="s">
        <v>394</v>
      </c>
      <c r="B149" s="15">
        <v>81.47</v>
      </c>
      <c r="C149" s="15">
        <v>91.06</v>
      </c>
      <c r="D149" s="15">
        <v>85.84</v>
      </c>
      <c r="E149" s="15">
        <v>85.84</v>
      </c>
      <c r="F149" s="15">
        <v>85.84</v>
      </c>
      <c r="G149" s="15">
        <v>85.84</v>
      </c>
      <c r="H149" s="15">
        <v>85.84</v>
      </c>
      <c r="I149" s="15">
        <v>200.87</v>
      </c>
      <c r="J149" s="15">
        <v>85.84</v>
      </c>
      <c r="K149" s="15">
        <v>11.45</v>
      </c>
      <c r="L149" s="15">
        <v>74.41</v>
      </c>
      <c r="M149" s="15">
        <v>109.84</v>
      </c>
      <c r="N149" s="15">
        <v>88.28</v>
      </c>
      <c r="O149" t="s">
        <v>75</v>
      </c>
    </row>
    <row r="150" spans="1:15" x14ac:dyDescent="0.25">
      <c r="A150" s="10" t="s">
        <v>398</v>
      </c>
      <c r="B150" s="15">
        <v>513.01</v>
      </c>
      <c r="C150" s="15">
        <v>570.88</v>
      </c>
      <c r="D150" s="15">
        <v>1141.76</v>
      </c>
      <c r="E150" s="15">
        <v>404.9</v>
      </c>
      <c r="F150" s="15">
        <v>165.98</v>
      </c>
      <c r="G150" s="15">
        <v>1078.06</v>
      </c>
      <c r="H150" s="15">
        <v>570.88</v>
      </c>
      <c r="I150" s="15">
        <v>63.7</v>
      </c>
      <c r="J150" s="15">
        <v>570.88</v>
      </c>
      <c r="K150" s="15">
        <v>570.88</v>
      </c>
      <c r="L150" s="15">
        <v>570.88</v>
      </c>
      <c r="M150" s="15">
        <v>570.88</v>
      </c>
      <c r="N150" s="15">
        <v>570.88</v>
      </c>
      <c r="O150" t="s">
        <v>75</v>
      </c>
    </row>
    <row r="151" spans="1:15" x14ac:dyDescent="0.25">
      <c r="A151" s="10" t="s">
        <v>400</v>
      </c>
      <c r="B151" s="15">
        <v>179.03</v>
      </c>
      <c r="C151" s="15">
        <v>536.53</v>
      </c>
      <c r="D151" s="15">
        <v>199</v>
      </c>
      <c r="E151" s="15">
        <v>0</v>
      </c>
      <c r="F151" s="15">
        <v>199</v>
      </c>
      <c r="G151" s="15">
        <v>199</v>
      </c>
      <c r="H151" s="15">
        <v>199</v>
      </c>
      <c r="I151" s="15">
        <v>199</v>
      </c>
      <c r="J151" s="15">
        <v>199</v>
      </c>
      <c r="K151" s="15">
        <v>199</v>
      </c>
      <c r="L151" s="15">
        <v>199</v>
      </c>
      <c r="M151" s="15">
        <v>458.88</v>
      </c>
      <c r="N151" s="15">
        <v>200.1</v>
      </c>
      <c r="O151" t="s">
        <v>75</v>
      </c>
    </row>
    <row r="152" spans="1:15" x14ac:dyDescent="0.25">
      <c r="A152" s="10" t="s">
        <v>402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69.3</v>
      </c>
      <c r="N152" s="15">
        <v>14.43</v>
      </c>
      <c r="O152" t="s">
        <v>75</v>
      </c>
    </row>
    <row r="153" spans="1:15" x14ac:dyDescent="0.25">
      <c r="A153" s="10" t="s">
        <v>404</v>
      </c>
      <c r="B153" s="15">
        <v>152.84</v>
      </c>
      <c r="C153" s="15">
        <v>28.96</v>
      </c>
      <c r="D153" s="15">
        <v>175.23</v>
      </c>
      <c r="E153" s="15">
        <v>175.23</v>
      </c>
      <c r="F153" s="15">
        <v>175.23</v>
      </c>
      <c r="G153" s="15">
        <v>175.96</v>
      </c>
      <c r="H153" s="15">
        <v>174.73</v>
      </c>
      <c r="I153" s="15">
        <v>174.37</v>
      </c>
      <c r="J153" s="15">
        <v>174.91</v>
      </c>
      <c r="K153" s="15">
        <v>222.69</v>
      </c>
      <c r="L153" s="15">
        <v>175.23</v>
      </c>
      <c r="M153" s="15">
        <v>186.92</v>
      </c>
      <c r="N153" s="15">
        <v>180.22</v>
      </c>
      <c r="O153" t="s">
        <v>75</v>
      </c>
    </row>
    <row r="154" spans="1:15" x14ac:dyDescent="0.25">
      <c r="A154" s="10" t="s">
        <v>406</v>
      </c>
      <c r="B154" s="15">
        <v>106.62</v>
      </c>
      <c r="C154" s="15">
        <v>150.87</v>
      </c>
      <c r="D154" s="15">
        <v>151.91999999999999</v>
      </c>
      <c r="E154" s="15">
        <v>271.95</v>
      </c>
      <c r="F154" s="15">
        <v>141.18</v>
      </c>
      <c r="G154" s="15">
        <v>60.36</v>
      </c>
      <c r="H154" s="15">
        <v>122.41</v>
      </c>
      <c r="I154" s="15">
        <v>150.41999999999999</v>
      </c>
      <c r="J154" s="15">
        <v>146.30000000000001</v>
      </c>
      <c r="K154" s="15">
        <v>147.19</v>
      </c>
      <c r="L154" s="15">
        <v>150.13999999999999</v>
      </c>
      <c r="M154" s="15">
        <v>151.91999999999999</v>
      </c>
      <c r="N154" s="15">
        <v>151.91999999999999</v>
      </c>
      <c r="O154" t="s">
        <v>75</v>
      </c>
    </row>
    <row r="155" spans="1:15" x14ac:dyDescent="0.25">
      <c r="A155" s="10" t="s">
        <v>408</v>
      </c>
      <c r="B155" s="15">
        <v>172.94</v>
      </c>
      <c r="C155" s="15">
        <v>205.51</v>
      </c>
      <c r="D155" s="15">
        <v>183.82</v>
      </c>
      <c r="E155" s="15">
        <v>183.82</v>
      </c>
      <c r="F155" s="15">
        <v>200.85</v>
      </c>
      <c r="G155" s="15">
        <v>429.48</v>
      </c>
      <c r="H155" s="15">
        <v>183.82</v>
      </c>
      <c r="I155" s="15">
        <v>66.319999999999993</v>
      </c>
      <c r="J155" s="15">
        <v>173.41</v>
      </c>
      <c r="K155" s="15">
        <v>183.82</v>
      </c>
      <c r="L155" s="15">
        <v>183.82</v>
      </c>
      <c r="M155" s="15">
        <v>183.82</v>
      </c>
      <c r="N155" s="15">
        <v>187.05</v>
      </c>
      <c r="O155" t="s">
        <v>75</v>
      </c>
    </row>
    <row r="156" spans="1:15" x14ac:dyDescent="0.25">
      <c r="A156" s="10" t="s">
        <v>410</v>
      </c>
      <c r="B156" s="15">
        <v>0</v>
      </c>
      <c r="C156" s="15">
        <v>0</v>
      </c>
      <c r="D156" s="15">
        <v>171.56</v>
      </c>
      <c r="E156" s="15">
        <v>183.82</v>
      </c>
      <c r="F156" s="15">
        <v>183.82</v>
      </c>
      <c r="G156" s="15">
        <v>183.82</v>
      </c>
      <c r="H156" s="15">
        <v>183.82</v>
      </c>
      <c r="I156" s="15">
        <v>183.82</v>
      </c>
      <c r="J156" s="15">
        <v>183.82</v>
      </c>
      <c r="K156" s="15">
        <v>183.82</v>
      </c>
      <c r="L156" s="15">
        <v>183.82</v>
      </c>
      <c r="M156" s="15">
        <v>183.82</v>
      </c>
      <c r="N156" s="15">
        <v>168.5</v>
      </c>
      <c r="O156" t="s">
        <v>75</v>
      </c>
    </row>
    <row r="157" spans="1:15" x14ac:dyDescent="0.25">
      <c r="A157" s="10" t="s">
        <v>412</v>
      </c>
      <c r="B157" s="15">
        <v>186.19</v>
      </c>
      <c r="C157" s="15">
        <v>374.07</v>
      </c>
      <c r="D157" s="15">
        <v>114.33</v>
      </c>
      <c r="E157" s="15">
        <v>170.77</v>
      </c>
      <c r="F157" s="15">
        <v>220.19</v>
      </c>
      <c r="G157" s="15">
        <v>199</v>
      </c>
      <c r="H157" s="15">
        <v>199</v>
      </c>
      <c r="I157" s="15">
        <v>278.04000000000002</v>
      </c>
      <c r="J157" s="15">
        <v>199</v>
      </c>
      <c r="K157" s="15">
        <v>142.55000000000001</v>
      </c>
      <c r="L157" s="15">
        <v>199</v>
      </c>
      <c r="M157" s="15">
        <v>199</v>
      </c>
      <c r="N157" s="15">
        <v>202.18</v>
      </c>
      <c r="O157" t="s">
        <v>75</v>
      </c>
    </row>
    <row r="158" spans="1:15" x14ac:dyDescent="0.25">
      <c r="A158" s="10" t="s">
        <v>414</v>
      </c>
      <c r="B158" s="15">
        <v>179.03</v>
      </c>
      <c r="C158" s="15">
        <v>296.07</v>
      </c>
      <c r="D158" s="15">
        <v>194.71</v>
      </c>
      <c r="E158" s="15">
        <v>354.61</v>
      </c>
      <c r="F158" s="15">
        <v>570.88</v>
      </c>
      <c r="G158" s="15">
        <v>194.71</v>
      </c>
      <c r="H158" s="15">
        <v>194.71</v>
      </c>
      <c r="I158" s="15">
        <v>687.51</v>
      </c>
      <c r="J158" s="15">
        <v>136.47999999999999</v>
      </c>
      <c r="K158" s="15">
        <v>189.21</v>
      </c>
      <c r="L158" s="15">
        <v>194.71</v>
      </c>
      <c r="M158" s="15">
        <v>288.89</v>
      </c>
      <c r="N158" s="15">
        <v>315.70999999999998</v>
      </c>
      <c r="O158" t="s">
        <v>75</v>
      </c>
    </row>
    <row r="159" spans="1:15" x14ac:dyDescent="0.25">
      <c r="A159" s="10" t="s">
        <v>416</v>
      </c>
      <c r="B159" s="15">
        <v>513.01</v>
      </c>
      <c r="C159" s="15">
        <v>570.88</v>
      </c>
      <c r="D159" s="15">
        <v>570.88</v>
      </c>
      <c r="E159" s="15">
        <v>570.88</v>
      </c>
      <c r="F159" s="15">
        <v>570.88</v>
      </c>
      <c r="G159" s="15">
        <v>570.88</v>
      </c>
      <c r="H159" s="15">
        <v>889.13</v>
      </c>
      <c r="I159" s="15">
        <v>802.33</v>
      </c>
      <c r="J159" s="15">
        <v>570.88</v>
      </c>
      <c r="K159" s="15">
        <v>21.18</v>
      </c>
      <c r="L159" s="15">
        <v>570.88</v>
      </c>
      <c r="M159" s="15">
        <v>570.88</v>
      </c>
      <c r="N159" s="15">
        <v>570.88</v>
      </c>
      <c r="O159" t="s">
        <v>75</v>
      </c>
    </row>
    <row r="160" spans="1:15" x14ac:dyDescent="0.25">
      <c r="A160" s="10" t="s">
        <v>418</v>
      </c>
      <c r="B160" s="15">
        <v>128.32</v>
      </c>
      <c r="C160" s="15">
        <v>339.25</v>
      </c>
      <c r="D160" s="15">
        <v>194.71</v>
      </c>
      <c r="E160" s="15">
        <v>193.62</v>
      </c>
      <c r="F160" s="15">
        <v>365.88</v>
      </c>
      <c r="G160" s="15">
        <v>194.71</v>
      </c>
      <c r="H160" s="15">
        <v>129.81</v>
      </c>
      <c r="I160" s="15">
        <v>183.65</v>
      </c>
      <c r="J160" s="15">
        <v>194.71</v>
      </c>
      <c r="K160" s="15">
        <v>194.71</v>
      </c>
      <c r="L160" s="15">
        <v>194.71</v>
      </c>
      <c r="M160" s="15">
        <v>194.71</v>
      </c>
      <c r="N160" s="15">
        <v>201.61</v>
      </c>
      <c r="O160" t="s">
        <v>75</v>
      </c>
    </row>
    <row r="161" spans="1:15" x14ac:dyDescent="0.25">
      <c r="A161" s="10" t="s">
        <v>420</v>
      </c>
      <c r="B161" s="15">
        <v>0</v>
      </c>
      <c r="C161" s="15">
        <v>0</v>
      </c>
      <c r="D161" s="15">
        <v>0</v>
      </c>
      <c r="E161" s="15">
        <v>201.87</v>
      </c>
      <c r="F161" s="15">
        <v>569.4</v>
      </c>
      <c r="G161" s="15">
        <v>569.4</v>
      </c>
      <c r="H161" s="15">
        <v>569.4</v>
      </c>
      <c r="I161" s="15">
        <v>569.4</v>
      </c>
      <c r="J161" s="15">
        <v>569.4</v>
      </c>
      <c r="K161" s="15">
        <v>569.4</v>
      </c>
      <c r="L161" s="15">
        <v>768.05</v>
      </c>
      <c r="M161" s="15">
        <v>0</v>
      </c>
      <c r="N161" s="15">
        <v>334.63</v>
      </c>
      <c r="O161" t="s">
        <v>75</v>
      </c>
    </row>
    <row r="162" spans="1:15" x14ac:dyDescent="0.25">
      <c r="A162" s="10" t="s">
        <v>422</v>
      </c>
      <c r="B162" s="15">
        <v>513.01</v>
      </c>
      <c r="C162" s="15">
        <v>570.88</v>
      </c>
      <c r="D162" s="15">
        <v>570.88</v>
      </c>
      <c r="E162" s="15">
        <v>570.88</v>
      </c>
      <c r="F162" s="15">
        <v>570.88</v>
      </c>
      <c r="G162" s="15">
        <v>570.88</v>
      </c>
      <c r="H162" s="15">
        <v>570.88</v>
      </c>
      <c r="I162" s="15">
        <v>570.88</v>
      </c>
      <c r="J162" s="15">
        <v>1141.76</v>
      </c>
      <c r="K162" s="15">
        <v>230.76</v>
      </c>
      <c r="L162" s="15">
        <v>340.12</v>
      </c>
      <c r="M162" s="15">
        <v>570.88</v>
      </c>
      <c r="N162" s="15">
        <v>570.88</v>
      </c>
      <c r="O162" t="s">
        <v>75</v>
      </c>
    </row>
    <row r="163" spans="1:15" x14ac:dyDescent="0.25">
      <c r="A163" s="10" t="s">
        <v>424</v>
      </c>
      <c r="B163" s="15">
        <v>179.03</v>
      </c>
      <c r="C163" s="15">
        <v>329.7</v>
      </c>
      <c r="D163" s="15">
        <v>199</v>
      </c>
      <c r="E163" s="15">
        <v>294.12</v>
      </c>
      <c r="F163" s="15">
        <v>165.15</v>
      </c>
      <c r="G163" s="15">
        <v>165.15</v>
      </c>
      <c r="H163" s="15">
        <v>199</v>
      </c>
      <c r="I163" s="15">
        <v>199</v>
      </c>
      <c r="J163" s="15">
        <v>199</v>
      </c>
      <c r="K163" s="15">
        <v>199</v>
      </c>
      <c r="L163" s="15">
        <v>199</v>
      </c>
      <c r="M163" s="15">
        <v>199</v>
      </c>
      <c r="N163" s="15">
        <v>204.89</v>
      </c>
      <c r="O163" t="s">
        <v>75</v>
      </c>
    </row>
    <row r="164" spans="1:15" x14ac:dyDescent="0.25">
      <c r="A164" s="10" t="s">
        <v>426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294.75</v>
      </c>
      <c r="I164" s="15">
        <v>345.35</v>
      </c>
      <c r="J164" s="15">
        <v>362.55</v>
      </c>
      <c r="K164" s="15">
        <v>367.46</v>
      </c>
      <c r="L164" s="15">
        <v>428.62</v>
      </c>
      <c r="M164" s="15">
        <v>420.02</v>
      </c>
      <c r="N164" s="15">
        <v>176.49</v>
      </c>
      <c r="O164" t="s">
        <v>75</v>
      </c>
    </row>
    <row r="165" spans="1:15" x14ac:dyDescent="0.25">
      <c r="A165" s="10" t="s">
        <v>428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305.02999999999997</v>
      </c>
      <c r="I165" s="15">
        <v>508.39</v>
      </c>
      <c r="J165" s="15">
        <v>508.39</v>
      </c>
      <c r="K165" s="15">
        <v>508.39</v>
      </c>
      <c r="L165" s="15">
        <v>508.39</v>
      </c>
      <c r="M165" s="15">
        <v>625.44000000000005</v>
      </c>
      <c r="N165" s="15">
        <v>207.98</v>
      </c>
      <c r="O165" t="s">
        <v>75</v>
      </c>
    </row>
    <row r="166" spans="1:15" x14ac:dyDescent="0.25">
      <c r="A166" s="10" t="s">
        <v>430</v>
      </c>
      <c r="B166" s="15">
        <v>0</v>
      </c>
      <c r="C166" s="15">
        <v>151.78</v>
      </c>
      <c r="D166" s="15">
        <v>168.64</v>
      </c>
      <c r="E166" s="15">
        <v>168.64</v>
      </c>
      <c r="F166" s="15">
        <v>168.64</v>
      </c>
      <c r="G166" s="15">
        <v>168.64</v>
      </c>
      <c r="H166" s="15">
        <v>168.64</v>
      </c>
      <c r="I166" s="15">
        <v>168.01</v>
      </c>
      <c r="J166" s="15">
        <v>168.64</v>
      </c>
      <c r="K166" s="15">
        <v>168.69</v>
      </c>
      <c r="L166" s="15">
        <v>0</v>
      </c>
      <c r="M166" s="15">
        <v>0</v>
      </c>
      <c r="N166" s="15">
        <v>112.43</v>
      </c>
      <c r="O166" t="s">
        <v>75</v>
      </c>
    </row>
    <row r="167" spans="1:15" x14ac:dyDescent="0.25">
      <c r="A167" s="10" t="s">
        <v>432</v>
      </c>
      <c r="B167" s="15">
        <v>475.29</v>
      </c>
      <c r="C167" s="15">
        <v>570.88</v>
      </c>
      <c r="D167" s="15">
        <v>570.88</v>
      </c>
      <c r="E167" s="15">
        <v>570.88</v>
      </c>
      <c r="F167" s="15">
        <v>570.88</v>
      </c>
      <c r="G167" s="15">
        <v>570.88</v>
      </c>
      <c r="H167" s="15">
        <v>570.88</v>
      </c>
      <c r="I167" s="15">
        <v>570.88</v>
      </c>
      <c r="J167" s="15">
        <v>570.88</v>
      </c>
      <c r="K167" s="15">
        <v>570.88</v>
      </c>
      <c r="L167" s="15">
        <v>1141.76</v>
      </c>
      <c r="M167" s="15">
        <v>281.45999999999998</v>
      </c>
      <c r="N167" s="15">
        <v>570.88</v>
      </c>
      <c r="O167" t="s">
        <v>75</v>
      </c>
    </row>
    <row r="168" spans="1:15" x14ac:dyDescent="0.25">
      <c r="A168" s="10" t="s">
        <v>434</v>
      </c>
      <c r="B168" s="15">
        <v>97.37</v>
      </c>
      <c r="C168" s="15">
        <v>234.48</v>
      </c>
      <c r="D168" s="15">
        <v>199</v>
      </c>
      <c r="E168" s="15">
        <v>199</v>
      </c>
      <c r="F168" s="15">
        <v>199</v>
      </c>
      <c r="G168" s="15">
        <v>199</v>
      </c>
      <c r="H168" s="15">
        <v>199</v>
      </c>
      <c r="I168" s="15">
        <v>199</v>
      </c>
      <c r="J168" s="15">
        <v>199</v>
      </c>
      <c r="K168" s="15">
        <v>199</v>
      </c>
      <c r="L168" s="15">
        <v>199</v>
      </c>
      <c r="M168" s="15">
        <v>199</v>
      </c>
      <c r="N168" s="15">
        <v>200.8</v>
      </c>
      <c r="O168" t="s">
        <v>75</v>
      </c>
    </row>
    <row r="169" spans="1:15" x14ac:dyDescent="0.25">
      <c r="A169" s="10" t="s">
        <v>436</v>
      </c>
      <c r="B169" s="15">
        <v>179.03</v>
      </c>
      <c r="C169" s="15">
        <v>221.53</v>
      </c>
      <c r="D169" s="15">
        <v>194.71</v>
      </c>
      <c r="E169" s="15">
        <v>194.53</v>
      </c>
      <c r="F169" s="15">
        <v>194.46</v>
      </c>
      <c r="G169" s="15">
        <v>194.71</v>
      </c>
      <c r="H169" s="15">
        <v>271.88</v>
      </c>
      <c r="I169" s="15">
        <v>139.46</v>
      </c>
      <c r="J169" s="15">
        <v>271.88</v>
      </c>
      <c r="K169" s="15">
        <v>139.46</v>
      </c>
      <c r="L169" s="15">
        <v>194.71</v>
      </c>
      <c r="M169" s="15">
        <v>194.71</v>
      </c>
      <c r="N169" s="15">
        <v>196.94</v>
      </c>
      <c r="O169" t="s">
        <v>75</v>
      </c>
    </row>
    <row r="170" spans="1:15" x14ac:dyDescent="0.25">
      <c r="A170" s="10" t="s">
        <v>438</v>
      </c>
      <c r="B170" s="15">
        <v>81.47</v>
      </c>
      <c r="C170" s="15">
        <v>374.39</v>
      </c>
      <c r="D170" s="15">
        <v>153.31</v>
      </c>
      <c r="E170" s="15">
        <v>51.1</v>
      </c>
      <c r="F170" s="15">
        <v>217.08</v>
      </c>
      <c r="G170" s="15">
        <v>153.31</v>
      </c>
      <c r="H170" s="15">
        <v>110.18</v>
      </c>
      <c r="I170" s="15">
        <v>153.31</v>
      </c>
      <c r="J170" s="15">
        <v>153.31</v>
      </c>
      <c r="K170" s="15">
        <v>153.31</v>
      </c>
      <c r="L170" s="15">
        <v>153.31</v>
      </c>
      <c r="M170" s="15">
        <v>153.31</v>
      </c>
      <c r="N170" s="15">
        <v>159.78</v>
      </c>
      <c r="O170" t="s">
        <v>75</v>
      </c>
    </row>
    <row r="171" spans="1:15" x14ac:dyDescent="0.25">
      <c r="A171" s="10" t="s">
        <v>440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10.220000000000001</v>
      </c>
      <c r="O171" t="s">
        <v>75</v>
      </c>
    </row>
    <row r="172" spans="1:15" x14ac:dyDescent="0.25">
      <c r="A172" s="10" t="s">
        <v>442</v>
      </c>
      <c r="B172" s="15">
        <v>143.22</v>
      </c>
      <c r="C172" s="15">
        <v>153.91</v>
      </c>
      <c r="D172" s="15">
        <v>151.91999999999999</v>
      </c>
      <c r="E172" s="15">
        <v>507.78</v>
      </c>
      <c r="F172" s="15">
        <v>161.54</v>
      </c>
      <c r="G172" s="15">
        <v>172.6</v>
      </c>
      <c r="H172" s="15">
        <v>192.61</v>
      </c>
      <c r="I172" s="15">
        <v>193.21</v>
      </c>
      <c r="J172" s="15">
        <v>192.78</v>
      </c>
      <c r="K172" s="15">
        <v>367.97</v>
      </c>
      <c r="L172" s="15">
        <v>194.71</v>
      </c>
      <c r="M172" s="15">
        <v>117.83</v>
      </c>
      <c r="N172" s="15">
        <v>194.92</v>
      </c>
      <c r="O172" t="s">
        <v>75</v>
      </c>
    </row>
    <row r="173" spans="1:15" x14ac:dyDescent="0.25">
      <c r="A173" s="10" t="s">
        <v>446</v>
      </c>
      <c r="B173" s="15">
        <v>52.96</v>
      </c>
      <c r="C173" s="15">
        <v>21.51</v>
      </c>
      <c r="D173" s="15">
        <v>71.47</v>
      </c>
      <c r="E173" s="15">
        <v>71.47</v>
      </c>
      <c r="F173" s="15">
        <v>71.47</v>
      </c>
      <c r="G173" s="15">
        <v>71.47</v>
      </c>
      <c r="H173" s="15">
        <v>71.47</v>
      </c>
      <c r="I173" s="15">
        <v>71.47</v>
      </c>
      <c r="J173" s="15">
        <v>71.47</v>
      </c>
      <c r="K173" s="15">
        <v>71.47</v>
      </c>
      <c r="L173" s="15">
        <v>71.47</v>
      </c>
      <c r="M173" s="15">
        <v>135</v>
      </c>
      <c r="N173" s="15">
        <v>71.47</v>
      </c>
      <c r="O173" t="s">
        <v>75</v>
      </c>
    </row>
    <row r="174" spans="1:15" x14ac:dyDescent="0.25">
      <c r="A174" s="10" t="s">
        <v>448</v>
      </c>
      <c r="B174" s="15">
        <v>179.03</v>
      </c>
      <c r="C174" s="15">
        <v>199</v>
      </c>
      <c r="D174" s="15">
        <v>199</v>
      </c>
      <c r="E174" s="15">
        <v>199</v>
      </c>
      <c r="F174" s="15">
        <v>199</v>
      </c>
      <c r="G174" s="15">
        <v>524.83000000000004</v>
      </c>
      <c r="H174" s="15">
        <v>194.7</v>
      </c>
      <c r="I174" s="15">
        <v>0</v>
      </c>
      <c r="J174" s="15">
        <v>199</v>
      </c>
      <c r="K174" s="15">
        <v>199</v>
      </c>
      <c r="L174" s="15">
        <v>199</v>
      </c>
      <c r="M174" s="15">
        <v>199</v>
      </c>
      <c r="N174" s="15">
        <v>199</v>
      </c>
      <c r="O174" t="s">
        <v>75</v>
      </c>
    </row>
    <row r="175" spans="1:15" x14ac:dyDescent="0.25">
      <c r="A175" s="10" t="s">
        <v>450</v>
      </c>
      <c r="B175" s="15">
        <v>198.69</v>
      </c>
      <c r="C175" s="15">
        <v>95.54</v>
      </c>
      <c r="D175" s="15">
        <v>151.91999999999999</v>
      </c>
      <c r="E175" s="15">
        <v>151.91999999999999</v>
      </c>
      <c r="F175" s="15">
        <v>151.91999999999999</v>
      </c>
      <c r="G175" s="15">
        <v>242.57</v>
      </c>
      <c r="H175" s="15">
        <v>164.83</v>
      </c>
      <c r="I175" s="15">
        <v>92.37</v>
      </c>
      <c r="J175" s="15">
        <v>151.91999999999999</v>
      </c>
      <c r="K175" s="15">
        <v>171.29</v>
      </c>
      <c r="L175" s="15">
        <v>156.97999999999999</v>
      </c>
      <c r="M175" s="15">
        <v>151.91999999999999</v>
      </c>
      <c r="N175" s="15">
        <v>159.74</v>
      </c>
      <c r="O175" t="s">
        <v>75</v>
      </c>
    </row>
    <row r="176" spans="1:15" x14ac:dyDescent="0.25">
      <c r="A176" s="10" t="s">
        <v>452</v>
      </c>
      <c r="B176" s="15">
        <v>197.66</v>
      </c>
      <c r="C176" s="15">
        <v>87.61</v>
      </c>
      <c r="D176" s="15">
        <v>31.77</v>
      </c>
      <c r="E176" s="15">
        <v>54.87</v>
      </c>
      <c r="F176" s="15">
        <v>86.63</v>
      </c>
      <c r="G176" s="15">
        <v>86.63</v>
      </c>
      <c r="H176" s="15">
        <v>86.63</v>
      </c>
      <c r="I176" s="15">
        <v>86.63</v>
      </c>
      <c r="J176" s="15">
        <v>86.63</v>
      </c>
      <c r="K176" s="15">
        <v>86.63</v>
      </c>
      <c r="L176" s="15">
        <v>86.63</v>
      </c>
      <c r="M176" s="15">
        <v>196.72</v>
      </c>
      <c r="N176" s="15">
        <v>94.07</v>
      </c>
      <c r="O176" t="s">
        <v>75</v>
      </c>
    </row>
    <row r="177" spans="1:15" x14ac:dyDescent="0.25">
      <c r="A177" s="10" t="s">
        <v>454</v>
      </c>
      <c r="B177" s="15">
        <v>26.25</v>
      </c>
      <c r="C177" s="15">
        <v>187.64</v>
      </c>
      <c r="D177" s="15">
        <v>186.92</v>
      </c>
      <c r="E177" s="15">
        <v>186.44</v>
      </c>
      <c r="F177" s="15">
        <v>175.23</v>
      </c>
      <c r="G177" s="15">
        <v>186.92</v>
      </c>
      <c r="H177" s="15">
        <v>175.96</v>
      </c>
      <c r="I177" s="15">
        <v>175.23</v>
      </c>
      <c r="J177" s="15">
        <v>175.23</v>
      </c>
      <c r="K177" s="15">
        <v>175.23</v>
      </c>
      <c r="L177" s="15">
        <v>194.71</v>
      </c>
      <c r="M177" s="15">
        <v>286.66000000000003</v>
      </c>
      <c r="N177" s="15">
        <v>200.57</v>
      </c>
      <c r="O177" t="s">
        <v>75</v>
      </c>
    </row>
    <row r="178" spans="1:15" x14ac:dyDescent="0.25">
      <c r="A178" s="10" t="s">
        <v>456</v>
      </c>
      <c r="B178" s="15">
        <v>183.27</v>
      </c>
      <c r="C178" s="15">
        <v>175.23</v>
      </c>
      <c r="D178" s="15">
        <v>187.64</v>
      </c>
      <c r="E178" s="15">
        <v>175.23</v>
      </c>
      <c r="F178" s="15">
        <v>187.64</v>
      </c>
      <c r="G178" s="15">
        <v>187.64</v>
      </c>
      <c r="H178" s="15">
        <v>198.6</v>
      </c>
      <c r="I178" s="15">
        <v>175.13</v>
      </c>
      <c r="J178" s="15">
        <v>174.88</v>
      </c>
      <c r="K178" s="15">
        <v>222.69</v>
      </c>
      <c r="L178" s="15">
        <v>486.39</v>
      </c>
      <c r="M178" s="15">
        <v>187.64</v>
      </c>
      <c r="N178" s="15">
        <v>188.55</v>
      </c>
      <c r="O178" t="s">
        <v>75</v>
      </c>
    </row>
    <row r="179" spans="1:15" x14ac:dyDescent="0.25">
      <c r="A179" s="10" t="s">
        <v>458</v>
      </c>
      <c r="B179" s="15">
        <v>513.01</v>
      </c>
      <c r="C179" s="15">
        <v>570.88</v>
      </c>
      <c r="D179" s="15">
        <v>570.88</v>
      </c>
      <c r="E179" s="15">
        <v>570.88</v>
      </c>
      <c r="F179" s="15">
        <v>570.88</v>
      </c>
      <c r="G179" s="15">
        <v>570.88</v>
      </c>
      <c r="H179" s="15">
        <v>570.88</v>
      </c>
      <c r="I179" s="15">
        <v>570.88</v>
      </c>
      <c r="J179" s="15">
        <v>570.88</v>
      </c>
      <c r="K179" s="15">
        <v>570.88</v>
      </c>
      <c r="L179" s="15">
        <v>1141.76</v>
      </c>
      <c r="M179" s="15">
        <v>570.88</v>
      </c>
      <c r="N179" s="15">
        <v>598.38</v>
      </c>
      <c r="O179" t="s">
        <v>75</v>
      </c>
    </row>
    <row r="180" spans="1:15" x14ac:dyDescent="0.25">
      <c r="A180" s="10" t="s">
        <v>460</v>
      </c>
      <c r="B180" s="15">
        <v>172.53</v>
      </c>
      <c r="C180" s="15">
        <v>175.96</v>
      </c>
      <c r="D180" s="15">
        <v>186.92</v>
      </c>
      <c r="E180" s="15">
        <v>480.79</v>
      </c>
      <c r="F180" s="15">
        <v>175.23</v>
      </c>
      <c r="G180" s="15">
        <v>0</v>
      </c>
      <c r="H180" s="15">
        <v>175.23</v>
      </c>
      <c r="I180" s="15">
        <v>109.03</v>
      </c>
      <c r="J180" s="15">
        <v>0</v>
      </c>
      <c r="K180" s="15">
        <v>0</v>
      </c>
      <c r="L180" s="15">
        <v>0</v>
      </c>
      <c r="M180" s="15">
        <v>0</v>
      </c>
      <c r="N180" s="15">
        <v>92.85</v>
      </c>
      <c r="O180" t="s">
        <v>75</v>
      </c>
    </row>
    <row r="181" spans="1:15" x14ac:dyDescent="0.25">
      <c r="A181" s="10" t="s">
        <v>462</v>
      </c>
      <c r="B181" s="15">
        <v>262.58</v>
      </c>
      <c r="C181" s="15">
        <v>301.87</v>
      </c>
      <c r="D181" s="15">
        <v>516.80999999999995</v>
      </c>
      <c r="E181" s="15">
        <v>288.57</v>
      </c>
      <c r="F181" s="15">
        <v>143.07</v>
      </c>
      <c r="G181" s="15">
        <v>288.57</v>
      </c>
      <c r="H181" s="15">
        <v>288.57</v>
      </c>
      <c r="I181" s="15">
        <v>288.57</v>
      </c>
      <c r="J181" s="15">
        <v>288.57</v>
      </c>
      <c r="K181" s="15">
        <v>288.57</v>
      </c>
      <c r="L181" s="15">
        <v>288.57</v>
      </c>
      <c r="M181" s="15">
        <v>288.57</v>
      </c>
      <c r="N181" s="15">
        <v>295.5</v>
      </c>
      <c r="O181" t="s">
        <v>75</v>
      </c>
    </row>
    <row r="182" spans="1:15" x14ac:dyDescent="0.25">
      <c r="A182" s="10" t="s">
        <v>469</v>
      </c>
      <c r="B182" s="15">
        <v>172.94</v>
      </c>
      <c r="C182" s="15">
        <v>183.82</v>
      </c>
      <c r="D182" s="15">
        <v>180.24</v>
      </c>
      <c r="E182" s="15">
        <v>183.12</v>
      </c>
      <c r="F182" s="15">
        <v>422.19</v>
      </c>
      <c r="G182" s="15">
        <v>183.82</v>
      </c>
      <c r="H182" s="15">
        <v>55.15</v>
      </c>
      <c r="I182" s="15">
        <v>136.84</v>
      </c>
      <c r="J182" s="15">
        <v>183.82</v>
      </c>
      <c r="K182" s="15">
        <v>182.33</v>
      </c>
      <c r="L182" s="15">
        <v>182.84</v>
      </c>
      <c r="M182" s="15">
        <v>181.77</v>
      </c>
      <c r="N182" s="15">
        <v>183.94</v>
      </c>
      <c r="O182" t="s">
        <v>75</v>
      </c>
    </row>
    <row r="183" spans="1:15" x14ac:dyDescent="0.25">
      <c r="A183" s="10" t="s">
        <v>471</v>
      </c>
      <c r="B183" s="15">
        <v>178.53</v>
      </c>
      <c r="C183" s="15">
        <v>146.4</v>
      </c>
      <c r="D183" s="15">
        <v>199</v>
      </c>
      <c r="E183" s="15">
        <v>199</v>
      </c>
      <c r="F183" s="15">
        <v>199</v>
      </c>
      <c r="G183" s="15">
        <v>199</v>
      </c>
      <c r="H183" s="15">
        <v>364.04</v>
      </c>
      <c r="I183" s="15">
        <v>190.95</v>
      </c>
      <c r="J183" s="15">
        <v>115.97</v>
      </c>
      <c r="K183" s="15">
        <v>199</v>
      </c>
      <c r="L183" s="15">
        <v>199</v>
      </c>
      <c r="M183" s="15">
        <v>123.82</v>
      </c>
      <c r="N183" s="15">
        <v>182.41</v>
      </c>
      <c r="O183" t="s">
        <v>75</v>
      </c>
    </row>
    <row r="184" spans="1:15" x14ac:dyDescent="0.25">
      <c r="A184" s="10" t="s">
        <v>473</v>
      </c>
      <c r="B184" s="15">
        <v>0</v>
      </c>
      <c r="C184" s="15">
        <v>0</v>
      </c>
      <c r="D184" s="15">
        <v>81.7</v>
      </c>
      <c r="E184" s="15">
        <v>183.82</v>
      </c>
      <c r="F184" s="15">
        <v>198.34</v>
      </c>
      <c r="G184" s="15">
        <v>183.82</v>
      </c>
      <c r="H184" s="15">
        <v>183.82</v>
      </c>
      <c r="I184" s="15">
        <v>183.82</v>
      </c>
      <c r="J184" s="15">
        <v>183.82</v>
      </c>
      <c r="K184" s="15">
        <v>183.82</v>
      </c>
      <c r="L184" s="15">
        <v>183.82</v>
      </c>
      <c r="M184" s="15">
        <v>183.82</v>
      </c>
      <c r="N184" s="15">
        <v>154.38999999999999</v>
      </c>
      <c r="O184" t="s">
        <v>75</v>
      </c>
    </row>
    <row r="185" spans="1:15" x14ac:dyDescent="0.25">
      <c r="A185" s="10" t="s">
        <v>475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646.74</v>
      </c>
      <c r="N185" s="15">
        <v>94.84</v>
      </c>
      <c r="O185" t="s">
        <v>75</v>
      </c>
    </row>
    <row r="186" spans="1:15" x14ac:dyDescent="0.25">
      <c r="A186" s="10" t="s">
        <v>477</v>
      </c>
      <c r="B186" s="15">
        <v>335.43</v>
      </c>
      <c r="C186" s="15">
        <v>227</v>
      </c>
      <c r="D186" s="15">
        <v>67.400000000000006</v>
      </c>
      <c r="E186" s="15">
        <v>178.6</v>
      </c>
      <c r="F186" s="15">
        <v>233.42</v>
      </c>
      <c r="G186" s="15">
        <v>183.82</v>
      </c>
      <c r="H186" s="15">
        <v>183.82</v>
      </c>
      <c r="I186" s="15">
        <v>256.44</v>
      </c>
      <c r="J186" s="15">
        <v>183.82</v>
      </c>
      <c r="K186" s="15">
        <v>131.62</v>
      </c>
      <c r="L186" s="15">
        <v>183.82</v>
      </c>
      <c r="M186" s="15">
        <v>183.82</v>
      </c>
      <c r="N186" s="15">
        <v>191.55</v>
      </c>
      <c r="O186" t="s">
        <v>75</v>
      </c>
    </row>
    <row r="187" spans="1:15" x14ac:dyDescent="0.25">
      <c r="A187" s="10" t="s">
        <v>479</v>
      </c>
      <c r="B187" s="15">
        <v>171.87</v>
      </c>
      <c r="C187" s="15">
        <v>178.85</v>
      </c>
      <c r="D187" s="15">
        <v>187.64</v>
      </c>
      <c r="E187" s="15">
        <v>175.23</v>
      </c>
      <c r="F187" s="15">
        <v>283.67</v>
      </c>
      <c r="G187" s="15">
        <v>112.63</v>
      </c>
      <c r="H187" s="15">
        <v>282.58999999999997</v>
      </c>
      <c r="I187" s="15">
        <v>175.23</v>
      </c>
      <c r="J187" s="15">
        <v>100.95</v>
      </c>
      <c r="K187" s="15">
        <v>198.6</v>
      </c>
      <c r="L187" s="15">
        <v>175.23</v>
      </c>
      <c r="M187" s="15">
        <v>186.92</v>
      </c>
      <c r="N187" s="15">
        <v>181.48</v>
      </c>
      <c r="O187" t="s">
        <v>75</v>
      </c>
    </row>
    <row r="188" spans="1:15" x14ac:dyDescent="0.25">
      <c r="A188" s="10" t="s">
        <v>481</v>
      </c>
      <c r="B188" s="15">
        <v>341.89</v>
      </c>
      <c r="C188" s="15">
        <v>499.94</v>
      </c>
      <c r="D188" s="15">
        <v>364.42</v>
      </c>
      <c r="E188" s="15">
        <v>364.42</v>
      </c>
      <c r="F188" s="15">
        <v>364.42</v>
      </c>
      <c r="G188" s="15">
        <v>364.42</v>
      </c>
      <c r="H188" s="15">
        <v>364.42</v>
      </c>
      <c r="I188" s="15">
        <v>364.42</v>
      </c>
      <c r="J188" s="15">
        <v>364.42</v>
      </c>
      <c r="K188" s="15">
        <v>364.42</v>
      </c>
      <c r="L188" s="15">
        <v>364.42</v>
      </c>
      <c r="M188" s="15">
        <v>364.42</v>
      </c>
      <c r="N188" s="15">
        <v>375.72</v>
      </c>
      <c r="O188" t="s">
        <v>75</v>
      </c>
    </row>
    <row r="189" spans="1:15" x14ac:dyDescent="0.25">
      <c r="A189" s="10" t="s">
        <v>483</v>
      </c>
      <c r="B189" s="15">
        <v>724.45</v>
      </c>
      <c r="C189" s="15">
        <v>570.88</v>
      </c>
      <c r="D189" s="15">
        <v>359.44</v>
      </c>
      <c r="E189" s="15">
        <v>570.88</v>
      </c>
      <c r="F189" s="15">
        <v>570.88</v>
      </c>
      <c r="G189" s="15">
        <v>570.88</v>
      </c>
      <c r="H189" s="15">
        <v>782.32</v>
      </c>
      <c r="I189" s="15">
        <v>359.44</v>
      </c>
      <c r="J189" s="15">
        <v>570.88</v>
      </c>
      <c r="K189" s="15">
        <v>570.88</v>
      </c>
      <c r="L189" s="15">
        <v>570.88</v>
      </c>
      <c r="M189" s="15">
        <v>570.88</v>
      </c>
      <c r="N189" s="15">
        <v>570.88</v>
      </c>
      <c r="O189" t="s">
        <v>75</v>
      </c>
    </row>
    <row r="190" spans="1:15" x14ac:dyDescent="0.25">
      <c r="A190" s="10" t="s">
        <v>485</v>
      </c>
      <c r="B190" s="15">
        <v>344.21</v>
      </c>
      <c r="C190" s="15">
        <v>508.71</v>
      </c>
      <c r="D190" s="15">
        <v>508.39</v>
      </c>
      <c r="E190" s="15">
        <v>508.39</v>
      </c>
      <c r="F190" s="15">
        <v>508.39</v>
      </c>
      <c r="G190" s="15">
        <v>508.39</v>
      </c>
      <c r="H190" s="15">
        <v>693.27</v>
      </c>
      <c r="I190" s="15">
        <v>508.39</v>
      </c>
      <c r="J190" s="15">
        <v>380.01</v>
      </c>
      <c r="K190" s="15">
        <v>508.39</v>
      </c>
      <c r="L190" s="15">
        <v>693.27</v>
      </c>
      <c r="M190" s="15">
        <v>508.39</v>
      </c>
      <c r="N190" s="15">
        <v>508.42</v>
      </c>
      <c r="O190" t="s">
        <v>75</v>
      </c>
    </row>
    <row r="191" spans="1:15" x14ac:dyDescent="0.25">
      <c r="A191" s="10" t="s">
        <v>487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13.22</v>
      </c>
      <c r="K191" s="15">
        <v>49.59</v>
      </c>
      <c r="L191" s="15">
        <v>49.59</v>
      </c>
      <c r="M191" s="15">
        <v>49.59</v>
      </c>
      <c r="N191" s="15">
        <v>16.53</v>
      </c>
      <c r="O191" t="s">
        <v>75</v>
      </c>
    </row>
    <row r="192" spans="1:15" x14ac:dyDescent="0.25">
      <c r="A192" s="10" t="s">
        <v>489</v>
      </c>
      <c r="B192" s="15">
        <v>331.95</v>
      </c>
      <c r="C192" s="15">
        <v>535.35</v>
      </c>
      <c r="D192" s="15">
        <v>494.77</v>
      </c>
      <c r="E192" s="15">
        <v>879.97</v>
      </c>
      <c r="F192" s="15">
        <v>359.02</v>
      </c>
      <c r="G192" s="15">
        <v>376.21</v>
      </c>
      <c r="H192" s="15">
        <v>570.88</v>
      </c>
      <c r="I192" s="15">
        <v>494.77</v>
      </c>
      <c r="J192" s="15">
        <v>570.88</v>
      </c>
      <c r="K192" s="15">
        <v>494.77</v>
      </c>
      <c r="L192" s="15">
        <v>494.77</v>
      </c>
      <c r="M192" s="15">
        <v>920.97</v>
      </c>
      <c r="N192" s="15">
        <v>540.54</v>
      </c>
      <c r="O192" t="s">
        <v>75</v>
      </c>
    </row>
    <row r="193" spans="1:15" x14ac:dyDescent="0.25">
      <c r="A193" s="10" t="s">
        <v>491</v>
      </c>
      <c r="B193" s="15">
        <v>179.02</v>
      </c>
      <c r="C193" s="15">
        <v>152.88999999999999</v>
      </c>
      <c r="D193" s="15">
        <v>199</v>
      </c>
      <c r="E193" s="15">
        <v>199</v>
      </c>
      <c r="F193" s="15">
        <v>218.2</v>
      </c>
      <c r="G193" s="15">
        <v>199</v>
      </c>
      <c r="H193" s="15">
        <v>451.55</v>
      </c>
      <c r="I193" s="15">
        <v>125.54</v>
      </c>
      <c r="J193" s="15">
        <v>82.31</v>
      </c>
      <c r="K193" s="15">
        <v>199</v>
      </c>
      <c r="L193" s="15">
        <v>199</v>
      </c>
      <c r="M193" s="15">
        <v>199</v>
      </c>
      <c r="N193" s="15">
        <v>200.6</v>
      </c>
      <c r="O193" t="s">
        <v>75</v>
      </c>
    </row>
    <row r="194" spans="1:15" x14ac:dyDescent="0.25">
      <c r="A194" s="10" t="s">
        <v>493</v>
      </c>
      <c r="B194" s="15">
        <v>179.03</v>
      </c>
      <c r="C194" s="15">
        <v>247.33</v>
      </c>
      <c r="D194" s="15">
        <v>456.43</v>
      </c>
      <c r="E194" s="15">
        <v>294.75</v>
      </c>
      <c r="F194" s="15">
        <v>294.75</v>
      </c>
      <c r="G194" s="15">
        <v>409.07</v>
      </c>
      <c r="H194" s="15">
        <v>294.75</v>
      </c>
      <c r="I194" s="15">
        <v>219.73</v>
      </c>
      <c r="J194" s="15">
        <v>294.75</v>
      </c>
      <c r="K194" s="15">
        <v>294.75</v>
      </c>
      <c r="L194" s="15">
        <v>294.75</v>
      </c>
      <c r="M194" s="15">
        <v>294.75</v>
      </c>
      <c r="N194" s="15">
        <v>298.14999999999998</v>
      </c>
      <c r="O194" t="s">
        <v>75</v>
      </c>
    </row>
    <row r="195" spans="1:15" x14ac:dyDescent="0.25">
      <c r="A195" s="10" t="s">
        <v>495</v>
      </c>
      <c r="B195" s="15">
        <v>273.51</v>
      </c>
      <c r="C195" s="15">
        <v>554.71</v>
      </c>
      <c r="D195" s="15">
        <v>233.45</v>
      </c>
      <c r="E195" s="15">
        <v>294.75</v>
      </c>
      <c r="F195" s="15">
        <v>305.73</v>
      </c>
      <c r="G195" s="15">
        <v>294.75</v>
      </c>
      <c r="H195" s="15">
        <v>294.75</v>
      </c>
      <c r="I195" s="15">
        <v>294.75</v>
      </c>
      <c r="J195" s="15">
        <v>294.75</v>
      </c>
      <c r="K195" s="15">
        <v>394.37</v>
      </c>
      <c r="L195" s="15">
        <v>233.86</v>
      </c>
      <c r="M195" s="15">
        <v>294.75</v>
      </c>
      <c r="N195" s="15">
        <v>309.12</v>
      </c>
      <c r="O195" t="s">
        <v>75</v>
      </c>
    </row>
    <row r="196" spans="1:15" x14ac:dyDescent="0.25">
      <c r="A196" s="10" t="s">
        <v>497</v>
      </c>
      <c r="B196" s="15">
        <v>163.21</v>
      </c>
      <c r="C196" s="15">
        <v>213.76</v>
      </c>
      <c r="D196" s="15">
        <v>183.82</v>
      </c>
      <c r="E196" s="15">
        <v>183.82</v>
      </c>
      <c r="F196" s="15">
        <v>213.65</v>
      </c>
      <c r="G196" s="15">
        <v>183.82</v>
      </c>
      <c r="H196" s="15">
        <v>183.82</v>
      </c>
      <c r="I196" s="15">
        <v>183.82</v>
      </c>
      <c r="J196" s="15">
        <v>183.82</v>
      </c>
      <c r="K196" s="15">
        <v>183.82</v>
      </c>
      <c r="L196" s="15">
        <v>293.95</v>
      </c>
      <c r="M196" s="15">
        <v>183.82</v>
      </c>
      <c r="N196" s="15">
        <v>188.8</v>
      </c>
      <c r="O196" t="s">
        <v>75</v>
      </c>
    </row>
    <row r="197" spans="1:15" x14ac:dyDescent="0.25">
      <c r="A197" s="10" t="s">
        <v>499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570.88</v>
      </c>
      <c r="L197" s="15">
        <v>570.88</v>
      </c>
      <c r="M197" s="15">
        <v>570.88</v>
      </c>
      <c r="N197" s="15">
        <v>217.25</v>
      </c>
      <c r="O197" t="s">
        <v>75</v>
      </c>
    </row>
    <row r="198" spans="1:15" x14ac:dyDescent="0.25">
      <c r="A198" s="10" t="s">
        <v>501</v>
      </c>
      <c r="B198" s="15">
        <v>179.03</v>
      </c>
      <c r="C198" s="15">
        <v>191.04</v>
      </c>
      <c r="D198" s="15">
        <v>193.09</v>
      </c>
      <c r="E198" s="15">
        <v>199</v>
      </c>
      <c r="F198" s="15">
        <v>187.54</v>
      </c>
      <c r="G198" s="15">
        <v>205.63</v>
      </c>
      <c r="H198" s="15">
        <v>199</v>
      </c>
      <c r="I198" s="15">
        <v>461.13</v>
      </c>
      <c r="J198" s="15">
        <v>122.6</v>
      </c>
      <c r="K198" s="15">
        <v>120.38</v>
      </c>
      <c r="L198" s="15">
        <v>199</v>
      </c>
      <c r="M198" s="15">
        <v>179.1</v>
      </c>
      <c r="N198" s="15">
        <v>199</v>
      </c>
      <c r="O198" t="s">
        <v>75</v>
      </c>
    </row>
    <row r="199" spans="1:15" x14ac:dyDescent="0.25">
      <c r="A199" s="10" t="s">
        <v>503</v>
      </c>
      <c r="B199" s="15">
        <v>0</v>
      </c>
      <c r="C199" s="15">
        <v>570.88</v>
      </c>
      <c r="D199" s="15">
        <v>570.88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  <c r="O199" t="s">
        <v>75</v>
      </c>
    </row>
    <row r="200" spans="1:15" x14ac:dyDescent="0.25">
      <c r="A200" s="10" t="s">
        <v>505</v>
      </c>
      <c r="B200" s="15">
        <v>513.01</v>
      </c>
      <c r="C200" s="15">
        <v>969.36</v>
      </c>
      <c r="D200" s="15">
        <v>172.4</v>
      </c>
      <c r="E200" s="15">
        <v>570.88</v>
      </c>
      <c r="F200" s="15">
        <v>570.88</v>
      </c>
      <c r="G200" s="15">
        <v>570.88</v>
      </c>
      <c r="H200" s="15">
        <v>570.88</v>
      </c>
      <c r="I200" s="15">
        <v>570.88</v>
      </c>
      <c r="J200" s="15">
        <v>570.88</v>
      </c>
      <c r="K200" s="15">
        <v>967.49</v>
      </c>
      <c r="L200" s="15">
        <v>570.88</v>
      </c>
      <c r="M200" s="15">
        <v>174.27</v>
      </c>
      <c r="N200" s="15">
        <v>570.88</v>
      </c>
      <c r="O200" t="s">
        <v>75</v>
      </c>
    </row>
    <row r="201" spans="1:15" x14ac:dyDescent="0.25">
      <c r="A201" s="10" t="s">
        <v>507</v>
      </c>
      <c r="B201" s="15">
        <v>125.93</v>
      </c>
      <c r="C201" s="15">
        <v>233.28</v>
      </c>
      <c r="D201" s="15">
        <v>229.35</v>
      </c>
      <c r="E201" s="15">
        <v>229.35</v>
      </c>
      <c r="F201" s="15">
        <v>224.16</v>
      </c>
      <c r="G201" s="15">
        <v>229.35</v>
      </c>
      <c r="H201" s="15">
        <v>228.61</v>
      </c>
      <c r="I201" s="15">
        <v>229.35</v>
      </c>
      <c r="J201" s="15">
        <v>229.35</v>
      </c>
      <c r="K201" s="15">
        <v>229.35</v>
      </c>
      <c r="L201" s="15">
        <v>593.29</v>
      </c>
      <c r="M201" s="15">
        <v>229.16</v>
      </c>
      <c r="N201" s="15">
        <v>229.68</v>
      </c>
      <c r="O201" t="s">
        <v>75</v>
      </c>
    </row>
    <row r="202" spans="1:15" x14ac:dyDescent="0.25">
      <c r="A202" s="10" t="s">
        <v>509</v>
      </c>
      <c r="B202" s="15">
        <v>0</v>
      </c>
      <c r="C202" s="15">
        <v>147.85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12.63</v>
      </c>
      <c r="O202" t="s">
        <v>75</v>
      </c>
    </row>
    <row r="203" spans="1:15" x14ac:dyDescent="0.25">
      <c r="A203" s="10" t="s">
        <v>511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73.59</v>
      </c>
      <c r="J203" s="15">
        <v>122.65</v>
      </c>
      <c r="K203" s="15">
        <v>174.77</v>
      </c>
      <c r="L203" s="15">
        <v>148.62</v>
      </c>
      <c r="M203" s="15">
        <v>158.55000000000001</v>
      </c>
      <c r="N203" s="15">
        <v>67.37</v>
      </c>
      <c r="O203" t="s">
        <v>75</v>
      </c>
    </row>
    <row r="204" spans="1:15" x14ac:dyDescent="0.25">
      <c r="A204" s="10" t="s">
        <v>513</v>
      </c>
      <c r="B204" s="15">
        <v>5.08</v>
      </c>
      <c r="C204" s="15">
        <v>94.12</v>
      </c>
      <c r="D204" s="15">
        <v>85.84</v>
      </c>
      <c r="E204" s="15">
        <v>85.84</v>
      </c>
      <c r="F204" s="15">
        <v>85.84</v>
      </c>
      <c r="G204" s="15">
        <v>85.84</v>
      </c>
      <c r="H204" s="15">
        <v>85.84</v>
      </c>
      <c r="I204" s="15">
        <v>85.84</v>
      </c>
      <c r="J204" s="15">
        <v>84.79</v>
      </c>
      <c r="K204" s="15">
        <v>85.84</v>
      </c>
      <c r="L204" s="15">
        <v>219.53</v>
      </c>
      <c r="M204" s="15">
        <v>85.84</v>
      </c>
      <c r="N204" s="15">
        <v>88.38</v>
      </c>
      <c r="O204" t="s">
        <v>75</v>
      </c>
    </row>
    <row r="205" spans="1:15" x14ac:dyDescent="0.25">
      <c r="A205" s="10" t="s">
        <v>518</v>
      </c>
      <c r="B205" s="15">
        <v>285.12</v>
      </c>
      <c r="C205" s="15">
        <v>154.49</v>
      </c>
      <c r="D205" s="15">
        <v>167.07</v>
      </c>
      <c r="E205" s="15">
        <v>194.71</v>
      </c>
      <c r="F205" s="15">
        <v>194.71</v>
      </c>
      <c r="G205" s="15">
        <v>194.71</v>
      </c>
      <c r="H205" s="15">
        <v>310.08999999999997</v>
      </c>
      <c r="I205" s="15">
        <v>194.71</v>
      </c>
      <c r="J205" s="15">
        <v>111.78</v>
      </c>
      <c r="K205" s="15">
        <v>194.71</v>
      </c>
      <c r="L205" s="15">
        <v>194.71</v>
      </c>
      <c r="M205" s="15">
        <v>194.71</v>
      </c>
      <c r="N205" s="15">
        <v>194.9</v>
      </c>
      <c r="O205" t="s">
        <v>75</v>
      </c>
    </row>
    <row r="206" spans="1:15" x14ac:dyDescent="0.25">
      <c r="A206" s="10" t="s">
        <v>520</v>
      </c>
      <c r="B206" s="15">
        <v>250.01</v>
      </c>
      <c r="C206" s="15">
        <v>258.93</v>
      </c>
      <c r="D206" s="15">
        <v>194.71</v>
      </c>
      <c r="E206" s="15">
        <v>194.71</v>
      </c>
      <c r="F206" s="15">
        <v>194.71</v>
      </c>
      <c r="G206" s="15">
        <v>194.71</v>
      </c>
      <c r="H206" s="15">
        <v>194.71</v>
      </c>
      <c r="I206" s="15">
        <v>194.71</v>
      </c>
      <c r="J206" s="15">
        <v>194.71</v>
      </c>
      <c r="K206" s="15">
        <v>271.91000000000003</v>
      </c>
      <c r="L206" s="15">
        <v>139.44999999999999</v>
      </c>
      <c r="M206" s="15">
        <v>194.71</v>
      </c>
      <c r="N206" s="15">
        <v>199.14</v>
      </c>
      <c r="O206" t="s">
        <v>75</v>
      </c>
    </row>
    <row r="207" spans="1:15" x14ac:dyDescent="0.25">
      <c r="A207" s="10" t="s">
        <v>522</v>
      </c>
      <c r="B207" s="15">
        <v>0</v>
      </c>
      <c r="C207" s="15">
        <v>0</v>
      </c>
      <c r="D207" s="15">
        <v>0</v>
      </c>
      <c r="E207" s="15">
        <v>68.14</v>
      </c>
      <c r="F207" s="15">
        <v>153.31</v>
      </c>
      <c r="G207" s="15">
        <v>153.31</v>
      </c>
      <c r="H207" s="15">
        <v>153.31</v>
      </c>
      <c r="I207" s="15">
        <v>153.31</v>
      </c>
      <c r="J207" s="15">
        <v>153.31</v>
      </c>
      <c r="K207" s="15">
        <v>153.31</v>
      </c>
      <c r="L207" s="15">
        <v>153.31</v>
      </c>
      <c r="M207" s="15">
        <v>153.31</v>
      </c>
      <c r="N207" s="15">
        <v>113.56</v>
      </c>
      <c r="O207" t="s">
        <v>75</v>
      </c>
    </row>
    <row r="208" spans="1:15" x14ac:dyDescent="0.25">
      <c r="A208" s="10" t="s">
        <v>524</v>
      </c>
      <c r="B208" s="15">
        <v>255.09</v>
      </c>
      <c r="C208" s="15">
        <v>570.88</v>
      </c>
      <c r="D208" s="15">
        <v>570.88</v>
      </c>
      <c r="E208" s="15">
        <v>570.88</v>
      </c>
      <c r="F208" s="15">
        <v>570.88</v>
      </c>
      <c r="G208" s="15">
        <v>1093.3599999999999</v>
      </c>
      <c r="H208" s="15">
        <v>490.5</v>
      </c>
      <c r="I208" s="15">
        <v>128.78</v>
      </c>
      <c r="J208" s="15">
        <v>570.88</v>
      </c>
      <c r="K208" s="15">
        <v>570.88</v>
      </c>
      <c r="L208" s="15">
        <v>796.95</v>
      </c>
      <c r="M208" s="15">
        <v>570.88</v>
      </c>
      <c r="N208" s="15">
        <v>570.88</v>
      </c>
      <c r="O208" t="s">
        <v>75</v>
      </c>
    </row>
    <row r="209" spans="1:15" x14ac:dyDescent="0.25">
      <c r="A209" s="10" t="s">
        <v>526</v>
      </c>
      <c r="B209" s="15">
        <v>128.19999999999999</v>
      </c>
      <c r="C209" s="15">
        <v>200.17</v>
      </c>
      <c r="D209" s="15">
        <v>199</v>
      </c>
      <c r="E209" s="15">
        <v>199</v>
      </c>
      <c r="F209" s="15">
        <v>277.61</v>
      </c>
      <c r="G209" s="15">
        <v>142.5</v>
      </c>
      <c r="H209" s="15">
        <v>199</v>
      </c>
      <c r="I209" s="15">
        <v>198.95</v>
      </c>
      <c r="J209" s="15">
        <v>198.67</v>
      </c>
      <c r="K209" s="15">
        <v>199</v>
      </c>
      <c r="L209" s="15">
        <v>199</v>
      </c>
      <c r="M209" s="15">
        <v>199</v>
      </c>
      <c r="N209" s="15">
        <v>199.09</v>
      </c>
      <c r="O209" t="s">
        <v>75</v>
      </c>
    </row>
    <row r="210" spans="1:15" x14ac:dyDescent="0.25">
      <c r="A210" s="10" t="s">
        <v>528</v>
      </c>
      <c r="B210" s="15">
        <v>513.01</v>
      </c>
      <c r="C210" s="15">
        <v>88.51</v>
      </c>
      <c r="D210" s="15">
        <v>570.88</v>
      </c>
      <c r="E210" s="15">
        <v>570.88</v>
      </c>
      <c r="F210" s="15">
        <v>570.88</v>
      </c>
      <c r="G210" s="15">
        <v>570.88</v>
      </c>
      <c r="H210" s="15">
        <v>570.88</v>
      </c>
      <c r="I210" s="15">
        <v>1141.76</v>
      </c>
      <c r="J210" s="15">
        <v>544.71</v>
      </c>
      <c r="K210" s="15">
        <v>217.78</v>
      </c>
      <c r="L210" s="15">
        <v>0</v>
      </c>
      <c r="M210" s="15">
        <v>0</v>
      </c>
      <c r="N210" s="15">
        <v>570.88</v>
      </c>
      <c r="O210" t="s">
        <v>75</v>
      </c>
    </row>
    <row r="211" spans="1:15" x14ac:dyDescent="0.25">
      <c r="A211" s="10" t="s">
        <v>530</v>
      </c>
      <c r="B211" s="15">
        <v>513.01</v>
      </c>
      <c r="C211" s="15">
        <v>570.88</v>
      </c>
      <c r="D211" s="15">
        <v>1016.85</v>
      </c>
      <c r="E211" s="15">
        <v>570.88</v>
      </c>
      <c r="F211" s="15">
        <v>124.91</v>
      </c>
      <c r="G211" s="15">
        <v>570.88</v>
      </c>
      <c r="H211" s="15">
        <v>570.88</v>
      </c>
      <c r="I211" s="15">
        <v>570.88</v>
      </c>
      <c r="J211" s="15">
        <v>570.88</v>
      </c>
      <c r="K211" s="15">
        <v>570.88</v>
      </c>
      <c r="L211" s="15">
        <v>1016.85</v>
      </c>
      <c r="M211" s="15">
        <v>124.91</v>
      </c>
      <c r="N211" s="15">
        <v>570.88</v>
      </c>
      <c r="O211" t="s">
        <v>75</v>
      </c>
    </row>
    <row r="212" spans="1:15" x14ac:dyDescent="0.25">
      <c r="A212" s="10" t="s">
        <v>532</v>
      </c>
      <c r="B212" s="15">
        <v>172.94</v>
      </c>
      <c r="C212" s="15">
        <v>184.12</v>
      </c>
      <c r="D212" s="15">
        <v>183.82</v>
      </c>
      <c r="E212" s="15">
        <v>183.82</v>
      </c>
      <c r="F212" s="15">
        <v>424.4</v>
      </c>
      <c r="G212" s="15">
        <v>183.82</v>
      </c>
      <c r="H212" s="15">
        <v>82.84</v>
      </c>
      <c r="I212" s="15">
        <v>156.66</v>
      </c>
      <c r="J212" s="15">
        <v>183.82</v>
      </c>
      <c r="K212" s="15">
        <v>183.82</v>
      </c>
      <c r="L212" s="15">
        <v>183.82</v>
      </c>
      <c r="M212" s="15">
        <v>165.44</v>
      </c>
      <c r="N212" s="15">
        <v>183.85</v>
      </c>
      <c r="O212" t="s">
        <v>75</v>
      </c>
    </row>
    <row r="213" spans="1:15" x14ac:dyDescent="0.25">
      <c r="A213" s="10" t="s">
        <v>534</v>
      </c>
      <c r="B213" s="15">
        <v>513.01</v>
      </c>
      <c r="C213" s="15">
        <v>570.88</v>
      </c>
      <c r="D213" s="15">
        <v>570.88</v>
      </c>
      <c r="E213" s="15">
        <v>570.88</v>
      </c>
      <c r="F213" s="15">
        <v>570.88</v>
      </c>
      <c r="G213" s="15">
        <v>570.88</v>
      </c>
      <c r="H213" s="15">
        <v>570.88</v>
      </c>
      <c r="I213" s="15">
        <v>570.88</v>
      </c>
      <c r="J213" s="15">
        <v>570.88</v>
      </c>
      <c r="K213" s="15">
        <v>570.88</v>
      </c>
      <c r="L213" s="15">
        <v>926.99</v>
      </c>
      <c r="M213" s="15">
        <v>259.99</v>
      </c>
      <c r="N213" s="15">
        <v>570.88</v>
      </c>
      <c r="O213" t="s">
        <v>75</v>
      </c>
    </row>
    <row r="214" spans="1:15" x14ac:dyDescent="0.25">
      <c r="A214" s="10" t="s">
        <v>536</v>
      </c>
      <c r="B214" s="15">
        <v>114.99</v>
      </c>
      <c r="C214" s="15">
        <v>229.62</v>
      </c>
      <c r="D214" s="15">
        <v>199</v>
      </c>
      <c r="E214" s="15">
        <v>199</v>
      </c>
      <c r="F214" s="15">
        <v>199</v>
      </c>
      <c r="G214" s="15">
        <v>199</v>
      </c>
      <c r="H214" s="15">
        <v>199</v>
      </c>
      <c r="I214" s="15">
        <v>199</v>
      </c>
      <c r="J214" s="15">
        <v>199</v>
      </c>
      <c r="K214" s="15">
        <v>199</v>
      </c>
      <c r="L214" s="15">
        <v>380.76</v>
      </c>
      <c r="M214" s="15">
        <v>199</v>
      </c>
      <c r="N214" s="15">
        <v>201.55</v>
      </c>
      <c r="O214" t="s">
        <v>75</v>
      </c>
    </row>
    <row r="215" spans="1:15" x14ac:dyDescent="0.25">
      <c r="A215" s="10" t="s">
        <v>538</v>
      </c>
      <c r="B215" s="15">
        <v>513.01</v>
      </c>
      <c r="C215" s="15">
        <v>1141.76</v>
      </c>
      <c r="D215" s="15">
        <v>570.88</v>
      </c>
      <c r="E215" s="15">
        <v>0</v>
      </c>
      <c r="F215" s="15">
        <v>570.88</v>
      </c>
      <c r="G215" s="15">
        <v>570.88</v>
      </c>
      <c r="H215" s="15">
        <v>1141.76</v>
      </c>
      <c r="I215" s="15">
        <v>0</v>
      </c>
      <c r="J215" s="15">
        <v>570.88</v>
      </c>
      <c r="K215" s="15">
        <v>570.88</v>
      </c>
      <c r="L215" s="15">
        <v>1019.85</v>
      </c>
      <c r="M215" s="15">
        <v>570.88</v>
      </c>
      <c r="N215" s="15">
        <v>570.88</v>
      </c>
      <c r="O215" t="s">
        <v>75</v>
      </c>
    </row>
    <row r="216" spans="1:15" x14ac:dyDescent="0.25">
      <c r="A216" s="10" t="s">
        <v>540</v>
      </c>
      <c r="B216" s="15">
        <v>176.42</v>
      </c>
      <c r="C216" s="15">
        <v>199</v>
      </c>
      <c r="D216" s="15">
        <v>310.04000000000002</v>
      </c>
      <c r="E216" s="15">
        <v>198.52</v>
      </c>
      <c r="F216" s="15">
        <v>110.41</v>
      </c>
      <c r="G216" s="15">
        <v>316.92</v>
      </c>
      <c r="H216" s="15">
        <v>199</v>
      </c>
      <c r="I216" s="15">
        <v>114.24</v>
      </c>
      <c r="J216" s="15">
        <v>193.28</v>
      </c>
      <c r="K216" s="15">
        <v>204.72</v>
      </c>
      <c r="L216" s="15">
        <v>199</v>
      </c>
      <c r="M216" s="15">
        <v>196.26</v>
      </c>
      <c r="N216" s="15">
        <v>199</v>
      </c>
      <c r="O216" t="s">
        <v>75</v>
      </c>
    </row>
    <row r="217" spans="1:15" x14ac:dyDescent="0.25">
      <c r="A217" s="10" t="s">
        <v>542</v>
      </c>
      <c r="B217" s="15">
        <v>76.27</v>
      </c>
      <c r="C217" s="15">
        <v>56.39</v>
      </c>
      <c r="D217" s="15">
        <v>79.959999999999994</v>
      </c>
      <c r="E217" s="15">
        <v>85.84</v>
      </c>
      <c r="F217" s="15">
        <v>85.84</v>
      </c>
      <c r="G217" s="15">
        <v>105.63</v>
      </c>
      <c r="H217" s="15">
        <v>154.69999999999999</v>
      </c>
      <c r="I217" s="15">
        <v>108.74</v>
      </c>
      <c r="J217" s="15">
        <v>101.81</v>
      </c>
      <c r="K217" s="15">
        <v>91.21</v>
      </c>
      <c r="L217" s="15">
        <v>109.32</v>
      </c>
      <c r="M217" s="15">
        <v>221.98</v>
      </c>
      <c r="N217" s="15">
        <v>99.44</v>
      </c>
      <c r="O217" t="s">
        <v>75</v>
      </c>
    </row>
    <row r="218" spans="1:15" x14ac:dyDescent="0.25">
      <c r="A218" s="10" t="s">
        <v>544</v>
      </c>
      <c r="B218" s="15">
        <v>100.09</v>
      </c>
      <c r="C218" s="15">
        <v>152.41</v>
      </c>
      <c r="D218" s="15">
        <v>184.73</v>
      </c>
      <c r="E218" s="15">
        <v>186.92</v>
      </c>
      <c r="F218" s="15">
        <v>175.49</v>
      </c>
      <c r="G218" s="15">
        <v>170.3</v>
      </c>
      <c r="H218" s="15">
        <v>174.39</v>
      </c>
      <c r="I218" s="15">
        <v>174.74</v>
      </c>
      <c r="J218" s="15">
        <v>174.29</v>
      </c>
      <c r="K218" s="15">
        <v>222.69</v>
      </c>
      <c r="L218" s="15">
        <v>431.13</v>
      </c>
      <c r="M218" s="15">
        <v>184.47</v>
      </c>
      <c r="N218" s="15">
        <v>185.05</v>
      </c>
      <c r="O218" t="s">
        <v>75</v>
      </c>
    </row>
    <row r="219" spans="1:15" x14ac:dyDescent="0.25">
      <c r="A219" s="10" t="s">
        <v>546</v>
      </c>
      <c r="B219" s="15">
        <v>300.06</v>
      </c>
      <c r="C219" s="15">
        <v>232.8</v>
      </c>
      <c r="D219" s="15">
        <v>167</v>
      </c>
      <c r="E219" s="15">
        <v>185.85</v>
      </c>
      <c r="F219" s="15">
        <v>212.15</v>
      </c>
      <c r="G219" s="15">
        <v>199</v>
      </c>
      <c r="H219" s="15">
        <v>199</v>
      </c>
      <c r="I219" s="15">
        <v>199</v>
      </c>
      <c r="J219" s="15">
        <v>199</v>
      </c>
      <c r="K219" s="15">
        <v>199</v>
      </c>
      <c r="L219" s="15">
        <v>199</v>
      </c>
      <c r="M219" s="15">
        <v>527.89</v>
      </c>
      <c r="N219" s="15">
        <v>201.81</v>
      </c>
      <c r="O219" t="s">
        <v>75</v>
      </c>
    </row>
    <row r="220" spans="1:15" x14ac:dyDescent="0.25">
      <c r="A220" s="10" t="s">
        <v>548</v>
      </c>
      <c r="B220" s="15">
        <v>102.85</v>
      </c>
      <c r="C220" s="15">
        <v>208.63</v>
      </c>
      <c r="D220" s="15">
        <v>200.74</v>
      </c>
      <c r="E220" s="15">
        <v>194.71</v>
      </c>
      <c r="F220" s="15">
        <v>194.71</v>
      </c>
      <c r="G220" s="15">
        <v>194.71</v>
      </c>
      <c r="H220" s="15">
        <v>310.74</v>
      </c>
      <c r="I220" s="15">
        <v>111.86</v>
      </c>
      <c r="J220" s="15">
        <v>194.71</v>
      </c>
      <c r="K220" s="15">
        <v>194.71</v>
      </c>
      <c r="L220" s="15">
        <v>194.71</v>
      </c>
      <c r="M220" s="15">
        <v>194.71</v>
      </c>
      <c r="N220" s="15">
        <v>196.37</v>
      </c>
      <c r="O220" t="s">
        <v>75</v>
      </c>
    </row>
    <row r="221" spans="1:15" x14ac:dyDescent="0.25">
      <c r="A221" s="10" t="s">
        <v>550</v>
      </c>
      <c r="B221" s="15">
        <v>179.03</v>
      </c>
      <c r="C221" s="15">
        <v>203.48</v>
      </c>
      <c r="D221" s="15">
        <v>199</v>
      </c>
      <c r="E221" s="15">
        <v>199</v>
      </c>
      <c r="F221" s="15">
        <v>376.22</v>
      </c>
      <c r="G221" s="15">
        <v>199</v>
      </c>
      <c r="H221" s="15">
        <v>120.46</v>
      </c>
      <c r="I221" s="15">
        <v>199</v>
      </c>
      <c r="J221" s="15">
        <v>199</v>
      </c>
      <c r="K221" s="15">
        <v>277.76</v>
      </c>
      <c r="L221" s="15">
        <v>199</v>
      </c>
      <c r="M221" s="15">
        <v>142.51</v>
      </c>
      <c r="N221" s="15">
        <v>199.37</v>
      </c>
      <c r="O221" t="s">
        <v>75</v>
      </c>
    </row>
    <row r="222" spans="1:15" x14ac:dyDescent="0.25">
      <c r="A222" s="10" t="s">
        <v>552</v>
      </c>
      <c r="B222" s="15">
        <v>678.26</v>
      </c>
      <c r="C222" s="15">
        <v>388.71</v>
      </c>
      <c r="D222" s="15">
        <v>336.18</v>
      </c>
      <c r="E222" s="15">
        <v>382.59</v>
      </c>
      <c r="F222" s="15">
        <v>382.59</v>
      </c>
      <c r="G222" s="15">
        <v>378.29</v>
      </c>
      <c r="H222" s="15">
        <v>382.59</v>
      </c>
      <c r="I222" s="15">
        <v>382.59</v>
      </c>
      <c r="J222" s="15">
        <v>382.59</v>
      </c>
      <c r="K222" s="15">
        <v>382.59</v>
      </c>
      <c r="L222" s="15">
        <v>382.59</v>
      </c>
      <c r="M222" s="15">
        <v>382.59</v>
      </c>
      <c r="N222" s="15">
        <v>414.8</v>
      </c>
      <c r="O222" t="s">
        <v>75</v>
      </c>
    </row>
    <row r="223" spans="1:15" x14ac:dyDescent="0.25">
      <c r="A223" s="10" t="s">
        <v>554</v>
      </c>
      <c r="B223" s="15">
        <v>179.03</v>
      </c>
      <c r="C223" s="15">
        <v>320.77999999999997</v>
      </c>
      <c r="D223" s="15">
        <v>194.71</v>
      </c>
      <c r="E223" s="15">
        <v>518.76</v>
      </c>
      <c r="F223" s="15">
        <v>194.71</v>
      </c>
      <c r="G223" s="15">
        <v>0</v>
      </c>
      <c r="H223" s="15">
        <v>194.71</v>
      </c>
      <c r="I223" s="15">
        <v>194.71</v>
      </c>
      <c r="J223" s="15">
        <v>194.71</v>
      </c>
      <c r="K223" s="15">
        <v>194.71</v>
      </c>
      <c r="L223" s="15">
        <v>194.71</v>
      </c>
      <c r="M223" s="15">
        <v>194.71</v>
      </c>
      <c r="N223" s="15">
        <v>200.35</v>
      </c>
      <c r="O223" t="s">
        <v>75</v>
      </c>
    </row>
    <row r="224" spans="1:15" x14ac:dyDescent="0.25">
      <c r="A224" s="10" t="s">
        <v>556</v>
      </c>
      <c r="B224" s="15">
        <v>183.27</v>
      </c>
      <c r="C224" s="15">
        <v>175.23</v>
      </c>
      <c r="D224" s="15">
        <v>427.93</v>
      </c>
      <c r="E224" s="15">
        <v>187.64</v>
      </c>
      <c r="F224" s="15">
        <v>70.02</v>
      </c>
      <c r="G224" s="15">
        <v>161.13</v>
      </c>
      <c r="H224" s="15">
        <v>175.23</v>
      </c>
      <c r="I224" s="15">
        <v>175.23</v>
      </c>
      <c r="J224" s="15">
        <v>175.96</v>
      </c>
      <c r="K224" s="15">
        <v>221.97</v>
      </c>
      <c r="L224" s="15">
        <v>175.96</v>
      </c>
      <c r="M224" s="15">
        <v>186.92</v>
      </c>
      <c r="N224" s="15">
        <v>184.4</v>
      </c>
      <c r="O224" t="s">
        <v>75</v>
      </c>
    </row>
    <row r="225" spans="1:15" x14ac:dyDescent="0.25">
      <c r="A225" s="10" t="s">
        <v>558</v>
      </c>
      <c r="B225" s="15">
        <v>0</v>
      </c>
      <c r="C225" s="15">
        <v>99.93</v>
      </c>
      <c r="D225" s="15">
        <v>193.93</v>
      </c>
      <c r="E225" s="15">
        <v>183.82</v>
      </c>
      <c r="F225" s="15">
        <v>181.43</v>
      </c>
      <c r="G225" s="15">
        <v>391.28</v>
      </c>
      <c r="H225" s="15">
        <v>0</v>
      </c>
      <c r="I225" s="15">
        <v>0</v>
      </c>
      <c r="J225" s="15">
        <v>0</v>
      </c>
      <c r="K225" s="15">
        <v>0</v>
      </c>
      <c r="L225" s="15">
        <v>0</v>
      </c>
      <c r="M225" s="15">
        <v>0</v>
      </c>
      <c r="N225" s="15">
        <v>82.54</v>
      </c>
      <c r="O225" t="s">
        <v>75</v>
      </c>
    </row>
    <row r="226" spans="1:15" x14ac:dyDescent="0.25">
      <c r="A226" s="10" t="s">
        <v>560</v>
      </c>
      <c r="B226" s="15">
        <v>70.319999999999993</v>
      </c>
      <c r="C226" s="15">
        <v>570.88</v>
      </c>
      <c r="D226" s="15">
        <v>570.88</v>
      </c>
      <c r="E226" s="15">
        <v>570.88</v>
      </c>
      <c r="F226" s="15">
        <v>570.88</v>
      </c>
      <c r="G226" s="15">
        <v>570.88</v>
      </c>
      <c r="H226" s="15">
        <v>570.88</v>
      </c>
      <c r="I226" s="15">
        <v>1141.76</v>
      </c>
      <c r="J226" s="15">
        <v>0</v>
      </c>
      <c r="K226" s="15">
        <v>570.88</v>
      </c>
      <c r="L226" s="15">
        <v>570.88</v>
      </c>
      <c r="M226" s="15">
        <v>1141.76</v>
      </c>
      <c r="N226" s="15">
        <v>570.88</v>
      </c>
      <c r="O226" t="s">
        <v>75</v>
      </c>
    </row>
    <row r="227" spans="1:15" x14ac:dyDescent="0.25">
      <c r="A227" s="10" t="s">
        <v>562</v>
      </c>
      <c r="B227" s="15">
        <v>0</v>
      </c>
      <c r="C227" s="15">
        <v>0</v>
      </c>
      <c r="D227" s="15">
        <v>0</v>
      </c>
      <c r="E227" s="15">
        <v>0</v>
      </c>
      <c r="F227" s="15">
        <v>0</v>
      </c>
      <c r="G227" s="15">
        <v>0</v>
      </c>
      <c r="H227" s="15">
        <v>0</v>
      </c>
      <c r="I227" s="15">
        <v>0</v>
      </c>
      <c r="J227" s="15">
        <v>0</v>
      </c>
      <c r="K227" s="15">
        <v>403.89</v>
      </c>
      <c r="L227" s="15">
        <v>570.88</v>
      </c>
      <c r="M227" s="15">
        <v>570.88</v>
      </c>
      <c r="N227" s="15">
        <v>173.92</v>
      </c>
      <c r="O227" t="s">
        <v>75</v>
      </c>
    </row>
    <row r="228" spans="1:15" x14ac:dyDescent="0.25">
      <c r="A228" s="10" t="s">
        <v>564</v>
      </c>
      <c r="B228" s="15">
        <v>287.05</v>
      </c>
      <c r="C228" s="15">
        <v>332.2</v>
      </c>
      <c r="D228" s="15">
        <v>321.27999999999997</v>
      </c>
      <c r="E228" s="15">
        <v>321.27999999999997</v>
      </c>
      <c r="F228" s="15">
        <v>608.01</v>
      </c>
      <c r="G228" s="15">
        <v>321.27999999999997</v>
      </c>
      <c r="H228" s="15">
        <v>107.09</v>
      </c>
      <c r="I228" s="15">
        <v>321.27999999999997</v>
      </c>
      <c r="J228" s="15">
        <v>321.27999999999997</v>
      </c>
      <c r="K228" s="15">
        <v>322.89</v>
      </c>
      <c r="L228" s="15">
        <v>0</v>
      </c>
      <c r="M228" s="15">
        <v>0</v>
      </c>
      <c r="N228" s="15">
        <v>198</v>
      </c>
      <c r="O228" t="s">
        <v>75</v>
      </c>
    </row>
    <row r="229" spans="1:15" x14ac:dyDescent="0.25">
      <c r="A229" s="10" t="s">
        <v>566</v>
      </c>
      <c r="B229" s="15">
        <v>273.51</v>
      </c>
      <c r="C229" s="15">
        <v>570.88</v>
      </c>
      <c r="D229" s="15">
        <v>428.18</v>
      </c>
      <c r="E229" s="15">
        <v>736.76</v>
      </c>
      <c r="F229" s="15">
        <v>374.34</v>
      </c>
      <c r="G229" s="15">
        <v>208.46</v>
      </c>
      <c r="H229" s="15">
        <v>465.84</v>
      </c>
      <c r="I229" s="15">
        <v>408.66</v>
      </c>
      <c r="J229" s="15">
        <v>570.88</v>
      </c>
      <c r="K229" s="15">
        <v>374.34</v>
      </c>
      <c r="L229" s="15">
        <v>374.34</v>
      </c>
      <c r="M229" s="15">
        <v>374.34</v>
      </c>
      <c r="N229" s="15">
        <v>449.66</v>
      </c>
      <c r="O229" t="s">
        <v>75</v>
      </c>
    </row>
    <row r="230" spans="1:15" x14ac:dyDescent="0.25">
      <c r="A230" s="10" t="s">
        <v>568</v>
      </c>
      <c r="B230" s="15">
        <v>0</v>
      </c>
      <c r="C230" s="15">
        <v>0</v>
      </c>
      <c r="D230" s="15">
        <v>0</v>
      </c>
      <c r="E230" s="15">
        <v>0</v>
      </c>
      <c r="F230" s="15">
        <v>0</v>
      </c>
      <c r="G230" s="15">
        <v>0</v>
      </c>
      <c r="H230" s="15">
        <v>98.04</v>
      </c>
      <c r="I230" s="15">
        <v>183.82</v>
      </c>
      <c r="J230" s="15">
        <v>183.82</v>
      </c>
      <c r="K230" s="15">
        <v>183.82</v>
      </c>
      <c r="L230" s="15">
        <v>183.82</v>
      </c>
      <c r="M230" s="15">
        <v>183.82</v>
      </c>
      <c r="N230" s="15">
        <v>95.31</v>
      </c>
      <c r="O230" t="s">
        <v>75</v>
      </c>
    </row>
    <row r="231" spans="1:15" x14ac:dyDescent="0.25">
      <c r="A231" s="10" t="s">
        <v>570</v>
      </c>
      <c r="B231" s="15">
        <v>654.4</v>
      </c>
      <c r="C231" s="15">
        <v>0</v>
      </c>
      <c r="D231" s="15">
        <v>0</v>
      </c>
      <c r="E231" s="15">
        <v>220.18</v>
      </c>
      <c r="F231" s="15">
        <v>466.57</v>
      </c>
      <c r="G231" s="15">
        <v>0</v>
      </c>
      <c r="H231" s="15">
        <v>240.88</v>
      </c>
      <c r="I231" s="15">
        <v>240.88</v>
      </c>
      <c r="J231" s="15">
        <v>166.49</v>
      </c>
      <c r="K231" s="15">
        <v>166.49</v>
      </c>
      <c r="L231" s="15">
        <v>166.49</v>
      </c>
      <c r="M231" s="15">
        <v>166.49</v>
      </c>
      <c r="N231" s="15">
        <v>166.49</v>
      </c>
      <c r="O231" t="s">
        <v>75</v>
      </c>
    </row>
    <row r="232" spans="1:15" x14ac:dyDescent="0.25">
      <c r="A232" s="10" t="s">
        <v>572</v>
      </c>
      <c r="B232" s="15">
        <v>0</v>
      </c>
      <c r="C232" s="15">
        <v>0</v>
      </c>
      <c r="D232" s="15">
        <v>0</v>
      </c>
      <c r="E232" s="15">
        <v>0</v>
      </c>
      <c r="F232" s="15">
        <v>0</v>
      </c>
      <c r="G232" s="15">
        <v>0</v>
      </c>
      <c r="H232" s="15">
        <v>0</v>
      </c>
      <c r="I232" s="15">
        <v>73.59</v>
      </c>
      <c r="J232" s="15">
        <v>122.65</v>
      </c>
      <c r="K232" s="15">
        <v>174.77</v>
      </c>
      <c r="L232" s="15">
        <v>147.9</v>
      </c>
      <c r="M232" s="15">
        <v>147.18</v>
      </c>
      <c r="N232" s="15">
        <v>66.290000000000006</v>
      </c>
      <c r="O232" t="s">
        <v>75</v>
      </c>
    </row>
    <row r="233" spans="1:15" x14ac:dyDescent="0.25">
      <c r="A233" s="10" t="s">
        <v>574</v>
      </c>
      <c r="B233" s="15">
        <v>161.12</v>
      </c>
      <c r="C233" s="15">
        <v>187.64</v>
      </c>
      <c r="D233" s="15">
        <v>187.64</v>
      </c>
      <c r="E233" s="15">
        <v>175.96</v>
      </c>
      <c r="F233" s="15">
        <v>175.23</v>
      </c>
      <c r="G233" s="15">
        <v>175.96</v>
      </c>
      <c r="H233" s="15">
        <v>175.23</v>
      </c>
      <c r="I233" s="15">
        <v>175.23</v>
      </c>
      <c r="J233" s="15">
        <v>175.96</v>
      </c>
      <c r="K233" s="15">
        <v>232.09</v>
      </c>
      <c r="L233" s="15">
        <v>473.01</v>
      </c>
      <c r="M233" s="15">
        <v>186.92</v>
      </c>
      <c r="N233" s="15">
        <v>183.25</v>
      </c>
      <c r="O233" t="s">
        <v>75</v>
      </c>
    </row>
    <row r="234" spans="1:15" x14ac:dyDescent="0.25">
      <c r="A234" s="10" t="s">
        <v>576</v>
      </c>
      <c r="B234" s="15">
        <v>102.78</v>
      </c>
      <c r="C234" s="15">
        <v>747.87</v>
      </c>
      <c r="D234" s="15">
        <v>0</v>
      </c>
      <c r="E234" s="15">
        <v>0</v>
      </c>
      <c r="F234" s="15">
        <v>0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45.02</v>
      </c>
      <c r="O234" t="s">
        <v>75</v>
      </c>
    </row>
    <row r="235" spans="1:15" x14ac:dyDescent="0.25">
      <c r="A235" s="10" t="s">
        <v>578</v>
      </c>
      <c r="B235" s="15">
        <v>173.53</v>
      </c>
      <c r="C235" s="15">
        <v>177.04</v>
      </c>
      <c r="D235" s="15">
        <v>187.64</v>
      </c>
      <c r="E235" s="15">
        <v>175.23</v>
      </c>
      <c r="F235" s="15">
        <v>177.04</v>
      </c>
      <c r="G235" s="15">
        <v>198.6</v>
      </c>
      <c r="H235" s="15">
        <v>175.23</v>
      </c>
      <c r="I235" s="15">
        <v>175.96</v>
      </c>
      <c r="J235" s="15">
        <v>475.62</v>
      </c>
      <c r="K235" s="15">
        <v>221.97</v>
      </c>
      <c r="L235" s="15">
        <v>7.14</v>
      </c>
      <c r="M235" s="15">
        <v>172.12</v>
      </c>
      <c r="N235" s="15">
        <v>183.81</v>
      </c>
      <c r="O235" t="s">
        <v>75</v>
      </c>
    </row>
    <row r="236" spans="1:15" x14ac:dyDescent="0.25">
      <c r="A236" s="10" t="s">
        <v>580</v>
      </c>
      <c r="B236" s="15">
        <v>179.03</v>
      </c>
      <c r="C236" s="15">
        <v>208.6</v>
      </c>
      <c r="D236" s="15">
        <v>194.71</v>
      </c>
      <c r="E236" s="15">
        <v>194.71</v>
      </c>
      <c r="F236" s="15">
        <v>194.71</v>
      </c>
      <c r="G236" s="15">
        <v>194.71</v>
      </c>
      <c r="H236" s="15">
        <v>194.71</v>
      </c>
      <c r="I236" s="15">
        <v>194.71</v>
      </c>
      <c r="J236" s="15">
        <v>194.71</v>
      </c>
      <c r="K236" s="15">
        <v>194.71</v>
      </c>
      <c r="L236" s="15">
        <v>194.71</v>
      </c>
      <c r="M236" s="15">
        <v>194.71</v>
      </c>
      <c r="N236" s="15">
        <v>195.86</v>
      </c>
      <c r="O236" t="s">
        <v>75</v>
      </c>
    </row>
    <row r="237" spans="1:15" x14ac:dyDescent="0.25">
      <c r="A237" s="10" t="s">
        <v>582</v>
      </c>
      <c r="B237" s="15">
        <v>0</v>
      </c>
      <c r="C237" s="15">
        <v>0</v>
      </c>
      <c r="D237" s="15">
        <v>0</v>
      </c>
      <c r="E237" s="15">
        <v>0</v>
      </c>
      <c r="F237" s="15">
        <v>102.21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15">
        <v>0</v>
      </c>
      <c r="N237" s="15">
        <v>10.220000000000001</v>
      </c>
      <c r="O237" t="s">
        <v>75</v>
      </c>
    </row>
    <row r="238" spans="1:15" x14ac:dyDescent="0.25">
      <c r="A238" s="10" t="s">
        <v>584</v>
      </c>
      <c r="B238" s="15">
        <v>513.01</v>
      </c>
      <c r="C238" s="15">
        <v>570.88</v>
      </c>
      <c r="D238" s="15">
        <v>1141.76</v>
      </c>
      <c r="E238" s="15">
        <v>570.88</v>
      </c>
      <c r="F238" s="15">
        <v>0</v>
      </c>
      <c r="G238" s="15">
        <v>570.88</v>
      </c>
      <c r="H238" s="15">
        <v>570.88</v>
      </c>
      <c r="I238" s="15">
        <v>570.88</v>
      </c>
      <c r="J238" s="15">
        <v>570.88</v>
      </c>
      <c r="K238" s="15">
        <v>570.88</v>
      </c>
      <c r="L238" s="15">
        <v>570.88</v>
      </c>
      <c r="M238" s="15">
        <v>570.88</v>
      </c>
      <c r="N238" s="15">
        <v>570.88</v>
      </c>
      <c r="O238" t="s">
        <v>75</v>
      </c>
    </row>
    <row r="239" spans="1:15" x14ac:dyDescent="0.25">
      <c r="A239" s="10" t="s">
        <v>586</v>
      </c>
      <c r="B239" s="15">
        <v>513.01</v>
      </c>
      <c r="C239" s="15">
        <v>570.88</v>
      </c>
      <c r="D239" s="15">
        <v>993.21</v>
      </c>
      <c r="E239" s="15">
        <v>482.55</v>
      </c>
      <c r="F239" s="15">
        <v>236.88</v>
      </c>
      <c r="G239" s="15">
        <v>570.88</v>
      </c>
      <c r="H239" s="15">
        <v>570.88</v>
      </c>
      <c r="I239" s="15">
        <v>570.88</v>
      </c>
      <c r="J239" s="15">
        <v>1026.3399999999999</v>
      </c>
      <c r="K239" s="15">
        <v>115.42</v>
      </c>
      <c r="L239" s="15">
        <v>570.88</v>
      </c>
      <c r="M239" s="15">
        <v>570.88</v>
      </c>
      <c r="N239" s="15">
        <v>570.88</v>
      </c>
      <c r="O239" t="s">
        <v>75</v>
      </c>
    </row>
    <row r="240" spans="1:15" x14ac:dyDescent="0.25">
      <c r="A240" s="10" t="s">
        <v>588</v>
      </c>
      <c r="B240" s="15">
        <v>513.01</v>
      </c>
      <c r="C240" s="15">
        <v>570.88</v>
      </c>
      <c r="D240" s="15">
        <v>570.88</v>
      </c>
      <c r="E240" s="15">
        <v>570.88</v>
      </c>
      <c r="F240" s="15">
        <v>570.88</v>
      </c>
      <c r="G240" s="15">
        <v>570.88</v>
      </c>
      <c r="H240" s="15">
        <v>1141.76</v>
      </c>
      <c r="I240" s="15">
        <v>570.88</v>
      </c>
      <c r="J240" s="15">
        <v>0</v>
      </c>
      <c r="K240" s="15">
        <v>570.88</v>
      </c>
      <c r="L240" s="15">
        <v>570.88</v>
      </c>
      <c r="M240" s="15">
        <v>570.88</v>
      </c>
      <c r="N240" s="15">
        <v>570.88</v>
      </c>
      <c r="O240" t="s">
        <v>75</v>
      </c>
    </row>
    <row r="241" spans="1:15" x14ac:dyDescent="0.25">
      <c r="A241" s="10" t="s">
        <v>590</v>
      </c>
      <c r="B241" s="15">
        <v>179.03</v>
      </c>
      <c r="C241" s="15">
        <v>200.29</v>
      </c>
      <c r="D241" s="15">
        <v>248.61</v>
      </c>
      <c r="E241" s="15">
        <v>0</v>
      </c>
      <c r="F241" s="15">
        <v>0</v>
      </c>
      <c r="G241" s="15">
        <v>0</v>
      </c>
      <c r="H241" s="15">
        <v>0</v>
      </c>
      <c r="I241" s="15">
        <v>0</v>
      </c>
      <c r="J241" s="15">
        <v>0</v>
      </c>
      <c r="K241" s="15">
        <v>0</v>
      </c>
      <c r="L241" s="15">
        <v>0</v>
      </c>
      <c r="M241" s="15">
        <v>0</v>
      </c>
      <c r="N241" s="15">
        <v>29.54</v>
      </c>
      <c r="O241" t="s">
        <v>75</v>
      </c>
    </row>
    <row r="242" spans="1:15" x14ac:dyDescent="0.25">
      <c r="A242" s="10" t="s">
        <v>592</v>
      </c>
      <c r="B242" s="15">
        <v>0</v>
      </c>
      <c r="C242" s="15">
        <v>122.65</v>
      </c>
      <c r="D242" s="15">
        <v>153.31</v>
      </c>
      <c r="E242" s="15">
        <v>153.31</v>
      </c>
      <c r="F242" s="15">
        <v>153.31</v>
      </c>
      <c r="G242" s="15">
        <v>153.31</v>
      </c>
      <c r="H242" s="15">
        <v>153.31</v>
      </c>
      <c r="I242" s="15">
        <v>153.31</v>
      </c>
      <c r="J242" s="15">
        <v>153.31</v>
      </c>
      <c r="K242" s="15">
        <v>153.31</v>
      </c>
      <c r="L242" s="15">
        <v>153.31</v>
      </c>
      <c r="M242" s="15">
        <v>153.31</v>
      </c>
      <c r="N242" s="15">
        <v>153.31</v>
      </c>
      <c r="O242" t="s">
        <v>75</v>
      </c>
    </row>
    <row r="243" spans="1:15" x14ac:dyDescent="0.25">
      <c r="A243" s="10" t="s">
        <v>594</v>
      </c>
      <c r="B243" s="15">
        <v>285.25</v>
      </c>
      <c r="C243" s="15">
        <v>193.15</v>
      </c>
      <c r="D243" s="15">
        <v>108.82</v>
      </c>
      <c r="E243" s="15">
        <v>189.55</v>
      </c>
      <c r="F243" s="15">
        <v>189.55</v>
      </c>
      <c r="G243" s="15">
        <v>298.87</v>
      </c>
      <c r="H243" s="15">
        <v>183.45</v>
      </c>
      <c r="I243" s="15">
        <v>102.71</v>
      </c>
      <c r="J243" s="15">
        <v>189.55</v>
      </c>
      <c r="K243" s="15">
        <v>189.22</v>
      </c>
      <c r="L243" s="15">
        <v>184.46</v>
      </c>
      <c r="M243" s="15">
        <v>189.55</v>
      </c>
      <c r="N243" s="15">
        <v>189.85</v>
      </c>
      <c r="O243" t="s">
        <v>75</v>
      </c>
    </row>
    <row r="244" spans="1:15" x14ac:dyDescent="0.25">
      <c r="A244" s="10" t="s">
        <v>596</v>
      </c>
      <c r="B244" s="15">
        <v>143.22</v>
      </c>
      <c r="C244" s="15">
        <v>208.92</v>
      </c>
      <c r="D244" s="15">
        <v>194.71</v>
      </c>
      <c r="E244" s="15">
        <v>194.71</v>
      </c>
      <c r="F244" s="15">
        <v>194.71</v>
      </c>
      <c r="G244" s="15">
        <v>194.71</v>
      </c>
      <c r="H244" s="15">
        <v>194.71</v>
      </c>
      <c r="I244" s="15">
        <v>194.71</v>
      </c>
      <c r="J244" s="15">
        <v>185.83</v>
      </c>
      <c r="K244" s="15">
        <v>194.71</v>
      </c>
      <c r="L244" s="15">
        <v>194.71</v>
      </c>
      <c r="M244" s="15">
        <v>194.71</v>
      </c>
      <c r="N244" s="15">
        <v>195.89</v>
      </c>
      <c r="O244" t="s">
        <v>75</v>
      </c>
    </row>
    <row r="245" spans="1:15" x14ac:dyDescent="0.25">
      <c r="A245" s="10" t="s">
        <v>598</v>
      </c>
      <c r="B245" s="15">
        <v>0</v>
      </c>
      <c r="C245" s="15">
        <v>0</v>
      </c>
      <c r="D245" s="15">
        <v>0</v>
      </c>
      <c r="E245" s="15">
        <v>0</v>
      </c>
      <c r="F245" s="15">
        <v>0</v>
      </c>
      <c r="G245" s="15">
        <v>0</v>
      </c>
      <c r="H245" s="15">
        <v>0</v>
      </c>
      <c r="I245" s="15">
        <v>0</v>
      </c>
      <c r="J245" s="15">
        <v>0</v>
      </c>
      <c r="K245" s="15">
        <v>0</v>
      </c>
      <c r="L245" s="15">
        <v>0</v>
      </c>
      <c r="M245" s="15">
        <v>0</v>
      </c>
      <c r="N245" s="15">
        <v>12.49</v>
      </c>
      <c r="O245" t="s">
        <v>75</v>
      </c>
    </row>
    <row r="246" spans="1:15" x14ac:dyDescent="0.25">
      <c r="A246" s="10" t="s">
        <v>600</v>
      </c>
      <c r="B246" s="15">
        <v>172.94</v>
      </c>
      <c r="C246" s="15">
        <v>205.1</v>
      </c>
      <c r="D246" s="15">
        <v>183.82</v>
      </c>
      <c r="E246" s="15">
        <v>183.82</v>
      </c>
      <c r="F246" s="15">
        <v>191.86</v>
      </c>
      <c r="G246" s="15">
        <v>183.82</v>
      </c>
      <c r="H246" s="15">
        <v>183.82</v>
      </c>
      <c r="I246" s="15">
        <v>183.82</v>
      </c>
      <c r="J246" s="15">
        <v>183.82</v>
      </c>
      <c r="K246" s="15">
        <v>486.27</v>
      </c>
      <c r="L246" s="15">
        <v>183.82</v>
      </c>
      <c r="M246" s="15">
        <v>0</v>
      </c>
      <c r="N246" s="15">
        <v>186.26</v>
      </c>
      <c r="O246" t="s">
        <v>75</v>
      </c>
    </row>
    <row r="247" spans="1:15" x14ac:dyDescent="0.25">
      <c r="A247" s="10" t="s">
        <v>602</v>
      </c>
      <c r="B247" s="15">
        <v>172.94</v>
      </c>
      <c r="C247" s="15">
        <v>205.35</v>
      </c>
      <c r="D247" s="15">
        <v>183.82</v>
      </c>
      <c r="E247" s="15">
        <v>183.82</v>
      </c>
      <c r="F247" s="15">
        <v>214.79</v>
      </c>
      <c r="G247" s="15">
        <v>183.82</v>
      </c>
      <c r="H247" s="15">
        <v>183.82</v>
      </c>
      <c r="I247" s="15">
        <v>350.49</v>
      </c>
      <c r="J247" s="15">
        <v>183.82</v>
      </c>
      <c r="K247" s="15">
        <v>67.41</v>
      </c>
      <c r="L247" s="15">
        <v>178.63</v>
      </c>
      <c r="M247" s="15">
        <v>183.82</v>
      </c>
      <c r="N247" s="15">
        <v>188.19</v>
      </c>
      <c r="O247" t="s">
        <v>75</v>
      </c>
    </row>
    <row r="248" spans="1:15" x14ac:dyDescent="0.25">
      <c r="A248" s="10" t="s">
        <v>604</v>
      </c>
      <c r="B248" s="15">
        <v>143.22</v>
      </c>
      <c r="C248" s="15">
        <v>183.33</v>
      </c>
      <c r="D248" s="15">
        <v>153.31</v>
      </c>
      <c r="E248" s="15">
        <v>153.31</v>
      </c>
      <c r="F248" s="15">
        <v>153.31</v>
      </c>
      <c r="G248" s="15">
        <v>153.31</v>
      </c>
      <c r="H248" s="15">
        <v>153.31</v>
      </c>
      <c r="I248" s="15">
        <v>276.42</v>
      </c>
      <c r="J248" s="15">
        <v>153.31</v>
      </c>
      <c r="K248" s="15">
        <v>66.489999999999995</v>
      </c>
      <c r="L248" s="15">
        <v>153.31</v>
      </c>
      <c r="M248" s="15">
        <v>214.86</v>
      </c>
      <c r="N248" s="15">
        <v>155.81</v>
      </c>
      <c r="O248" t="s">
        <v>75</v>
      </c>
    </row>
    <row r="249" spans="1:15" x14ac:dyDescent="0.25">
      <c r="A249" s="10" t="s">
        <v>606</v>
      </c>
      <c r="B249" s="15">
        <v>168.47</v>
      </c>
      <c r="C249" s="15">
        <v>193.95</v>
      </c>
      <c r="D249" s="15">
        <v>183.82</v>
      </c>
      <c r="E249" s="15">
        <v>183.82</v>
      </c>
      <c r="F249" s="15">
        <v>183.82</v>
      </c>
      <c r="G249" s="15">
        <v>346.71</v>
      </c>
      <c r="H249" s="15">
        <v>183.82</v>
      </c>
      <c r="I249" s="15">
        <v>61.27</v>
      </c>
      <c r="J249" s="15">
        <v>183.82</v>
      </c>
      <c r="K249" s="15">
        <v>256.77</v>
      </c>
      <c r="L249" s="15">
        <v>183.82</v>
      </c>
      <c r="M249" s="15">
        <v>131.66999999999999</v>
      </c>
      <c r="N249" s="15">
        <v>184.66</v>
      </c>
      <c r="O249" t="s">
        <v>75</v>
      </c>
    </row>
    <row r="250" spans="1:15" x14ac:dyDescent="0.25">
      <c r="A250" s="10" t="s">
        <v>608</v>
      </c>
      <c r="B250" s="15">
        <v>61.1</v>
      </c>
      <c r="C250" s="15">
        <v>166.77</v>
      </c>
      <c r="D250" s="15">
        <v>71.47</v>
      </c>
      <c r="E250" s="15">
        <v>0</v>
      </c>
      <c r="F250" s="15">
        <v>71.47</v>
      </c>
      <c r="G250" s="15">
        <v>71.47</v>
      </c>
      <c r="H250" s="15">
        <v>71.47</v>
      </c>
      <c r="I250" s="15">
        <v>71.47</v>
      </c>
      <c r="J250" s="15">
        <v>71.47</v>
      </c>
      <c r="K250" s="15">
        <v>71.47</v>
      </c>
      <c r="L250" s="15">
        <v>71.47</v>
      </c>
      <c r="M250" s="15">
        <v>71.47</v>
      </c>
      <c r="N250" s="15">
        <v>71.47</v>
      </c>
      <c r="O250" t="s">
        <v>75</v>
      </c>
    </row>
    <row r="251" spans="1:15" x14ac:dyDescent="0.25">
      <c r="A251" s="10" t="s">
        <v>610</v>
      </c>
      <c r="B251" s="15">
        <v>183.94</v>
      </c>
      <c r="C251" s="15">
        <v>175.23</v>
      </c>
      <c r="D251" s="15">
        <v>190.53</v>
      </c>
      <c r="E251" s="15">
        <v>186.92</v>
      </c>
      <c r="F251" s="15">
        <v>186.92</v>
      </c>
      <c r="G251" s="15">
        <v>186.92</v>
      </c>
      <c r="H251" s="15">
        <v>176.35</v>
      </c>
      <c r="I251" s="15">
        <v>177.77</v>
      </c>
      <c r="J251" s="15">
        <v>177.04</v>
      </c>
      <c r="K251" s="15">
        <v>221.97</v>
      </c>
      <c r="L251" s="15">
        <v>487.12</v>
      </c>
      <c r="M251" s="15">
        <v>198.6</v>
      </c>
      <c r="N251" s="15">
        <v>188.81</v>
      </c>
      <c r="O251" t="s">
        <v>75</v>
      </c>
    </row>
    <row r="252" spans="1:15" x14ac:dyDescent="0.25">
      <c r="A252" s="10" t="s">
        <v>612</v>
      </c>
      <c r="B252" s="15">
        <v>513.01</v>
      </c>
      <c r="C252" s="15">
        <v>570.88</v>
      </c>
      <c r="D252" s="15">
        <v>570.88</v>
      </c>
      <c r="E252" s="15">
        <v>570.88</v>
      </c>
      <c r="F252" s="15">
        <v>570.88</v>
      </c>
      <c r="G252" s="15">
        <v>570.88</v>
      </c>
      <c r="H252" s="15">
        <v>1057.77</v>
      </c>
      <c r="I252" s="15">
        <v>190.41</v>
      </c>
      <c r="J252" s="15">
        <v>464.46</v>
      </c>
      <c r="K252" s="15">
        <v>570.88</v>
      </c>
      <c r="L252" s="15">
        <v>850.24</v>
      </c>
      <c r="M252" s="15">
        <v>507.03</v>
      </c>
      <c r="N252" s="15">
        <v>570.88</v>
      </c>
      <c r="O252" t="s">
        <v>75</v>
      </c>
    </row>
    <row r="253" spans="1:15" x14ac:dyDescent="0.25">
      <c r="A253" s="10" t="s">
        <v>614</v>
      </c>
      <c r="B253" s="15">
        <v>161.12</v>
      </c>
      <c r="C253" s="15">
        <v>175.23</v>
      </c>
      <c r="D253" s="15">
        <v>187.64</v>
      </c>
      <c r="E253" s="15">
        <v>190.53</v>
      </c>
      <c r="F253" s="15">
        <v>187.64</v>
      </c>
      <c r="G253" s="15">
        <v>175.23</v>
      </c>
      <c r="H253" s="15">
        <v>186.92</v>
      </c>
      <c r="I253" s="15">
        <v>169.39</v>
      </c>
      <c r="J253" s="15">
        <v>175.23</v>
      </c>
      <c r="K253" s="15">
        <v>223.77</v>
      </c>
      <c r="L253" s="15">
        <v>177.77</v>
      </c>
      <c r="M253" s="15">
        <v>186.92</v>
      </c>
      <c r="N253" s="15">
        <v>184.78</v>
      </c>
      <c r="O253" t="s">
        <v>75</v>
      </c>
    </row>
    <row r="254" spans="1:15" x14ac:dyDescent="0.25">
      <c r="A254" s="10" t="s">
        <v>616</v>
      </c>
      <c r="B254" s="15">
        <v>356.47</v>
      </c>
      <c r="C254" s="15">
        <v>198.04</v>
      </c>
      <c r="D254" s="15">
        <v>126.85</v>
      </c>
      <c r="E254" s="15">
        <v>193.36</v>
      </c>
      <c r="F254" s="15">
        <v>199</v>
      </c>
      <c r="G254" s="15">
        <v>199</v>
      </c>
      <c r="H254" s="15">
        <v>195.66</v>
      </c>
      <c r="I254" s="15">
        <v>195.76</v>
      </c>
      <c r="J254" s="15">
        <v>199</v>
      </c>
      <c r="K254" s="15">
        <v>278.3</v>
      </c>
      <c r="L254" s="15">
        <v>142.58000000000001</v>
      </c>
      <c r="M254" s="15">
        <v>199</v>
      </c>
      <c r="N254" s="15">
        <v>199</v>
      </c>
      <c r="O254" t="s">
        <v>75</v>
      </c>
    </row>
    <row r="255" spans="1:15" x14ac:dyDescent="0.25">
      <c r="A255" s="10" t="s">
        <v>618</v>
      </c>
      <c r="B255" s="15">
        <v>172.94</v>
      </c>
      <c r="C255" s="15">
        <v>33.57</v>
      </c>
      <c r="D255" s="15">
        <v>166.32</v>
      </c>
      <c r="E255" s="15">
        <v>183.82</v>
      </c>
      <c r="F255" s="15">
        <v>198.8</v>
      </c>
      <c r="G255" s="15">
        <v>183.82</v>
      </c>
      <c r="H255" s="15">
        <v>183.82</v>
      </c>
      <c r="I255" s="15">
        <v>183.82</v>
      </c>
      <c r="J255" s="15">
        <v>183.82</v>
      </c>
      <c r="K255" s="15">
        <v>183.82</v>
      </c>
      <c r="L255" s="15">
        <v>183.82</v>
      </c>
      <c r="M255" s="15">
        <v>183.82</v>
      </c>
      <c r="N255" s="15">
        <v>185.07</v>
      </c>
      <c r="O255" t="s">
        <v>75</v>
      </c>
    </row>
    <row r="256" spans="1:15" x14ac:dyDescent="0.25">
      <c r="A256" s="10" t="s">
        <v>620</v>
      </c>
      <c r="B256" s="15">
        <v>161.12</v>
      </c>
      <c r="C256" s="15">
        <v>199.32</v>
      </c>
      <c r="D256" s="15">
        <v>186.92</v>
      </c>
      <c r="E256" s="15">
        <v>176.68</v>
      </c>
      <c r="F256" s="15">
        <v>186.92</v>
      </c>
      <c r="G256" s="15">
        <v>175.96</v>
      </c>
      <c r="H256" s="15">
        <v>198.89</v>
      </c>
      <c r="I256" s="15">
        <v>175.23</v>
      </c>
      <c r="J256" s="15">
        <v>175.96</v>
      </c>
      <c r="K256" s="15">
        <v>221.17</v>
      </c>
      <c r="L256" s="15">
        <v>186.92</v>
      </c>
      <c r="M256" s="15">
        <v>186.92</v>
      </c>
      <c r="N256" s="15">
        <v>187.28</v>
      </c>
      <c r="O256" t="s">
        <v>75</v>
      </c>
    </row>
    <row r="257" spans="1:15" x14ac:dyDescent="0.25">
      <c r="A257" s="10" t="s">
        <v>622</v>
      </c>
      <c r="B257" s="15">
        <v>171.43</v>
      </c>
      <c r="C257" s="15">
        <v>175.23</v>
      </c>
      <c r="D257" s="15">
        <v>603.89</v>
      </c>
      <c r="E257" s="15">
        <v>0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0</v>
      </c>
      <c r="M257" s="15">
        <v>0</v>
      </c>
      <c r="N257" s="15">
        <v>55.18</v>
      </c>
      <c r="O257" t="s">
        <v>75</v>
      </c>
    </row>
    <row r="258" spans="1:15" x14ac:dyDescent="0.25">
      <c r="A258" s="10" t="s">
        <v>624</v>
      </c>
      <c r="B258" s="15">
        <v>179.03</v>
      </c>
      <c r="C258" s="15">
        <v>123.39</v>
      </c>
      <c r="D258" s="15">
        <v>199</v>
      </c>
      <c r="E258" s="15">
        <v>198.85</v>
      </c>
      <c r="F258" s="15">
        <v>193.71</v>
      </c>
      <c r="G258" s="15">
        <v>315.11</v>
      </c>
      <c r="H258" s="15">
        <v>135.08000000000001</v>
      </c>
      <c r="I258" s="15">
        <v>172.85</v>
      </c>
      <c r="J258" s="15">
        <v>198.55</v>
      </c>
      <c r="K258" s="15">
        <v>199</v>
      </c>
      <c r="L258" s="15">
        <v>199</v>
      </c>
      <c r="M258" s="15">
        <v>197.26</v>
      </c>
      <c r="N258" s="15">
        <v>199</v>
      </c>
      <c r="O258" t="s">
        <v>75</v>
      </c>
    </row>
    <row r="259" spans="1:15" x14ac:dyDescent="0.25">
      <c r="A259" s="10" t="s">
        <v>626</v>
      </c>
      <c r="B259" s="15">
        <v>513.01</v>
      </c>
      <c r="C259" s="15">
        <v>313.44</v>
      </c>
      <c r="D259" s="15">
        <v>570.88</v>
      </c>
      <c r="E259" s="15">
        <v>570.88</v>
      </c>
      <c r="F259" s="15">
        <v>570.88</v>
      </c>
      <c r="G259" s="15">
        <v>570.88</v>
      </c>
      <c r="H259" s="15">
        <v>570.88</v>
      </c>
      <c r="I259" s="15">
        <v>570.88</v>
      </c>
      <c r="J259" s="15">
        <v>570.88</v>
      </c>
      <c r="K259" s="15">
        <v>857.84</v>
      </c>
      <c r="L259" s="15">
        <v>570.88</v>
      </c>
      <c r="M259" s="15">
        <v>570.88</v>
      </c>
      <c r="N259" s="15">
        <v>570.88</v>
      </c>
      <c r="O259" t="s">
        <v>75</v>
      </c>
    </row>
    <row r="260" spans="1:15" x14ac:dyDescent="0.25">
      <c r="A260" s="10" t="s">
        <v>628</v>
      </c>
      <c r="B260" s="15">
        <v>513.01</v>
      </c>
      <c r="C260" s="15">
        <v>570.88</v>
      </c>
      <c r="D260" s="15">
        <v>919.6</v>
      </c>
      <c r="E260" s="15">
        <v>222.16</v>
      </c>
      <c r="F260" s="15">
        <v>570.88</v>
      </c>
      <c r="G260" s="15">
        <v>570.88</v>
      </c>
      <c r="H260" s="15">
        <v>570.88</v>
      </c>
      <c r="I260" s="15">
        <v>570.88</v>
      </c>
      <c r="J260" s="15">
        <v>570.88</v>
      </c>
      <c r="K260" s="15">
        <v>570.88</v>
      </c>
      <c r="L260" s="15">
        <v>919.6</v>
      </c>
      <c r="M260" s="15">
        <v>222.16</v>
      </c>
      <c r="N260" s="15">
        <v>570.88</v>
      </c>
      <c r="O260" t="s">
        <v>75</v>
      </c>
    </row>
    <row r="261" spans="1:15" x14ac:dyDescent="0.25">
      <c r="A261" s="10" t="s">
        <v>630</v>
      </c>
      <c r="B261" s="15">
        <v>179.03</v>
      </c>
      <c r="C261" s="15">
        <v>201.44</v>
      </c>
      <c r="D261" s="15">
        <v>376.52</v>
      </c>
      <c r="E261" s="15">
        <v>199</v>
      </c>
      <c r="F261" s="15">
        <v>120.52</v>
      </c>
      <c r="G261" s="15">
        <v>197.49</v>
      </c>
      <c r="H261" s="15">
        <v>197.82</v>
      </c>
      <c r="I261" s="15">
        <v>199</v>
      </c>
      <c r="J261" s="15">
        <v>520.66999999999996</v>
      </c>
      <c r="K261" s="15">
        <v>193.92</v>
      </c>
      <c r="L261" s="15">
        <v>5.57</v>
      </c>
      <c r="M261" s="15">
        <v>191.17</v>
      </c>
      <c r="N261" s="15">
        <v>199.2</v>
      </c>
      <c r="O261" t="s">
        <v>75</v>
      </c>
    </row>
    <row r="262" spans="1:15" x14ac:dyDescent="0.25">
      <c r="A262" s="10" t="s">
        <v>632</v>
      </c>
      <c r="B262" s="15">
        <v>168.86</v>
      </c>
      <c r="C262" s="15">
        <v>199</v>
      </c>
      <c r="D262" s="15">
        <v>197.6</v>
      </c>
      <c r="E262" s="15">
        <v>199</v>
      </c>
      <c r="F262" s="15">
        <v>199</v>
      </c>
      <c r="G262" s="15">
        <v>199</v>
      </c>
      <c r="H262" s="15">
        <v>199</v>
      </c>
      <c r="I262" s="15">
        <v>199</v>
      </c>
      <c r="J262" s="15">
        <v>517.4</v>
      </c>
      <c r="K262" s="15">
        <v>198.72</v>
      </c>
      <c r="L262" s="15">
        <v>16.21</v>
      </c>
      <c r="M262" s="15">
        <v>187.7</v>
      </c>
      <c r="N262" s="15">
        <v>199</v>
      </c>
      <c r="O262" t="s">
        <v>75</v>
      </c>
    </row>
    <row r="263" spans="1:15" x14ac:dyDescent="0.25">
      <c r="A263" s="10" t="s">
        <v>634</v>
      </c>
      <c r="B263" s="15">
        <v>143.22</v>
      </c>
      <c r="C263" s="15">
        <v>173.66</v>
      </c>
      <c r="D263" s="15">
        <v>131.56</v>
      </c>
      <c r="E263" s="15">
        <v>153.31</v>
      </c>
      <c r="F263" s="15">
        <v>153.31</v>
      </c>
      <c r="G263" s="15">
        <v>153.31</v>
      </c>
      <c r="H263" s="15">
        <v>153.31</v>
      </c>
      <c r="I263" s="15">
        <v>153.31</v>
      </c>
      <c r="J263" s="15">
        <v>153.31</v>
      </c>
      <c r="K263" s="15">
        <v>153.31</v>
      </c>
      <c r="L263" s="15">
        <v>153.31</v>
      </c>
      <c r="M263" s="15">
        <v>153.31</v>
      </c>
      <c r="N263" s="15">
        <v>159.32</v>
      </c>
      <c r="O263" t="s">
        <v>75</v>
      </c>
    </row>
    <row r="264" spans="1:15" x14ac:dyDescent="0.25">
      <c r="A264" s="10" t="s">
        <v>636</v>
      </c>
      <c r="B264" s="15">
        <v>82.26</v>
      </c>
      <c r="C264" s="15">
        <v>194.61</v>
      </c>
      <c r="D264" s="15">
        <v>194.71</v>
      </c>
      <c r="E264" s="15">
        <v>385.64</v>
      </c>
      <c r="F264" s="15">
        <v>194.71</v>
      </c>
      <c r="G264" s="15">
        <v>194.71</v>
      </c>
      <c r="H264" s="15">
        <v>194.71</v>
      </c>
      <c r="I264" s="15">
        <v>194.71</v>
      </c>
      <c r="J264" s="15">
        <v>194.71</v>
      </c>
      <c r="K264" s="15">
        <v>194.71</v>
      </c>
      <c r="L264" s="15">
        <v>194.71</v>
      </c>
      <c r="M264" s="15">
        <v>194.71</v>
      </c>
      <c r="N264" s="15">
        <v>199.08</v>
      </c>
      <c r="O264" t="s">
        <v>75</v>
      </c>
    </row>
    <row r="265" spans="1:15" x14ac:dyDescent="0.25">
      <c r="A265" s="10" t="s">
        <v>638</v>
      </c>
      <c r="B265" s="15">
        <v>513.01</v>
      </c>
      <c r="C265" s="15">
        <v>57.87</v>
      </c>
      <c r="D265" s="15">
        <v>570.88</v>
      </c>
      <c r="E265" s="15">
        <v>570.88</v>
      </c>
      <c r="F265" s="15">
        <v>570.88</v>
      </c>
      <c r="G265" s="15">
        <v>570.88</v>
      </c>
      <c r="H265" s="15">
        <v>570.88</v>
      </c>
      <c r="I265" s="15">
        <v>570.88</v>
      </c>
      <c r="J265" s="15">
        <v>570.88</v>
      </c>
      <c r="K265" s="15">
        <v>570.88</v>
      </c>
      <c r="L265" s="15">
        <v>570.88</v>
      </c>
      <c r="M265" s="15">
        <v>1141.76</v>
      </c>
      <c r="N265" s="15">
        <v>570.88</v>
      </c>
      <c r="O265" t="s">
        <v>75</v>
      </c>
    </row>
    <row r="266" spans="1:15" x14ac:dyDescent="0.25">
      <c r="A266" s="10" t="s">
        <v>640</v>
      </c>
      <c r="B266" s="15">
        <v>463.07</v>
      </c>
      <c r="C266" s="15">
        <v>570.88</v>
      </c>
      <c r="D266" s="15">
        <v>1140.57</v>
      </c>
      <c r="E266" s="15">
        <v>570.88</v>
      </c>
      <c r="F266" s="15">
        <v>1.19</v>
      </c>
      <c r="G266" s="15">
        <v>570.88</v>
      </c>
      <c r="H266" s="15">
        <v>570.88</v>
      </c>
      <c r="I266" s="15">
        <v>570.88</v>
      </c>
      <c r="J266" s="15">
        <v>570.88</v>
      </c>
      <c r="K266" s="15">
        <v>570.88</v>
      </c>
      <c r="L266" s="15">
        <v>570.88</v>
      </c>
      <c r="M266" s="15">
        <v>570.88</v>
      </c>
      <c r="N266" s="15">
        <v>570.88</v>
      </c>
      <c r="O266" t="s">
        <v>75</v>
      </c>
    </row>
    <row r="267" spans="1:15" x14ac:dyDescent="0.25">
      <c r="A267" s="10" t="s">
        <v>642</v>
      </c>
      <c r="B267" s="15">
        <v>141.63</v>
      </c>
      <c r="C267" s="15">
        <v>157.41</v>
      </c>
      <c r="D267" s="15">
        <v>272.08</v>
      </c>
      <c r="E267" s="15">
        <v>151.91999999999999</v>
      </c>
      <c r="F267" s="15">
        <v>65.66</v>
      </c>
      <c r="G267" s="15">
        <v>151.91999999999999</v>
      </c>
      <c r="H267" s="15">
        <v>151.91999999999999</v>
      </c>
      <c r="I267" s="15">
        <v>151.91999999999999</v>
      </c>
      <c r="J267" s="15">
        <v>151.91999999999999</v>
      </c>
      <c r="K267" s="15">
        <v>151.91999999999999</v>
      </c>
      <c r="L267" s="15">
        <v>151.91999999999999</v>
      </c>
      <c r="M267" s="15">
        <v>151.91999999999999</v>
      </c>
      <c r="N267" s="15">
        <v>152.37</v>
      </c>
      <c r="O267" t="s">
        <v>75</v>
      </c>
    </row>
    <row r="268" spans="1:15" x14ac:dyDescent="0.25">
      <c r="A268" s="10" t="s">
        <v>644</v>
      </c>
      <c r="B268" s="15">
        <v>143.22</v>
      </c>
      <c r="C268" s="15">
        <v>152.83000000000001</v>
      </c>
      <c r="D268" s="15">
        <v>151.91999999999999</v>
      </c>
      <c r="E268" s="15">
        <v>149.47</v>
      </c>
      <c r="F268" s="15">
        <v>151.91999999999999</v>
      </c>
      <c r="G268" s="15">
        <v>151.91999999999999</v>
      </c>
      <c r="H268" s="15">
        <v>151.91999999999999</v>
      </c>
      <c r="I268" s="15">
        <v>151.91999999999999</v>
      </c>
      <c r="J268" s="15">
        <v>151.91999999999999</v>
      </c>
      <c r="K268" s="15">
        <v>151.91999999999999</v>
      </c>
      <c r="L268" s="15">
        <v>270.76</v>
      </c>
      <c r="M268" s="15">
        <v>107.03</v>
      </c>
      <c r="N268" s="15">
        <v>151.99</v>
      </c>
      <c r="O268" t="s">
        <v>75</v>
      </c>
    </row>
    <row r="269" spans="1:15" x14ac:dyDescent="0.25">
      <c r="A269" s="10" t="s">
        <v>646</v>
      </c>
      <c r="B269" s="15">
        <v>171.87</v>
      </c>
      <c r="C269" s="15">
        <v>175.23</v>
      </c>
      <c r="D269" s="15">
        <v>186.92</v>
      </c>
      <c r="E269" s="15">
        <v>175.23</v>
      </c>
      <c r="F269" s="15">
        <v>175.96</v>
      </c>
      <c r="G269" s="15">
        <v>186.92</v>
      </c>
      <c r="H269" s="15">
        <v>487.94</v>
      </c>
      <c r="I269" s="15">
        <v>175.23</v>
      </c>
      <c r="J269" s="15">
        <v>0</v>
      </c>
      <c r="K269" s="15">
        <v>175.96</v>
      </c>
      <c r="L269" s="15">
        <v>584.45000000000005</v>
      </c>
      <c r="M269" s="15">
        <v>0</v>
      </c>
      <c r="N269" s="15">
        <v>180.68</v>
      </c>
      <c r="O269" t="s">
        <v>75</v>
      </c>
    </row>
    <row r="270" spans="1:15" x14ac:dyDescent="0.25">
      <c r="A270" s="10" t="s">
        <v>648</v>
      </c>
      <c r="B270" s="15">
        <v>172.93</v>
      </c>
      <c r="C270" s="15">
        <v>196.55</v>
      </c>
      <c r="D270" s="15">
        <v>183.82</v>
      </c>
      <c r="E270" s="15">
        <v>348.16</v>
      </c>
      <c r="F270" s="15">
        <v>185.7</v>
      </c>
      <c r="G270" s="15">
        <v>61.27</v>
      </c>
      <c r="H270" s="15">
        <v>183.82</v>
      </c>
      <c r="I270" s="15">
        <v>183.82</v>
      </c>
      <c r="J270" s="15">
        <v>183.82</v>
      </c>
      <c r="K270" s="15">
        <v>183.82</v>
      </c>
      <c r="L270" s="15">
        <v>183.82</v>
      </c>
      <c r="M270" s="15">
        <v>183.82</v>
      </c>
      <c r="N270" s="15">
        <v>185.04</v>
      </c>
      <c r="O270" t="s">
        <v>75</v>
      </c>
    </row>
    <row r="271" spans="1:15" x14ac:dyDescent="0.25">
      <c r="A271" s="10" t="s">
        <v>650</v>
      </c>
      <c r="B271" s="15">
        <v>0</v>
      </c>
      <c r="C271" s="15">
        <v>0</v>
      </c>
      <c r="D271" s="15">
        <v>0</v>
      </c>
      <c r="E271" s="15">
        <v>0</v>
      </c>
      <c r="F271" s="15">
        <v>0</v>
      </c>
      <c r="G271" s="15">
        <v>0</v>
      </c>
      <c r="H271" s="15">
        <v>0</v>
      </c>
      <c r="I271" s="15">
        <v>0</v>
      </c>
      <c r="J271" s="15">
        <v>0</v>
      </c>
      <c r="K271" s="15">
        <v>0</v>
      </c>
      <c r="L271" s="15">
        <v>0</v>
      </c>
      <c r="M271" s="15">
        <v>0</v>
      </c>
      <c r="N271" s="15">
        <v>10.220000000000001</v>
      </c>
      <c r="O271" t="s">
        <v>75</v>
      </c>
    </row>
    <row r="272" spans="1:15" x14ac:dyDescent="0.25">
      <c r="A272" s="10" t="s">
        <v>652</v>
      </c>
      <c r="B272" s="15">
        <v>99.28</v>
      </c>
      <c r="C272" s="15">
        <v>317.58999999999997</v>
      </c>
      <c r="D272" s="15">
        <v>105.53</v>
      </c>
      <c r="E272" s="15">
        <v>183.82</v>
      </c>
      <c r="F272" s="15">
        <v>187.63</v>
      </c>
      <c r="G272" s="15">
        <v>183.82</v>
      </c>
      <c r="H272" s="15">
        <v>183.82</v>
      </c>
      <c r="I272" s="15">
        <v>182.09</v>
      </c>
      <c r="J272" s="15">
        <v>183.82</v>
      </c>
      <c r="K272" s="15">
        <v>183.82</v>
      </c>
      <c r="L272" s="15">
        <v>183.82</v>
      </c>
      <c r="M272" s="15">
        <v>183.82</v>
      </c>
      <c r="N272" s="15">
        <v>200.62</v>
      </c>
      <c r="O272" t="s">
        <v>75</v>
      </c>
    </row>
    <row r="273" spans="1:15" x14ac:dyDescent="0.25">
      <c r="A273" s="10" t="s">
        <v>654</v>
      </c>
      <c r="B273" s="15">
        <v>143.22</v>
      </c>
      <c r="C273" s="15">
        <v>228.8</v>
      </c>
      <c r="D273" s="15">
        <v>153.31</v>
      </c>
      <c r="E273" s="15">
        <v>296.63</v>
      </c>
      <c r="F273" s="15">
        <v>153.31</v>
      </c>
      <c r="G273" s="15">
        <v>51.1</v>
      </c>
      <c r="H273" s="15">
        <v>153.31</v>
      </c>
      <c r="I273" s="15">
        <v>153.31</v>
      </c>
      <c r="J273" s="15">
        <v>153.31</v>
      </c>
      <c r="K273" s="15">
        <v>217</v>
      </c>
      <c r="L273" s="15">
        <v>153.31</v>
      </c>
      <c r="M273" s="15">
        <v>110.18</v>
      </c>
      <c r="N273" s="15">
        <v>159.6</v>
      </c>
      <c r="O273" t="s">
        <v>75</v>
      </c>
    </row>
    <row r="274" spans="1:15" x14ac:dyDescent="0.25">
      <c r="A274" s="10" t="s">
        <v>656</v>
      </c>
      <c r="B274" s="15">
        <v>513.01</v>
      </c>
      <c r="C274" s="15">
        <v>1141.76</v>
      </c>
      <c r="D274" s="15">
        <v>570.88</v>
      </c>
      <c r="E274" s="15">
        <v>0</v>
      </c>
      <c r="F274" s="15">
        <v>570.88</v>
      </c>
      <c r="G274" s="15">
        <v>796</v>
      </c>
      <c r="H274" s="15">
        <v>487.12</v>
      </c>
      <c r="I274" s="15">
        <v>429.52</v>
      </c>
      <c r="J274" s="15">
        <v>570.88</v>
      </c>
      <c r="K274" s="15">
        <v>570.88</v>
      </c>
      <c r="L274" s="15">
        <v>570.88</v>
      </c>
      <c r="M274" s="15">
        <v>570.88</v>
      </c>
      <c r="N274" s="15">
        <v>570.88</v>
      </c>
      <c r="O274" t="s">
        <v>75</v>
      </c>
    </row>
    <row r="275" spans="1:15" x14ac:dyDescent="0.25">
      <c r="A275" s="10" t="s">
        <v>658</v>
      </c>
      <c r="B275" s="15">
        <v>179.03</v>
      </c>
      <c r="C275" s="15">
        <v>232.46</v>
      </c>
      <c r="D275" s="15">
        <v>279.35000000000002</v>
      </c>
      <c r="E275" s="15">
        <v>176.48</v>
      </c>
      <c r="F275" s="15">
        <v>165.22</v>
      </c>
      <c r="G275" s="15">
        <v>199</v>
      </c>
      <c r="H275" s="15">
        <v>199</v>
      </c>
      <c r="I275" s="15">
        <v>379.37</v>
      </c>
      <c r="J275" s="15">
        <v>199</v>
      </c>
      <c r="K275" s="15">
        <v>127.14</v>
      </c>
      <c r="L275" s="15">
        <v>199</v>
      </c>
      <c r="M275" s="15">
        <v>199</v>
      </c>
      <c r="N275" s="15">
        <v>202.19</v>
      </c>
      <c r="O275" t="s">
        <v>75</v>
      </c>
    </row>
    <row r="276" spans="1:15" x14ac:dyDescent="0.25">
      <c r="A276" s="10" t="s">
        <v>660</v>
      </c>
      <c r="B276" s="15">
        <v>0</v>
      </c>
      <c r="C276" s="15">
        <v>0</v>
      </c>
      <c r="D276" s="15">
        <v>0</v>
      </c>
      <c r="E276" s="15">
        <v>0</v>
      </c>
      <c r="F276" s="15">
        <v>0</v>
      </c>
      <c r="G276" s="15">
        <v>0</v>
      </c>
      <c r="H276" s="15">
        <v>0</v>
      </c>
      <c r="I276" s="15">
        <v>0</v>
      </c>
      <c r="J276" s="15">
        <v>39.97</v>
      </c>
      <c r="K276" s="15">
        <v>168.64</v>
      </c>
      <c r="L276" s="15">
        <v>168.64</v>
      </c>
      <c r="M276" s="15">
        <v>168.64</v>
      </c>
      <c r="N276" s="15">
        <v>49.96</v>
      </c>
      <c r="O276" t="s">
        <v>75</v>
      </c>
    </row>
    <row r="277" spans="1:15" x14ac:dyDescent="0.25">
      <c r="A277" s="10" t="s">
        <v>662</v>
      </c>
      <c r="B277" s="15">
        <v>172.94</v>
      </c>
      <c r="C277" s="15">
        <v>187.38</v>
      </c>
      <c r="D277" s="15">
        <v>183.82</v>
      </c>
      <c r="E277" s="15">
        <v>183.82</v>
      </c>
      <c r="F277" s="15">
        <v>183.82</v>
      </c>
      <c r="G277" s="15">
        <v>172.39</v>
      </c>
      <c r="H277" s="15">
        <v>342.84</v>
      </c>
      <c r="I277" s="15">
        <v>182.23</v>
      </c>
      <c r="J277" s="15">
        <v>61.27</v>
      </c>
      <c r="K277" s="15">
        <v>183.82</v>
      </c>
      <c r="L277" s="15">
        <v>183.82</v>
      </c>
      <c r="M277" s="15">
        <v>183.82</v>
      </c>
      <c r="N277" s="15">
        <v>184.12</v>
      </c>
      <c r="O277" t="s">
        <v>75</v>
      </c>
    </row>
    <row r="278" spans="1:15" x14ac:dyDescent="0.25">
      <c r="A278" s="10" t="s">
        <v>664</v>
      </c>
      <c r="B278" s="15">
        <v>102.84</v>
      </c>
      <c r="C278" s="15">
        <v>206.66</v>
      </c>
      <c r="D278" s="15">
        <v>199</v>
      </c>
      <c r="E278" s="15">
        <v>317.49</v>
      </c>
      <c r="F278" s="15">
        <v>199</v>
      </c>
      <c r="G278" s="15">
        <v>114.31</v>
      </c>
      <c r="H278" s="15">
        <v>199</v>
      </c>
      <c r="I278" s="15">
        <v>199</v>
      </c>
      <c r="J278" s="15">
        <v>194.5</v>
      </c>
      <c r="K278" s="15">
        <v>317.29000000000002</v>
      </c>
      <c r="L278" s="15">
        <v>193.36</v>
      </c>
      <c r="M278" s="15">
        <v>119.94</v>
      </c>
      <c r="N278" s="15">
        <v>199.64</v>
      </c>
      <c r="O278" t="s">
        <v>75</v>
      </c>
    </row>
    <row r="279" spans="1:15" x14ac:dyDescent="0.25">
      <c r="A279" s="10" t="s">
        <v>666</v>
      </c>
      <c r="B279" s="15">
        <v>244.75</v>
      </c>
      <c r="C279" s="15">
        <v>422.46</v>
      </c>
      <c r="D279" s="15">
        <v>422.46</v>
      </c>
      <c r="E279" s="15">
        <v>422.46</v>
      </c>
      <c r="F279" s="15">
        <v>422.46</v>
      </c>
      <c r="G279" s="15">
        <v>422.46</v>
      </c>
      <c r="H279" s="15">
        <v>422.46</v>
      </c>
      <c r="I279" s="15">
        <v>422.46</v>
      </c>
      <c r="J279" s="15">
        <v>422.46</v>
      </c>
      <c r="K279" s="15">
        <v>422.46</v>
      </c>
      <c r="L279" s="15">
        <v>729.7</v>
      </c>
      <c r="M279" s="15">
        <v>315.77999999999997</v>
      </c>
      <c r="N279" s="15">
        <v>422.46</v>
      </c>
      <c r="O279" t="s">
        <v>75</v>
      </c>
    </row>
    <row r="280" spans="1:15" x14ac:dyDescent="0.25">
      <c r="A280" s="10" t="s">
        <v>668</v>
      </c>
      <c r="B280" s="15">
        <v>270.27</v>
      </c>
      <c r="C280" s="15">
        <v>470.18</v>
      </c>
      <c r="D280" s="15">
        <v>453.65</v>
      </c>
      <c r="E280" s="15">
        <v>448.97</v>
      </c>
      <c r="F280" s="15">
        <v>754.47</v>
      </c>
      <c r="G280" s="15">
        <v>442.29</v>
      </c>
      <c r="H280" s="15">
        <v>246.54</v>
      </c>
      <c r="I280" s="15">
        <v>543.84</v>
      </c>
      <c r="J280" s="15">
        <v>507.1</v>
      </c>
      <c r="K280" s="15">
        <v>502.42</v>
      </c>
      <c r="L280" s="15">
        <v>751.13</v>
      </c>
      <c r="M280" s="15">
        <v>442.29</v>
      </c>
      <c r="N280" s="15">
        <v>462.92</v>
      </c>
      <c r="O280" t="s">
        <v>75</v>
      </c>
    </row>
    <row r="281" spans="1:15" x14ac:dyDescent="0.25">
      <c r="A281" s="10" t="s">
        <v>670</v>
      </c>
      <c r="B281" s="15">
        <v>513.01</v>
      </c>
      <c r="C281" s="15">
        <v>570.88</v>
      </c>
      <c r="D281" s="15">
        <v>570.88</v>
      </c>
      <c r="E281" s="15">
        <v>570.88</v>
      </c>
      <c r="F281" s="15">
        <v>570.88</v>
      </c>
      <c r="G281" s="15">
        <v>570.88</v>
      </c>
      <c r="H281" s="15">
        <v>0</v>
      </c>
      <c r="I281" s="15">
        <v>0</v>
      </c>
      <c r="J281" s="15">
        <v>570.88</v>
      </c>
      <c r="K281" s="15">
        <v>0</v>
      </c>
      <c r="L281" s="15">
        <v>570.88</v>
      </c>
      <c r="M281" s="15">
        <v>570.88</v>
      </c>
      <c r="N281" s="15">
        <v>570.88</v>
      </c>
      <c r="O281" t="s">
        <v>75</v>
      </c>
    </row>
    <row r="282" spans="1:15" x14ac:dyDescent="0.25">
      <c r="A282" s="10" t="s">
        <v>672</v>
      </c>
      <c r="B282" s="15">
        <v>183.27</v>
      </c>
      <c r="C282" s="15">
        <v>111.8</v>
      </c>
      <c r="D282" s="15">
        <v>187.64</v>
      </c>
      <c r="E282" s="15">
        <v>173.73</v>
      </c>
      <c r="F282" s="15">
        <v>175.96</v>
      </c>
      <c r="G282" s="15">
        <v>198.6</v>
      </c>
      <c r="H282" s="15">
        <v>316.31</v>
      </c>
      <c r="I282" s="15">
        <v>103.06</v>
      </c>
      <c r="J282" s="15">
        <v>175.23</v>
      </c>
      <c r="K282" s="15">
        <v>221.97</v>
      </c>
      <c r="L282" s="15">
        <v>175.23</v>
      </c>
      <c r="M282" s="15">
        <v>198.6</v>
      </c>
      <c r="N282" s="15">
        <v>187.96</v>
      </c>
      <c r="O282" t="s">
        <v>75</v>
      </c>
    </row>
    <row r="283" spans="1:15" x14ac:dyDescent="0.25">
      <c r="A283" s="10" t="s">
        <v>674</v>
      </c>
      <c r="B283" s="15">
        <v>273.51</v>
      </c>
      <c r="C283" s="15">
        <v>294.75</v>
      </c>
      <c r="D283" s="15">
        <v>391.32</v>
      </c>
      <c r="E283" s="15">
        <v>227.88</v>
      </c>
      <c r="F283" s="15">
        <v>294.75</v>
      </c>
      <c r="G283" s="15">
        <v>293.23</v>
      </c>
      <c r="H283" s="15">
        <v>293.45</v>
      </c>
      <c r="I283" s="15">
        <v>392.05</v>
      </c>
      <c r="J283" s="15">
        <v>276.22000000000003</v>
      </c>
      <c r="K283" s="15">
        <v>251.52</v>
      </c>
      <c r="L283" s="15">
        <v>294.75</v>
      </c>
      <c r="M283" s="15">
        <v>64.31</v>
      </c>
      <c r="N283" s="15">
        <v>200.97</v>
      </c>
      <c r="O283" t="s">
        <v>75</v>
      </c>
    </row>
    <row r="284" spans="1:15" x14ac:dyDescent="0.25">
      <c r="A284" s="10" t="s">
        <v>676</v>
      </c>
      <c r="B284" s="15">
        <v>102.79</v>
      </c>
      <c r="C284" s="15">
        <v>197.42</v>
      </c>
      <c r="D284" s="15">
        <v>194.71</v>
      </c>
      <c r="E284" s="15">
        <v>194.71</v>
      </c>
      <c r="F284" s="15">
        <v>287.12</v>
      </c>
      <c r="G284" s="15">
        <v>194.71</v>
      </c>
      <c r="H284" s="15">
        <v>128.38</v>
      </c>
      <c r="I284" s="15">
        <v>194.71</v>
      </c>
      <c r="J284" s="15">
        <v>194.71</v>
      </c>
      <c r="K284" s="15">
        <v>194.71</v>
      </c>
      <c r="L284" s="15">
        <v>350.65</v>
      </c>
      <c r="M284" s="15">
        <v>194.71</v>
      </c>
      <c r="N284" s="15">
        <v>194.93</v>
      </c>
      <c r="O284" t="s">
        <v>75</v>
      </c>
    </row>
    <row r="285" spans="1:15" x14ac:dyDescent="0.25">
      <c r="A285" s="10" t="s">
        <v>678</v>
      </c>
      <c r="B285" s="15">
        <v>0</v>
      </c>
      <c r="C285" s="15">
        <v>0</v>
      </c>
      <c r="D285" s="15">
        <v>0</v>
      </c>
      <c r="E285" s="15">
        <v>570.88</v>
      </c>
      <c r="F285" s="15">
        <v>570.88</v>
      </c>
      <c r="G285" s="15">
        <v>570.88</v>
      </c>
      <c r="H285" s="15">
        <v>570.88</v>
      </c>
      <c r="I285" s="15">
        <v>570.88</v>
      </c>
      <c r="J285" s="15">
        <v>570.88</v>
      </c>
      <c r="K285" s="15">
        <v>570.88</v>
      </c>
      <c r="L285" s="15">
        <v>570.88</v>
      </c>
      <c r="M285" s="15">
        <v>570.88</v>
      </c>
      <c r="N285" s="15">
        <v>570.88</v>
      </c>
      <c r="O285" t="s">
        <v>75</v>
      </c>
    </row>
    <row r="286" spans="1:15" x14ac:dyDescent="0.25">
      <c r="A286" s="10" t="s">
        <v>680</v>
      </c>
      <c r="B286" s="15">
        <v>178.18</v>
      </c>
      <c r="C286" s="15">
        <v>196.2</v>
      </c>
      <c r="D286" s="15">
        <v>197.8</v>
      </c>
      <c r="E286" s="15">
        <v>316.95</v>
      </c>
      <c r="F286" s="15">
        <v>199</v>
      </c>
      <c r="G286" s="15">
        <v>114.24</v>
      </c>
      <c r="H286" s="15">
        <v>199</v>
      </c>
      <c r="I286" s="15">
        <v>199</v>
      </c>
      <c r="J286" s="15">
        <v>199</v>
      </c>
      <c r="K286" s="15">
        <v>182.16</v>
      </c>
      <c r="L286" s="15">
        <v>316.92</v>
      </c>
      <c r="M286" s="15">
        <v>114.24</v>
      </c>
      <c r="N286" s="15">
        <v>199</v>
      </c>
      <c r="O286" t="s">
        <v>75</v>
      </c>
    </row>
    <row r="287" spans="1:15" x14ac:dyDescent="0.25">
      <c r="A287" s="10" t="s">
        <v>682</v>
      </c>
      <c r="B287" s="15">
        <v>172.94</v>
      </c>
      <c r="C287" s="15">
        <v>189.4</v>
      </c>
      <c r="D287" s="15">
        <v>256.7</v>
      </c>
      <c r="E287" s="15">
        <v>131.66</v>
      </c>
      <c r="F287" s="15">
        <v>193.31</v>
      </c>
      <c r="G287" s="15">
        <v>183.82</v>
      </c>
      <c r="H287" s="15">
        <v>183.82</v>
      </c>
      <c r="I287" s="15">
        <v>256.69</v>
      </c>
      <c r="J287" s="15">
        <v>168.18</v>
      </c>
      <c r="K287" s="15">
        <v>147.31</v>
      </c>
      <c r="L287" s="15">
        <v>183.82</v>
      </c>
      <c r="M287" s="15">
        <v>183.82</v>
      </c>
      <c r="N287" s="15">
        <v>185.08</v>
      </c>
      <c r="O287" t="s">
        <v>75</v>
      </c>
    </row>
    <row r="288" spans="1:15" x14ac:dyDescent="0.25">
      <c r="A288" s="10" t="s">
        <v>684</v>
      </c>
      <c r="B288" s="15">
        <v>171.86</v>
      </c>
      <c r="C288" s="15">
        <v>181.08</v>
      </c>
      <c r="D288" s="15">
        <v>169.39</v>
      </c>
      <c r="E288" s="15">
        <v>421.33</v>
      </c>
      <c r="F288" s="15">
        <v>175.23</v>
      </c>
      <c r="G288" s="15">
        <v>77.14</v>
      </c>
      <c r="H288" s="15">
        <v>161.13999999999999</v>
      </c>
      <c r="I288" s="15">
        <v>175.23</v>
      </c>
      <c r="J288" s="15">
        <v>175.23</v>
      </c>
      <c r="K288" s="15">
        <v>222.69</v>
      </c>
      <c r="L288" s="15">
        <v>175.23</v>
      </c>
      <c r="M288" s="15">
        <v>186.92</v>
      </c>
      <c r="N288" s="15">
        <v>181.11</v>
      </c>
      <c r="O288" t="s">
        <v>75</v>
      </c>
    </row>
    <row r="289" spans="1:15" x14ac:dyDescent="0.25">
      <c r="A289" s="10" t="s">
        <v>686</v>
      </c>
      <c r="B289" s="15">
        <v>65.180000000000007</v>
      </c>
      <c r="C289" s="15">
        <v>86.63</v>
      </c>
      <c r="D289" s="15">
        <v>86.63</v>
      </c>
      <c r="E289" s="15">
        <v>86.63</v>
      </c>
      <c r="F289" s="15">
        <v>86.63</v>
      </c>
      <c r="G289" s="15">
        <v>86.63</v>
      </c>
      <c r="H289" s="15">
        <v>86.63</v>
      </c>
      <c r="I289" s="15">
        <v>86.63</v>
      </c>
      <c r="J289" s="15">
        <v>86.63</v>
      </c>
      <c r="K289" s="15">
        <v>86.63</v>
      </c>
      <c r="L289" s="15">
        <v>163.63999999999999</v>
      </c>
      <c r="M289" s="15">
        <v>86.63</v>
      </c>
      <c r="N289" s="15">
        <v>86.63</v>
      </c>
      <c r="O289" t="s">
        <v>75</v>
      </c>
    </row>
    <row r="290" spans="1:15" x14ac:dyDescent="0.25">
      <c r="A290" s="10" t="s">
        <v>688</v>
      </c>
      <c r="B290" s="15">
        <v>47.75</v>
      </c>
      <c r="C290" s="15">
        <v>153.61000000000001</v>
      </c>
      <c r="D290" s="15">
        <v>151.91999999999999</v>
      </c>
      <c r="E290" s="15">
        <v>254.04</v>
      </c>
      <c r="F290" s="15">
        <v>151.91999999999999</v>
      </c>
      <c r="G290" s="15">
        <v>78.599999999999994</v>
      </c>
      <c r="H290" s="15">
        <v>151.91999999999999</v>
      </c>
      <c r="I290" s="15">
        <v>151.91999999999999</v>
      </c>
      <c r="J290" s="15">
        <v>151.91999999999999</v>
      </c>
      <c r="K290" s="15">
        <v>151.91999999999999</v>
      </c>
      <c r="L290" s="15">
        <v>151.91999999999999</v>
      </c>
      <c r="M290" s="15">
        <v>236.46</v>
      </c>
      <c r="N290" s="15">
        <v>152.6</v>
      </c>
      <c r="O290" t="s">
        <v>75</v>
      </c>
    </row>
    <row r="291" spans="1:15" x14ac:dyDescent="0.25">
      <c r="A291" s="10" t="s">
        <v>690</v>
      </c>
      <c r="B291" s="15">
        <v>183.27</v>
      </c>
      <c r="C291" s="15">
        <v>175.23</v>
      </c>
      <c r="D291" s="15">
        <v>187.64</v>
      </c>
      <c r="E291" s="15">
        <v>175.23</v>
      </c>
      <c r="F291" s="15">
        <v>186.92</v>
      </c>
      <c r="G291" s="15">
        <v>187.24</v>
      </c>
      <c r="H291" s="15">
        <v>186.92</v>
      </c>
      <c r="I291" s="15">
        <v>175.23</v>
      </c>
      <c r="J291" s="15">
        <v>175.96</v>
      </c>
      <c r="K291" s="15">
        <v>221.97</v>
      </c>
      <c r="L291" s="15">
        <v>187.64</v>
      </c>
      <c r="M291" s="15">
        <v>198.6</v>
      </c>
      <c r="N291" s="15">
        <v>188.38</v>
      </c>
      <c r="O291" t="s">
        <v>75</v>
      </c>
    </row>
    <row r="292" spans="1:15" x14ac:dyDescent="0.25">
      <c r="A292" s="10" t="s">
        <v>692</v>
      </c>
      <c r="B292" s="15">
        <v>19.02</v>
      </c>
      <c r="C292" s="15">
        <v>89.5</v>
      </c>
      <c r="D292" s="15">
        <v>86.63</v>
      </c>
      <c r="E292" s="15">
        <v>86.63</v>
      </c>
      <c r="F292" s="15">
        <v>93.5</v>
      </c>
      <c r="G292" s="15">
        <v>86.63</v>
      </c>
      <c r="H292" s="15">
        <v>86.63</v>
      </c>
      <c r="I292" s="15">
        <v>86.63</v>
      </c>
      <c r="J292" s="15">
        <v>86.63</v>
      </c>
      <c r="K292" s="15">
        <v>86.63</v>
      </c>
      <c r="L292" s="15">
        <v>86.63</v>
      </c>
      <c r="M292" s="15">
        <v>86.63</v>
      </c>
      <c r="N292" s="15">
        <v>87.44</v>
      </c>
      <c r="O292" t="s">
        <v>75</v>
      </c>
    </row>
    <row r="293" spans="1:15" x14ac:dyDescent="0.25">
      <c r="A293" s="10" t="s">
        <v>694</v>
      </c>
      <c r="B293" s="15">
        <v>123.11</v>
      </c>
      <c r="C293" s="15">
        <v>200.04</v>
      </c>
      <c r="D293" s="15">
        <v>194.71</v>
      </c>
      <c r="E293" s="15">
        <v>194.71</v>
      </c>
      <c r="F293" s="15">
        <v>194.71</v>
      </c>
      <c r="G293" s="15">
        <v>194.71</v>
      </c>
      <c r="H293" s="15">
        <v>194.71</v>
      </c>
      <c r="I293" s="15">
        <v>194.71</v>
      </c>
      <c r="J293" s="15">
        <v>194.71</v>
      </c>
      <c r="K293" s="15">
        <v>194.71</v>
      </c>
      <c r="L293" s="15">
        <v>448.16</v>
      </c>
      <c r="M293" s="15">
        <v>156.03</v>
      </c>
      <c r="N293" s="15">
        <v>195.15</v>
      </c>
      <c r="O293" t="s">
        <v>75</v>
      </c>
    </row>
    <row r="294" spans="1:15" x14ac:dyDescent="0.25">
      <c r="A294" s="10" t="s">
        <v>696</v>
      </c>
      <c r="B294" s="15">
        <v>166.28</v>
      </c>
      <c r="C294" s="15">
        <v>354.84</v>
      </c>
      <c r="D294" s="15">
        <v>183.82</v>
      </c>
      <c r="E294" s="15">
        <v>61.28</v>
      </c>
      <c r="F294" s="15">
        <v>183.82</v>
      </c>
      <c r="G294" s="15">
        <v>176.54</v>
      </c>
      <c r="H294" s="15">
        <v>183.24</v>
      </c>
      <c r="I294" s="15">
        <v>183.82</v>
      </c>
      <c r="J294" s="15">
        <v>183.82</v>
      </c>
      <c r="K294" s="15">
        <v>183.82</v>
      </c>
      <c r="L294" s="15">
        <v>183.82</v>
      </c>
      <c r="M294" s="15">
        <v>183.82</v>
      </c>
      <c r="N294" s="15">
        <v>184.41</v>
      </c>
      <c r="O294" t="s">
        <v>75</v>
      </c>
    </row>
    <row r="295" spans="1:15" x14ac:dyDescent="0.25">
      <c r="A295" s="10" t="s">
        <v>698</v>
      </c>
      <c r="B295" s="15">
        <v>164.7</v>
      </c>
      <c r="C295" s="15">
        <v>223.92</v>
      </c>
      <c r="D295" s="15">
        <v>219.24</v>
      </c>
      <c r="E295" s="15">
        <v>219.24</v>
      </c>
      <c r="F295" s="15">
        <v>411.66</v>
      </c>
      <c r="G295" s="15">
        <v>160.04</v>
      </c>
      <c r="H295" s="15">
        <v>194.39</v>
      </c>
      <c r="I295" s="15">
        <v>219.24</v>
      </c>
      <c r="J295" s="15">
        <v>219.24</v>
      </c>
      <c r="K295" s="15">
        <v>219.24</v>
      </c>
      <c r="L295" s="15">
        <v>306.7</v>
      </c>
      <c r="M295" s="15">
        <v>213.03</v>
      </c>
      <c r="N295" s="15">
        <v>219.63</v>
      </c>
      <c r="O295" t="s">
        <v>75</v>
      </c>
    </row>
    <row r="296" spans="1:15" x14ac:dyDescent="0.25">
      <c r="A296" s="10" t="s">
        <v>700</v>
      </c>
      <c r="B296" s="15">
        <v>162.79</v>
      </c>
      <c r="C296" s="15">
        <v>175.23</v>
      </c>
      <c r="D296" s="15">
        <v>188.73</v>
      </c>
      <c r="E296" s="15">
        <v>187.64</v>
      </c>
      <c r="F296" s="15">
        <v>177.04</v>
      </c>
      <c r="G296" s="15">
        <v>186.92</v>
      </c>
      <c r="H296" s="15">
        <v>175.63</v>
      </c>
      <c r="I296" s="15">
        <v>177.04</v>
      </c>
      <c r="J296" s="15">
        <v>175.23</v>
      </c>
      <c r="K296" s="15">
        <v>518.16999999999996</v>
      </c>
      <c r="L296" s="15">
        <v>175.96</v>
      </c>
      <c r="M296" s="15">
        <v>28.55</v>
      </c>
      <c r="N296" s="15">
        <v>184.92</v>
      </c>
      <c r="O296" t="s">
        <v>75</v>
      </c>
    </row>
    <row r="297" spans="1:15" x14ac:dyDescent="0.25">
      <c r="A297" s="10" t="s">
        <v>702</v>
      </c>
      <c r="B297" s="15">
        <v>172.94</v>
      </c>
      <c r="C297" s="15">
        <v>192.76</v>
      </c>
      <c r="D297" s="15">
        <v>183.82</v>
      </c>
      <c r="E297" s="15">
        <v>183.82</v>
      </c>
      <c r="F297" s="15">
        <v>211.37</v>
      </c>
      <c r="G297" s="15">
        <v>183.82</v>
      </c>
      <c r="H297" s="15">
        <v>257.64</v>
      </c>
      <c r="I297" s="15">
        <v>183.82</v>
      </c>
      <c r="J297" s="15">
        <v>131.78</v>
      </c>
      <c r="K297" s="15">
        <v>183.82</v>
      </c>
      <c r="L297" s="15">
        <v>183.82</v>
      </c>
      <c r="M297" s="15">
        <v>349.92</v>
      </c>
      <c r="N297" s="15">
        <v>186.86</v>
      </c>
      <c r="O297" t="s">
        <v>75</v>
      </c>
    </row>
    <row r="298" spans="1:15" x14ac:dyDescent="0.25">
      <c r="A298" s="10" t="s">
        <v>704</v>
      </c>
      <c r="B298" s="15">
        <v>0</v>
      </c>
      <c r="C298" s="15">
        <v>0</v>
      </c>
      <c r="D298" s="15">
        <v>36.340000000000003</v>
      </c>
      <c r="E298" s="15">
        <v>153.31</v>
      </c>
      <c r="F298" s="15">
        <v>153.31</v>
      </c>
      <c r="G298" s="15">
        <v>153.31</v>
      </c>
      <c r="H298" s="15">
        <v>153.31</v>
      </c>
      <c r="I298" s="15">
        <v>153.31</v>
      </c>
      <c r="J298" s="15">
        <v>153.31</v>
      </c>
      <c r="K298" s="15">
        <v>153.31</v>
      </c>
      <c r="L298" s="15">
        <v>153.31</v>
      </c>
      <c r="M298" s="15">
        <v>153.31</v>
      </c>
      <c r="N298" s="15">
        <v>113.56</v>
      </c>
      <c r="O298" t="s">
        <v>75</v>
      </c>
    </row>
    <row r="299" spans="1:15" x14ac:dyDescent="0.25">
      <c r="A299" s="10" t="s">
        <v>706</v>
      </c>
      <c r="B299" s="15">
        <v>0</v>
      </c>
      <c r="C299" s="15">
        <v>0</v>
      </c>
      <c r="D299" s="15">
        <v>0</v>
      </c>
      <c r="E299" s="15">
        <v>0</v>
      </c>
      <c r="F299" s="15">
        <v>0</v>
      </c>
      <c r="G299" s="15">
        <v>0</v>
      </c>
      <c r="H299" s="15">
        <v>0</v>
      </c>
      <c r="I299" s="15">
        <v>0</v>
      </c>
      <c r="J299" s="15">
        <v>0</v>
      </c>
      <c r="K299" s="15">
        <v>0</v>
      </c>
      <c r="L299" s="15">
        <v>0</v>
      </c>
      <c r="M299" s="15">
        <v>94.03</v>
      </c>
      <c r="N299" s="15">
        <v>20.440000000000001</v>
      </c>
      <c r="O299" t="s">
        <v>75</v>
      </c>
    </row>
    <row r="300" spans="1:15" x14ac:dyDescent="0.25">
      <c r="A300" s="10" t="s">
        <v>708</v>
      </c>
      <c r="B300" s="15">
        <v>183.27</v>
      </c>
      <c r="C300" s="15">
        <v>175.96</v>
      </c>
      <c r="D300" s="15">
        <v>186.92</v>
      </c>
      <c r="E300" s="15">
        <v>175.23</v>
      </c>
      <c r="F300" s="15">
        <v>175.23</v>
      </c>
      <c r="G300" s="15">
        <v>282.06</v>
      </c>
      <c r="H300" s="15">
        <v>170.29</v>
      </c>
      <c r="I300" s="15">
        <v>125.8</v>
      </c>
      <c r="J300" s="15">
        <v>194.71</v>
      </c>
      <c r="K300" s="15">
        <v>194.71</v>
      </c>
      <c r="L300" s="15">
        <v>194.71</v>
      </c>
      <c r="M300" s="15">
        <v>194.71</v>
      </c>
      <c r="N300" s="15">
        <v>196.69</v>
      </c>
      <c r="O300" t="s">
        <v>75</v>
      </c>
    </row>
    <row r="301" spans="1:15" x14ac:dyDescent="0.25">
      <c r="A301" s="10" t="s">
        <v>710</v>
      </c>
      <c r="B301" s="15">
        <v>171.87</v>
      </c>
      <c r="C301" s="15">
        <v>175.23</v>
      </c>
      <c r="D301" s="15">
        <v>186.92</v>
      </c>
      <c r="E301" s="15">
        <v>175.23</v>
      </c>
      <c r="F301" s="15">
        <v>186.92</v>
      </c>
      <c r="G301" s="15">
        <v>198.6</v>
      </c>
      <c r="H301" s="15">
        <v>175.23</v>
      </c>
      <c r="I301" s="15">
        <v>181.08</v>
      </c>
      <c r="J301" s="15">
        <v>181.08</v>
      </c>
      <c r="K301" s="15">
        <v>412.34</v>
      </c>
      <c r="L301" s="15">
        <v>156.35</v>
      </c>
      <c r="M301" s="15">
        <v>29.21</v>
      </c>
      <c r="N301" s="15">
        <v>180.02</v>
      </c>
      <c r="O301" t="s">
        <v>75</v>
      </c>
    </row>
    <row r="302" spans="1:15" x14ac:dyDescent="0.25">
      <c r="A302" s="10" t="s">
        <v>712</v>
      </c>
      <c r="B302" s="15">
        <v>513.01</v>
      </c>
      <c r="C302" s="15">
        <v>570.88</v>
      </c>
      <c r="D302" s="15">
        <v>570.88</v>
      </c>
      <c r="E302" s="15">
        <v>570.88</v>
      </c>
      <c r="F302" s="15">
        <v>570.88</v>
      </c>
      <c r="G302" s="15">
        <v>570.88</v>
      </c>
      <c r="H302" s="15">
        <v>570.88</v>
      </c>
      <c r="I302" s="15">
        <v>570.88</v>
      </c>
      <c r="J302" s="15">
        <v>1141.76</v>
      </c>
      <c r="K302" s="15">
        <v>570.88</v>
      </c>
      <c r="L302" s="15">
        <v>0</v>
      </c>
      <c r="M302" s="15">
        <v>570.88</v>
      </c>
      <c r="N302" s="15">
        <v>570.88</v>
      </c>
      <c r="O302" t="s">
        <v>75</v>
      </c>
    </row>
    <row r="303" spans="1:15" x14ac:dyDescent="0.25">
      <c r="A303" s="10" t="s">
        <v>714</v>
      </c>
      <c r="B303" s="15">
        <v>178.7</v>
      </c>
      <c r="C303" s="15">
        <v>183.82</v>
      </c>
      <c r="D303" s="15">
        <v>183.82</v>
      </c>
      <c r="E303" s="15">
        <v>183.82</v>
      </c>
      <c r="F303" s="15">
        <v>165.44</v>
      </c>
      <c r="G303" s="15">
        <v>165.44</v>
      </c>
      <c r="H303" s="15">
        <v>173.89</v>
      </c>
      <c r="I303" s="15">
        <v>479.89</v>
      </c>
      <c r="J303" s="15">
        <v>169.19</v>
      </c>
      <c r="K303" s="15">
        <v>0</v>
      </c>
      <c r="L303" s="15">
        <v>183.82</v>
      </c>
      <c r="M303" s="15">
        <v>183.82</v>
      </c>
      <c r="N303" s="15">
        <v>183.82</v>
      </c>
      <c r="O303" t="s">
        <v>75</v>
      </c>
    </row>
    <row r="304" spans="1:15" x14ac:dyDescent="0.25">
      <c r="A304" s="10" t="s">
        <v>716</v>
      </c>
      <c r="B304" s="15">
        <v>163.12</v>
      </c>
      <c r="C304" s="15">
        <v>183.82</v>
      </c>
      <c r="D304" s="15">
        <v>179.48</v>
      </c>
      <c r="E304" s="15">
        <v>172.09</v>
      </c>
      <c r="F304" s="15">
        <v>182.82</v>
      </c>
      <c r="G304" s="15">
        <v>183.82</v>
      </c>
      <c r="H304" s="15">
        <v>183.21</v>
      </c>
      <c r="I304" s="15">
        <v>176.57</v>
      </c>
      <c r="J304" s="15">
        <v>179.41</v>
      </c>
      <c r="K304" s="15">
        <v>427.09</v>
      </c>
      <c r="L304" s="15">
        <v>183.82</v>
      </c>
      <c r="M304" s="15">
        <v>65.819999999999993</v>
      </c>
      <c r="N304" s="15">
        <v>183.82</v>
      </c>
      <c r="O304" t="s">
        <v>75</v>
      </c>
    </row>
    <row r="305" spans="1:15" x14ac:dyDescent="0.25">
      <c r="A305" s="10" t="s">
        <v>718</v>
      </c>
      <c r="B305" s="15">
        <v>351.14</v>
      </c>
      <c r="C305" s="15">
        <v>194.71</v>
      </c>
      <c r="D305" s="15">
        <v>123.8</v>
      </c>
      <c r="E305" s="15">
        <v>189.18</v>
      </c>
      <c r="F305" s="15">
        <v>194.71</v>
      </c>
      <c r="G305" s="15">
        <v>194.71</v>
      </c>
      <c r="H305" s="15">
        <v>194.71</v>
      </c>
      <c r="I305" s="15">
        <v>194.71</v>
      </c>
      <c r="J305" s="15">
        <v>287.01</v>
      </c>
      <c r="K305" s="15">
        <v>194.71</v>
      </c>
      <c r="L305" s="15">
        <v>128.37</v>
      </c>
      <c r="M305" s="15">
        <v>194.71</v>
      </c>
      <c r="N305" s="15">
        <v>194.71</v>
      </c>
      <c r="O305" t="s">
        <v>75</v>
      </c>
    </row>
    <row r="306" spans="1:15" x14ac:dyDescent="0.25">
      <c r="A306" s="10" t="s">
        <v>720</v>
      </c>
      <c r="B306" s="15">
        <v>181.95</v>
      </c>
      <c r="C306" s="15">
        <v>177.04</v>
      </c>
      <c r="D306" s="15">
        <v>187.64</v>
      </c>
      <c r="E306" s="15">
        <v>186.92</v>
      </c>
      <c r="F306" s="15">
        <v>188.73</v>
      </c>
      <c r="G306" s="15">
        <v>175.95</v>
      </c>
      <c r="H306" s="15">
        <v>174.02</v>
      </c>
      <c r="I306" s="15">
        <v>284.74</v>
      </c>
      <c r="J306" s="15">
        <v>102.53</v>
      </c>
      <c r="K306" s="15">
        <v>197.67</v>
      </c>
      <c r="L306" s="15">
        <v>177.04</v>
      </c>
      <c r="M306" s="15">
        <v>307.02</v>
      </c>
      <c r="N306" s="15">
        <v>184.93</v>
      </c>
      <c r="O306" t="s">
        <v>75</v>
      </c>
    </row>
    <row r="307" spans="1:15" x14ac:dyDescent="0.25">
      <c r="A307" s="10" t="s">
        <v>722</v>
      </c>
      <c r="B307" s="15">
        <v>26.26</v>
      </c>
      <c r="C307" s="15">
        <v>186.92</v>
      </c>
      <c r="D307" s="15">
        <v>186.92</v>
      </c>
      <c r="E307" s="15">
        <v>186.92</v>
      </c>
      <c r="F307" s="15">
        <v>177.04</v>
      </c>
      <c r="G307" s="15">
        <v>188.47</v>
      </c>
      <c r="H307" s="15">
        <v>186.93</v>
      </c>
      <c r="I307" s="15">
        <v>173.48</v>
      </c>
      <c r="J307" s="15">
        <v>173.27</v>
      </c>
      <c r="K307" s="15">
        <v>223.77</v>
      </c>
      <c r="L307" s="15">
        <v>187.64</v>
      </c>
      <c r="M307" s="15">
        <v>186.92</v>
      </c>
      <c r="N307" s="15">
        <v>188.52</v>
      </c>
      <c r="O307" t="s">
        <v>75</v>
      </c>
    </row>
    <row r="308" spans="1:15" x14ac:dyDescent="0.25">
      <c r="A308" s="10" t="s">
        <v>724</v>
      </c>
      <c r="B308" s="15">
        <v>0</v>
      </c>
      <c r="C308" s="15">
        <v>60.35</v>
      </c>
      <c r="D308" s="15">
        <v>95.3</v>
      </c>
      <c r="E308" s="15">
        <v>95.3</v>
      </c>
      <c r="F308" s="15">
        <v>95.3</v>
      </c>
      <c r="G308" s="15">
        <v>106.91</v>
      </c>
      <c r="H308" s="15">
        <v>159.83000000000001</v>
      </c>
      <c r="I308" s="15">
        <v>0</v>
      </c>
      <c r="J308" s="15">
        <v>0</v>
      </c>
      <c r="K308" s="15">
        <v>0</v>
      </c>
      <c r="L308" s="15">
        <v>54</v>
      </c>
      <c r="M308" s="15">
        <v>103.86</v>
      </c>
      <c r="N308" s="15">
        <v>75.97</v>
      </c>
      <c r="O308" t="s">
        <v>75</v>
      </c>
    </row>
    <row r="309" spans="1:15" x14ac:dyDescent="0.25">
      <c r="A309" s="10" t="s">
        <v>726</v>
      </c>
      <c r="B309" s="15">
        <v>172.94</v>
      </c>
      <c r="C309" s="15">
        <v>205.12</v>
      </c>
      <c r="D309" s="15">
        <v>183.82</v>
      </c>
      <c r="E309" s="15">
        <v>183.82</v>
      </c>
      <c r="F309" s="15">
        <v>487.63</v>
      </c>
      <c r="G309" s="15">
        <v>183.82</v>
      </c>
      <c r="H309" s="15">
        <v>7.49</v>
      </c>
      <c r="I309" s="15">
        <v>178.61</v>
      </c>
      <c r="J309" s="15">
        <v>183.82</v>
      </c>
      <c r="K309" s="15">
        <v>183.82</v>
      </c>
      <c r="L309" s="15">
        <v>183.82</v>
      </c>
      <c r="M309" s="15">
        <v>183.82</v>
      </c>
      <c r="N309" s="15">
        <v>185.94</v>
      </c>
      <c r="O309" t="s">
        <v>75</v>
      </c>
    </row>
    <row r="310" spans="1:15" x14ac:dyDescent="0.25">
      <c r="A310" s="10" t="s">
        <v>728</v>
      </c>
      <c r="B310" s="15">
        <v>179.03</v>
      </c>
      <c r="C310" s="15">
        <v>199.33</v>
      </c>
      <c r="D310" s="15">
        <v>194.71</v>
      </c>
      <c r="E310" s="15">
        <v>359.13</v>
      </c>
      <c r="F310" s="15">
        <v>194.71</v>
      </c>
      <c r="G310" s="15">
        <v>123.8</v>
      </c>
      <c r="H310" s="15">
        <v>325.73</v>
      </c>
      <c r="I310" s="15">
        <v>128.38</v>
      </c>
      <c r="J310" s="15">
        <v>167.08</v>
      </c>
      <c r="K310" s="15">
        <v>194.71</v>
      </c>
      <c r="L310" s="15">
        <v>194.71</v>
      </c>
      <c r="M310" s="15">
        <v>194.71</v>
      </c>
      <c r="N310" s="15">
        <v>195.09</v>
      </c>
      <c r="O310" t="s">
        <v>75</v>
      </c>
    </row>
    <row r="311" spans="1:15" x14ac:dyDescent="0.25">
      <c r="A311" s="10" t="s">
        <v>730</v>
      </c>
      <c r="B311" s="15">
        <v>55.67</v>
      </c>
      <c r="C311" s="15">
        <v>58.49</v>
      </c>
      <c r="D311" s="15">
        <v>58.49</v>
      </c>
      <c r="E311" s="15">
        <v>89.68</v>
      </c>
      <c r="F311" s="15">
        <v>10.72</v>
      </c>
      <c r="G311" s="15">
        <v>0</v>
      </c>
      <c r="H311" s="15">
        <v>0</v>
      </c>
      <c r="I311" s="15">
        <v>0</v>
      </c>
      <c r="J311" s="15">
        <v>0</v>
      </c>
      <c r="K311" s="15">
        <v>0</v>
      </c>
      <c r="L311" s="15">
        <v>0</v>
      </c>
      <c r="M311" s="15">
        <v>0</v>
      </c>
      <c r="N311" s="15">
        <v>20.49</v>
      </c>
      <c r="O311" t="s">
        <v>75</v>
      </c>
    </row>
    <row r="312" spans="1:15" x14ac:dyDescent="0.25">
      <c r="A312" s="10" t="s">
        <v>732</v>
      </c>
      <c r="B312" s="15">
        <v>179.03</v>
      </c>
      <c r="C312" s="15">
        <v>353.77</v>
      </c>
      <c r="D312" s="15">
        <v>111.78</v>
      </c>
      <c r="E312" s="15">
        <v>167.07</v>
      </c>
      <c r="F312" s="15">
        <v>194.71</v>
      </c>
      <c r="G312" s="15">
        <v>271.64</v>
      </c>
      <c r="H312" s="15">
        <v>194.71</v>
      </c>
      <c r="I312" s="15">
        <v>139.41999999999999</v>
      </c>
      <c r="J312" s="15">
        <v>194.71</v>
      </c>
      <c r="K312" s="15">
        <v>194.71</v>
      </c>
      <c r="L312" s="15">
        <v>194.71</v>
      </c>
      <c r="M312" s="15">
        <v>194.71</v>
      </c>
      <c r="N312" s="15">
        <v>195.14</v>
      </c>
      <c r="O312" t="s">
        <v>75</v>
      </c>
    </row>
    <row r="313" spans="1:15" x14ac:dyDescent="0.25">
      <c r="A313" s="10" t="s">
        <v>734</v>
      </c>
      <c r="B313" s="15">
        <v>172.94</v>
      </c>
      <c r="C313" s="15">
        <v>189.54</v>
      </c>
      <c r="D313" s="15">
        <v>183.82</v>
      </c>
      <c r="E313" s="15">
        <v>183.82</v>
      </c>
      <c r="F313" s="15">
        <v>190.94</v>
      </c>
      <c r="G313" s="15">
        <v>183.82</v>
      </c>
      <c r="H313" s="15">
        <v>183.82</v>
      </c>
      <c r="I313" s="15">
        <v>420.84</v>
      </c>
      <c r="J313" s="15">
        <v>183.82</v>
      </c>
      <c r="K313" s="15">
        <v>67.400000000000006</v>
      </c>
      <c r="L313" s="15">
        <v>126.49</v>
      </c>
      <c r="M313" s="15">
        <v>183.82</v>
      </c>
      <c r="N313" s="15">
        <v>184.89</v>
      </c>
      <c r="O313" t="s">
        <v>75</v>
      </c>
    </row>
    <row r="314" spans="1:15" x14ac:dyDescent="0.25">
      <c r="A314" s="10" t="s">
        <v>736</v>
      </c>
      <c r="B314" s="15">
        <v>513.01</v>
      </c>
      <c r="C314" s="15">
        <v>570.88</v>
      </c>
      <c r="D314" s="15">
        <v>570.88</v>
      </c>
      <c r="E314" s="15">
        <v>570.88</v>
      </c>
      <c r="F314" s="15">
        <v>570.88</v>
      </c>
      <c r="G314" s="15">
        <v>1141.76</v>
      </c>
      <c r="H314" s="15">
        <v>570.88</v>
      </c>
      <c r="I314" s="15">
        <v>0</v>
      </c>
      <c r="J314" s="15">
        <v>570.88</v>
      </c>
      <c r="K314" s="15">
        <v>570.88</v>
      </c>
      <c r="L314" s="15">
        <v>570.88</v>
      </c>
      <c r="M314" s="15">
        <v>570.88</v>
      </c>
      <c r="N314" s="15">
        <v>570.88</v>
      </c>
      <c r="O314" t="s">
        <v>75</v>
      </c>
    </row>
    <row r="315" spans="1:15" x14ac:dyDescent="0.25">
      <c r="A315" s="10" t="s">
        <v>738</v>
      </c>
      <c r="B315" s="15">
        <v>341.89</v>
      </c>
      <c r="C315" s="15">
        <v>570.88</v>
      </c>
      <c r="D315" s="15">
        <v>529.08000000000004</v>
      </c>
      <c r="E315" s="15">
        <v>287.62</v>
      </c>
      <c r="F315" s="15">
        <v>382.59</v>
      </c>
      <c r="G315" s="15">
        <v>382.59</v>
      </c>
      <c r="H315" s="15">
        <v>382.59</v>
      </c>
      <c r="I315" s="15">
        <v>382.59</v>
      </c>
      <c r="J315" s="15">
        <v>529.08000000000004</v>
      </c>
      <c r="K315" s="15">
        <v>287.62</v>
      </c>
      <c r="L315" s="15">
        <v>382.59</v>
      </c>
      <c r="M315" s="15">
        <v>382.59</v>
      </c>
      <c r="N315" s="15">
        <v>400.29</v>
      </c>
      <c r="O315" t="s">
        <v>75</v>
      </c>
    </row>
    <row r="316" spans="1:15" x14ac:dyDescent="0.25">
      <c r="A316" s="10" t="s">
        <v>740</v>
      </c>
      <c r="B316" s="15">
        <v>465.99</v>
      </c>
      <c r="C316" s="15">
        <v>570.88</v>
      </c>
      <c r="D316" s="15">
        <v>570.88</v>
      </c>
      <c r="E316" s="15">
        <v>570.88</v>
      </c>
      <c r="F316" s="15">
        <v>570.88</v>
      </c>
      <c r="G316" s="15">
        <v>931.63</v>
      </c>
      <c r="H316" s="15">
        <v>210.13</v>
      </c>
      <c r="I316" s="15">
        <v>570.88</v>
      </c>
      <c r="J316" s="15">
        <v>570.88</v>
      </c>
      <c r="K316" s="15">
        <v>570.88</v>
      </c>
      <c r="L316" s="15">
        <v>931.63</v>
      </c>
      <c r="M316" s="15">
        <v>210.13</v>
      </c>
      <c r="N316" s="15">
        <v>570.88</v>
      </c>
      <c r="O316" t="s">
        <v>75</v>
      </c>
    </row>
    <row r="317" spans="1:15" x14ac:dyDescent="0.25">
      <c r="A317" s="10" t="s">
        <v>742</v>
      </c>
      <c r="B317" s="15">
        <v>89.11</v>
      </c>
      <c r="C317" s="15">
        <v>156.11000000000001</v>
      </c>
      <c r="D317" s="15">
        <v>153.31</v>
      </c>
      <c r="E317" s="15">
        <v>153.31</v>
      </c>
      <c r="F317" s="15">
        <v>153.31</v>
      </c>
      <c r="G317" s="15">
        <v>153.31</v>
      </c>
      <c r="H317" s="15">
        <v>153.31</v>
      </c>
      <c r="I317" s="15">
        <v>153.31</v>
      </c>
      <c r="J317" s="15">
        <v>153.31</v>
      </c>
      <c r="K317" s="15">
        <v>153.31</v>
      </c>
      <c r="L317" s="15">
        <v>153.31</v>
      </c>
      <c r="M317" s="15">
        <v>153.31</v>
      </c>
      <c r="N317" s="15">
        <v>153.54</v>
      </c>
      <c r="O317" t="s">
        <v>75</v>
      </c>
    </row>
    <row r="318" spans="1:15" x14ac:dyDescent="0.25">
      <c r="A318" s="10" t="s">
        <v>744</v>
      </c>
      <c r="B318" s="15">
        <v>172.94</v>
      </c>
      <c r="C318" s="15">
        <v>216.22</v>
      </c>
      <c r="D318" s="15">
        <v>183.82</v>
      </c>
      <c r="E318" s="15">
        <v>183.82</v>
      </c>
      <c r="F318" s="15">
        <v>202.82</v>
      </c>
      <c r="G318" s="15">
        <v>183.82</v>
      </c>
      <c r="H318" s="15">
        <v>183.82</v>
      </c>
      <c r="I318" s="15">
        <v>183.82</v>
      </c>
      <c r="J318" s="15">
        <v>183.82</v>
      </c>
      <c r="K318" s="15">
        <v>183.82</v>
      </c>
      <c r="L318" s="15">
        <v>331.19</v>
      </c>
      <c r="M318" s="15">
        <v>105.73</v>
      </c>
      <c r="N318" s="15">
        <v>188.1</v>
      </c>
      <c r="O318" t="s">
        <v>75</v>
      </c>
    </row>
    <row r="319" spans="1:15" x14ac:dyDescent="0.25">
      <c r="A319" s="10" t="s">
        <v>746</v>
      </c>
      <c r="B319" s="15">
        <v>101.84</v>
      </c>
      <c r="C319" s="15">
        <v>90.48</v>
      </c>
      <c r="D319" s="15">
        <v>123.89</v>
      </c>
      <c r="E319" s="15">
        <v>123.89</v>
      </c>
      <c r="F319" s="15">
        <v>123.89</v>
      </c>
      <c r="G319" s="15">
        <v>123.89</v>
      </c>
      <c r="H319" s="15">
        <v>190.15</v>
      </c>
      <c r="I319" s="15">
        <v>123.89</v>
      </c>
      <c r="J319" s="15">
        <v>91.91</v>
      </c>
      <c r="K319" s="15">
        <v>123.89</v>
      </c>
      <c r="L319" s="15">
        <v>123.89</v>
      </c>
      <c r="M319" s="15">
        <v>123.89</v>
      </c>
      <c r="N319" s="15">
        <v>124.24</v>
      </c>
      <c r="O319" t="s">
        <v>75</v>
      </c>
    </row>
    <row r="320" spans="1:15" x14ac:dyDescent="0.25">
      <c r="A320" s="10" t="s">
        <v>748</v>
      </c>
      <c r="B320" s="15">
        <v>513.01</v>
      </c>
      <c r="C320" s="15">
        <v>570.88</v>
      </c>
      <c r="D320" s="15">
        <v>570.88</v>
      </c>
      <c r="E320" s="15">
        <v>570.88</v>
      </c>
      <c r="F320" s="15">
        <v>570.88</v>
      </c>
      <c r="G320" s="15">
        <v>570.88</v>
      </c>
      <c r="H320" s="15">
        <v>570.88</v>
      </c>
      <c r="I320" s="15">
        <v>570.88</v>
      </c>
      <c r="J320" s="15">
        <v>570.88</v>
      </c>
      <c r="K320" s="15">
        <v>570.88</v>
      </c>
      <c r="L320" s="15">
        <v>570.88</v>
      </c>
      <c r="M320" s="15">
        <v>570.88</v>
      </c>
      <c r="N320" s="15">
        <v>570.88</v>
      </c>
      <c r="O320" t="s">
        <v>75</v>
      </c>
    </row>
    <row r="321" spans="1:15" x14ac:dyDescent="0.25">
      <c r="A321" s="10" t="s">
        <v>750</v>
      </c>
      <c r="B321" s="15">
        <v>119.38</v>
      </c>
      <c r="C321" s="15">
        <v>201.58</v>
      </c>
      <c r="D321" s="15">
        <v>199</v>
      </c>
      <c r="E321" s="15">
        <v>199</v>
      </c>
      <c r="F321" s="15">
        <v>199</v>
      </c>
      <c r="G321" s="15">
        <v>199</v>
      </c>
      <c r="H321" s="15">
        <v>199</v>
      </c>
      <c r="I321" s="15">
        <v>199</v>
      </c>
      <c r="J321" s="15">
        <v>376.8</v>
      </c>
      <c r="K321" s="15">
        <v>199</v>
      </c>
      <c r="L321" s="15">
        <v>120.59</v>
      </c>
      <c r="M321" s="15">
        <v>199</v>
      </c>
      <c r="N321" s="15">
        <v>200.02</v>
      </c>
      <c r="O321" t="s">
        <v>75</v>
      </c>
    </row>
    <row r="322" spans="1:15" x14ac:dyDescent="0.25">
      <c r="A322" s="10" t="s">
        <v>752</v>
      </c>
      <c r="B322" s="15">
        <v>183.32</v>
      </c>
      <c r="C322" s="15">
        <v>199.05</v>
      </c>
      <c r="D322" s="15">
        <v>182.31</v>
      </c>
      <c r="E322" s="15">
        <v>60.24</v>
      </c>
      <c r="F322" s="15">
        <v>123.89</v>
      </c>
      <c r="G322" s="15">
        <v>123.89</v>
      </c>
      <c r="H322" s="15">
        <v>123.89</v>
      </c>
      <c r="I322" s="15">
        <v>123.89</v>
      </c>
      <c r="J322" s="15">
        <v>123.89</v>
      </c>
      <c r="K322" s="15">
        <v>123.89</v>
      </c>
      <c r="L322" s="15">
        <v>372.04</v>
      </c>
      <c r="M322" s="15">
        <v>123.89</v>
      </c>
      <c r="N322" s="15">
        <v>173.9</v>
      </c>
      <c r="O322" t="s">
        <v>75</v>
      </c>
    </row>
    <row r="323" spans="1:15" x14ac:dyDescent="0.25">
      <c r="A323" s="10" t="s">
        <v>754</v>
      </c>
      <c r="B323" s="15">
        <v>0</v>
      </c>
      <c r="C323" s="15">
        <v>0</v>
      </c>
      <c r="D323" s="15">
        <v>0</v>
      </c>
      <c r="E323" s="15">
        <v>33.14</v>
      </c>
      <c r="F323" s="15">
        <v>58.49</v>
      </c>
      <c r="G323" s="15">
        <v>66.209999999999994</v>
      </c>
      <c r="H323" s="15">
        <v>61.5</v>
      </c>
      <c r="I323" s="15">
        <v>61.5</v>
      </c>
      <c r="J323" s="15">
        <v>61.5</v>
      </c>
      <c r="K323" s="15">
        <v>61.5</v>
      </c>
      <c r="L323" s="15">
        <v>61.5</v>
      </c>
      <c r="M323" s="15">
        <v>61.5</v>
      </c>
      <c r="N323" s="15">
        <v>51.25</v>
      </c>
      <c r="O323" t="s">
        <v>75</v>
      </c>
    </row>
    <row r="324" spans="1:15" x14ac:dyDescent="0.25">
      <c r="A324" s="10" t="s">
        <v>756</v>
      </c>
      <c r="B324" s="15">
        <v>513.01</v>
      </c>
      <c r="C324" s="15">
        <v>570.88</v>
      </c>
      <c r="D324" s="15">
        <v>570.88</v>
      </c>
      <c r="E324" s="15">
        <v>1141.76</v>
      </c>
      <c r="F324" s="15">
        <v>570.88</v>
      </c>
      <c r="G324" s="15">
        <v>0</v>
      </c>
      <c r="H324" s="15">
        <v>570.88</v>
      </c>
      <c r="I324" s="15">
        <v>570.88</v>
      </c>
      <c r="J324" s="15">
        <v>570.88</v>
      </c>
      <c r="K324" s="15">
        <v>570.88</v>
      </c>
      <c r="L324" s="15">
        <v>570.88</v>
      </c>
      <c r="M324" s="15">
        <v>570.88</v>
      </c>
      <c r="N324" s="15">
        <v>570.88</v>
      </c>
      <c r="O324" t="s">
        <v>75</v>
      </c>
    </row>
    <row r="325" spans="1:15" x14ac:dyDescent="0.25">
      <c r="A325" s="10" t="s">
        <v>758</v>
      </c>
      <c r="B325" s="15">
        <v>179.03</v>
      </c>
      <c r="C325" s="15">
        <v>203.77</v>
      </c>
      <c r="D325" s="15">
        <v>277.64</v>
      </c>
      <c r="E325" s="15">
        <v>141.31</v>
      </c>
      <c r="F325" s="15">
        <v>199</v>
      </c>
      <c r="G325" s="15">
        <v>191.97</v>
      </c>
      <c r="H325" s="15">
        <v>197.07</v>
      </c>
      <c r="I325" s="15">
        <v>199</v>
      </c>
      <c r="J325" s="15">
        <v>199</v>
      </c>
      <c r="K325" s="15">
        <v>199</v>
      </c>
      <c r="L325" s="15">
        <v>375.95</v>
      </c>
      <c r="M325" s="15">
        <v>199</v>
      </c>
      <c r="N325" s="15">
        <v>199.4</v>
      </c>
      <c r="O325" t="s">
        <v>75</v>
      </c>
    </row>
    <row r="326" spans="1:15" x14ac:dyDescent="0.25">
      <c r="A326" s="10" t="s">
        <v>760</v>
      </c>
      <c r="B326" s="15">
        <v>179.03</v>
      </c>
      <c r="C326" s="15">
        <v>412.27</v>
      </c>
      <c r="D326" s="15">
        <v>294.75</v>
      </c>
      <c r="E326" s="15">
        <v>294.75</v>
      </c>
      <c r="F326" s="15">
        <v>509.02</v>
      </c>
      <c r="G326" s="15">
        <v>294.75</v>
      </c>
      <c r="H326" s="15">
        <v>161.24</v>
      </c>
      <c r="I326" s="15">
        <v>282.33</v>
      </c>
      <c r="J326" s="15">
        <v>294.75</v>
      </c>
      <c r="K326" s="15">
        <v>294.75</v>
      </c>
      <c r="L326" s="15">
        <v>294.75</v>
      </c>
      <c r="M326" s="15">
        <v>394.19</v>
      </c>
      <c r="N326" s="15">
        <v>307.66000000000003</v>
      </c>
      <c r="O326" t="s">
        <v>75</v>
      </c>
    </row>
    <row r="327" spans="1:15" x14ac:dyDescent="0.25">
      <c r="A327" s="10" t="s">
        <v>762</v>
      </c>
      <c r="B327" s="15">
        <v>179.03</v>
      </c>
      <c r="C327" s="15">
        <v>232.24</v>
      </c>
      <c r="D327" s="15">
        <v>199</v>
      </c>
      <c r="E327" s="15">
        <v>199</v>
      </c>
      <c r="F327" s="15">
        <v>199</v>
      </c>
      <c r="G327" s="15">
        <v>199</v>
      </c>
      <c r="H327" s="15">
        <v>199</v>
      </c>
      <c r="I327" s="15">
        <v>199</v>
      </c>
      <c r="J327" s="15">
        <v>199</v>
      </c>
      <c r="K327" s="15">
        <v>199</v>
      </c>
      <c r="L327" s="15">
        <v>529.97</v>
      </c>
      <c r="M327" s="15">
        <v>199</v>
      </c>
      <c r="N327" s="15">
        <v>201.77</v>
      </c>
      <c r="O327" t="s">
        <v>75</v>
      </c>
    </row>
    <row r="328" spans="1:15" x14ac:dyDescent="0.25">
      <c r="A328" s="10" t="s">
        <v>764</v>
      </c>
      <c r="B328" s="15">
        <v>273.51</v>
      </c>
      <c r="C328" s="15">
        <v>190.09</v>
      </c>
      <c r="D328" s="15">
        <v>292.07</v>
      </c>
      <c r="E328" s="15">
        <v>292.07</v>
      </c>
      <c r="F328" s="15">
        <v>290.3</v>
      </c>
      <c r="G328" s="15">
        <v>292.07</v>
      </c>
      <c r="H328" s="15">
        <v>292.07</v>
      </c>
      <c r="I328" s="15">
        <v>292.07</v>
      </c>
      <c r="J328" s="15">
        <v>292.07</v>
      </c>
      <c r="K328" s="15">
        <v>440.76</v>
      </c>
      <c r="L328" s="15">
        <v>188.82</v>
      </c>
      <c r="M328" s="15">
        <v>292.07</v>
      </c>
      <c r="N328" s="15">
        <v>292.51</v>
      </c>
      <c r="O328" t="s">
        <v>75</v>
      </c>
    </row>
    <row r="329" spans="1:15" x14ac:dyDescent="0.25">
      <c r="A329" s="10" t="s">
        <v>766</v>
      </c>
      <c r="B329" s="15">
        <v>0</v>
      </c>
      <c r="C329" s="15">
        <v>0</v>
      </c>
      <c r="D329" s="15">
        <v>0</v>
      </c>
      <c r="E329" s="15">
        <v>0</v>
      </c>
      <c r="F329" s="15">
        <v>0</v>
      </c>
      <c r="G329" s="15">
        <v>0</v>
      </c>
      <c r="H329" s="15">
        <v>0</v>
      </c>
      <c r="I329" s="15">
        <v>0</v>
      </c>
      <c r="J329" s="15">
        <v>0</v>
      </c>
      <c r="K329" s="15">
        <v>0</v>
      </c>
      <c r="L329" s="15">
        <v>0</v>
      </c>
      <c r="M329" s="15">
        <v>0</v>
      </c>
      <c r="N329" s="15">
        <v>7.22</v>
      </c>
      <c r="O329" t="s">
        <v>75</v>
      </c>
    </row>
    <row r="330" spans="1:15" x14ac:dyDescent="0.25">
      <c r="A330" s="10" t="s">
        <v>768</v>
      </c>
      <c r="B330" s="15">
        <v>513.01</v>
      </c>
      <c r="C330" s="15">
        <v>570.88</v>
      </c>
      <c r="D330" s="15">
        <v>570.88</v>
      </c>
      <c r="E330" s="15">
        <v>570.88</v>
      </c>
      <c r="F330" s="15">
        <v>570.88</v>
      </c>
      <c r="G330" s="15">
        <v>570.88</v>
      </c>
      <c r="H330" s="15">
        <v>570.88</v>
      </c>
      <c r="I330" s="15">
        <v>570.88</v>
      </c>
      <c r="J330" s="15">
        <v>570.88</v>
      </c>
      <c r="K330" s="15">
        <v>570.88</v>
      </c>
      <c r="L330" s="15">
        <v>570.88</v>
      </c>
      <c r="M330" s="15">
        <v>570.88</v>
      </c>
      <c r="N330" s="15">
        <v>570.88</v>
      </c>
      <c r="O330" t="s">
        <v>75</v>
      </c>
    </row>
    <row r="331" spans="1:15" x14ac:dyDescent="0.25">
      <c r="A331" s="10" t="s">
        <v>770</v>
      </c>
      <c r="B331" s="15">
        <v>264.66000000000003</v>
      </c>
      <c r="C331" s="15">
        <v>279.52999999999997</v>
      </c>
      <c r="D331" s="15">
        <v>167.09</v>
      </c>
      <c r="E331" s="15">
        <v>194.71</v>
      </c>
      <c r="F331" s="15">
        <v>351.87</v>
      </c>
      <c r="G331" s="15">
        <v>194.71</v>
      </c>
      <c r="H331" s="15">
        <v>130.12</v>
      </c>
      <c r="I331" s="15">
        <v>194.71</v>
      </c>
      <c r="J331" s="15">
        <v>194.71</v>
      </c>
      <c r="K331" s="15">
        <v>194.71</v>
      </c>
      <c r="L331" s="15">
        <v>194.71</v>
      </c>
      <c r="M331" s="15">
        <v>281.24</v>
      </c>
      <c r="N331" s="15">
        <v>199.13</v>
      </c>
      <c r="O331" t="s">
        <v>75</v>
      </c>
    </row>
    <row r="332" spans="1:15" x14ac:dyDescent="0.25">
      <c r="A332" s="10" t="s">
        <v>772</v>
      </c>
      <c r="B332" s="15">
        <v>179.03</v>
      </c>
      <c r="C332" s="15">
        <v>199</v>
      </c>
      <c r="D332" s="15">
        <v>198.5</v>
      </c>
      <c r="E332" s="15">
        <v>198.47</v>
      </c>
      <c r="F332" s="15">
        <v>198.98</v>
      </c>
      <c r="G332" s="15">
        <v>199</v>
      </c>
      <c r="H332" s="15">
        <v>190.46</v>
      </c>
      <c r="I332" s="15">
        <v>199</v>
      </c>
      <c r="J332" s="15">
        <v>199</v>
      </c>
      <c r="K332" s="15">
        <v>199</v>
      </c>
      <c r="L332" s="15">
        <v>199</v>
      </c>
      <c r="M332" s="15">
        <v>199</v>
      </c>
      <c r="N332" s="15">
        <v>199</v>
      </c>
      <c r="O332" t="s">
        <v>75</v>
      </c>
    </row>
    <row r="333" spans="1:15" x14ac:dyDescent="0.25">
      <c r="A333" s="10" t="s">
        <v>774</v>
      </c>
      <c r="B333" s="15">
        <v>310.63</v>
      </c>
      <c r="C333" s="15">
        <v>422.46</v>
      </c>
      <c r="D333" s="15">
        <v>797.98</v>
      </c>
      <c r="E333" s="15">
        <v>422.46</v>
      </c>
      <c r="F333" s="15">
        <v>140.82</v>
      </c>
      <c r="G333" s="15">
        <v>422.46</v>
      </c>
      <c r="H333" s="15">
        <v>422.46</v>
      </c>
      <c r="I333" s="15">
        <v>422.46</v>
      </c>
      <c r="J333" s="15">
        <v>570.88</v>
      </c>
      <c r="K333" s="15">
        <v>0</v>
      </c>
      <c r="L333" s="15">
        <v>0</v>
      </c>
      <c r="M333" s="15">
        <v>0</v>
      </c>
      <c r="N333" s="15">
        <v>316.83999999999997</v>
      </c>
      <c r="O333" t="s">
        <v>75</v>
      </c>
    </row>
    <row r="334" spans="1:15" x14ac:dyDescent="0.25">
      <c r="A334" s="10" t="s">
        <v>776</v>
      </c>
      <c r="B334" s="15">
        <v>272.37</v>
      </c>
      <c r="C334" s="15">
        <v>115.52</v>
      </c>
      <c r="D334" s="15">
        <v>170.29</v>
      </c>
      <c r="E334" s="15">
        <v>175.23</v>
      </c>
      <c r="F334" s="15">
        <v>175.96</v>
      </c>
      <c r="G334" s="15">
        <v>175.23</v>
      </c>
      <c r="H334" s="15">
        <v>187.38</v>
      </c>
      <c r="I334" s="15">
        <v>175.01</v>
      </c>
      <c r="J334" s="15">
        <v>413.55</v>
      </c>
      <c r="K334" s="15">
        <v>222.27</v>
      </c>
      <c r="L334" s="15">
        <v>58.53</v>
      </c>
      <c r="M334" s="15">
        <v>491.82</v>
      </c>
      <c r="N334" s="15">
        <v>181.23</v>
      </c>
      <c r="O334" t="s">
        <v>75</v>
      </c>
    </row>
    <row r="335" spans="1:15" x14ac:dyDescent="0.25">
      <c r="A335" s="10" t="s">
        <v>778</v>
      </c>
      <c r="B335" s="15">
        <v>513.01</v>
      </c>
      <c r="C335" s="15">
        <v>570.88</v>
      </c>
      <c r="D335" s="15">
        <v>570.88</v>
      </c>
      <c r="E335" s="15">
        <v>570.88</v>
      </c>
      <c r="F335" s="15">
        <v>570.88</v>
      </c>
      <c r="G335" s="15">
        <v>570.88</v>
      </c>
      <c r="H335" s="15">
        <v>570.88</v>
      </c>
      <c r="I335" s="15">
        <v>1116.73</v>
      </c>
      <c r="J335" s="15">
        <v>570.88</v>
      </c>
      <c r="K335" s="15">
        <v>45.15</v>
      </c>
      <c r="L335" s="15">
        <v>550.76</v>
      </c>
      <c r="M335" s="15">
        <v>570.88</v>
      </c>
      <c r="N335" s="15">
        <v>570.88</v>
      </c>
      <c r="O335" t="s">
        <v>75</v>
      </c>
    </row>
    <row r="336" spans="1:15" x14ac:dyDescent="0.25">
      <c r="A336" s="10" t="s">
        <v>780</v>
      </c>
      <c r="B336" s="15">
        <v>0</v>
      </c>
      <c r="C336" s="15">
        <v>0</v>
      </c>
      <c r="D336" s="15">
        <v>0</v>
      </c>
      <c r="E336" s="15">
        <v>0</v>
      </c>
      <c r="F336" s="15">
        <v>140.53</v>
      </c>
      <c r="G336" s="15">
        <v>168.64</v>
      </c>
      <c r="H336" s="15">
        <v>190.9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37.47</v>
      </c>
      <c r="O336" t="s">
        <v>75</v>
      </c>
    </row>
    <row r="337" spans="1:15" x14ac:dyDescent="0.25">
      <c r="A337" s="10" t="s">
        <v>782</v>
      </c>
      <c r="B337" s="15">
        <v>269.83999999999997</v>
      </c>
      <c r="C337" s="15">
        <v>194.71</v>
      </c>
      <c r="D337" s="15">
        <v>142.77000000000001</v>
      </c>
      <c r="E337" s="15">
        <v>194.71</v>
      </c>
      <c r="F337" s="15">
        <v>194.71</v>
      </c>
      <c r="G337" s="15">
        <v>194.71</v>
      </c>
      <c r="H337" s="15">
        <v>305.72000000000003</v>
      </c>
      <c r="I337" s="15">
        <v>194.71</v>
      </c>
      <c r="J337" s="15">
        <v>117.72</v>
      </c>
      <c r="K337" s="15">
        <v>194.71</v>
      </c>
      <c r="L337" s="15">
        <v>194.71</v>
      </c>
      <c r="M337" s="15">
        <v>194.71</v>
      </c>
      <c r="N337" s="15">
        <v>194.71</v>
      </c>
      <c r="O337" t="s">
        <v>75</v>
      </c>
    </row>
    <row r="338" spans="1:15" x14ac:dyDescent="0.25">
      <c r="A338" s="10" t="s">
        <v>784</v>
      </c>
      <c r="B338" s="15">
        <v>171.86</v>
      </c>
      <c r="C338" s="15">
        <v>175.23</v>
      </c>
      <c r="D338" s="15">
        <v>186.92</v>
      </c>
      <c r="E338" s="15">
        <v>175.23</v>
      </c>
      <c r="F338" s="15">
        <v>186.92</v>
      </c>
      <c r="G338" s="15">
        <v>187.33</v>
      </c>
      <c r="H338" s="15">
        <v>186.92</v>
      </c>
      <c r="I338" s="15">
        <v>470.51</v>
      </c>
      <c r="J338" s="15">
        <v>175.23</v>
      </c>
      <c r="K338" s="15">
        <v>57.11</v>
      </c>
      <c r="L338" s="15">
        <v>175.96</v>
      </c>
      <c r="M338" s="15">
        <v>186.92</v>
      </c>
      <c r="N338" s="15">
        <v>185.01</v>
      </c>
      <c r="O338" t="s">
        <v>75</v>
      </c>
    </row>
    <row r="339" spans="1:15" x14ac:dyDescent="0.25">
      <c r="A339" s="10" t="s">
        <v>786</v>
      </c>
      <c r="B339" s="15">
        <v>179.03</v>
      </c>
      <c r="C339" s="15">
        <v>194.71</v>
      </c>
      <c r="D339" s="15">
        <v>304.58</v>
      </c>
      <c r="E339" s="15">
        <v>194.71</v>
      </c>
      <c r="F339" s="15">
        <v>117.58</v>
      </c>
      <c r="G339" s="15">
        <v>194.71</v>
      </c>
      <c r="H339" s="15">
        <v>194.71</v>
      </c>
      <c r="I339" s="15">
        <v>194.71</v>
      </c>
      <c r="J339" s="15">
        <v>194.71</v>
      </c>
      <c r="K339" s="15">
        <v>194.71</v>
      </c>
      <c r="L339" s="15">
        <v>287.01</v>
      </c>
      <c r="M339" s="15">
        <v>194.71</v>
      </c>
      <c r="N339" s="15">
        <v>194.71</v>
      </c>
      <c r="O339" t="s">
        <v>75</v>
      </c>
    </row>
    <row r="340" spans="1:15" x14ac:dyDescent="0.25">
      <c r="A340" s="10" t="s">
        <v>788</v>
      </c>
      <c r="B340" s="15">
        <v>81.47</v>
      </c>
      <c r="C340" s="15">
        <v>89.71</v>
      </c>
      <c r="D340" s="15">
        <v>86.63</v>
      </c>
      <c r="E340" s="15">
        <v>86.63</v>
      </c>
      <c r="F340" s="15">
        <v>86.52</v>
      </c>
      <c r="G340" s="15">
        <v>86.63</v>
      </c>
      <c r="H340" s="15">
        <v>86.63</v>
      </c>
      <c r="I340" s="15">
        <v>86.63</v>
      </c>
      <c r="J340" s="15">
        <v>86.63</v>
      </c>
      <c r="K340" s="15">
        <v>86.5</v>
      </c>
      <c r="L340" s="15">
        <v>86.63</v>
      </c>
      <c r="M340" s="15">
        <v>202.48</v>
      </c>
      <c r="N340" s="15">
        <v>86.89</v>
      </c>
      <c r="O340" t="s">
        <v>75</v>
      </c>
    </row>
    <row r="341" spans="1:15" x14ac:dyDescent="0.25">
      <c r="A341" s="10" t="s">
        <v>790</v>
      </c>
      <c r="B341" s="15">
        <v>143.22</v>
      </c>
      <c r="C341" s="15">
        <v>100.3</v>
      </c>
      <c r="D341" s="15">
        <v>153.31</v>
      </c>
      <c r="E341" s="15">
        <v>153.31</v>
      </c>
      <c r="F341" s="15">
        <v>153.31</v>
      </c>
      <c r="G341" s="15">
        <v>153.31</v>
      </c>
      <c r="H341" s="15">
        <v>153.31</v>
      </c>
      <c r="I341" s="15">
        <v>165.91</v>
      </c>
      <c r="J341" s="15">
        <v>0</v>
      </c>
      <c r="K341" s="15">
        <v>0</v>
      </c>
      <c r="L341" s="15">
        <v>0</v>
      </c>
      <c r="M341" s="15">
        <v>0</v>
      </c>
      <c r="N341" s="15">
        <v>82.1</v>
      </c>
      <c r="O341" t="s">
        <v>75</v>
      </c>
    </row>
    <row r="342" spans="1:15" x14ac:dyDescent="0.25">
      <c r="A342" s="10" t="s">
        <v>792</v>
      </c>
      <c r="B342" s="15">
        <v>143.22</v>
      </c>
      <c r="C342" s="15">
        <v>170.07</v>
      </c>
      <c r="D342" s="15">
        <v>151.91999999999999</v>
      </c>
      <c r="E342" s="15">
        <v>151.91999999999999</v>
      </c>
      <c r="F342" s="15">
        <v>150.99</v>
      </c>
      <c r="G342" s="15">
        <v>352</v>
      </c>
      <c r="H342" s="15">
        <v>134.69999999999999</v>
      </c>
      <c r="I342" s="15">
        <v>19.98</v>
      </c>
      <c r="J342" s="15">
        <v>151.5</v>
      </c>
      <c r="K342" s="15">
        <v>151.88</v>
      </c>
      <c r="L342" s="15">
        <v>148.46</v>
      </c>
      <c r="M342" s="15">
        <v>151.91999999999999</v>
      </c>
      <c r="N342" s="15">
        <v>153.43</v>
      </c>
      <c r="O342" t="s">
        <v>75</v>
      </c>
    </row>
    <row r="343" spans="1:15" x14ac:dyDescent="0.25">
      <c r="A343" s="10" t="s">
        <v>794</v>
      </c>
      <c r="B343" s="15">
        <v>171.96</v>
      </c>
      <c r="C343" s="15">
        <v>472.94</v>
      </c>
      <c r="D343" s="15">
        <v>187.64</v>
      </c>
      <c r="E343" s="15">
        <v>0</v>
      </c>
      <c r="F343" s="15">
        <v>175.23</v>
      </c>
      <c r="G343" s="15">
        <v>175.16</v>
      </c>
      <c r="H343" s="15">
        <v>161.47999999999999</v>
      </c>
      <c r="I343" s="15">
        <v>495.34</v>
      </c>
      <c r="J343" s="15">
        <v>0</v>
      </c>
      <c r="K343" s="15">
        <v>0</v>
      </c>
      <c r="L343" s="15">
        <v>0</v>
      </c>
      <c r="M343" s="15">
        <v>0</v>
      </c>
      <c r="N343" s="15">
        <v>120.08</v>
      </c>
      <c r="O343" t="s">
        <v>75</v>
      </c>
    </row>
    <row r="344" spans="1:15" x14ac:dyDescent="0.25">
      <c r="A344" s="10" t="s">
        <v>796</v>
      </c>
      <c r="B344" s="15">
        <v>61.1</v>
      </c>
      <c r="C344" s="15">
        <v>71.47</v>
      </c>
      <c r="D344" s="15">
        <v>570.88</v>
      </c>
      <c r="E344" s="15">
        <v>180.91</v>
      </c>
      <c r="F344" s="15">
        <v>180.91</v>
      </c>
      <c r="G344" s="15">
        <v>180.91</v>
      </c>
      <c r="H344" s="15">
        <v>252.38</v>
      </c>
      <c r="I344" s="15">
        <v>129.54</v>
      </c>
      <c r="J344" s="15">
        <v>180.91</v>
      </c>
      <c r="K344" s="15">
        <v>252.38</v>
      </c>
      <c r="L344" s="15">
        <v>129.54</v>
      </c>
      <c r="M344" s="15">
        <v>180.91</v>
      </c>
      <c r="N344" s="15">
        <v>180.91</v>
      </c>
      <c r="O344" t="s">
        <v>75</v>
      </c>
    </row>
    <row r="345" spans="1:15" x14ac:dyDescent="0.25">
      <c r="A345" s="10" t="s">
        <v>798</v>
      </c>
      <c r="B345" s="15">
        <v>0</v>
      </c>
      <c r="C345" s="15">
        <v>0</v>
      </c>
      <c r="D345" s="15">
        <v>0</v>
      </c>
      <c r="E345" s="15">
        <v>0</v>
      </c>
      <c r="F345" s="15">
        <v>102.21</v>
      </c>
      <c r="G345" s="15">
        <v>147.18</v>
      </c>
      <c r="H345" s="15">
        <v>122.05</v>
      </c>
      <c r="I345" s="15">
        <v>123.29</v>
      </c>
      <c r="J345" s="15">
        <v>122.65</v>
      </c>
      <c r="K345" s="15">
        <v>174.59</v>
      </c>
      <c r="L345" s="15">
        <v>147.18</v>
      </c>
      <c r="M345" s="15">
        <v>156.38</v>
      </c>
      <c r="N345" s="15">
        <v>98.24</v>
      </c>
      <c r="O345" t="s">
        <v>75</v>
      </c>
    </row>
    <row r="346" spans="1:15" x14ac:dyDescent="0.25">
      <c r="A346" s="10" t="s">
        <v>800</v>
      </c>
      <c r="B346" s="15">
        <v>179.03</v>
      </c>
      <c r="C346" s="15">
        <v>220.6</v>
      </c>
      <c r="D346" s="15">
        <v>194.71</v>
      </c>
      <c r="E346" s="15">
        <v>194.71</v>
      </c>
      <c r="F346" s="15">
        <v>194.71</v>
      </c>
      <c r="G346" s="15">
        <v>194.71</v>
      </c>
      <c r="H346" s="15">
        <v>194.71</v>
      </c>
      <c r="I346" s="15">
        <v>194.71</v>
      </c>
      <c r="J346" s="15">
        <v>194.71</v>
      </c>
      <c r="K346" s="15">
        <v>194.71</v>
      </c>
      <c r="L346" s="15">
        <v>194.71</v>
      </c>
      <c r="M346" s="15">
        <v>194.71</v>
      </c>
      <c r="N346" s="15">
        <v>196.86</v>
      </c>
      <c r="O346" t="s">
        <v>75</v>
      </c>
    </row>
    <row r="347" spans="1:15" x14ac:dyDescent="0.25">
      <c r="A347" s="10" t="s">
        <v>802</v>
      </c>
      <c r="B347" s="15">
        <v>0</v>
      </c>
      <c r="C347" s="15">
        <v>0</v>
      </c>
      <c r="D347" s="15">
        <v>0</v>
      </c>
      <c r="E347" s="15">
        <v>0</v>
      </c>
      <c r="F347" s="15">
        <v>0</v>
      </c>
      <c r="G347" s="15">
        <v>0</v>
      </c>
      <c r="H347" s="15">
        <v>0</v>
      </c>
      <c r="I347" s="15">
        <v>0</v>
      </c>
      <c r="J347" s="15">
        <v>0</v>
      </c>
      <c r="K347" s="15">
        <v>24.6</v>
      </c>
      <c r="L347" s="15">
        <v>59.45</v>
      </c>
      <c r="M347" s="15">
        <v>61.5</v>
      </c>
      <c r="N347" s="15">
        <v>15.37</v>
      </c>
      <c r="O347" t="s">
        <v>75</v>
      </c>
    </row>
    <row r="348" spans="1:15" x14ac:dyDescent="0.25">
      <c r="A348" s="10" t="s">
        <v>804</v>
      </c>
      <c r="B348" s="15">
        <v>44.54</v>
      </c>
      <c r="C348" s="15">
        <v>58.49</v>
      </c>
      <c r="D348" s="15">
        <v>58.49</v>
      </c>
      <c r="E348" s="15">
        <v>58.49</v>
      </c>
      <c r="F348" s="15">
        <v>58.49</v>
      </c>
      <c r="G348" s="15">
        <v>73.53</v>
      </c>
      <c r="H348" s="15">
        <v>61.5</v>
      </c>
      <c r="I348" s="15">
        <v>61.5</v>
      </c>
      <c r="J348" s="15">
        <v>61.5</v>
      </c>
      <c r="K348" s="15">
        <v>61.5</v>
      </c>
      <c r="L348" s="15">
        <v>73.8</v>
      </c>
      <c r="M348" s="15">
        <v>94.03</v>
      </c>
      <c r="N348" s="15">
        <v>71.69</v>
      </c>
      <c r="O348" t="s">
        <v>75</v>
      </c>
    </row>
    <row r="349" spans="1:15" x14ac:dyDescent="0.25">
      <c r="A349" s="10" t="s">
        <v>806</v>
      </c>
      <c r="B349" s="15">
        <v>0</v>
      </c>
      <c r="C349" s="15">
        <v>2.15</v>
      </c>
      <c r="D349" s="15">
        <v>0</v>
      </c>
      <c r="E349" s="15">
        <v>0</v>
      </c>
      <c r="F349" s="15">
        <v>0</v>
      </c>
      <c r="G349" s="15">
        <v>0</v>
      </c>
      <c r="H349" s="15">
        <v>0</v>
      </c>
      <c r="I349" s="15">
        <v>0</v>
      </c>
      <c r="J349" s="15">
        <v>0</v>
      </c>
      <c r="K349" s="15">
        <v>0</v>
      </c>
      <c r="L349" s="15">
        <v>0</v>
      </c>
      <c r="M349" s="15">
        <v>0</v>
      </c>
      <c r="N349" s="15">
        <v>8.07</v>
      </c>
      <c r="O349" t="s">
        <v>75</v>
      </c>
    </row>
    <row r="350" spans="1:15" x14ac:dyDescent="0.25">
      <c r="A350" s="10" t="s">
        <v>808</v>
      </c>
      <c r="B350" s="15">
        <v>143.22</v>
      </c>
      <c r="C350" s="15">
        <v>175.57</v>
      </c>
      <c r="D350" s="15">
        <v>153.31</v>
      </c>
      <c r="E350" s="15">
        <v>153.31</v>
      </c>
      <c r="F350" s="15">
        <v>153.31</v>
      </c>
      <c r="G350" s="15">
        <v>153.31</v>
      </c>
      <c r="H350" s="15">
        <v>152.29</v>
      </c>
      <c r="I350" s="15">
        <v>145.44</v>
      </c>
      <c r="J350" s="15">
        <v>153.31</v>
      </c>
      <c r="K350" s="15">
        <v>153.31</v>
      </c>
      <c r="L350" s="15">
        <v>153.31</v>
      </c>
      <c r="M350" s="15">
        <v>152.19999999999999</v>
      </c>
      <c r="N350" s="15">
        <v>155.16</v>
      </c>
      <c r="O350" t="s">
        <v>75</v>
      </c>
    </row>
    <row r="351" spans="1:15" x14ac:dyDescent="0.25">
      <c r="A351" s="10" t="s">
        <v>810</v>
      </c>
      <c r="B351" s="15">
        <v>0</v>
      </c>
      <c r="C351" s="15">
        <v>0</v>
      </c>
      <c r="D351" s="15">
        <v>0</v>
      </c>
      <c r="E351" s="15">
        <v>0</v>
      </c>
      <c r="F351" s="15">
        <v>0</v>
      </c>
      <c r="G351" s="15">
        <v>0</v>
      </c>
      <c r="H351" s="15">
        <v>0</v>
      </c>
      <c r="I351" s="15">
        <v>0</v>
      </c>
      <c r="J351" s="15">
        <v>0</v>
      </c>
      <c r="K351" s="15">
        <v>422.46</v>
      </c>
      <c r="L351" s="15">
        <v>422.46</v>
      </c>
      <c r="M351" s="15">
        <v>422.46</v>
      </c>
      <c r="N351" s="15">
        <v>102.41</v>
      </c>
      <c r="O351" t="s">
        <v>75</v>
      </c>
    </row>
    <row r="352" spans="1:15" x14ac:dyDescent="0.25">
      <c r="A352" s="10" t="s">
        <v>812</v>
      </c>
      <c r="B352" s="15">
        <v>0</v>
      </c>
      <c r="C352" s="15">
        <v>0</v>
      </c>
      <c r="D352" s="15">
        <v>0</v>
      </c>
      <c r="E352" s="15">
        <v>0</v>
      </c>
      <c r="F352" s="15">
        <v>0</v>
      </c>
      <c r="G352" s="15">
        <v>85.85</v>
      </c>
      <c r="H352" s="15">
        <v>122.65</v>
      </c>
      <c r="I352" s="15">
        <v>122.56</v>
      </c>
      <c r="J352" s="15">
        <v>122.65</v>
      </c>
      <c r="K352" s="15">
        <v>174.06</v>
      </c>
      <c r="L352" s="15">
        <v>147.9</v>
      </c>
      <c r="M352" s="15">
        <v>157.1</v>
      </c>
      <c r="N352" s="15">
        <v>87.4</v>
      </c>
      <c r="O352" t="s">
        <v>75</v>
      </c>
    </row>
    <row r="353" spans="1:15" x14ac:dyDescent="0.25">
      <c r="A353" s="10" t="s">
        <v>814</v>
      </c>
      <c r="B353" s="15">
        <v>57.52</v>
      </c>
      <c r="C353" s="15">
        <v>0</v>
      </c>
      <c r="D353" s="15">
        <v>0</v>
      </c>
      <c r="E353" s="15">
        <v>0</v>
      </c>
      <c r="F353" s="15">
        <v>0.19</v>
      </c>
      <c r="G353" s="15">
        <v>0</v>
      </c>
      <c r="H353" s="15">
        <v>0</v>
      </c>
      <c r="I353" s="15">
        <v>0</v>
      </c>
      <c r="J353" s="15">
        <v>0</v>
      </c>
      <c r="K353" s="15">
        <v>0</v>
      </c>
      <c r="L353" s="15">
        <v>0</v>
      </c>
      <c r="M353" s="15">
        <v>0</v>
      </c>
      <c r="N353" s="15">
        <v>0</v>
      </c>
      <c r="O353" t="s">
        <v>75</v>
      </c>
    </row>
    <row r="354" spans="1:15" x14ac:dyDescent="0.25">
      <c r="A354" s="10" t="s">
        <v>816</v>
      </c>
      <c r="B354" s="15">
        <v>55.67</v>
      </c>
      <c r="C354" s="15">
        <v>58.49</v>
      </c>
      <c r="D354" s="15">
        <v>58.49</v>
      </c>
      <c r="E354" s="15">
        <v>58.49</v>
      </c>
      <c r="F354" s="15">
        <v>58.49</v>
      </c>
      <c r="G354" s="15">
        <v>71.47</v>
      </c>
      <c r="H354" s="15">
        <v>61.5</v>
      </c>
      <c r="I354" s="15">
        <v>61.5</v>
      </c>
      <c r="J354" s="15">
        <v>69.7</v>
      </c>
      <c r="K354" s="15">
        <v>0</v>
      </c>
      <c r="L354" s="15">
        <v>0</v>
      </c>
      <c r="M354" s="15">
        <v>0</v>
      </c>
      <c r="N354" s="15">
        <v>41</v>
      </c>
      <c r="O354" t="s">
        <v>75</v>
      </c>
    </row>
    <row r="355" spans="1:15" x14ac:dyDescent="0.25">
      <c r="A355" s="10" t="s">
        <v>818</v>
      </c>
      <c r="B355" s="15">
        <v>0</v>
      </c>
      <c r="C355" s="15">
        <v>157.22999999999999</v>
      </c>
      <c r="D355" s="15">
        <v>133.9</v>
      </c>
      <c r="E355" s="15">
        <v>131.19</v>
      </c>
      <c r="F355" s="15">
        <v>199</v>
      </c>
      <c r="G355" s="15">
        <v>199</v>
      </c>
      <c r="H355" s="15">
        <v>197.36</v>
      </c>
      <c r="I355" s="15">
        <v>199</v>
      </c>
      <c r="J355" s="15">
        <v>199</v>
      </c>
      <c r="K355" s="15">
        <v>199</v>
      </c>
      <c r="L355" s="15">
        <v>199</v>
      </c>
      <c r="M355" s="15">
        <v>199</v>
      </c>
      <c r="N355" s="15">
        <v>182.41</v>
      </c>
      <c r="O355" t="s">
        <v>75</v>
      </c>
    </row>
    <row r="356" spans="1:15" x14ac:dyDescent="0.25">
      <c r="A356" s="10" t="s">
        <v>820</v>
      </c>
      <c r="B356" s="15">
        <v>47.74</v>
      </c>
      <c r="C356" s="15">
        <v>175.25</v>
      </c>
      <c r="D356" s="15">
        <v>186.94</v>
      </c>
      <c r="E356" s="15">
        <v>187.66</v>
      </c>
      <c r="F356" s="15">
        <v>187.66</v>
      </c>
      <c r="G356" s="15">
        <v>203.68</v>
      </c>
      <c r="H356" s="15">
        <v>187.51</v>
      </c>
      <c r="I356" s="15">
        <v>175.25</v>
      </c>
      <c r="J356" s="15">
        <v>175.98</v>
      </c>
      <c r="K356" s="15">
        <v>221.19</v>
      </c>
      <c r="L356" s="15">
        <v>175.98</v>
      </c>
      <c r="M356" s="15">
        <v>186.94</v>
      </c>
      <c r="N356" s="15">
        <v>186.75</v>
      </c>
      <c r="O356" t="s">
        <v>75</v>
      </c>
    </row>
    <row r="357" spans="1:15" x14ac:dyDescent="0.25">
      <c r="A357" s="10" t="s">
        <v>822</v>
      </c>
      <c r="B357" s="15">
        <v>182.61</v>
      </c>
      <c r="C357" s="15">
        <v>175.96</v>
      </c>
      <c r="D357" s="15">
        <v>191.26</v>
      </c>
      <c r="E357" s="15">
        <v>190.53</v>
      </c>
      <c r="F357" s="15">
        <v>175.23</v>
      </c>
      <c r="G357" s="15">
        <v>502.15</v>
      </c>
      <c r="H357" s="15">
        <v>186.92</v>
      </c>
      <c r="I357" s="15">
        <v>0</v>
      </c>
      <c r="J357" s="15">
        <v>175.96</v>
      </c>
      <c r="K357" s="15">
        <v>221.97</v>
      </c>
      <c r="L357" s="15">
        <v>177.04</v>
      </c>
      <c r="M357" s="15">
        <v>200.41</v>
      </c>
      <c r="N357" s="15">
        <v>188.88</v>
      </c>
      <c r="O357" t="s">
        <v>75</v>
      </c>
    </row>
    <row r="358" spans="1:15" x14ac:dyDescent="0.25">
      <c r="A358" s="10" t="s">
        <v>824</v>
      </c>
      <c r="B358" s="15">
        <v>38.020000000000003</v>
      </c>
      <c r="C358" s="15">
        <v>86.77</v>
      </c>
      <c r="D358" s="15">
        <v>86.63</v>
      </c>
      <c r="E358" s="15">
        <v>135.16</v>
      </c>
      <c r="F358" s="15">
        <v>0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29.08</v>
      </c>
      <c r="O358" t="s">
        <v>75</v>
      </c>
    </row>
    <row r="359" spans="1:15" x14ac:dyDescent="0.25">
      <c r="A359" s="10" t="s">
        <v>826</v>
      </c>
      <c r="B359" s="15">
        <v>171.87</v>
      </c>
      <c r="C359" s="15">
        <v>176.68</v>
      </c>
      <c r="D359" s="15">
        <v>186.92</v>
      </c>
      <c r="E359" s="15">
        <v>175.96</v>
      </c>
      <c r="F359" s="15">
        <v>175.23</v>
      </c>
      <c r="G359" s="15">
        <v>186.92</v>
      </c>
      <c r="H359" s="15">
        <v>175.23</v>
      </c>
      <c r="I359" s="15">
        <v>175.96</v>
      </c>
      <c r="J359" s="15">
        <v>413.56</v>
      </c>
      <c r="K359" s="15">
        <v>222.69</v>
      </c>
      <c r="L359" s="15">
        <v>58.54</v>
      </c>
      <c r="M359" s="15">
        <v>170.29</v>
      </c>
      <c r="N359" s="15">
        <v>182.31</v>
      </c>
      <c r="O359" t="s">
        <v>75</v>
      </c>
    </row>
    <row r="360" spans="1:15" x14ac:dyDescent="0.25">
      <c r="A360" s="10" t="s">
        <v>828</v>
      </c>
      <c r="B360" s="15">
        <v>171.87</v>
      </c>
      <c r="C360" s="15">
        <v>175.23</v>
      </c>
      <c r="D360" s="15">
        <v>187.64</v>
      </c>
      <c r="E360" s="15">
        <v>186.92</v>
      </c>
      <c r="F360" s="15">
        <v>175.23</v>
      </c>
      <c r="G360" s="15">
        <v>36.340000000000003</v>
      </c>
      <c r="H360" s="15">
        <v>185.04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67.12</v>
      </c>
      <c r="O360" t="s">
        <v>75</v>
      </c>
    </row>
    <row r="361" spans="1:15" x14ac:dyDescent="0.25">
      <c r="A361" s="10" t="s">
        <v>830</v>
      </c>
      <c r="B361" s="15">
        <v>513.01</v>
      </c>
      <c r="C361" s="15">
        <v>57.87</v>
      </c>
      <c r="D361" s="15">
        <v>570.88</v>
      </c>
      <c r="E361" s="15">
        <v>570.88</v>
      </c>
      <c r="F361" s="15">
        <v>570.88</v>
      </c>
      <c r="G361" s="15">
        <v>570.88</v>
      </c>
      <c r="H361" s="15">
        <v>570.88</v>
      </c>
      <c r="I361" s="15">
        <v>570.88</v>
      </c>
      <c r="J361" s="15">
        <v>570.88</v>
      </c>
      <c r="K361" s="15">
        <v>570.88</v>
      </c>
      <c r="L361" s="15">
        <v>570.88</v>
      </c>
      <c r="M361" s="15">
        <v>1141.76</v>
      </c>
      <c r="N361" s="15">
        <v>570.88</v>
      </c>
      <c r="O361" t="s">
        <v>75</v>
      </c>
    </row>
    <row r="362" spans="1:15" x14ac:dyDescent="0.25">
      <c r="A362" s="10" t="s">
        <v>832</v>
      </c>
      <c r="B362" s="15">
        <v>171.28</v>
      </c>
      <c r="C362" s="15">
        <v>199.32</v>
      </c>
      <c r="D362" s="15">
        <v>292.64</v>
      </c>
      <c r="E362" s="15">
        <v>132.52000000000001</v>
      </c>
      <c r="F362" s="15">
        <v>155.02000000000001</v>
      </c>
      <c r="G362" s="15">
        <v>199.32</v>
      </c>
      <c r="H362" s="15">
        <v>301.64</v>
      </c>
      <c r="I362" s="15">
        <v>174.73</v>
      </c>
      <c r="J362" s="15">
        <v>100.89</v>
      </c>
      <c r="K362" s="15">
        <v>203.66</v>
      </c>
      <c r="L362" s="15">
        <v>181.02</v>
      </c>
      <c r="M362" s="15">
        <v>199.32</v>
      </c>
      <c r="N362" s="15">
        <v>188.84</v>
      </c>
      <c r="O362" t="s">
        <v>75</v>
      </c>
    </row>
    <row r="363" spans="1:15" x14ac:dyDescent="0.25">
      <c r="A363" s="10" t="s">
        <v>834</v>
      </c>
      <c r="B363" s="15">
        <v>143.22</v>
      </c>
      <c r="C363" s="15">
        <v>177.8</v>
      </c>
      <c r="D363" s="15">
        <v>153.31</v>
      </c>
      <c r="E363" s="15">
        <v>153.31</v>
      </c>
      <c r="F363" s="15">
        <v>153.31</v>
      </c>
      <c r="G363" s="15">
        <v>153.31</v>
      </c>
      <c r="H363" s="15">
        <v>153.31</v>
      </c>
      <c r="I363" s="15">
        <v>153.31</v>
      </c>
      <c r="J363" s="15">
        <v>153.31</v>
      </c>
      <c r="K363" s="15">
        <v>276.05</v>
      </c>
      <c r="L363" s="15">
        <v>88.16</v>
      </c>
      <c r="M363" s="15">
        <v>131.6</v>
      </c>
      <c r="N363" s="15">
        <v>155.35</v>
      </c>
      <c r="O363" t="s">
        <v>75</v>
      </c>
    </row>
    <row r="364" spans="1:15" x14ac:dyDescent="0.25">
      <c r="A364" s="10" t="s">
        <v>836</v>
      </c>
      <c r="B364" s="15">
        <v>50.92</v>
      </c>
      <c r="C364" s="15">
        <v>93.81</v>
      </c>
      <c r="D364" s="15">
        <v>54.14</v>
      </c>
      <c r="E364" s="15">
        <v>27.08</v>
      </c>
      <c r="F364" s="15">
        <v>54.14</v>
      </c>
      <c r="G364" s="15">
        <v>54.14</v>
      </c>
      <c r="H364" s="15">
        <v>54.14</v>
      </c>
      <c r="I364" s="15">
        <v>54.14</v>
      </c>
      <c r="J364" s="15">
        <v>54.14</v>
      </c>
      <c r="K364" s="15">
        <v>54.14</v>
      </c>
      <c r="L364" s="15">
        <v>163.9</v>
      </c>
      <c r="M364" s="15">
        <v>77.97</v>
      </c>
      <c r="N364" s="15">
        <v>86.93</v>
      </c>
      <c r="O364" t="s">
        <v>75</v>
      </c>
    </row>
    <row r="365" spans="1:15" x14ac:dyDescent="0.25">
      <c r="A365" s="10" t="s">
        <v>838</v>
      </c>
      <c r="B365" s="15">
        <v>44.54</v>
      </c>
      <c r="C365" s="15">
        <v>58.49</v>
      </c>
      <c r="D365" s="15">
        <v>58.49</v>
      </c>
      <c r="E365" s="15">
        <v>58.49</v>
      </c>
      <c r="F365" s="15">
        <v>56.54</v>
      </c>
      <c r="G365" s="15">
        <v>75.48</v>
      </c>
      <c r="H365" s="15">
        <v>61.5</v>
      </c>
      <c r="I365" s="15">
        <v>61.5</v>
      </c>
      <c r="J365" s="15">
        <v>61.5</v>
      </c>
      <c r="K365" s="15">
        <v>61.5</v>
      </c>
      <c r="L365" s="15">
        <v>73.8</v>
      </c>
      <c r="M365" s="15">
        <v>0</v>
      </c>
      <c r="N365" s="15">
        <v>51.25</v>
      </c>
      <c r="O365" t="s">
        <v>75</v>
      </c>
    </row>
    <row r="366" spans="1:15" x14ac:dyDescent="0.25">
      <c r="A366" s="10" t="s">
        <v>840</v>
      </c>
      <c r="B366" s="15">
        <v>179.03</v>
      </c>
      <c r="C366" s="15">
        <v>42.66</v>
      </c>
      <c r="D366" s="15">
        <v>183.65</v>
      </c>
      <c r="E366" s="15">
        <v>194.71</v>
      </c>
      <c r="F366" s="15">
        <v>194.71</v>
      </c>
      <c r="G366" s="15">
        <v>194.71</v>
      </c>
      <c r="H366" s="15">
        <v>194.71</v>
      </c>
      <c r="I366" s="15">
        <v>194.71</v>
      </c>
      <c r="J366" s="15">
        <v>194.71</v>
      </c>
      <c r="K366" s="15">
        <v>194.71</v>
      </c>
      <c r="L366" s="15">
        <v>194.71</v>
      </c>
      <c r="M366" s="15">
        <v>512.01</v>
      </c>
      <c r="N366" s="15">
        <v>194.71</v>
      </c>
      <c r="O366" t="s">
        <v>75</v>
      </c>
    </row>
    <row r="367" spans="1:15" x14ac:dyDescent="0.25">
      <c r="A367" s="10" t="s">
        <v>842</v>
      </c>
      <c r="B367" s="15">
        <v>0</v>
      </c>
      <c r="C367" s="15">
        <v>0</v>
      </c>
      <c r="D367" s="15">
        <v>0</v>
      </c>
      <c r="E367" s="15">
        <v>0</v>
      </c>
      <c r="F367" s="15">
        <v>0</v>
      </c>
      <c r="G367" s="15">
        <v>0</v>
      </c>
      <c r="H367" s="15">
        <v>0</v>
      </c>
      <c r="I367" s="15">
        <v>0</v>
      </c>
      <c r="J367" s="15">
        <v>0</v>
      </c>
      <c r="K367" s="15">
        <v>0</v>
      </c>
      <c r="L367" s="15">
        <v>43.05</v>
      </c>
      <c r="M367" s="15">
        <v>61.5</v>
      </c>
      <c r="N367" s="15">
        <v>15.37</v>
      </c>
      <c r="O367" t="s">
        <v>75</v>
      </c>
    </row>
    <row r="368" spans="1:15" x14ac:dyDescent="0.25">
      <c r="A368" s="10" t="s">
        <v>844</v>
      </c>
      <c r="B368" s="15">
        <v>185.93</v>
      </c>
      <c r="C368" s="15">
        <v>41.94</v>
      </c>
      <c r="D368" s="15">
        <v>185.23</v>
      </c>
      <c r="E368" s="15">
        <v>195.84</v>
      </c>
      <c r="F368" s="15">
        <v>213.2</v>
      </c>
      <c r="G368" s="15">
        <v>192.34</v>
      </c>
      <c r="H368" s="15">
        <v>189.45</v>
      </c>
      <c r="I368" s="15">
        <v>177.04</v>
      </c>
      <c r="J368" s="15">
        <v>178.85</v>
      </c>
      <c r="K368" s="15">
        <v>225.58</v>
      </c>
      <c r="L368" s="15">
        <v>192.34</v>
      </c>
      <c r="M368" s="15">
        <v>537.59</v>
      </c>
      <c r="N368" s="15">
        <v>196.88</v>
      </c>
      <c r="O368" t="s">
        <v>75</v>
      </c>
    </row>
    <row r="369" spans="1:15" x14ac:dyDescent="0.25">
      <c r="A369" s="10" t="s">
        <v>846</v>
      </c>
      <c r="B369" s="15">
        <v>143.22</v>
      </c>
      <c r="C369" s="15">
        <v>208.06</v>
      </c>
      <c r="D369" s="15">
        <v>153.31</v>
      </c>
      <c r="E369" s="15">
        <v>153.31</v>
      </c>
      <c r="F369" s="15">
        <v>153.31</v>
      </c>
      <c r="G369" s="15">
        <v>153.31</v>
      </c>
      <c r="H369" s="15">
        <v>294.77999999999997</v>
      </c>
      <c r="I369" s="15">
        <v>153.31</v>
      </c>
      <c r="J369" s="15">
        <v>51.11</v>
      </c>
      <c r="K369" s="15">
        <v>153.31</v>
      </c>
      <c r="L369" s="15">
        <v>153.31</v>
      </c>
      <c r="M369" s="15">
        <v>153.31</v>
      </c>
      <c r="N369" s="15">
        <v>157.87</v>
      </c>
      <c r="O369" t="s">
        <v>75</v>
      </c>
    </row>
    <row r="370" spans="1:15" x14ac:dyDescent="0.25">
      <c r="A370" s="10" t="s">
        <v>848</v>
      </c>
      <c r="B370" s="15">
        <v>0</v>
      </c>
      <c r="C370" s="15">
        <v>157.72999999999999</v>
      </c>
      <c r="D370" s="15">
        <v>186.94</v>
      </c>
      <c r="E370" s="15">
        <v>175.25</v>
      </c>
      <c r="F370" s="15">
        <v>189.47</v>
      </c>
      <c r="G370" s="15">
        <v>199.34</v>
      </c>
      <c r="H370" s="15">
        <v>186.55</v>
      </c>
      <c r="I370" s="15">
        <v>177.06</v>
      </c>
      <c r="J370" s="15">
        <v>175.26</v>
      </c>
      <c r="K370" s="15">
        <v>223.8</v>
      </c>
      <c r="L370" s="15">
        <v>175.25</v>
      </c>
      <c r="M370" s="15">
        <v>188.74</v>
      </c>
      <c r="N370" s="15">
        <v>186.73</v>
      </c>
      <c r="O370" t="s">
        <v>75</v>
      </c>
    </row>
    <row r="371" spans="1:15" x14ac:dyDescent="0.25">
      <c r="A371" s="10" t="s">
        <v>850</v>
      </c>
      <c r="B371" s="15">
        <v>170.23</v>
      </c>
      <c r="C371" s="15">
        <v>182.26</v>
      </c>
      <c r="D371" s="15">
        <v>183.82</v>
      </c>
      <c r="E371" s="15">
        <v>183.82</v>
      </c>
      <c r="F371" s="15">
        <v>180.94</v>
      </c>
      <c r="G371" s="15">
        <v>415.6</v>
      </c>
      <c r="H371" s="15">
        <v>183.82</v>
      </c>
      <c r="I371" s="15">
        <v>65.819999999999993</v>
      </c>
      <c r="J371" s="15">
        <v>170.64</v>
      </c>
      <c r="K371" s="15">
        <v>182.78</v>
      </c>
      <c r="L371" s="15">
        <v>179.41</v>
      </c>
      <c r="M371" s="15">
        <v>179.06</v>
      </c>
      <c r="N371" s="15">
        <v>183.82</v>
      </c>
      <c r="O371" t="s">
        <v>75</v>
      </c>
    </row>
    <row r="372" spans="1:15" x14ac:dyDescent="0.25">
      <c r="A372" s="10" t="s">
        <v>852</v>
      </c>
      <c r="B372" s="15">
        <v>196.57</v>
      </c>
      <c r="C372" s="15">
        <v>191.14</v>
      </c>
      <c r="D372" s="15">
        <v>201.38</v>
      </c>
      <c r="E372" s="15">
        <v>203.68</v>
      </c>
      <c r="F372" s="15">
        <v>203.55</v>
      </c>
      <c r="G372" s="15">
        <v>202.83</v>
      </c>
      <c r="H372" s="15">
        <v>185.36</v>
      </c>
      <c r="I372" s="15">
        <v>564.70000000000005</v>
      </c>
      <c r="J372" s="15">
        <v>211.34</v>
      </c>
      <c r="K372" s="15">
        <v>61.83</v>
      </c>
      <c r="L372" s="15">
        <v>204.83</v>
      </c>
      <c r="M372" s="15">
        <v>221.86</v>
      </c>
      <c r="N372" s="15">
        <v>219.82</v>
      </c>
      <c r="O372" t="s">
        <v>75</v>
      </c>
    </row>
    <row r="373" spans="1:15" x14ac:dyDescent="0.25">
      <c r="A373" s="10" t="s">
        <v>854</v>
      </c>
      <c r="B373" s="15">
        <v>337.12</v>
      </c>
      <c r="C373" s="15">
        <v>207.95</v>
      </c>
      <c r="D373" s="15">
        <v>67.41</v>
      </c>
      <c r="E373" s="15">
        <v>178.62</v>
      </c>
      <c r="F373" s="15">
        <v>194.02</v>
      </c>
      <c r="G373" s="15">
        <v>183.82</v>
      </c>
      <c r="H373" s="15">
        <v>183.82</v>
      </c>
      <c r="I373" s="15">
        <v>183.82</v>
      </c>
      <c r="J373" s="15">
        <v>183.82</v>
      </c>
      <c r="K373" s="15">
        <v>183.82</v>
      </c>
      <c r="L373" s="15">
        <v>183.82</v>
      </c>
      <c r="M373" s="15">
        <v>183.82</v>
      </c>
      <c r="N373" s="15">
        <v>186.68</v>
      </c>
      <c r="O373" t="s">
        <v>75</v>
      </c>
    </row>
    <row r="374" spans="1:15" x14ac:dyDescent="0.25">
      <c r="A374" s="10" t="s">
        <v>856</v>
      </c>
      <c r="B374" s="15">
        <v>0</v>
      </c>
      <c r="C374" s="15">
        <v>0</v>
      </c>
      <c r="D374" s="15">
        <v>0</v>
      </c>
      <c r="E374" s="15">
        <v>0</v>
      </c>
      <c r="F374" s="15">
        <v>0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43.05</v>
      </c>
      <c r="M374" s="15">
        <v>59.45</v>
      </c>
      <c r="N374" s="15">
        <v>15.37</v>
      </c>
      <c r="O374" t="s">
        <v>75</v>
      </c>
    </row>
    <row r="375" spans="1:15" x14ac:dyDescent="0.25">
      <c r="A375" s="10" t="s">
        <v>858</v>
      </c>
      <c r="B375" s="15">
        <v>228.48</v>
      </c>
      <c r="C375" s="15">
        <v>0</v>
      </c>
      <c r="D375" s="15">
        <v>0</v>
      </c>
      <c r="E375" s="15">
        <v>0</v>
      </c>
      <c r="F375" s="15">
        <v>0</v>
      </c>
      <c r="G375" s="15">
        <v>0</v>
      </c>
      <c r="H375" s="15">
        <v>0</v>
      </c>
      <c r="I375" s="15">
        <v>0</v>
      </c>
      <c r="J375" s="15">
        <v>0</v>
      </c>
      <c r="K375" s="15">
        <v>0</v>
      </c>
      <c r="L375" s="15">
        <v>0</v>
      </c>
      <c r="M375" s="15">
        <v>0</v>
      </c>
      <c r="N375" s="15">
        <v>14.44</v>
      </c>
      <c r="O375" t="s">
        <v>75</v>
      </c>
    </row>
    <row r="376" spans="1:15" x14ac:dyDescent="0.25">
      <c r="A376" s="10" t="s">
        <v>860</v>
      </c>
      <c r="B376" s="15">
        <v>143.22</v>
      </c>
      <c r="C376" s="15">
        <v>216.61</v>
      </c>
      <c r="D376" s="15">
        <v>153.31</v>
      </c>
      <c r="E376" s="15">
        <v>153.31</v>
      </c>
      <c r="F376" s="15">
        <v>153.31</v>
      </c>
      <c r="G376" s="15">
        <v>153.31</v>
      </c>
      <c r="H376" s="15">
        <v>153.31</v>
      </c>
      <c r="I376" s="15">
        <v>153.31</v>
      </c>
      <c r="J376" s="15">
        <v>151.59</v>
      </c>
      <c r="K376" s="15">
        <v>296.06</v>
      </c>
      <c r="L376" s="15">
        <v>153.31</v>
      </c>
      <c r="M376" s="15">
        <v>51.1</v>
      </c>
      <c r="N376" s="15">
        <v>158.58000000000001</v>
      </c>
      <c r="O376" t="s">
        <v>75</v>
      </c>
    </row>
    <row r="377" spans="1:15" x14ac:dyDescent="0.25">
      <c r="A377" s="10" t="s">
        <v>862</v>
      </c>
      <c r="B377" s="15">
        <v>0</v>
      </c>
      <c r="C377" s="15">
        <v>0</v>
      </c>
      <c r="D377" s="15">
        <v>0</v>
      </c>
      <c r="E377" s="15">
        <v>0</v>
      </c>
      <c r="F377" s="15">
        <v>102.21</v>
      </c>
      <c r="G377" s="15">
        <v>122.65</v>
      </c>
      <c r="H377" s="15">
        <v>147.18</v>
      </c>
      <c r="I377" s="15">
        <v>122.65</v>
      </c>
      <c r="J377" s="15">
        <v>122.65</v>
      </c>
      <c r="K377" s="15">
        <v>174.77</v>
      </c>
      <c r="L377" s="15">
        <v>123.29</v>
      </c>
      <c r="M377" s="15">
        <v>147.18</v>
      </c>
      <c r="N377" s="15">
        <v>96.64</v>
      </c>
      <c r="O377" t="s">
        <v>75</v>
      </c>
    </row>
    <row r="378" spans="1:15" x14ac:dyDescent="0.25">
      <c r="A378" s="10" t="s">
        <v>864</v>
      </c>
      <c r="B378" s="15">
        <v>0</v>
      </c>
      <c r="C378" s="15">
        <v>0</v>
      </c>
      <c r="D378" s="15">
        <v>0</v>
      </c>
      <c r="E378" s="15">
        <v>33.14</v>
      </c>
      <c r="F378" s="15">
        <v>66.28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>
        <v>9.74</v>
      </c>
      <c r="O378" t="s">
        <v>75</v>
      </c>
    </row>
    <row r="379" spans="1:15" x14ac:dyDescent="0.25">
      <c r="A379" s="10" t="s">
        <v>866</v>
      </c>
      <c r="B379" s="15">
        <v>143.22</v>
      </c>
      <c r="C379" s="15">
        <v>299.14999999999998</v>
      </c>
      <c r="D379" s="15">
        <v>153.31</v>
      </c>
      <c r="E379" s="15">
        <v>153.31</v>
      </c>
      <c r="F379" s="15">
        <v>153.31</v>
      </c>
      <c r="G379" s="15">
        <v>153.31</v>
      </c>
      <c r="H379" s="15">
        <v>153.31</v>
      </c>
      <c r="I379" s="15">
        <v>281.55</v>
      </c>
      <c r="J379" s="15">
        <v>153.31</v>
      </c>
      <c r="K379" s="15">
        <v>71.45</v>
      </c>
      <c r="L379" s="15">
        <v>149</v>
      </c>
      <c r="M379" s="15">
        <v>153.31</v>
      </c>
      <c r="N379" s="15">
        <v>160.93</v>
      </c>
      <c r="O379" t="s">
        <v>75</v>
      </c>
    </row>
    <row r="380" spans="1:15" x14ac:dyDescent="0.25">
      <c r="A380" s="10" t="s">
        <v>868</v>
      </c>
      <c r="B380" s="15">
        <v>44.54</v>
      </c>
      <c r="C380" s="15">
        <v>58.49</v>
      </c>
      <c r="D380" s="15">
        <v>58.49</v>
      </c>
      <c r="E380" s="15">
        <v>58.49</v>
      </c>
      <c r="F380" s="15">
        <v>58.49</v>
      </c>
      <c r="G380" s="15">
        <v>73.53</v>
      </c>
      <c r="H380" s="15">
        <v>61.5</v>
      </c>
      <c r="I380" s="15">
        <v>61.5</v>
      </c>
      <c r="J380" s="15">
        <v>61.5</v>
      </c>
      <c r="K380" s="15">
        <v>61.5</v>
      </c>
      <c r="L380" s="15">
        <v>71.75</v>
      </c>
      <c r="M380" s="15">
        <v>0</v>
      </c>
      <c r="N380" s="15">
        <v>51.25</v>
      </c>
      <c r="O380" t="s">
        <v>75</v>
      </c>
    </row>
    <row r="381" spans="1:15" x14ac:dyDescent="0.25">
      <c r="A381" s="10" t="s">
        <v>870</v>
      </c>
      <c r="B381" s="15">
        <v>266.62</v>
      </c>
      <c r="C381" s="15">
        <v>293.17</v>
      </c>
      <c r="D381" s="15">
        <v>70.87</v>
      </c>
      <c r="E381" s="15">
        <v>148.97</v>
      </c>
      <c r="F381" s="15">
        <v>153.31</v>
      </c>
      <c r="G381" s="15">
        <v>153.31</v>
      </c>
      <c r="H381" s="15">
        <v>153.31</v>
      </c>
      <c r="I381" s="15">
        <v>153.31</v>
      </c>
      <c r="J381" s="15">
        <v>153.31</v>
      </c>
      <c r="K381" s="15">
        <v>153.31</v>
      </c>
      <c r="L381" s="15">
        <v>153.31</v>
      </c>
      <c r="M381" s="15">
        <v>153.31</v>
      </c>
      <c r="N381" s="15">
        <v>160.52000000000001</v>
      </c>
      <c r="O381" t="s">
        <v>75</v>
      </c>
    </row>
    <row r="382" spans="1:15" x14ac:dyDescent="0.25">
      <c r="A382" s="10" t="s">
        <v>872</v>
      </c>
      <c r="B382" s="15">
        <v>101.84</v>
      </c>
      <c r="C382" s="15">
        <v>153.77000000000001</v>
      </c>
      <c r="D382" s="15">
        <v>153.31</v>
      </c>
      <c r="E382" s="15">
        <v>153.31</v>
      </c>
      <c r="F382" s="15">
        <v>153.31</v>
      </c>
      <c r="G382" s="15">
        <v>153.31</v>
      </c>
      <c r="H382" s="15">
        <v>153.31</v>
      </c>
      <c r="I382" s="15">
        <v>153.31</v>
      </c>
      <c r="J382" s="15">
        <v>153.31</v>
      </c>
      <c r="K382" s="15">
        <v>153.31</v>
      </c>
      <c r="L382" s="15">
        <v>153.31</v>
      </c>
      <c r="M382" s="15">
        <v>153.31</v>
      </c>
      <c r="N382" s="15">
        <v>153.35</v>
      </c>
      <c r="O382" t="s">
        <v>75</v>
      </c>
    </row>
    <row r="383" spans="1:15" x14ac:dyDescent="0.25">
      <c r="A383" s="10" t="s">
        <v>874</v>
      </c>
      <c r="B383" s="15">
        <v>0</v>
      </c>
      <c r="C383" s="15">
        <v>0</v>
      </c>
      <c r="D383" s="15">
        <v>0</v>
      </c>
      <c r="E383" s="15">
        <v>0</v>
      </c>
      <c r="F383" s="15">
        <v>0</v>
      </c>
      <c r="G383" s="15">
        <v>0</v>
      </c>
      <c r="H383" s="15">
        <v>0</v>
      </c>
      <c r="I383" s="15">
        <v>0</v>
      </c>
      <c r="J383" s="15">
        <v>0</v>
      </c>
      <c r="K383" s="15">
        <v>0</v>
      </c>
      <c r="L383" s="15">
        <v>56.45</v>
      </c>
      <c r="M383" s="15">
        <v>0</v>
      </c>
      <c r="N383" s="15">
        <v>0</v>
      </c>
      <c r="O383" t="s">
        <v>75</v>
      </c>
    </row>
    <row r="384" spans="1:15" x14ac:dyDescent="0.25">
      <c r="A384" s="10" t="s">
        <v>876</v>
      </c>
      <c r="B384" s="15">
        <v>44.54</v>
      </c>
      <c r="C384" s="15">
        <v>58.49</v>
      </c>
      <c r="D384" s="15">
        <v>58.49</v>
      </c>
      <c r="E384" s="15">
        <v>54.59</v>
      </c>
      <c r="F384" s="15">
        <v>54.59</v>
      </c>
      <c r="G384" s="15">
        <v>73.53</v>
      </c>
      <c r="H384" s="15">
        <v>61.5</v>
      </c>
      <c r="I384" s="15">
        <v>61.5</v>
      </c>
      <c r="J384" s="15">
        <v>57.4</v>
      </c>
      <c r="K384" s="15">
        <v>57.4</v>
      </c>
      <c r="L384" s="15">
        <v>69.7</v>
      </c>
      <c r="M384" s="15">
        <v>0</v>
      </c>
      <c r="N384" s="15">
        <v>61.47</v>
      </c>
      <c r="O384" t="s">
        <v>75</v>
      </c>
    </row>
    <row r="385" spans="1:15" x14ac:dyDescent="0.25">
      <c r="A385" s="10" t="s">
        <v>878</v>
      </c>
      <c r="B385" s="15">
        <v>81.47</v>
      </c>
      <c r="C385" s="15">
        <v>81.58</v>
      </c>
      <c r="D385" s="15">
        <v>86.63</v>
      </c>
      <c r="E385" s="15">
        <v>86.63</v>
      </c>
      <c r="F385" s="15">
        <v>98.43</v>
      </c>
      <c r="G385" s="15">
        <v>86.63</v>
      </c>
      <c r="H385" s="15">
        <v>83.42</v>
      </c>
      <c r="I385" s="15">
        <v>163.63999999999999</v>
      </c>
      <c r="J385" s="15">
        <v>86.63</v>
      </c>
      <c r="K385" s="15">
        <v>31.76</v>
      </c>
      <c r="L385" s="15">
        <v>83.74</v>
      </c>
      <c r="M385" s="15">
        <v>86.63</v>
      </c>
      <c r="N385" s="15">
        <v>87.62</v>
      </c>
      <c r="O385" t="s">
        <v>75</v>
      </c>
    </row>
    <row r="386" spans="1:15" x14ac:dyDescent="0.25">
      <c r="A386" s="10" t="s">
        <v>880</v>
      </c>
      <c r="B386" s="15">
        <v>301.94</v>
      </c>
      <c r="C386" s="15">
        <v>327.51</v>
      </c>
      <c r="D386" s="15">
        <v>327.58999999999997</v>
      </c>
      <c r="E386" s="15">
        <v>327.58999999999997</v>
      </c>
      <c r="F386" s="15">
        <v>563.17999999999995</v>
      </c>
      <c r="G386" s="15">
        <v>327.58999999999997</v>
      </c>
      <c r="H386" s="15">
        <v>178.69</v>
      </c>
      <c r="I386" s="15">
        <v>313.7</v>
      </c>
      <c r="J386" s="15">
        <v>327.58999999999997</v>
      </c>
      <c r="K386" s="15">
        <v>327.58999999999997</v>
      </c>
      <c r="L386" s="15">
        <v>327.58999999999997</v>
      </c>
      <c r="M386" s="15">
        <v>327.58999999999997</v>
      </c>
      <c r="N386" s="15">
        <v>327.58999999999997</v>
      </c>
      <c r="O386" t="s">
        <v>75</v>
      </c>
    </row>
    <row r="387" spans="1:15" x14ac:dyDescent="0.25">
      <c r="A387" s="10" t="s">
        <v>882</v>
      </c>
      <c r="B387" s="15">
        <v>55.66</v>
      </c>
      <c r="C387" s="15">
        <v>77.97</v>
      </c>
      <c r="D387" s="15">
        <v>86.63</v>
      </c>
      <c r="E387" s="15">
        <v>86.63</v>
      </c>
      <c r="F387" s="15">
        <v>86.82</v>
      </c>
      <c r="G387" s="15">
        <v>86.63</v>
      </c>
      <c r="H387" s="15">
        <v>86.63</v>
      </c>
      <c r="I387" s="15">
        <v>84.6</v>
      </c>
      <c r="J387" s="15">
        <v>86.63</v>
      </c>
      <c r="K387" s="15">
        <v>86.63</v>
      </c>
      <c r="L387" s="15">
        <v>86.63</v>
      </c>
      <c r="M387" s="15">
        <v>86.63</v>
      </c>
      <c r="N387" s="15">
        <v>86.63</v>
      </c>
      <c r="O387" t="s">
        <v>75</v>
      </c>
    </row>
    <row r="388" spans="1:15" x14ac:dyDescent="0.25">
      <c r="A388" s="10" t="s">
        <v>884</v>
      </c>
      <c r="B388" s="15">
        <v>0</v>
      </c>
      <c r="C388" s="15">
        <v>0</v>
      </c>
      <c r="D388" s="15">
        <v>0</v>
      </c>
      <c r="E388" s="15">
        <v>0</v>
      </c>
      <c r="F388" s="15">
        <v>0</v>
      </c>
      <c r="G388" s="15">
        <v>0</v>
      </c>
      <c r="H388" s="15">
        <v>0</v>
      </c>
      <c r="I388" s="15">
        <v>55.35</v>
      </c>
      <c r="J388" s="15">
        <v>61.5</v>
      </c>
      <c r="K388" s="15">
        <v>61.5</v>
      </c>
      <c r="L388" s="15">
        <v>61.5</v>
      </c>
      <c r="M388" s="15">
        <v>61.5</v>
      </c>
      <c r="N388" s="15">
        <v>30.75</v>
      </c>
      <c r="O388" t="s">
        <v>75</v>
      </c>
    </row>
    <row r="389" spans="1:15" x14ac:dyDescent="0.25">
      <c r="A389" s="10" t="s">
        <v>886</v>
      </c>
      <c r="B389" s="15">
        <v>101.84</v>
      </c>
      <c r="C389" s="15">
        <v>140.44</v>
      </c>
      <c r="D389" s="15">
        <v>123.89</v>
      </c>
      <c r="E389" s="15">
        <v>178.97</v>
      </c>
      <c r="F389" s="15">
        <v>115.64</v>
      </c>
      <c r="G389" s="15">
        <v>123.55</v>
      </c>
      <c r="H389" s="15">
        <v>123.89</v>
      </c>
      <c r="I389" s="15">
        <v>123.89</v>
      </c>
      <c r="J389" s="15">
        <v>123.89</v>
      </c>
      <c r="K389" s="15">
        <v>123.89</v>
      </c>
      <c r="L389" s="15">
        <v>123.89</v>
      </c>
      <c r="M389" s="15">
        <v>234.08</v>
      </c>
      <c r="N389" s="15">
        <v>123.96</v>
      </c>
      <c r="O389" t="s">
        <v>75</v>
      </c>
    </row>
    <row r="390" spans="1:15" x14ac:dyDescent="0.25">
      <c r="A390" s="10" t="s">
        <v>888</v>
      </c>
      <c r="B390" s="15">
        <v>0</v>
      </c>
      <c r="C390" s="15">
        <v>0</v>
      </c>
      <c r="D390" s="15">
        <v>40.43</v>
      </c>
      <c r="E390" s="15">
        <v>86.63</v>
      </c>
      <c r="F390" s="15">
        <v>86.63</v>
      </c>
      <c r="G390" s="15">
        <v>86.63</v>
      </c>
      <c r="H390" s="15">
        <v>86.63</v>
      </c>
      <c r="I390" s="15">
        <v>86.63</v>
      </c>
      <c r="J390" s="15">
        <v>86.63</v>
      </c>
      <c r="K390" s="15">
        <v>86.63</v>
      </c>
      <c r="L390" s="15">
        <v>86.63</v>
      </c>
      <c r="M390" s="15">
        <v>90.44</v>
      </c>
      <c r="N390" s="15">
        <v>72.19</v>
      </c>
      <c r="O390" t="s">
        <v>75</v>
      </c>
    </row>
    <row r="391" spans="1:15" x14ac:dyDescent="0.25">
      <c r="A391" s="10" t="s">
        <v>890</v>
      </c>
      <c r="B391" s="15">
        <v>116.24</v>
      </c>
      <c r="C391" s="15">
        <v>76.13</v>
      </c>
      <c r="D391" s="15">
        <v>72.2</v>
      </c>
      <c r="E391" s="15">
        <v>86.63</v>
      </c>
      <c r="F391" s="15">
        <v>86.63</v>
      </c>
      <c r="G391" s="15">
        <v>86.63</v>
      </c>
      <c r="H391" s="15">
        <v>125.14</v>
      </c>
      <c r="I391" s="15">
        <v>66.2</v>
      </c>
      <c r="J391" s="15">
        <v>77.98</v>
      </c>
      <c r="K391" s="15">
        <v>85.43</v>
      </c>
      <c r="L391" s="15">
        <v>86.63</v>
      </c>
      <c r="M391" s="15">
        <v>86.63</v>
      </c>
      <c r="N391" s="15">
        <v>86.67</v>
      </c>
      <c r="O391" t="s">
        <v>75</v>
      </c>
    </row>
    <row r="392" spans="1:15" x14ac:dyDescent="0.25">
      <c r="A392" s="10" t="s">
        <v>892</v>
      </c>
      <c r="B392" s="15">
        <v>0</v>
      </c>
      <c r="C392" s="15">
        <v>0</v>
      </c>
      <c r="D392" s="15">
        <v>0</v>
      </c>
      <c r="E392" s="15">
        <v>0</v>
      </c>
      <c r="F392" s="15">
        <v>0</v>
      </c>
      <c r="G392" s="15">
        <v>30.75</v>
      </c>
      <c r="H392" s="15">
        <v>61.5</v>
      </c>
      <c r="I392" s="15">
        <v>61.5</v>
      </c>
      <c r="J392" s="15">
        <v>57.4</v>
      </c>
      <c r="K392" s="15">
        <v>61.5</v>
      </c>
      <c r="L392" s="15">
        <v>59.45</v>
      </c>
      <c r="M392" s="15">
        <v>61.5</v>
      </c>
      <c r="N392" s="15">
        <v>41</v>
      </c>
      <c r="O392" t="s">
        <v>75</v>
      </c>
    </row>
    <row r="393" spans="1:15" x14ac:dyDescent="0.25">
      <c r="A393" s="10" t="s">
        <v>894</v>
      </c>
      <c r="B393" s="15">
        <v>0</v>
      </c>
      <c r="C393" s="15">
        <v>77.97</v>
      </c>
      <c r="D393" s="15">
        <v>0</v>
      </c>
      <c r="E393" s="15">
        <v>0</v>
      </c>
      <c r="F393" s="15">
        <v>0</v>
      </c>
      <c r="G393" s="15">
        <v>0</v>
      </c>
      <c r="H393" s="15">
        <v>0</v>
      </c>
      <c r="I393" s="15">
        <v>0</v>
      </c>
      <c r="J393" s="15">
        <v>0</v>
      </c>
      <c r="K393" s="15">
        <v>0</v>
      </c>
      <c r="L393" s="15">
        <v>0</v>
      </c>
      <c r="M393" s="15">
        <v>0</v>
      </c>
      <c r="N393" s="15">
        <v>7.22</v>
      </c>
      <c r="O393" t="s">
        <v>75</v>
      </c>
    </row>
    <row r="394" spans="1:15" x14ac:dyDescent="0.25">
      <c r="A394" s="10" t="s">
        <v>896</v>
      </c>
      <c r="B394" s="15">
        <v>81.47</v>
      </c>
      <c r="C394" s="15">
        <v>87.25</v>
      </c>
      <c r="D394" s="15">
        <v>387.42</v>
      </c>
      <c r="E394" s="15">
        <v>151.91999999999999</v>
      </c>
      <c r="F394" s="15">
        <v>151.91999999999999</v>
      </c>
      <c r="G394" s="15">
        <v>151.91999999999999</v>
      </c>
      <c r="H394" s="15">
        <v>151.91999999999999</v>
      </c>
      <c r="I394" s="15">
        <v>272.02</v>
      </c>
      <c r="J394" s="15">
        <v>151.91999999999999</v>
      </c>
      <c r="K394" s="15">
        <v>69.97</v>
      </c>
      <c r="L394" s="15">
        <v>147.61000000000001</v>
      </c>
      <c r="M394" s="15">
        <v>151.91999999999999</v>
      </c>
      <c r="N394" s="15">
        <v>152.13</v>
      </c>
      <c r="O394" t="s">
        <v>75</v>
      </c>
    </row>
    <row r="395" spans="1:15" x14ac:dyDescent="0.25">
      <c r="A395" s="10" t="s">
        <v>898</v>
      </c>
      <c r="B395" s="15">
        <v>0</v>
      </c>
      <c r="C395" s="15">
        <v>0</v>
      </c>
      <c r="D395" s="15">
        <v>0</v>
      </c>
      <c r="E395" s="15">
        <v>0</v>
      </c>
      <c r="F395" s="15">
        <v>0</v>
      </c>
      <c r="G395" s="15">
        <v>0</v>
      </c>
      <c r="H395" s="15">
        <v>0</v>
      </c>
      <c r="I395" s="15">
        <v>0</v>
      </c>
      <c r="J395" s="15">
        <v>0</v>
      </c>
      <c r="K395" s="15">
        <v>0</v>
      </c>
      <c r="L395" s="15">
        <v>0</v>
      </c>
      <c r="M395" s="15">
        <v>0</v>
      </c>
      <c r="N395" s="15">
        <v>5.12</v>
      </c>
      <c r="O395" t="s">
        <v>75</v>
      </c>
    </row>
    <row r="396" spans="1:15" x14ac:dyDescent="0.25">
      <c r="A396" s="10" t="s">
        <v>900</v>
      </c>
      <c r="B396" s="15">
        <v>55.66</v>
      </c>
      <c r="C396" s="15">
        <v>0</v>
      </c>
      <c r="D396" s="15">
        <v>0</v>
      </c>
      <c r="E396" s="15">
        <v>0</v>
      </c>
      <c r="F396" s="15">
        <v>0.19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0</v>
      </c>
      <c r="O396" t="s">
        <v>75</v>
      </c>
    </row>
    <row r="397" spans="1:15" x14ac:dyDescent="0.25">
      <c r="A397" s="10" t="s">
        <v>902</v>
      </c>
      <c r="B397" s="15">
        <v>57.52</v>
      </c>
      <c r="C397" s="15">
        <v>42.88</v>
      </c>
      <c r="D397" s="15">
        <v>71.47</v>
      </c>
      <c r="E397" s="15">
        <v>71.47</v>
      </c>
      <c r="F397" s="15">
        <v>71.66</v>
      </c>
      <c r="G397" s="15">
        <v>71.47</v>
      </c>
      <c r="H397" s="15">
        <v>71.47</v>
      </c>
      <c r="I397" s="15">
        <v>71.47</v>
      </c>
      <c r="J397" s="15">
        <v>71.47</v>
      </c>
      <c r="K397" s="15">
        <v>71.47</v>
      </c>
      <c r="L397" s="15">
        <v>71.47</v>
      </c>
      <c r="M397" s="15">
        <v>71.47</v>
      </c>
      <c r="N397" s="15">
        <v>71.47</v>
      </c>
      <c r="O397" t="s">
        <v>75</v>
      </c>
    </row>
    <row r="398" spans="1:15" x14ac:dyDescent="0.25">
      <c r="A398" s="10" t="s">
        <v>904</v>
      </c>
      <c r="B398" s="15">
        <v>179.03</v>
      </c>
      <c r="C398" s="15">
        <v>231.93</v>
      </c>
      <c r="D398" s="15">
        <v>199</v>
      </c>
      <c r="E398" s="15">
        <v>199</v>
      </c>
      <c r="F398" s="15">
        <v>199</v>
      </c>
      <c r="G398" s="15">
        <v>378.33</v>
      </c>
      <c r="H398" s="15">
        <v>199</v>
      </c>
      <c r="I398" s="15">
        <v>120.92</v>
      </c>
      <c r="J398" s="15">
        <v>199</v>
      </c>
      <c r="K398" s="15">
        <v>199</v>
      </c>
      <c r="L398" s="15">
        <v>199</v>
      </c>
      <c r="M398" s="15">
        <v>199</v>
      </c>
      <c r="N398" s="15">
        <v>201.74</v>
      </c>
      <c r="O398" t="s">
        <v>75</v>
      </c>
    </row>
    <row r="399" spans="1:15" x14ac:dyDescent="0.25">
      <c r="A399" s="10" t="s">
        <v>906</v>
      </c>
      <c r="B399" s="15">
        <v>0</v>
      </c>
      <c r="C399" s="15">
        <v>0</v>
      </c>
      <c r="D399" s="15">
        <v>57.75</v>
      </c>
      <c r="E399" s="15">
        <v>86.63</v>
      </c>
      <c r="F399" s="15">
        <v>86.63</v>
      </c>
      <c r="G399" s="15">
        <v>86.63</v>
      </c>
      <c r="H399" s="15">
        <v>86.63</v>
      </c>
      <c r="I399" s="15">
        <v>86.63</v>
      </c>
      <c r="J399" s="15">
        <v>86.63</v>
      </c>
      <c r="K399" s="15">
        <v>86.63</v>
      </c>
      <c r="L399" s="15">
        <v>86.63</v>
      </c>
      <c r="M399" s="15">
        <v>90.17</v>
      </c>
      <c r="N399" s="15">
        <v>79.739999999999995</v>
      </c>
      <c r="O399" t="s">
        <v>75</v>
      </c>
    </row>
    <row r="400" spans="1:15" x14ac:dyDescent="0.25">
      <c r="A400" s="10" t="s">
        <v>908</v>
      </c>
      <c r="B400" s="15">
        <v>44.54</v>
      </c>
      <c r="C400" s="15">
        <v>58.49</v>
      </c>
      <c r="D400" s="15">
        <v>58.49</v>
      </c>
      <c r="E400" s="15">
        <v>58.49</v>
      </c>
      <c r="F400" s="15">
        <v>58.49</v>
      </c>
      <c r="G400" s="15">
        <v>73.53</v>
      </c>
      <c r="H400" s="15">
        <v>61.5</v>
      </c>
      <c r="I400" s="15">
        <v>61.5</v>
      </c>
      <c r="J400" s="15">
        <v>61.5</v>
      </c>
      <c r="K400" s="15">
        <v>57.4</v>
      </c>
      <c r="L400" s="15">
        <v>73.8</v>
      </c>
      <c r="M400" s="15">
        <v>0</v>
      </c>
      <c r="N400" s="15">
        <v>61.47</v>
      </c>
      <c r="O400" t="s">
        <v>75</v>
      </c>
    </row>
    <row r="401" spans="1:15" x14ac:dyDescent="0.25">
      <c r="A401" s="10" t="s">
        <v>910</v>
      </c>
      <c r="B401" s="15">
        <v>81.47</v>
      </c>
      <c r="C401" s="15">
        <v>91.04</v>
      </c>
      <c r="D401" s="15">
        <v>86.63</v>
      </c>
      <c r="E401" s="15">
        <v>86.63</v>
      </c>
      <c r="F401" s="15">
        <v>86.63</v>
      </c>
      <c r="G401" s="15">
        <v>86.63</v>
      </c>
      <c r="H401" s="15">
        <v>86.63</v>
      </c>
      <c r="I401" s="15">
        <v>86.63</v>
      </c>
      <c r="J401" s="15">
        <v>86.63</v>
      </c>
      <c r="K401" s="15">
        <v>86.63</v>
      </c>
      <c r="L401" s="15">
        <v>86.63</v>
      </c>
      <c r="M401" s="15">
        <v>167.09</v>
      </c>
      <c r="N401" s="15">
        <v>87.26</v>
      </c>
      <c r="O401" t="s">
        <v>75</v>
      </c>
    </row>
    <row r="402" spans="1:15" x14ac:dyDescent="0.25">
      <c r="A402" s="10" t="s">
        <v>912</v>
      </c>
      <c r="B402" s="15">
        <v>113.96</v>
      </c>
      <c r="C402" s="15">
        <v>404.47</v>
      </c>
      <c r="D402" s="15">
        <v>374.34</v>
      </c>
      <c r="E402" s="15">
        <v>374.34</v>
      </c>
      <c r="F402" s="15">
        <v>374.34</v>
      </c>
      <c r="G402" s="15">
        <v>374.34</v>
      </c>
      <c r="H402" s="15">
        <v>374.34</v>
      </c>
      <c r="I402" s="15">
        <v>496.15</v>
      </c>
      <c r="J402" s="15">
        <v>295.24</v>
      </c>
      <c r="K402" s="15">
        <v>374.34</v>
      </c>
      <c r="L402" s="15">
        <v>374.34</v>
      </c>
      <c r="M402" s="15">
        <v>496.15</v>
      </c>
      <c r="N402" s="15">
        <v>376.85</v>
      </c>
      <c r="O402" t="s">
        <v>75</v>
      </c>
    </row>
    <row r="403" spans="1:15" x14ac:dyDescent="0.25">
      <c r="A403" s="10" t="s">
        <v>914</v>
      </c>
      <c r="B403" s="15">
        <v>81.47</v>
      </c>
      <c r="C403" s="15">
        <v>89.32</v>
      </c>
      <c r="D403" s="15">
        <v>86.63</v>
      </c>
      <c r="E403" s="15">
        <v>86.63</v>
      </c>
      <c r="F403" s="15">
        <v>85.87</v>
      </c>
      <c r="G403" s="15">
        <v>86.63</v>
      </c>
      <c r="H403" s="15">
        <v>86.63</v>
      </c>
      <c r="I403" s="15">
        <v>86.63</v>
      </c>
      <c r="J403" s="15">
        <v>86.63</v>
      </c>
      <c r="K403" s="15">
        <v>85.97</v>
      </c>
      <c r="L403" s="15">
        <v>85.21</v>
      </c>
      <c r="M403" s="15">
        <v>86.63</v>
      </c>
      <c r="N403" s="15">
        <v>86.86</v>
      </c>
      <c r="O403" t="s">
        <v>75</v>
      </c>
    </row>
    <row r="404" spans="1:15" x14ac:dyDescent="0.25">
      <c r="A404" s="10" t="s">
        <v>916</v>
      </c>
      <c r="B404" s="15">
        <v>97.8</v>
      </c>
      <c r="C404" s="15">
        <v>209.74</v>
      </c>
      <c r="D404" s="15">
        <v>199</v>
      </c>
      <c r="E404" s="15">
        <v>199</v>
      </c>
      <c r="F404" s="15">
        <v>199</v>
      </c>
      <c r="G404" s="15">
        <v>199</v>
      </c>
      <c r="H404" s="15">
        <v>199</v>
      </c>
      <c r="I404" s="15">
        <v>199</v>
      </c>
      <c r="J404" s="15">
        <v>199</v>
      </c>
      <c r="K404" s="15">
        <v>199</v>
      </c>
      <c r="L404" s="15">
        <v>455.65</v>
      </c>
      <c r="M404" s="15">
        <v>199</v>
      </c>
      <c r="N404" s="15">
        <v>199.89</v>
      </c>
      <c r="O404" t="s">
        <v>75</v>
      </c>
    </row>
    <row r="405" spans="1:15" x14ac:dyDescent="0.25">
      <c r="A405" s="10" t="s">
        <v>918</v>
      </c>
      <c r="B405" s="15">
        <v>0</v>
      </c>
      <c r="C405" s="15">
        <v>0</v>
      </c>
      <c r="D405" s="15">
        <v>0</v>
      </c>
      <c r="E405" s="15">
        <v>0</v>
      </c>
      <c r="F405" s="15">
        <v>0</v>
      </c>
      <c r="G405" s="15">
        <v>30.75</v>
      </c>
      <c r="H405" s="15">
        <v>61.5</v>
      </c>
      <c r="I405" s="15">
        <v>61.5</v>
      </c>
      <c r="J405" s="15">
        <v>61.38</v>
      </c>
      <c r="K405" s="15">
        <v>57.4</v>
      </c>
      <c r="L405" s="15">
        <v>61.5</v>
      </c>
      <c r="M405" s="15">
        <v>61.5</v>
      </c>
      <c r="N405" s="15">
        <v>41</v>
      </c>
      <c r="O405" t="s">
        <v>75</v>
      </c>
    </row>
    <row r="406" spans="1:15" x14ac:dyDescent="0.25">
      <c r="A406" s="10" t="s">
        <v>920</v>
      </c>
      <c r="B406" s="15">
        <v>0</v>
      </c>
      <c r="C406" s="15">
        <v>0</v>
      </c>
      <c r="D406" s="15">
        <v>0</v>
      </c>
      <c r="E406" s="15">
        <v>0</v>
      </c>
      <c r="F406" s="15">
        <v>0</v>
      </c>
      <c r="G406" s="15">
        <v>0</v>
      </c>
      <c r="H406" s="15">
        <v>0</v>
      </c>
      <c r="I406" s="15">
        <v>0</v>
      </c>
      <c r="J406" s="15">
        <v>0</v>
      </c>
      <c r="K406" s="15">
        <v>0</v>
      </c>
      <c r="L406" s="15">
        <v>43.05</v>
      </c>
      <c r="M406" s="15">
        <v>61.5</v>
      </c>
      <c r="N406" s="15">
        <v>15.37</v>
      </c>
      <c r="O406" t="s">
        <v>75</v>
      </c>
    </row>
    <row r="407" spans="1:15" x14ac:dyDescent="0.25">
      <c r="A407" s="10" t="s">
        <v>922</v>
      </c>
      <c r="B407" s="15">
        <v>55.67</v>
      </c>
      <c r="C407" s="15">
        <v>58.49</v>
      </c>
      <c r="D407" s="15">
        <v>56.54</v>
      </c>
      <c r="E407" s="15">
        <v>56.54</v>
      </c>
      <c r="F407" s="15">
        <v>58.49</v>
      </c>
      <c r="G407" s="15">
        <v>98.12</v>
      </c>
      <c r="H407" s="15">
        <v>0</v>
      </c>
      <c r="I407" s="15">
        <v>0</v>
      </c>
      <c r="J407" s="15">
        <v>0</v>
      </c>
      <c r="K407" s="15">
        <v>0</v>
      </c>
      <c r="L407" s="15">
        <v>0</v>
      </c>
      <c r="M407" s="15">
        <v>0</v>
      </c>
      <c r="N407" s="15">
        <v>25.62</v>
      </c>
      <c r="O407" t="s">
        <v>75</v>
      </c>
    </row>
    <row r="408" spans="1:15" x14ac:dyDescent="0.25">
      <c r="A408" s="10" t="s">
        <v>924</v>
      </c>
      <c r="B408" s="15">
        <v>320.54000000000002</v>
      </c>
      <c r="C408" s="15">
        <v>210.12</v>
      </c>
      <c r="D408" s="15">
        <v>144.94999999999999</v>
      </c>
      <c r="E408" s="15">
        <v>199</v>
      </c>
      <c r="F408" s="15">
        <v>199</v>
      </c>
      <c r="G408" s="15">
        <v>199</v>
      </c>
      <c r="H408" s="15">
        <v>199</v>
      </c>
      <c r="I408" s="15">
        <v>199</v>
      </c>
      <c r="J408" s="15">
        <v>199</v>
      </c>
      <c r="K408" s="15">
        <v>309.57</v>
      </c>
      <c r="L408" s="15">
        <v>199</v>
      </c>
      <c r="M408" s="15">
        <v>119.96</v>
      </c>
      <c r="N408" s="15">
        <v>199.92</v>
      </c>
      <c r="O408" t="s">
        <v>75</v>
      </c>
    </row>
    <row r="409" spans="1:15" x14ac:dyDescent="0.25">
      <c r="A409" s="10" t="s">
        <v>926</v>
      </c>
      <c r="B409" s="15">
        <v>55.67</v>
      </c>
      <c r="C409" s="15">
        <v>58.49</v>
      </c>
      <c r="D409" s="15">
        <v>58.49</v>
      </c>
      <c r="E409" s="15">
        <v>58.49</v>
      </c>
      <c r="F409" s="15">
        <v>56.54</v>
      </c>
      <c r="G409" s="15">
        <v>73.52</v>
      </c>
      <c r="H409" s="15">
        <v>61.5</v>
      </c>
      <c r="I409" s="15">
        <v>61.5</v>
      </c>
      <c r="J409" s="15">
        <v>61.5</v>
      </c>
      <c r="K409" s="15">
        <v>90.2</v>
      </c>
      <c r="L409" s="15">
        <v>0</v>
      </c>
      <c r="M409" s="15">
        <v>0</v>
      </c>
      <c r="N409" s="15">
        <v>51.25</v>
      </c>
      <c r="O409" t="s">
        <v>75</v>
      </c>
    </row>
    <row r="410" spans="1:15" x14ac:dyDescent="0.25">
      <c r="A410" s="10" t="s">
        <v>928</v>
      </c>
      <c r="B410" s="15">
        <v>0</v>
      </c>
      <c r="C410" s="15">
        <v>0</v>
      </c>
      <c r="D410" s="15">
        <v>0</v>
      </c>
      <c r="E410" s="15">
        <v>0</v>
      </c>
      <c r="F410" s="15">
        <v>0</v>
      </c>
      <c r="G410" s="15">
        <v>0</v>
      </c>
      <c r="H410" s="15">
        <v>0</v>
      </c>
      <c r="I410" s="15">
        <v>0</v>
      </c>
      <c r="J410" s="15">
        <v>0</v>
      </c>
      <c r="K410" s="15">
        <v>0</v>
      </c>
      <c r="L410" s="15">
        <v>43.05</v>
      </c>
      <c r="M410" s="15">
        <v>61.5</v>
      </c>
      <c r="N410" s="15">
        <v>15.37</v>
      </c>
      <c r="O410" t="s">
        <v>75</v>
      </c>
    </row>
    <row r="411" spans="1:15" x14ac:dyDescent="0.25">
      <c r="A411" s="10" t="s">
        <v>930</v>
      </c>
      <c r="B411" s="15">
        <v>44.54</v>
      </c>
      <c r="C411" s="15">
        <v>58.49</v>
      </c>
      <c r="D411" s="15">
        <v>58.49</v>
      </c>
      <c r="E411" s="15">
        <v>56.54</v>
      </c>
      <c r="F411" s="15">
        <v>58.49</v>
      </c>
      <c r="G411" s="15">
        <v>71.48</v>
      </c>
      <c r="H411" s="15">
        <v>59.45</v>
      </c>
      <c r="I411" s="15">
        <v>61.5</v>
      </c>
      <c r="J411" s="15">
        <v>61.5</v>
      </c>
      <c r="K411" s="15">
        <v>57.4</v>
      </c>
      <c r="L411" s="15">
        <v>69.7</v>
      </c>
      <c r="M411" s="15">
        <v>0</v>
      </c>
      <c r="N411" s="15">
        <v>51.25</v>
      </c>
      <c r="O411" t="s">
        <v>75</v>
      </c>
    </row>
    <row r="412" spans="1:15" x14ac:dyDescent="0.25">
      <c r="A412" s="10" t="s">
        <v>932</v>
      </c>
      <c r="B412" s="15">
        <v>116.54</v>
      </c>
      <c r="C412" s="15">
        <v>0</v>
      </c>
      <c r="D412" s="15">
        <v>0</v>
      </c>
      <c r="E412" s="15">
        <v>0</v>
      </c>
      <c r="F412" s="15">
        <v>0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>
        <v>7.22</v>
      </c>
      <c r="O412" t="s">
        <v>75</v>
      </c>
    </row>
    <row r="413" spans="1:15" x14ac:dyDescent="0.25">
      <c r="A413" s="10" t="s">
        <v>934</v>
      </c>
      <c r="B413" s="15">
        <v>513.01</v>
      </c>
      <c r="C413" s="15">
        <v>570.88</v>
      </c>
      <c r="D413" s="15">
        <v>570.88</v>
      </c>
      <c r="E413" s="15">
        <v>570.88</v>
      </c>
      <c r="F413" s="15">
        <v>570.88</v>
      </c>
      <c r="G413" s="15">
        <v>570.88</v>
      </c>
      <c r="H413" s="15">
        <v>570.88</v>
      </c>
      <c r="I413" s="15">
        <v>1141.76</v>
      </c>
      <c r="J413" s="15">
        <v>570.88</v>
      </c>
      <c r="K413" s="15">
        <v>0</v>
      </c>
      <c r="L413" s="15">
        <v>570.88</v>
      </c>
      <c r="M413" s="15">
        <v>570.88</v>
      </c>
      <c r="N413" s="15">
        <v>570.88</v>
      </c>
      <c r="O413" t="s">
        <v>75</v>
      </c>
    </row>
    <row r="414" spans="1:15" x14ac:dyDescent="0.25">
      <c r="A414" s="10" t="s">
        <v>936</v>
      </c>
      <c r="B414" s="15">
        <v>0</v>
      </c>
      <c r="C414" s="15">
        <v>0</v>
      </c>
      <c r="D414" s="15">
        <v>0</v>
      </c>
      <c r="E414" s="15">
        <v>33.14</v>
      </c>
      <c r="F414" s="15">
        <v>58.49</v>
      </c>
      <c r="G414" s="15">
        <v>66.209999999999994</v>
      </c>
      <c r="H414" s="15">
        <v>61.5</v>
      </c>
      <c r="I414" s="15">
        <v>61.5</v>
      </c>
      <c r="J414" s="15">
        <v>61.5</v>
      </c>
      <c r="K414" s="15">
        <v>61.5</v>
      </c>
      <c r="L414" s="15">
        <v>59.45</v>
      </c>
      <c r="M414" s="15">
        <v>61.5</v>
      </c>
      <c r="N414" s="15">
        <v>51.25</v>
      </c>
      <c r="O414" t="s">
        <v>75</v>
      </c>
    </row>
    <row r="415" spans="1:15" x14ac:dyDescent="0.25">
      <c r="A415" s="10" t="s">
        <v>938</v>
      </c>
      <c r="B415" s="15">
        <v>0</v>
      </c>
      <c r="C415" s="15">
        <v>0</v>
      </c>
      <c r="D415" s="15">
        <v>0</v>
      </c>
      <c r="E415" s="15">
        <v>33.14</v>
      </c>
      <c r="F415" s="15">
        <v>58.49</v>
      </c>
      <c r="G415" s="15">
        <v>66.209999999999994</v>
      </c>
      <c r="H415" s="15">
        <v>61.5</v>
      </c>
      <c r="I415" s="15">
        <v>61.5</v>
      </c>
      <c r="J415" s="15">
        <v>61.5</v>
      </c>
      <c r="K415" s="15">
        <v>61.5</v>
      </c>
      <c r="L415" s="15">
        <v>61.5</v>
      </c>
      <c r="M415" s="15">
        <v>61.5</v>
      </c>
      <c r="N415" s="15">
        <v>51.25</v>
      </c>
      <c r="O415" t="s">
        <v>75</v>
      </c>
    </row>
    <row r="416" spans="1:15" x14ac:dyDescent="0.25">
      <c r="A416" s="10" t="s">
        <v>940</v>
      </c>
      <c r="B416" s="15">
        <v>53.81</v>
      </c>
      <c r="C416" s="15">
        <v>56.54</v>
      </c>
      <c r="D416" s="15">
        <v>58.49</v>
      </c>
      <c r="E416" s="15">
        <v>89.68</v>
      </c>
      <c r="F416" s="15">
        <v>10.72</v>
      </c>
      <c r="G416" s="15">
        <v>83.74</v>
      </c>
      <c r="H416" s="15">
        <v>86.63</v>
      </c>
      <c r="I416" s="15">
        <v>86.63</v>
      </c>
      <c r="J416" s="15">
        <v>86.63</v>
      </c>
      <c r="K416" s="15">
        <v>86.47</v>
      </c>
      <c r="L416" s="15">
        <v>85.46</v>
      </c>
      <c r="M416" s="15">
        <v>86.63</v>
      </c>
      <c r="N416" s="15">
        <v>78.239999999999995</v>
      </c>
      <c r="O416" t="s">
        <v>75</v>
      </c>
    </row>
    <row r="417" spans="1:15" x14ac:dyDescent="0.25">
      <c r="A417" s="10" t="s">
        <v>942</v>
      </c>
      <c r="B417" s="15">
        <v>174.31</v>
      </c>
      <c r="C417" s="15">
        <v>199.57</v>
      </c>
      <c r="D417" s="15">
        <v>199</v>
      </c>
      <c r="E417" s="15">
        <v>515.46</v>
      </c>
      <c r="F417" s="15">
        <v>199</v>
      </c>
      <c r="G417" s="15">
        <v>0</v>
      </c>
      <c r="H417" s="15">
        <v>199</v>
      </c>
      <c r="I417" s="15">
        <v>199</v>
      </c>
      <c r="J417" s="15">
        <v>198.45</v>
      </c>
      <c r="K417" s="15">
        <v>199</v>
      </c>
      <c r="L417" s="15">
        <v>199</v>
      </c>
      <c r="M417" s="15">
        <v>199</v>
      </c>
      <c r="N417" s="15">
        <v>199.05</v>
      </c>
      <c r="O417" t="s">
        <v>75</v>
      </c>
    </row>
    <row r="418" spans="1:15" x14ac:dyDescent="0.25">
      <c r="A418" s="10" t="s">
        <v>944</v>
      </c>
      <c r="B418" s="15">
        <v>51.96</v>
      </c>
      <c r="C418" s="15">
        <v>58.49</v>
      </c>
      <c r="D418" s="15">
        <v>54.59</v>
      </c>
      <c r="E418" s="15">
        <v>91.63</v>
      </c>
      <c r="F418" s="15">
        <v>10.72</v>
      </c>
      <c r="G418" s="15">
        <v>114.38</v>
      </c>
      <c r="H418" s="15">
        <v>122.54</v>
      </c>
      <c r="I418" s="15">
        <v>122.54</v>
      </c>
      <c r="J418" s="15">
        <v>122.54</v>
      </c>
      <c r="K418" s="15">
        <v>122.54</v>
      </c>
      <c r="L418" s="15">
        <v>122.54</v>
      </c>
      <c r="M418" s="15">
        <v>122.54</v>
      </c>
      <c r="N418" s="15">
        <v>102.19</v>
      </c>
      <c r="O418" t="s">
        <v>75</v>
      </c>
    </row>
    <row r="419" spans="1:15" x14ac:dyDescent="0.25">
      <c r="A419" s="10" t="s">
        <v>946</v>
      </c>
      <c r="B419" s="15">
        <v>0</v>
      </c>
      <c r="C419" s="15">
        <v>0</v>
      </c>
      <c r="D419" s="15">
        <v>0</v>
      </c>
      <c r="E419" s="15">
        <v>0</v>
      </c>
      <c r="F419" s="15">
        <v>0</v>
      </c>
      <c r="G419" s="15">
        <v>0</v>
      </c>
      <c r="H419" s="15">
        <v>0</v>
      </c>
      <c r="I419" s="15">
        <v>0</v>
      </c>
      <c r="J419" s="15">
        <v>0</v>
      </c>
      <c r="K419" s="15">
        <v>0</v>
      </c>
      <c r="L419" s="15">
        <v>0</v>
      </c>
      <c r="M419" s="15">
        <v>0</v>
      </c>
      <c r="N419" s="15">
        <v>5.12</v>
      </c>
      <c r="O419" t="s">
        <v>75</v>
      </c>
    </row>
    <row r="420" spans="1:15" x14ac:dyDescent="0.25">
      <c r="A420" s="10" t="s">
        <v>948</v>
      </c>
      <c r="B420" s="15">
        <v>0</v>
      </c>
      <c r="C420" s="15">
        <v>0</v>
      </c>
      <c r="D420" s="15">
        <v>0</v>
      </c>
      <c r="E420" s="15">
        <v>0</v>
      </c>
      <c r="F420" s="15">
        <v>0</v>
      </c>
      <c r="G420" s="15">
        <v>30.75</v>
      </c>
      <c r="H420" s="15">
        <v>61.5</v>
      </c>
      <c r="I420" s="15">
        <v>61.5</v>
      </c>
      <c r="J420" s="15">
        <v>51.27</v>
      </c>
      <c r="K420" s="15">
        <v>55.34</v>
      </c>
      <c r="L420" s="15">
        <v>98.4</v>
      </c>
      <c r="M420" s="15">
        <v>0</v>
      </c>
      <c r="N420" s="15">
        <v>35.869999999999997</v>
      </c>
      <c r="O420" t="s">
        <v>75</v>
      </c>
    </row>
    <row r="421" spans="1:15" x14ac:dyDescent="0.25">
      <c r="A421" s="10" t="s">
        <v>950</v>
      </c>
      <c r="B421" s="15">
        <v>55.67</v>
      </c>
      <c r="C421" s="15">
        <v>58.49</v>
      </c>
      <c r="D421" s="15">
        <v>56.54</v>
      </c>
      <c r="E421" s="15">
        <v>58.49</v>
      </c>
      <c r="F421" s="15">
        <v>70.510000000000005</v>
      </c>
      <c r="G421" s="15">
        <v>0</v>
      </c>
      <c r="H421" s="15">
        <v>0</v>
      </c>
      <c r="I421" s="15">
        <v>0</v>
      </c>
      <c r="J421" s="15">
        <v>0</v>
      </c>
      <c r="K421" s="15">
        <v>0</v>
      </c>
      <c r="L421" s="15">
        <v>0</v>
      </c>
      <c r="M421" s="15">
        <v>0</v>
      </c>
      <c r="N421" s="15">
        <v>20.49</v>
      </c>
      <c r="O421" t="s">
        <v>75</v>
      </c>
    </row>
    <row r="422" spans="1:15" x14ac:dyDescent="0.25">
      <c r="A422" s="10" t="s">
        <v>952</v>
      </c>
      <c r="B422" s="15">
        <v>0</v>
      </c>
      <c r="C422" s="15">
        <v>0</v>
      </c>
      <c r="D422" s="15">
        <v>0</v>
      </c>
      <c r="E422" s="15">
        <v>0</v>
      </c>
      <c r="F422" s="15">
        <v>0</v>
      </c>
      <c r="G422" s="15">
        <v>0</v>
      </c>
      <c r="H422" s="15">
        <v>0</v>
      </c>
      <c r="I422" s="15">
        <v>0</v>
      </c>
      <c r="J422" s="15">
        <v>0</v>
      </c>
      <c r="K422" s="15">
        <v>24.6</v>
      </c>
      <c r="L422" s="15">
        <v>57.4</v>
      </c>
      <c r="M422" s="15">
        <v>14.35</v>
      </c>
      <c r="N422" s="15">
        <v>10.25</v>
      </c>
      <c r="O422" t="s">
        <v>75</v>
      </c>
    </row>
    <row r="423" spans="1:15" x14ac:dyDescent="0.25">
      <c r="A423" s="10" t="s">
        <v>954</v>
      </c>
      <c r="B423" s="15">
        <v>53.81</v>
      </c>
      <c r="C423" s="15">
        <v>58.49</v>
      </c>
      <c r="D423" s="15">
        <v>56.54</v>
      </c>
      <c r="E423" s="15">
        <v>93.58</v>
      </c>
      <c r="F423" s="15">
        <v>10.72</v>
      </c>
      <c r="G423" s="15">
        <v>0</v>
      </c>
      <c r="H423" s="15">
        <v>40.880000000000003</v>
      </c>
      <c r="I423" s="15">
        <v>153.31</v>
      </c>
      <c r="J423" s="15">
        <v>153.31</v>
      </c>
      <c r="K423" s="15">
        <v>153.31</v>
      </c>
      <c r="L423" s="15">
        <v>153.31</v>
      </c>
      <c r="M423" s="15">
        <v>153.31</v>
      </c>
      <c r="N423" s="15">
        <v>88.63</v>
      </c>
      <c r="O423" t="s">
        <v>75</v>
      </c>
    </row>
    <row r="424" spans="1:15" x14ac:dyDescent="0.25">
      <c r="A424" s="10" t="s">
        <v>956</v>
      </c>
      <c r="B424" s="15">
        <v>0</v>
      </c>
      <c r="C424" s="15">
        <v>0</v>
      </c>
      <c r="D424" s="15">
        <v>0</v>
      </c>
      <c r="E424" s="15">
        <v>33.14</v>
      </c>
      <c r="F424" s="15">
        <v>66.290000000000006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>
        <v>9.74</v>
      </c>
      <c r="O424" t="s">
        <v>75</v>
      </c>
    </row>
    <row r="425" spans="1:15" x14ac:dyDescent="0.25">
      <c r="A425" s="10" t="s">
        <v>958</v>
      </c>
      <c r="B425" s="15">
        <v>196.93</v>
      </c>
      <c r="C425" s="15">
        <v>226.12</v>
      </c>
      <c r="D425" s="15">
        <v>214.18</v>
      </c>
      <c r="E425" s="15">
        <v>404.56</v>
      </c>
      <c r="F425" s="15">
        <v>214.18</v>
      </c>
      <c r="G425" s="15">
        <v>129.56</v>
      </c>
      <c r="H425" s="15">
        <v>214.18</v>
      </c>
      <c r="I425" s="15">
        <v>214.18</v>
      </c>
      <c r="J425" s="15">
        <v>214.18</v>
      </c>
      <c r="K425" s="15">
        <v>214.18</v>
      </c>
      <c r="L425" s="15">
        <v>214.18</v>
      </c>
      <c r="M425" s="15">
        <v>214.18</v>
      </c>
      <c r="N425" s="15">
        <v>215.17</v>
      </c>
      <c r="O425" t="s">
        <v>75</v>
      </c>
    </row>
    <row r="426" spans="1:15" x14ac:dyDescent="0.25">
      <c r="A426" s="10" t="s">
        <v>960</v>
      </c>
      <c r="B426" s="15">
        <v>0</v>
      </c>
      <c r="C426" s="15">
        <v>57.87</v>
      </c>
      <c r="D426" s="15">
        <v>0</v>
      </c>
      <c r="E426" s="15">
        <v>0</v>
      </c>
      <c r="F426" s="15">
        <v>0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570.88</v>
      </c>
      <c r="N426" s="15">
        <v>570.88</v>
      </c>
      <c r="O426" t="s">
        <v>75</v>
      </c>
    </row>
    <row r="427" spans="1:15" x14ac:dyDescent="0.25">
      <c r="A427" s="10" t="s">
        <v>962</v>
      </c>
      <c r="B427" s="15">
        <v>513.01</v>
      </c>
      <c r="C427" s="15">
        <v>570.88</v>
      </c>
      <c r="D427" s="15">
        <v>570.88</v>
      </c>
      <c r="E427" s="15">
        <v>570.88</v>
      </c>
      <c r="F427" s="15">
        <v>570.88</v>
      </c>
      <c r="G427" s="15">
        <v>570.88</v>
      </c>
      <c r="H427" s="15">
        <v>570.88</v>
      </c>
      <c r="I427" s="15">
        <v>570.88</v>
      </c>
      <c r="J427" s="15">
        <v>570.88</v>
      </c>
      <c r="K427" s="15">
        <v>1141.76</v>
      </c>
      <c r="L427" s="15">
        <v>0</v>
      </c>
      <c r="M427" s="15">
        <v>570.88</v>
      </c>
      <c r="N427" s="15">
        <v>570.88</v>
      </c>
      <c r="O427" t="s">
        <v>75</v>
      </c>
    </row>
    <row r="428" spans="1:15" x14ac:dyDescent="0.25">
      <c r="A428" s="10" t="s">
        <v>964</v>
      </c>
      <c r="B428" s="15">
        <v>513.01</v>
      </c>
      <c r="C428" s="15">
        <v>570.88</v>
      </c>
      <c r="D428" s="15">
        <v>570.88</v>
      </c>
      <c r="E428" s="15">
        <v>570.88</v>
      </c>
      <c r="F428" s="15">
        <v>570.88</v>
      </c>
      <c r="G428" s="15">
        <v>570.88</v>
      </c>
      <c r="H428" s="15">
        <v>570.88</v>
      </c>
      <c r="I428" s="15">
        <v>570.88</v>
      </c>
      <c r="J428" s="15">
        <v>570.88</v>
      </c>
      <c r="K428" s="15">
        <v>570.88</v>
      </c>
      <c r="L428" s="15">
        <v>570.88</v>
      </c>
      <c r="M428" s="15">
        <v>570.88</v>
      </c>
      <c r="N428" s="15">
        <v>570.88</v>
      </c>
      <c r="O428" t="s">
        <v>75</v>
      </c>
    </row>
    <row r="429" spans="1:15" x14ac:dyDescent="0.25">
      <c r="A429" s="10" t="s">
        <v>966</v>
      </c>
      <c r="B429" s="15">
        <v>933.63</v>
      </c>
      <c r="C429" s="15">
        <v>570.88</v>
      </c>
      <c r="D429" s="15">
        <v>112.86</v>
      </c>
      <c r="E429" s="15">
        <v>473.14</v>
      </c>
      <c r="F429" s="15">
        <v>484.44</v>
      </c>
      <c r="G429" s="15">
        <v>484.44</v>
      </c>
      <c r="H429" s="15">
        <v>484.44</v>
      </c>
      <c r="I429" s="15">
        <v>484.44</v>
      </c>
      <c r="J429" s="15">
        <v>484.44</v>
      </c>
      <c r="K429" s="15">
        <v>956.96</v>
      </c>
      <c r="L429" s="15">
        <v>115.78</v>
      </c>
      <c r="M429" s="15">
        <v>474.83</v>
      </c>
      <c r="N429" s="15">
        <v>522.73</v>
      </c>
      <c r="O429" t="s">
        <v>75</v>
      </c>
    </row>
    <row r="430" spans="1:15" x14ac:dyDescent="0.25">
      <c r="A430" s="10" t="s">
        <v>968</v>
      </c>
      <c r="B430" s="15">
        <v>472.3</v>
      </c>
      <c r="C430" s="15">
        <v>570.88</v>
      </c>
      <c r="D430" s="15">
        <v>453.66</v>
      </c>
      <c r="E430" s="15">
        <v>786.58</v>
      </c>
      <c r="F430" s="15">
        <v>453.66</v>
      </c>
      <c r="G430" s="15">
        <v>226.53</v>
      </c>
      <c r="H430" s="15">
        <v>780.52</v>
      </c>
      <c r="I430" s="15">
        <v>241.95</v>
      </c>
      <c r="J430" s="15">
        <v>444.59</v>
      </c>
      <c r="K430" s="15">
        <v>453.66</v>
      </c>
      <c r="L430" s="15">
        <v>453.66</v>
      </c>
      <c r="M430" s="15">
        <v>453.66</v>
      </c>
      <c r="N430" s="15">
        <v>495.57</v>
      </c>
      <c r="O430" t="s">
        <v>75</v>
      </c>
    </row>
    <row r="431" spans="1:15" x14ac:dyDescent="0.25">
      <c r="A431" s="10" t="s">
        <v>970</v>
      </c>
      <c r="B431" s="15">
        <v>80.680000000000007</v>
      </c>
      <c r="C431" s="15">
        <v>183.55</v>
      </c>
      <c r="D431" s="15">
        <v>199</v>
      </c>
      <c r="E431" s="15">
        <v>191.04</v>
      </c>
      <c r="F431" s="15">
        <v>197.62</v>
      </c>
      <c r="G431" s="15">
        <v>198.9</v>
      </c>
      <c r="H431" s="15">
        <v>199</v>
      </c>
      <c r="I431" s="15">
        <v>199</v>
      </c>
      <c r="J431" s="15">
        <v>199</v>
      </c>
      <c r="K431" s="15">
        <v>199</v>
      </c>
      <c r="L431" s="15">
        <v>515.62</v>
      </c>
      <c r="M431" s="15">
        <v>182.06</v>
      </c>
      <c r="N431" s="15">
        <v>199.74</v>
      </c>
      <c r="O431" t="s">
        <v>75</v>
      </c>
    </row>
    <row r="432" spans="1:15" x14ac:dyDescent="0.25">
      <c r="A432" s="10" t="s">
        <v>972</v>
      </c>
      <c r="B432" s="15">
        <v>179.03</v>
      </c>
      <c r="C432" s="15">
        <v>211.88</v>
      </c>
      <c r="D432" s="15">
        <v>199</v>
      </c>
      <c r="E432" s="15">
        <v>199</v>
      </c>
      <c r="F432" s="15">
        <v>199</v>
      </c>
      <c r="G432" s="15">
        <v>199</v>
      </c>
      <c r="H432" s="15">
        <v>258.11</v>
      </c>
      <c r="I432" s="15">
        <v>0</v>
      </c>
      <c r="J432" s="15">
        <v>0</v>
      </c>
      <c r="K432" s="15">
        <v>0</v>
      </c>
      <c r="L432" s="15">
        <v>0</v>
      </c>
      <c r="M432" s="15">
        <v>0</v>
      </c>
      <c r="N432" s="15">
        <v>91.38</v>
      </c>
      <c r="O432" t="s">
        <v>75</v>
      </c>
    </row>
    <row r="433" spans="1:15" x14ac:dyDescent="0.25">
      <c r="A433" s="10" t="s">
        <v>974</v>
      </c>
      <c r="B433" s="15">
        <v>305.06</v>
      </c>
      <c r="C433" s="15">
        <v>332.17</v>
      </c>
      <c r="D433" s="15">
        <v>327.58999999999997</v>
      </c>
      <c r="E433" s="15">
        <v>327.58999999999997</v>
      </c>
      <c r="F433" s="15">
        <v>327.58999999999997</v>
      </c>
      <c r="G433" s="15">
        <v>327.58999999999997</v>
      </c>
      <c r="H433" s="15">
        <v>327.58999999999997</v>
      </c>
      <c r="I433" s="15">
        <v>539.39</v>
      </c>
      <c r="J433" s="15">
        <v>258.11</v>
      </c>
      <c r="K433" s="15">
        <v>258.11</v>
      </c>
      <c r="L433" s="15">
        <v>327.58999999999997</v>
      </c>
      <c r="M433" s="15">
        <v>327.58999999999997</v>
      </c>
      <c r="N433" s="15">
        <v>327.97</v>
      </c>
      <c r="O433" t="s">
        <v>75</v>
      </c>
    </row>
    <row r="434" spans="1:15" x14ac:dyDescent="0.25">
      <c r="A434" s="10" t="s">
        <v>976</v>
      </c>
      <c r="B434" s="15">
        <v>381.56</v>
      </c>
      <c r="C434" s="15">
        <v>189.32</v>
      </c>
      <c r="D434" s="15">
        <v>570.88</v>
      </c>
      <c r="E434" s="15">
        <v>570.88</v>
      </c>
      <c r="F434" s="15">
        <v>570.88</v>
      </c>
      <c r="G434" s="15">
        <v>570.88</v>
      </c>
      <c r="H434" s="15">
        <v>570.88</v>
      </c>
      <c r="I434" s="15">
        <v>570.88</v>
      </c>
      <c r="J434" s="15">
        <v>570.88</v>
      </c>
      <c r="K434" s="15">
        <v>570.88</v>
      </c>
      <c r="L434" s="15">
        <v>1141.76</v>
      </c>
      <c r="M434" s="15">
        <v>570.88</v>
      </c>
      <c r="N434" s="15">
        <v>570.88</v>
      </c>
      <c r="O434" t="s">
        <v>75</v>
      </c>
    </row>
    <row r="435" spans="1:15" x14ac:dyDescent="0.25">
      <c r="A435" s="10" t="s">
        <v>978</v>
      </c>
      <c r="B435" s="15">
        <v>513.01</v>
      </c>
      <c r="C435" s="15">
        <v>570.88</v>
      </c>
      <c r="D435" s="15">
        <v>570.88</v>
      </c>
      <c r="E435" s="15">
        <v>1078.26</v>
      </c>
      <c r="F435" s="15">
        <v>423.58</v>
      </c>
      <c r="G435" s="15">
        <v>210.8</v>
      </c>
      <c r="H435" s="15">
        <v>570.88</v>
      </c>
      <c r="I435" s="15">
        <v>570.88</v>
      </c>
      <c r="J435" s="15">
        <v>570.88</v>
      </c>
      <c r="K435" s="15">
        <v>1101.68</v>
      </c>
      <c r="L435" s="15">
        <v>66.290000000000006</v>
      </c>
      <c r="M435" s="15">
        <v>544.66999999999996</v>
      </c>
      <c r="N435" s="15">
        <v>570.88</v>
      </c>
      <c r="O435" t="s">
        <v>75</v>
      </c>
    </row>
    <row r="436" spans="1:15" x14ac:dyDescent="0.25">
      <c r="A436" s="10" t="s">
        <v>980</v>
      </c>
      <c r="B436" s="15">
        <v>0</v>
      </c>
      <c r="C436" s="15">
        <v>0</v>
      </c>
      <c r="D436" s="15">
        <v>0</v>
      </c>
      <c r="E436" s="15">
        <v>0</v>
      </c>
      <c r="F436" s="15">
        <v>0</v>
      </c>
      <c r="G436" s="15">
        <v>0</v>
      </c>
      <c r="H436" s="15">
        <v>570.88</v>
      </c>
      <c r="I436" s="15">
        <v>570.88</v>
      </c>
      <c r="J436" s="15">
        <v>1141.76</v>
      </c>
      <c r="K436" s="15">
        <v>0</v>
      </c>
      <c r="L436" s="15">
        <v>0</v>
      </c>
      <c r="M436" s="15">
        <v>0</v>
      </c>
      <c r="N436" s="15">
        <v>184.02</v>
      </c>
      <c r="O436" t="s">
        <v>75</v>
      </c>
    </row>
    <row r="437" spans="1:15" x14ac:dyDescent="0.25">
      <c r="A437" s="10" t="s">
        <v>982</v>
      </c>
      <c r="B437" s="15">
        <v>102.83</v>
      </c>
      <c r="C437" s="15">
        <v>570.88</v>
      </c>
      <c r="D437" s="15">
        <v>554.88</v>
      </c>
      <c r="E437" s="15">
        <v>545.78</v>
      </c>
      <c r="F437" s="15">
        <v>570.88</v>
      </c>
      <c r="G437" s="15">
        <v>570.88</v>
      </c>
      <c r="H437" s="15">
        <v>1141.76</v>
      </c>
      <c r="I437" s="15">
        <v>570.88</v>
      </c>
      <c r="J437" s="15">
        <v>0</v>
      </c>
      <c r="K437" s="15">
        <v>570.88</v>
      </c>
      <c r="L437" s="15">
        <v>570.88</v>
      </c>
      <c r="M437" s="15">
        <v>570.88</v>
      </c>
      <c r="N437" s="15">
        <v>572.33000000000004</v>
      </c>
      <c r="O437" t="s">
        <v>75</v>
      </c>
    </row>
    <row r="438" spans="1:15" x14ac:dyDescent="0.25">
      <c r="A438" s="10" t="s">
        <v>984</v>
      </c>
      <c r="B438" s="15">
        <v>262.57</v>
      </c>
      <c r="C438" s="15">
        <v>155.59</v>
      </c>
      <c r="D438" s="15">
        <v>229.35</v>
      </c>
      <c r="E438" s="15">
        <v>320.01</v>
      </c>
      <c r="F438" s="15">
        <v>220.89</v>
      </c>
      <c r="G438" s="15">
        <v>229.35</v>
      </c>
      <c r="H438" s="15">
        <v>229.35</v>
      </c>
      <c r="I438" s="15">
        <v>430.05</v>
      </c>
      <c r="J438" s="15">
        <v>160.03</v>
      </c>
      <c r="K438" s="15">
        <v>262.5</v>
      </c>
      <c r="L438" s="15">
        <v>229.35</v>
      </c>
      <c r="M438" s="15">
        <v>229.35</v>
      </c>
      <c r="N438" s="15">
        <v>229.62</v>
      </c>
      <c r="O438" t="s">
        <v>75</v>
      </c>
    </row>
    <row r="439" spans="1:15" x14ac:dyDescent="0.25">
      <c r="A439" s="10" t="s">
        <v>986</v>
      </c>
      <c r="B439" s="15">
        <v>513.01</v>
      </c>
      <c r="C439" s="15">
        <v>570.88</v>
      </c>
      <c r="D439" s="15">
        <v>570.88</v>
      </c>
      <c r="E439" s="15">
        <v>1141.76</v>
      </c>
      <c r="F439" s="15">
        <v>570.88</v>
      </c>
      <c r="G439" s="15">
        <v>0</v>
      </c>
      <c r="H439" s="15">
        <v>570.88</v>
      </c>
      <c r="I439" s="15">
        <v>570.88</v>
      </c>
      <c r="J439" s="15">
        <v>570.88</v>
      </c>
      <c r="K439" s="15">
        <v>570.88</v>
      </c>
      <c r="L439" s="15">
        <v>570.88</v>
      </c>
      <c r="M439" s="15">
        <v>570.88</v>
      </c>
      <c r="N439" s="15">
        <v>570.88</v>
      </c>
      <c r="O439" t="s">
        <v>75</v>
      </c>
    </row>
    <row r="440" spans="1:15" x14ac:dyDescent="0.25">
      <c r="A440" s="10" t="s">
        <v>988</v>
      </c>
      <c r="B440" s="15">
        <v>649.44000000000005</v>
      </c>
      <c r="C440" s="15">
        <v>570.88</v>
      </c>
      <c r="D440" s="15">
        <v>123.28</v>
      </c>
      <c r="E440" s="15">
        <v>335.98</v>
      </c>
      <c r="F440" s="15">
        <v>339.24</v>
      </c>
      <c r="G440" s="15">
        <v>342.67</v>
      </c>
      <c r="H440" s="15">
        <v>342.85</v>
      </c>
      <c r="I440" s="15">
        <v>342.85</v>
      </c>
      <c r="J440" s="15">
        <v>342.85</v>
      </c>
      <c r="K440" s="15">
        <v>342.85</v>
      </c>
      <c r="L440" s="15">
        <v>502.92</v>
      </c>
      <c r="M440" s="15">
        <v>411.45</v>
      </c>
      <c r="N440" s="15">
        <v>400.01</v>
      </c>
      <c r="O440" t="s">
        <v>75</v>
      </c>
    </row>
    <row r="441" spans="1:15" x14ac:dyDescent="0.25">
      <c r="A441" s="10" t="s">
        <v>990</v>
      </c>
      <c r="B441" s="15">
        <v>513.01</v>
      </c>
      <c r="C441" s="15">
        <v>57.87</v>
      </c>
      <c r="D441" s="15">
        <v>570.88</v>
      </c>
      <c r="E441" s="15">
        <v>570.88</v>
      </c>
      <c r="F441" s="15">
        <v>570.88</v>
      </c>
      <c r="G441" s="15">
        <v>570.88</v>
      </c>
      <c r="H441" s="15">
        <v>570.88</v>
      </c>
      <c r="I441" s="15">
        <v>570.88</v>
      </c>
      <c r="J441" s="15">
        <v>570.88</v>
      </c>
      <c r="K441" s="15">
        <v>570.88</v>
      </c>
      <c r="L441" s="15">
        <v>570.88</v>
      </c>
      <c r="M441" s="15">
        <v>1141.76</v>
      </c>
      <c r="N441" s="15">
        <v>570.88</v>
      </c>
      <c r="O441" t="s">
        <v>75</v>
      </c>
    </row>
    <row r="442" spans="1:15" x14ac:dyDescent="0.25">
      <c r="A442" s="10" t="s">
        <v>992</v>
      </c>
      <c r="B442" s="15">
        <v>0</v>
      </c>
      <c r="C442" s="15">
        <v>570.88</v>
      </c>
      <c r="D442" s="15">
        <v>570.88</v>
      </c>
      <c r="E442" s="15">
        <v>570.88</v>
      </c>
      <c r="F442" s="15">
        <v>570.88</v>
      </c>
      <c r="G442" s="15">
        <v>570.88</v>
      </c>
      <c r="H442" s="15">
        <v>570.88</v>
      </c>
      <c r="I442" s="15">
        <v>570.88</v>
      </c>
      <c r="J442" s="15">
        <v>570.88</v>
      </c>
      <c r="K442" s="15">
        <v>570.88</v>
      </c>
      <c r="L442" s="15">
        <v>570.88</v>
      </c>
      <c r="M442" s="15">
        <v>981.86</v>
      </c>
      <c r="N442" s="15">
        <v>570.88</v>
      </c>
      <c r="O442" t="s">
        <v>75</v>
      </c>
    </row>
    <row r="443" spans="1:15" x14ac:dyDescent="0.25">
      <c r="A443" s="10" t="s">
        <v>994</v>
      </c>
      <c r="B443" s="15">
        <v>492.09</v>
      </c>
      <c r="C443" s="15">
        <v>742.53</v>
      </c>
      <c r="D443" s="15">
        <v>399.23</v>
      </c>
      <c r="E443" s="15">
        <v>561.39</v>
      </c>
      <c r="F443" s="15">
        <v>565.42999999999995</v>
      </c>
      <c r="G443" s="15">
        <v>981.74</v>
      </c>
      <c r="H443" s="15">
        <v>0</v>
      </c>
      <c r="I443" s="15">
        <v>0</v>
      </c>
      <c r="J443" s="15">
        <v>0</v>
      </c>
      <c r="K443" s="15">
        <v>0</v>
      </c>
      <c r="L443" s="15">
        <v>0</v>
      </c>
      <c r="M443" s="15">
        <v>0</v>
      </c>
      <c r="N443" s="15">
        <v>312.02</v>
      </c>
      <c r="O443" t="s">
        <v>75</v>
      </c>
    </row>
    <row r="444" spans="1:15" x14ac:dyDescent="0.25">
      <c r="A444" s="10" t="s">
        <v>996</v>
      </c>
      <c r="B444" s="15">
        <v>513.01</v>
      </c>
      <c r="C444" s="15">
        <v>57.87</v>
      </c>
      <c r="D444" s="15">
        <v>570.88</v>
      </c>
      <c r="E444" s="15">
        <v>570.88</v>
      </c>
      <c r="F444" s="15">
        <v>570.88</v>
      </c>
      <c r="G444" s="15">
        <v>570.88</v>
      </c>
      <c r="H444" s="15">
        <v>570.88</v>
      </c>
      <c r="I444" s="15">
        <v>570.88</v>
      </c>
      <c r="J444" s="15">
        <v>570.88</v>
      </c>
      <c r="K444" s="15">
        <v>570.88</v>
      </c>
      <c r="L444" s="15">
        <v>570.88</v>
      </c>
      <c r="M444" s="15">
        <v>1141.76</v>
      </c>
      <c r="N444" s="15">
        <v>570.88</v>
      </c>
      <c r="O444" t="s">
        <v>75</v>
      </c>
    </row>
    <row r="445" spans="1:15" x14ac:dyDescent="0.25">
      <c r="A445" s="10" t="s">
        <v>1001</v>
      </c>
      <c r="B445" s="15">
        <v>108.98</v>
      </c>
      <c r="C445" s="15">
        <v>349.25</v>
      </c>
      <c r="D445" s="15">
        <v>346.14</v>
      </c>
      <c r="E445" s="15">
        <v>346.14</v>
      </c>
      <c r="F445" s="15">
        <v>346.14</v>
      </c>
      <c r="G445" s="15">
        <v>346.14</v>
      </c>
      <c r="H445" s="15">
        <v>346.14</v>
      </c>
      <c r="I445" s="15">
        <v>346.14</v>
      </c>
      <c r="J445" s="15">
        <v>346.14</v>
      </c>
      <c r="K445" s="15">
        <v>799.59</v>
      </c>
      <c r="L445" s="15">
        <v>346.14</v>
      </c>
      <c r="M445" s="15">
        <v>23.08</v>
      </c>
      <c r="N445" s="15">
        <v>346.4</v>
      </c>
      <c r="O445" t="s">
        <v>75</v>
      </c>
    </row>
    <row r="446" spans="1:15" x14ac:dyDescent="0.25">
      <c r="A446" s="10" t="s">
        <v>1003</v>
      </c>
      <c r="B446" s="15">
        <v>179.03</v>
      </c>
      <c r="C446" s="15">
        <v>207.43</v>
      </c>
      <c r="D446" s="15">
        <v>372.07</v>
      </c>
      <c r="E446" s="15">
        <v>176.41</v>
      </c>
      <c r="F446" s="15">
        <v>144.97</v>
      </c>
      <c r="G446" s="15">
        <v>199</v>
      </c>
      <c r="H446" s="15">
        <v>199</v>
      </c>
      <c r="I446" s="15">
        <v>356.14</v>
      </c>
      <c r="J446" s="15">
        <v>0</v>
      </c>
      <c r="K446" s="15">
        <v>0</v>
      </c>
      <c r="L446" s="15">
        <v>0</v>
      </c>
      <c r="M446" s="15">
        <v>0</v>
      </c>
      <c r="N446" s="15">
        <v>118.89</v>
      </c>
      <c r="O446" t="s">
        <v>75</v>
      </c>
    </row>
    <row r="447" spans="1:15" x14ac:dyDescent="0.25">
      <c r="A447" s="10" t="s">
        <v>1005</v>
      </c>
      <c r="B447" s="15">
        <v>424.6</v>
      </c>
      <c r="C447" s="15">
        <v>491.36</v>
      </c>
      <c r="D447" s="15">
        <v>459</v>
      </c>
      <c r="E447" s="15">
        <v>459</v>
      </c>
      <c r="F447" s="15">
        <v>494.4</v>
      </c>
      <c r="G447" s="15">
        <v>459</v>
      </c>
      <c r="H447" s="15">
        <v>459</v>
      </c>
      <c r="I447" s="15">
        <v>459</v>
      </c>
      <c r="J447" s="15">
        <v>459</v>
      </c>
      <c r="K447" s="15">
        <v>1029.8800000000001</v>
      </c>
      <c r="L447" s="15">
        <v>459</v>
      </c>
      <c r="M447" s="15">
        <v>0</v>
      </c>
      <c r="N447" s="15">
        <v>464.64</v>
      </c>
      <c r="O447" t="s">
        <v>75</v>
      </c>
    </row>
    <row r="448" spans="1:15" x14ac:dyDescent="0.25">
      <c r="A448" s="10" t="s">
        <v>1007</v>
      </c>
      <c r="B448" s="15">
        <v>513.01</v>
      </c>
      <c r="C448" s="15">
        <v>1141.76</v>
      </c>
      <c r="D448" s="15">
        <v>570.88</v>
      </c>
      <c r="E448" s="15">
        <v>0</v>
      </c>
      <c r="F448" s="15">
        <v>570.88</v>
      </c>
      <c r="G448" s="15">
        <v>570.88</v>
      </c>
      <c r="H448" s="15">
        <v>570.88</v>
      </c>
      <c r="I448" s="15">
        <v>570.88</v>
      </c>
      <c r="J448" s="15">
        <v>570.88</v>
      </c>
      <c r="K448" s="15">
        <v>570.88</v>
      </c>
      <c r="L448" s="15">
        <v>570.88</v>
      </c>
      <c r="M448" s="15">
        <v>570.88</v>
      </c>
      <c r="N448" s="15">
        <v>570.88</v>
      </c>
      <c r="O448" t="s">
        <v>75</v>
      </c>
    </row>
    <row r="449" spans="1:15" x14ac:dyDescent="0.25">
      <c r="A449" s="10" t="s">
        <v>1009</v>
      </c>
      <c r="B449" s="15">
        <v>513.01</v>
      </c>
      <c r="C449" s="15">
        <v>1141.76</v>
      </c>
      <c r="D449" s="15">
        <v>570.88</v>
      </c>
      <c r="E449" s="15">
        <v>0</v>
      </c>
      <c r="F449" s="15">
        <v>570.88</v>
      </c>
      <c r="G449" s="15">
        <v>570.88</v>
      </c>
      <c r="H449" s="15">
        <v>570.88</v>
      </c>
      <c r="I449" s="15">
        <v>570.88</v>
      </c>
      <c r="J449" s="15">
        <v>570.88</v>
      </c>
      <c r="K449" s="15">
        <v>570.88</v>
      </c>
      <c r="L449" s="15">
        <v>570.88</v>
      </c>
      <c r="M449" s="15">
        <v>570.88</v>
      </c>
      <c r="N449" s="15">
        <v>570.88</v>
      </c>
      <c r="O449" t="s">
        <v>75</v>
      </c>
    </row>
    <row r="450" spans="1:15" x14ac:dyDescent="0.25">
      <c r="A450" s="10" t="s">
        <v>1011</v>
      </c>
      <c r="B450" s="15">
        <v>61.1</v>
      </c>
      <c r="C450" s="15">
        <v>71.47</v>
      </c>
      <c r="D450" s="15">
        <v>71.47</v>
      </c>
      <c r="E450" s="15">
        <v>71.47</v>
      </c>
      <c r="F450" s="15">
        <v>71.47</v>
      </c>
      <c r="G450" s="15">
        <v>71.47</v>
      </c>
      <c r="H450" s="15">
        <v>166.77</v>
      </c>
      <c r="I450" s="15">
        <v>71.47</v>
      </c>
      <c r="J450" s="15">
        <v>0</v>
      </c>
      <c r="K450" s="15">
        <v>71.47</v>
      </c>
      <c r="L450" s="15">
        <v>71.47</v>
      </c>
      <c r="M450" s="15">
        <v>71.47</v>
      </c>
      <c r="N450" s="15">
        <v>71.47</v>
      </c>
      <c r="O450" t="s">
        <v>75</v>
      </c>
    </row>
    <row r="451" spans="1:15" x14ac:dyDescent="0.25">
      <c r="A451" s="10" t="s">
        <v>1013</v>
      </c>
      <c r="B451" s="15">
        <v>513.01</v>
      </c>
      <c r="C451" s="15">
        <v>570.88</v>
      </c>
      <c r="D451" s="15">
        <v>1141.76</v>
      </c>
      <c r="E451" s="15">
        <v>0</v>
      </c>
      <c r="F451" s="15">
        <v>0</v>
      </c>
      <c r="G451" s="15">
        <v>0</v>
      </c>
      <c r="H451" s="15">
        <v>0</v>
      </c>
      <c r="I451" s="15">
        <v>0</v>
      </c>
      <c r="J451" s="15">
        <v>0</v>
      </c>
      <c r="K451" s="15">
        <v>0</v>
      </c>
      <c r="L451" s="15">
        <v>0</v>
      </c>
      <c r="M451" s="15">
        <v>0</v>
      </c>
      <c r="N451" s="15">
        <v>304.27999999999997</v>
      </c>
      <c r="O451" t="s">
        <v>75</v>
      </c>
    </row>
    <row r="452" spans="1:15" x14ac:dyDescent="0.25">
      <c r="A452" s="10" t="s">
        <v>1015</v>
      </c>
      <c r="B452" s="15">
        <v>513.01</v>
      </c>
      <c r="C452" s="15">
        <v>570.88</v>
      </c>
      <c r="D452" s="15">
        <v>570.88</v>
      </c>
      <c r="E452" s="15">
        <v>570.88</v>
      </c>
      <c r="F452" s="15">
        <v>1141.76</v>
      </c>
      <c r="G452" s="15">
        <v>570.88</v>
      </c>
      <c r="H452" s="15">
        <v>0</v>
      </c>
      <c r="I452" s="15">
        <v>570.88</v>
      </c>
      <c r="J452" s="15">
        <v>570.88</v>
      </c>
      <c r="K452" s="15">
        <v>570.88</v>
      </c>
      <c r="L452" s="15">
        <v>570.88</v>
      </c>
      <c r="M452" s="15">
        <v>570.88</v>
      </c>
      <c r="N452" s="15">
        <v>570.88</v>
      </c>
      <c r="O452" t="s">
        <v>75</v>
      </c>
    </row>
    <row r="453" spans="1:15" x14ac:dyDescent="0.25">
      <c r="A453" s="10" t="s">
        <v>1017</v>
      </c>
      <c r="B453" s="15">
        <v>273.52</v>
      </c>
      <c r="C453" s="15">
        <v>333.36</v>
      </c>
      <c r="D453" s="15">
        <v>298.87</v>
      </c>
      <c r="E453" s="15">
        <v>0</v>
      </c>
      <c r="F453" s="15">
        <v>0</v>
      </c>
      <c r="G453" s="15">
        <v>256.33</v>
      </c>
      <c r="H453" s="15">
        <v>273.54000000000002</v>
      </c>
      <c r="I453" s="15">
        <v>178.17</v>
      </c>
      <c r="J453" s="15">
        <v>298.87</v>
      </c>
      <c r="K453" s="15">
        <v>298.87</v>
      </c>
      <c r="L453" s="15">
        <v>298.87</v>
      </c>
      <c r="M453" s="15">
        <v>396.4</v>
      </c>
      <c r="N453" s="15">
        <v>164.59</v>
      </c>
      <c r="O453" t="s">
        <v>75</v>
      </c>
    </row>
    <row r="454" spans="1:15" x14ac:dyDescent="0.25">
      <c r="A454" s="10" t="s">
        <v>1019</v>
      </c>
      <c r="B454" s="15">
        <v>513.01</v>
      </c>
      <c r="C454" s="15">
        <v>570.88</v>
      </c>
      <c r="D454" s="15">
        <v>570.88</v>
      </c>
      <c r="E454" s="15">
        <v>570.88</v>
      </c>
      <c r="F454" s="15">
        <v>570.88</v>
      </c>
      <c r="G454" s="15">
        <v>570.88</v>
      </c>
      <c r="H454" s="15">
        <v>570.88</v>
      </c>
      <c r="I454" s="15">
        <v>1027.19</v>
      </c>
      <c r="J454" s="15">
        <v>570.88</v>
      </c>
      <c r="K454" s="15">
        <v>114.57</v>
      </c>
      <c r="L454" s="15">
        <v>570.88</v>
      </c>
      <c r="M454" s="15">
        <v>1027.19</v>
      </c>
      <c r="N454" s="15">
        <v>570.88</v>
      </c>
      <c r="O454" t="s">
        <v>75</v>
      </c>
    </row>
    <row r="455" spans="1:15" x14ac:dyDescent="0.25">
      <c r="A455" s="10" t="s">
        <v>1021</v>
      </c>
      <c r="B455" s="15">
        <v>341.89</v>
      </c>
      <c r="C455" s="15">
        <v>570.88</v>
      </c>
      <c r="D455" s="15">
        <v>570.88</v>
      </c>
      <c r="E455" s="15">
        <v>381.47</v>
      </c>
      <c r="F455" s="15">
        <v>381.41</v>
      </c>
      <c r="G455" s="15">
        <v>382.59</v>
      </c>
      <c r="H455" s="15">
        <v>682.94</v>
      </c>
      <c r="I455" s="15">
        <v>320.99</v>
      </c>
      <c r="J455" s="15">
        <v>261.95</v>
      </c>
      <c r="K455" s="15">
        <v>382.59</v>
      </c>
      <c r="L455" s="15">
        <v>382.59</v>
      </c>
      <c r="M455" s="15">
        <v>378.95</v>
      </c>
      <c r="N455" s="15">
        <v>417.85</v>
      </c>
      <c r="O455" t="s">
        <v>75</v>
      </c>
    </row>
    <row r="456" spans="1:15" x14ac:dyDescent="0.25">
      <c r="A456" s="10" t="s">
        <v>1023</v>
      </c>
      <c r="B456" s="15">
        <v>513.01</v>
      </c>
      <c r="C456" s="15">
        <v>570.88</v>
      </c>
      <c r="D456" s="15">
        <v>570.88</v>
      </c>
      <c r="E456" s="15">
        <v>570.88</v>
      </c>
      <c r="F456" s="15">
        <v>570.88</v>
      </c>
      <c r="G456" s="15">
        <v>570.88</v>
      </c>
      <c r="H456" s="15">
        <v>570.88</v>
      </c>
      <c r="I456" s="15">
        <v>570.88</v>
      </c>
      <c r="J456" s="15">
        <v>570.88</v>
      </c>
      <c r="K456" s="15">
        <v>570.88</v>
      </c>
      <c r="L456" s="15">
        <v>570.88</v>
      </c>
      <c r="M456" s="15">
        <v>570.88</v>
      </c>
      <c r="N456" s="15">
        <v>571.12</v>
      </c>
      <c r="O456" t="s">
        <v>75</v>
      </c>
    </row>
    <row r="457" spans="1:15" x14ac:dyDescent="0.25">
      <c r="A457" s="10" t="s">
        <v>1025</v>
      </c>
      <c r="B457" s="15">
        <v>187.98</v>
      </c>
      <c r="C457" s="15">
        <v>354.13</v>
      </c>
      <c r="D457" s="15">
        <v>496.63</v>
      </c>
      <c r="E457" s="15">
        <v>199</v>
      </c>
      <c r="F457" s="15">
        <v>199</v>
      </c>
      <c r="G457" s="15">
        <v>199</v>
      </c>
      <c r="H457" s="15">
        <v>199</v>
      </c>
      <c r="I457" s="15">
        <v>199</v>
      </c>
      <c r="J457" s="15">
        <v>496.63</v>
      </c>
      <c r="K457" s="15">
        <v>199</v>
      </c>
      <c r="L457" s="15">
        <v>299.39</v>
      </c>
      <c r="M457" s="15">
        <v>199</v>
      </c>
      <c r="N457" s="15">
        <v>294.7</v>
      </c>
      <c r="O457" t="s">
        <v>75</v>
      </c>
    </row>
    <row r="458" spans="1:15" x14ac:dyDescent="0.25">
      <c r="A458" s="10" t="s">
        <v>1029</v>
      </c>
      <c r="B458" s="15">
        <v>0</v>
      </c>
      <c r="C458" s="15">
        <v>344.3</v>
      </c>
      <c r="D458" s="15">
        <v>154.94</v>
      </c>
      <c r="E458" s="15">
        <v>387.25</v>
      </c>
      <c r="F458" s="15">
        <v>372.38</v>
      </c>
      <c r="G458" s="15">
        <v>373.18</v>
      </c>
      <c r="H458" s="15">
        <v>387.25</v>
      </c>
      <c r="I458" s="15">
        <v>373.47</v>
      </c>
      <c r="J458" s="15">
        <v>387.06</v>
      </c>
      <c r="K458" s="15">
        <v>387.25</v>
      </c>
      <c r="L458" s="15">
        <v>387.25</v>
      </c>
      <c r="M458" s="15">
        <v>387.25</v>
      </c>
      <c r="N458" s="15">
        <v>354.98</v>
      </c>
      <c r="O458" t="s">
        <v>75</v>
      </c>
    </row>
    <row r="459" spans="1:15" x14ac:dyDescent="0.25">
      <c r="A459" s="10" t="s">
        <v>1031</v>
      </c>
      <c r="B459" s="15">
        <v>1026.02</v>
      </c>
      <c r="C459" s="15">
        <v>57.87</v>
      </c>
      <c r="D459" s="15">
        <v>570.88</v>
      </c>
      <c r="E459" s="15">
        <v>570.88</v>
      </c>
      <c r="F459" s="15">
        <v>570.88</v>
      </c>
      <c r="G459" s="15">
        <v>570.88</v>
      </c>
      <c r="H459" s="15">
        <v>570.88</v>
      </c>
      <c r="I459" s="15">
        <v>570.88</v>
      </c>
      <c r="J459" s="15">
        <v>570.88</v>
      </c>
      <c r="K459" s="15">
        <v>570.88</v>
      </c>
      <c r="L459" s="15">
        <v>0</v>
      </c>
      <c r="M459" s="15">
        <v>0</v>
      </c>
      <c r="N459" s="15">
        <v>570.88</v>
      </c>
      <c r="O459" t="s">
        <v>75</v>
      </c>
    </row>
    <row r="460" spans="1:15" x14ac:dyDescent="0.25">
      <c r="A460" s="10" t="s">
        <v>1033</v>
      </c>
      <c r="B460" s="15">
        <v>355.02</v>
      </c>
      <c r="C460" s="15">
        <v>194.29</v>
      </c>
      <c r="D460" s="15">
        <v>65.23</v>
      </c>
      <c r="E460" s="15">
        <v>193.35</v>
      </c>
      <c r="F460" s="15">
        <v>199</v>
      </c>
      <c r="G460" s="15">
        <v>199</v>
      </c>
      <c r="H460" s="15">
        <v>199</v>
      </c>
      <c r="I460" s="15">
        <v>197.95</v>
      </c>
      <c r="J460" s="15">
        <v>199</v>
      </c>
      <c r="K460" s="15">
        <v>199</v>
      </c>
      <c r="L460" s="15">
        <v>199</v>
      </c>
      <c r="M460" s="15">
        <v>523.29999999999995</v>
      </c>
      <c r="N460" s="15">
        <v>199</v>
      </c>
      <c r="O460" t="s">
        <v>75</v>
      </c>
    </row>
    <row r="461" spans="1:15" x14ac:dyDescent="0.25">
      <c r="A461" s="10" t="s">
        <v>1038</v>
      </c>
      <c r="B461" s="15">
        <v>0</v>
      </c>
      <c r="C461" s="15">
        <v>0</v>
      </c>
      <c r="D461" s="15">
        <v>0</v>
      </c>
      <c r="E461" s="15">
        <v>0</v>
      </c>
      <c r="F461" s="15">
        <v>0</v>
      </c>
      <c r="G461" s="15">
        <v>0</v>
      </c>
      <c r="H461" s="15">
        <v>0</v>
      </c>
      <c r="I461" s="15">
        <v>0</v>
      </c>
      <c r="J461" s="15">
        <v>0</v>
      </c>
      <c r="K461" s="15">
        <v>0</v>
      </c>
      <c r="L461" s="15">
        <v>43.05</v>
      </c>
      <c r="M461" s="15">
        <v>61.5</v>
      </c>
      <c r="N461" s="15">
        <v>15.37</v>
      </c>
      <c r="O461" t="s">
        <v>75</v>
      </c>
    </row>
    <row r="462" spans="1:15" x14ac:dyDescent="0.25">
      <c r="A462" s="10" t="s">
        <v>1040</v>
      </c>
      <c r="B462" s="15">
        <v>61.1</v>
      </c>
      <c r="C462" s="15">
        <v>71.47</v>
      </c>
      <c r="D462" s="15">
        <v>95.3</v>
      </c>
      <c r="E462" s="15">
        <v>47.65</v>
      </c>
      <c r="F462" s="15">
        <v>71.47</v>
      </c>
      <c r="G462" s="15">
        <v>166.77</v>
      </c>
      <c r="H462" s="15">
        <v>71.47</v>
      </c>
      <c r="I462" s="15">
        <v>0</v>
      </c>
      <c r="J462" s="15">
        <v>71.47</v>
      </c>
      <c r="K462" s="15">
        <v>71.47</v>
      </c>
      <c r="L462" s="15">
        <v>71.47</v>
      </c>
      <c r="M462" s="15">
        <v>71.47</v>
      </c>
      <c r="N462" s="15">
        <v>71.47</v>
      </c>
      <c r="O462" t="s">
        <v>75</v>
      </c>
    </row>
    <row r="463" spans="1:15" x14ac:dyDescent="0.25">
      <c r="A463" s="10" t="s">
        <v>1042</v>
      </c>
      <c r="B463" s="15">
        <v>341.89</v>
      </c>
      <c r="C463" s="15">
        <v>556.91999999999996</v>
      </c>
      <c r="D463" s="15">
        <v>290.8</v>
      </c>
      <c r="E463" s="15">
        <v>381.19</v>
      </c>
      <c r="F463" s="15">
        <v>382.59</v>
      </c>
      <c r="G463" s="15">
        <v>382.59</v>
      </c>
      <c r="H463" s="15">
        <v>382.59</v>
      </c>
      <c r="I463" s="15">
        <v>382.59</v>
      </c>
      <c r="J463" s="15">
        <v>775.76</v>
      </c>
      <c r="K463" s="15">
        <v>570.88</v>
      </c>
      <c r="L463" s="15">
        <v>126.22</v>
      </c>
      <c r="M463" s="15">
        <v>380.42</v>
      </c>
      <c r="N463" s="15">
        <v>402.68</v>
      </c>
      <c r="O463" t="s">
        <v>75</v>
      </c>
    </row>
    <row r="464" spans="1:15" x14ac:dyDescent="0.25">
      <c r="A464" s="10" t="s">
        <v>1044</v>
      </c>
      <c r="B464" s="15">
        <v>293.54000000000002</v>
      </c>
      <c r="C464" s="15">
        <v>326.70999999999998</v>
      </c>
      <c r="D464" s="15">
        <v>313.31</v>
      </c>
      <c r="E464" s="15">
        <v>321.72000000000003</v>
      </c>
      <c r="F464" s="15">
        <v>317.43</v>
      </c>
      <c r="G464" s="15">
        <v>327.31</v>
      </c>
      <c r="H464" s="15">
        <v>327.58999999999997</v>
      </c>
      <c r="I464" s="15">
        <v>539.35</v>
      </c>
      <c r="J464" s="15">
        <v>258.11</v>
      </c>
      <c r="K464" s="15">
        <v>258.11</v>
      </c>
      <c r="L464" s="15">
        <v>321.47000000000003</v>
      </c>
      <c r="M464" s="15">
        <v>327.58999999999997</v>
      </c>
      <c r="N464" s="15">
        <v>327.58999999999997</v>
      </c>
      <c r="O464" t="s">
        <v>75</v>
      </c>
    </row>
    <row r="465" spans="1:15" x14ac:dyDescent="0.25">
      <c r="A465" s="10" t="s">
        <v>1046</v>
      </c>
      <c r="B465" s="15">
        <v>962.98</v>
      </c>
      <c r="C465" s="15">
        <v>570.88</v>
      </c>
      <c r="D465" s="15">
        <v>120.91</v>
      </c>
      <c r="E465" s="15">
        <v>570.88</v>
      </c>
      <c r="F465" s="15">
        <v>570.88</v>
      </c>
      <c r="G465" s="15">
        <v>570.88</v>
      </c>
      <c r="H465" s="15">
        <v>570.88</v>
      </c>
      <c r="I465" s="15">
        <v>1020.85</v>
      </c>
      <c r="J465" s="15">
        <v>120.91</v>
      </c>
      <c r="K465" s="15">
        <v>570.88</v>
      </c>
      <c r="L465" s="15">
        <v>570.88</v>
      </c>
      <c r="M465" s="15">
        <v>570.88</v>
      </c>
      <c r="N465" s="15">
        <v>570.88</v>
      </c>
      <c r="O465" t="s">
        <v>75</v>
      </c>
    </row>
    <row r="466" spans="1:15" x14ac:dyDescent="0.25">
      <c r="A466" s="10" t="s">
        <v>1053</v>
      </c>
      <c r="B466" s="15">
        <v>200.51</v>
      </c>
      <c r="C466" s="15">
        <v>211.98</v>
      </c>
      <c r="D466" s="15">
        <v>213.43</v>
      </c>
      <c r="E466" s="15">
        <v>554.1</v>
      </c>
      <c r="F466" s="15">
        <v>213.77</v>
      </c>
      <c r="G466" s="15">
        <v>0</v>
      </c>
      <c r="H466" s="15">
        <v>214.18</v>
      </c>
      <c r="I466" s="15">
        <v>213.36</v>
      </c>
      <c r="J466" s="15">
        <v>214.18</v>
      </c>
      <c r="K466" s="15">
        <v>214.18</v>
      </c>
      <c r="L466" s="15">
        <v>214.18</v>
      </c>
      <c r="M466" s="15">
        <v>214.18</v>
      </c>
      <c r="N466" s="15">
        <v>214.18</v>
      </c>
      <c r="O466" t="s">
        <v>75</v>
      </c>
    </row>
    <row r="467" spans="1:15" x14ac:dyDescent="0.25">
      <c r="A467" s="10" t="s">
        <v>1055</v>
      </c>
      <c r="B467" s="15">
        <v>1026.02</v>
      </c>
      <c r="C467" s="15">
        <v>131.22999999999999</v>
      </c>
      <c r="D467" s="15">
        <v>497.52</v>
      </c>
      <c r="E467" s="15">
        <v>570.88</v>
      </c>
      <c r="F467" s="15">
        <v>570.88</v>
      </c>
      <c r="G467" s="15">
        <v>570.88</v>
      </c>
      <c r="H467" s="15">
        <v>570.88</v>
      </c>
      <c r="I467" s="15">
        <v>570.88</v>
      </c>
      <c r="J467" s="15">
        <v>570.88</v>
      </c>
      <c r="K467" s="15">
        <v>570.88</v>
      </c>
      <c r="L467" s="15">
        <v>570.88</v>
      </c>
      <c r="M467" s="15">
        <v>570.88</v>
      </c>
      <c r="N467" s="15">
        <v>570.88</v>
      </c>
      <c r="O467" t="s">
        <v>75</v>
      </c>
    </row>
    <row r="468" spans="1:15" x14ac:dyDescent="0.25">
      <c r="A468" s="10" t="s">
        <v>1057</v>
      </c>
      <c r="B468" s="15">
        <v>0</v>
      </c>
      <c r="C468" s="15">
        <v>0</v>
      </c>
      <c r="D468" s="15">
        <v>0</v>
      </c>
      <c r="E468" s="15">
        <v>0</v>
      </c>
      <c r="F468" s="15">
        <v>0</v>
      </c>
      <c r="G468" s="15">
        <v>0</v>
      </c>
      <c r="H468" s="15">
        <v>0</v>
      </c>
      <c r="I468" s="15">
        <v>0</v>
      </c>
      <c r="J468" s="15">
        <v>0</v>
      </c>
      <c r="K468" s="15">
        <v>0</v>
      </c>
      <c r="L468" s="15">
        <v>43.05</v>
      </c>
      <c r="M468" s="15">
        <v>61.5</v>
      </c>
      <c r="N468" s="15">
        <v>15.37</v>
      </c>
      <c r="O468" t="s">
        <v>75</v>
      </c>
    </row>
    <row r="469" spans="1:15" x14ac:dyDescent="0.25">
      <c r="A469" s="10" t="s">
        <v>1059</v>
      </c>
      <c r="B469" s="15">
        <v>128.19999999999999</v>
      </c>
      <c r="C469" s="15">
        <v>201.68</v>
      </c>
      <c r="D469" s="15">
        <v>199</v>
      </c>
      <c r="E469" s="15">
        <v>199</v>
      </c>
      <c r="F469" s="15">
        <v>199</v>
      </c>
      <c r="G469" s="15">
        <v>199</v>
      </c>
      <c r="H469" s="15">
        <v>277.66000000000003</v>
      </c>
      <c r="I469" s="15">
        <v>142.5</v>
      </c>
      <c r="J469" s="15">
        <v>199</v>
      </c>
      <c r="K469" s="15">
        <v>199</v>
      </c>
      <c r="L469" s="15">
        <v>199</v>
      </c>
      <c r="M469" s="15">
        <v>277.7</v>
      </c>
      <c r="N469" s="15">
        <v>199.22</v>
      </c>
      <c r="O469" t="s">
        <v>75</v>
      </c>
    </row>
    <row r="470" spans="1:15" x14ac:dyDescent="0.25">
      <c r="A470" s="10" t="s">
        <v>1061</v>
      </c>
      <c r="B470" s="15">
        <v>179.03</v>
      </c>
      <c r="C470" s="15">
        <v>203.55</v>
      </c>
      <c r="D470" s="15">
        <v>199</v>
      </c>
      <c r="E470" s="15">
        <v>198.85</v>
      </c>
      <c r="F470" s="15">
        <v>193.34</v>
      </c>
      <c r="G470" s="15">
        <v>376.22</v>
      </c>
      <c r="H470" s="15">
        <v>196.46</v>
      </c>
      <c r="I470" s="15">
        <v>120.46</v>
      </c>
      <c r="J470" s="15">
        <v>199</v>
      </c>
      <c r="K470" s="15">
        <v>198.98</v>
      </c>
      <c r="L470" s="15">
        <v>191.92</v>
      </c>
      <c r="M470" s="15">
        <v>199</v>
      </c>
      <c r="N470" s="15">
        <v>199.38</v>
      </c>
      <c r="O470" t="s">
        <v>75</v>
      </c>
    </row>
    <row r="471" spans="1:15" x14ac:dyDescent="0.25">
      <c r="A471" s="10" t="s">
        <v>1063</v>
      </c>
      <c r="B471" s="15">
        <v>187.98</v>
      </c>
      <c r="C471" s="15">
        <v>94.48</v>
      </c>
      <c r="D471" s="15">
        <v>199</v>
      </c>
      <c r="E471" s="15">
        <v>570.88</v>
      </c>
      <c r="F471" s="15">
        <v>199</v>
      </c>
      <c r="G471" s="15">
        <v>396.45</v>
      </c>
      <c r="H471" s="15">
        <v>199</v>
      </c>
      <c r="I471" s="15">
        <v>342.87</v>
      </c>
      <c r="J471" s="15">
        <v>445.95</v>
      </c>
      <c r="K471" s="15">
        <v>199</v>
      </c>
      <c r="L471" s="15">
        <v>199</v>
      </c>
      <c r="M471" s="15">
        <v>396.45</v>
      </c>
      <c r="N471" s="15">
        <v>306.69</v>
      </c>
      <c r="O471" t="s">
        <v>75</v>
      </c>
    </row>
    <row r="472" spans="1:15" x14ac:dyDescent="0.25">
      <c r="A472" s="10" t="s">
        <v>1065</v>
      </c>
      <c r="B472" s="15">
        <v>1026.02</v>
      </c>
      <c r="C472" s="15">
        <v>57.87</v>
      </c>
      <c r="D472" s="15">
        <v>570.88</v>
      </c>
      <c r="E472" s="15">
        <v>570.88</v>
      </c>
      <c r="F472" s="15">
        <v>570.88</v>
      </c>
      <c r="G472" s="15">
        <v>570.88</v>
      </c>
      <c r="H472" s="15">
        <v>570.88</v>
      </c>
      <c r="I472" s="15">
        <v>570.88</v>
      </c>
      <c r="J472" s="15">
        <v>570.88</v>
      </c>
      <c r="K472" s="15">
        <v>570.88</v>
      </c>
      <c r="L472" s="15">
        <v>570.88</v>
      </c>
      <c r="M472" s="15">
        <v>1141.76</v>
      </c>
      <c r="N472" s="15">
        <v>570.88</v>
      </c>
      <c r="O472" t="s">
        <v>75</v>
      </c>
    </row>
    <row r="473" spans="1:15" x14ac:dyDescent="0.25">
      <c r="A473" s="10" t="s">
        <v>1067</v>
      </c>
      <c r="B473" s="15">
        <v>179.03</v>
      </c>
      <c r="C473" s="15">
        <v>201.68</v>
      </c>
      <c r="D473" s="15">
        <v>199</v>
      </c>
      <c r="E473" s="15">
        <v>190.86</v>
      </c>
      <c r="F473" s="15">
        <v>199</v>
      </c>
      <c r="G473" s="15">
        <v>199</v>
      </c>
      <c r="H473" s="15">
        <v>197.39</v>
      </c>
      <c r="I473" s="15">
        <v>199</v>
      </c>
      <c r="J473" s="15">
        <v>520.71</v>
      </c>
      <c r="K473" s="15">
        <v>199</v>
      </c>
      <c r="L473" s="15">
        <v>2.57</v>
      </c>
      <c r="M473" s="15">
        <v>187.98</v>
      </c>
      <c r="N473" s="15">
        <v>199.22</v>
      </c>
      <c r="O473" t="s">
        <v>75</v>
      </c>
    </row>
    <row r="474" spans="1:15" x14ac:dyDescent="0.25">
      <c r="A474" s="10" t="s">
        <v>1069</v>
      </c>
      <c r="B474" s="15">
        <v>179.03</v>
      </c>
      <c r="C474" s="15">
        <v>203.13</v>
      </c>
      <c r="D474" s="15">
        <v>199</v>
      </c>
      <c r="E474" s="15">
        <v>199</v>
      </c>
      <c r="F474" s="15">
        <v>199</v>
      </c>
      <c r="G474" s="15">
        <v>524.01</v>
      </c>
      <c r="H474" s="15">
        <v>199</v>
      </c>
      <c r="I474" s="15">
        <v>0</v>
      </c>
      <c r="J474" s="15">
        <v>199</v>
      </c>
      <c r="K474" s="15">
        <v>199</v>
      </c>
      <c r="L474" s="15">
        <v>199</v>
      </c>
      <c r="M474" s="15">
        <v>199</v>
      </c>
      <c r="N474" s="15">
        <v>199.34</v>
      </c>
      <c r="O474" t="s">
        <v>75</v>
      </c>
    </row>
    <row r="475" spans="1:15" x14ac:dyDescent="0.25">
      <c r="A475" s="10" t="s">
        <v>1071</v>
      </c>
      <c r="B475" s="15">
        <v>196.93</v>
      </c>
      <c r="C475" s="15">
        <v>219.34</v>
      </c>
      <c r="D475" s="15">
        <v>214.18</v>
      </c>
      <c r="E475" s="15">
        <v>404.94</v>
      </c>
      <c r="F475" s="15">
        <v>214.18</v>
      </c>
      <c r="G475" s="15">
        <v>129.65</v>
      </c>
      <c r="H475" s="15">
        <v>214.18</v>
      </c>
      <c r="I475" s="15">
        <v>214.18</v>
      </c>
      <c r="J475" s="15">
        <v>214.18</v>
      </c>
      <c r="K475" s="15">
        <v>214.18</v>
      </c>
      <c r="L475" s="15">
        <v>192.76</v>
      </c>
      <c r="M475" s="15">
        <v>207.04</v>
      </c>
      <c r="N475" s="15">
        <v>214.61</v>
      </c>
      <c r="O475" t="s">
        <v>75</v>
      </c>
    </row>
    <row r="476" spans="1:15" x14ac:dyDescent="0.25">
      <c r="A476" s="10" t="s">
        <v>1073</v>
      </c>
      <c r="B476" s="15">
        <v>429.99</v>
      </c>
      <c r="C476" s="15">
        <v>570.88</v>
      </c>
      <c r="D476" s="15">
        <v>570.88</v>
      </c>
      <c r="E476" s="15">
        <v>570.88</v>
      </c>
      <c r="F476" s="15">
        <v>570.88</v>
      </c>
      <c r="G476" s="15">
        <v>570.88</v>
      </c>
      <c r="H476" s="15">
        <v>570.88</v>
      </c>
      <c r="I476" s="15">
        <v>570.88</v>
      </c>
      <c r="J476" s="15">
        <v>570.88</v>
      </c>
      <c r="K476" s="15">
        <v>570.88</v>
      </c>
      <c r="L476" s="15">
        <v>1141.76</v>
      </c>
      <c r="M476" s="15">
        <v>0</v>
      </c>
      <c r="N476" s="15">
        <v>0</v>
      </c>
      <c r="O476" t="s">
        <v>75</v>
      </c>
    </row>
    <row r="477" spans="1:15" x14ac:dyDescent="0.25">
      <c r="A477" s="10" t="s">
        <v>1075</v>
      </c>
      <c r="B477" s="15">
        <v>513.01</v>
      </c>
      <c r="C477" s="15">
        <v>570.88</v>
      </c>
      <c r="D477" s="15">
        <v>570.88</v>
      </c>
      <c r="E477" s="15">
        <v>570.88</v>
      </c>
      <c r="F477" s="15">
        <v>570.88</v>
      </c>
      <c r="G477" s="15">
        <v>570.88</v>
      </c>
      <c r="H477" s="15">
        <v>570.88</v>
      </c>
      <c r="I477" s="15">
        <v>570.88</v>
      </c>
      <c r="J477" s="15">
        <v>570.88</v>
      </c>
      <c r="K477" s="15">
        <v>570.88</v>
      </c>
      <c r="L477" s="15">
        <v>570.88</v>
      </c>
      <c r="M477" s="15">
        <v>570.88</v>
      </c>
      <c r="N477" s="15">
        <v>574.78</v>
      </c>
      <c r="O477" t="s">
        <v>75</v>
      </c>
    </row>
    <row r="478" spans="1:15" x14ac:dyDescent="0.25">
      <c r="A478" s="10" t="s">
        <v>1077</v>
      </c>
      <c r="B478" s="15">
        <v>451.47</v>
      </c>
      <c r="C478" s="15">
        <v>486.63</v>
      </c>
      <c r="D478" s="15">
        <v>484.84</v>
      </c>
      <c r="E478" s="15">
        <v>484.84</v>
      </c>
      <c r="F478" s="15">
        <v>484.84</v>
      </c>
      <c r="G478" s="15">
        <v>484.84</v>
      </c>
      <c r="H478" s="15">
        <v>914.19</v>
      </c>
      <c r="I478" s="15">
        <v>484.84</v>
      </c>
      <c r="J478" s="15">
        <v>141.53</v>
      </c>
      <c r="K478" s="15">
        <v>484.84</v>
      </c>
      <c r="L478" s="15">
        <v>484.84</v>
      </c>
      <c r="M478" s="15">
        <v>484.84</v>
      </c>
      <c r="N478" s="15">
        <v>483.75</v>
      </c>
      <c r="O478" t="s">
        <v>75</v>
      </c>
    </row>
    <row r="479" spans="1:15" x14ac:dyDescent="0.25">
      <c r="A479" s="10" t="s">
        <v>1079</v>
      </c>
      <c r="B479" s="15">
        <v>1026.02</v>
      </c>
      <c r="C479" s="15">
        <v>57.87</v>
      </c>
      <c r="D479" s="15">
        <v>570.88</v>
      </c>
      <c r="E479" s="15">
        <v>570.88</v>
      </c>
      <c r="F479" s="15">
        <v>570.88</v>
      </c>
      <c r="G479" s="15">
        <v>570.88</v>
      </c>
      <c r="H479" s="15">
        <v>570.88</v>
      </c>
      <c r="I479" s="15">
        <v>570.88</v>
      </c>
      <c r="J479" s="15">
        <v>570.88</v>
      </c>
      <c r="K479" s="15">
        <v>570.88</v>
      </c>
      <c r="L479" s="15">
        <v>570.88</v>
      </c>
      <c r="M479" s="15">
        <v>570.88</v>
      </c>
      <c r="N479" s="15">
        <v>570.88</v>
      </c>
      <c r="O479" t="s">
        <v>75</v>
      </c>
    </row>
    <row r="480" spans="1:15" x14ac:dyDescent="0.25">
      <c r="A480" s="10" t="s">
        <v>1081</v>
      </c>
      <c r="B480" s="15">
        <v>513.01</v>
      </c>
      <c r="C480" s="15">
        <v>57.87</v>
      </c>
      <c r="D480" s="15">
        <v>570.88</v>
      </c>
      <c r="E480" s="15">
        <v>570.88</v>
      </c>
      <c r="F480" s="15">
        <v>570.88</v>
      </c>
      <c r="G480" s="15">
        <v>570.88</v>
      </c>
      <c r="H480" s="15">
        <v>570.88</v>
      </c>
      <c r="I480" s="15">
        <v>1141.76</v>
      </c>
      <c r="J480" s="15">
        <v>0</v>
      </c>
      <c r="K480" s="15">
        <v>570.88</v>
      </c>
      <c r="L480" s="15">
        <v>570.88</v>
      </c>
      <c r="M480" s="15">
        <v>570.88</v>
      </c>
      <c r="N480" s="15">
        <v>570.88</v>
      </c>
      <c r="O480" t="s">
        <v>75</v>
      </c>
    </row>
    <row r="481" spans="1:15" x14ac:dyDescent="0.25">
      <c r="A481" s="10" t="s">
        <v>1083</v>
      </c>
      <c r="B481" s="15">
        <v>513.01</v>
      </c>
      <c r="C481" s="15">
        <v>1141.76</v>
      </c>
      <c r="D481" s="15">
        <v>475.2</v>
      </c>
      <c r="E481" s="15">
        <v>95.68</v>
      </c>
      <c r="F481" s="15">
        <v>570.88</v>
      </c>
      <c r="G481" s="15">
        <v>570.88</v>
      </c>
      <c r="H481" s="15">
        <v>570.88</v>
      </c>
      <c r="I481" s="15">
        <v>570.88</v>
      </c>
      <c r="J481" s="15">
        <v>570.88</v>
      </c>
      <c r="K481" s="15">
        <v>570.88</v>
      </c>
      <c r="L481" s="15">
        <v>570.88</v>
      </c>
      <c r="M481" s="15">
        <v>570.88</v>
      </c>
      <c r="N481" s="15">
        <v>570.88</v>
      </c>
      <c r="O481" t="s">
        <v>75</v>
      </c>
    </row>
    <row r="482" spans="1:15" x14ac:dyDescent="0.25">
      <c r="A482" s="10" t="s">
        <v>1085</v>
      </c>
      <c r="B482" s="15">
        <v>393.18</v>
      </c>
      <c r="C482" s="15">
        <v>453.19</v>
      </c>
      <c r="D482" s="15">
        <v>440.95</v>
      </c>
      <c r="E482" s="15">
        <v>440.95</v>
      </c>
      <c r="F482" s="15">
        <v>440.95</v>
      </c>
      <c r="G482" s="15">
        <v>440.95</v>
      </c>
      <c r="H482" s="15">
        <v>440.95</v>
      </c>
      <c r="I482" s="15">
        <v>440.95</v>
      </c>
      <c r="J482" s="15">
        <v>440.95</v>
      </c>
      <c r="K482" s="15">
        <v>440.95</v>
      </c>
      <c r="L482" s="15">
        <v>833.81</v>
      </c>
      <c r="M482" s="15">
        <v>440.95</v>
      </c>
      <c r="N482" s="15">
        <v>441.97</v>
      </c>
      <c r="O482" t="s">
        <v>75</v>
      </c>
    </row>
    <row r="483" spans="1:15" x14ac:dyDescent="0.25">
      <c r="A483" s="10" t="s">
        <v>1090</v>
      </c>
      <c r="B483" s="15">
        <v>173.03</v>
      </c>
      <c r="C483" s="15">
        <v>449.06</v>
      </c>
      <c r="D483" s="15">
        <v>197.07</v>
      </c>
      <c r="E483" s="15">
        <v>89.67</v>
      </c>
      <c r="F483" s="15">
        <v>170.75</v>
      </c>
      <c r="G483" s="15">
        <v>193.82</v>
      </c>
      <c r="H483" s="15">
        <v>199</v>
      </c>
      <c r="I483" s="15">
        <v>191.65</v>
      </c>
      <c r="J483" s="15">
        <v>187.65</v>
      </c>
      <c r="K483" s="15">
        <v>199</v>
      </c>
      <c r="L483" s="15">
        <v>199</v>
      </c>
      <c r="M483" s="15">
        <v>190.54</v>
      </c>
      <c r="N483" s="15">
        <v>199</v>
      </c>
      <c r="O483" t="s">
        <v>75</v>
      </c>
    </row>
    <row r="484" spans="1:15" x14ac:dyDescent="0.25">
      <c r="A484" s="10" t="s">
        <v>1092</v>
      </c>
      <c r="B484" s="15">
        <v>324.52999999999997</v>
      </c>
      <c r="C484" s="15">
        <v>365.5</v>
      </c>
      <c r="D484" s="15">
        <v>343.6</v>
      </c>
      <c r="E484" s="15">
        <v>343.6</v>
      </c>
      <c r="F484" s="15">
        <v>343.6</v>
      </c>
      <c r="G484" s="15">
        <v>343.6</v>
      </c>
      <c r="H484" s="15">
        <v>657.65</v>
      </c>
      <c r="I484" s="15">
        <v>343.6</v>
      </c>
      <c r="J484" s="15">
        <v>114.53</v>
      </c>
      <c r="K484" s="15">
        <v>343.6</v>
      </c>
      <c r="L484" s="15">
        <v>343.6</v>
      </c>
      <c r="M484" s="15">
        <v>343.6</v>
      </c>
      <c r="N484" s="15">
        <v>345.42</v>
      </c>
      <c r="O484" t="s">
        <v>75</v>
      </c>
    </row>
    <row r="485" spans="1:15" x14ac:dyDescent="0.25">
      <c r="A485" s="10" t="s">
        <v>1094</v>
      </c>
      <c r="B485" s="15">
        <v>656.67</v>
      </c>
      <c r="C485" s="15">
        <v>570.88</v>
      </c>
      <c r="D485" s="15">
        <v>116.65</v>
      </c>
      <c r="E485" s="15">
        <v>320.16000000000003</v>
      </c>
      <c r="F485" s="15">
        <v>325.45</v>
      </c>
      <c r="G485" s="15">
        <v>327.68</v>
      </c>
      <c r="H485" s="15">
        <v>329.91</v>
      </c>
      <c r="I485" s="15">
        <v>330.13</v>
      </c>
      <c r="J485" s="15">
        <v>329.03</v>
      </c>
      <c r="K485" s="15">
        <v>328.34</v>
      </c>
      <c r="L485" s="15">
        <v>330.13</v>
      </c>
      <c r="M485" s="15">
        <v>513.07000000000005</v>
      </c>
      <c r="N485" s="15">
        <v>383.49</v>
      </c>
      <c r="O485" t="s">
        <v>75</v>
      </c>
    </row>
    <row r="486" spans="1:15" x14ac:dyDescent="0.25">
      <c r="A486" s="10" t="s">
        <v>1096</v>
      </c>
      <c r="B486" s="15">
        <v>296.08</v>
      </c>
      <c r="C486" s="15">
        <v>315.95</v>
      </c>
      <c r="D486" s="15">
        <v>319.77999999999997</v>
      </c>
      <c r="E486" s="15">
        <v>341.22</v>
      </c>
      <c r="F486" s="15">
        <v>545.84</v>
      </c>
      <c r="G486" s="15">
        <v>315.95</v>
      </c>
      <c r="H486" s="15">
        <v>156.41</v>
      </c>
      <c r="I486" s="15">
        <v>315.95</v>
      </c>
      <c r="J486" s="15">
        <v>315.95</v>
      </c>
      <c r="K486" s="15">
        <v>315.95</v>
      </c>
      <c r="L486" s="15">
        <v>315.95</v>
      </c>
      <c r="M486" s="15">
        <v>353.86</v>
      </c>
      <c r="N486" s="15">
        <v>321.52999999999997</v>
      </c>
      <c r="O486" t="s">
        <v>75</v>
      </c>
    </row>
    <row r="487" spans="1:15" x14ac:dyDescent="0.25">
      <c r="A487" s="10" t="s">
        <v>1098</v>
      </c>
      <c r="B487" s="15">
        <v>513.01</v>
      </c>
      <c r="C487" s="15">
        <v>57.87</v>
      </c>
      <c r="D487" s="15">
        <v>570.88</v>
      </c>
      <c r="E487" s="15">
        <v>570.88</v>
      </c>
      <c r="F487" s="15">
        <v>570.88</v>
      </c>
      <c r="G487" s="15">
        <v>570.88</v>
      </c>
      <c r="H487" s="15">
        <v>570.88</v>
      </c>
      <c r="I487" s="15">
        <v>570.88</v>
      </c>
      <c r="J487" s="15">
        <v>570.88</v>
      </c>
      <c r="K487" s="15">
        <v>570.88</v>
      </c>
      <c r="L487" s="15">
        <v>570.88</v>
      </c>
      <c r="M487" s="15">
        <v>1141.76</v>
      </c>
      <c r="N487" s="15">
        <v>570.88</v>
      </c>
      <c r="O487" t="s">
        <v>75</v>
      </c>
    </row>
    <row r="488" spans="1:15" x14ac:dyDescent="0.25">
      <c r="A488" s="10" t="s">
        <v>1100</v>
      </c>
      <c r="B488" s="15">
        <v>513.01</v>
      </c>
      <c r="C488" s="15">
        <v>57.87</v>
      </c>
      <c r="D488" s="15">
        <v>570.88</v>
      </c>
      <c r="E488" s="15">
        <v>570.88</v>
      </c>
      <c r="F488" s="15">
        <v>570.88</v>
      </c>
      <c r="G488" s="15">
        <v>570.88</v>
      </c>
      <c r="H488" s="15">
        <v>570.88</v>
      </c>
      <c r="I488" s="15">
        <v>570.88</v>
      </c>
      <c r="J488" s="15">
        <v>570.88</v>
      </c>
      <c r="K488" s="15">
        <v>570.88</v>
      </c>
      <c r="L488" s="15">
        <v>1141.76</v>
      </c>
      <c r="M488" s="15">
        <v>570.88</v>
      </c>
      <c r="N488" s="15">
        <v>570.88</v>
      </c>
      <c r="O488" t="s">
        <v>75</v>
      </c>
    </row>
    <row r="489" spans="1:15" x14ac:dyDescent="0.25">
      <c r="A489" s="10" t="s">
        <v>1102</v>
      </c>
      <c r="B489" s="15">
        <v>1026.02</v>
      </c>
      <c r="C489" s="15">
        <v>160.06</v>
      </c>
      <c r="D489" s="15">
        <v>468.69</v>
      </c>
      <c r="E489" s="15">
        <v>570.88</v>
      </c>
      <c r="F489" s="15">
        <v>570.88</v>
      </c>
      <c r="G489" s="15">
        <v>570.88</v>
      </c>
      <c r="H489" s="15">
        <v>570.88</v>
      </c>
      <c r="I489" s="15">
        <v>570.88</v>
      </c>
      <c r="J489" s="15">
        <v>570.88</v>
      </c>
      <c r="K489" s="15">
        <v>570.88</v>
      </c>
      <c r="L489" s="15">
        <v>570.88</v>
      </c>
      <c r="M489" s="15">
        <v>570.88</v>
      </c>
      <c r="N489" s="15">
        <v>570.88</v>
      </c>
      <c r="O489" t="s">
        <v>75</v>
      </c>
    </row>
    <row r="490" spans="1:15" x14ac:dyDescent="0.25">
      <c r="A490" s="10" t="s">
        <v>1107</v>
      </c>
      <c r="B490" s="15">
        <v>306.31</v>
      </c>
      <c r="C490" s="15">
        <v>223.87</v>
      </c>
      <c r="D490" s="15">
        <v>114.3</v>
      </c>
      <c r="E490" s="15">
        <v>191.57</v>
      </c>
      <c r="F490" s="15">
        <v>192.86</v>
      </c>
      <c r="G490" s="15">
        <v>199</v>
      </c>
      <c r="H490" s="15">
        <v>199</v>
      </c>
      <c r="I490" s="15">
        <v>376.73</v>
      </c>
      <c r="J490" s="15">
        <v>199</v>
      </c>
      <c r="K490" s="15">
        <v>126.92</v>
      </c>
      <c r="L490" s="15">
        <v>192.1</v>
      </c>
      <c r="M490" s="15">
        <v>202.01</v>
      </c>
      <c r="N490" s="15">
        <v>184.74</v>
      </c>
      <c r="O490" t="s">
        <v>75</v>
      </c>
    </row>
    <row r="491" spans="1:15" x14ac:dyDescent="0.25">
      <c r="A491" s="10" t="s">
        <v>1109</v>
      </c>
      <c r="B491" s="15">
        <v>134.27000000000001</v>
      </c>
      <c r="C491" s="15">
        <v>149.25</v>
      </c>
      <c r="D491" s="15">
        <v>249.35</v>
      </c>
      <c r="E491" s="15">
        <v>0</v>
      </c>
      <c r="F491" s="15">
        <v>0</v>
      </c>
      <c r="G491" s="15">
        <v>0</v>
      </c>
      <c r="H491" s="15">
        <v>0</v>
      </c>
      <c r="I491" s="15">
        <v>0</v>
      </c>
      <c r="J491" s="15">
        <v>0</v>
      </c>
      <c r="K491" s="15">
        <v>0</v>
      </c>
      <c r="L491" s="15">
        <v>0</v>
      </c>
      <c r="M491" s="15">
        <v>0</v>
      </c>
      <c r="N491" s="15">
        <v>33.159999999999997</v>
      </c>
      <c r="O491" t="s">
        <v>75</v>
      </c>
    </row>
    <row r="492" spans="1:15" x14ac:dyDescent="0.25">
      <c r="A492" s="10" t="s">
        <v>1111</v>
      </c>
      <c r="B492" s="15">
        <v>799.7</v>
      </c>
      <c r="C492" s="15">
        <v>287.20999999999998</v>
      </c>
      <c r="D492" s="15">
        <v>429.08</v>
      </c>
      <c r="E492" s="15">
        <v>476.66</v>
      </c>
      <c r="F492" s="15">
        <v>674.54</v>
      </c>
      <c r="G492" s="15">
        <v>382.54</v>
      </c>
      <c r="H492" s="15">
        <v>447.55</v>
      </c>
      <c r="I492" s="15">
        <v>476.66</v>
      </c>
      <c r="J492" s="15">
        <v>476.66</v>
      </c>
      <c r="K492" s="15">
        <v>475.98</v>
      </c>
      <c r="L492" s="15">
        <v>570.88</v>
      </c>
      <c r="M492" s="15">
        <v>817.14</v>
      </c>
      <c r="N492" s="15">
        <v>496.69</v>
      </c>
      <c r="O492" t="s">
        <v>75</v>
      </c>
    </row>
    <row r="493" spans="1:15" x14ac:dyDescent="0.25">
      <c r="A493" s="10" t="s">
        <v>1113</v>
      </c>
      <c r="B493" s="15">
        <v>98.51</v>
      </c>
      <c r="C493" s="15">
        <v>189.94</v>
      </c>
      <c r="D493" s="15">
        <v>0</v>
      </c>
      <c r="E493" s="15">
        <v>0</v>
      </c>
      <c r="F493" s="15">
        <v>0</v>
      </c>
      <c r="G493" s="15">
        <v>0</v>
      </c>
      <c r="H493" s="15">
        <v>0</v>
      </c>
      <c r="I493" s="15">
        <v>0</v>
      </c>
      <c r="J493" s="15">
        <v>0</v>
      </c>
      <c r="K493" s="15">
        <v>0</v>
      </c>
      <c r="L493" s="15">
        <v>0</v>
      </c>
      <c r="M493" s="15">
        <v>0</v>
      </c>
      <c r="N493" s="15">
        <v>19.12</v>
      </c>
      <c r="O493" t="s">
        <v>75</v>
      </c>
    </row>
    <row r="494" spans="1:15" x14ac:dyDescent="0.25">
      <c r="A494" s="10" t="s">
        <v>1115</v>
      </c>
      <c r="B494" s="15">
        <v>262.57</v>
      </c>
      <c r="C494" s="15">
        <v>229.35</v>
      </c>
      <c r="D494" s="15">
        <v>229.24</v>
      </c>
      <c r="E494" s="15">
        <v>228.36</v>
      </c>
      <c r="F494" s="15">
        <v>520.69000000000005</v>
      </c>
      <c r="G494" s="15">
        <v>227.04</v>
      </c>
      <c r="H494" s="15">
        <v>150.43</v>
      </c>
      <c r="I494" s="15">
        <v>208.97</v>
      </c>
      <c r="J494" s="15">
        <v>229.35</v>
      </c>
      <c r="K494" s="15">
        <v>229.35</v>
      </c>
      <c r="L494" s="15">
        <v>225.95</v>
      </c>
      <c r="M494" s="15">
        <v>227.79</v>
      </c>
      <c r="N494" s="15">
        <v>229.35</v>
      </c>
      <c r="O494" t="s">
        <v>75</v>
      </c>
    </row>
    <row r="495" spans="1:15" x14ac:dyDescent="0.25">
      <c r="A495" s="10" t="s">
        <v>1117</v>
      </c>
      <c r="B495" s="15">
        <v>341.89</v>
      </c>
      <c r="C495" s="15">
        <v>471.83</v>
      </c>
      <c r="D495" s="15">
        <v>382.59</v>
      </c>
      <c r="E495" s="15">
        <v>382.59</v>
      </c>
      <c r="F495" s="15">
        <v>545.16999999999996</v>
      </c>
      <c r="G495" s="15">
        <v>291.19</v>
      </c>
      <c r="H495" s="15">
        <v>382.59</v>
      </c>
      <c r="I495" s="15">
        <v>393.64</v>
      </c>
      <c r="J495" s="15">
        <v>187.81</v>
      </c>
      <c r="K495" s="15">
        <v>0</v>
      </c>
      <c r="L495" s="15">
        <v>199.68</v>
      </c>
      <c r="M495" s="15">
        <v>545.36</v>
      </c>
      <c r="N495" s="15">
        <v>325.79000000000002</v>
      </c>
      <c r="O495" t="s">
        <v>75</v>
      </c>
    </row>
    <row r="496" spans="1:15" x14ac:dyDescent="0.25">
      <c r="A496" s="10" t="s">
        <v>1119</v>
      </c>
      <c r="B496" s="15">
        <v>513.01</v>
      </c>
      <c r="C496" s="15">
        <v>570.88</v>
      </c>
      <c r="D496" s="15">
        <v>570.88</v>
      </c>
      <c r="E496" s="15">
        <v>570.88</v>
      </c>
      <c r="F496" s="15">
        <v>570.88</v>
      </c>
      <c r="G496" s="15">
        <v>1141.76</v>
      </c>
      <c r="H496" s="15">
        <v>570.88</v>
      </c>
      <c r="I496" s="15">
        <v>0</v>
      </c>
      <c r="J496" s="15">
        <v>570.88</v>
      </c>
      <c r="K496" s="15">
        <v>570.88</v>
      </c>
      <c r="L496" s="15">
        <v>570.88</v>
      </c>
      <c r="M496" s="15">
        <v>570.88</v>
      </c>
      <c r="N496" s="15">
        <v>570.88</v>
      </c>
      <c r="O496" t="s">
        <v>75</v>
      </c>
    </row>
    <row r="497" spans="1:15" x14ac:dyDescent="0.25">
      <c r="A497" s="10" t="s">
        <v>1121</v>
      </c>
      <c r="B497" s="15">
        <v>890.13</v>
      </c>
      <c r="C497" s="15">
        <v>397.37</v>
      </c>
      <c r="D497" s="15">
        <v>367.27</v>
      </c>
      <c r="E497" s="15">
        <v>570.88</v>
      </c>
      <c r="F497" s="15">
        <v>570.88</v>
      </c>
      <c r="G497" s="15">
        <v>570.88</v>
      </c>
      <c r="H497" s="15">
        <v>570.88</v>
      </c>
      <c r="I497" s="15">
        <v>570.88</v>
      </c>
      <c r="J497" s="15">
        <v>570.88</v>
      </c>
      <c r="K497" s="15">
        <v>570.88</v>
      </c>
      <c r="L497" s="15">
        <v>570.88</v>
      </c>
      <c r="M497" s="15">
        <v>570.88</v>
      </c>
      <c r="N497" s="15">
        <v>570.88</v>
      </c>
      <c r="O497" t="s">
        <v>75</v>
      </c>
    </row>
    <row r="498" spans="1:15" x14ac:dyDescent="0.25">
      <c r="A498" s="10" t="s">
        <v>1123</v>
      </c>
      <c r="B498" s="15">
        <v>172.94</v>
      </c>
      <c r="C498" s="15">
        <v>87.53</v>
      </c>
      <c r="D498" s="15">
        <v>173.38</v>
      </c>
      <c r="E498" s="15">
        <v>183.82</v>
      </c>
      <c r="F498" s="15">
        <v>200.39</v>
      </c>
      <c r="G498" s="15">
        <v>183.82</v>
      </c>
      <c r="H498" s="15">
        <v>183.82</v>
      </c>
      <c r="I498" s="15">
        <v>183.82</v>
      </c>
      <c r="J498" s="15">
        <v>183.82</v>
      </c>
      <c r="K498" s="15">
        <v>183.82</v>
      </c>
      <c r="L498" s="15">
        <v>183.82</v>
      </c>
      <c r="M498" s="15">
        <v>491.6</v>
      </c>
      <c r="N498" s="15">
        <v>188.86</v>
      </c>
      <c r="O498" t="s">
        <v>75</v>
      </c>
    </row>
    <row r="499" spans="1:15" x14ac:dyDescent="0.25">
      <c r="A499" s="10" t="s">
        <v>1125</v>
      </c>
      <c r="B499" s="15">
        <v>1083.8900000000001</v>
      </c>
      <c r="C499" s="15">
        <v>570.88</v>
      </c>
      <c r="D499" s="15">
        <v>0</v>
      </c>
      <c r="E499" s="15">
        <v>570.88</v>
      </c>
      <c r="F499" s="15">
        <v>570.88</v>
      </c>
      <c r="G499" s="15">
        <v>570.88</v>
      </c>
      <c r="H499" s="15">
        <v>570.88</v>
      </c>
      <c r="I499" s="15">
        <v>570.88</v>
      </c>
      <c r="J499" s="15">
        <v>570.88</v>
      </c>
      <c r="K499" s="15">
        <v>570.88</v>
      </c>
      <c r="L499" s="15">
        <v>570.88</v>
      </c>
      <c r="M499" s="15">
        <v>1141.76</v>
      </c>
      <c r="N499" s="15">
        <v>570.88</v>
      </c>
      <c r="O499" t="s">
        <v>75</v>
      </c>
    </row>
    <row r="500" spans="1:15" x14ac:dyDescent="0.25">
      <c r="A500" s="10" t="s">
        <v>1127</v>
      </c>
      <c r="B500" s="15">
        <v>262.57</v>
      </c>
      <c r="C500" s="15">
        <v>152.47</v>
      </c>
      <c r="D500" s="15">
        <v>229.35</v>
      </c>
      <c r="E500" s="15">
        <v>229.35</v>
      </c>
      <c r="F500" s="15">
        <v>229.35</v>
      </c>
      <c r="G500" s="15">
        <v>229.35</v>
      </c>
      <c r="H500" s="15">
        <v>228.82</v>
      </c>
      <c r="I500" s="15">
        <v>319.97000000000003</v>
      </c>
      <c r="J500" s="15">
        <v>200.73</v>
      </c>
      <c r="K500" s="15">
        <v>229.81</v>
      </c>
      <c r="L500" s="15">
        <v>229.35</v>
      </c>
      <c r="M500" s="15">
        <v>433.27</v>
      </c>
      <c r="N500" s="15">
        <v>229.41</v>
      </c>
      <c r="O500" t="s">
        <v>75</v>
      </c>
    </row>
    <row r="501" spans="1:15" x14ac:dyDescent="0.25">
      <c r="A501" s="10" t="s">
        <v>1129</v>
      </c>
      <c r="B501" s="15">
        <v>513.01</v>
      </c>
      <c r="C501" s="15">
        <v>570.88</v>
      </c>
      <c r="D501" s="15">
        <v>570.88</v>
      </c>
      <c r="E501" s="15">
        <v>1018.85</v>
      </c>
      <c r="F501" s="15">
        <v>570.88</v>
      </c>
      <c r="G501" s="15">
        <v>122.91</v>
      </c>
      <c r="H501" s="15">
        <v>1018.85</v>
      </c>
      <c r="I501" s="15">
        <v>570.88</v>
      </c>
      <c r="J501" s="15">
        <v>122.91</v>
      </c>
      <c r="K501" s="15">
        <v>570.88</v>
      </c>
      <c r="L501" s="15">
        <v>570.88</v>
      </c>
      <c r="M501" s="15">
        <v>570.88</v>
      </c>
      <c r="N501" s="15">
        <v>570.88</v>
      </c>
      <c r="O501" t="s">
        <v>75</v>
      </c>
    </row>
    <row r="502" spans="1:15" x14ac:dyDescent="0.25">
      <c r="A502" s="10" t="s">
        <v>1134</v>
      </c>
      <c r="B502" s="15">
        <v>179.03</v>
      </c>
      <c r="C502" s="15">
        <v>200.27</v>
      </c>
      <c r="D502" s="15">
        <v>199</v>
      </c>
      <c r="E502" s="15">
        <v>199</v>
      </c>
      <c r="F502" s="15">
        <v>199</v>
      </c>
      <c r="G502" s="15">
        <v>199</v>
      </c>
      <c r="H502" s="15">
        <v>523.47</v>
      </c>
      <c r="I502" s="15">
        <v>199</v>
      </c>
      <c r="J502" s="15">
        <v>0</v>
      </c>
      <c r="K502" s="15">
        <v>199</v>
      </c>
      <c r="L502" s="15">
        <v>199</v>
      </c>
      <c r="M502" s="15">
        <v>199</v>
      </c>
      <c r="N502" s="15">
        <v>199.1</v>
      </c>
      <c r="O502" t="s">
        <v>75</v>
      </c>
    </row>
    <row r="503" spans="1:15" x14ac:dyDescent="0.25">
      <c r="A503" s="10" t="s">
        <v>1136</v>
      </c>
      <c r="B503" s="15">
        <v>246.22</v>
      </c>
      <c r="C503" s="15">
        <v>404.23</v>
      </c>
      <c r="D503" s="15">
        <v>341.05</v>
      </c>
      <c r="E503" s="15">
        <v>341.05</v>
      </c>
      <c r="F503" s="15">
        <v>341.05</v>
      </c>
      <c r="G503" s="15">
        <v>341.05</v>
      </c>
      <c r="H503" s="15">
        <v>341.05</v>
      </c>
      <c r="I503" s="15">
        <v>341.05</v>
      </c>
      <c r="J503" s="15">
        <v>341.05</v>
      </c>
      <c r="K503" s="15">
        <v>341.05</v>
      </c>
      <c r="L503" s="15">
        <v>341.05</v>
      </c>
      <c r="M503" s="15">
        <v>648.82000000000005</v>
      </c>
      <c r="N503" s="15">
        <v>346.32</v>
      </c>
      <c r="O503" t="s">
        <v>75</v>
      </c>
    </row>
    <row r="504" spans="1:15" x14ac:dyDescent="0.25">
      <c r="A504" s="10" t="s">
        <v>1138</v>
      </c>
      <c r="B504" s="15">
        <v>81.47</v>
      </c>
      <c r="C504" s="15">
        <v>85.95</v>
      </c>
      <c r="D504" s="15">
        <v>82.48</v>
      </c>
      <c r="E504" s="15">
        <v>86.63</v>
      </c>
      <c r="F504" s="15">
        <v>92.62</v>
      </c>
      <c r="G504" s="15">
        <v>86.63</v>
      </c>
      <c r="H504" s="15">
        <v>83.64</v>
      </c>
      <c r="I504" s="15">
        <v>83.7</v>
      </c>
      <c r="J504" s="15">
        <v>86.05</v>
      </c>
      <c r="K504" s="15">
        <v>164.08</v>
      </c>
      <c r="L504" s="15">
        <v>31.76</v>
      </c>
      <c r="M504" s="15">
        <v>83.75</v>
      </c>
      <c r="N504" s="15">
        <v>87.13</v>
      </c>
      <c r="O504" t="s">
        <v>75</v>
      </c>
    </row>
    <row r="505" spans="1:15" x14ac:dyDescent="0.25">
      <c r="A505" s="10" t="s">
        <v>1140</v>
      </c>
      <c r="B505" s="15">
        <v>178.49</v>
      </c>
      <c r="C505" s="15">
        <v>199</v>
      </c>
      <c r="D505" s="15">
        <v>195.95</v>
      </c>
      <c r="E505" s="15">
        <v>199</v>
      </c>
      <c r="F505" s="15">
        <v>199</v>
      </c>
      <c r="G505" s="15">
        <v>199</v>
      </c>
      <c r="H505" s="15">
        <v>199</v>
      </c>
      <c r="I505" s="15">
        <v>199</v>
      </c>
      <c r="J505" s="15">
        <v>58.96</v>
      </c>
      <c r="K505" s="15">
        <v>193.58</v>
      </c>
      <c r="L505" s="15">
        <v>193.35</v>
      </c>
      <c r="M505" s="15">
        <v>63.28</v>
      </c>
      <c r="N505" s="15">
        <v>165.83</v>
      </c>
      <c r="O505" t="s">
        <v>75</v>
      </c>
    </row>
    <row r="506" spans="1:15" x14ac:dyDescent="0.25">
      <c r="A506" s="10" t="s">
        <v>1142</v>
      </c>
      <c r="B506" s="15">
        <v>378.83</v>
      </c>
      <c r="C506" s="15">
        <v>192.05</v>
      </c>
      <c r="D506" s="15">
        <v>570.88</v>
      </c>
      <c r="E506" s="15">
        <v>570.88</v>
      </c>
      <c r="F506" s="15">
        <v>570.88</v>
      </c>
      <c r="G506" s="15">
        <v>570.88</v>
      </c>
      <c r="H506" s="15">
        <v>570.88</v>
      </c>
      <c r="I506" s="15">
        <v>570.88</v>
      </c>
      <c r="J506" s="15">
        <v>570.88</v>
      </c>
      <c r="K506" s="15">
        <v>570.88</v>
      </c>
      <c r="L506" s="15">
        <v>570.88</v>
      </c>
      <c r="M506" s="15">
        <v>1141.76</v>
      </c>
      <c r="N506" s="15">
        <v>570.88</v>
      </c>
      <c r="O506" t="s">
        <v>75</v>
      </c>
    </row>
    <row r="507" spans="1:15" x14ac:dyDescent="0.25">
      <c r="A507" s="10" t="s">
        <v>1144</v>
      </c>
      <c r="B507" s="15">
        <v>513.01</v>
      </c>
      <c r="C507" s="15">
        <v>570.88</v>
      </c>
      <c r="D507" s="15">
        <v>570.88</v>
      </c>
      <c r="E507" s="15">
        <v>570.88</v>
      </c>
      <c r="F507" s="15">
        <v>1141.76</v>
      </c>
      <c r="G507" s="15">
        <v>570.88</v>
      </c>
      <c r="H507" s="15">
        <v>0</v>
      </c>
      <c r="I507" s="15">
        <v>570.88</v>
      </c>
      <c r="J507" s="15">
        <v>570.88</v>
      </c>
      <c r="K507" s="15">
        <v>570.88</v>
      </c>
      <c r="L507" s="15">
        <v>570.88</v>
      </c>
      <c r="M507" s="15">
        <v>570.88</v>
      </c>
      <c r="N507" s="15">
        <v>570.88</v>
      </c>
      <c r="O507" t="s">
        <v>75</v>
      </c>
    </row>
    <row r="508" spans="1:15" x14ac:dyDescent="0.25">
      <c r="A508" s="10" t="s">
        <v>1146</v>
      </c>
      <c r="B508" s="15">
        <v>513.01</v>
      </c>
      <c r="C508" s="15">
        <v>570.88</v>
      </c>
      <c r="D508" s="15">
        <v>1141.76</v>
      </c>
      <c r="E508" s="15">
        <v>570.88</v>
      </c>
      <c r="F508" s="15">
        <v>0</v>
      </c>
      <c r="G508" s="15">
        <v>570.88</v>
      </c>
      <c r="H508" s="15">
        <v>570.88</v>
      </c>
      <c r="I508" s="15">
        <v>570.88</v>
      </c>
      <c r="J508" s="15">
        <v>570.88</v>
      </c>
      <c r="K508" s="15">
        <v>570.88</v>
      </c>
      <c r="L508" s="15">
        <v>570.88</v>
      </c>
      <c r="M508" s="15">
        <v>570.88</v>
      </c>
      <c r="N508" s="15">
        <v>570.88</v>
      </c>
      <c r="O508" t="s">
        <v>75</v>
      </c>
    </row>
    <row r="509" spans="1:15" x14ac:dyDescent="0.25">
      <c r="A509" s="10" t="s">
        <v>1148</v>
      </c>
      <c r="B509" s="15">
        <v>513.01</v>
      </c>
      <c r="C509" s="15">
        <v>57.87</v>
      </c>
      <c r="D509" s="15">
        <v>570.88</v>
      </c>
      <c r="E509" s="15">
        <v>570.88</v>
      </c>
      <c r="F509" s="15">
        <v>570.88</v>
      </c>
      <c r="G509" s="15">
        <v>570.88</v>
      </c>
      <c r="H509" s="15">
        <v>570.88</v>
      </c>
      <c r="I509" s="15">
        <v>570.88</v>
      </c>
      <c r="J509" s="15">
        <v>570.88</v>
      </c>
      <c r="K509" s="15">
        <v>570.88</v>
      </c>
      <c r="L509" s="15">
        <v>570.88</v>
      </c>
      <c r="M509" s="15">
        <v>1141.76</v>
      </c>
      <c r="N509" s="15">
        <v>570.88</v>
      </c>
      <c r="O509" t="s">
        <v>75</v>
      </c>
    </row>
    <row r="510" spans="1:15" x14ac:dyDescent="0.25">
      <c r="A510" s="10" t="s">
        <v>1150</v>
      </c>
      <c r="B510" s="15">
        <v>513.01</v>
      </c>
      <c r="C510" s="15">
        <v>1141.76</v>
      </c>
      <c r="D510" s="15">
        <v>570.88</v>
      </c>
      <c r="E510" s="15">
        <v>0</v>
      </c>
      <c r="F510" s="15">
        <v>570.88</v>
      </c>
      <c r="G510" s="15">
        <v>570.88</v>
      </c>
      <c r="H510" s="15">
        <v>570.88</v>
      </c>
      <c r="I510" s="15">
        <v>570.88</v>
      </c>
      <c r="J510" s="15">
        <v>570.88</v>
      </c>
      <c r="K510" s="15">
        <v>570.88</v>
      </c>
      <c r="L510" s="15">
        <v>570.88</v>
      </c>
      <c r="M510" s="15">
        <v>570.88</v>
      </c>
      <c r="N510" s="15">
        <v>570.88</v>
      </c>
      <c r="O510" t="s">
        <v>75</v>
      </c>
    </row>
    <row r="511" spans="1:15" x14ac:dyDescent="0.25">
      <c r="A511" s="10" t="s">
        <v>1152</v>
      </c>
      <c r="B511" s="15">
        <v>348.6</v>
      </c>
      <c r="C511" s="15">
        <v>400.26</v>
      </c>
      <c r="D511" s="15">
        <v>380.7</v>
      </c>
      <c r="E511" s="15">
        <v>380.7</v>
      </c>
      <c r="F511" s="15">
        <v>413.63</v>
      </c>
      <c r="G511" s="15">
        <v>380.7</v>
      </c>
      <c r="H511" s="15">
        <v>362.3</v>
      </c>
      <c r="I511" s="15">
        <v>363</v>
      </c>
      <c r="J511" s="15">
        <v>380.7</v>
      </c>
      <c r="K511" s="15">
        <v>648.34</v>
      </c>
      <c r="L511" s="15">
        <v>246.11</v>
      </c>
      <c r="M511" s="15">
        <v>332.25</v>
      </c>
      <c r="N511" s="15">
        <v>385.07</v>
      </c>
      <c r="O511" t="s">
        <v>75</v>
      </c>
    </row>
    <row r="512" spans="1:15" x14ac:dyDescent="0.25">
      <c r="A512" s="10" t="s">
        <v>1154</v>
      </c>
      <c r="B512" s="15">
        <v>179.03</v>
      </c>
      <c r="C512" s="15">
        <v>207.36</v>
      </c>
      <c r="D512" s="15">
        <v>199</v>
      </c>
      <c r="E512" s="15">
        <v>199</v>
      </c>
      <c r="F512" s="15">
        <v>456.38</v>
      </c>
      <c r="G512" s="15">
        <v>148.18</v>
      </c>
      <c r="H512" s="15">
        <v>114.39</v>
      </c>
      <c r="I512" s="15">
        <v>199</v>
      </c>
      <c r="J512" s="15">
        <v>199</v>
      </c>
      <c r="K512" s="15">
        <v>199</v>
      </c>
      <c r="L512" s="15">
        <v>199</v>
      </c>
      <c r="M512" s="15">
        <v>199</v>
      </c>
      <c r="N512" s="15">
        <v>199.69</v>
      </c>
      <c r="O512" t="s">
        <v>75</v>
      </c>
    </row>
    <row r="513" spans="1:15" x14ac:dyDescent="0.25">
      <c r="A513" s="10" t="s">
        <v>1156</v>
      </c>
      <c r="B513" s="15">
        <v>54</v>
      </c>
      <c r="C513" s="15">
        <v>486.8</v>
      </c>
      <c r="D513" s="15">
        <v>486.8</v>
      </c>
      <c r="E513" s="15">
        <v>486.8</v>
      </c>
      <c r="F513" s="15">
        <v>486.8</v>
      </c>
      <c r="G513" s="15">
        <v>486.8</v>
      </c>
      <c r="H513" s="15">
        <v>486.8</v>
      </c>
      <c r="I513" s="15">
        <v>486.8</v>
      </c>
      <c r="J513" s="15">
        <v>1057.68</v>
      </c>
      <c r="K513" s="15">
        <v>486.8</v>
      </c>
      <c r="L513" s="15">
        <v>0</v>
      </c>
      <c r="M513" s="15">
        <v>486.8</v>
      </c>
      <c r="N513" s="15">
        <v>541.11</v>
      </c>
      <c r="O513" t="s">
        <v>75</v>
      </c>
    </row>
    <row r="514" spans="1:15" x14ac:dyDescent="0.25">
      <c r="A514" s="10" t="s">
        <v>1158</v>
      </c>
      <c r="B514" s="15">
        <v>179.03</v>
      </c>
      <c r="C514" s="15">
        <v>209.1</v>
      </c>
      <c r="D514" s="15">
        <v>199</v>
      </c>
      <c r="E514" s="15">
        <v>199</v>
      </c>
      <c r="F514" s="15">
        <v>199</v>
      </c>
      <c r="G514" s="15">
        <v>199</v>
      </c>
      <c r="H514" s="15">
        <v>199</v>
      </c>
      <c r="I514" s="15">
        <v>199</v>
      </c>
      <c r="J514" s="15">
        <v>199</v>
      </c>
      <c r="K514" s="15">
        <v>199</v>
      </c>
      <c r="L514" s="15">
        <v>199</v>
      </c>
      <c r="M514" s="15">
        <v>199</v>
      </c>
      <c r="N514" s="15">
        <v>199.84</v>
      </c>
      <c r="O514" t="s">
        <v>75</v>
      </c>
    </row>
    <row r="515" spans="1:15" x14ac:dyDescent="0.25">
      <c r="A515" s="10" t="s">
        <v>1160</v>
      </c>
      <c r="B515" s="15">
        <v>346.17</v>
      </c>
      <c r="C515" s="15">
        <v>389.11</v>
      </c>
      <c r="D515" s="15">
        <v>750.3</v>
      </c>
      <c r="E515" s="15">
        <v>515</v>
      </c>
      <c r="F515" s="15">
        <v>180.64</v>
      </c>
      <c r="G515" s="15">
        <v>387.08</v>
      </c>
      <c r="H515" s="15">
        <v>387.08</v>
      </c>
      <c r="I515" s="15">
        <v>570.88</v>
      </c>
      <c r="J515" s="15">
        <v>387.08</v>
      </c>
      <c r="K515" s="15">
        <v>387.08</v>
      </c>
      <c r="L515" s="15">
        <v>387.08</v>
      </c>
      <c r="M515" s="15">
        <v>387.08</v>
      </c>
      <c r="N515" s="15">
        <v>438.84</v>
      </c>
      <c r="O515" t="s">
        <v>75</v>
      </c>
    </row>
    <row r="516" spans="1:15" x14ac:dyDescent="0.25">
      <c r="A516" s="10" t="s">
        <v>1162</v>
      </c>
      <c r="B516" s="15">
        <v>0</v>
      </c>
      <c r="C516" s="15">
        <v>0</v>
      </c>
      <c r="D516" s="15">
        <v>0</v>
      </c>
      <c r="E516" s="15">
        <v>0</v>
      </c>
      <c r="F516" s="15">
        <v>0</v>
      </c>
      <c r="G516" s="15">
        <v>59.97</v>
      </c>
      <c r="H516" s="15">
        <v>353.41</v>
      </c>
      <c r="I516" s="15">
        <v>353.41</v>
      </c>
      <c r="J516" s="15">
        <v>340.04</v>
      </c>
      <c r="K516" s="15">
        <v>352.64</v>
      </c>
      <c r="L516" s="15">
        <v>567.57000000000005</v>
      </c>
      <c r="M516" s="15">
        <v>0</v>
      </c>
      <c r="N516" s="15">
        <v>144.94</v>
      </c>
      <c r="O516" t="s">
        <v>75</v>
      </c>
    </row>
    <row r="517" spans="1:15" x14ac:dyDescent="0.25">
      <c r="A517" s="10" t="s">
        <v>1164</v>
      </c>
      <c r="B517" s="15">
        <v>172.94</v>
      </c>
      <c r="C517" s="15">
        <v>220.22</v>
      </c>
      <c r="D517" s="15">
        <v>183.82</v>
      </c>
      <c r="E517" s="15">
        <v>183.82</v>
      </c>
      <c r="F517" s="15">
        <v>458.24</v>
      </c>
      <c r="G517" s="15">
        <v>183.82</v>
      </c>
      <c r="H517" s="15">
        <v>61.28</v>
      </c>
      <c r="I517" s="15">
        <v>183.82</v>
      </c>
      <c r="J517" s="15">
        <v>183.82</v>
      </c>
      <c r="K517" s="15">
        <v>183.82</v>
      </c>
      <c r="L517" s="15">
        <v>183.82</v>
      </c>
      <c r="M517" s="15">
        <v>183.82</v>
      </c>
      <c r="N517" s="15">
        <v>191.45</v>
      </c>
      <c r="O517" t="s">
        <v>75</v>
      </c>
    </row>
    <row r="518" spans="1:15" x14ac:dyDescent="0.25">
      <c r="A518" s="10" t="s">
        <v>1166</v>
      </c>
      <c r="B518" s="15">
        <v>57.03</v>
      </c>
      <c r="C518" s="15">
        <v>86.63</v>
      </c>
      <c r="D518" s="15">
        <v>83.26</v>
      </c>
      <c r="E518" s="15">
        <v>84.91</v>
      </c>
      <c r="F518" s="15">
        <v>82.71</v>
      </c>
      <c r="G518" s="15">
        <v>86.63</v>
      </c>
      <c r="H518" s="15">
        <v>85.66</v>
      </c>
      <c r="I518" s="15">
        <v>86.18</v>
      </c>
      <c r="J518" s="15">
        <v>118.5</v>
      </c>
      <c r="K518" s="15">
        <v>0</v>
      </c>
      <c r="L518" s="15">
        <v>0</v>
      </c>
      <c r="M518" s="15">
        <v>0</v>
      </c>
      <c r="N518" s="15">
        <v>58.19</v>
      </c>
      <c r="O518" t="s">
        <v>75</v>
      </c>
    </row>
    <row r="519" spans="1:15" x14ac:dyDescent="0.25">
      <c r="A519" s="10" t="s">
        <v>1168</v>
      </c>
      <c r="B519" s="15">
        <v>513.01</v>
      </c>
      <c r="C519" s="15">
        <v>57.87</v>
      </c>
      <c r="D519" s="15">
        <v>570.88</v>
      </c>
      <c r="E519" s="15">
        <v>570.88</v>
      </c>
      <c r="F519" s="15">
        <v>570.88</v>
      </c>
      <c r="G519" s="15">
        <v>570.88</v>
      </c>
      <c r="H519" s="15">
        <v>570.88</v>
      </c>
      <c r="I519" s="15">
        <v>570.88</v>
      </c>
      <c r="J519" s="15">
        <v>1087.76</v>
      </c>
      <c r="K519" s="15">
        <v>570.88</v>
      </c>
      <c r="L519" s="15">
        <v>54</v>
      </c>
      <c r="M519" s="15">
        <v>570.88</v>
      </c>
      <c r="N519" s="15">
        <v>570.88</v>
      </c>
      <c r="O519" t="s">
        <v>75</v>
      </c>
    </row>
    <row r="520" spans="1:15" x14ac:dyDescent="0.25">
      <c r="A520" s="10" t="s">
        <v>1170</v>
      </c>
      <c r="B520" s="15">
        <v>422.88</v>
      </c>
      <c r="C520" s="15">
        <v>175.96</v>
      </c>
      <c r="D520" s="15">
        <v>73.09</v>
      </c>
      <c r="E520" s="15">
        <v>171.01</v>
      </c>
      <c r="F520" s="15">
        <v>175.23</v>
      </c>
      <c r="G520" s="15">
        <v>187.64</v>
      </c>
      <c r="H520" s="15">
        <v>175.23</v>
      </c>
      <c r="I520" s="15">
        <v>173.88</v>
      </c>
      <c r="J520" s="15">
        <v>175.96</v>
      </c>
      <c r="K520" s="15">
        <v>221.97</v>
      </c>
      <c r="L520" s="15">
        <v>175.96</v>
      </c>
      <c r="M520" s="15">
        <v>186.92</v>
      </c>
      <c r="N520" s="15">
        <v>184.42</v>
      </c>
      <c r="O520" t="s">
        <v>75</v>
      </c>
    </row>
    <row r="521" spans="1:15" x14ac:dyDescent="0.25">
      <c r="A521" s="10" t="s">
        <v>1172</v>
      </c>
      <c r="B521" s="15">
        <v>105.53</v>
      </c>
      <c r="C521" s="15">
        <v>196.86</v>
      </c>
      <c r="D521" s="15">
        <v>199</v>
      </c>
      <c r="E521" s="15">
        <v>199</v>
      </c>
      <c r="F521" s="15">
        <v>199</v>
      </c>
      <c r="G521" s="15">
        <v>199</v>
      </c>
      <c r="H521" s="15">
        <v>199</v>
      </c>
      <c r="I521" s="15">
        <v>196.74</v>
      </c>
      <c r="J521" s="15">
        <v>199</v>
      </c>
      <c r="K521" s="15">
        <v>199</v>
      </c>
      <c r="L521" s="15">
        <v>199</v>
      </c>
      <c r="M521" s="15">
        <v>372.93</v>
      </c>
      <c r="N521" s="15">
        <v>199</v>
      </c>
      <c r="O521" t="s">
        <v>75</v>
      </c>
    </row>
    <row r="522" spans="1:15" x14ac:dyDescent="0.25">
      <c r="A522" s="10" t="s">
        <v>1174</v>
      </c>
      <c r="B522" s="15">
        <v>173.67</v>
      </c>
      <c r="C522" s="15">
        <v>199.25</v>
      </c>
      <c r="D522" s="15">
        <v>199.25</v>
      </c>
      <c r="E522" s="15">
        <v>199</v>
      </c>
      <c r="F522" s="15">
        <v>199</v>
      </c>
      <c r="G522" s="15">
        <v>517.46</v>
      </c>
      <c r="H522" s="15">
        <v>199</v>
      </c>
      <c r="I522" s="15">
        <v>16.21</v>
      </c>
      <c r="J522" s="15">
        <v>187.7</v>
      </c>
      <c r="K522" s="15">
        <v>198.88</v>
      </c>
      <c r="L522" s="15">
        <v>195.93</v>
      </c>
      <c r="M522" s="15">
        <v>194.92</v>
      </c>
      <c r="N522" s="15">
        <v>199.04</v>
      </c>
      <c r="O522" t="s">
        <v>75</v>
      </c>
    </row>
    <row r="523" spans="1:15" x14ac:dyDescent="0.25">
      <c r="A523" s="10" t="s">
        <v>1176</v>
      </c>
      <c r="B523" s="15">
        <v>513.01</v>
      </c>
      <c r="C523" s="15">
        <v>570.88</v>
      </c>
      <c r="D523" s="15">
        <v>570.88</v>
      </c>
      <c r="E523" s="15">
        <v>570.88</v>
      </c>
      <c r="F523" s="15">
        <v>192</v>
      </c>
      <c r="G523" s="15">
        <v>0</v>
      </c>
      <c r="H523" s="15">
        <v>0</v>
      </c>
      <c r="I523" s="15">
        <v>0</v>
      </c>
      <c r="J523" s="15">
        <v>174.54</v>
      </c>
      <c r="K523" s="15">
        <v>226.91</v>
      </c>
      <c r="L523" s="15">
        <v>0</v>
      </c>
      <c r="M523" s="15">
        <v>0</v>
      </c>
      <c r="N523" s="15">
        <v>114.19</v>
      </c>
      <c r="O523" t="s">
        <v>75</v>
      </c>
    </row>
    <row r="524" spans="1:15" x14ac:dyDescent="0.25">
      <c r="A524" s="10" t="s">
        <v>1178</v>
      </c>
      <c r="B524" s="15">
        <v>0</v>
      </c>
      <c r="C524" s="15">
        <v>0</v>
      </c>
      <c r="D524" s="15">
        <v>0</v>
      </c>
      <c r="E524" s="15">
        <v>0</v>
      </c>
      <c r="F524" s="15">
        <v>0</v>
      </c>
      <c r="G524" s="15">
        <v>0</v>
      </c>
      <c r="H524" s="15">
        <v>0</v>
      </c>
      <c r="I524" s="15">
        <v>0</v>
      </c>
      <c r="J524" s="15">
        <v>0</v>
      </c>
      <c r="K524" s="15">
        <v>0</v>
      </c>
      <c r="L524" s="15">
        <v>0</v>
      </c>
      <c r="M524" s="15">
        <v>0</v>
      </c>
      <c r="N524" s="15">
        <v>12.49</v>
      </c>
      <c r="O524" t="s">
        <v>75</v>
      </c>
    </row>
    <row r="525" spans="1:15" x14ac:dyDescent="0.25">
      <c r="A525" s="10" t="s">
        <v>1180</v>
      </c>
      <c r="B525" s="15">
        <v>513.01</v>
      </c>
      <c r="C525" s="15">
        <v>570.88</v>
      </c>
      <c r="D525" s="15">
        <v>570.88</v>
      </c>
      <c r="E525" s="15">
        <v>570.88</v>
      </c>
      <c r="F525" s="15">
        <v>570.88</v>
      </c>
      <c r="G525" s="15">
        <v>570.88</v>
      </c>
      <c r="H525" s="15">
        <v>570.88</v>
      </c>
      <c r="I525" s="15">
        <v>1028.26</v>
      </c>
      <c r="J525" s="15">
        <v>342.19</v>
      </c>
      <c r="K525" s="15">
        <v>342.19</v>
      </c>
      <c r="L525" s="15">
        <v>570.88</v>
      </c>
      <c r="M525" s="15">
        <v>570.88</v>
      </c>
      <c r="N525" s="15">
        <v>570.88</v>
      </c>
      <c r="O525" t="s">
        <v>75</v>
      </c>
    </row>
    <row r="526" spans="1:15" x14ac:dyDescent="0.25">
      <c r="A526" s="10" t="s">
        <v>1182</v>
      </c>
      <c r="B526" s="15">
        <v>513.01</v>
      </c>
      <c r="C526" s="15">
        <v>570.88</v>
      </c>
      <c r="D526" s="15">
        <v>570.88</v>
      </c>
      <c r="E526" s="15">
        <v>570.88</v>
      </c>
      <c r="F526" s="15">
        <v>570.88</v>
      </c>
      <c r="G526" s="15">
        <v>570.88</v>
      </c>
      <c r="H526" s="15">
        <v>570.88</v>
      </c>
      <c r="I526" s="15">
        <v>1141.76</v>
      </c>
      <c r="J526" s="15">
        <v>570.88</v>
      </c>
      <c r="K526" s="15">
        <v>0</v>
      </c>
      <c r="L526" s="15">
        <v>570.88</v>
      </c>
      <c r="M526" s="15">
        <v>570.88</v>
      </c>
      <c r="N526" s="15">
        <v>570.88</v>
      </c>
      <c r="O526" t="s">
        <v>75</v>
      </c>
    </row>
    <row r="527" spans="1:15" x14ac:dyDescent="0.25">
      <c r="A527" s="10" t="s">
        <v>1184</v>
      </c>
      <c r="B527" s="15">
        <v>513.01</v>
      </c>
      <c r="C527" s="15">
        <v>118.93</v>
      </c>
      <c r="D527" s="15">
        <v>553.04999999999995</v>
      </c>
      <c r="E527" s="15">
        <v>548.27</v>
      </c>
      <c r="F527" s="15">
        <v>553.04999999999995</v>
      </c>
      <c r="G527" s="15">
        <v>570.88</v>
      </c>
      <c r="H527" s="15">
        <v>553.04999999999995</v>
      </c>
      <c r="I527" s="15">
        <v>553.04999999999995</v>
      </c>
      <c r="J527" s="15">
        <v>553.04999999999995</v>
      </c>
      <c r="K527" s="15">
        <v>553.04999999999995</v>
      </c>
      <c r="L527" s="15">
        <v>553.04999999999995</v>
      </c>
      <c r="M527" s="15">
        <v>1087.6300000000001</v>
      </c>
      <c r="N527" s="15">
        <v>564.45000000000005</v>
      </c>
      <c r="O527" t="s">
        <v>75</v>
      </c>
    </row>
    <row r="528" spans="1:15" x14ac:dyDescent="0.25">
      <c r="A528" s="10" t="s">
        <v>1186</v>
      </c>
      <c r="B528" s="15">
        <v>199.81</v>
      </c>
      <c r="C528" s="15">
        <v>371.07</v>
      </c>
      <c r="D528" s="15">
        <v>570.88</v>
      </c>
      <c r="E528" s="15">
        <v>570.88</v>
      </c>
      <c r="F528" s="15">
        <v>570.88</v>
      </c>
      <c r="G528" s="15">
        <v>570.88</v>
      </c>
      <c r="H528" s="15">
        <v>1141.76</v>
      </c>
      <c r="I528" s="15">
        <v>570.88</v>
      </c>
      <c r="J528" s="15">
        <v>0</v>
      </c>
      <c r="K528" s="15">
        <v>570.88</v>
      </c>
      <c r="L528" s="15">
        <v>570.88</v>
      </c>
      <c r="M528" s="15">
        <v>570.88</v>
      </c>
      <c r="N528" s="15">
        <v>570.88</v>
      </c>
      <c r="O528" t="s">
        <v>75</v>
      </c>
    </row>
    <row r="529" spans="1:15" x14ac:dyDescent="0.25">
      <c r="A529" s="10" t="s">
        <v>1188</v>
      </c>
      <c r="B529" s="15">
        <v>178.4</v>
      </c>
      <c r="C529" s="15">
        <v>197.95</v>
      </c>
      <c r="D529" s="15">
        <v>198.95</v>
      </c>
      <c r="E529" s="15">
        <v>205.63</v>
      </c>
      <c r="F529" s="15">
        <v>199</v>
      </c>
      <c r="G529" s="15">
        <v>205.63</v>
      </c>
      <c r="H529" s="15">
        <v>375.89</v>
      </c>
      <c r="I529" s="15">
        <v>199</v>
      </c>
      <c r="J529" s="15">
        <v>120.38</v>
      </c>
      <c r="K529" s="15">
        <v>187.74</v>
      </c>
      <c r="L529" s="15">
        <v>191.37</v>
      </c>
      <c r="M529" s="15">
        <v>197.72</v>
      </c>
      <c r="N529" s="15">
        <v>199</v>
      </c>
      <c r="O529" t="s">
        <v>75</v>
      </c>
    </row>
    <row r="530" spans="1:15" x14ac:dyDescent="0.25">
      <c r="A530" s="10" t="s">
        <v>1190</v>
      </c>
      <c r="B530" s="15">
        <v>625.73</v>
      </c>
      <c r="C530" s="15">
        <v>570.88</v>
      </c>
      <c r="D530" s="15">
        <v>142</v>
      </c>
      <c r="E530" s="15">
        <v>374.92</v>
      </c>
      <c r="F530" s="15">
        <v>382.59</v>
      </c>
      <c r="G530" s="15">
        <v>382.59</v>
      </c>
      <c r="H530" s="15">
        <v>382.59</v>
      </c>
      <c r="I530" s="15">
        <v>382.59</v>
      </c>
      <c r="J530" s="15">
        <v>382.59</v>
      </c>
      <c r="K530" s="15">
        <v>382.59</v>
      </c>
      <c r="L530" s="15">
        <v>382.59</v>
      </c>
      <c r="M530" s="15">
        <v>545.13</v>
      </c>
      <c r="N530" s="15">
        <v>427.86</v>
      </c>
      <c r="O530" t="s">
        <v>75</v>
      </c>
    </row>
    <row r="531" spans="1:15" x14ac:dyDescent="0.25">
      <c r="A531" s="10" t="s">
        <v>1192</v>
      </c>
      <c r="B531" s="15">
        <v>175.61</v>
      </c>
      <c r="C531" s="15">
        <v>199.79</v>
      </c>
      <c r="D531" s="15">
        <v>200.54</v>
      </c>
      <c r="E531" s="15">
        <v>199</v>
      </c>
      <c r="F531" s="15">
        <v>192.31</v>
      </c>
      <c r="G531" s="15">
        <v>195.76</v>
      </c>
      <c r="H531" s="15">
        <v>196.11</v>
      </c>
      <c r="I531" s="15">
        <v>182.76</v>
      </c>
      <c r="J531" s="15">
        <v>191.93</v>
      </c>
      <c r="K531" s="15">
        <v>365.9</v>
      </c>
      <c r="L531" s="15">
        <v>194.79</v>
      </c>
      <c r="M531" s="15">
        <v>110.63</v>
      </c>
      <c r="N531" s="15">
        <v>199.06</v>
      </c>
      <c r="O531" t="s">
        <v>75</v>
      </c>
    </row>
    <row r="532" spans="1:15" x14ac:dyDescent="0.25">
      <c r="A532" s="10" t="s">
        <v>1194</v>
      </c>
      <c r="B532" s="15">
        <v>513.01</v>
      </c>
      <c r="C532" s="15">
        <v>570.88</v>
      </c>
      <c r="D532" s="15">
        <v>570.88</v>
      </c>
      <c r="E532" s="15">
        <v>570.88</v>
      </c>
      <c r="F532" s="15">
        <v>570.88</v>
      </c>
      <c r="G532" s="15">
        <v>1141.76</v>
      </c>
      <c r="H532" s="15">
        <v>570.88</v>
      </c>
      <c r="I532" s="15">
        <v>0</v>
      </c>
      <c r="J532" s="15">
        <v>570.88</v>
      </c>
      <c r="K532" s="15">
        <v>570.88</v>
      </c>
      <c r="L532" s="15">
        <v>570.88</v>
      </c>
      <c r="M532" s="15">
        <v>570.88</v>
      </c>
      <c r="N532" s="15">
        <v>570.88</v>
      </c>
      <c r="O532" t="s">
        <v>75</v>
      </c>
    </row>
    <row r="533" spans="1:15" x14ac:dyDescent="0.25">
      <c r="A533" s="10" t="s">
        <v>1196</v>
      </c>
      <c r="B533" s="15">
        <v>179.03</v>
      </c>
      <c r="C533" s="15">
        <v>198.98</v>
      </c>
      <c r="D533" s="15">
        <v>198.53</v>
      </c>
      <c r="E533" s="15">
        <v>199</v>
      </c>
      <c r="F533" s="15">
        <v>286.25</v>
      </c>
      <c r="G533" s="15">
        <v>0</v>
      </c>
      <c r="H533" s="15">
        <v>0</v>
      </c>
      <c r="I533" s="15">
        <v>0</v>
      </c>
      <c r="J533" s="15">
        <v>0</v>
      </c>
      <c r="K533" s="15">
        <v>0</v>
      </c>
      <c r="L533" s="15">
        <v>0</v>
      </c>
      <c r="M533" s="15">
        <v>0</v>
      </c>
      <c r="N533" s="15">
        <v>73.7</v>
      </c>
      <c r="O533" t="s">
        <v>75</v>
      </c>
    </row>
    <row r="534" spans="1:15" x14ac:dyDescent="0.25">
      <c r="A534" s="10" t="s">
        <v>1198</v>
      </c>
      <c r="B534" s="15">
        <v>0</v>
      </c>
      <c r="C534" s="15">
        <v>64.959999999999994</v>
      </c>
      <c r="D534" s="15">
        <v>172.37</v>
      </c>
      <c r="E534" s="15">
        <v>0</v>
      </c>
      <c r="F534" s="15">
        <v>0</v>
      </c>
      <c r="G534" s="15">
        <v>0</v>
      </c>
      <c r="H534" s="15">
        <v>0</v>
      </c>
      <c r="I534" s="15">
        <v>0</v>
      </c>
      <c r="J534" s="15">
        <v>0</v>
      </c>
      <c r="K534" s="15">
        <v>0</v>
      </c>
      <c r="L534" s="15">
        <v>0</v>
      </c>
      <c r="M534" s="15">
        <v>0</v>
      </c>
      <c r="N534" s="15">
        <v>12.49</v>
      </c>
      <c r="O534" t="s">
        <v>75</v>
      </c>
    </row>
    <row r="535" spans="1:15" x14ac:dyDescent="0.25">
      <c r="A535" s="10" t="s">
        <v>1200</v>
      </c>
      <c r="B535" s="15">
        <v>341.9</v>
      </c>
      <c r="C535" s="15">
        <v>393.41</v>
      </c>
      <c r="D535" s="15">
        <v>293.32</v>
      </c>
      <c r="E535" s="15">
        <v>156.51</v>
      </c>
      <c r="F535" s="15">
        <v>382.59</v>
      </c>
      <c r="G535" s="15">
        <v>725.96</v>
      </c>
      <c r="H535" s="15">
        <v>382.59</v>
      </c>
      <c r="I535" s="15">
        <v>127.53</v>
      </c>
      <c r="J535" s="15">
        <v>382.59</v>
      </c>
      <c r="K535" s="15">
        <v>382.59</v>
      </c>
      <c r="L535" s="15">
        <v>382.59</v>
      </c>
      <c r="M535" s="15">
        <v>382.59</v>
      </c>
      <c r="N535" s="15">
        <v>389.11</v>
      </c>
      <c r="O535" t="s">
        <v>75</v>
      </c>
    </row>
    <row r="536" spans="1:15" x14ac:dyDescent="0.25">
      <c r="A536" s="10" t="s">
        <v>1202</v>
      </c>
      <c r="B536" s="15">
        <v>172.94</v>
      </c>
      <c r="C536" s="15">
        <v>203.14</v>
      </c>
      <c r="D536" s="15">
        <v>183.82</v>
      </c>
      <c r="E536" s="15">
        <v>723.96</v>
      </c>
      <c r="F536" s="15">
        <v>0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>
        <v>69.87</v>
      </c>
      <c r="O536" t="s">
        <v>75</v>
      </c>
    </row>
    <row r="537" spans="1:15" x14ac:dyDescent="0.25">
      <c r="A537" s="10" t="s">
        <v>1204</v>
      </c>
      <c r="B537" s="15">
        <v>179.03</v>
      </c>
      <c r="C537" s="15">
        <v>209.84</v>
      </c>
      <c r="D537" s="15">
        <v>194.71</v>
      </c>
      <c r="E537" s="15">
        <v>194.71</v>
      </c>
      <c r="F537" s="15">
        <v>194.71</v>
      </c>
      <c r="G537" s="15">
        <v>194.71</v>
      </c>
      <c r="H537" s="15">
        <v>194.71</v>
      </c>
      <c r="I537" s="15">
        <v>514.07000000000005</v>
      </c>
      <c r="J537" s="15">
        <v>194.71</v>
      </c>
      <c r="K537" s="15">
        <v>0</v>
      </c>
      <c r="L537" s="15">
        <v>194.71</v>
      </c>
      <c r="M537" s="15">
        <v>194.71</v>
      </c>
      <c r="N537" s="15">
        <v>195.97</v>
      </c>
      <c r="O537" t="s">
        <v>75</v>
      </c>
    </row>
    <row r="538" spans="1:15" x14ac:dyDescent="0.25">
      <c r="A538" s="10" t="s">
        <v>1206</v>
      </c>
      <c r="B538" s="15">
        <v>513.01</v>
      </c>
      <c r="C538" s="15">
        <v>1141.76</v>
      </c>
      <c r="D538" s="15">
        <v>570.88</v>
      </c>
      <c r="E538" s="15">
        <v>0</v>
      </c>
      <c r="F538" s="15">
        <v>570.88</v>
      </c>
      <c r="G538" s="15">
        <v>570.88</v>
      </c>
      <c r="H538" s="15">
        <v>570.88</v>
      </c>
      <c r="I538" s="15">
        <v>570.88</v>
      </c>
      <c r="J538" s="15">
        <v>570.88</v>
      </c>
      <c r="K538" s="15">
        <v>570.88</v>
      </c>
      <c r="L538" s="15">
        <v>1141.76</v>
      </c>
      <c r="M538" s="15">
        <v>570.88</v>
      </c>
      <c r="N538" s="15">
        <v>570.88</v>
      </c>
      <c r="O538" t="s">
        <v>75</v>
      </c>
    </row>
    <row r="539" spans="1:15" x14ac:dyDescent="0.25">
      <c r="A539" s="10" t="s">
        <v>1208</v>
      </c>
      <c r="B539" s="15">
        <v>513.01</v>
      </c>
      <c r="C539" s="15">
        <v>570.88</v>
      </c>
      <c r="D539" s="15">
        <v>570.88</v>
      </c>
      <c r="E539" s="15">
        <v>1141.76</v>
      </c>
      <c r="F539" s="15">
        <v>464.04</v>
      </c>
      <c r="G539" s="15">
        <v>106.84</v>
      </c>
      <c r="H539" s="15">
        <v>570.88</v>
      </c>
      <c r="I539" s="15">
        <v>570.88</v>
      </c>
      <c r="J539" s="15">
        <v>570.88</v>
      </c>
      <c r="K539" s="15">
        <v>570.88</v>
      </c>
      <c r="L539" s="15">
        <v>570.88</v>
      </c>
      <c r="M539" s="15">
        <v>0</v>
      </c>
      <c r="N539" s="15">
        <v>551.26</v>
      </c>
      <c r="O539" t="s">
        <v>75</v>
      </c>
    </row>
    <row r="540" spans="1:15" x14ac:dyDescent="0.25">
      <c r="A540" s="10" t="s">
        <v>1210</v>
      </c>
      <c r="B540" s="15">
        <v>284.45999999999998</v>
      </c>
      <c r="C540" s="15">
        <v>317.74</v>
      </c>
      <c r="D540" s="15">
        <v>317.43</v>
      </c>
      <c r="E540" s="15">
        <v>310.63</v>
      </c>
      <c r="F540" s="15">
        <v>308.41000000000003</v>
      </c>
      <c r="G540" s="15">
        <v>309.57</v>
      </c>
      <c r="H540" s="15">
        <v>317.43</v>
      </c>
      <c r="I540" s="15">
        <v>317.43</v>
      </c>
      <c r="J540" s="15">
        <v>317.43</v>
      </c>
      <c r="K540" s="15">
        <v>537.53</v>
      </c>
      <c r="L540" s="15">
        <v>306.29000000000002</v>
      </c>
      <c r="M540" s="15">
        <v>143.71</v>
      </c>
      <c r="N540" s="15">
        <v>317.45</v>
      </c>
      <c r="O540" t="s">
        <v>75</v>
      </c>
    </row>
    <row r="541" spans="1:15" x14ac:dyDescent="0.25">
      <c r="A541" s="10" t="s">
        <v>1212</v>
      </c>
      <c r="B541" s="15">
        <v>179.03</v>
      </c>
      <c r="C541" s="15">
        <v>221.68</v>
      </c>
      <c r="D541" s="15">
        <v>199</v>
      </c>
      <c r="E541" s="15">
        <v>199</v>
      </c>
      <c r="F541" s="15">
        <v>279.44</v>
      </c>
      <c r="G541" s="15">
        <v>142.93</v>
      </c>
      <c r="H541" s="15">
        <v>281.12</v>
      </c>
      <c r="I541" s="15">
        <v>142.93</v>
      </c>
      <c r="J541" s="15">
        <v>199</v>
      </c>
      <c r="K541" s="15">
        <v>445.95</v>
      </c>
      <c r="L541" s="15">
        <v>196.64</v>
      </c>
      <c r="M541" s="15">
        <v>199</v>
      </c>
      <c r="N541" s="15">
        <v>214</v>
      </c>
      <c r="O541" t="s">
        <v>75</v>
      </c>
    </row>
    <row r="542" spans="1:15" x14ac:dyDescent="0.25">
      <c r="A542" s="10" t="s">
        <v>1214</v>
      </c>
      <c r="B542" s="15">
        <v>341.89</v>
      </c>
      <c r="C542" s="15">
        <v>413.77</v>
      </c>
      <c r="D542" s="15">
        <v>382.59</v>
      </c>
      <c r="E542" s="15">
        <v>382.37</v>
      </c>
      <c r="F542" s="15">
        <v>375.67</v>
      </c>
      <c r="G542" s="15">
        <v>428.52</v>
      </c>
      <c r="H542" s="15">
        <v>382.59</v>
      </c>
      <c r="I542" s="15">
        <v>382.59</v>
      </c>
      <c r="J542" s="15">
        <v>382.59</v>
      </c>
      <c r="K542" s="15">
        <v>382.59</v>
      </c>
      <c r="L542" s="15">
        <v>382.59</v>
      </c>
      <c r="M542" s="15">
        <v>920.25</v>
      </c>
      <c r="N542" s="15">
        <v>417.64</v>
      </c>
      <c r="O542" t="s">
        <v>75</v>
      </c>
    </row>
    <row r="543" spans="1:15" x14ac:dyDescent="0.25">
      <c r="A543" s="10" t="s">
        <v>1216</v>
      </c>
      <c r="B543" s="15">
        <v>179.03</v>
      </c>
      <c r="C543" s="15">
        <v>210.69</v>
      </c>
      <c r="D543" s="15">
        <v>199</v>
      </c>
      <c r="E543" s="15">
        <v>199</v>
      </c>
      <c r="F543" s="15">
        <v>199</v>
      </c>
      <c r="G543" s="15">
        <v>457.62</v>
      </c>
      <c r="H543" s="15">
        <v>199</v>
      </c>
      <c r="I543" s="15">
        <v>114.58</v>
      </c>
      <c r="J543" s="15">
        <v>146.86000000000001</v>
      </c>
      <c r="K543" s="15">
        <v>199</v>
      </c>
      <c r="L543" s="15">
        <v>199</v>
      </c>
      <c r="M543" s="15">
        <v>199</v>
      </c>
      <c r="N543" s="15">
        <v>199.97</v>
      </c>
      <c r="O543" t="s">
        <v>75</v>
      </c>
    </row>
    <row r="544" spans="1:15" x14ac:dyDescent="0.25">
      <c r="A544" s="10" t="s">
        <v>1218</v>
      </c>
      <c r="B544" s="15">
        <v>138.36000000000001</v>
      </c>
      <c r="C544" s="15">
        <v>190.84</v>
      </c>
      <c r="D544" s="15">
        <v>199</v>
      </c>
      <c r="E544" s="15">
        <v>199</v>
      </c>
      <c r="F544" s="15">
        <v>199</v>
      </c>
      <c r="G544" s="15">
        <v>199</v>
      </c>
      <c r="H544" s="15">
        <v>199</v>
      </c>
      <c r="I544" s="15">
        <v>199</v>
      </c>
      <c r="J544" s="15">
        <v>199</v>
      </c>
      <c r="K544" s="15">
        <v>199</v>
      </c>
      <c r="L544" s="15">
        <v>434.84</v>
      </c>
      <c r="M544" s="15">
        <v>114.25</v>
      </c>
      <c r="N544" s="15">
        <v>199</v>
      </c>
      <c r="O544" t="s">
        <v>75</v>
      </c>
    </row>
    <row r="545" spans="1:15" x14ac:dyDescent="0.25">
      <c r="A545" s="10" t="s">
        <v>1220</v>
      </c>
      <c r="B545" s="15">
        <v>492.23</v>
      </c>
      <c r="C545" s="15">
        <v>569.28</v>
      </c>
      <c r="D545" s="15">
        <v>1106.49</v>
      </c>
      <c r="E545" s="15">
        <v>367.56</v>
      </c>
      <c r="F545" s="15">
        <v>203.32</v>
      </c>
      <c r="G545" s="15">
        <v>535.61</v>
      </c>
      <c r="H545" s="15">
        <v>535.61</v>
      </c>
      <c r="I545" s="15">
        <v>535.61</v>
      </c>
      <c r="J545" s="15">
        <v>535.61</v>
      </c>
      <c r="K545" s="15">
        <v>535.61</v>
      </c>
      <c r="L545" s="15">
        <v>535.61</v>
      </c>
      <c r="M545" s="15">
        <v>535.61</v>
      </c>
      <c r="N545" s="15">
        <v>538.41</v>
      </c>
      <c r="O545" t="s">
        <v>75</v>
      </c>
    </row>
    <row r="546" spans="1:15" x14ac:dyDescent="0.25">
      <c r="A546" s="10" t="s">
        <v>1222</v>
      </c>
      <c r="B546" s="15">
        <v>0</v>
      </c>
      <c r="C546" s="15">
        <v>0</v>
      </c>
      <c r="D546" s="15">
        <v>0</v>
      </c>
      <c r="E546" s="15">
        <v>0</v>
      </c>
      <c r="F546" s="15">
        <v>0</v>
      </c>
      <c r="G546" s="15">
        <v>570.88</v>
      </c>
      <c r="H546" s="15">
        <v>570.88</v>
      </c>
      <c r="I546" s="15">
        <v>570.88</v>
      </c>
      <c r="J546" s="15">
        <v>570.88</v>
      </c>
      <c r="K546" s="15">
        <v>570.88</v>
      </c>
      <c r="L546" s="15">
        <v>570.88</v>
      </c>
      <c r="M546" s="15">
        <v>570.88</v>
      </c>
      <c r="N546" s="15">
        <v>425.15</v>
      </c>
      <c r="O546" t="s">
        <v>75</v>
      </c>
    </row>
    <row r="547" spans="1:15" x14ac:dyDescent="0.25">
      <c r="A547" s="10" t="s">
        <v>1224</v>
      </c>
      <c r="B547" s="15">
        <v>317.27999999999997</v>
      </c>
      <c r="C547" s="15">
        <v>345.06</v>
      </c>
      <c r="D547" s="15">
        <v>344.97</v>
      </c>
      <c r="E547" s="15">
        <v>0</v>
      </c>
      <c r="F547" s="15">
        <v>0</v>
      </c>
      <c r="G547" s="15">
        <v>0</v>
      </c>
      <c r="H547" s="15">
        <v>0</v>
      </c>
      <c r="I547" s="15">
        <v>0</v>
      </c>
      <c r="J547" s="15">
        <v>0</v>
      </c>
      <c r="K547" s="15">
        <v>0</v>
      </c>
      <c r="L547" s="15">
        <v>0</v>
      </c>
      <c r="M547" s="15">
        <v>0</v>
      </c>
      <c r="N547" s="15">
        <v>41.34</v>
      </c>
      <c r="O547" t="s">
        <v>75</v>
      </c>
    </row>
    <row r="548" spans="1:15" x14ac:dyDescent="0.25">
      <c r="A548" s="10" t="s">
        <v>1228</v>
      </c>
      <c r="B548" s="15">
        <v>0</v>
      </c>
      <c r="C548" s="15">
        <v>0</v>
      </c>
      <c r="D548" s="15">
        <v>79.95</v>
      </c>
      <c r="E548" s="15">
        <v>168.64</v>
      </c>
      <c r="F548" s="15">
        <v>168.64</v>
      </c>
      <c r="G548" s="15">
        <v>168.64</v>
      </c>
      <c r="H548" s="15">
        <v>168.64</v>
      </c>
      <c r="I548" s="15">
        <v>168.64</v>
      </c>
      <c r="J548" s="15">
        <v>168.64</v>
      </c>
      <c r="K548" s="15">
        <v>168.64</v>
      </c>
      <c r="L548" s="15">
        <v>238.91</v>
      </c>
      <c r="M548" s="15">
        <v>0</v>
      </c>
      <c r="N548" s="15">
        <v>112.45</v>
      </c>
      <c r="O548" t="s">
        <v>75</v>
      </c>
    </row>
    <row r="549" spans="1:15" x14ac:dyDescent="0.25">
      <c r="A549" s="10" t="s">
        <v>1230</v>
      </c>
      <c r="B549" s="15">
        <v>513.01</v>
      </c>
      <c r="C549" s="15">
        <v>570.88</v>
      </c>
      <c r="D549" s="15">
        <v>570.88</v>
      </c>
      <c r="E549" s="15">
        <v>570.88</v>
      </c>
      <c r="F549" s="15">
        <v>570.88</v>
      </c>
      <c r="G549" s="15">
        <v>1141.76</v>
      </c>
      <c r="H549" s="15">
        <v>570.88</v>
      </c>
      <c r="I549" s="15">
        <v>0</v>
      </c>
      <c r="J549" s="15">
        <v>570.88</v>
      </c>
      <c r="K549" s="15">
        <v>570.88</v>
      </c>
      <c r="L549" s="15">
        <v>570.88</v>
      </c>
      <c r="M549" s="15">
        <v>570.88</v>
      </c>
      <c r="N549" s="15">
        <v>570.88</v>
      </c>
      <c r="O549" t="s">
        <v>75</v>
      </c>
    </row>
    <row r="550" spans="1:15" x14ac:dyDescent="0.25">
      <c r="A550" s="10" t="s">
        <v>1238</v>
      </c>
      <c r="B550" s="15">
        <v>172.94</v>
      </c>
      <c r="C550" s="15">
        <v>183.82</v>
      </c>
      <c r="D550" s="15">
        <v>183.82</v>
      </c>
      <c r="E550" s="15">
        <v>183.82</v>
      </c>
      <c r="F550" s="15">
        <v>354.64</v>
      </c>
      <c r="G550" s="15">
        <v>183.82</v>
      </c>
      <c r="H550" s="15">
        <v>73.53</v>
      </c>
      <c r="I550" s="15">
        <v>173.39</v>
      </c>
      <c r="J550" s="15">
        <v>183.82</v>
      </c>
      <c r="K550" s="15">
        <v>183.82</v>
      </c>
      <c r="L550" s="15">
        <v>183.82</v>
      </c>
      <c r="M550" s="15">
        <v>183.82</v>
      </c>
      <c r="N550" s="15">
        <v>184.54</v>
      </c>
      <c r="O550" t="s">
        <v>75</v>
      </c>
    </row>
    <row r="551" spans="1:15" x14ac:dyDescent="0.25">
      <c r="A551" s="10" t="s">
        <v>1240</v>
      </c>
      <c r="B551" s="15">
        <v>513.01</v>
      </c>
      <c r="C551" s="15">
        <v>570.88</v>
      </c>
      <c r="D551" s="15">
        <v>570.88</v>
      </c>
      <c r="E551" s="15">
        <v>570.88</v>
      </c>
      <c r="F551" s="15">
        <v>570.88</v>
      </c>
      <c r="G551" s="15">
        <v>1141.76</v>
      </c>
      <c r="H551" s="15">
        <v>420.87</v>
      </c>
      <c r="I551" s="15">
        <v>150.01</v>
      </c>
      <c r="J551" s="15">
        <v>570.88</v>
      </c>
      <c r="K551" s="15">
        <v>570.88</v>
      </c>
      <c r="L551" s="15">
        <v>570.88</v>
      </c>
      <c r="M551" s="15">
        <v>570.88</v>
      </c>
      <c r="N551" s="15">
        <v>570.88</v>
      </c>
      <c r="O551" t="s">
        <v>75</v>
      </c>
    </row>
    <row r="552" spans="1:15" x14ac:dyDescent="0.25">
      <c r="A552" s="10" t="s">
        <v>1242</v>
      </c>
      <c r="B552" s="15">
        <v>61.1</v>
      </c>
      <c r="C552" s="15">
        <v>71.47</v>
      </c>
      <c r="D552" s="15">
        <v>71.47</v>
      </c>
      <c r="E552" s="15">
        <v>71.47</v>
      </c>
      <c r="F552" s="15">
        <v>71.47</v>
      </c>
      <c r="G552" s="15">
        <v>71.47</v>
      </c>
      <c r="H552" s="15">
        <v>71.47</v>
      </c>
      <c r="I552" s="15">
        <v>71.47</v>
      </c>
      <c r="J552" s="15">
        <v>71.47</v>
      </c>
      <c r="K552" s="15">
        <v>134.99</v>
      </c>
      <c r="L552" s="15">
        <v>26.21</v>
      </c>
      <c r="M552" s="15">
        <v>69.099999999999994</v>
      </c>
      <c r="N552" s="15">
        <v>71.47</v>
      </c>
      <c r="O552" t="s">
        <v>75</v>
      </c>
    </row>
    <row r="553" spans="1:15" x14ac:dyDescent="0.25">
      <c r="A553" s="10" t="s">
        <v>1244</v>
      </c>
      <c r="B553" s="15">
        <v>172.93</v>
      </c>
      <c r="C553" s="15">
        <v>193.08</v>
      </c>
      <c r="D553" s="15">
        <v>183.82</v>
      </c>
      <c r="E553" s="15">
        <v>183.82</v>
      </c>
      <c r="F553" s="15">
        <v>198.31</v>
      </c>
      <c r="G553" s="15">
        <v>183.82</v>
      </c>
      <c r="H553" s="15">
        <v>330.62</v>
      </c>
      <c r="I553" s="15">
        <v>121.31</v>
      </c>
      <c r="J553" s="15">
        <v>136.91999999999999</v>
      </c>
      <c r="K553" s="15">
        <v>183.82</v>
      </c>
      <c r="L553" s="15">
        <v>183.82</v>
      </c>
      <c r="M553" s="15">
        <v>183.82</v>
      </c>
      <c r="N553" s="15">
        <v>185.8</v>
      </c>
      <c r="O553" t="s">
        <v>75</v>
      </c>
    </row>
    <row r="554" spans="1:15" x14ac:dyDescent="0.25">
      <c r="A554" s="10" t="s">
        <v>1246</v>
      </c>
      <c r="B554" s="15">
        <v>179.03</v>
      </c>
      <c r="C554" s="15">
        <v>196.99</v>
      </c>
      <c r="D554" s="15">
        <v>198.05</v>
      </c>
      <c r="E554" s="15">
        <v>317.02</v>
      </c>
      <c r="F554" s="15">
        <v>114.25</v>
      </c>
      <c r="G554" s="15">
        <v>198.9</v>
      </c>
      <c r="H554" s="15">
        <v>199</v>
      </c>
      <c r="I554" s="15">
        <v>199</v>
      </c>
      <c r="J554" s="15">
        <v>199</v>
      </c>
      <c r="K554" s="15">
        <v>199</v>
      </c>
      <c r="L554" s="15">
        <v>316.92</v>
      </c>
      <c r="M554" s="15">
        <v>114.24</v>
      </c>
      <c r="N554" s="15">
        <v>199</v>
      </c>
      <c r="O554" t="s">
        <v>75</v>
      </c>
    </row>
    <row r="555" spans="1:15" x14ac:dyDescent="0.25">
      <c r="A555" s="10" t="s">
        <v>1248</v>
      </c>
      <c r="B555" s="15">
        <v>0</v>
      </c>
      <c r="C555" s="15">
        <v>0</v>
      </c>
      <c r="D555" s="15">
        <v>0</v>
      </c>
      <c r="E555" s="15">
        <v>44.97</v>
      </c>
      <c r="F555" s="15">
        <v>168.64</v>
      </c>
      <c r="G555" s="15">
        <v>168.64</v>
      </c>
      <c r="H555" s="15">
        <v>168.64</v>
      </c>
      <c r="I555" s="15">
        <v>168.64</v>
      </c>
      <c r="J555" s="15">
        <v>168.64</v>
      </c>
      <c r="K555" s="15">
        <v>168.64</v>
      </c>
      <c r="L555" s="15">
        <v>167.74</v>
      </c>
      <c r="M555" s="15">
        <v>167.53</v>
      </c>
      <c r="N555" s="15">
        <v>112.43</v>
      </c>
      <c r="O555" t="s">
        <v>75</v>
      </c>
    </row>
    <row r="556" spans="1:15" x14ac:dyDescent="0.25">
      <c r="A556" s="10" t="s">
        <v>1250</v>
      </c>
      <c r="B556" s="15">
        <v>179.03</v>
      </c>
      <c r="C556" s="15">
        <v>211.81</v>
      </c>
      <c r="D556" s="15">
        <v>199</v>
      </c>
      <c r="E556" s="15">
        <v>199</v>
      </c>
      <c r="F556" s="15">
        <v>199</v>
      </c>
      <c r="G556" s="15">
        <v>205.63</v>
      </c>
      <c r="H556" s="15">
        <v>458.43</v>
      </c>
      <c r="I556" s="15">
        <v>205.63</v>
      </c>
      <c r="J556" s="15">
        <v>95.82</v>
      </c>
      <c r="K556" s="15">
        <v>165.09</v>
      </c>
      <c r="L556" s="15">
        <v>199</v>
      </c>
      <c r="M556" s="15">
        <v>199</v>
      </c>
      <c r="N556" s="15">
        <v>200.07</v>
      </c>
      <c r="O556" t="s">
        <v>75</v>
      </c>
    </row>
    <row r="557" spans="1:15" x14ac:dyDescent="0.25">
      <c r="A557" s="10" t="s">
        <v>1252</v>
      </c>
      <c r="B557" s="15">
        <v>170.87</v>
      </c>
      <c r="C557" s="15">
        <v>199</v>
      </c>
      <c r="D557" s="15">
        <v>196.33</v>
      </c>
      <c r="E557" s="15">
        <v>199</v>
      </c>
      <c r="F557" s="15">
        <v>199</v>
      </c>
      <c r="G557" s="15">
        <v>199</v>
      </c>
      <c r="H557" s="15">
        <v>199</v>
      </c>
      <c r="I557" s="15">
        <v>199</v>
      </c>
      <c r="J557" s="15">
        <v>375.89</v>
      </c>
      <c r="K557" s="15">
        <v>199</v>
      </c>
      <c r="L557" s="15">
        <v>120.38</v>
      </c>
      <c r="M557" s="15">
        <v>199</v>
      </c>
      <c r="N557" s="15">
        <v>199</v>
      </c>
      <c r="O557" t="s">
        <v>75</v>
      </c>
    </row>
    <row r="558" spans="1:15" x14ac:dyDescent="0.25">
      <c r="A558" s="10" t="s">
        <v>1254</v>
      </c>
      <c r="B558" s="15">
        <v>172.94</v>
      </c>
      <c r="C558" s="15">
        <v>183.13</v>
      </c>
      <c r="D558" s="15">
        <v>180.96</v>
      </c>
      <c r="E558" s="15">
        <v>551.45000000000005</v>
      </c>
      <c r="F558" s="15">
        <v>0</v>
      </c>
      <c r="G558" s="15">
        <v>0</v>
      </c>
      <c r="H558" s="15">
        <v>0</v>
      </c>
      <c r="I558" s="15">
        <v>0</v>
      </c>
      <c r="J558" s="15">
        <v>0</v>
      </c>
      <c r="K558" s="15">
        <v>0</v>
      </c>
      <c r="L558" s="15">
        <v>0</v>
      </c>
      <c r="M558" s="15">
        <v>0</v>
      </c>
      <c r="N558" s="15">
        <v>68.08</v>
      </c>
      <c r="O558" t="s">
        <v>75</v>
      </c>
    </row>
    <row r="559" spans="1:15" x14ac:dyDescent="0.25">
      <c r="A559" s="10" t="s">
        <v>1256</v>
      </c>
      <c r="B559" s="15">
        <v>513.01</v>
      </c>
      <c r="C559" s="15">
        <v>570.88</v>
      </c>
      <c r="D559" s="15">
        <v>570.88</v>
      </c>
      <c r="E559" s="15">
        <v>570.88</v>
      </c>
      <c r="F559" s="15">
        <v>570.88</v>
      </c>
      <c r="G559" s="15">
        <v>570.88</v>
      </c>
      <c r="H559" s="15">
        <v>570.88</v>
      </c>
      <c r="I559" s="15">
        <v>1141.76</v>
      </c>
      <c r="J559" s="15">
        <v>570.88</v>
      </c>
      <c r="K559" s="15">
        <v>0</v>
      </c>
      <c r="L559" s="15">
        <v>570.88</v>
      </c>
      <c r="M559" s="15">
        <v>570.88</v>
      </c>
      <c r="N559" s="15">
        <v>570.88</v>
      </c>
      <c r="O559" t="s">
        <v>75</v>
      </c>
    </row>
    <row r="560" spans="1:15" x14ac:dyDescent="0.25">
      <c r="A560" s="10" t="s">
        <v>1258</v>
      </c>
      <c r="B560" s="15">
        <v>81.47</v>
      </c>
      <c r="C560" s="15">
        <v>85.41</v>
      </c>
      <c r="D560" s="15">
        <v>86.51</v>
      </c>
      <c r="E560" s="15">
        <v>86.63</v>
      </c>
      <c r="F560" s="15">
        <v>103.55</v>
      </c>
      <c r="G560" s="15">
        <v>86.63</v>
      </c>
      <c r="H560" s="15">
        <v>86.63</v>
      </c>
      <c r="I560" s="15">
        <v>86.63</v>
      </c>
      <c r="J560" s="15">
        <v>86.63</v>
      </c>
      <c r="K560" s="15">
        <v>86.63</v>
      </c>
      <c r="L560" s="15">
        <v>163.63</v>
      </c>
      <c r="M560" s="15">
        <v>43.32</v>
      </c>
      <c r="N560" s="15">
        <v>88.04</v>
      </c>
      <c r="O560" t="s">
        <v>75</v>
      </c>
    </row>
    <row r="561" spans="1:15" x14ac:dyDescent="0.25">
      <c r="A561" s="10" t="s">
        <v>1260</v>
      </c>
      <c r="B561" s="15">
        <v>513.01</v>
      </c>
      <c r="C561" s="15">
        <v>570.88</v>
      </c>
      <c r="D561" s="15">
        <v>570.88</v>
      </c>
      <c r="E561" s="15">
        <v>570.88</v>
      </c>
      <c r="F561" s="15">
        <v>570.88</v>
      </c>
      <c r="G561" s="15">
        <v>570.88</v>
      </c>
      <c r="H561" s="15">
        <v>570.88</v>
      </c>
      <c r="I561" s="15">
        <v>570.88</v>
      </c>
      <c r="J561" s="15">
        <v>570.88</v>
      </c>
      <c r="K561" s="15">
        <v>1141.76</v>
      </c>
      <c r="L561" s="15">
        <v>0</v>
      </c>
      <c r="M561" s="15">
        <v>570.88</v>
      </c>
      <c r="N561" s="15">
        <v>570.88</v>
      </c>
      <c r="O561" t="s">
        <v>75</v>
      </c>
    </row>
    <row r="562" spans="1:15" x14ac:dyDescent="0.25">
      <c r="A562" s="10" t="s">
        <v>1262</v>
      </c>
      <c r="B562" s="15">
        <v>336.01</v>
      </c>
      <c r="C562" s="15">
        <v>183.82</v>
      </c>
      <c r="D562" s="15">
        <v>67.400000000000006</v>
      </c>
      <c r="E562" s="15">
        <v>178.61</v>
      </c>
      <c r="F562" s="15">
        <v>195.19</v>
      </c>
      <c r="G562" s="15">
        <v>183.82</v>
      </c>
      <c r="H562" s="15">
        <v>183.82</v>
      </c>
      <c r="I562" s="15">
        <v>183.82</v>
      </c>
      <c r="J562" s="15">
        <v>183.82</v>
      </c>
      <c r="K562" s="15">
        <v>183.82</v>
      </c>
      <c r="L562" s="15">
        <v>348.06</v>
      </c>
      <c r="M562" s="15">
        <v>183.82</v>
      </c>
      <c r="N562" s="15">
        <v>184.77</v>
      </c>
      <c r="O562" t="s">
        <v>75</v>
      </c>
    </row>
    <row r="563" spans="1:15" x14ac:dyDescent="0.25">
      <c r="A563" s="10" t="s">
        <v>1264</v>
      </c>
      <c r="B563" s="15">
        <v>266.29000000000002</v>
      </c>
      <c r="C563" s="15">
        <v>589.54</v>
      </c>
      <c r="D563" s="15">
        <v>232.55</v>
      </c>
      <c r="E563" s="15">
        <v>126.38</v>
      </c>
      <c r="F563" s="15">
        <v>236.03</v>
      </c>
      <c r="G563" s="15">
        <v>221.68</v>
      </c>
      <c r="H563" s="15">
        <v>232.55</v>
      </c>
      <c r="I563" s="15">
        <v>232.55</v>
      </c>
      <c r="J563" s="15">
        <v>232.55</v>
      </c>
      <c r="K563" s="15">
        <v>232.55</v>
      </c>
      <c r="L563" s="15">
        <v>227.99</v>
      </c>
      <c r="M563" s="15">
        <v>232.55</v>
      </c>
      <c r="N563" s="15">
        <v>232.83</v>
      </c>
      <c r="O563" t="s">
        <v>75</v>
      </c>
    </row>
    <row r="564" spans="1:15" x14ac:dyDescent="0.25">
      <c r="A564" s="10" t="s">
        <v>1266</v>
      </c>
      <c r="B564" s="15">
        <v>225.78</v>
      </c>
      <c r="C564" s="15">
        <v>570.88</v>
      </c>
      <c r="D564" s="15">
        <v>570.88</v>
      </c>
      <c r="E564" s="15">
        <v>570.88</v>
      </c>
      <c r="F564" s="15">
        <v>570.88</v>
      </c>
      <c r="G564" s="15">
        <v>570.88</v>
      </c>
      <c r="H564" s="15">
        <v>570.88</v>
      </c>
      <c r="I564" s="15">
        <v>570.88</v>
      </c>
      <c r="J564" s="15">
        <v>570.88</v>
      </c>
      <c r="K564" s="15">
        <v>570.88</v>
      </c>
      <c r="L564" s="15">
        <v>1021.38</v>
      </c>
      <c r="M564" s="15">
        <v>345.63</v>
      </c>
      <c r="N564" s="15">
        <v>570.88</v>
      </c>
      <c r="O564" t="s">
        <v>75</v>
      </c>
    </row>
    <row r="565" spans="1:15" x14ac:dyDescent="0.25">
      <c r="A565" s="10" t="s">
        <v>1268</v>
      </c>
      <c r="B565" s="15">
        <v>419.31</v>
      </c>
      <c r="C565" s="15">
        <v>855.05</v>
      </c>
      <c r="D565" s="15">
        <v>444</v>
      </c>
      <c r="E565" s="15">
        <v>167.05</v>
      </c>
      <c r="F565" s="15">
        <v>288.54000000000002</v>
      </c>
      <c r="G565" s="15">
        <v>0</v>
      </c>
      <c r="H565" s="15">
        <v>0</v>
      </c>
      <c r="I565" s="15">
        <v>0</v>
      </c>
      <c r="J565" s="15">
        <v>394.85</v>
      </c>
      <c r="K565" s="15">
        <v>455.6</v>
      </c>
      <c r="L565" s="15">
        <v>455.6</v>
      </c>
      <c r="M565" s="15">
        <v>455.6</v>
      </c>
      <c r="N565" s="15">
        <v>341.7</v>
      </c>
      <c r="O565" t="s">
        <v>75</v>
      </c>
    </row>
    <row r="566" spans="1:15" x14ac:dyDescent="0.25">
      <c r="A566" s="10" t="s">
        <v>1270</v>
      </c>
      <c r="B566" s="15">
        <v>513.01</v>
      </c>
      <c r="C566" s="15">
        <v>570.88</v>
      </c>
      <c r="D566" s="15">
        <v>1141.76</v>
      </c>
      <c r="E566" s="15">
        <v>255.56</v>
      </c>
      <c r="F566" s="15">
        <v>315.32</v>
      </c>
      <c r="G566" s="15">
        <v>570.88</v>
      </c>
      <c r="H566" s="15">
        <v>570.88</v>
      </c>
      <c r="I566" s="15">
        <v>570.88</v>
      </c>
      <c r="J566" s="15">
        <v>570.88</v>
      </c>
      <c r="K566" s="15">
        <v>570.88</v>
      </c>
      <c r="L566" s="15">
        <v>804</v>
      </c>
      <c r="M566" s="15">
        <v>337.76</v>
      </c>
      <c r="N566" s="15">
        <v>570.88</v>
      </c>
      <c r="O566" t="s">
        <v>75</v>
      </c>
    </row>
    <row r="567" spans="1:15" x14ac:dyDescent="0.25">
      <c r="A567" s="10" t="s">
        <v>1272</v>
      </c>
      <c r="B567" s="15">
        <v>0</v>
      </c>
      <c r="C567" s="15">
        <v>0</v>
      </c>
      <c r="D567" s="15">
        <v>0</v>
      </c>
      <c r="E567" s="15">
        <v>83.74</v>
      </c>
      <c r="F567" s="15">
        <v>86.63</v>
      </c>
      <c r="G567" s="15">
        <v>86.63</v>
      </c>
      <c r="H567" s="15">
        <v>86.63</v>
      </c>
      <c r="I567" s="15">
        <v>86.63</v>
      </c>
      <c r="J567" s="15">
        <v>86.63</v>
      </c>
      <c r="K567" s="15">
        <v>101.58</v>
      </c>
      <c r="L567" s="15">
        <v>0</v>
      </c>
      <c r="M567" s="15">
        <v>0</v>
      </c>
      <c r="N567" s="15">
        <v>50.58</v>
      </c>
      <c r="O567" t="s">
        <v>75</v>
      </c>
    </row>
    <row r="568" spans="1:15" x14ac:dyDescent="0.25">
      <c r="A568" s="10" t="s">
        <v>1274</v>
      </c>
      <c r="B568" s="15">
        <v>0</v>
      </c>
      <c r="C568" s="15">
        <v>0</v>
      </c>
      <c r="D568" s="15">
        <v>0</v>
      </c>
      <c r="E568" s="15">
        <v>0</v>
      </c>
      <c r="F568" s="15">
        <v>0</v>
      </c>
      <c r="G568" s="15">
        <v>0</v>
      </c>
      <c r="H568" s="15">
        <v>0</v>
      </c>
      <c r="I568" s="15">
        <v>0</v>
      </c>
      <c r="J568" s="15">
        <v>0</v>
      </c>
      <c r="K568" s="15">
        <v>0</v>
      </c>
      <c r="L568" s="15">
        <v>0</v>
      </c>
      <c r="M568" s="15">
        <v>0</v>
      </c>
      <c r="N568" s="15">
        <v>12.49</v>
      </c>
      <c r="O568" t="s">
        <v>75</v>
      </c>
    </row>
    <row r="569" spans="1:15" x14ac:dyDescent="0.25">
      <c r="A569" s="10" t="s">
        <v>1276</v>
      </c>
      <c r="B569" s="15">
        <v>195.93</v>
      </c>
      <c r="C569" s="15">
        <v>93.14</v>
      </c>
      <c r="D569" s="15">
        <v>31.48</v>
      </c>
      <c r="E569" s="15">
        <v>54.32</v>
      </c>
      <c r="F569" s="15">
        <v>84.85</v>
      </c>
      <c r="G569" s="15">
        <v>85.84</v>
      </c>
      <c r="H569" s="15">
        <v>85.84</v>
      </c>
      <c r="I569" s="15">
        <v>85.84</v>
      </c>
      <c r="J569" s="15">
        <v>85.84</v>
      </c>
      <c r="K569" s="15">
        <v>85.84</v>
      </c>
      <c r="L569" s="15">
        <v>85.84</v>
      </c>
      <c r="M569" s="15">
        <v>85.84</v>
      </c>
      <c r="N569" s="15">
        <v>86.45</v>
      </c>
      <c r="O569" t="s">
        <v>75</v>
      </c>
    </row>
    <row r="570" spans="1:15" x14ac:dyDescent="0.25">
      <c r="A570" s="10" t="s">
        <v>1278</v>
      </c>
      <c r="B570" s="15">
        <v>0</v>
      </c>
      <c r="C570" s="15">
        <v>0</v>
      </c>
      <c r="D570" s="15">
        <v>0</v>
      </c>
      <c r="E570" s="15">
        <v>0</v>
      </c>
      <c r="F570" s="15">
        <v>0</v>
      </c>
      <c r="G570" s="15">
        <v>0</v>
      </c>
      <c r="H570" s="15">
        <v>0</v>
      </c>
      <c r="I570" s="15">
        <v>77.97</v>
      </c>
      <c r="J570" s="15">
        <v>86.63</v>
      </c>
      <c r="K570" s="15">
        <v>86.62</v>
      </c>
      <c r="L570" s="15">
        <v>85.91</v>
      </c>
      <c r="M570" s="15">
        <v>86.31</v>
      </c>
      <c r="N570" s="15">
        <v>43.31</v>
      </c>
      <c r="O570" t="s">
        <v>75</v>
      </c>
    </row>
    <row r="571" spans="1:15" x14ac:dyDescent="0.25">
      <c r="A571" s="10" t="s">
        <v>1280</v>
      </c>
      <c r="B571" s="15">
        <v>278.58</v>
      </c>
      <c r="C571" s="15">
        <v>162.44</v>
      </c>
      <c r="D571" s="15">
        <v>301.02999999999997</v>
      </c>
      <c r="E571" s="15">
        <v>303.14999999999998</v>
      </c>
      <c r="F571" s="15">
        <v>299.73</v>
      </c>
      <c r="G571" s="15">
        <v>306.49</v>
      </c>
      <c r="H571" s="15">
        <v>306.49</v>
      </c>
      <c r="I571" s="15">
        <v>306.49</v>
      </c>
      <c r="J571" s="15">
        <v>306.49</v>
      </c>
      <c r="K571" s="15">
        <v>306.49</v>
      </c>
      <c r="L571" s="15">
        <v>306.49</v>
      </c>
      <c r="M571" s="15">
        <v>306.49</v>
      </c>
      <c r="N571" s="15">
        <v>306.49</v>
      </c>
      <c r="O571" t="s">
        <v>75</v>
      </c>
    </row>
    <row r="572" spans="1:15" x14ac:dyDescent="0.25">
      <c r="A572" s="10" t="s">
        <v>1282</v>
      </c>
      <c r="B572" s="15">
        <v>254.82</v>
      </c>
      <c r="C572" s="15">
        <v>433.84</v>
      </c>
      <c r="D572" s="15">
        <v>527.04999999999995</v>
      </c>
      <c r="E572" s="15">
        <v>480.45</v>
      </c>
      <c r="F572" s="15">
        <v>502.87</v>
      </c>
      <c r="G572" s="15">
        <v>480.45</v>
      </c>
      <c r="H572" s="15">
        <v>480.45</v>
      </c>
      <c r="I572" s="15">
        <v>480.45</v>
      </c>
      <c r="J572" s="15">
        <v>480.45</v>
      </c>
      <c r="K572" s="15">
        <v>480.45</v>
      </c>
      <c r="L572" s="15">
        <v>480.45</v>
      </c>
      <c r="M572" s="15">
        <v>1041.24</v>
      </c>
      <c r="N572" s="15">
        <v>482.32</v>
      </c>
      <c r="O572" t="s">
        <v>75</v>
      </c>
    </row>
    <row r="573" spans="1:15" x14ac:dyDescent="0.25">
      <c r="A573" s="10" t="s">
        <v>1284</v>
      </c>
      <c r="B573" s="15">
        <v>167.72</v>
      </c>
      <c r="C573" s="15">
        <v>140.56</v>
      </c>
      <c r="D573" s="15">
        <v>199</v>
      </c>
      <c r="E573" s="15">
        <v>199</v>
      </c>
      <c r="F573" s="15">
        <v>190.62</v>
      </c>
      <c r="G573" s="15">
        <v>192.25</v>
      </c>
      <c r="H573" s="15">
        <v>191.52</v>
      </c>
      <c r="I573" s="15">
        <v>199</v>
      </c>
      <c r="J573" s="15">
        <v>199</v>
      </c>
      <c r="K573" s="15">
        <v>199</v>
      </c>
      <c r="L573" s="15">
        <v>262.44</v>
      </c>
      <c r="M573" s="15">
        <v>197.07</v>
      </c>
      <c r="N573" s="15">
        <v>199.15</v>
      </c>
      <c r="O573" t="s">
        <v>75</v>
      </c>
    </row>
    <row r="574" spans="1:15" x14ac:dyDescent="0.25">
      <c r="A574" s="10" t="s">
        <v>1286</v>
      </c>
      <c r="B574" s="15">
        <v>513.01</v>
      </c>
      <c r="C574" s="15">
        <v>570.88</v>
      </c>
      <c r="D574" s="15">
        <v>570.88</v>
      </c>
      <c r="E574" s="15">
        <v>570.88</v>
      </c>
      <c r="F574" s="15">
        <v>570.88</v>
      </c>
      <c r="G574" s="15">
        <v>570.88</v>
      </c>
      <c r="H574" s="15">
        <v>1141.76</v>
      </c>
      <c r="I574" s="15">
        <v>570.88</v>
      </c>
      <c r="J574" s="15">
        <v>0</v>
      </c>
      <c r="K574" s="15">
        <v>570.88</v>
      </c>
      <c r="L574" s="15">
        <v>570.88</v>
      </c>
      <c r="M574" s="15">
        <v>570.88</v>
      </c>
      <c r="N574" s="15">
        <v>570.88</v>
      </c>
      <c r="O574" t="s">
        <v>75</v>
      </c>
    </row>
    <row r="575" spans="1:15" x14ac:dyDescent="0.25">
      <c r="A575" s="10" t="s">
        <v>1288</v>
      </c>
      <c r="B575" s="15">
        <v>0</v>
      </c>
      <c r="C575" s="15">
        <v>570.88</v>
      </c>
      <c r="D575" s="15">
        <v>570.88</v>
      </c>
      <c r="E575" s="15">
        <v>570.88</v>
      </c>
      <c r="F575" s="15">
        <v>570.88</v>
      </c>
      <c r="G575" s="15">
        <v>570.88</v>
      </c>
      <c r="H575" s="15">
        <v>570.88</v>
      </c>
      <c r="I575" s="15">
        <v>570.88</v>
      </c>
      <c r="J575" s="15">
        <v>570.88</v>
      </c>
      <c r="K575" s="15">
        <v>570.88</v>
      </c>
      <c r="L575" s="15">
        <v>1141.76</v>
      </c>
      <c r="M575" s="15">
        <v>570.88</v>
      </c>
      <c r="N575" s="15">
        <v>570.88</v>
      </c>
      <c r="O575" t="s">
        <v>75</v>
      </c>
    </row>
    <row r="576" spans="1:15" x14ac:dyDescent="0.25">
      <c r="A576" s="10" t="s">
        <v>1290</v>
      </c>
      <c r="B576" s="15">
        <v>513.01</v>
      </c>
      <c r="C576" s="15">
        <v>570.88</v>
      </c>
      <c r="D576" s="15">
        <v>570.88</v>
      </c>
      <c r="E576" s="15">
        <v>570.88</v>
      </c>
      <c r="F576" s="15">
        <v>790.38</v>
      </c>
      <c r="G576" s="15">
        <v>351.38</v>
      </c>
      <c r="H576" s="15">
        <v>570.88</v>
      </c>
      <c r="I576" s="15">
        <v>570.88</v>
      </c>
      <c r="J576" s="15">
        <v>570.88</v>
      </c>
      <c r="K576" s="15">
        <v>1100.1300000000001</v>
      </c>
      <c r="L576" s="15">
        <v>61.14</v>
      </c>
      <c r="M576" s="15">
        <v>551.37</v>
      </c>
      <c r="N576" s="15">
        <v>570.88</v>
      </c>
      <c r="O576" t="s">
        <v>75</v>
      </c>
    </row>
    <row r="577" spans="1:15" x14ac:dyDescent="0.25">
      <c r="A577" s="10" t="s">
        <v>1292</v>
      </c>
      <c r="B577" s="15">
        <v>0</v>
      </c>
      <c r="C577" s="15">
        <v>0</v>
      </c>
      <c r="D577" s="15">
        <v>165.44</v>
      </c>
      <c r="E577" s="15">
        <v>183.82</v>
      </c>
      <c r="F577" s="15">
        <v>193.54</v>
      </c>
      <c r="G577" s="15">
        <v>183.82</v>
      </c>
      <c r="H577" s="15">
        <v>183.82</v>
      </c>
      <c r="I577" s="15">
        <v>183.82</v>
      </c>
      <c r="J577" s="15">
        <v>183.82</v>
      </c>
      <c r="K577" s="15">
        <v>183.82</v>
      </c>
      <c r="L577" s="15">
        <v>183.82</v>
      </c>
      <c r="M577" s="15">
        <v>183.82</v>
      </c>
      <c r="N577" s="15">
        <v>169.39</v>
      </c>
      <c r="O577" t="s">
        <v>75</v>
      </c>
    </row>
    <row r="578" spans="1:15" x14ac:dyDescent="0.25">
      <c r="A578" s="10" t="s">
        <v>1294</v>
      </c>
      <c r="B578" s="15">
        <v>57.03</v>
      </c>
      <c r="C578" s="15">
        <v>88.34</v>
      </c>
      <c r="D578" s="15">
        <v>86.63</v>
      </c>
      <c r="E578" s="15">
        <v>86.63</v>
      </c>
      <c r="F578" s="15">
        <v>78.709999999999994</v>
      </c>
      <c r="G578" s="15">
        <v>86.63</v>
      </c>
      <c r="H578" s="15">
        <v>86.13</v>
      </c>
      <c r="I578" s="15">
        <v>85.54</v>
      </c>
      <c r="J578" s="15">
        <v>86.63</v>
      </c>
      <c r="K578" s="15">
        <v>86.63</v>
      </c>
      <c r="L578" s="15">
        <v>86.63</v>
      </c>
      <c r="M578" s="15">
        <v>83.49</v>
      </c>
      <c r="N578" s="15">
        <v>86.77</v>
      </c>
      <c r="O578" t="s">
        <v>75</v>
      </c>
    </row>
    <row r="579" spans="1:15" x14ac:dyDescent="0.25">
      <c r="A579" s="10" t="s">
        <v>1296</v>
      </c>
      <c r="B579" s="15">
        <v>513.01</v>
      </c>
      <c r="C579" s="15">
        <v>570.88</v>
      </c>
      <c r="D579" s="15">
        <v>570.88</v>
      </c>
      <c r="E579" s="15">
        <v>570.88</v>
      </c>
      <c r="F579" s="15">
        <v>570.88</v>
      </c>
      <c r="G579" s="15">
        <v>570.88</v>
      </c>
      <c r="H579" s="15">
        <v>570.88</v>
      </c>
      <c r="I579" s="15">
        <v>570.88</v>
      </c>
      <c r="J579" s="15">
        <v>570.88</v>
      </c>
      <c r="K579" s="15">
        <v>1141.76</v>
      </c>
      <c r="L579" s="15">
        <v>0</v>
      </c>
      <c r="M579" s="15">
        <v>570.88</v>
      </c>
      <c r="N579" s="15">
        <v>570.88</v>
      </c>
      <c r="O579" t="s">
        <v>75</v>
      </c>
    </row>
    <row r="580" spans="1:15" x14ac:dyDescent="0.25">
      <c r="A580" s="10" t="s">
        <v>1298</v>
      </c>
      <c r="B580" s="15">
        <v>273.51</v>
      </c>
      <c r="C580" s="15">
        <v>248.71</v>
      </c>
      <c r="D580" s="15">
        <v>294.75</v>
      </c>
      <c r="E580" s="15">
        <v>294.75</v>
      </c>
      <c r="F580" s="15">
        <v>294.75</v>
      </c>
      <c r="G580" s="15">
        <v>412.87</v>
      </c>
      <c r="H580" s="15">
        <v>294.75</v>
      </c>
      <c r="I580" s="15">
        <v>294.75</v>
      </c>
      <c r="J580" s="15">
        <v>570.88</v>
      </c>
      <c r="K580" s="15">
        <v>294.75</v>
      </c>
      <c r="L580" s="15">
        <v>294.75</v>
      </c>
      <c r="M580" s="15">
        <v>294.75</v>
      </c>
      <c r="N580" s="15">
        <v>354.87</v>
      </c>
      <c r="O580" t="s">
        <v>75</v>
      </c>
    </row>
    <row r="581" spans="1:15" x14ac:dyDescent="0.25">
      <c r="A581" s="10" t="s">
        <v>1300</v>
      </c>
      <c r="B581" s="15">
        <v>513.01</v>
      </c>
      <c r="C581" s="15">
        <v>570.88</v>
      </c>
      <c r="D581" s="15">
        <v>570.88</v>
      </c>
      <c r="E581" s="15">
        <v>570.88</v>
      </c>
      <c r="F581" s="15">
        <v>570.88</v>
      </c>
      <c r="G581" s="15">
        <v>570.88</v>
      </c>
      <c r="H581" s="15">
        <v>570.88</v>
      </c>
      <c r="I581" s="15">
        <v>1141.76</v>
      </c>
      <c r="J581" s="15">
        <v>570.88</v>
      </c>
      <c r="K581" s="15">
        <v>0</v>
      </c>
      <c r="L581" s="15">
        <v>570.88</v>
      </c>
      <c r="M581" s="15">
        <v>570.88</v>
      </c>
      <c r="N581" s="15">
        <v>570.88</v>
      </c>
      <c r="O581" t="s">
        <v>75</v>
      </c>
    </row>
    <row r="582" spans="1:15" x14ac:dyDescent="0.25">
      <c r="A582" s="10" t="s">
        <v>1302</v>
      </c>
      <c r="B582" s="15">
        <v>0</v>
      </c>
      <c r="C582" s="15">
        <v>0</v>
      </c>
      <c r="D582" s="15">
        <v>0</v>
      </c>
      <c r="E582" s="15">
        <v>0</v>
      </c>
      <c r="F582" s="15">
        <v>0</v>
      </c>
      <c r="G582" s="15">
        <v>0</v>
      </c>
      <c r="H582" s="15">
        <v>0</v>
      </c>
      <c r="I582" s="15">
        <v>0</v>
      </c>
      <c r="J582" s="15">
        <v>0</v>
      </c>
      <c r="K582" s="15">
        <v>0</v>
      </c>
      <c r="L582" s="15">
        <v>0</v>
      </c>
      <c r="M582" s="15">
        <v>0</v>
      </c>
      <c r="N582" s="15">
        <v>7.22</v>
      </c>
      <c r="O582" t="s">
        <v>75</v>
      </c>
    </row>
    <row r="583" spans="1:15" x14ac:dyDescent="0.25">
      <c r="A583" s="10" t="s">
        <v>1304</v>
      </c>
      <c r="B583" s="15">
        <v>511.89</v>
      </c>
      <c r="C583" s="15">
        <v>570.88</v>
      </c>
      <c r="D583" s="15">
        <v>523.35</v>
      </c>
      <c r="E583" s="15">
        <v>570.36</v>
      </c>
      <c r="F583" s="15">
        <v>540.94000000000005</v>
      </c>
      <c r="G583" s="15">
        <v>525.53</v>
      </c>
      <c r="H583" s="15">
        <v>536.97</v>
      </c>
      <c r="I583" s="15">
        <v>533.82000000000005</v>
      </c>
      <c r="J583" s="15">
        <v>557.17999999999995</v>
      </c>
      <c r="K583" s="15">
        <v>1087.77</v>
      </c>
      <c r="L583" s="15">
        <v>570.88</v>
      </c>
      <c r="M583" s="15">
        <v>53.99</v>
      </c>
      <c r="N583" s="15">
        <v>570.88</v>
      </c>
      <c r="O583" t="s">
        <v>75</v>
      </c>
    </row>
    <row r="584" spans="1:15" x14ac:dyDescent="0.25">
      <c r="A584" s="10" t="s">
        <v>1306</v>
      </c>
      <c r="B584" s="15">
        <v>0</v>
      </c>
      <c r="C584" s="15">
        <v>0</v>
      </c>
      <c r="D584" s="15">
        <v>0</v>
      </c>
      <c r="E584" s="15">
        <v>0</v>
      </c>
      <c r="F584" s="15">
        <v>37.54</v>
      </c>
      <c r="G584" s="15">
        <v>86.63</v>
      </c>
      <c r="H584" s="15">
        <v>86.63</v>
      </c>
      <c r="I584" s="15">
        <v>86.63</v>
      </c>
      <c r="J584" s="15">
        <v>86.63</v>
      </c>
      <c r="K584" s="15">
        <v>86.63</v>
      </c>
      <c r="L584" s="15">
        <v>86.63</v>
      </c>
      <c r="M584" s="15">
        <v>86.63</v>
      </c>
      <c r="N584" s="15">
        <v>57.75</v>
      </c>
      <c r="O584" t="s">
        <v>75</v>
      </c>
    </row>
    <row r="585" spans="1:15" x14ac:dyDescent="0.25">
      <c r="A585" s="10" t="s">
        <v>1308</v>
      </c>
      <c r="B585" s="15">
        <v>513.01</v>
      </c>
      <c r="C585" s="15">
        <v>78.22</v>
      </c>
      <c r="D585" s="15">
        <v>558.19000000000005</v>
      </c>
      <c r="E585" s="15">
        <v>558.19000000000005</v>
      </c>
      <c r="F585" s="15">
        <v>546.79999999999995</v>
      </c>
      <c r="G585" s="15">
        <v>558.19000000000005</v>
      </c>
      <c r="H585" s="15">
        <v>552.89</v>
      </c>
      <c r="I585" s="15">
        <v>558.19000000000005</v>
      </c>
      <c r="J585" s="15">
        <v>570.88</v>
      </c>
      <c r="K585" s="15">
        <v>570.88</v>
      </c>
      <c r="L585" s="15">
        <v>558.19000000000005</v>
      </c>
      <c r="M585" s="15">
        <v>558.19000000000005</v>
      </c>
      <c r="N585" s="15">
        <v>570.88</v>
      </c>
      <c r="O585" t="s">
        <v>75</v>
      </c>
    </row>
    <row r="586" spans="1:15" x14ac:dyDescent="0.25">
      <c r="A586" s="10" t="s">
        <v>1310</v>
      </c>
      <c r="B586" s="15">
        <v>513.01</v>
      </c>
      <c r="C586" s="15">
        <v>570.88</v>
      </c>
      <c r="D586" s="15">
        <v>570.88</v>
      </c>
      <c r="E586" s="15">
        <v>570.88</v>
      </c>
      <c r="F586" s="15">
        <v>570.88</v>
      </c>
      <c r="G586" s="15">
        <v>570.88</v>
      </c>
      <c r="H586" s="15">
        <v>570.88</v>
      </c>
      <c r="I586" s="15">
        <v>1141.76</v>
      </c>
      <c r="J586" s="15">
        <v>253.28</v>
      </c>
      <c r="K586" s="15">
        <v>317.60000000000002</v>
      </c>
      <c r="L586" s="15">
        <v>570.88</v>
      </c>
      <c r="M586" s="15">
        <v>570.88</v>
      </c>
      <c r="N586" s="15">
        <v>570.88</v>
      </c>
      <c r="O586" t="s">
        <v>75</v>
      </c>
    </row>
    <row r="587" spans="1:15" x14ac:dyDescent="0.25">
      <c r="A587" s="10" t="s">
        <v>1312</v>
      </c>
      <c r="B587" s="15">
        <v>134.27000000000001</v>
      </c>
      <c r="C587" s="15">
        <v>196.96</v>
      </c>
      <c r="D587" s="15">
        <v>149.25</v>
      </c>
      <c r="E587" s="15">
        <v>148.22</v>
      </c>
      <c r="F587" s="15">
        <v>199</v>
      </c>
      <c r="G587" s="15">
        <v>199</v>
      </c>
      <c r="H587" s="15">
        <v>379.42</v>
      </c>
      <c r="I587" s="15">
        <v>193.51</v>
      </c>
      <c r="J587" s="15">
        <v>48.84</v>
      </c>
      <c r="K587" s="15">
        <v>195.2</v>
      </c>
      <c r="L587" s="15">
        <v>197.24</v>
      </c>
      <c r="M587" s="15">
        <v>192.96</v>
      </c>
      <c r="N587" s="15">
        <v>202.97</v>
      </c>
      <c r="O587" t="s">
        <v>75</v>
      </c>
    </row>
    <row r="588" spans="1:15" x14ac:dyDescent="0.25">
      <c r="A588" s="10" t="s">
        <v>1314</v>
      </c>
      <c r="B588" s="15">
        <v>513.01</v>
      </c>
      <c r="C588" s="15">
        <v>570.88</v>
      </c>
      <c r="D588" s="15">
        <v>1111.77</v>
      </c>
      <c r="E588" s="15">
        <v>29.99</v>
      </c>
      <c r="F588" s="15">
        <v>570.88</v>
      </c>
      <c r="G588" s="15">
        <v>1141.76</v>
      </c>
      <c r="H588" s="15">
        <v>570.88</v>
      </c>
      <c r="I588" s="15">
        <v>0</v>
      </c>
      <c r="J588" s="15">
        <v>570.88</v>
      </c>
      <c r="K588" s="15">
        <v>570.88</v>
      </c>
      <c r="L588" s="15">
        <v>570.88</v>
      </c>
      <c r="M588" s="15">
        <v>1111.77</v>
      </c>
      <c r="N588" s="15">
        <v>570.88</v>
      </c>
      <c r="O588" t="s">
        <v>75</v>
      </c>
    </row>
    <row r="589" spans="1:15" x14ac:dyDescent="0.25">
      <c r="A589" s="10" t="s">
        <v>1316</v>
      </c>
      <c r="B589" s="15">
        <v>513.01</v>
      </c>
      <c r="C589" s="15">
        <v>57.87</v>
      </c>
      <c r="D589" s="15">
        <v>570.88</v>
      </c>
      <c r="E589" s="15">
        <v>570.88</v>
      </c>
      <c r="F589" s="15">
        <v>570.88</v>
      </c>
      <c r="G589" s="15">
        <v>570.88</v>
      </c>
      <c r="H589" s="15">
        <v>570.88</v>
      </c>
      <c r="I589" s="15">
        <v>570.88</v>
      </c>
      <c r="J589" s="15">
        <v>570.88</v>
      </c>
      <c r="K589" s="15">
        <v>570.88</v>
      </c>
      <c r="L589" s="15">
        <v>570.88</v>
      </c>
      <c r="M589" s="15">
        <v>1141.76</v>
      </c>
      <c r="N589" s="15">
        <v>570.88</v>
      </c>
      <c r="O589" t="s">
        <v>75</v>
      </c>
    </row>
    <row r="590" spans="1:15" x14ac:dyDescent="0.25">
      <c r="A590" s="10" t="s">
        <v>1318</v>
      </c>
      <c r="B590" s="15">
        <v>341.89</v>
      </c>
      <c r="C590" s="15">
        <v>384.22</v>
      </c>
      <c r="D590" s="15">
        <v>382.59</v>
      </c>
      <c r="E590" s="15">
        <v>570.88</v>
      </c>
      <c r="F590" s="15">
        <v>382.59</v>
      </c>
      <c r="G590" s="15">
        <v>382.59</v>
      </c>
      <c r="H590" s="15">
        <v>382.59</v>
      </c>
      <c r="I590" s="15">
        <v>382.59</v>
      </c>
      <c r="J590" s="15">
        <v>914.96</v>
      </c>
      <c r="K590" s="15">
        <v>382.59</v>
      </c>
      <c r="L590" s="15">
        <v>12.76</v>
      </c>
      <c r="M590" s="15">
        <v>374.97</v>
      </c>
      <c r="N590" s="15">
        <v>423.29</v>
      </c>
      <c r="O590" t="s">
        <v>75</v>
      </c>
    </row>
    <row r="591" spans="1:15" x14ac:dyDescent="0.25">
      <c r="A591" s="10" t="s">
        <v>1320</v>
      </c>
      <c r="B591" s="15">
        <v>0</v>
      </c>
      <c r="C591" s="15">
        <v>0</v>
      </c>
      <c r="D591" s="15">
        <v>0</v>
      </c>
      <c r="E591" s="15">
        <v>0</v>
      </c>
      <c r="F591" s="15">
        <v>0</v>
      </c>
      <c r="G591" s="15">
        <v>0</v>
      </c>
      <c r="H591" s="15">
        <v>74.95</v>
      </c>
      <c r="I591" s="15">
        <v>74.95</v>
      </c>
      <c r="J591" s="15">
        <v>74.92</v>
      </c>
      <c r="K591" s="15">
        <v>74.95</v>
      </c>
      <c r="L591" s="15">
        <v>74.95</v>
      </c>
      <c r="M591" s="15">
        <v>74.95</v>
      </c>
      <c r="N591" s="15">
        <v>43.72</v>
      </c>
      <c r="O591" t="s">
        <v>75</v>
      </c>
    </row>
    <row r="592" spans="1:15" x14ac:dyDescent="0.25">
      <c r="A592" s="10" t="s">
        <v>1322</v>
      </c>
      <c r="B592" s="15">
        <v>172.94</v>
      </c>
      <c r="C592" s="15">
        <v>210.41</v>
      </c>
      <c r="D592" s="15">
        <v>349.18</v>
      </c>
      <c r="E592" s="15">
        <v>183.82</v>
      </c>
      <c r="F592" s="15">
        <v>169.86</v>
      </c>
      <c r="G592" s="15">
        <v>183.82</v>
      </c>
      <c r="H592" s="15">
        <v>182.66</v>
      </c>
      <c r="I592" s="15">
        <v>183.82</v>
      </c>
      <c r="J592" s="15">
        <v>183.82</v>
      </c>
      <c r="K592" s="15">
        <v>183.82</v>
      </c>
      <c r="L592" s="15">
        <v>183.82</v>
      </c>
      <c r="M592" s="15">
        <v>183.82</v>
      </c>
      <c r="N592" s="15">
        <v>190</v>
      </c>
      <c r="O592" t="s">
        <v>75</v>
      </c>
    </row>
    <row r="593" spans="1:15" x14ac:dyDescent="0.25">
      <c r="A593" s="10" t="s">
        <v>1324</v>
      </c>
      <c r="B593" s="15">
        <v>513.01</v>
      </c>
      <c r="C593" s="15">
        <v>81.25</v>
      </c>
      <c r="D593" s="15">
        <v>570.88</v>
      </c>
      <c r="E593" s="15">
        <v>570.88</v>
      </c>
      <c r="F593" s="15">
        <v>570.88</v>
      </c>
      <c r="G593" s="15">
        <v>570.88</v>
      </c>
      <c r="H593" s="15">
        <v>1141.76</v>
      </c>
      <c r="I593" s="15">
        <v>0</v>
      </c>
      <c r="J593" s="15">
        <v>570.88</v>
      </c>
      <c r="K593" s="15">
        <v>570.88</v>
      </c>
      <c r="L593" s="15">
        <v>570.88</v>
      </c>
      <c r="M593" s="15">
        <v>1118.45</v>
      </c>
      <c r="N593" s="15">
        <v>570.88</v>
      </c>
      <c r="O593" t="s">
        <v>75</v>
      </c>
    </row>
    <row r="594" spans="1:15" x14ac:dyDescent="0.25">
      <c r="A594" s="10" t="s">
        <v>1326</v>
      </c>
      <c r="B594" s="15">
        <v>179.03</v>
      </c>
      <c r="C594" s="15">
        <v>200.49</v>
      </c>
      <c r="D594" s="15">
        <v>199</v>
      </c>
      <c r="E594" s="15">
        <v>199</v>
      </c>
      <c r="F594" s="15">
        <v>199</v>
      </c>
      <c r="G594" s="15">
        <v>375.94</v>
      </c>
      <c r="H594" s="15">
        <v>199</v>
      </c>
      <c r="I594" s="15">
        <v>120.42</v>
      </c>
      <c r="J594" s="15">
        <v>199</v>
      </c>
      <c r="K594" s="15">
        <v>199</v>
      </c>
      <c r="L594" s="15">
        <v>199</v>
      </c>
      <c r="M594" s="15">
        <v>199</v>
      </c>
      <c r="N594" s="15">
        <v>199.12</v>
      </c>
      <c r="O594" t="s">
        <v>75</v>
      </c>
    </row>
    <row r="595" spans="1:15" x14ac:dyDescent="0.25">
      <c r="A595" s="10" t="s">
        <v>1328</v>
      </c>
      <c r="B595" s="15">
        <v>179.03</v>
      </c>
      <c r="C595" s="15">
        <v>197.26</v>
      </c>
      <c r="D595" s="15">
        <v>316.92</v>
      </c>
      <c r="E595" s="15">
        <v>199</v>
      </c>
      <c r="F595" s="15">
        <v>114.24</v>
      </c>
      <c r="G595" s="15">
        <v>199</v>
      </c>
      <c r="H595" s="15">
        <v>199</v>
      </c>
      <c r="I595" s="15">
        <v>199</v>
      </c>
      <c r="J595" s="15">
        <v>199</v>
      </c>
      <c r="K595" s="15">
        <v>316.35000000000002</v>
      </c>
      <c r="L595" s="15">
        <v>114.24</v>
      </c>
      <c r="M595" s="15">
        <v>199</v>
      </c>
      <c r="N595" s="15">
        <v>199</v>
      </c>
      <c r="O595" t="s">
        <v>75</v>
      </c>
    </row>
    <row r="596" spans="1:15" x14ac:dyDescent="0.25">
      <c r="A596" s="10" t="s">
        <v>1330</v>
      </c>
      <c r="B596" s="15">
        <v>1026.02</v>
      </c>
      <c r="C596" s="15">
        <v>329.06</v>
      </c>
      <c r="D596" s="15">
        <v>299.69</v>
      </c>
      <c r="E596" s="15">
        <v>570.88</v>
      </c>
      <c r="F596" s="15">
        <v>570.88</v>
      </c>
      <c r="G596" s="15">
        <v>570.88</v>
      </c>
      <c r="H596" s="15">
        <v>570.88</v>
      </c>
      <c r="I596" s="15">
        <v>570.88</v>
      </c>
      <c r="J596" s="15">
        <v>570.88</v>
      </c>
      <c r="K596" s="15">
        <v>570.88</v>
      </c>
      <c r="L596" s="15">
        <v>570.88</v>
      </c>
      <c r="M596" s="15">
        <v>570.88</v>
      </c>
      <c r="N596" s="15">
        <v>570.88</v>
      </c>
      <c r="O596" t="s">
        <v>75</v>
      </c>
    </row>
    <row r="597" spans="1:15" x14ac:dyDescent="0.25">
      <c r="A597" s="10" t="s">
        <v>1332</v>
      </c>
      <c r="B597" s="15">
        <v>273.52</v>
      </c>
      <c r="C597" s="15">
        <v>712.79</v>
      </c>
      <c r="D597" s="15">
        <v>294.75</v>
      </c>
      <c r="E597" s="15">
        <v>148.88</v>
      </c>
      <c r="F597" s="15">
        <v>294.75</v>
      </c>
      <c r="G597" s="15">
        <v>294.75</v>
      </c>
      <c r="H597" s="15">
        <v>294.75</v>
      </c>
      <c r="I597" s="15">
        <v>294.75</v>
      </c>
      <c r="J597" s="15">
        <v>294.75</v>
      </c>
      <c r="K597" s="15">
        <v>294.75</v>
      </c>
      <c r="L597" s="15">
        <v>294.75</v>
      </c>
      <c r="M597" s="15">
        <v>294.75</v>
      </c>
      <c r="N597" s="15">
        <v>310.60000000000002</v>
      </c>
      <c r="O597" t="s">
        <v>75</v>
      </c>
    </row>
    <row r="598" spans="1:15" x14ac:dyDescent="0.25">
      <c r="A598" s="10" t="s">
        <v>1334</v>
      </c>
      <c r="B598" s="15">
        <v>513.01</v>
      </c>
      <c r="C598" s="15">
        <v>570.88</v>
      </c>
      <c r="D598" s="15">
        <v>570.88</v>
      </c>
      <c r="E598" s="15">
        <v>570.88</v>
      </c>
      <c r="F598" s="15">
        <v>570.88</v>
      </c>
      <c r="G598" s="15">
        <v>570.88</v>
      </c>
      <c r="H598" s="15">
        <v>570.88</v>
      </c>
      <c r="I598" s="15">
        <v>570.88</v>
      </c>
      <c r="J598" s="15">
        <v>570.88</v>
      </c>
      <c r="K598" s="15">
        <v>570.88</v>
      </c>
      <c r="L598" s="15">
        <v>1141.76</v>
      </c>
      <c r="M598" s="15">
        <v>453.94</v>
      </c>
      <c r="N598" s="15">
        <v>570.88</v>
      </c>
      <c r="O598" t="s">
        <v>75</v>
      </c>
    </row>
    <row r="599" spans="1:15" x14ac:dyDescent="0.25">
      <c r="A599" s="10" t="s">
        <v>1336</v>
      </c>
      <c r="B599" s="15">
        <v>411.19</v>
      </c>
      <c r="C599" s="15">
        <v>789.87</v>
      </c>
      <c r="D599" s="15">
        <v>216.02</v>
      </c>
      <c r="E599" s="15">
        <v>386.22</v>
      </c>
      <c r="F599" s="15">
        <v>432.03</v>
      </c>
      <c r="G599" s="15">
        <v>429.8</v>
      </c>
      <c r="H599" s="15">
        <v>432.03</v>
      </c>
      <c r="I599" s="15">
        <v>432.03</v>
      </c>
      <c r="J599" s="15">
        <v>432.03</v>
      </c>
      <c r="K599" s="15">
        <v>432.03</v>
      </c>
      <c r="L599" s="15">
        <v>432.03</v>
      </c>
      <c r="M599" s="15">
        <v>432.03</v>
      </c>
      <c r="N599" s="15">
        <v>432.03</v>
      </c>
      <c r="O599" t="s">
        <v>75</v>
      </c>
    </row>
    <row r="600" spans="1:15" x14ac:dyDescent="0.25">
      <c r="A600" s="10" t="s">
        <v>1338</v>
      </c>
      <c r="B600" s="15">
        <v>1083.8900000000001</v>
      </c>
      <c r="C600" s="15">
        <v>570.88</v>
      </c>
      <c r="D600" s="15">
        <v>0</v>
      </c>
      <c r="E600" s="15">
        <v>570.88</v>
      </c>
      <c r="F600" s="15">
        <v>570.88</v>
      </c>
      <c r="G600" s="15">
        <v>570.88</v>
      </c>
      <c r="H600" s="15">
        <v>570.88</v>
      </c>
      <c r="I600" s="15">
        <v>570.88</v>
      </c>
      <c r="J600" s="15">
        <v>570.88</v>
      </c>
      <c r="K600" s="15">
        <v>570.88</v>
      </c>
      <c r="L600" s="15">
        <v>570.88</v>
      </c>
      <c r="M600" s="15">
        <v>570.88</v>
      </c>
      <c r="N600" s="15">
        <v>570.88</v>
      </c>
      <c r="O600" t="s">
        <v>75</v>
      </c>
    </row>
    <row r="601" spans="1:15" x14ac:dyDescent="0.25">
      <c r="A601" s="10" t="s">
        <v>1340</v>
      </c>
      <c r="B601" s="15">
        <v>345.61</v>
      </c>
      <c r="C601" s="15">
        <v>570.88</v>
      </c>
      <c r="D601" s="15">
        <v>386.49</v>
      </c>
      <c r="E601" s="15">
        <v>570.88</v>
      </c>
      <c r="F601" s="15">
        <v>386.49</v>
      </c>
      <c r="G601" s="15">
        <v>386.49</v>
      </c>
      <c r="H601" s="15">
        <v>386.49</v>
      </c>
      <c r="I601" s="15">
        <v>929.73</v>
      </c>
      <c r="J601" s="15">
        <v>386.49</v>
      </c>
      <c r="K601" s="15">
        <v>141.55000000000001</v>
      </c>
      <c r="L601" s="15">
        <v>283.58999999999997</v>
      </c>
      <c r="M601" s="15">
        <v>386.49</v>
      </c>
      <c r="N601" s="15">
        <v>445.29</v>
      </c>
      <c r="O601" t="s">
        <v>75</v>
      </c>
    </row>
    <row r="602" spans="1:15" x14ac:dyDescent="0.25">
      <c r="A602" s="10" t="s">
        <v>1342</v>
      </c>
      <c r="B602" s="15">
        <v>513.01</v>
      </c>
      <c r="C602" s="15">
        <v>57.87</v>
      </c>
      <c r="D602" s="15">
        <v>570.88</v>
      </c>
      <c r="E602" s="15">
        <v>570.88</v>
      </c>
      <c r="F602" s="15">
        <v>570.88</v>
      </c>
      <c r="G602" s="15">
        <v>570.88</v>
      </c>
      <c r="H602" s="15">
        <v>570.88</v>
      </c>
      <c r="I602" s="15">
        <v>570.88</v>
      </c>
      <c r="J602" s="15">
        <v>570.88</v>
      </c>
      <c r="K602" s="15">
        <v>980.36</v>
      </c>
      <c r="L602" s="15">
        <v>258.7</v>
      </c>
      <c r="M602" s="15">
        <v>473.58</v>
      </c>
      <c r="N602" s="15">
        <v>570.88</v>
      </c>
      <c r="O602" t="s">
        <v>75</v>
      </c>
    </row>
    <row r="603" spans="1:15" x14ac:dyDescent="0.25">
      <c r="A603" s="10" t="s">
        <v>1344</v>
      </c>
      <c r="B603" s="15">
        <v>61.1</v>
      </c>
      <c r="C603" s="15">
        <v>71.47</v>
      </c>
      <c r="D603" s="15">
        <v>71.47</v>
      </c>
      <c r="E603" s="15">
        <v>71.47</v>
      </c>
      <c r="F603" s="15">
        <v>71.47</v>
      </c>
      <c r="G603" s="15">
        <v>71.47</v>
      </c>
      <c r="H603" s="15">
        <v>71.47</v>
      </c>
      <c r="I603" s="15">
        <v>166.76</v>
      </c>
      <c r="J603" s="15">
        <v>71.47</v>
      </c>
      <c r="K603" s="15">
        <v>9.5299999999999994</v>
      </c>
      <c r="L603" s="15">
        <v>61.95</v>
      </c>
      <c r="M603" s="15">
        <v>71.47</v>
      </c>
      <c r="N603" s="15">
        <v>71.47</v>
      </c>
      <c r="O603" t="s">
        <v>75</v>
      </c>
    </row>
    <row r="604" spans="1:15" x14ac:dyDescent="0.25">
      <c r="A604" s="10" t="s">
        <v>1346</v>
      </c>
      <c r="B604" s="15">
        <v>186.19</v>
      </c>
      <c r="C604" s="15">
        <v>388.37</v>
      </c>
      <c r="D604" s="15">
        <v>199</v>
      </c>
      <c r="E604" s="15">
        <v>199</v>
      </c>
      <c r="F604" s="15">
        <v>313.02999999999997</v>
      </c>
      <c r="G604" s="15">
        <v>199</v>
      </c>
      <c r="H604" s="15">
        <v>534.27</v>
      </c>
      <c r="I604" s="15">
        <v>199</v>
      </c>
      <c r="J604" s="15">
        <v>8.11</v>
      </c>
      <c r="K604" s="15">
        <v>193.39</v>
      </c>
      <c r="L604" s="15">
        <v>199</v>
      </c>
      <c r="M604" s="15">
        <v>199</v>
      </c>
      <c r="N604" s="15">
        <v>213.65</v>
      </c>
      <c r="O604" t="s">
        <v>75</v>
      </c>
    </row>
    <row r="605" spans="1:15" x14ac:dyDescent="0.25">
      <c r="A605" s="10" t="s">
        <v>1348</v>
      </c>
      <c r="B605" s="15">
        <v>147.41999999999999</v>
      </c>
      <c r="C605" s="15">
        <v>0</v>
      </c>
      <c r="D605" s="15">
        <v>0</v>
      </c>
      <c r="E605" s="15">
        <v>0</v>
      </c>
      <c r="F605" s="15">
        <v>0</v>
      </c>
      <c r="G605" s="15">
        <v>0</v>
      </c>
      <c r="H605" s="15">
        <v>0</v>
      </c>
      <c r="I605" s="15">
        <v>0</v>
      </c>
      <c r="J605" s="15">
        <v>0</v>
      </c>
      <c r="K605" s="15">
        <v>0</v>
      </c>
      <c r="L605" s="15">
        <v>0</v>
      </c>
      <c r="M605" s="15">
        <v>0</v>
      </c>
      <c r="N605" s="15">
        <v>11.91</v>
      </c>
      <c r="O605" t="s">
        <v>75</v>
      </c>
    </row>
    <row r="606" spans="1:15" x14ac:dyDescent="0.25">
      <c r="A606" s="10" t="s">
        <v>1350</v>
      </c>
      <c r="B606" s="15">
        <v>1026.02</v>
      </c>
      <c r="C606" s="15">
        <v>57.87</v>
      </c>
      <c r="D606" s="15">
        <v>570.88</v>
      </c>
      <c r="E606" s="15">
        <v>570.88</v>
      </c>
      <c r="F606" s="15">
        <v>570.88</v>
      </c>
      <c r="G606" s="15">
        <v>570.88</v>
      </c>
      <c r="H606" s="15">
        <v>570.88</v>
      </c>
      <c r="I606" s="15">
        <v>570.88</v>
      </c>
      <c r="J606" s="15">
        <v>570.88</v>
      </c>
      <c r="K606" s="15">
        <v>570.88</v>
      </c>
      <c r="L606" s="15">
        <v>570.88</v>
      </c>
      <c r="M606" s="15">
        <v>570.88</v>
      </c>
      <c r="N606" s="15">
        <v>570.88</v>
      </c>
      <c r="O606" t="s">
        <v>75</v>
      </c>
    </row>
    <row r="607" spans="1:15" x14ac:dyDescent="0.25">
      <c r="A607" s="10" t="s">
        <v>1352</v>
      </c>
      <c r="B607" s="15">
        <v>513.01</v>
      </c>
      <c r="C607" s="15">
        <v>57.87</v>
      </c>
      <c r="D607" s="15">
        <v>570.88</v>
      </c>
      <c r="E607" s="15">
        <v>570.88</v>
      </c>
      <c r="F607" s="15">
        <v>570.88</v>
      </c>
      <c r="G607" s="15">
        <v>570.88</v>
      </c>
      <c r="H607" s="15">
        <v>570.88</v>
      </c>
      <c r="I607" s="15">
        <v>570.88</v>
      </c>
      <c r="J607" s="15">
        <v>570.88</v>
      </c>
      <c r="K607" s="15">
        <v>570.88</v>
      </c>
      <c r="L607" s="15">
        <v>570.88</v>
      </c>
      <c r="M607" s="15">
        <v>1141.76</v>
      </c>
      <c r="N607" s="15">
        <v>570.88</v>
      </c>
      <c r="O607" t="s">
        <v>75</v>
      </c>
    </row>
    <row r="608" spans="1:15" x14ac:dyDescent="0.25">
      <c r="A608" s="10" t="s">
        <v>1354</v>
      </c>
      <c r="B608" s="15">
        <v>172.93</v>
      </c>
      <c r="C608" s="15">
        <v>293.56</v>
      </c>
      <c r="D608" s="15">
        <v>434.69</v>
      </c>
      <c r="E608" s="15">
        <v>183.82</v>
      </c>
      <c r="F608" s="15">
        <v>119.01</v>
      </c>
      <c r="G608" s="15">
        <v>168.26</v>
      </c>
      <c r="H608" s="15">
        <v>183.82</v>
      </c>
      <c r="I608" s="15">
        <v>183.82</v>
      </c>
      <c r="J608" s="15">
        <v>183.82</v>
      </c>
      <c r="K608" s="15">
        <v>183.82</v>
      </c>
      <c r="L608" s="15">
        <v>183.82</v>
      </c>
      <c r="M608" s="15">
        <v>183.82</v>
      </c>
      <c r="N608" s="15">
        <v>191.64</v>
      </c>
      <c r="O608" t="s">
        <v>75</v>
      </c>
    </row>
    <row r="609" spans="1:15" x14ac:dyDescent="0.25">
      <c r="A609" s="10" t="s">
        <v>1356</v>
      </c>
      <c r="B609" s="15">
        <v>355.24</v>
      </c>
      <c r="C609" s="15">
        <v>201.81</v>
      </c>
      <c r="D609" s="15">
        <v>126.59</v>
      </c>
      <c r="E609" s="15">
        <v>193.36</v>
      </c>
      <c r="F609" s="15">
        <v>199</v>
      </c>
      <c r="G609" s="15">
        <v>199</v>
      </c>
      <c r="H609" s="15">
        <v>199</v>
      </c>
      <c r="I609" s="15">
        <v>199</v>
      </c>
      <c r="J609" s="15">
        <v>199</v>
      </c>
      <c r="K609" s="15">
        <v>593.64</v>
      </c>
      <c r="L609" s="15">
        <v>0</v>
      </c>
      <c r="M609" s="15">
        <v>0</v>
      </c>
      <c r="N609" s="15">
        <v>184.12</v>
      </c>
      <c r="O609" t="s">
        <v>75</v>
      </c>
    </row>
    <row r="610" spans="1:15" x14ac:dyDescent="0.25">
      <c r="A610" s="10" t="s">
        <v>1358</v>
      </c>
      <c r="B610" s="15">
        <v>275.57</v>
      </c>
      <c r="C610" s="15">
        <v>295.7</v>
      </c>
      <c r="D610" s="15">
        <v>294.23</v>
      </c>
      <c r="E610" s="15">
        <v>294.23</v>
      </c>
      <c r="F610" s="15">
        <v>686.7</v>
      </c>
      <c r="G610" s="15">
        <v>294.23</v>
      </c>
      <c r="H610" s="15">
        <v>0</v>
      </c>
      <c r="I610" s="15">
        <v>294.23</v>
      </c>
      <c r="J610" s="15">
        <v>294.23</v>
      </c>
      <c r="K610" s="15">
        <v>294.23</v>
      </c>
      <c r="L610" s="15">
        <v>294.23</v>
      </c>
      <c r="M610" s="15">
        <v>294.23</v>
      </c>
      <c r="N610" s="15">
        <v>294.35000000000002</v>
      </c>
      <c r="O610" t="s">
        <v>75</v>
      </c>
    </row>
    <row r="611" spans="1:15" x14ac:dyDescent="0.25">
      <c r="A611" s="10" t="s">
        <v>1360</v>
      </c>
      <c r="B611" s="15">
        <v>179.03</v>
      </c>
      <c r="C611" s="15">
        <v>201.78</v>
      </c>
      <c r="D611" s="15">
        <v>199</v>
      </c>
      <c r="E611" s="15">
        <v>198.98</v>
      </c>
      <c r="F611" s="15">
        <v>189.84</v>
      </c>
      <c r="G611" s="15">
        <v>199</v>
      </c>
      <c r="H611" s="15">
        <v>199</v>
      </c>
      <c r="I611" s="15">
        <v>205.63</v>
      </c>
      <c r="J611" s="15">
        <v>205.63</v>
      </c>
      <c r="K611" s="15">
        <v>199</v>
      </c>
      <c r="L611" s="15">
        <v>464.38</v>
      </c>
      <c r="M611" s="15">
        <v>155.34</v>
      </c>
      <c r="N611" s="15">
        <v>199.23</v>
      </c>
      <c r="O611" t="s">
        <v>75</v>
      </c>
    </row>
    <row r="612" spans="1:15" x14ac:dyDescent="0.25">
      <c r="A612" s="10" t="s">
        <v>1364</v>
      </c>
      <c r="B612" s="15">
        <v>513.01</v>
      </c>
      <c r="C612" s="15">
        <v>152.78</v>
      </c>
      <c r="D612" s="15">
        <v>570.88</v>
      </c>
      <c r="E612" s="15">
        <v>570.88</v>
      </c>
      <c r="F612" s="15">
        <v>570.88</v>
      </c>
      <c r="G612" s="15">
        <v>1001.9</v>
      </c>
      <c r="H612" s="15">
        <v>161.13999999999999</v>
      </c>
      <c r="I612" s="15">
        <v>549.6</v>
      </c>
      <c r="J612" s="15">
        <v>570.88</v>
      </c>
      <c r="K612" s="15">
        <v>570.88</v>
      </c>
      <c r="L612" s="15">
        <v>570.88</v>
      </c>
      <c r="M612" s="15">
        <v>570.88</v>
      </c>
      <c r="N612" s="15">
        <v>570.88</v>
      </c>
      <c r="O612" t="s">
        <v>75</v>
      </c>
    </row>
    <row r="613" spans="1:15" x14ac:dyDescent="0.25">
      <c r="A613" s="10" t="s">
        <v>1366</v>
      </c>
      <c r="B613" s="15">
        <v>172.94</v>
      </c>
      <c r="C613" s="15">
        <v>71.59</v>
      </c>
      <c r="D613" s="15">
        <v>183.82</v>
      </c>
      <c r="E613" s="15">
        <v>183.82</v>
      </c>
      <c r="F613" s="15">
        <v>186.88</v>
      </c>
      <c r="G613" s="15">
        <v>183.82</v>
      </c>
      <c r="H613" s="15">
        <v>183.82</v>
      </c>
      <c r="I613" s="15">
        <v>183.82</v>
      </c>
      <c r="J613" s="15">
        <v>183.82</v>
      </c>
      <c r="K613" s="15">
        <v>183.82</v>
      </c>
      <c r="L613" s="15">
        <v>183.82</v>
      </c>
      <c r="M613" s="15">
        <v>183.82</v>
      </c>
      <c r="N613" s="15">
        <v>184.13</v>
      </c>
      <c r="O613" t="s">
        <v>75</v>
      </c>
    </row>
    <row r="614" spans="1:15" x14ac:dyDescent="0.25">
      <c r="A614" s="10" t="s">
        <v>1368</v>
      </c>
      <c r="B614" s="15">
        <v>513.01</v>
      </c>
      <c r="C614" s="15">
        <v>570.88</v>
      </c>
      <c r="D614" s="15">
        <v>570.88</v>
      </c>
      <c r="E614" s="15">
        <v>570.88</v>
      </c>
      <c r="F614" s="15">
        <v>570.88</v>
      </c>
      <c r="G614" s="15">
        <v>570.88</v>
      </c>
      <c r="H614" s="15">
        <v>570.88</v>
      </c>
      <c r="I614" s="15">
        <v>570.88</v>
      </c>
      <c r="J614" s="15">
        <v>1141.76</v>
      </c>
      <c r="K614" s="15">
        <v>0</v>
      </c>
      <c r="L614" s="15">
        <v>570.88</v>
      </c>
      <c r="M614" s="15">
        <v>570.88</v>
      </c>
      <c r="N614" s="15">
        <v>570.88</v>
      </c>
      <c r="O614" t="s">
        <v>75</v>
      </c>
    </row>
    <row r="615" spans="1:15" x14ac:dyDescent="0.25">
      <c r="A615" s="10" t="s">
        <v>1370</v>
      </c>
      <c r="B615" s="15">
        <v>513.01</v>
      </c>
      <c r="C615" s="15">
        <v>570.88</v>
      </c>
      <c r="D615" s="15">
        <v>1025.44</v>
      </c>
      <c r="E615" s="15">
        <v>0</v>
      </c>
      <c r="F615" s="15">
        <v>0</v>
      </c>
      <c r="G615" s="15">
        <v>0</v>
      </c>
      <c r="H615" s="15">
        <v>0</v>
      </c>
      <c r="I615" s="15">
        <v>0</v>
      </c>
      <c r="J615" s="15">
        <v>0</v>
      </c>
      <c r="K615" s="15">
        <v>0</v>
      </c>
      <c r="L615" s="15">
        <v>0</v>
      </c>
      <c r="M615" s="15">
        <v>0</v>
      </c>
      <c r="N615" s="15">
        <v>155.19</v>
      </c>
      <c r="O615" t="s">
        <v>75</v>
      </c>
    </row>
    <row r="616" spans="1:15" x14ac:dyDescent="0.25">
      <c r="A616" s="10" t="s">
        <v>1372</v>
      </c>
      <c r="B616" s="15">
        <v>149.56</v>
      </c>
      <c r="C616" s="15">
        <v>219.09</v>
      </c>
      <c r="D616" s="15">
        <v>199</v>
      </c>
      <c r="E616" s="15">
        <v>199</v>
      </c>
      <c r="F616" s="15">
        <v>199</v>
      </c>
      <c r="G616" s="15">
        <v>199</v>
      </c>
      <c r="H616" s="15">
        <v>318.01</v>
      </c>
      <c r="I616" s="15">
        <v>197.92</v>
      </c>
      <c r="J616" s="15">
        <v>114.37</v>
      </c>
      <c r="K616" s="15">
        <v>199</v>
      </c>
      <c r="L616" s="15">
        <v>199</v>
      </c>
      <c r="M616" s="15">
        <v>357.55</v>
      </c>
      <c r="N616" s="15">
        <v>200.67</v>
      </c>
      <c r="O616" t="s">
        <v>75</v>
      </c>
    </row>
    <row r="617" spans="1:15" x14ac:dyDescent="0.25">
      <c r="A617" s="10" t="s">
        <v>1374</v>
      </c>
      <c r="B617" s="15">
        <v>592.78</v>
      </c>
      <c r="C617" s="15">
        <v>305.08999999999997</v>
      </c>
      <c r="D617" s="15">
        <v>484.2</v>
      </c>
      <c r="E617" s="15">
        <v>382.59</v>
      </c>
      <c r="F617" s="15">
        <v>378.25</v>
      </c>
      <c r="G617" s="15">
        <v>344.33</v>
      </c>
      <c r="H617" s="15">
        <v>570.88</v>
      </c>
      <c r="I617" s="15">
        <v>346.94</v>
      </c>
      <c r="J617" s="15">
        <v>370.82</v>
      </c>
      <c r="K617" s="15">
        <v>382.59</v>
      </c>
      <c r="L617" s="15">
        <v>451.52</v>
      </c>
      <c r="M617" s="15">
        <v>377.11</v>
      </c>
      <c r="N617" s="15">
        <v>430.1</v>
      </c>
      <c r="O617" t="s">
        <v>75</v>
      </c>
    </row>
    <row r="618" spans="1:15" x14ac:dyDescent="0.25">
      <c r="A618" s="10" t="s">
        <v>1376</v>
      </c>
      <c r="B618" s="15">
        <v>49.94</v>
      </c>
      <c r="C618" s="15">
        <v>570.88</v>
      </c>
      <c r="D618" s="15">
        <v>570.88</v>
      </c>
      <c r="E618" s="15">
        <v>570.88</v>
      </c>
      <c r="F618" s="15">
        <v>570.88</v>
      </c>
      <c r="G618" s="15">
        <v>570.88</v>
      </c>
      <c r="H618" s="15">
        <v>901.89</v>
      </c>
      <c r="I618" s="15">
        <v>570.88</v>
      </c>
      <c r="J618" s="15">
        <v>239.87</v>
      </c>
      <c r="K618" s="15">
        <v>570.88</v>
      </c>
      <c r="L618" s="15">
        <v>570.88</v>
      </c>
      <c r="M618" s="15">
        <v>570.88</v>
      </c>
      <c r="N618" s="15">
        <v>570.88</v>
      </c>
      <c r="O618" t="s">
        <v>75</v>
      </c>
    </row>
    <row r="619" spans="1:15" x14ac:dyDescent="0.25">
      <c r="A619" s="10" t="s">
        <v>1378</v>
      </c>
      <c r="B619" s="15">
        <v>92.25</v>
      </c>
      <c r="C619" s="15">
        <v>570.88</v>
      </c>
      <c r="D619" s="15">
        <v>570.88</v>
      </c>
      <c r="E619" s="15">
        <v>570.88</v>
      </c>
      <c r="F619" s="15">
        <v>570.88</v>
      </c>
      <c r="G619" s="15">
        <v>570.88</v>
      </c>
      <c r="H619" s="15">
        <v>570.88</v>
      </c>
      <c r="I619" s="15">
        <v>570.88</v>
      </c>
      <c r="J619" s="15">
        <v>1040.51</v>
      </c>
      <c r="K619" s="15">
        <v>101.25</v>
      </c>
      <c r="L619" s="15">
        <v>570.88</v>
      </c>
      <c r="M619" s="15">
        <v>1040.51</v>
      </c>
      <c r="N619" s="15">
        <v>570.88</v>
      </c>
      <c r="O619" t="s">
        <v>75</v>
      </c>
    </row>
    <row r="620" spans="1:15" x14ac:dyDescent="0.25">
      <c r="A620" s="10" t="s">
        <v>1380</v>
      </c>
      <c r="B620" s="15">
        <v>0</v>
      </c>
      <c r="C620" s="15">
        <v>0</v>
      </c>
      <c r="D620" s="15">
        <v>0</v>
      </c>
      <c r="E620" s="15">
        <v>0</v>
      </c>
      <c r="F620" s="15">
        <v>0</v>
      </c>
      <c r="G620" s="15">
        <v>0</v>
      </c>
      <c r="H620" s="15">
        <v>168.64</v>
      </c>
      <c r="I620" s="15">
        <v>168.64</v>
      </c>
      <c r="J620" s="15">
        <v>168.64</v>
      </c>
      <c r="K620" s="15">
        <v>168.64</v>
      </c>
      <c r="L620" s="15">
        <v>168.64</v>
      </c>
      <c r="M620" s="15">
        <v>168.64</v>
      </c>
      <c r="N620" s="15">
        <v>87.44</v>
      </c>
      <c r="O620" t="s">
        <v>75</v>
      </c>
    </row>
    <row r="621" spans="1:15" x14ac:dyDescent="0.25">
      <c r="A621" s="10" t="s">
        <v>1382</v>
      </c>
      <c r="B621" s="15">
        <v>0</v>
      </c>
      <c r="C621" s="15">
        <v>0</v>
      </c>
      <c r="D621" s="15">
        <v>0</v>
      </c>
      <c r="E621" s="15">
        <v>22.48</v>
      </c>
      <c r="F621" s="15">
        <v>74.95</v>
      </c>
      <c r="G621" s="15">
        <v>74.95</v>
      </c>
      <c r="H621" s="15">
        <v>74.94</v>
      </c>
      <c r="I621" s="15">
        <v>74.95</v>
      </c>
      <c r="J621" s="15">
        <v>168.64</v>
      </c>
      <c r="K621" s="15">
        <v>74.95</v>
      </c>
      <c r="L621" s="15">
        <v>69.55</v>
      </c>
      <c r="M621" s="15">
        <v>80.36</v>
      </c>
      <c r="N621" s="15">
        <v>56.21</v>
      </c>
      <c r="O621" t="s">
        <v>75</v>
      </c>
    </row>
    <row r="622" spans="1:15" x14ac:dyDescent="0.25">
      <c r="A622" s="10" t="s">
        <v>1384</v>
      </c>
      <c r="B622" s="15">
        <v>176.82</v>
      </c>
      <c r="C622" s="15">
        <v>316.05</v>
      </c>
      <c r="D622" s="15">
        <v>317.43</v>
      </c>
      <c r="E622" s="15">
        <v>317.43</v>
      </c>
      <c r="F622" s="15">
        <v>317.43</v>
      </c>
      <c r="G622" s="15">
        <v>317.43</v>
      </c>
      <c r="H622" s="15">
        <v>317.43</v>
      </c>
      <c r="I622" s="15">
        <v>317.43</v>
      </c>
      <c r="J622" s="15">
        <v>317.43</v>
      </c>
      <c r="K622" s="15">
        <v>317.43</v>
      </c>
      <c r="L622" s="15">
        <v>652.74</v>
      </c>
      <c r="M622" s="15">
        <v>250.31</v>
      </c>
      <c r="N622" s="15">
        <v>317.43</v>
      </c>
      <c r="O622" t="s">
        <v>75</v>
      </c>
    </row>
    <row r="623" spans="1:15" x14ac:dyDescent="0.25">
      <c r="A623" s="10" t="s">
        <v>1386</v>
      </c>
      <c r="B623" s="15">
        <v>1026.02</v>
      </c>
      <c r="C623" s="15">
        <v>57.87</v>
      </c>
      <c r="D623" s="15">
        <v>570.88</v>
      </c>
      <c r="E623" s="15">
        <v>570.88</v>
      </c>
      <c r="F623" s="15">
        <v>570.88</v>
      </c>
      <c r="G623" s="15">
        <v>570.88</v>
      </c>
      <c r="H623" s="15">
        <v>570.88</v>
      </c>
      <c r="I623" s="15">
        <v>570.88</v>
      </c>
      <c r="J623" s="15">
        <v>570.88</v>
      </c>
      <c r="K623" s="15">
        <v>1141.76</v>
      </c>
      <c r="L623" s="15">
        <v>104.27</v>
      </c>
      <c r="M623" s="15">
        <v>466.61</v>
      </c>
      <c r="N623" s="15">
        <v>570.88</v>
      </c>
      <c r="O623" t="s">
        <v>75</v>
      </c>
    </row>
    <row r="624" spans="1:15" x14ac:dyDescent="0.25">
      <c r="A624" s="10" t="s">
        <v>1388</v>
      </c>
      <c r="B624" s="15">
        <v>179.03</v>
      </c>
      <c r="C624" s="15">
        <v>201.96</v>
      </c>
      <c r="D624" s="15">
        <v>199</v>
      </c>
      <c r="E624" s="15">
        <v>199</v>
      </c>
      <c r="F624" s="15">
        <v>198.78</v>
      </c>
      <c r="G624" s="15">
        <v>199</v>
      </c>
      <c r="H624" s="15">
        <v>199</v>
      </c>
      <c r="I624" s="15">
        <v>196.56</v>
      </c>
      <c r="J624" s="15">
        <v>199</v>
      </c>
      <c r="K624" s="15">
        <v>199</v>
      </c>
      <c r="L624" s="15">
        <v>199</v>
      </c>
      <c r="M624" s="15">
        <v>199</v>
      </c>
      <c r="N624" s="15">
        <v>199.24</v>
      </c>
      <c r="O624" t="s">
        <v>75</v>
      </c>
    </row>
    <row r="625" spans="1:15" x14ac:dyDescent="0.25">
      <c r="A625" s="10" t="s">
        <v>1390</v>
      </c>
      <c r="B625" s="15">
        <v>770.71</v>
      </c>
      <c r="C625" s="15">
        <v>447.78</v>
      </c>
      <c r="D625" s="15">
        <v>168.61</v>
      </c>
      <c r="E625" s="15">
        <v>408.86</v>
      </c>
      <c r="F625" s="15">
        <v>408.39</v>
      </c>
      <c r="G625" s="15">
        <v>441.16</v>
      </c>
      <c r="H625" s="15">
        <v>441.16</v>
      </c>
      <c r="I625" s="15">
        <v>408.86</v>
      </c>
      <c r="J625" s="15">
        <v>408.86</v>
      </c>
      <c r="K625" s="15">
        <v>537.80999999999995</v>
      </c>
      <c r="L625" s="15">
        <v>408.39</v>
      </c>
      <c r="M625" s="15">
        <v>432.85</v>
      </c>
      <c r="N625" s="15">
        <v>433.04</v>
      </c>
      <c r="O625" t="s">
        <v>75</v>
      </c>
    </row>
    <row r="626" spans="1:15" x14ac:dyDescent="0.25">
      <c r="A626" s="10" t="s">
        <v>1392</v>
      </c>
      <c r="B626" s="15">
        <v>447.54</v>
      </c>
      <c r="C626" s="15">
        <v>384.89</v>
      </c>
      <c r="D626" s="15">
        <v>159.35</v>
      </c>
      <c r="E626" s="15">
        <v>298.99</v>
      </c>
      <c r="F626" s="15">
        <v>305.43</v>
      </c>
      <c r="G626" s="15">
        <v>305.43</v>
      </c>
      <c r="H626" s="15">
        <v>305.43</v>
      </c>
      <c r="I626" s="15">
        <v>305.43</v>
      </c>
      <c r="J626" s="15">
        <v>305.43</v>
      </c>
      <c r="K626" s="15">
        <v>305.43</v>
      </c>
      <c r="L626" s="15">
        <v>305.43</v>
      </c>
      <c r="M626" s="15">
        <v>406.29</v>
      </c>
      <c r="N626" s="15">
        <v>312.05</v>
      </c>
      <c r="O626" t="s">
        <v>75</v>
      </c>
    </row>
    <row r="627" spans="1:15" x14ac:dyDescent="0.25">
      <c r="A627" s="10" t="s">
        <v>1394</v>
      </c>
      <c r="B627" s="15">
        <v>513.01</v>
      </c>
      <c r="C627" s="15">
        <v>570.88</v>
      </c>
      <c r="D627" s="15">
        <v>570.88</v>
      </c>
      <c r="E627" s="15">
        <v>570.88</v>
      </c>
      <c r="F627" s="15">
        <v>570.88</v>
      </c>
      <c r="G627" s="15">
        <v>570.88</v>
      </c>
      <c r="H627" s="15">
        <v>570.88</v>
      </c>
      <c r="I627" s="15">
        <v>1141.76</v>
      </c>
      <c r="J627" s="15">
        <v>12.81</v>
      </c>
      <c r="K627" s="15">
        <v>558.07000000000005</v>
      </c>
      <c r="L627" s="15">
        <v>570.88</v>
      </c>
      <c r="M627" s="15">
        <v>570.88</v>
      </c>
      <c r="N627" s="15">
        <v>570.88</v>
      </c>
      <c r="O627" t="s">
        <v>75</v>
      </c>
    </row>
    <row r="628" spans="1:15" x14ac:dyDescent="0.25">
      <c r="A628" s="10" t="s">
        <v>1396</v>
      </c>
      <c r="B628" s="15">
        <v>513.01</v>
      </c>
      <c r="C628" s="15">
        <v>570.88</v>
      </c>
      <c r="D628" s="15">
        <v>570.88</v>
      </c>
      <c r="E628" s="15">
        <v>570.88</v>
      </c>
      <c r="F628" s="15">
        <v>570.88</v>
      </c>
      <c r="G628" s="15">
        <v>570.88</v>
      </c>
      <c r="H628" s="15">
        <v>570.88</v>
      </c>
      <c r="I628" s="15">
        <v>570.88</v>
      </c>
      <c r="J628" s="15">
        <v>570.88</v>
      </c>
      <c r="K628" s="15">
        <v>570.88</v>
      </c>
      <c r="L628" s="15">
        <v>570.88</v>
      </c>
      <c r="M628" s="15">
        <v>1141.76</v>
      </c>
      <c r="N628" s="15">
        <v>570.88</v>
      </c>
      <c r="O628" t="s">
        <v>75</v>
      </c>
    </row>
    <row r="629" spans="1:15" x14ac:dyDescent="0.25">
      <c r="A629" s="10" t="s">
        <v>1398</v>
      </c>
      <c r="B629" s="15">
        <v>179.03</v>
      </c>
      <c r="C629" s="15">
        <v>199</v>
      </c>
      <c r="D629" s="15">
        <v>198.68</v>
      </c>
      <c r="E629" s="15">
        <v>199</v>
      </c>
      <c r="F629" s="15">
        <v>198.18</v>
      </c>
      <c r="G629" s="15">
        <v>198.62</v>
      </c>
      <c r="H629" s="15">
        <v>199</v>
      </c>
      <c r="I629" s="15">
        <v>199</v>
      </c>
      <c r="J629" s="15">
        <v>197.42</v>
      </c>
      <c r="K629" s="15">
        <v>199</v>
      </c>
      <c r="L629" s="15">
        <v>197.42</v>
      </c>
      <c r="M629" s="15">
        <v>375.89</v>
      </c>
      <c r="N629" s="15">
        <v>199</v>
      </c>
      <c r="O629" t="s">
        <v>75</v>
      </c>
    </row>
    <row r="630" spans="1:15" x14ac:dyDescent="0.25">
      <c r="A630" s="10" t="s">
        <v>1400</v>
      </c>
      <c r="B630" s="15">
        <v>76.86</v>
      </c>
      <c r="C630" s="15">
        <v>200.82</v>
      </c>
      <c r="D630" s="15">
        <v>183.82</v>
      </c>
      <c r="E630" s="15">
        <v>183.82</v>
      </c>
      <c r="F630" s="15">
        <v>210.11</v>
      </c>
      <c r="G630" s="15">
        <v>353.12</v>
      </c>
      <c r="H630" s="15">
        <v>183.82</v>
      </c>
      <c r="I630" s="15">
        <v>61.28</v>
      </c>
      <c r="J630" s="15">
        <v>183.82</v>
      </c>
      <c r="K630" s="15">
        <v>183.82</v>
      </c>
      <c r="L630" s="15">
        <v>183.82</v>
      </c>
      <c r="M630" s="15">
        <v>183.82</v>
      </c>
      <c r="N630" s="15">
        <v>187.43</v>
      </c>
      <c r="O630" t="s">
        <v>75</v>
      </c>
    </row>
    <row r="631" spans="1:15" x14ac:dyDescent="0.25">
      <c r="A631" s="10" t="s">
        <v>1402</v>
      </c>
      <c r="B631" s="15">
        <v>513.01</v>
      </c>
      <c r="C631" s="15">
        <v>570.88</v>
      </c>
      <c r="D631" s="15">
        <v>570.88</v>
      </c>
      <c r="E631" s="15">
        <v>570.88</v>
      </c>
      <c r="F631" s="15">
        <v>570.88</v>
      </c>
      <c r="G631" s="15">
        <v>570.88</v>
      </c>
      <c r="H631" s="15">
        <v>1141.76</v>
      </c>
      <c r="I631" s="15">
        <v>570.88</v>
      </c>
      <c r="J631" s="15">
        <v>0</v>
      </c>
      <c r="K631" s="15">
        <v>570.88</v>
      </c>
      <c r="L631" s="15">
        <v>570.88</v>
      </c>
      <c r="M631" s="15">
        <v>570.88</v>
      </c>
      <c r="N631" s="15">
        <v>570.88</v>
      </c>
      <c r="O631" t="s">
        <v>75</v>
      </c>
    </row>
    <row r="632" spans="1:15" x14ac:dyDescent="0.25">
      <c r="A632" s="10" t="s">
        <v>1404</v>
      </c>
      <c r="B632" s="15">
        <v>172.93</v>
      </c>
      <c r="C632" s="15">
        <v>71.599999999999994</v>
      </c>
      <c r="D632" s="15">
        <v>183.65</v>
      </c>
      <c r="E632" s="15">
        <v>183.82</v>
      </c>
      <c r="F632" s="15">
        <v>196.89</v>
      </c>
      <c r="G632" s="15">
        <v>183.82</v>
      </c>
      <c r="H632" s="15">
        <v>183.82</v>
      </c>
      <c r="I632" s="15">
        <v>420.32</v>
      </c>
      <c r="J632" s="15">
        <v>183.82</v>
      </c>
      <c r="K632" s="15">
        <v>67.400000000000006</v>
      </c>
      <c r="L632" s="15">
        <v>126.47</v>
      </c>
      <c r="M632" s="15">
        <v>182.93</v>
      </c>
      <c r="N632" s="15">
        <v>184.91</v>
      </c>
      <c r="O632" t="s">
        <v>75</v>
      </c>
    </row>
    <row r="633" spans="1:15" x14ac:dyDescent="0.25">
      <c r="A633" s="10" t="s">
        <v>1406</v>
      </c>
      <c r="B633" s="15">
        <v>173.2</v>
      </c>
      <c r="C633" s="15">
        <v>175.23</v>
      </c>
      <c r="D633" s="15">
        <v>187.32</v>
      </c>
      <c r="E633" s="15">
        <v>185.86</v>
      </c>
      <c r="F633" s="15">
        <v>186.92</v>
      </c>
      <c r="G633" s="15">
        <v>187.14</v>
      </c>
      <c r="H633" s="15">
        <v>174.91</v>
      </c>
      <c r="I633" s="15">
        <v>174.47</v>
      </c>
      <c r="J633" s="15">
        <v>176.68</v>
      </c>
      <c r="K633" s="15">
        <v>223.41</v>
      </c>
      <c r="L633" s="15">
        <v>186.92</v>
      </c>
      <c r="M633" s="15">
        <v>483.49</v>
      </c>
      <c r="N633" s="15">
        <v>186.65</v>
      </c>
      <c r="O633" t="s">
        <v>75</v>
      </c>
    </row>
    <row r="634" spans="1:15" x14ac:dyDescent="0.25">
      <c r="A634" s="10" t="s">
        <v>1408</v>
      </c>
      <c r="B634" s="15">
        <v>108.31</v>
      </c>
      <c r="C634" s="15">
        <v>198.85</v>
      </c>
      <c r="D634" s="15">
        <v>199</v>
      </c>
      <c r="E634" s="15">
        <v>199</v>
      </c>
      <c r="F634" s="15">
        <v>199</v>
      </c>
      <c r="G634" s="15">
        <v>199</v>
      </c>
      <c r="H634" s="15">
        <v>199</v>
      </c>
      <c r="I634" s="15">
        <v>199</v>
      </c>
      <c r="J634" s="15">
        <v>199</v>
      </c>
      <c r="K634" s="15">
        <v>199</v>
      </c>
      <c r="L634" s="15">
        <v>199</v>
      </c>
      <c r="M634" s="15">
        <v>375.89</v>
      </c>
      <c r="N634" s="15">
        <v>199</v>
      </c>
      <c r="O634" t="s">
        <v>75</v>
      </c>
    </row>
    <row r="635" spans="1:15" x14ac:dyDescent="0.25">
      <c r="A635" s="10" t="s">
        <v>1410</v>
      </c>
      <c r="B635" s="15">
        <v>0</v>
      </c>
      <c r="C635" s="15">
        <v>0</v>
      </c>
      <c r="D635" s="15">
        <v>0</v>
      </c>
      <c r="E635" s="15">
        <v>44.97</v>
      </c>
      <c r="F635" s="15">
        <v>168.64</v>
      </c>
      <c r="G635" s="15">
        <v>167.38</v>
      </c>
      <c r="H635" s="15">
        <v>168.64</v>
      </c>
      <c r="I635" s="15">
        <v>168.64</v>
      </c>
      <c r="J635" s="15">
        <v>168.64</v>
      </c>
      <c r="K635" s="15">
        <v>168.64</v>
      </c>
      <c r="L635" s="15">
        <v>168.63</v>
      </c>
      <c r="M635" s="15">
        <v>167.63</v>
      </c>
      <c r="N635" s="15">
        <v>112.43</v>
      </c>
      <c r="O635" t="s">
        <v>75</v>
      </c>
    </row>
    <row r="636" spans="1:15" x14ac:dyDescent="0.25">
      <c r="A636" s="10" t="s">
        <v>1412</v>
      </c>
      <c r="B636" s="15">
        <v>0</v>
      </c>
      <c r="C636" s="15">
        <v>0</v>
      </c>
      <c r="D636" s="15">
        <v>0</v>
      </c>
      <c r="E636" s="15">
        <v>83.74</v>
      </c>
      <c r="F636" s="15">
        <v>86.63</v>
      </c>
      <c r="G636" s="15">
        <v>86.63</v>
      </c>
      <c r="H636" s="15">
        <v>86.63</v>
      </c>
      <c r="I636" s="15">
        <v>86.62</v>
      </c>
      <c r="J636" s="15">
        <v>86.63</v>
      </c>
      <c r="K636" s="15">
        <v>86.63</v>
      </c>
      <c r="L636" s="15">
        <v>86.63</v>
      </c>
      <c r="M636" s="15">
        <v>86.63</v>
      </c>
      <c r="N636" s="15">
        <v>72.19</v>
      </c>
      <c r="O636" t="s">
        <v>75</v>
      </c>
    </row>
    <row r="637" spans="1:15" x14ac:dyDescent="0.25">
      <c r="A637" s="10" t="s">
        <v>1414</v>
      </c>
      <c r="B637" s="15">
        <v>1026.02</v>
      </c>
      <c r="C637" s="15">
        <v>57.87</v>
      </c>
      <c r="D637" s="15">
        <v>570.88</v>
      </c>
      <c r="E637" s="15">
        <v>570.88</v>
      </c>
      <c r="F637" s="15">
        <v>570.88</v>
      </c>
      <c r="G637" s="15">
        <v>570.88</v>
      </c>
      <c r="H637" s="15">
        <v>1141.76</v>
      </c>
      <c r="I637" s="15">
        <v>570.88</v>
      </c>
      <c r="J637" s="15">
        <v>0</v>
      </c>
      <c r="K637" s="15">
        <v>570.88</v>
      </c>
      <c r="L637" s="15">
        <v>570.88</v>
      </c>
      <c r="M637" s="15">
        <v>570.88</v>
      </c>
      <c r="N637" s="15">
        <v>570.88</v>
      </c>
      <c r="O637" t="s">
        <v>75</v>
      </c>
    </row>
    <row r="638" spans="1:15" x14ac:dyDescent="0.25">
      <c r="A638" s="10" t="s">
        <v>1416</v>
      </c>
      <c r="B638" s="15">
        <v>0</v>
      </c>
      <c r="C638" s="15">
        <v>146.16</v>
      </c>
      <c r="D638" s="15">
        <v>503.77</v>
      </c>
      <c r="E638" s="15">
        <v>0</v>
      </c>
      <c r="F638" s="15">
        <v>0</v>
      </c>
      <c r="G638" s="15">
        <v>0</v>
      </c>
      <c r="H638" s="15">
        <v>0</v>
      </c>
      <c r="I638" s="15">
        <v>0</v>
      </c>
      <c r="J638" s="15">
        <v>0</v>
      </c>
      <c r="K638" s="15">
        <v>0</v>
      </c>
      <c r="L638" s="15">
        <v>0</v>
      </c>
      <c r="M638" s="15">
        <v>0</v>
      </c>
      <c r="N638" s="15">
        <v>49.96</v>
      </c>
      <c r="O638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O642"/>
  <sheetViews>
    <sheetView workbookViewId="0">
      <selection activeCell="B2" sqref="B2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5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2134283,78</v>
      </c>
      <c r="C2" s="14" t="str">
        <f>CONCATENATE("FEVEREIRO",CHAR(10),"TOTAL: ",ROUND(SUM(C3:C1048576),2))</f>
        <v>FEVEREIRO
TOTAL: 2346913,01</v>
      </c>
      <c r="D2" s="14" t="str">
        <f>CONCATENATE("MARÇO",CHAR(10),"TOTAL: ",ROUND(SUM(D3:D1048576),2))</f>
        <v>MARÇO
TOTAL: 2270658,28</v>
      </c>
      <c r="E2" s="14" t="str">
        <f>CONCATENATE("ABRIL",CHAR(10),"TOTAL: ",ROUND(SUM(E3:E1048576),2))</f>
        <v>ABRIL
TOTAL: 2254301,33</v>
      </c>
      <c r="F2" s="14" t="str">
        <f>CONCATENATE("MAIO",CHAR(10),"TOTAL: ",ROUND(SUM(F3:F1048576),2))</f>
        <v>MAIO
TOTAL: 2281668,4</v>
      </c>
      <c r="G2" s="14" t="str">
        <f>CONCATENATE("JUNHO",CHAR(10),"TOTAL: ",ROUND(SUM(G3:G1048576),2))</f>
        <v>JUNHO
TOTAL: 2334032,69</v>
      </c>
      <c r="H2" s="14" t="str">
        <f>CONCATENATE("JULHO",CHAR(10),"TOTAL: ",ROUND(SUM(H3:H1048576),2))</f>
        <v>JULHO
TOTAL: 2346243,82</v>
      </c>
      <c r="I2" s="14" t="str">
        <f>CONCATENATE("AGOSTO",CHAR(10),"TOTAL: ",ROUND(SUM(I3:I1048576),2))</f>
        <v>AGOSTO
TOTAL: 2290054,85</v>
      </c>
      <c r="J2" s="14" t="str">
        <f>CONCATENATE("SETEMBRO",CHAR(10),"TOTAL: ",ROUND(SUM(J3:J1048576),2))</f>
        <v>SETEMBRO
TOTAL: 2190843,78</v>
      </c>
      <c r="K2" s="14" t="str">
        <f>CONCATENATE("OUTUBRO",CHAR(10),"TOTAL: ",ROUND(SUM(K3:K1048576),2))</f>
        <v>OUTUBRO
TOTAL: 2301231,48</v>
      </c>
      <c r="L2" s="14" t="str">
        <f>CONCATENATE("NOVEMBRO",CHAR(10),"TOTAL: ",ROUND(SUM(L3:L1048576),2))</f>
        <v>NOVEMBRO
TOTAL: 2319490,81</v>
      </c>
      <c r="M2" s="14" t="str">
        <f>CONCATENATE("DEZEMBRO",CHAR(10),"TOTAL: ",ROUND(SUM(M3:M1048576),2))</f>
        <v>DEZEMBRO
TOTAL: 2436716,71</v>
      </c>
      <c r="N2" s="14" t="str">
        <f>CONCATENATE("DEC. TERCEIRO",CHAR(10),"TOTAL: ",ROUND(SUM(N3:N1048576),2))</f>
        <v>DEC. TERCEIRO
TOTAL: 2234676,63</v>
      </c>
    </row>
    <row r="3" spans="1:15" x14ac:dyDescent="0.25">
      <c r="A3" s="10" t="s">
        <v>95</v>
      </c>
      <c r="B3" s="15">
        <v>3976.8</v>
      </c>
      <c r="C3" s="15">
        <v>3261.18</v>
      </c>
      <c r="D3" s="15">
        <v>4318.8</v>
      </c>
      <c r="E3" s="15">
        <v>4318.8</v>
      </c>
      <c r="F3" s="15">
        <v>4318.8</v>
      </c>
      <c r="G3" s="15">
        <v>4318.8</v>
      </c>
      <c r="H3" s="15">
        <v>4318.8</v>
      </c>
      <c r="I3" s="15">
        <v>6640.97</v>
      </c>
      <c r="J3" s="15">
        <v>2591.2800000000002</v>
      </c>
      <c r="K3" s="15">
        <v>4318.8</v>
      </c>
      <c r="L3" s="15">
        <v>4318.8</v>
      </c>
      <c r="M3" s="15">
        <v>7802.05</v>
      </c>
      <c r="N3" s="15">
        <v>4355.1499999999996</v>
      </c>
      <c r="O3" t="s">
        <v>75</v>
      </c>
    </row>
    <row r="4" spans="1:15" x14ac:dyDescent="0.25">
      <c r="A4" s="10" t="s">
        <v>97</v>
      </c>
      <c r="B4" s="15">
        <v>1243.28</v>
      </c>
      <c r="C4" s="15">
        <v>784.99</v>
      </c>
      <c r="D4" s="15">
        <v>1105.57</v>
      </c>
      <c r="E4" s="15">
        <v>1102.99</v>
      </c>
      <c r="F4" s="15">
        <v>1105.57</v>
      </c>
      <c r="G4" s="15">
        <v>1105.57</v>
      </c>
      <c r="H4" s="15">
        <v>1105.57</v>
      </c>
      <c r="I4" s="15">
        <v>1999.43</v>
      </c>
      <c r="J4" s="15">
        <v>0</v>
      </c>
      <c r="K4" s="15">
        <v>0</v>
      </c>
      <c r="L4" s="15">
        <v>0</v>
      </c>
      <c r="M4" s="15">
        <v>0</v>
      </c>
      <c r="N4" s="15">
        <v>833.07</v>
      </c>
      <c r="O4" t="s">
        <v>75</v>
      </c>
    </row>
    <row r="5" spans="1:15" x14ac:dyDescent="0.25">
      <c r="A5" s="10" t="s">
        <v>99</v>
      </c>
      <c r="B5" s="15">
        <v>13862.58</v>
      </c>
      <c r="C5" s="15">
        <v>10115.94</v>
      </c>
      <c r="D5" s="15">
        <v>9272.9500000000007</v>
      </c>
      <c r="E5" s="15">
        <v>10115.94</v>
      </c>
      <c r="F5" s="15">
        <v>10115.94</v>
      </c>
      <c r="G5" s="15">
        <v>14611.91</v>
      </c>
      <c r="H5" s="15">
        <v>6743.96</v>
      </c>
      <c r="I5" s="15">
        <v>10115.94</v>
      </c>
      <c r="J5" s="15">
        <v>10115.94</v>
      </c>
      <c r="K5" s="15">
        <v>12476.33</v>
      </c>
      <c r="L5" s="15">
        <v>0</v>
      </c>
      <c r="M5" s="15">
        <v>0</v>
      </c>
      <c r="N5" s="15">
        <v>9272.9500000000007</v>
      </c>
      <c r="O5" t="s">
        <v>75</v>
      </c>
    </row>
    <row r="6" spans="1:15" x14ac:dyDescent="0.25">
      <c r="A6" s="10" t="s">
        <v>102</v>
      </c>
      <c r="B6" s="15">
        <v>2860.24</v>
      </c>
      <c r="C6" s="15">
        <v>5919.62</v>
      </c>
      <c r="D6" s="15">
        <v>3133.51</v>
      </c>
      <c r="E6" s="15">
        <v>1822.67</v>
      </c>
      <c r="F6" s="15">
        <v>3133.51</v>
      </c>
      <c r="G6" s="15">
        <v>3133.51</v>
      </c>
      <c r="H6" s="15">
        <v>3133.51</v>
      </c>
      <c r="I6" s="15">
        <v>3133.51</v>
      </c>
      <c r="J6" s="15">
        <v>3133.51</v>
      </c>
      <c r="K6" s="15">
        <v>3133.51</v>
      </c>
      <c r="L6" s="15">
        <v>3050.99</v>
      </c>
      <c r="M6" s="15">
        <v>3133.51</v>
      </c>
      <c r="N6" s="15">
        <v>3133.58</v>
      </c>
      <c r="O6" t="s">
        <v>75</v>
      </c>
    </row>
    <row r="7" spans="1:15" x14ac:dyDescent="0.25">
      <c r="A7" s="10" t="s">
        <v>104</v>
      </c>
      <c r="B7" s="15">
        <v>1921.58</v>
      </c>
      <c r="C7" s="15">
        <v>5083.84</v>
      </c>
      <c r="D7" s="15">
        <v>2042.5</v>
      </c>
      <c r="E7" s="15">
        <v>510.63</v>
      </c>
      <c r="F7" s="15">
        <v>2236.0300000000002</v>
      </c>
      <c r="G7" s="15">
        <v>2042.5</v>
      </c>
      <c r="H7" s="15">
        <v>2042.5</v>
      </c>
      <c r="I7" s="15">
        <v>2042.5</v>
      </c>
      <c r="J7" s="15">
        <v>2042.5</v>
      </c>
      <c r="K7" s="15">
        <v>2042.5</v>
      </c>
      <c r="L7" s="15">
        <v>2042.5</v>
      </c>
      <c r="M7" s="15">
        <v>2042.5</v>
      </c>
      <c r="N7" s="15">
        <v>2082.48</v>
      </c>
      <c r="O7" t="s">
        <v>75</v>
      </c>
    </row>
    <row r="8" spans="1:15" x14ac:dyDescent="0.25">
      <c r="A8" s="10" t="s">
        <v>106</v>
      </c>
      <c r="B8" s="15">
        <v>1989.25</v>
      </c>
      <c r="C8" s="15">
        <v>4188.42</v>
      </c>
      <c r="D8" s="15">
        <v>2211.14</v>
      </c>
      <c r="E8" s="15">
        <v>1289.8399999999999</v>
      </c>
      <c r="F8" s="15">
        <v>2211.14</v>
      </c>
      <c r="G8" s="15">
        <v>2211.14</v>
      </c>
      <c r="H8" s="15">
        <v>2211.14</v>
      </c>
      <c r="I8" s="15">
        <v>2211.14</v>
      </c>
      <c r="J8" s="15">
        <v>2211.14</v>
      </c>
      <c r="K8" s="15">
        <v>2211.14</v>
      </c>
      <c r="L8" s="15">
        <v>3193.87</v>
      </c>
      <c r="M8" s="15">
        <v>1474.09</v>
      </c>
      <c r="N8" s="15">
        <v>2211.14</v>
      </c>
      <c r="O8" t="s">
        <v>75</v>
      </c>
    </row>
    <row r="9" spans="1:15" x14ac:dyDescent="0.25">
      <c r="A9" s="10" t="s">
        <v>108</v>
      </c>
      <c r="B9" s="15">
        <v>3211.79</v>
      </c>
      <c r="C9" s="15">
        <v>3594.07</v>
      </c>
      <c r="D9" s="15">
        <v>7999.7</v>
      </c>
      <c r="E9" s="15">
        <v>3536.1</v>
      </c>
      <c r="F9" s="15">
        <v>927.5</v>
      </c>
      <c r="G9" s="15">
        <v>3266.25</v>
      </c>
      <c r="H9" s="15">
        <v>3827.4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2028.91</v>
      </c>
      <c r="O9" t="s">
        <v>75</v>
      </c>
    </row>
    <row r="10" spans="1:15" x14ac:dyDescent="0.25">
      <c r="A10" s="10" t="s">
        <v>110</v>
      </c>
      <c r="B10" s="15">
        <v>1143.82</v>
      </c>
      <c r="C10" s="15">
        <v>2577.4299999999998</v>
      </c>
      <c r="D10" s="15">
        <v>2548.44</v>
      </c>
      <c r="E10" s="15">
        <v>2538.67</v>
      </c>
      <c r="F10" s="15">
        <v>4146.3</v>
      </c>
      <c r="G10" s="15">
        <v>2670.98</v>
      </c>
      <c r="H10" s="15">
        <v>1675.39</v>
      </c>
      <c r="I10" s="15">
        <v>2548.44</v>
      </c>
      <c r="J10" s="15">
        <v>2548.44</v>
      </c>
      <c r="K10" s="15">
        <v>5864.64</v>
      </c>
      <c r="L10" s="15">
        <v>2432.91</v>
      </c>
      <c r="M10" s="15">
        <v>169.9</v>
      </c>
      <c r="N10" s="15">
        <v>2550.86</v>
      </c>
      <c r="O10" t="s">
        <v>75</v>
      </c>
    </row>
    <row r="11" spans="1:15" x14ac:dyDescent="0.25">
      <c r="A11" s="10" t="s">
        <v>112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8633.0300000000007</v>
      </c>
      <c r="N11" s="15">
        <v>1541.61</v>
      </c>
      <c r="O11" t="s">
        <v>75</v>
      </c>
    </row>
    <row r="12" spans="1:15" x14ac:dyDescent="0.25">
      <c r="A12" s="10" t="s">
        <v>114</v>
      </c>
      <c r="B12" s="15">
        <v>1336.75</v>
      </c>
      <c r="C12" s="15">
        <v>1456.31</v>
      </c>
      <c r="D12" s="15">
        <v>1456.31</v>
      </c>
      <c r="E12" s="15">
        <v>1456.31</v>
      </c>
      <c r="F12" s="15">
        <v>2750.8</v>
      </c>
      <c r="G12" s="15">
        <v>1456.31</v>
      </c>
      <c r="H12" s="15">
        <v>1450.33</v>
      </c>
      <c r="I12" s="15">
        <v>1456.31</v>
      </c>
      <c r="J12" s="15">
        <v>1456.31</v>
      </c>
      <c r="K12" s="15">
        <v>1456.31</v>
      </c>
      <c r="L12" s="15">
        <v>1456.31</v>
      </c>
      <c r="M12" s="15">
        <v>1456.31</v>
      </c>
      <c r="N12" s="15">
        <v>1506.38</v>
      </c>
      <c r="O12" t="s">
        <v>75</v>
      </c>
    </row>
    <row r="13" spans="1:15" x14ac:dyDescent="0.25">
      <c r="A13" s="10" t="s">
        <v>119</v>
      </c>
      <c r="B13" s="15">
        <v>0</v>
      </c>
      <c r="C13" s="15">
        <v>7432.78</v>
      </c>
      <c r="D13" s="15">
        <v>8809.2199999999993</v>
      </c>
      <c r="E13" s="15">
        <v>9169.6200000000008</v>
      </c>
      <c r="F13" s="15">
        <v>11005.16</v>
      </c>
      <c r="G13" s="15">
        <v>11693.19</v>
      </c>
      <c r="H13" s="15">
        <v>10878.24</v>
      </c>
      <c r="I13" s="15">
        <v>10780.78</v>
      </c>
      <c r="J13" s="15">
        <v>10898.48</v>
      </c>
      <c r="K13" s="15">
        <v>10196.67</v>
      </c>
      <c r="L13" s="15">
        <v>11307.02</v>
      </c>
      <c r="M13" s="15">
        <v>11036.96</v>
      </c>
      <c r="N13" s="15">
        <v>10741.55</v>
      </c>
      <c r="O13" t="s">
        <v>75</v>
      </c>
    </row>
    <row r="14" spans="1:15" x14ac:dyDescent="0.25">
      <c r="A14" s="10" t="s">
        <v>121</v>
      </c>
      <c r="B14" s="15">
        <v>9866.4699999999993</v>
      </c>
      <c r="C14" s="15">
        <v>8393.9500000000007</v>
      </c>
      <c r="D14" s="15">
        <v>6696.79</v>
      </c>
      <c r="E14" s="15">
        <v>7305.59</v>
      </c>
      <c r="F14" s="15">
        <v>7305.59</v>
      </c>
      <c r="G14" s="15">
        <v>7305.59</v>
      </c>
      <c r="H14" s="15">
        <v>10610.02</v>
      </c>
      <c r="I14" s="15">
        <v>7305.59</v>
      </c>
      <c r="J14" s="15">
        <v>8167.71</v>
      </c>
      <c r="K14" s="15">
        <v>4870.3900000000003</v>
      </c>
      <c r="L14" s="15">
        <v>7305.59</v>
      </c>
      <c r="M14" s="15">
        <v>7305.59</v>
      </c>
      <c r="N14" s="15">
        <v>7416.15</v>
      </c>
      <c r="O14" t="s">
        <v>75</v>
      </c>
    </row>
    <row r="15" spans="1:15" x14ac:dyDescent="0.25">
      <c r="A15" s="10" t="s">
        <v>123</v>
      </c>
      <c r="B15" s="15">
        <v>11860.04</v>
      </c>
      <c r="C15" s="15">
        <v>10393.370000000001</v>
      </c>
      <c r="D15" s="15">
        <v>7659.6</v>
      </c>
      <c r="E15" s="15">
        <v>9191.52</v>
      </c>
      <c r="F15" s="15">
        <v>9191.52</v>
      </c>
      <c r="G15" s="15">
        <v>9191.52</v>
      </c>
      <c r="H15" s="15">
        <v>17361.759999999998</v>
      </c>
      <c r="I15" s="15">
        <v>9191.52</v>
      </c>
      <c r="J15" s="15">
        <v>3063.84</v>
      </c>
      <c r="K15" s="15">
        <v>9191.52</v>
      </c>
      <c r="L15" s="15">
        <v>9191.52</v>
      </c>
      <c r="M15" s="15">
        <v>13276.64</v>
      </c>
      <c r="N15" s="15">
        <v>9191.52</v>
      </c>
      <c r="O15" t="s">
        <v>75</v>
      </c>
    </row>
    <row r="16" spans="1:15" x14ac:dyDescent="0.25">
      <c r="A16" s="10" t="s">
        <v>125</v>
      </c>
      <c r="B16" s="15">
        <v>6245.47</v>
      </c>
      <c r="C16" s="15">
        <v>6165.35</v>
      </c>
      <c r="D16" s="15">
        <v>5380.53</v>
      </c>
      <c r="E16" s="15">
        <v>6718.92</v>
      </c>
      <c r="F16" s="15">
        <v>6152.75</v>
      </c>
      <c r="G16" s="15">
        <v>5869.67</v>
      </c>
      <c r="H16" s="15">
        <v>5869.67</v>
      </c>
      <c r="I16" s="15">
        <v>5869.67</v>
      </c>
      <c r="J16" s="15">
        <v>5869.67</v>
      </c>
      <c r="K16" s="15">
        <v>5869.67</v>
      </c>
      <c r="L16" s="15">
        <v>5869.67</v>
      </c>
      <c r="M16" s="15">
        <v>8531.2999999999993</v>
      </c>
      <c r="N16" s="15">
        <v>5988.67</v>
      </c>
      <c r="O16" t="s">
        <v>75</v>
      </c>
    </row>
    <row r="17" spans="1:15" x14ac:dyDescent="0.25">
      <c r="A17" s="10" t="s">
        <v>127</v>
      </c>
      <c r="B17" s="15">
        <v>6577.81</v>
      </c>
      <c r="C17" s="15">
        <v>13279.58</v>
      </c>
      <c r="D17" s="15">
        <v>5642.28</v>
      </c>
      <c r="E17" s="15">
        <v>3974.57</v>
      </c>
      <c r="F17" s="15">
        <v>5860.19</v>
      </c>
      <c r="G17" s="15">
        <v>5818.28</v>
      </c>
      <c r="H17" s="15">
        <v>5818.28</v>
      </c>
      <c r="I17" s="15">
        <v>10585.04</v>
      </c>
      <c r="J17" s="15">
        <v>0</v>
      </c>
      <c r="K17" s="15">
        <v>0</v>
      </c>
      <c r="L17" s="15">
        <v>0</v>
      </c>
      <c r="M17" s="15">
        <v>0</v>
      </c>
      <c r="N17" s="15">
        <v>4326.1000000000004</v>
      </c>
      <c r="O17" t="s">
        <v>75</v>
      </c>
    </row>
    <row r="18" spans="1:15" x14ac:dyDescent="0.25">
      <c r="A18" s="10" t="s">
        <v>129</v>
      </c>
      <c r="B18" s="15">
        <v>9410.52</v>
      </c>
      <c r="C18" s="15">
        <v>10162.08</v>
      </c>
      <c r="D18" s="15">
        <v>10162.08</v>
      </c>
      <c r="E18" s="15">
        <v>10162.08</v>
      </c>
      <c r="F18" s="15">
        <v>10726.64</v>
      </c>
      <c r="G18" s="15">
        <v>10311.08</v>
      </c>
      <c r="H18" s="15">
        <v>5927.88</v>
      </c>
      <c r="I18" s="15">
        <v>10162.08</v>
      </c>
      <c r="J18" s="15">
        <v>10162.08</v>
      </c>
      <c r="K18" s="15">
        <v>10162.08</v>
      </c>
      <c r="L18" s="15">
        <v>10162.08</v>
      </c>
      <c r="M18" s="15">
        <v>10162.08</v>
      </c>
      <c r="N18" s="15">
        <v>9315.24</v>
      </c>
      <c r="O18" t="s">
        <v>75</v>
      </c>
    </row>
    <row r="19" spans="1:15" x14ac:dyDescent="0.25">
      <c r="A19" s="10" t="s">
        <v>131</v>
      </c>
      <c r="B19" s="15">
        <v>5361.77</v>
      </c>
      <c r="C19" s="15">
        <v>5633.61</v>
      </c>
      <c r="D19" s="15">
        <v>8192.92</v>
      </c>
      <c r="E19" s="15">
        <v>5237.72</v>
      </c>
      <c r="F19" s="15">
        <v>5827.2</v>
      </c>
      <c r="G19" s="15">
        <v>8192.93</v>
      </c>
      <c r="H19" s="15">
        <v>4208.41</v>
      </c>
      <c r="I19" s="15">
        <v>5475.25</v>
      </c>
      <c r="J19" s="15">
        <v>5633.61</v>
      </c>
      <c r="K19" s="15">
        <v>5633.61</v>
      </c>
      <c r="L19" s="15">
        <v>5633.61</v>
      </c>
      <c r="M19" s="15">
        <v>5633.61</v>
      </c>
      <c r="N19" s="15">
        <v>5651.29</v>
      </c>
      <c r="O19" t="s">
        <v>75</v>
      </c>
    </row>
    <row r="20" spans="1:15" x14ac:dyDescent="0.25">
      <c r="A20" s="10" t="s">
        <v>133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48.5</v>
      </c>
      <c r="O20" t="s">
        <v>75</v>
      </c>
    </row>
    <row r="21" spans="1:15" x14ac:dyDescent="0.25">
      <c r="A21" s="10" t="s">
        <v>135</v>
      </c>
      <c r="B21" s="15">
        <v>1939.51</v>
      </c>
      <c r="C21" s="15">
        <v>2879.96</v>
      </c>
      <c r="D21" s="15">
        <v>2885.73</v>
      </c>
      <c r="E21" s="15">
        <v>2885.73</v>
      </c>
      <c r="F21" s="15">
        <v>4913.97</v>
      </c>
      <c r="G21" s="15">
        <v>4964.57</v>
      </c>
      <c r="H21" s="15">
        <v>2033.24</v>
      </c>
      <c r="I21" s="15">
        <v>2884.29</v>
      </c>
      <c r="J21" s="15">
        <v>4964.57</v>
      </c>
      <c r="K21" s="15">
        <v>2885.73</v>
      </c>
      <c r="L21" s="15">
        <v>2885.73</v>
      </c>
      <c r="M21" s="15">
        <v>2885.73</v>
      </c>
      <c r="N21" s="15">
        <v>3232.2</v>
      </c>
      <c r="O21" t="s">
        <v>75</v>
      </c>
    </row>
    <row r="22" spans="1:15" x14ac:dyDescent="0.25">
      <c r="A22" s="10" t="s">
        <v>137</v>
      </c>
      <c r="B22" s="15">
        <v>2113.5700000000002</v>
      </c>
      <c r="C22" s="15">
        <v>2238.5</v>
      </c>
      <c r="D22" s="15">
        <v>2211.14</v>
      </c>
      <c r="E22" s="15">
        <v>2211.14</v>
      </c>
      <c r="F22" s="15">
        <v>2211.14</v>
      </c>
      <c r="G22" s="15">
        <v>2211.14</v>
      </c>
      <c r="H22" s="15">
        <v>2211.14</v>
      </c>
      <c r="I22" s="15">
        <v>2211.14</v>
      </c>
      <c r="J22" s="15">
        <v>2211.14</v>
      </c>
      <c r="K22" s="15">
        <v>5162.6499999999996</v>
      </c>
      <c r="L22" s="15">
        <v>2211.14</v>
      </c>
      <c r="M22" s="15">
        <v>995.02</v>
      </c>
      <c r="N22" s="15">
        <v>2213.42</v>
      </c>
      <c r="O22" t="s">
        <v>75</v>
      </c>
    </row>
    <row r="23" spans="1:15" x14ac:dyDescent="0.25">
      <c r="A23" s="10" t="s">
        <v>139</v>
      </c>
      <c r="B23" s="15">
        <v>1989.24</v>
      </c>
      <c r="C23" s="15">
        <v>2229.66</v>
      </c>
      <c r="D23" s="15">
        <v>2211.14</v>
      </c>
      <c r="E23" s="15">
        <v>2211.14</v>
      </c>
      <c r="F23" s="15">
        <v>4181.6099999999997</v>
      </c>
      <c r="G23" s="15">
        <v>2616.52</v>
      </c>
      <c r="H23" s="15">
        <v>884.46</v>
      </c>
      <c r="I23" s="15">
        <v>2211.14</v>
      </c>
      <c r="J23" s="15">
        <v>2211.14</v>
      </c>
      <c r="K23" s="15">
        <v>2211.14</v>
      </c>
      <c r="L23" s="15">
        <v>2211.14</v>
      </c>
      <c r="M23" s="15">
        <v>2211.14</v>
      </c>
      <c r="N23" s="15">
        <v>2212.6799999999998</v>
      </c>
      <c r="O23" t="s">
        <v>75</v>
      </c>
    </row>
    <row r="24" spans="1:15" x14ac:dyDescent="0.25">
      <c r="A24" s="10" t="s">
        <v>141</v>
      </c>
      <c r="B24" s="15">
        <v>0</v>
      </c>
      <c r="C24" s="15">
        <v>110.85</v>
      </c>
      <c r="D24" s="15">
        <v>110.85</v>
      </c>
      <c r="E24" s="15">
        <v>110.85</v>
      </c>
      <c r="F24" s="15">
        <v>2581.5300000000002</v>
      </c>
      <c r="G24" s="15">
        <v>1616.03</v>
      </c>
      <c r="H24" s="15">
        <v>2770.34</v>
      </c>
      <c r="I24" s="15">
        <v>2770.34</v>
      </c>
      <c r="J24" s="15">
        <v>2770.34</v>
      </c>
      <c r="K24" s="15">
        <v>2770.34</v>
      </c>
      <c r="L24" s="15">
        <v>2770.34</v>
      </c>
      <c r="M24" s="15">
        <v>2770.34</v>
      </c>
      <c r="N24" s="15">
        <v>1846.89</v>
      </c>
      <c r="O24" t="s">
        <v>75</v>
      </c>
    </row>
    <row r="25" spans="1:15" x14ac:dyDescent="0.25">
      <c r="A25" s="10" t="s">
        <v>143</v>
      </c>
      <c r="B25" s="15">
        <v>19426.84</v>
      </c>
      <c r="C25" s="15">
        <v>20980.99</v>
      </c>
      <c r="D25" s="15">
        <v>20980.99</v>
      </c>
      <c r="E25" s="15">
        <v>20980.99</v>
      </c>
      <c r="F25" s="15">
        <v>20980.99</v>
      </c>
      <c r="G25" s="15">
        <v>39630.76</v>
      </c>
      <c r="H25" s="15">
        <v>20980.99</v>
      </c>
      <c r="I25" s="15">
        <v>12238.91</v>
      </c>
      <c r="J25" s="15">
        <v>20980.99</v>
      </c>
      <c r="K25" s="15">
        <v>20980.99</v>
      </c>
      <c r="L25" s="15">
        <v>20980.99</v>
      </c>
      <c r="M25" s="15">
        <v>20980.99</v>
      </c>
      <c r="N25" s="15">
        <v>20980.99</v>
      </c>
      <c r="O25" t="s">
        <v>75</v>
      </c>
    </row>
    <row r="26" spans="1:15" x14ac:dyDescent="0.25">
      <c r="A26" s="10" t="s">
        <v>145</v>
      </c>
      <c r="B26" s="15">
        <v>1921.58</v>
      </c>
      <c r="C26" s="15">
        <v>2666.23</v>
      </c>
      <c r="D26" s="15">
        <v>2042.5</v>
      </c>
      <c r="E26" s="15">
        <v>2042.5</v>
      </c>
      <c r="F26" s="15">
        <v>2955.67</v>
      </c>
      <c r="G26" s="15">
        <v>4835.1400000000003</v>
      </c>
      <c r="H26" s="15">
        <v>2042.5</v>
      </c>
      <c r="I26" s="15">
        <v>646.79999999999995</v>
      </c>
      <c r="J26" s="15">
        <v>1906.33</v>
      </c>
      <c r="K26" s="15">
        <v>2042.5</v>
      </c>
      <c r="L26" s="15">
        <v>2042.5</v>
      </c>
      <c r="M26" s="15">
        <v>2042.5</v>
      </c>
      <c r="N26" s="15">
        <v>2170.5700000000002</v>
      </c>
      <c r="O26" t="s">
        <v>75</v>
      </c>
    </row>
    <row r="27" spans="1:15" x14ac:dyDescent="0.25">
      <c r="A27" s="10" t="s">
        <v>147</v>
      </c>
      <c r="B27" s="15">
        <v>1921.58</v>
      </c>
      <c r="C27" s="15">
        <v>2042.5</v>
      </c>
      <c r="D27" s="15">
        <v>2034.84</v>
      </c>
      <c r="E27" s="15">
        <v>2042.5</v>
      </c>
      <c r="F27" s="15">
        <v>2104.29</v>
      </c>
      <c r="G27" s="15">
        <v>2042.5</v>
      </c>
      <c r="H27" s="15">
        <v>2042.5</v>
      </c>
      <c r="I27" s="15">
        <v>2042.5</v>
      </c>
      <c r="J27" s="15">
        <v>4765.83</v>
      </c>
      <c r="K27" s="15">
        <v>2042.5</v>
      </c>
      <c r="L27" s="15">
        <v>1055.3</v>
      </c>
      <c r="M27" s="15">
        <v>1497.83</v>
      </c>
      <c r="N27" s="15">
        <v>2047.65</v>
      </c>
      <c r="O27" t="s">
        <v>75</v>
      </c>
    </row>
    <row r="28" spans="1:15" x14ac:dyDescent="0.25">
      <c r="A28" s="10" t="s">
        <v>149</v>
      </c>
      <c r="B28" s="15">
        <v>1273.1099999999999</v>
      </c>
      <c r="C28" s="15">
        <v>1906.7</v>
      </c>
      <c r="D28" s="15">
        <v>1747.74</v>
      </c>
      <c r="E28" s="15">
        <v>1596.86</v>
      </c>
      <c r="F28" s="15">
        <v>1684.72</v>
      </c>
      <c r="G28" s="15">
        <v>1648.87</v>
      </c>
      <c r="H28" s="15">
        <v>1690.81</v>
      </c>
      <c r="I28" s="15">
        <v>1715.41</v>
      </c>
      <c r="J28" s="15">
        <v>1964.45</v>
      </c>
      <c r="K28" s="15">
        <v>4106.38</v>
      </c>
      <c r="L28" s="15">
        <v>1873.55</v>
      </c>
      <c r="M28" s="15">
        <v>655.99</v>
      </c>
      <c r="N28" s="15">
        <v>1735.3</v>
      </c>
      <c r="O28" t="s">
        <v>75</v>
      </c>
    </row>
    <row r="29" spans="1:15" x14ac:dyDescent="0.25">
      <c r="A29" s="10" t="s">
        <v>151</v>
      </c>
      <c r="B29" s="15">
        <v>3130.08</v>
      </c>
      <c r="C29" s="15">
        <v>3912.9</v>
      </c>
      <c r="D29" s="15">
        <v>3426.11</v>
      </c>
      <c r="E29" s="15">
        <v>3426.11</v>
      </c>
      <c r="F29" s="15">
        <v>3426.11</v>
      </c>
      <c r="G29" s="15">
        <v>6506.78</v>
      </c>
      <c r="H29" s="15">
        <v>3426.11</v>
      </c>
      <c r="I29" s="15">
        <v>1733.33</v>
      </c>
      <c r="J29" s="15">
        <v>3426.11</v>
      </c>
      <c r="K29" s="15">
        <v>3426.11</v>
      </c>
      <c r="L29" s="15">
        <v>3426.11</v>
      </c>
      <c r="M29" s="15">
        <v>4966.74</v>
      </c>
      <c r="N29" s="15">
        <v>3466.68</v>
      </c>
      <c r="O29" t="s">
        <v>75</v>
      </c>
    </row>
    <row r="30" spans="1:15" x14ac:dyDescent="0.25">
      <c r="A30" s="10" t="s">
        <v>153</v>
      </c>
      <c r="B30" s="15">
        <v>994.62</v>
      </c>
      <c r="C30" s="15">
        <v>1454.93</v>
      </c>
      <c r="D30" s="15">
        <v>1105.57</v>
      </c>
      <c r="E30" s="15">
        <v>1105.57</v>
      </c>
      <c r="F30" s="15">
        <v>1105.57</v>
      </c>
      <c r="G30" s="15">
        <v>1142.42</v>
      </c>
      <c r="H30" s="15">
        <v>1105.57</v>
      </c>
      <c r="I30" s="15">
        <v>1142.42</v>
      </c>
      <c r="J30" s="15">
        <v>2655.33</v>
      </c>
      <c r="K30" s="15">
        <v>1013.43</v>
      </c>
      <c r="L30" s="15">
        <v>368.52</v>
      </c>
      <c r="M30" s="15">
        <v>1105.57</v>
      </c>
      <c r="N30" s="15">
        <v>1134.68</v>
      </c>
      <c r="O30" t="s">
        <v>75</v>
      </c>
    </row>
    <row r="31" spans="1:15" x14ac:dyDescent="0.25">
      <c r="A31" s="10" t="s">
        <v>155</v>
      </c>
      <c r="B31" s="15">
        <v>4257.26</v>
      </c>
      <c r="C31" s="15">
        <v>2385.41</v>
      </c>
      <c r="D31" s="15">
        <v>1928.19</v>
      </c>
      <c r="E31" s="15">
        <v>2385.41</v>
      </c>
      <c r="F31" s="15">
        <v>2528.19</v>
      </c>
      <c r="G31" s="15">
        <v>2518.4499999999998</v>
      </c>
      <c r="H31" s="15">
        <v>2700.22</v>
      </c>
      <c r="I31" s="15">
        <v>2370.79</v>
      </c>
      <c r="J31" s="15">
        <v>2361.0500000000002</v>
      </c>
      <c r="K31" s="15">
        <v>3000.4</v>
      </c>
      <c r="L31" s="15">
        <v>2518.4499999999998</v>
      </c>
      <c r="M31" s="15">
        <v>2675.86</v>
      </c>
      <c r="N31" s="15">
        <v>2560.63</v>
      </c>
      <c r="O31" t="s">
        <v>75</v>
      </c>
    </row>
    <row r="32" spans="1:15" x14ac:dyDescent="0.25">
      <c r="A32" s="10" t="s">
        <v>157</v>
      </c>
      <c r="B32" s="15">
        <v>7296.5</v>
      </c>
      <c r="C32" s="15">
        <v>7857.33</v>
      </c>
      <c r="D32" s="15">
        <v>6606.91</v>
      </c>
      <c r="E32" s="15">
        <v>6606.91</v>
      </c>
      <c r="F32" s="15">
        <v>6606.91</v>
      </c>
      <c r="G32" s="15">
        <v>7443.79</v>
      </c>
      <c r="H32" s="15">
        <v>15863.06</v>
      </c>
      <c r="I32" s="15">
        <v>6606.91</v>
      </c>
      <c r="J32" s="15">
        <v>4600.97</v>
      </c>
      <c r="K32" s="15">
        <v>0</v>
      </c>
      <c r="L32" s="15">
        <v>0</v>
      </c>
      <c r="M32" s="15">
        <v>0</v>
      </c>
      <c r="N32" s="15">
        <v>5448.13</v>
      </c>
      <c r="O32" t="s">
        <v>75</v>
      </c>
    </row>
    <row r="33" spans="1:15" x14ac:dyDescent="0.25">
      <c r="A33" s="10" t="s">
        <v>159</v>
      </c>
      <c r="B33" s="15">
        <v>1160.3900000000001</v>
      </c>
      <c r="C33" s="15">
        <v>2295.7199999999998</v>
      </c>
      <c r="D33" s="15">
        <v>2211.14</v>
      </c>
      <c r="E33" s="15">
        <v>2211.14</v>
      </c>
      <c r="F33" s="15">
        <v>2211.14</v>
      </c>
      <c r="G33" s="15">
        <v>2211.14</v>
      </c>
      <c r="H33" s="15">
        <v>2211.14</v>
      </c>
      <c r="I33" s="15">
        <v>2211.14</v>
      </c>
      <c r="J33" s="15">
        <v>2211.14</v>
      </c>
      <c r="K33" s="15">
        <v>2211.14</v>
      </c>
      <c r="L33" s="15">
        <v>2211.14</v>
      </c>
      <c r="M33" s="15">
        <v>2211.14</v>
      </c>
      <c r="N33" s="15">
        <v>2218.19</v>
      </c>
      <c r="O33" t="s">
        <v>75</v>
      </c>
    </row>
    <row r="34" spans="1:15" x14ac:dyDescent="0.25">
      <c r="A34" s="10" t="s">
        <v>161</v>
      </c>
      <c r="B34" s="15">
        <v>1160.3900000000001</v>
      </c>
      <c r="C34" s="15">
        <v>2203.77</v>
      </c>
      <c r="D34" s="15">
        <v>2211.14</v>
      </c>
      <c r="E34" s="15">
        <v>2211.14</v>
      </c>
      <c r="F34" s="15">
        <v>2178.16</v>
      </c>
      <c r="G34" s="15">
        <v>2211.14</v>
      </c>
      <c r="H34" s="15">
        <v>2211.14</v>
      </c>
      <c r="I34" s="15">
        <v>2211.14</v>
      </c>
      <c r="J34" s="15">
        <v>2211.14</v>
      </c>
      <c r="K34" s="15">
        <v>2211.14</v>
      </c>
      <c r="L34" s="15">
        <v>2211.14</v>
      </c>
      <c r="M34" s="15">
        <v>2211.14</v>
      </c>
      <c r="N34" s="15">
        <v>2211.14</v>
      </c>
      <c r="O34" t="s">
        <v>75</v>
      </c>
    </row>
    <row r="35" spans="1:15" x14ac:dyDescent="0.25">
      <c r="A35" s="10" t="s">
        <v>163</v>
      </c>
      <c r="B35" s="15">
        <v>3463.32</v>
      </c>
      <c r="C35" s="15">
        <v>2317</v>
      </c>
      <c r="D35" s="15">
        <v>1658.36</v>
      </c>
      <c r="E35" s="15">
        <v>2211.14</v>
      </c>
      <c r="F35" s="15">
        <v>2211.14</v>
      </c>
      <c r="G35" s="15">
        <v>2211.14</v>
      </c>
      <c r="H35" s="15">
        <v>3691.11</v>
      </c>
      <c r="I35" s="15">
        <v>2211.14</v>
      </c>
      <c r="J35" s="15">
        <v>1105.57</v>
      </c>
      <c r="K35" s="15">
        <v>2211.14</v>
      </c>
      <c r="L35" s="15">
        <v>2211.14</v>
      </c>
      <c r="M35" s="15">
        <v>2211.14</v>
      </c>
      <c r="N35" s="15">
        <v>2219.96</v>
      </c>
      <c r="O35" t="s">
        <v>75</v>
      </c>
    </row>
    <row r="36" spans="1:15" x14ac:dyDescent="0.25">
      <c r="A36" s="10" t="s">
        <v>165</v>
      </c>
      <c r="B36" s="15">
        <v>1921.58</v>
      </c>
      <c r="C36" s="15">
        <v>2274.0700000000002</v>
      </c>
      <c r="D36" s="15">
        <v>2963.57</v>
      </c>
      <c r="E36" s="15">
        <v>2042.5</v>
      </c>
      <c r="F36" s="15">
        <v>1999.19</v>
      </c>
      <c r="G36" s="15">
        <v>2042.5</v>
      </c>
      <c r="H36" s="15">
        <v>2042.5</v>
      </c>
      <c r="I36" s="15">
        <v>2042.5</v>
      </c>
      <c r="J36" s="15">
        <v>2963.55</v>
      </c>
      <c r="K36" s="15">
        <v>2042.5</v>
      </c>
      <c r="L36" s="15">
        <v>1361.67</v>
      </c>
      <c r="M36" s="15">
        <v>2042.5</v>
      </c>
      <c r="N36" s="15">
        <v>2072.37</v>
      </c>
      <c r="O36" t="s">
        <v>75</v>
      </c>
    </row>
    <row r="37" spans="1:15" x14ac:dyDescent="0.25">
      <c r="A37" s="10" t="s">
        <v>167</v>
      </c>
      <c r="B37" s="15">
        <v>7997.27</v>
      </c>
      <c r="C37" s="15">
        <v>8910.36</v>
      </c>
      <c r="D37" s="15">
        <v>5380.53</v>
      </c>
      <c r="E37" s="15">
        <v>5869.67</v>
      </c>
      <c r="F37" s="15">
        <v>8604.7199999999993</v>
      </c>
      <c r="G37" s="15">
        <v>5869.67</v>
      </c>
      <c r="H37" s="15">
        <v>3913.11</v>
      </c>
      <c r="I37" s="15">
        <v>5787.49</v>
      </c>
      <c r="J37" s="15">
        <v>5869.67</v>
      </c>
      <c r="K37" s="15">
        <v>5828.09</v>
      </c>
      <c r="L37" s="15">
        <v>5869.67</v>
      </c>
      <c r="M37" s="15">
        <v>5869.67</v>
      </c>
      <c r="N37" s="15">
        <v>6123.06</v>
      </c>
      <c r="O37" t="s">
        <v>75</v>
      </c>
    </row>
    <row r="38" spans="1:15" x14ac:dyDescent="0.25">
      <c r="A38" s="10" t="s">
        <v>169</v>
      </c>
      <c r="B38" s="15">
        <v>2873.34</v>
      </c>
      <c r="C38" s="15">
        <v>2421.1799999999998</v>
      </c>
      <c r="D38" s="15">
        <v>1850.11</v>
      </c>
      <c r="E38" s="15">
        <v>2163.4499999999998</v>
      </c>
      <c r="F38" s="15">
        <v>2163.4499999999998</v>
      </c>
      <c r="G38" s="15">
        <v>4090.02</v>
      </c>
      <c r="H38" s="15">
        <v>937.5</v>
      </c>
      <c r="I38" s="15">
        <v>1947.11</v>
      </c>
      <c r="J38" s="15">
        <v>2163.4499999999998</v>
      </c>
      <c r="K38" s="15">
        <v>2163.4499999999998</v>
      </c>
      <c r="L38" s="15">
        <v>2163.4499999999998</v>
      </c>
      <c r="M38" s="15">
        <v>3126.73</v>
      </c>
      <c r="N38" s="15">
        <v>2167.39</v>
      </c>
      <c r="O38" t="s">
        <v>75</v>
      </c>
    </row>
    <row r="39" spans="1:15" x14ac:dyDescent="0.25">
      <c r="A39" s="10" t="s">
        <v>171</v>
      </c>
      <c r="B39" s="15">
        <v>2121.7399999999998</v>
      </c>
      <c r="C39" s="15">
        <v>2051.9499999999998</v>
      </c>
      <c r="D39" s="15">
        <v>2042.5</v>
      </c>
      <c r="E39" s="15">
        <v>2042.5</v>
      </c>
      <c r="F39" s="15">
        <v>2167.35</v>
      </c>
      <c r="G39" s="15">
        <v>2042.5</v>
      </c>
      <c r="H39" s="15">
        <v>2042.5</v>
      </c>
      <c r="I39" s="15">
        <v>2042.5</v>
      </c>
      <c r="J39" s="15">
        <v>2042.5</v>
      </c>
      <c r="K39" s="15">
        <v>2042.5</v>
      </c>
      <c r="L39" s="15">
        <v>3868.01</v>
      </c>
      <c r="M39" s="15">
        <v>2042.5</v>
      </c>
      <c r="N39" s="15">
        <v>2053.69</v>
      </c>
      <c r="O39" t="s">
        <v>75</v>
      </c>
    </row>
    <row r="40" spans="1:15" x14ac:dyDescent="0.25">
      <c r="A40" s="10" t="s">
        <v>173</v>
      </c>
      <c r="B40" s="15">
        <v>1989.21</v>
      </c>
      <c r="C40" s="15">
        <v>2555.8000000000002</v>
      </c>
      <c r="D40" s="15">
        <v>2211.14</v>
      </c>
      <c r="E40" s="15">
        <v>2211.14</v>
      </c>
      <c r="F40" s="15">
        <v>2838</v>
      </c>
      <c r="G40" s="15">
        <v>2211.14</v>
      </c>
      <c r="H40" s="15">
        <v>2211.14</v>
      </c>
      <c r="I40" s="15">
        <v>2211.14</v>
      </c>
      <c r="J40" s="15">
        <v>2211.14</v>
      </c>
      <c r="K40" s="15">
        <v>2211.14</v>
      </c>
      <c r="L40" s="15">
        <v>4248.55</v>
      </c>
      <c r="M40" s="15">
        <v>2211.14</v>
      </c>
      <c r="N40" s="15">
        <v>2292.1</v>
      </c>
      <c r="O40" t="s">
        <v>75</v>
      </c>
    </row>
    <row r="41" spans="1:15" x14ac:dyDescent="0.25">
      <c r="A41" s="10" t="s">
        <v>175</v>
      </c>
      <c r="B41" s="15">
        <v>8467.25</v>
      </c>
      <c r="C41" s="15">
        <v>5986.48</v>
      </c>
      <c r="D41" s="15">
        <v>5487.6</v>
      </c>
      <c r="E41" s="15">
        <v>10679.41</v>
      </c>
      <c r="F41" s="15">
        <v>9427.7000000000007</v>
      </c>
      <c r="G41" s="15">
        <v>3990.98</v>
      </c>
      <c r="H41" s="15">
        <v>8739.4500000000007</v>
      </c>
      <c r="I41" s="15">
        <v>5986.48</v>
      </c>
      <c r="J41" s="15">
        <v>5986.48</v>
      </c>
      <c r="K41" s="15">
        <v>5986.48</v>
      </c>
      <c r="L41" s="15">
        <v>5986.48</v>
      </c>
      <c r="M41" s="15">
        <v>5986.48</v>
      </c>
      <c r="N41" s="15">
        <v>6663.25</v>
      </c>
      <c r="O41" t="s">
        <v>75</v>
      </c>
    </row>
    <row r="42" spans="1:15" x14ac:dyDescent="0.25">
      <c r="A42" s="10" t="s">
        <v>177</v>
      </c>
      <c r="B42" s="15">
        <v>10743.01</v>
      </c>
      <c r="C42" s="15">
        <v>6580.29</v>
      </c>
      <c r="D42" s="15">
        <v>5853.07</v>
      </c>
      <c r="E42" s="15">
        <v>7023.67</v>
      </c>
      <c r="F42" s="15">
        <v>7023.67</v>
      </c>
      <c r="G42" s="15">
        <v>7023.67</v>
      </c>
      <c r="H42" s="15">
        <v>10145.299999999999</v>
      </c>
      <c r="I42" s="15">
        <v>5618.94</v>
      </c>
      <c r="J42" s="15">
        <v>6087.18</v>
      </c>
      <c r="K42" s="15">
        <v>7023.67</v>
      </c>
      <c r="L42" s="15">
        <v>7023.67</v>
      </c>
      <c r="M42" s="15">
        <v>7023.67</v>
      </c>
      <c r="N42" s="15">
        <v>7023.67</v>
      </c>
      <c r="O42" t="s">
        <v>75</v>
      </c>
    </row>
    <row r="43" spans="1:15" x14ac:dyDescent="0.25">
      <c r="A43" s="10" t="s">
        <v>179</v>
      </c>
      <c r="B43" s="15">
        <v>2486.54</v>
      </c>
      <c r="C43" s="15">
        <v>6008.11</v>
      </c>
      <c r="D43" s="15">
        <v>2679.61</v>
      </c>
      <c r="E43" s="15">
        <v>2679.61</v>
      </c>
      <c r="F43" s="15">
        <v>2679.61</v>
      </c>
      <c r="G43" s="15">
        <v>2679.61</v>
      </c>
      <c r="H43" s="15">
        <v>2679.61</v>
      </c>
      <c r="I43" s="15">
        <v>5308.04</v>
      </c>
      <c r="J43" s="15">
        <v>2679.61</v>
      </c>
      <c r="K43" s="15">
        <v>1563.1</v>
      </c>
      <c r="L43" s="15">
        <v>2679.61</v>
      </c>
      <c r="M43" s="15">
        <v>2679.61</v>
      </c>
      <c r="N43" s="15">
        <v>2956.98</v>
      </c>
      <c r="O43" t="s">
        <v>75</v>
      </c>
    </row>
    <row r="44" spans="1:15" x14ac:dyDescent="0.25">
      <c r="A44" s="10" t="s">
        <v>181</v>
      </c>
      <c r="B44" s="15">
        <v>1921.58</v>
      </c>
      <c r="C44" s="15">
        <v>1288.1099999999999</v>
      </c>
      <c r="D44" s="15">
        <v>1963.35</v>
      </c>
      <c r="E44" s="15">
        <v>2042.5</v>
      </c>
      <c r="F44" s="15">
        <v>2061.56</v>
      </c>
      <c r="G44" s="15">
        <v>2042.5</v>
      </c>
      <c r="H44" s="15">
        <v>2042.5</v>
      </c>
      <c r="I44" s="15">
        <v>1997.91</v>
      </c>
      <c r="J44" s="15">
        <v>2007.61</v>
      </c>
      <c r="K44" s="15">
        <v>2042.5</v>
      </c>
      <c r="L44" s="15">
        <v>2042.5</v>
      </c>
      <c r="M44" s="15">
        <v>3859.47</v>
      </c>
      <c r="N44" s="15">
        <v>2044.09</v>
      </c>
      <c r="O44" t="s">
        <v>75</v>
      </c>
    </row>
    <row r="45" spans="1:15" x14ac:dyDescent="0.25">
      <c r="A45" s="10" t="s">
        <v>183</v>
      </c>
      <c r="B45" s="15">
        <v>5234.8999999999996</v>
      </c>
      <c r="C45" s="15">
        <v>2478.0500000000002</v>
      </c>
      <c r="D45" s="15">
        <v>2364</v>
      </c>
      <c r="E45" s="15">
        <v>2955</v>
      </c>
      <c r="F45" s="15">
        <v>2963.87</v>
      </c>
      <c r="G45" s="15">
        <v>2955</v>
      </c>
      <c r="H45" s="15">
        <v>2955</v>
      </c>
      <c r="I45" s="15">
        <v>2955</v>
      </c>
      <c r="J45" s="15">
        <v>2955</v>
      </c>
      <c r="K45" s="15">
        <v>2955</v>
      </c>
      <c r="L45" s="15">
        <v>2955</v>
      </c>
      <c r="M45" s="15">
        <v>5582.31</v>
      </c>
      <c r="N45" s="15">
        <v>2955.74</v>
      </c>
      <c r="O45" t="s">
        <v>75</v>
      </c>
    </row>
    <row r="46" spans="1:15" x14ac:dyDescent="0.25">
      <c r="A46" s="10" t="s">
        <v>185</v>
      </c>
      <c r="B46" s="15">
        <v>4110.0600000000004</v>
      </c>
      <c r="C46" s="15">
        <v>1663.35</v>
      </c>
      <c r="D46" s="15">
        <v>1634</v>
      </c>
      <c r="E46" s="15">
        <v>2042.5</v>
      </c>
      <c r="F46" s="15">
        <v>2125.56</v>
      </c>
      <c r="G46" s="15">
        <v>2950.27</v>
      </c>
      <c r="H46" s="15">
        <v>2042.5</v>
      </c>
      <c r="I46" s="15">
        <v>1361.67</v>
      </c>
      <c r="J46" s="15">
        <v>2042.5</v>
      </c>
      <c r="K46" s="15">
        <v>2042.5</v>
      </c>
      <c r="L46" s="15">
        <v>2042.5</v>
      </c>
      <c r="M46" s="15">
        <v>2042.5</v>
      </c>
      <c r="N46" s="15">
        <v>2049.42</v>
      </c>
      <c r="O46" t="s">
        <v>75</v>
      </c>
    </row>
    <row r="47" spans="1:15" x14ac:dyDescent="0.25">
      <c r="A47" s="10" t="s">
        <v>187</v>
      </c>
      <c r="B47" s="15">
        <v>704.58</v>
      </c>
      <c r="C47" s="15">
        <v>2210.5</v>
      </c>
      <c r="D47" s="15">
        <v>2042.5</v>
      </c>
      <c r="E47" s="15">
        <v>2042.5</v>
      </c>
      <c r="F47" s="15">
        <v>2503.85</v>
      </c>
      <c r="G47" s="15">
        <v>2042.5</v>
      </c>
      <c r="H47" s="15">
        <v>2042.5</v>
      </c>
      <c r="I47" s="15">
        <v>2042.5</v>
      </c>
      <c r="J47" s="15">
        <v>2042.5</v>
      </c>
      <c r="K47" s="15">
        <v>2042.5</v>
      </c>
      <c r="L47" s="15">
        <v>2042.5</v>
      </c>
      <c r="M47" s="15">
        <v>3904.69</v>
      </c>
      <c r="N47" s="15">
        <v>2094.9499999999998</v>
      </c>
      <c r="O47" t="s">
        <v>75</v>
      </c>
    </row>
    <row r="48" spans="1:15" x14ac:dyDescent="0.25">
      <c r="A48" s="10" t="s">
        <v>189</v>
      </c>
      <c r="B48" s="15">
        <v>0</v>
      </c>
      <c r="C48" s="15">
        <v>0</v>
      </c>
      <c r="D48" s="15">
        <v>0</v>
      </c>
      <c r="E48" s="15">
        <v>562.16</v>
      </c>
      <c r="F48" s="15">
        <v>1873.85</v>
      </c>
      <c r="G48" s="15">
        <v>1833.72</v>
      </c>
      <c r="H48" s="15">
        <v>1913.98</v>
      </c>
      <c r="I48" s="15">
        <v>1873.85</v>
      </c>
      <c r="J48" s="15">
        <v>3271.98</v>
      </c>
      <c r="K48" s="15">
        <v>0</v>
      </c>
      <c r="L48" s="15">
        <v>0</v>
      </c>
      <c r="M48" s="15">
        <v>0</v>
      </c>
      <c r="N48" s="15">
        <v>944.13</v>
      </c>
      <c r="O48" t="s">
        <v>75</v>
      </c>
    </row>
    <row r="49" spans="1:15" x14ac:dyDescent="0.25">
      <c r="A49" s="10" t="s">
        <v>191</v>
      </c>
      <c r="B49" s="15">
        <v>2188.16</v>
      </c>
      <c r="C49" s="15">
        <v>2191.2199999999998</v>
      </c>
      <c r="D49" s="15">
        <v>2379.79</v>
      </c>
      <c r="E49" s="15">
        <v>2379.79</v>
      </c>
      <c r="F49" s="15">
        <v>2379.79</v>
      </c>
      <c r="G49" s="15">
        <v>2379.79</v>
      </c>
      <c r="H49" s="15">
        <v>4021.79</v>
      </c>
      <c r="I49" s="15">
        <v>2379.79</v>
      </c>
      <c r="J49" s="15">
        <v>1189.9000000000001</v>
      </c>
      <c r="K49" s="15">
        <v>2379.79</v>
      </c>
      <c r="L49" s="15">
        <v>2379.79</v>
      </c>
      <c r="M49" s="15">
        <v>2379.79</v>
      </c>
      <c r="N49" s="15">
        <v>2402.25</v>
      </c>
      <c r="O49" t="s">
        <v>75</v>
      </c>
    </row>
    <row r="50" spans="1:15" x14ac:dyDescent="0.25">
      <c r="A50" s="10" t="s">
        <v>193</v>
      </c>
      <c r="B50" s="15">
        <v>2953.57</v>
      </c>
      <c r="C50" s="15">
        <v>2950.23</v>
      </c>
      <c r="D50" s="15">
        <v>1983.16</v>
      </c>
      <c r="E50" s="15">
        <v>2163.4499999999998</v>
      </c>
      <c r="F50" s="15">
        <v>2163.4499999999998</v>
      </c>
      <c r="G50" s="15">
        <v>2163.4499999999998</v>
      </c>
      <c r="H50" s="15">
        <v>2163.4499999999998</v>
      </c>
      <c r="I50" s="15">
        <v>2163.4499999999998</v>
      </c>
      <c r="J50" s="15">
        <v>2163.4499999999998</v>
      </c>
      <c r="K50" s="15">
        <v>3127.81</v>
      </c>
      <c r="L50" s="15">
        <v>2091.34</v>
      </c>
      <c r="M50" s="15">
        <v>2505.1</v>
      </c>
      <c r="N50" s="15">
        <v>2229.0100000000002</v>
      </c>
      <c r="O50" t="s">
        <v>75</v>
      </c>
    </row>
    <row r="51" spans="1:15" x14ac:dyDescent="0.25">
      <c r="A51" s="10" t="s">
        <v>195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127.76</v>
      </c>
      <c r="O51" t="s">
        <v>75</v>
      </c>
    </row>
    <row r="52" spans="1:15" x14ac:dyDescent="0.25">
      <c r="A52" s="10" t="s">
        <v>197</v>
      </c>
      <c r="B52" s="15">
        <v>2072.13</v>
      </c>
      <c r="C52" s="15">
        <v>2224.96</v>
      </c>
      <c r="D52" s="15">
        <v>2211.14</v>
      </c>
      <c r="E52" s="15">
        <v>2211.14</v>
      </c>
      <c r="F52" s="15">
        <v>2211.14</v>
      </c>
      <c r="G52" s="15">
        <v>2211.14</v>
      </c>
      <c r="H52" s="15">
        <v>2209.48</v>
      </c>
      <c r="I52" s="15">
        <v>2211.14</v>
      </c>
      <c r="J52" s="15">
        <v>2211.14</v>
      </c>
      <c r="K52" s="15">
        <v>4326.5600000000004</v>
      </c>
      <c r="L52" s="15">
        <v>0</v>
      </c>
      <c r="M52" s="15">
        <v>0</v>
      </c>
      <c r="N52" s="15">
        <v>1857.3</v>
      </c>
      <c r="O52" t="s">
        <v>75</v>
      </c>
    </row>
    <row r="53" spans="1:15" x14ac:dyDescent="0.25">
      <c r="A53" s="10" t="s">
        <v>199</v>
      </c>
      <c r="B53" s="15">
        <v>0</v>
      </c>
      <c r="C53" s="15">
        <v>1061.8499999999999</v>
      </c>
      <c r="D53" s="15">
        <v>1873.85</v>
      </c>
      <c r="E53" s="15">
        <v>1873.85</v>
      </c>
      <c r="F53" s="15">
        <v>1873.85</v>
      </c>
      <c r="G53" s="15">
        <v>1873.85</v>
      </c>
      <c r="H53" s="15">
        <v>1861.83</v>
      </c>
      <c r="I53" s="15">
        <v>1844.18</v>
      </c>
      <c r="J53" s="15">
        <v>1869.48</v>
      </c>
      <c r="K53" s="15">
        <v>1939.12</v>
      </c>
      <c r="L53" s="15">
        <v>0</v>
      </c>
      <c r="M53" s="15">
        <v>0</v>
      </c>
      <c r="N53" s="15">
        <v>1405.39</v>
      </c>
      <c r="O53" t="s">
        <v>75</v>
      </c>
    </row>
    <row r="54" spans="1:15" x14ac:dyDescent="0.25">
      <c r="A54" s="10" t="s">
        <v>201</v>
      </c>
      <c r="B54" s="15">
        <v>5189.84</v>
      </c>
      <c r="C54" s="15">
        <v>3504.45</v>
      </c>
      <c r="D54" s="15">
        <v>5755.79</v>
      </c>
      <c r="E54" s="15">
        <v>5513.87</v>
      </c>
      <c r="F54" s="15">
        <v>5382.46</v>
      </c>
      <c r="G54" s="15">
        <v>5396.7</v>
      </c>
      <c r="H54" s="15">
        <v>5513.87</v>
      </c>
      <c r="I54" s="15">
        <v>5513.87</v>
      </c>
      <c r="J54" s="15">
        <v>5513.87</v>
      </c>
      <c r="K54" s="15">
        <v>5513.87</v>
      </c>
      <c r="L54" s="15">
        <v>10432.27</v>
      </c>
      <c r="M54" s="15">
        <v>5513.87</v>
      </c>
      <c r="N54" s="15">
        <v>5534.03</v>
      </c>
      <c r="O54" t="s">
        <v>75</v>
      </c>
    </row>
    <row r="55" spans="1:15" x14ac:dyDescent="0.25">
      <c r="A55" s="10" t="s">
        <v>203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127.76</v>
      </c>
      <c r="O55" t="s">
        <v>75</v>
      </c>
    </row>
    <row r="56" spans="1:15" x14ac:dyDescent="0.25">
      <c r="A56" s="10" t="s">
        <v>205</v>
      </c>
      <c r="B56" s="15">
        <v>7274.92</v>
      </c>
      <c r="C56" s="15">
        <v>5083.3</v>
      </c>
      <c r="D56" s="15">
        <v>9384.16</v>
      </c>
      <c r="E56" s="15">
        <v>9384.16</v>
      </c>
      <c r="F56" s="15">
        <v>9384.16</v>
      </c>
      <c r="G56" s="15">
        <v>17725.64</v>
      </c>
      <c r="H56" s="15">
        <v>9384.16</v>
      </c>
      <c r="I56" s="15">
        <v>5474.09</v>
      </c>
      <c r="J56" s="15">
        <v>9384.16</v>
      </c>
      <c r="K56" s="15">
        <v>9384.16</v>
      </c>
      <c r="L56" s="15">
        <v>9384.16</v>
      </c>
      <c r="M56" s="15">
        <v>9384.16</v>
      </c>
      <c r="N56" s="15">
        <v>9384.16</v>
      </c>
      <c r="O56" t="s">
        <v>75</v>
      </c>
    </row>
    <row r="57" spans="1:15" x14ac:dyDescent="0.25">
      <c r="A57" s="10" t="s">
        <v>207</v>
      </c>
      <c r="B57" s="15">
        <v>13529.54</v>
      </c>
      <c r="C57" s="15">
        <v>11291.98</v>
      </c>
      <c r="D57" s="15">
        <v>8429.9500000000007</v>
      </c>
      <c r="E57" s="15">
        <v>10115.94</v>
      </c>
      <c r="F57" s="15">
        <v>10115.94</v>
      </c>
      <c r="G57" s="15">
        <v>10115.94</v>
      </c>
      <c r="H57" s="15">
        <v>19107.89</v>
      </c>
      <c r="I57" s="15">
        <v>10115.94</v>
      </c>
      <c r="J57" s="15">
        <v>3371.98</v>
      </c>
      <c r="K57" s="15">
        <v>10115.94</v>
      </c>
      <c r="L57" s="15">
        <v>10115.94</v>
      </c>
      <c r="M57" s="15">
        <v>10115.94</v>
      </c>
      <c r="N57" s="15">
        <v>10115.94</v>
      </c>
      <c r="O57" t="s">
        <v>75</v>
      </c>
    </row>
    <row r="58" spans="1:15" x14ac:dyDescent="0.25">
      <c r="A58" s="10" t="s">
        <v>209</v>
      </c>
      <c r="B58" s="15">
        <v>6577.82</v>
      </c>
      <c r="C58" s="15">
        <v>12330.42</v>
      </c>
      <c r="D58" s="15">
        <v>7362.91</v>
      </c>
      <c r="E58" s="15">
        <v>5500.1</v>
      </c>
      <c r="F58" s="15">
        <v>7990.6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4638.0600000000004</v>
      </c>
      <c r="N58" s="15">
        <v>3424.49</v>
      </c>
      <c r="O58" t="s">
        <v>75</v>
      </c>
    </row>
    <row r="59" spans="1:15" x14ac:dyDescent="0.25">
      <c r="A59" s="10" t="s">
        <v>211</v>
      </c>
      <c r="B59" s="15">
        <v>9501.91</v>
      </c>
      <c r="C59" s="15">
        <v>9366.99</v>
      </c>
      <c r="D59" s="15">
        <v>11083.47</v>
      </c>
      <c r="E59" s="15">
        <v>11083.47</v>
      </c>
      <c r="F59" s="15">
        <v>11083.47</v>
      </c>
      <c r="G59" s="15">
        <v>11083.47</v>
      </c>
      <c r="H59" s="15">
        <v>18495.72</v>
      </c>
      <c r="I59" s="15">
        <v>11083.47</v>
      </c>
      <c r="J59" s="15">
        <v>5541.75</v>
      </c>
      <c r="K59" s="15">
        <v>11083.47</v>
      </c>
      <c r="L59" s="15">
        <v>11083.47</v>
      </c>
      <c r="M59" s="15">
        <v>11083.47</v>
      </c>
      <c r="N59" s="15">
        <v>11083.47</v>
      </c>
      <c r="O59" t="s">
        <v>75</v>
      </c>
    </row>
    <row r="60" spans="1:15" x14ac:dyDescent="0.25">
      <c r="A60" s="10" t="s">
        <v>213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2456.31</v>
      </c>
      <c r="L60" s="15">
        <v>2947.57</v>
      </c>
      <c r="M60" s="15">
        <v>2947.57</v>
      </c>
      <c r="N60" s="15">
        <v>982.52</v>
      </c>
      <c r="O60" t="s">
        <v>75</v>
      </c>
    </row>
    <row r="61" spans="1:15" x14ac:dyDescent="0.25">
      <c r="A61" s="10" t="s">
        <v>215</v>
      </c>
      <c r="B61" s="15">
        <v>3431.95</v>
      </c>
      <c r="C61" s="15">
        <v>3897.68</v>
      </c>
      <c r="D61" s="15">
        <v>3478.13</v>
      </c>
      <c r="E61" s="15">
        <v>3465.67</v>
      </c>
      <c r="F61" s="15">
        <v>3395.52</v>
      </c>
      <c r="G61" s="15">
        <v>3395.81</v>
      </c>
      <c r="H61" s="15">
        <v>3424.8</v>
      </c>
      <c r="I61" s="15">
        <v>6603.7</v>
      </c>
      <c r="J61" s="15">
        <v>2376.7199999999998</v>
      </c>
      <c r="K61" s="15">
        <v>3130.32</v>
      </c>
      <c r="L61" s="15">
        <v>3478.13</v>
      </c>
      <c r="M61" s="15">
        <v>3478.13</v>
      </c>
      <c r="N61" s="15">
        <v>3513.09</v>
      </c>
      <c r="O61" t="s">
        <v>75</v>
      </c>
    </row>
    <row r="62" spans="1:15" x14ac:dyDescent="0.25">
      <c r="A62" s="10" t="s">
        <v>217</v>
      </c>
      <c r="B62" s="15">
        <v>1989.24</v>
      </c>
      <c r="C62" s="15">
        <v>5439.36</v>
      </c>
      <c r="D62" s="15">
        <v>4721.25</v>
      </c>
      <c r="E62" s="15">
        <v>2469.11</v>
      </c>
      <c r="F62" s="15">
        <v>1764.86</v>
      </c>
      <c r="G62" s="15">
        <v>2211.14</v>
      </c>
      <c r="H62" s="15">
        <v>2211.14</v>
      </c>
      <c r="I62" s="15">
        <v>2211.14</v>
      </c>
      <c r="J62" s="15">
        <v>2211.14</v>
      </c>
      <c r="K62" s="15">
        <v>8200.77</v>
      </c>
      <c r="L62" s="15">
        <v>9122.25</v>
      </c>
      <c r="M62" s="15">
        <v>9122.25</v>
      </c>
      <c r="N62" s="15">
        <v>4246.33</v>
      </c>
      <c r="O62" t="s">
        <v>75</v>
      </c>
    </row>
    <row r="63" spans="1:15" x14ac:dyDescent="0.25">
      <c r="A63" s="10" t="s">
        <v>219</v>
      </c>
      <c r="B63" s="15">
        <v>3108.19</v>
      </c>
      <c r="C63" s="15">
        <v>3980.72</v>
      </c>
      <c r="D63" s="15">
        <v>3478.13</v>
      </c>
      <c r="E63" s="15">
        <v>3478.13</v>
      </c>
      <c r="F63" s="15">
        <v>3478.13</v>
      </c>
      <c r="G63" s="15">
        <v>5025.96</v>
      </c>
      <c r="H63" s="15">
        <v>3478.13</v>
      </c>
      <c r="I63" s="15">
        <v>3188.28</v>
      </c>
      <c r="J63" s="15">
        <v>3433.2</v>
      </c>
      <c r="K63" s="15">
        <v>5690.73</v>
      </c>
      <c r="L63" s="15">
        <v>5025.97</v>
      </c>
      <c r="M63" s="15">
        <v>2318.75</v>
      </c>
      <c r="N63" s="15">
        <v>3704.39</v>
      </c>
      <c r="O63" t="s">
        <v>75</v>
      </c>
    </row>
    <row r="64" spans="1:15" x14ac:dyDescent="0.25">
      <c r="A64" s="10" t="s">
        <v>221</v>
      </c>
      <c r="B64" s="15">
        <v>1989.25</v>
      </c>
      <c r="C64" s="15">
        <v>2218.6</v>
      </c>
      <c r="D64" s="15">
        <v>2211.14</v>
      </c>
      <c r="E64" s="15">
        <v>2211.14</v>
      </c>
      <c r="F64" s="15">
        <v>2208.56</v>
      </c>
      <c r="G64" s="15">
        <v>2211.14</v>
      </c>
      <c r="H64" s="15">
        <v>2124.54</v>
      </c>
      <c r="I64" s="15">
        <v>2211.14</v>
      </c>
      <c r="J64" s="15">
        <v>5159.33</v>
      </c>
      <c r="K64" s="15">
        <v>2211.14</v>
      </c>
      <c r="L64" s="15">
        <v>1216.1300000000001</v>
      </c>
      <c r="M64" s="15">
        <v>1547.8</v>
      </c>
      <c r="N64" s="15">
        <v>2211.7600000000002</v>
      </c>
      <c r="O64" t="s">
        <v>75</v>
      </c>
    </row>
    <row r="65" spans="1:15" x14ac:dyDescent="0.25">
      <c r="A65" s="10" t="s">
        <v>223</v>
      </c>
      <c r="B65" s="15">
        <v>0</v>
      </c>
      <c r="C65" s="15">
        <v>0</v>
      </c>
      <c r="D65" s="15">
        <v>0</v>
      </c>
      <c r="E65" s="15">
        <v>624.62</v>
      </c>
      <c r="F65" s="15">
        <v>1873.85</v>
      </c>
      <c r="G65" s="15">
        <v>1867.76</v>
      </c>
      <c r="H65" s="15">
        <v>1349.79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468.46</v>
      </c>
      <c r="O65" t="s">
        <v>75</v>
      </c>
    </row>
    <row r="66" spans="1:15" x14ac:dyDescent="0.25">
      <c r="A66" s="10" t="s">
        <v>225</v>
      </c>
      <c r="B66" s="15">
        <v>3463.34</v>
      </c>
      <c r="C66" s="15">
        <v>2211.69</v>
      </c>
      <c r="D66" s="15">
        <v>1658.36</v>
      </c>
      <c r="E66" s="15">
        <v>2211.14</v>
      </c>
      <c r="F66" s="15">
        <v>2211.14</v>
      </c>
      <c r="G66" s="15">
        <v>2211.14</v>
      </c>
      <c r="H66" s="15">
        <v>2211.14</v>
      </c>
      <c r="I66" s="15">
        <v>3685.23</v>
      </c>
      <c r="J66" s="15">
        <v>1105.57</v>
      </c>
      <c r="K66" s="15">
        <v>2211.14</v>
      </c>
      <c r="L66" s="15">
        <v>2211.14</v>
      </c>
      <c r="M66" s="15">
        <v>2211.14</v>
      </c>
      <c r="N66" s="15">
        <v>2211.19</v>
      </c>
      <c r="O66" t="s">
        <v>75</v>
      </c>
    </row>
    <row r="67" spans="1:15" x14ac:dyDescent="0.25">
      <c r="A67" s="10" t="s">
        <v>227</v>
      </c>
      <c r="B67" s="15">
        <v>1372.57</v>
      </c>
      <c r="C67" s="15">
        <v>1705.08</v>
      </c>
      <c r="D67" s="15">
        <v>2076.92</v>
      </c>
      <c r="E67" s="15">
        <v>2076.92</v>
      </c>
      <c r="F67" s="15">
        <v>2080.27</v>
      </c>
      <c r="G67" s="15">
        <v>2076.92</v>
      </c>
      <c r="H67" s="15">
        <v>3324.36</v>
      </c>
      <c r="I67" s="15">
        <v>1468.38</v>
      </c>
      <c r="J67" s="15">
        <v>1947.11</v>
      </c>
      <c r="K67" s="15">
        <v>2474.38</v>
      </c>
      <c r="L67" s="15">
        <v>2076.92</v>
      </c>
      <c r="M67" s="15">
        <v>3472.27</v>
      </c>
      <c r="N67" s="15">
        <v>2078.13</v>
      </c>
      <c r="O67" t="s">
        <v>75</v>
      </c>
    </row>
    <row r="68" spans="1:15" x14ac:dyDescent="0.25">
      <c r="A68" s="10" t="s">
        <v>229</v>
      </c>
      <c r="B68" s="15">
        <v>3298.41</v>
      </c>
      <c r="C68" s="15">
        <v>3201.49</v>
      </c>
      <c r="D68" s="15">
        <v>3359.63</v>
      </c>
      <c r="E68" s="15">
        <v>6081.36</v>
      </c>
      <c r="F68" s="15">
        <v>3177.45</v>
      </c>
      <c r="G68" s="15">
        <v>1989.62</v>
      </c>
      <c r="H68" s="15">
        <v>3201.49</v>
      </c>
      <c r="I68" s="15">
        <v>3189.47</v>
      </c>
      <c r="J68" s="15">
        <v>3213.51</v>
      </c>
      <c r="K68" s="15">
        <v>3978.29</v>
      </c>
      <c r="L68" s="15">
        <v>3189.47</v>
      </c>
      <c r="M68" s="15">
        <v>3407.71</v>
      </c>
      <c r="N68" s="15">
        <v>3316.24</v>
      </c>
      <c r="O68" t="s">
        <v>75</v>
      </c>
    </row>
    <row r="69" spans="1:15" x14ac:dyDescent="0.25">
      <c r="A69" s="10" t="s">
        <v>231</v>
      </c>
      <c r="B69" s="15">
        <v>2237.9</v>
      </c>
      <c r="C69" s="15">
        <v>2540.3200000000002</v>
      </c>
      <c r="D69" s="15">
        <v>2211.14</v>
      </c>
      <c r="E69" s="15">
        <v>2211.14</v>
      </c>
      <c r="F69" s="15">
        <v>2211.14</v>
      </c>
      <c r="G69" s="15">
        <v>2211.14</v>
      </c>
      <c r="H69" s="15">
        <v>3323.71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1142.75</v>
      </c>
      <c r="O69" t="s">
        <v>75</v>
      </c>
    </row>
    <row r="70" spans="1:15" x14ac:dyDescent="0.25">
      <c r="A70" s="10" t="s">
        <v>233</v>
      </c>
      <c r="B70" s="15">
        <v>480.4</v>
      </c>
      <c r="C70" s="15">
        <v>2124.1999999999998</v>
      </c>
      <c r="D70" s="15">
        <v>2042.5</v>
      </c>
      <c r="E70" s="15">
        <v>2042.5</v>
      </c>
      <c r="F70" s="15">
        <v>2236.54</v>
      </c>
      <c r="G70" s="15">
        <v>2042.5</v>
      </c>
      <c r="H70" s="15">
        <v>2042.5</v>
      </c>
      <c r="I70" s="15">
        <v>2042.5</v>
      </c>
      <c r="J70" s="15">
        <v>2042.5</v>
      </c>
      <c r="K70" s="15">
        <v>2042.5</v>
      </c>
      <c r="L70" s="15">
        <v>272.33</v>
      </c>
      <c r="M70" s="15">
        <v>0</v>
      </c>
      <c r="N70" s="15">
        <v>1549.12</v>
      </c>
      <c r="O70" t="s">
        <v>75</v>
      </c>
    </row>
    <row r="71" spans="1:15" x14ac:dyDescent="0.25">
      <c r="A71" s="10" t="s">
        <v>235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1499.08</v>
      </c>
      <c r="N71" s="15">
        <v>312.31</v>
      </c>
      <c r="O71" t="s">
        <v>75</v>
      </c>
    </row>
    <row r="72" spans="1:15" x14ac:dyDescent="0.25">
      <c r="A72" s="10" t="s">
        <v>237</v>
      </c>
      <c r="B72" s="15">
        <v>3925.55</v>
      </c>
      <c r="C72" s="15">
        <v>2486.62</v>
      </c>
      <c r="D72" s="15">
        <v>7109.17</v>
      </c>
      <c r="E72" s="15">
        <v>3732.16</v>
      </c>
      <c r="F72" s="15">
        <v>3512.03</v>
      </c>
      <c r="G72" s="15">
        <v>3512.03</v>
      </c>
      <c r="H72" s="15">
        <v>3512.03</v>
      </c>
      <c r="I72" s="15">
        <v>3512.03</v>
      </c>
      <c r="J72" s="15">
        <v>3512.03</v>
      </c>
      <c r="K72" s="15">
        <v>3512.03</v>
      </c>
      <c r="L72" s="15">
        <v>3512.03</v>
      </c>
      <c r="M72" s="15">
        <v>6997.83</v>
      </c>
      <c r="N72" s="15">
        <v>3921.93</v>
      </c>
      <c r="O72" t="s">
        <v>75</v>
      </c>
    </row>
    <row r="73" spans="1:15" x14ac:dyDescent="0.25">
      <c r="A73" s="10" t="s">
        <v>239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7157.49</v>
      </c>
      <c r="L73" s="15">
        <v>9095.52</v>
      </c>
      <c r="M73" s="15">
        <v>8276.18</v>
      </c>
      <c r="N73" s="15">
        <v>2855.63</v>
      </c>
      <c r="O73" t="s">
        <v>75</v>
      </c>
    </row>
    <row r="74" spans="1:15" x14ac:dyDescent="0.25">
      <c r="A74" s="10" t="s">
        <v>241</v>
      </c>
      <c r="B74" s="15">
        <v>1168.3499999999999</v>
      </c>
      <c r="C74" s="15">
        <v>1636.54</v>
      </c>
      <c r="D74" s="15">
        <v>2103.5300000000002</v>
      </c>
      <c r="E74" s="15">
        <v>2195.48</v>
      </c>
      <c r="F74" s="15">
        <v>2122.69</v>
      </c>
      <c r="G74" s="15">
        <v>4123.71</v>
      </c>
      <c r="H74" s="15">
        <v>1732.07</v>
      </c>
      <c r="I74" s="15">
        <v>1330.56</v>
      </c>
      <c r="J74" s="15">
        <v>1990.03</v>
      </c>
      <c r="K74" s="15">
        <v>2095.2399999999998</v>
      </c>
      <c r="L74" s="15">
        <v>2117.54</v>
      </c>
      <c r="M74" s="15">
        <v>2211.14</v>
      </c>
      <c r="N74" s="15">
        <v>2211.14</v>
      </c>
      <c r="O74" t="s">
        <v>75</v>
      </c>
    </row>
    <row r="75" spans="1:15" x14ac:dyDescent="0.25">
      <c r="A75" s="10" t="s">
        <v>243</v>
      </c>
      <c r="B75" s="15">
        <v>0</v>
      </c>
      <c r="C75" s="15">
        <v>0</v>
      </c>
      <c r="D75" s="15">
        <v>0</v>
      </c>
      <c r="E75" s="15">
        <v>2644.86</v>
      </c>
      <c r="F75" s="15">
        <v>330.77</v>
      </c>
      <c r="G75" s="15">
        <v>0</v>
      </c>
      <c r="H75" s="15">
        <v>0</v>
      </c>
      <c r="I75" s="15">
        <v>0</v>
      </c>
      <c r="J75" s="15">
        <v>1572.44</v>
      </c>
      <c r="K75" s="15">
        <v>389.86</v>
      </c>
      <c r="L75" s="15">
        <v>389.86</v>
      </c>
      <c r="M75" s="15">
        <v>0</v>
      </c>
      <c r="N75" s="15">
        <v>0</v>
      </c>
      <c r="O75" t="s">
        <v>75</v>
      </c>
    </row>
    <row r="76" spans="1:15" x14ac:dyDescent="0.25">
      <c r="A76" s="10" t="s">
        <v>245</v>
      </c>
      <c r="B76" s="15">
        <v>14226.38</v>
      </c>
      <c r="C76" s="15">
        <v>9122.25</v>
      </c>
      <c r="D76" s="15">
        <v>6841.69</v>
      </c>
      <c r="E76" s="15">
        <v>9122.25</v>
      </c>
      <c r="F76" s="15">
        <v>9122.25</v>
      </c>
      <c r="G76" s="15">
        <v>15203.76</v>
      </c>
      <c r="H76" s="15">
        <v>9122.25</v>
      </c>
      <c r="I76" s="15">
        <v>4561.13</v>
      </c>
      <c r="J76" s="15">
        <v>9122.25</v>
      </c>
      <c r="K76" s="15">
        <v>9122.25</v>
      </c>
      <c r="L76" s="15">
        <v>9122.25</v>
      </c>
      <c r="M76" s="15">
        <v>9122.25</v>
      </c>
      <c r="N76" s="15">
        <v>9122.25</v>
      </c>
      <c r="O76" t="s">
        <v>75</v>
      </c>
    </row>
    <row r="77" spans="1:15" x14ac:dyDescent="0.25">
      <c r="A77" s="10" t="s">
        <v>247</v>
      </c>
      <c r="B77" s="15">
        <v>1593.24</v>
      </c>
      <c r="C77" s="15">
        <v>838.53</v>
      </c>
      <c r="D77" s="15">
        <v>1620.82</v>
      </c>
      <c r="E77" s="15">
        <v>1736.59</v>
      </c>
      <c r="F77" s="15">
        <v>1736.59</v>
      </c>
      <c r="G77" s="15">
        <v>1736.59</v>
      </c>
      <c r="H77" s="15">
        <v>1736.59</v>
      </c>
      <c r="I77" s="15">
        <v>1736.59</v>
      </c>
      <c r="J77" s="15">
        <v>1736.59</v>
      </c>
      <c r="K77" s="15">
        <v>1736.59</v>
      </c>
      <c r="L77" s="15">
        <v>1736.59</v>
      </c>
      <c r="M77" s="15">
        <v>1736.59</v>
      </c>
      <c r="N77" s="15">
        <v>1744.66</v>
      </c>
      <c r="O77" t="s">
        <v>75</v>
      </c>
    </row>
    <row r="78" spans="1:15" x14ac:dyDescent="0.25">
      <c r="A78" s="10" t="s">
        <v>249</v>
      </c>
      <c r="B78" s="15">
        <v>4267.0600000000004</v>
      </c>
      <c r="C78" s="15">
        <v>2429.21</v>
      </c>
      <c r="D78" s="15">
        <v>1811.11</v>
      </c>
      <c r="E78" s="15">
        <v>2268.5100000000002</v>
      </c>
      <c r="F78" s="15">
        <v>2409.13</v>
      </c>
      <c r="G78" s="15">
        <v>2409.13</v>
      </c>
      <c r="H78" s="15">
        <v>2579.11</v>
      </c>
      <c r="I78" s="15">
        <v>2429.21</v>
      </c>
      <c r="J78" s="15">
        <v>2469.39</v>
      </c>
      <c r="K78" s="15">
        <v>2968.53</v>
      </c>
      <c r="L78" s="15">
        <v>4086.14</v>
      </c>
      <c r="M78" s="15">
        <v>1393.87</v>
      </c>
      <c r="N78" s="15">
        <v>2481.67</v>
      </c>
      <c r="O78" t="s">
        <v>75</v>
      </c>
    </row>
    <row r="79" spans="1:15" x14ac:dyDescent="0.25">
      <c r="A79" s="10" t="s">
        <v>254</v>
      </c>
      <c r="B79" s="15">
        <v>0</v>
      </c>
      <c r="C79" s="15">
        <v>1499.08</v>
      </c>
      <c r="D79" s="15">
        <v>1873.85</v>
      </c>
      <c r="E79" s="15">
        <v>1873.85</v>
      </c>
      <c r="F79" s="15">
        <v>1873.85</v>
      </c>
      <c r="G79" s="15">
        <v>1873.85</v>
      </c>
      <c r="H79" s="15">
        <v>2357.77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946.03</v>
      </c>
      <c r="O79" t="s">
        <v>75</v>
      </c>
    </row>
    <row r="80" spans="1:15" x14ac:dyDescent="0.25">
      <c r="A80" s="10" t="s">
        <v>256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619.99</v>
      </c>
      <c r="K80" s="15">
        <v>619.99</v>
      </c>
      <c r="L80" s="15">
        <v>619.99</v>
      </c>
      <c r="M80" s="15">
        <v>599.32000000000005</v>
      </c>
      <c r="N80" s="15">
        <v>258.33</v>
      </c>
      <c r="O80" t="s">
        <v>75</v>
      </c>
    </row>
    <row r="81" spans="1:15" x14ac:dyDescent="0.25">
      <c r="A81" s="10" t="s">
        <v>258</v>
      </c>
      <c r="B81" s="15">
        <v>2364.64</v>
      </c>
      <c r="C81" s="15">
        <v>4659.6400000000003</v>
      </c>
      <c r="D81" s="15">
        <v>2084.96</v>
      </c>
      <c r="E81" s="15">
        <v>486.78</v>
      </c>
      <c r="F81" s="15">
        <v>1955.15</v>
      </c>
      <c r="G81" s="15">
        <v>2076.92</v>
      </c>
      <c r="H81" s="15">
        <v>2214.7600000000002</v>
      </c>
      <c r="I81" s="15">
        <v>1955.15</v>
      </c>
      <c r="J81" s="15">
        <v>1947.11</v>
      </c>
      <c r="K81" s="15">
        <v>2466.34</v>
      </c>
      <c r="L81" s="15">
        <v>1947.11</v>
      </c>
      <c r="M81" s="15">
        <v>2214.7600000000002</v>
      </c>
      <c r="N81" s="15">
        <v>2070.83</v>
      </c>
      <c r="O81" t="s">
        <v>75</v>
      </c>
    </row>
    <row r="82" spans="1:15" x14ac:dyDescent="0.25">
      <c r="A82" s="10" t="s">
        <v>260</v>
      </c>
      <c r="B82" s="15">
        <v>1591.39</v>
      </c>
      <c r="C82" s="15">
        <v>3319.43</v>
      </c>
      <c r="D82" s="15">
        <v>1688.02</v>
      </c>
      <c r="E82" s="15">
        <v>984.68</v>
      </c>
      <c r="F82" s="15">
        <v>1688.02</v>
      </c>
      <c r="G82" s="15">
        <v>1688.02</v>
      </c>
      <c r="H82" s="15">
        <v>1688.02</v>
      </c>
      <c r="I82" s="15">
        <v>1688.02</v>
      </c>
      <c r="J82" s="15">
        <v>1688.02</v>
      </c>
      <c r="K82" s="15">
        <v>1688.02</v>
      </c>
      <c r="L82" s="15">
        <v>1688.02</v>
      </c>
      <c r="M82" s="15">
        <v>1688.02</v>
      </c>
      <c r="N82" s="15">
        <v>1698.34</v>
      </c>
      <c r="O82" t="s">
        <v>75</v>
      </c>
    </row>
    <row r="83" spans="1:15" x14ac:dyDescent="0.25">
      <c r="A83" s="10" t="s">
        <v>262</v>
      </c>
      <c r="B83" s="15">
        <v>0</v>
      </c>
      <c r="C83" s="15">
        <v>974.66</v>
      </c>
      <c r="D83" s="15">
        <v>1082.96</v>
      </c>
      <c r="E83" s="15">
        <v>1082.96</v>
      </c>
      <c r="F83" s="15">
        <v>1082.96</v>
      </c>
      <c r="G83" s="15">
        <v>1082.96</v>
      </c>
      <c r="H83" s="15">
        <v>1057.1500000000001</v>
      </c>
      <c r="I83" s="15">
        <v>1082.96</v>
      </c>
      <c r="J83" s="15">
        <v>1082.96</v>
      </c>
      <c r="K83" s="15">
        <v>1082.96</v>
      </c>
      <c r="L83" s="15">
        <v>1082.96</v>
      </c>
      <c r="M83" s="15">
        <v>1082.96</v>
      </c>
      <c r="N83" s="15">
        <v>1082.96</v>
      </c>
      <c r="O83" t="s">
        <v>75</v>
      </c>
    </row>
    <row r="84" spans="1:15" x14ac:dyDescent="0.25">
      <c r="A84" s="10" t="s">
        <v>264</v>
      </c>
      <c r="B84" s="15">
        <v>1113.94</v>
      </c>
      <c r="C84" s="15">
        <v>834.21</v>
      </c>
      <c r="D84" s="15">
        <v>1295.5</v>
      </c>
      <c r="E84" s="15">
        <v>1189.9000000000001</v>
      </c>
      <c r="F84" s="15">
        <v>2379.8000000000002</v>
      </c>
      <c r="G84" s="15">
        <v>2379.8000000000002</v>
      </c>
      <c r="H84" s="15">
        <v>3653.72</v>
      </c>
      <c r="I84" s="15">
        <v>1427.88</v>
      </c>
      <c r="J84" s="15">
        <v>2379.8000000000002</v>
      </c>
      <c r="K84" s="15">
        <v>2379.8000000000002</v>
      </c>
      <c r="L84" s="15">
        <v>2379.8000000000002</v>
      </c>
      <c r="M84" s="15">
        <v>4290.68</v>
      </c>
      <c r="N84" s="15">
        <v>2388.6</v>
      </c>
      <c r="O84" t="s">
        <v>75</v>
      </c>
    </row>
    <row r="85" spans="1:15" x14ac:dyDescent="0.25">
      <c r="A85" s="10" t="s">
        <v>266</v>
      </c>
      <c r="B85" s="15">
        <v>0</v>
      </c>
      <c r="C85" s="15">
        <v>1499.08</v>
      </c>
      <c r="D85" s="15">
        <v>1873.85</v>
      </c>
      <c r="E85" s="15">
        <v>1873.85</v>
      </c>
      <c r="F85" s="15">
        <v>1873.85</v>
      </c>
      <c r="G85" s="15">
        <v>1822.79</v>
      </c>
      <c r="H85" s="15">
        <v>1873.85</v>
      </c>
      <c r="I85" s="15">
        <v>1873.85</v>
      </c>
      <c r="J85" s="15">
        <v>1869.17</v>
      </c>
      <c r="K85" s="15">
        <v>1873.85</v>
      </c>
      <c r="L85" s="15">
        <v>1873.85</v>
      </c>
      <c r="M85" s="15">
        <v>1873.85</v>
      </c>
      <c r="N85" s="15">
        <v>1873.85</v>
      </c>
      <c r="O85" t="s">
        <v>75</v>
      </c>
    </row>
    <row r="86" spans="1:15" x14ac:dyDescent="0.25">
      <c r="A86" s="10" t="s">
        <v>268</v>
      </c>
      <c r="B86" s="15">
        <v>1297.22</v>
      </c>
      <c r="C86" s="15">
        <v>2076.92</v>
      </c>
      <c r="D86" s="15">
        <v>2076.92</v>
      </c>
      <c r="E86" s="15">
        <v>1967.2</v>
      </c>
      <c r="F86" s="15">
        <v>1947.11</v>
      </c>
      <c r="G86" s="15">
        <v>2214.7600000000002</v>
      </c>
      <c r="H86" s="15">
        <v>2084.96</v>
      </c>
      <c r="I86" s="15">
        <v>1967.2</v>
      </c>
      <c r="J86" s="15">
        <v>1947.11</v>
      </c>
      <c r="K86" s="15">
        <v>2466.34</v>
      </c>
      <c r="L86" s="15">
        <v>1947.11</v>
      </c>
      <c r="M86" s="15">
        <v>2206.7199999999998</v>
      </c>
      <c r="N86" s="15">
        <v>2092.21</v>
      </c>
      <c r="O86" t="s">
        <v>75</v>
      </c>
    </row>
    <row r="87" spans="1:15" x14ac:dyDescent="0.25">
      <c r="A87" s="10" t="s">
        <v>270</v>
      </c>
      <c r="B87" s="15">
        <v>2586.0100000000002</v>
      </c>
      <c r="C87" s="15">
        <v>3106.13</v>
      </c>
      <c r="D87" s="15">
        <v>2885.73</v>
      </c>
      <c r="E87" s="15">
        <v>2885.73</v>
      </c>
      <c r="F87" s="15">
        <v>4816.25</v>
      </c>
      <c r="G87" s="15">
        <v>2885.73</v>
      </c>
      <c r="H87" s="15">
        <v>2126.06</v>
      </c>
      <c r="I87" s="15">
        <v>2885.73</v>
      </c>
      <c r="J87" s="15">
        <v>2885.73</v>
      </c>
      <c r="K87" s="15">
        <v>2885.73</v>
      </c>
      <c r="L87" s="15">
        <v>4816.25</v>
      </c>
      <c r="M87" s="15">
        <v>2885.73</v>
      </c>
      <c r="N87" s="15">
        <v>2904.1</v>
      </c>
      <c r="O87" t="s">
        <v>75</v>
      </c>
    </row>
    <row r="88" spans="1:15" x14ac:dyDescent="0.25">
      <c r="A88" s="10" t="s">
        <v>272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1686.47</v>
      </c>
      <c r="J88" s="15">
        <v>1873.85</v>
      </c>
      <c r="K88" s="15">
        <v>1873.85</v>
      </c>
      <c r="L88" s="15">
        <v>1873.85</v>
      </c>
      <c r="M88" s="15">
        <v>1873.85</v>
      </c>
      <c r="N88" s="15">
        <v>936.93</v>
      </c>
      <c r="O88" t="s">
        <v>75</v>
      </c>
    </row>
    <row r="89" spans="1:15" x14ac:dyDescent="0.25">
      <c r="A89" s="10" t="s">
        <v>274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6069.56</v>
      </c>
      <c r="M89" s="15">
        <v>10115.94</v>
      </c>
      <c r="N89" s="15">
        <v>2528.9899999999998</v>
      </c>
      <c r="O89" t="s">
        <v>75</v>
      </c>
    </row>
    <row r="90" spans="1:15" x14ac:dyDescent="0.25">
      <c r="A90" s="10" t="s">
        <v>276</v>
      </c>
      <c r="B90" s="15">
        <v>0</v>
      </c>
      <c r="C90" s="15">
        <v>1193.54</v>
      </c>
      <c r="D90" s="15">
        <v>1989.24</v>
      </c>
      <c r="E90" s="15">
        <v>1989.24</v>
      </c>
      <c r="F90" s="15">
        <v>1989.24</v>
      </c>
      <c r="G90" s="15">
        <v>1989.24</v>
      </c>
      <c r="H90" s="15">
        <v>1957.41</v>
      </c>
      <c r="I90" s="15">
        <v>1989.24</v>
      </c>
      <c r="J90" s="15">
        <v>1989.24</v>
      </c>
      <c r="K90" s="15">
        <v>1989.24</v>
      </c>
      <c r="L90" s="15">
        <v>1989.24</v>
      </c>
      <c r="M90" s="15">
        <v>1989.24</v>
      </c>
      <c r="N90" s="15">
        <v>1989.24</v>
      </c>
      <c r="O90" t="s">
        <v>75</v>
      </c>
    </row>
    <row r="91" spans="1:15" x14ac:dyDescent="0.25">
      <c r="A91" s="10" t="s">
        <v>278</v>
      </c>
      <c r="B91" s="15">
        <v>19426.84</v>
      </c>
      <c r="C91" s="15">
        <v>20980.99</v>
      </c>
      <c r="D91" s="15">
        <v>20980.99</v>
      </c>
      <c r="E91" s="15">
        <v>20980.99</v>
      </c>
      <c r="F91" s="15">
        <v>20980.99</v>
      </c>
      <c r="G91" s="15">
        <v>20980.99</v>
      </c>
      <c r="H91" s="15">
        <v>20980.99</v>
      </c>
      <c r="I91" s="15">
        <v>20980.99</v>
      </c>
      <c r="J91" s="15">
        <v>20980.99</v>
      </c>
      <c r="K91" s="15">
        <v>20980.99</v>
      </c>
      <c r="L91" s="15">
        <v>20980.99</v>
      </c>
      <c r="M91" s="15">
        <v>20980.99</v>
      </c>
      <c r="N91" s="15">
        <v>20980.99</v>
      </c>
      <c r="O91" t="s">
        <v>75</v>
      </c>
    </row>
    <row r="92" spans="1:15" x14ac:dyDescent="0.25">
      <c r="A92" s="10" t="s">
        <v>280</v>
      </c>
      <c r="B92" s="15">
        <v>1989.25</v>
      </c>
      <c r="C92" s="15">
        <v>2211.14</v>
      </c>
      <c r="D92" s="15">
        <v>4947.74</v>
      </c>
      <c r="E92" s="15">
        <v>2211.14</v>
      </c>
      <c r="F92" s="15">
        <v>773.9</v>
      </c>
      <c r="G92" s="15">
        <v>1990.03</v>
      </c>
      <c r="H92" s="15">
        <v>2211.14</v>
      </c>
      <c r="I92" s="15">
        <v>2211.14</v>
      </c>
      <c r="J92" s="15">
        <v>1987.82</v>
      </c>
      <c r="K92" s="15">
        <v>2096.9</v>
      </c>
      <c r="L92" s="15">
        <v>2211.14</v>
      </c>
      <c r="M92" s="15">
        <v>2211.14</v>
      </c>
      <c r="N92" s="15">
        <v>2211.14</v>
      </c>
      <c r="O92" t="s">
        <v>75</v>
      </c>
    </row>
    <row r="93" spans="1:15" x14ac:dyDescent="0.25">
      <c r="A93" s="10" t="s">
        <v>282</v>
      </c>
      <c r="B93" s="15">
        <v>1921.55</v>
      </c>
      <c r="C93" s="15">
        <v>2263.6</v>
      </c>
      <c r="D93" s="15">
        <v>2042.5</v>
      </c>
      <c r="E93" s="15">
        <v>2042.5</v>
      </c>
      <c r="F93" s="15">
        <v>2605.5500000000002</v>
      </c>
      <c r="G93" s="15">
        <v>2042.5</v>
      </c>
      <c r="H93" s="15">
        <v>3241.22</v>
      </c>
      <c r="I93" s="15">
        <v>2042.5</v>
      </c>
      <c r="J93" s="15">
        <v>2042.5</v>
      </c>
      <c r="K93" s="15">
        <v>3960.71</v>
      </c>
      <c r="L93" s="15">
        <v>2042.5</v>
      </c>
      <c r="M93" s="15">
        <v>1191.46</v>
      </c>
      <c r="N93" s="15">
        <v>2207.7399999999998</v>
      </c>
      <c r="O93" t="s">
        <v>75</v>
      </c>
    </row>
    <row r="94" spans="1:15" x14ac:dyDescent="0.25">
      <c r="A94" s="10" t="s">
        <v>284</v>
      </c>
      <c r="B94" s="15">
        <v>1921.58</v>
      </c>
      <c r="C94" s="15">
        <v>1335.71</v>
      </c>
      <c r="D94" s="15">
        <v>2042.5</v>
      </c>
      <c r="E94" s="15">
        <v>2008.8</v>
      </c>
      <c r="F94" s="15">
        <v>1981.57</v>
      </c>
      <c r="G94" s="15">
        <v>2042.5</v>
      </c>
      <c r="H94" s="15">
        <v>2948.4</v>
      </c>
      <c r="I94" s="15">
        <v>2042.5</v>
      </c>
      <c r="J94" s="15">
        <v>1361.67</v>
      </c>
      <c r="K94" s="15">
        <v>2042.5</v>
      </c>
      <c r="L94" s="15">
        <v>2042.5</v>
      </c>
      <c r="M94" s="15">
        <v>3860.78</v>
      </c>
      <c r="N94" s="15">
        <v>2045.56</v>
      </c>
      <c r="O94" t="s">
        <v>75</v>
      </c>
    </row>
    <row r="95" spans="1:15" x14ac:dyDescent="0.25">
      <c r="A95" s="10" t="s">
        <v>286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1811.39</v>
      </c>
      <c r="H95" s="15">
        <v>1873.85</v>
      </c>
      <c r="I95" s="15">
        <v>1873.85</v>
      </c>
      <c r="J95" s="15">
        <v>1873.85</v>
      </c>
      <c r="K95" s="15">
        <v>1873.85</v>
      </c>
      <c r="L95" s="15">
        <v>1873.85</v>
      </c>
      <c r="M95" s="15">
        <v>1873.85</v>
      </c>
      <c r="N95" s="15">
        <v>1249.23</v>
      </c>
      <c r="O95" t="s">
        <v>75</v>
      </c>
    </row>
    <row r="96" spans="1:15" x14ac:dyDescent="0.25">
      <c r="A96" s="10" t="s">
        <v>288</v>
      </c>
      <c r="B96" s="15">
        <v>2252.75</v>
      </c>
      <c r="C96" s="15">
        <v>1955.15</v>
      </c>
      <c r="D96" s="15">
        <v>2097.0100000000002</v>
      </c>
      <c r="E96" s="15">
        <v>2084.96</v>
      </c>
      <c r="F96" s="15">
        <v>4616.22</v>
      </c>
      <c r="G96" s="15">
        <v>2141.1999999999998</v>
      </c>
      <c r="H96" s="15">
        <v>486.78</v>
      </c>
      <c r="I96" s="15">
        <v>1955.15</v>
      </c>
      <c r="J96" s="15">
        <v>1955.15</v>
      </c>
      <c r="K96" s="15">
        <v>4048.14</v>
      </c>
      <c r="L96" s="15">
        <v>0</v>
      </c>
      <c r="M96" s="15">
        <v>0</v>
      </c>
      <c r="N96" s="15">
        <v>1927.48</v>
      </c>
      <c r="O96" t="s">
        <v>75</v>
      </c>
    </row>
    <row r="97" spans="1:15" x14ac:dyDescent="0.25">
      <c r="A97" s="10" t="s">
        <v>290</v>
      </c>
      <c r="B97" s="15">
        <v>10501.38</v>
      </c>
      <c r="C97" s="15">
        <v>22959.08</v>
      </c>
      <c r="D97" s="15">
        <v>11033.8</v>
      </c>
      <c r="E97" s="15">
        <v>6797.44</v>
      </c>
      <c r="F97" s="15">
        <v>11033.8</v>
      </c>
      <c r="G97" s="15">
        <v>11033.8</v>
      </c>
      <c r="H97" s="15">
        <v>11033.8</v>
      </c>
      <c r="I97" s="15">
        <v>11033.8</v>
      </c>
      <c r="J97" s="15">
        <v>11033.8</v>
      </c>
      <c r="K97" s="15">
        <v>11033.8</v>
      </c>
      <c r="L97" s="15">
        <v>11033.8</v>
      </c>
      <c r="M97" s="15">
        <v>11033.8</v>
      </c>
      <c r="N97" s="15">
        <v>11197.24</v>
      </c>
      <c r="O97" t="s">
        <v>75</v>
      </c>
    </row>
    <row r="98" spans="1:15" x14ac:dyDescent="0.25">
      <c r="A98" s="10" t="s">
        <v>292</v>
      </c>
      <c r="B98" s="15">
        <v>1921.55</v>
      </c>
      <c r="C98" s="15">
        <v>2567.17</v>
      </c>
      <c r="D98" s="15">
        <v>2969.71</v>
      </c>
      <c r="E98" s="15">
        <v>1868.73</v>
      </c>
      <c r="F98" s="15">
        <v>2042.5</v>
      </c>
      <c r="G98" s="15">
        <v>1989.74</v>
      </c>
      <c r="H98" s="15">
        <v>2042.5</v>
      </c>
      <c r="I98" s="15">
        <v>2969.7</v>
      </c>
      <c r="J98" s="15">
        <v>2042.5</v>
      </c>
      <c r="K98" s="15">
        <v>1361.67</v>
      </c>
      <c r="L98" s="15">
        <v>2042.5</v>
      </c>
      <c r="M98" s="15">
        <v>2042.5</v>
      </c>
      <c r="N98" s="15">
        <v>2086.2199999999998</v>
      </c>
      <c r="O98" t="s">
        <v>75</v>
      </c>
    </row>
    <row r="99" spans="1:15" x14ac:dyDescent="0.25">
      <c r="A99" s="10" t="s">
        <v>294</v>
      </c>
      <c r="B99" s="15">
        <v>2486.5500000000002</v>
      </c>
      <c r="C99" s="15">
        <v>2206.5300000000002</v>
      </c>
      <c r="D99" s="15">
        <v>2211.14</v>
      </c>
      <c r="E99" s="15">
        <v>5161.8999999999996</v>
      </c>
      <c r="F99" s="15">
        <v>1584.66</v>
      </c>
      <c r="G99" s="15">
        <v>1179.27</v>
      </c>
      <c r="H99" s="15">
        <v>2211.14</v>
      </c>
      <c r="I99" s="15">
        <v>2211.14</v>
      </c>
      <c r="J99" s="15">
        <v>2211.14</v>
      </c>
      <c r="K99" s="15">
        <v>2211.14</v>
      </c>
      <c r="L99" s="15">
        <v>2211.14</v>
      </c>
      <c r="M99" s="15">
        <v>2211.14</v>
      </c>
      <c r="N99" s="15">
        <v>2211.14</v>
      </c>
      <c r="O99" t="s">
        <v>75</v>
      </c>
    </row>
    <row r="100" spans="1:15" x14ac:dyDescent="0.25">
      <c r="A100" s="10" t="s">
        <v>296</v>
      </c>
      <c r="B100" s="15">
        <v>2327.34</v>
      </c>
      <c r="C100" s="15">
        <v>1955.15</v>
      </c>
      <c r="D100" s="15">
        <v>4064.53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690.67</v>
      </c>
      <c r="O100" t="s">
        <v>75</v>
      </c>
    </row>
    <row r="101" spans="1:15" x14ac:dyDescent="0.25">
      <c r="A101" s="10" t="s">
        <v>298</v>
      </c>
      <c r="B101" s="15">
        <v>2586.0100000000002</v>
      </c>
      <c r="C101" s="15">
        <v>5850.71</v>
      </c>
      <c r="D101" s="15">
        <v>3716.17</v>
      </c>
      <c r="E101" s="15">
        <v>1119.94</v>
      </c>
      <c r="F101" s="15">
        <v>3054.38</v>
      </c>
      <c r="G101" s="15">
        <v>3054.38</v>
      </c>
      <c r="H101" s="15">
        <v>3054.38</v>
      </c>
      <c r="I101" s="15">
        <v>4417.43</v>
      </c>
      <c r="J101" s="15">
        <v>2036.25</v>
      </c>
      <c r="K101" s="15">
        <v>3054.38</v>
      </c>
      <c r="L101" s="15">
        <v>3054.38</v>
      </c>
      <c r="M101" s="15">
        <v>3054.38</v>
      </c>
      <c r="N101" s="15">
        <v>3060.23</v>
      </c>
      <c r="O101" t="s">
        <v>75</v>
      </c>
    </row>
    <row r="102" spans="1:15" x14ac:dyDescent="0.25">
      <c r="A102" s="10" t="s">
        <v>300</v>
      </c>
      <c r="B102" s="15">
        <v>0</v>
      </c>
      <c r="C102" s="15">
        <v>1947.11</v>
      </c>
      <c r="D102" s="15">
        <v>2163.4499999999998</v>
      </c>
      <c r="E102" s="15">
        <v>2163.4499999999998</v>
      </c>
      <c r="F102" s="15">
        <v>2163.4499999999998</v>
      </c>
      <c r="G102" s="15">
        <v>1863.46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1081.73</v>
      </c>
      <c r="O102" t="s">
        <v>75</v>
      </c>
    </row>
    <row r="103" spans="1:15" x14ac:dyDescent="0.25">
      <c r="A103" s="10" t="s">
        <v>302</v>
      </c>
      <c r="B103" s="15">
        <v>17484.169999999998</v>
      </c>
      <c r="C103" s="15">
        <v>5625.92</v>
      </c>
      <c r="D103" s="15">
        <v>16870.22</v>
      </c>
      <c r="E103" s="15">
        <v>15770.99</v>
      </c>
      <c r="F103" s="15">
        <v>15770.99</v>
      </c>
      <c r="G103" s="15">
        <v>15770.99</v>
      </c>
      <c r="H103" s="15">
        <v>15770.99</v>
      </c>
      <c r="I103" s="15">
        <v>15770.99</v>
      </c>
      <c r="J103" s="15">
        <v>15770.99</v>
      </c>
      <c r="K103" s="15">
        <v>15770.99</v>
      </c>
      <c r="L103" s="15">
        <v>15770.99</v>
      </c>
      <c r="M103" s="15">
        <v>29789.66</v>
      </c>
      <c r="N103" s="15">
        <v>15770.99</v>
      </c>
      <c r="O103" t="s">
        <v>75</v>
      </c>
    </row>
    <row r="104" spans="1:15" x14ac:dyDescent="0.25">
      <c r="A104" s="10" t="s">
        <v>304</v>
      </c>
      <c r="B104" s="15">
        <v>11277.17</v>
      </c>
      <c r="C104" s="15">
        <v>7066.63</v>
      </c>
      <c r="D104" s="15">
        <v>6135.76</v>
      </c>
      <c r="E104" s="15">
        <v>7362.91</v>
      </c>
      <c r="F104" s="15">
        <v>7362.91</v>
      </c>
      <c r="G104" s="15">
        <v>7362.91</v>
      </c>
      <c r="H104" s="15">
        <v>11965.6</v>
      </c>
      <c r="I104" s="15">
        <v>7362.91</v>
      </c>
      <c r="J104" s="15">
        <v>3926.89</v>
      </c>
      <c r="K104" s="15">
        <v>7362.91</v>
      </c>
      <c r="L104" s="15">
        <v>11289.87</v>
      </c>
      <c r="M104" s="15">
        <v>7362.91</v>
      </c>
      <c r="N104" s="15">
        <v>7363.06</v>
      </c>
      <c r="O104" t="s">
        <v>75</v>
      </c>
    </row>
    <row r="105" spans="1:15" x14ac:dyDescent="0.25">
      <c r="A105" s="10" t="s">
        <v>306</v>
      </c>
      <c r="B105" s="15">
        <v>6840.91</v>
      </c>
      <c r="C105" s="15">
        <v>7362.91</v>
      </c>
      <c r="D105" s="15">
        <v>10964.62</v>
      </c>
      <c r="E105" s="15">
        <v>6503.91</v>
      </c>
      <c r="F105" s="15">
        <v>13584.04</v>
      </c>
      <c r="G105" s="15">
        <v>7362.91</v>
      </c>
      <c r="H105" s="15">
        <v>2699.73</v>
      </c>
      <c r="I105" s="15">
        <v>7362.91</v>
      </c>
      <c r="J105" s="15">
        <v>7362.91</v>
      </c>
      <c r="K105" s="15">
        <v>7362.91</v>
      </c>
      <c r="L105" s="15">
        <v>7362.91</v>
      </c>
      <c r="M105" s="15">
        <v>10962.55</v>
      </c>
      <c r="N105" s="15">
        <v>7362.91</v>
      </c>
      <c r="O105" t="s">
        <v>75</v>
      </c>
    </row>
    <row r="106" spans="1:15" x14ac:dyDescent="0.25">
      <c r="A106" s="10" t="s">
        <v>308</v>
      </c>
      <c r="B106" s="15">
        <v>5701.41</v>
      </c>
      <c r="C106" s="15">
        <v>5986.48</v>
      </c>
      <c r="D106" s="15">
        <v>5986.48</v>
      </c>
      <c r="E106" s="15">
        <v>11428.45</v>
      </c>
      <c r="F106" s="15">
        <v>5986.48</v>
      </c>
      <c r="G106" s="15">
        <v>3492.12</v>
      </c>
      <c r="H106" s="15">
        <v>5986.48</v>
      </c>
      <c r="I106" s="15">
        <v>5986.48</v>
      </c>
      <c r="J106" s="15">
        <v>5986.48</v>
      </c>
      <c r="K106" s="15">
        <v>5986.48</v>
      </c>
      <c r="L106" s="15">
        <v>5986.48</v>
      </c>
      <c r="M106" s="15">
        <v>5986.48</v>
      </c>
      <c r="N106" s="15">
        <v>5986.48</v>
      </c>
      <c r="O106" t="s">
        <v>75</v>
      </c>
    </row>
    <row r="107" spans="1:15" x14ac:dyDescent="0.25">
      <c r="A107" s="10" t="s">
        <v>310</v>
      </c>
      <c r="B107" s="15">
        <v>1989.25</v>
      </c>
      <c r="C107" s="15">
        <v>2155.86</v>
      </c>
      <c r="D107" s="15">
        <v>2211.14</v>
      </c>
      <c r="E107" s="15">
        <v>2188.66</v>
      </c>
      <c r="F107" s="15">
        <v>2210.0300000000002</v>
      </c>
      <c r="G107" s="15">
        <v>2211.14</v>
      </c>
      <c r="H107" s="15">
        <v>4146.5600000000004</v>
      </c>
      <c r="I107" s="15">
        <v>2203.4</v>
      </c>
      <c r="J107" s="15">
        <v>1282.0999999999999</v>
      </c>
      <c r="K107" s="15">
        <v>2211.14</v>
      </c>
      <c r="L107" s="15">
        <v>2210.2199999999998</v>
      </c>
      <c r="M107" s="15">
        <v>2211.14</v>
      </c>
      <c r="N107" s="15">
        <v>2211.14</v>
      </c>
      <c r="O107" t="s">
        <v>75</v>
      </c>
    </row>
    <row r="108" spans="1:15" x14ac:dyDescent="0.25">
      <c r="A108" s="10" t="s">
        <v>312</v>
      </c>
      <c r="B108" s="15">
        <v>2486.54</v>
      </c>
      <c r="C108" s="15">
        <v>4144.9399999999996</v>
      </c>
      <c r="D108" s="15">
        <v>3753.38</v>
      </c>
      <c r="E108" s="15">
        <v>2679.61</v>
      </c>
      <c r="F108" s="15">
        <v>2655.05</v>
      </c>
      <c r="G108" s="15">
        <v>5231.4799999999996</v>
      </c>
      <c r="H108" s="15">
        <v>2679.61</v>
      </c>
      <c r="I108" s="15">
        <v>1563.1</v>
      </c>
      <c r="J108" s="15">
        <v>2679.61</v>
      </c>
      <c r="K108" s="15">
        <v>2679.61</v>
      </c>
      <c r="L108" s="15">
        <v>2679.61</v>
      </c>
      <c r="M108" s="15">
        <v>2679.61</v>
      </c>
      <c r="N108" s="15">
        <v>2891.2</v>
      </c>
      <c r="O108" t="s">
        <v>75</v>
      </c>
    </row>
    <row r="109" spans="1:15" x14ac:dyDescent="0.25">
      <c r="A109" s="10" t="s">
        <v>314</v>
      </c>
      <c r="B109" s="15">
        <v>3885.23</v>
      </c>
      <c r="C109" s="15">
        <v>3551.17</v>
      </c>
      <c r="D109" s="15">
        <v>3478.13</v>
      </c>
      <c r="E109" s="15">
        <v>3478.13</v>
      </c>
      <c r="F109" s="15">
        <v>3478.13</v>
      </c>
      <c r="G109" s="15">
        <v>3594.07</v>
      </c>
      <c r="H109" s="15">
        <v>3478.13</v>
      </c>
      <c r="I109" s="15">
        <v>7023.84</v>
      </c>
      <c r="J109" s="15">
        <v>3594.07</v>
      </c>
      <c r="K109" s="15">
        <v>2260.7800000000002</v>
      </c>
      <c r="L109" s="15">
        <v>3246.25</v>
      </c>
      <c r="M109" s="15">
        <v>3478.13</v>
      </c>
      <c r="N109" s="15">
        <v>3484.22</v>
      </c>
      <c r="O109" t="s">
        <v>75</v>
      </c>
    </row>
    <row r="110" spans="1:15" x14ac:dyDescent="0.25">
      <c r="A110" s="10" t="s">
        <v>316</v>
      </c>
      <c r="B110" s="15">
        <v>3773.7</v>
      </c>
      <c r="C110" s="15">
        <v>6541.88</v>
      </c>
      <c r="D110" s="15">
        <v>4172.74</v>
      </c>
      <c r="E110" s="15">
        <v>3825.02</v>
      </c>
      <c r="F110" s="15">
        <v>4172.74</v>
      </c>
      <c r="G110" s="15">
        <v>4172.74</v>
      </c>
      <c r="H110" s="15">
        <v>6034.57</v>
      </c>
      <c r="I110" s="15">
        <v>4172.74</v>
      </c>
      <c r="J110" s="15">
        <v>2781.83</v>
      </c>
      <c r="K110" s="15">
        <v>4172.74</v>
      </c>
      <c r="L110" s="15">
        <v>4172.74</v>
      </c>
      <c r="M110" s="15">
        <v>4172.74</v>
      </c>
      <c r="N110" s="15">
        <v>4189.3</v>
      </c>
      <c r="O110" t="s">
        <v>75</v>
      </c>
    </row>
    <row r="111" spans="1:15" x14ac:dyDescent="0.25">
      <c r="A111" s="10" t="s">
        <v>318</v>
      </c>
      <c r="B111" s="15">
        <v>5262.25</v>
      </c>
      <c r="C111" s="15">
        <v>6606.44</v>
      </c>
      <c r="D111" s="15">
        <v>5642.28</v>
      </c>
      <c r="E111" s="15">
        <v>5642.28</v>
      </c>
      <c r="F111" s="15">
        <v>5642.28</v>
      </c>
      <c r="G111" s="15">
        <v>5642.28</v>
      </c>
      <c r="H111" s="15">
        <v>5642.28</v>
      </c>
      <c r="I111" s="15">
        <v>5642.28</v>
      </c>
      <c r="J111" s="15">
        <v>5642.28</v>
      </c>
      <c r="K111" s="15">
        <v>8196.73</v>
      </c>
      <c r="L111" s="15">
        <v>3761.52</v>
      </c>
      <c r="M111" s="15">
        <v>5642.28</v>
      </c>
      <c r="N111" s="15">
        <v>5747.52</v>
      </c>
      <c r="O111" t="s">
        <v>75</v>
      </c>
    </row>
    <row r="112" spans="1:15" x14ac:dyDescent="0.25">
      <c r="A112" s="10" t="s">
        <v>320</v>
      </c>
      <c r="B112" s="15">
        <v>6375.86</v>
      </c>
      <c r="C112" s="15">
        <v>5899.4</v>
      </c>
      <c r="D112" s="15">
        <v>2782.5</v>
      </c>
      <c r="E112" s="15">
        <v>5593.9</v>
      </c>
      <c r="F112" s="15">
        <v>3478.13</v>
      </c>
      <c r="G112" s="15">
        <v>2086.88</v>
      </c>
      <c r="H112" s="15">
        <v>3478.13</v>
      </c>
      <c r="I112" s="15">
        <v>6112.05</v>
      </c>
      <c r="J112" s="15">
        <v>4230.68</v>
      </c>
      <c r="K112" s="15">
        <v>3478.13</v>
      </c>
      <c r="L112" s="15">
        <v>6651.8</v>
      </c>
      <c r="M112" s="15">
        <v>3478.13</v>
      </c>
      <c r="N112" s="15">
        <v>3997.45</v>
      </c>
      <c r="O112" t="s">
        <v>75</v>
      </c>
    </row>
    <row r="113" spans="1:15" x14ac:dyDescent="0.25">
      <c r="A113" s="10" t="s">
        <v>322</v>
      </c>
      <c r="B113" s="15">
        <v>0</v>
      </c>
      <c r="C113" s="15">
        <v>0</v>
      </c>
      <c r="D113" s="15">
        <v>1906.33</v>
      </c>
      <c r="E113" s="15">
        <v>2042.5</v>
      </c>
      <c r="F113" s="15">
        <v>2126.2399999999998</v>
      </c>
      <c r="G113" s="15">
        <v>2042.5</v>
      </c>
      <c r="H113" s="15">
        <v>2042.5</v>
      </c>
      <c r="I113" s="15">
        <v>2042.5</v>
      </c>
      <c r="J113" s="15">
        <v>2042.5</v>
      </c>
      <c r="K113" s="15">
        <v>2042.5</v>
      </c>
      <c r="L113" s="15">
        <v>2042.5</v>
      </c>
      <c r="M113" s="15">
        <v>2042.5</v>
      </c>
      <c r="N113" s="15">
        <v>1879.96</v>
      </c>
      <c r="O113" t="s">
        <v>75</v>
      </c>
    </row>
    <row r="114" spans="1:15" x14ac:dyDescent="0.25">
      <c r="A114" s="10" t="s">
        <v>324</v>
      </c>
      <c r="B114" s="15">
        <v>1921.58</v>
      </c>
      <c r="C114" s="15">
        <v>2236.0300000000002</v>
      </c>
      <c r="D114" s="15">
        <v>2042.5</v>
      </c>
      <c r="E114" s="15">
        <v>2042.5</v>
      </c>
      <c r="F114" s="15">
        <v>2476.61</v>
      </c>
      <c r="G114" s="15">
        <v>2042.5</v>
      </c>
      <c r="H114" s="15">
        <v>2042.5</v>
      </c>
      <c r="I114" s="15">
        <v>2042.5</v>
      </c>
      <c r="J114" s="15">
        <v>2042.5</v>
      </c>
      <c r="K114" s="15">
        <v>3904.55</v>
      </c>
      <c r="L114" s="15">
        <v>2042.5</v>
      </c>
      <c r="M114" s="15">
        <v>1191.46</v>
      </c>
      <c r="N114" s="15">
        <v>2094.8000000000002</v>
      </c>
      <c r="O114" t="s">
        <v>75</v>
      </c>
    </row>
    <row r="115" spans="1:15" x14ac:dyDescent="0.25">
      <c r="A115" s="10" t="s">
        <v>326</v>
      </c>
      <c r="B115" s="15">
        <v>2127.9899999999998</v>
      </c>
      <c r="C115" s="15">
        <v>2240.44</v>
      </c>
      <c r="D115" s="15">
        <v>2211.14</v>
      </c>
      <c r="E115" s="15">
        <v>2211.14</v>
      </c>
      <c r="F115" s="15">
        <v>2211.14</v>
      </c>
      <c r="G115" s="15">
        <v>2131.91</v>
      </c>
      <c r="H115" s="15">
        <v>2145.73</v>
      </c>
      <c r="I115" s="15">
        <v>2192.5300000000002</v>
      </c>
      <c r="J115" s="15">
        <v>2211.14</v>
      </c>
      <c r="K115" s="15">
        <v>2211.14</v>
      </c>
      <c r="L115" s="15">
        <v>5123.8100000000004</v>
      </c>
      <c r="M115" s="15">
        <v>2211.14</v>
      </c>
      <c r="N115" s="15">
        <v>2213.58</v>
      </c>
      <c r="O115" t="s">
        <v>75</v>
      </c>
    </row>
    <row r="116" spans="1:15" x14ac:dyDescent="0.25">
      <c r="A116" s="10" t="s">
        <v>328</v>
      </c>
      <c r="B116" s="15">
        <v>2550.04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343.36</v>
      </c>
      <c r="O116" t="s">
        <v>75</v>
      </c>
    </row>
    <row r="117" spans="1:15" x14ac:dyDescent="0.25">
      <c r="A117" s="10" t="s">
        <v>330</v>
      </c>
      <c r="B117" s="15">
        <v>5262.23</v>
      </c>
      <c r="C117" s="15">
        <v>6294.67</v>
      </c>
      <c r="D117" s="15">
        <v>5642.28</v>
      </c>
      <c r="E117" s="15">
        <v>8149.96</v>
      </c>
      <c r="F117" s="15">
        <v>5924.39</v>
      </c>
      <c r="G117" s="15">
        <v>4889.9799999999996</v>
      </c>
      <c r="H117" s="15">
        <v>5642.28</v>
      </c>
      <c r="I117" s="15">
        <v>5642.28</v>
      </c>
      <c r="J117" s="15">
        <v>5642.28</v>
      </c>
      <c r="K117" s="15">
        <v>10705.97</v>
      </c>
      <c r="L117" s="15">
        <v>5642.28</v>
      </c>
      <c r="M117" s="15">
        <v>1880.76</v>
      </c>
      <c r="N117" s="15">
        <v>5696.65</v>
      </c>
      <c r="O117" t="s">
        <v>75</v>
      </c>
    </row>
    <row r="118" spans="1:15" x14ac:dyDescent="0.25">
      <c r="A118" s="10" t="s">
        <v>332</v>
      </c>
      <c r="B118" s="15">
        <v>2417.4299999999998</v>
      </c>
      <c r="C118" s="15">
        <v>2076.92</v>
      </c>
      <c r="D118" s="15">
        <v>2082.08</v>
      </c>
      <c r="E118" s="15">
        <v>2084.96</v>
      </c>
      <c r="F118" s="15">
        <v>4805.3500000000004</v>
      </c>
      <c r="G118" s="15">
        <v>2214.7600000000002</v>
      </c>
      <c r="H118" s="15">
        <v>616.59</v>
      </c>
      <c r="I118" s="15">
        <v>1952.45</v>
      </c>
      <c r="J118" s="15">
        <v>1955.15</v>
      </c>
      <c r="K118" s="15">
        <v>2466.34</v>
      </c>
      <c r="L118" s="15">
        <v>1947.11</v>
      </c>
      <c r="M118" s="15">
        <v>2208.81</v>
      </c>
      <c r="N118" s="15">
        <v>2113.63</v>
      </c>
      <c r="O118" t="s">
        <v>75</v>
      </c>
    </row>
    <row r="119" spans="1:15" x14ac:dyDescent="0.25">
      <c r="A119" s="10" t="s">
        <v>334</v>
      </c>
      <c r="B119" s="15">
        <v>2041.68</v>
      </c>
      <c r="C119" s="15">
        <v>2310.83</v>
      </c>
      <c r="D119" s="15">
        <v>2042.5</v>
      </c>
      <c r="E119" s="15">
        <v>2042.5</v>
      </c>
      <c r="F119" s="15">
        <v>2081.56</v>
      </c>
      <c r="G119" s="15">
        <v>2042.5</v>
      </c>
      <c r="H119" s="15">
        <v>2042.5</v>
      </c>
      <c r="I119" s="15">
        <v>2042.5</v>
      </c>
      <c r="J119" s="15">
        <v>4799.99</v>
      </c>
      <c r="K119" s="15">
        <v>2042.5</v>
      </c>
      <c r="L119" s="15">
        <v>578.71</v>
      </c>
      <c r="M119" s="15">
        <v>1974.42</v>
      </c>
      <c r="N119" s="15">
        <v>2068.12</v>
      </c>
      <c r="O119" t="s">
        <v>75</v>
      </c>
    </row>
    <row r="120" spans="1:15" x14ac:dyDescent="0.25">
      <c r="A120" s="10" t="s">
        <v>336</v>
      </c>
      <c r="B120" s="15">
        <v>2320.7800000000002</v>
      </c>
      <c r="C120" s="15">
        <v>2157.15</v>
      </c>
      <c r="D120" s="15">
        <v>2095.2399999999998</v>
      </c>
      <c r="E120" s="15">
        <v>2187.37</v>
      </c>
      <c r="F120" s="15">
        <v>2161.7600000000002</v>
      </c>
      <c r="G120" s="15">
        <v>2211.14</v>
      </c>
      <c r="H120" s="15">
        <v>2211.14</v>
      </c>
      <c r="I120" s="15">
        <v>5159.33</v>
      </c>
      <c r="J120" s="15">
        <v>2128.96</v>
      </c>
      <c r="K120" s="15">
        <v>552.79</v>
      </c>
      <c r="L120" s="15">
        <v>2211.14</v>
      </c>
      <c r="M120" s="15">
        <v>2211.14</v>
      </c>
      <c r="N120" s="15">
        <v>2211.14</v>
      </c>
      <c r="O120" t="s">
        <v>75</v>
      </c>
    </row>
    <row r="121" spans="1:15" x14ac:dyDescent="0.25">
      <c r="A121" s="10" t="s">
        <v>338</v>
      </c>
      <c r="B121" s="15">
        <v>1273.0999999999999</v>
      </c>
      <c r="C121" s="15">
        <v>1082.96</v>
      </c>
      <c r="D121" s="15">
        <v>1074.3900000000001</v>
      </c>
      <c r="E121" s="15">
        <v>1249.47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437.23</v>
      </c>
      <c r="M121" s="15">
        <v>1873.85</v>
      </c>
      <c r="N121" s="15">
        <v>583.04999999999995</v>
      </c>
      <c r="O121" t="s">
        <v>75</v>
      </c>
    </row>
    <row r="122" spans="1:15" x14ac:dyDescent="0.25">
      <c r="A122" s="10" t="s">
        <v>84</v>
      </c>
      <c r="B122" s="15">
        <v>5113.83</v>
      </c>
      <c r="C122" s="15">
        <v>8639.5499999999993</v>
      </c>
      <c r="D122" s="15">
        <v>5979.03</v>
      </c>
      <c r="E122" s="15">
        <v>5498.65</v>
      </c>
      <c r="F122" s="15">
        <v>5771.09</v>
      </c>
      <c r="G122" s="15">
        <v>5702.6</v>
      </c>
      <c r="H122" s="15">
        <v>5998.53</v>
      </c>
      <c r="I122" s="15">
        <v>5585.13</v>
      </c>
      <c r="J122" s="15">
        <v>8456.09</v>
      </c>
      <c r="K122" s="15">
        <v>5819.07</v>
      </c>
      <c r="L122" s="15">
        <v>3999.02</v>
      </c>
      <c r="M122" s="15">
        <v>5998.53</v>
      </c>
      <c r="N122" s="15">
        <v>5998.53</v>
      </c>
      <c r="O122" t="s">
        <v>75</v>
      </c>
    </row>
    <row r="123" spans="1:15" x14ac:dyDescent="0.25">
      <c r="A123" s="10" t="s">
        <v>340</v>
      </c>
      <c r="B123" s="15">
        <v>1657.7</v>
      </c>
      <c r="C123" s="15">
        <v>2724.05</v>
      </c>
      <c r="D123" s="15">
        <v>2163.4499999999998</v>
      </c>
      <c r="E123" s="15">
        <v>2161.65</v>
      </c>
      <c r="F123" s="15">
        <v>2163.4499999999998</v>
      </c>
      <c r="G123" s="15">
        <v>2163.4499999999998</v>
      </c>
      <c r="H123" s="15">
        <v>2163.4499999999998</v>
      </c>
      <c r="I123" s="15">
        <v>2163.4499999999998</v>
      </c>
      <c r="J123" s="15">
        <v>2163.4499999999998</v>
      </c>
      <c r="K123" s="15">
        <v>2163.4499999999998</v>
      </c>
      <c r="L123" s="15">
        <v>4128.05</v>
      </c>
      <c r="M123" s="15">
        <v>1983.16</v>
      </c>
      <c r="N123" s="15">
        <v>2210.17</v>
      </c>
      <c r="O123" t="s">
        <v>75</v>
      </c>
    </row>
    <row r="124" spans="1:15" x14ac:dyDescent="0.25">
      <c r="A124" s="10" t="s">
        <v>342</v>
      </c>
      <c r="B124" s="15">
        <v>1989.24</v>
      </c>
      <c r="C124" s="15">
        <v>2322.73</v>
      </c>
      <c r="D124" s="15">
        <v>2163.4499999999998</v>
      </c>
      <c r="E124" s="15">
        <v>2163.4499999999998</v>
      </c>
      <c r="F124" s="15">
        <v>2163.4499999999998</v>
      </c>
      <c r="G124" s="15">
        <v>2163.4499999999998</v>
      </c>
      <c r="H124" s="15">
        <v>4001.57</v>
      </c>
      <c r="I124" s="15">
        <v>2163.4499999999998</v>
      </c>
      <c r="J124" s="15">
        <v>1334.13</v>
      </c>
      <c r="K124" s="15">
        <v>2163.4499999999998</v>
      </c>
      <c r="L124" s="15">
        <v>2163.4499999999998</v>
      </c>
      <c r="M124" s="15">
        <v>3227.64</v>
      </c>
      <c r="N124" s="15">
        <v>2176.7199999999998</v>
      </c>
      <c r="O124" t="s">
        <v>75</v>
      </c>
    </row>
    <row r="125" spans="1:15" x14ac:dyDescent="0.25">
      <c r="A125" s="10" t="s">
        <v>344</v>
      </c>
      <c r="B125" s="15">
        <v>1921.58</v>
      </c>
      <c r="C125" s="15">
        <v>2216.62</v>
      </c>
      <c r="D125" s="15">
        <v>2042.5</v>
      </c>
      <c r="E125" s="15">
        <v>2042.5</v>
      </c>
      <c r="F125" s="15">
        <v>2042.5</v>
      </c>
      <c r="G125" s="15">
        <v>2004.54</v>
      </c>
      <c r="H125" s="15">
        <v>2016.63</v>
      </c>
      <c r="I125" s="15">
        <v>2042.5</v>
      </c>
      <c r="J125" s="15">
        <v>3897.85</v>
      </c>
      <c r="K125" s="15">
        <v>1736.13</v>
      </c>
      <c r="L125" s="15">
        <v>1497.83</v>
      </c>
      <c r="M125" s="15">
        <v>2042.5</v>
      </c>
      <c r="N125" s="15">
        <v>2057.0100000000002</v>
      </c>
      <c r="O125" t="s">
        <v>75</v>
      </c>
    </row>
    <row r="126" spans="1:15" x14ac:dyDescent="0.25">
      <c r="A126" s="10" t="s">
        <v>346</v>
      </c>
      <c r="B126" s="15">
        <v>3760.69</v>
      </c>
      <c r="C126" s="15">
        <v>1900.42</v>
      </c>
      <c r="D126" s="15">
        <v>1730.76</v>
      </c>
      <c r="E126" s="15">
        <v>2163.4499999999998</v>
      </c>
      <c r="F126" s="15">
        <v>2163.4499999999998</v>
      </c>
      <c r="G126" s="15">
        <v>2163.4499999999998</v>
      </c>
      <c r="H126" s="15">
        <v>2163.4499999999998</v>
      </c>
      <c r="I126" s="15">
        <v>2163.4499999999998</v>
      </c>
      <c r="J126" s="15">
        <v>2163.4499999999998</v>
      </c>
      <c r="K126" s="15">
        <v>3126.85</v>
      </c>
      <c r="L126" s="15">
        <v>1586.53</v>
      </c>
      <c r="M126" s="15">
        <v>2019.22</v>
      </c>
      <c r="N126" s="15">
        <v>2167.66</v>
      </c>
      <c r="O126" t="s">
        <v>75</v>
      </c>
    </row>
    <row r="127" spans="1:15" x14ac:dyDescent="0.25">
      <c r="A127" s="10" t="s">
        <v>348</v>
      </c>
      <c r="B127" s="15">
        <v>2029.02</v>
      </c>
      <c r="C127" s="15">
        <v>1947.11</v>
      </c>
      <c r="D127" s="15">
        <v>2071.62</v>
      </c>
      <c r="E127" s="15">
        <v>1933.23</v>
      </c>
      <c r="F127" s="15">
        <v>2071.98</v>
      </c>
      <c r="G127" s="15">
        <v>2203.11</v>
      </c>
      <c r="H127" s="15">
        <v>4738.9799999999996</v>
      </c>
      <c r="I127" s="15">
        <v>1955.15</v>
      </c>
      <c r="J127" s="15">
        <v>551.67999999999995</v>
      </c>
      <c r="K127" s="15">
        <v>1882.21</v>
      </c>
      <c r="L127" s="15">
        <v>1955.15</v>
      </c>
      <c r="M127" s="15">
        <v>2076.92</v>
      </c>
      <c r="N127" s="15">
        <v>2033.52</v>
      </c>
      <c r="O127" t="s">
        <v>75</v>
      </c>
    </row>
    <row r="128" spans="1:15" x14ac:dyDescent="0.25">
      <c r="A128" s="10" t="s">
        <v>350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384.4</v>
      </c>
      <c r="H128" s="15">
        <v>768.79</v>
      </c>
      <c r="I128" s="15">
        <v>768.79</v>
      </c>
      <c r="J128" s="15">
        <v>768.79</v>
      </c>
      <c r="K128" s="15">
        <v>768.79</v>
      </c>
      <c r="L128" s="15">
        <v>768.79</v>
      </c>
      <c r="M128" s="15">
        <v>743.16</v>
      </c>
      <c r="N128" s="15">
        <v>512.53</v>
      </c>
      <c r="O128" t="s">
        <v>75</v>
      </c>
    </row>
    <row r="129" spans="1:15" x14ac:dyDescent="0.25">
      <c r="A129" s="10" t="s">
        <v>352</v>
      </c>
      <c r="B129" s="15">
        <v>1981.29</v>
      </c>
      <c r="C129" s="15">
        <v>2224.77</v>
      </c>
      <c r="D129" s="15">
        <v>2211.14</v>
      </c>
      <c r="E129" s="15">
        <v>2164.71</v>
      </c>
      <c r="F129" s="15">
        <v>2211.14</v>
      </c>
      <c r="G129" s="15">
        <v>2211.14</v>
      </c>
      <c r="H129" s="15">
        <v>2211.14</v>
      </c>
      <c r="I129" s="15">
        <v>2284.84</v>
      </c>
      <c r="J129" s="15">
        <v>2284.84</v>
      </c>
      <c r="K129" s="15">
        <v>5170.2299999999996</v>
      </c>
      <c r="L129" s="15">
        <v>2284.84</v>
      </c>
      <c r="M129" s="15">
        <v>0</v>
      </c>
      <c r="N129" s="15">
        <v>2219.3200000000002</v>
      </c>
      <c r="O129" t="s">
        <v>75</v>
      </c>
    </row>
    <row r="130" spans="1:15" x14ac:dyDescent="0.25">
      <c r="A130" s="10" t="s">
        <v>354</v>
      </c>
      <c r="B130" s="15">
        <v>640.51</v>
      </c>
      <c r="C130" s="15">
        <v>2153.0500000000002</v>
      </c>
      <c r="D130" s="15">
        <v>2042.5</v>
      </c>
      <c r="E130" s="15">
        <v>2042.5</v>
      </c>
      <c r="F130" s="15">
        <v>2026.67</v>
      </c>
      <c r="G130" s="15">
        <v>2042.5</v>
      </c>
      <c r="H130" s="15">
        <v>2042.5</v>
      </c>
      <c r="I130" s="15">
        <v>2042.5</v>
      </c>
      <c r="J130" s="15">
        <v>2042.5</v>
      </c>
      <c r="K130" s="15">
        <v>2042.5</v>
      </c>
      <c r="L130" s="15">
        <v>2042.5</v>
      </c>
      <c r="M130" s="15">
        <v>2042.5</v>
      </c>
      <c r="N130" s="15">
        <v>2051.71</v>
      </c>
      <c r="O130" t="s">
        <v>75</v>
      </c>
    </row>
    <row r="131" spans="1:15" x14ac:dyDescent="0.25">
      <c r="A131" s="10" t="s">
        <v>356</v>
      </c>
      <c r="B131" s="15">
        <v>2383.19</v>
      </c>
      <c r="C131" s="15">
        <v>1947.11</v>
      </c>
      <c r="D131" s="15">
        <v>2097.0100000000002</v>
      </c>
      <c r="E131" s="15">
        <v>3429.88</v>
      </c>
      <c r="F131" s="15">
        <v>2084.96</v>
      </c>
      <c r="G131" s="15">
        <v>1610.24</v>
      </c>
      <c r="H131" s="15">
        <v>1947.11</v>
      </c>
      <c r="I131" s="15">
        <v>3308.11</v>
      </c>
      <c r="J131" s="15">
        <v>1967.2</v>
      </c>
      <c r="K131" s="15">
        <v>1492.79</v>
      </c>
      <c r="L131" s="15">
        <v>1947.11</v>
      </c>
      <c r="M131" s="15">
        <v>2076.92</v>
      </c>
      <c r="N131" s="15">
        <v>1900.22</v>
      </c>
      <c r="O131" t="s">
        <v>75</v>
      </c>
    </row>
    <row r="132" spans="1:15" x14ac:dyDescent="0.25">
      <c r="A132" s="10" t="s">
        <v>358</v>
      </c>
      <c r="B132" s="15">
        <v>1921.58</v>
      </c>
      <c r="C132" s="15">
        <v>2428.79</v>
      </c>
      <c r="D132" s="15">
        <v>2042.5</v>
      </c>
      <c r="E132" s="15">
        <v>3886.67</v>
      </c>
      <c r="F132" s="15">
        <v>2254.92</v>
      </c>
      <c r="G132" s="15">
        <v>1191.46</v>
      </c>
      <c r="H132" s="15">
        <v>2042.5</v>
      </c>
      <c r="I132" s="15">
        <v>2042.5</v>
      </c>
      <c r="J132" s="15">
        <v>2042.5</v>
      </c>
      <c r="K132" s="15">
        <v>2042.5</v>
      </c>
      <c r="L132" s="15">
        <v>2042.5</v>
      </c>
      <c r="M132" s="15">
        <v>2110.58</v>
      </c>
      <c r="N132" s="15">
        <v>2092.39</v>
      </c>
      <c r="O132" t="s">
        <v>75</v>
      </c>
    </row>
    <row r="133" spans="1:15" x14ac:dyDescent="0.25">
      <c r="A133" s="10" t="s">
        <v>360</v>
      </c>
      <c r="B133" s="15">
        <v>928.31</v>
      </c>
      <c r="C133" s="15">
        <v>2049.9899999999998</v>
      </c>
      <c r="D133" s="15">
        <v>1873.85</v>
      </c>
      <c r="E133" s="15">
        <v>1805.3</v>
      </c>
      <c r="F133" s="15">
        <v>1873.85</v>
      </c>
      <c r="G133" s="15">
        <v>1873.85</v>
      </c>
      <c r="H133" s="15">
        <v>1873.85</v>
      </c>
      <c r="I133" s="15">
        <v>1873.85</v>
      </c>
      <c r="J133" s="15">
        <v>1849.33</v>
      </c>
      <c r="K133" s="15">
        <v>1873.85</v>
      </c>
      <c r="L133" s="15">
        <v>1873.85</v>
      </c>
      <c r="M133" s="15">
        <v>3552.54</v>
      </c>
      <c r="N133" s="15">
        <v>1888.53</v>
      </c>
      <c r="O133" t="s">
        <v>75</v>
      </c>
    </row>
    <row r="134" spans="1:15" x14ac:dyDescent="0.25">
      <c r="A134" s="10" t="s">
        <v>362</v>
      </c>
      <c r="B134" s="15">
        <v>1989.25</v>
      </c>
      <c r="C134" s="15">
        <v>2745.68</v>
      </c>
      <c r="D134" s="15">
        <v>2379.79</v>
      </c>
      <c r="E134" s="15">
        <v>2379.79</v>
      </c>
      <c r="F134" s="15">
        <v>2379.79</v>
      </c>
      <c r="G134" s="15">
        <v>2379.79</v>
      </c>
      <c r="H134" s="15">
        <v>3451.02</v>
      </c>
      <c r="I134" s="15">
        <v>2379.79</v>
      </c>
      <c r="J134" s="15">
        <v>2181.48</v>
      </c>
      <c r="K134" s="15">
        <v>2379.79</v>
      </c>
      <c r="L134" s="15">
        <v>2379.79</v>
      </c>
      <c r="M134" s="15">
        <v>2379.79</v>
      </c>
      <c r="N134" s="15">
        <v>2410.2800000000002</v>
      </c>
      <c r="O134" t="s">
        <v>75</v>
      </c>
    </row>
    <row r="135" spans="1:15" x14ac:dyDescent="0.25">
      <c r="A135" s="10" t="s">
        <v>364</v>
      </c>
      <c r="B135" s="15">
        <v>2448.62</v>
      </c>
      <c r="C135" s="15">
        <v>1773.05</v>
      </c>
      <c r="D135" s="15">
        <v>2679.61</v>
      </c>
      <c r="E135" s="15">
        <v>2679.61</v>
      </c>
      <c r="F135" s="15">
        <v>2800.19</v>
      </c>
      <c r="G135" s="15">
        <v>2679.61</v>
      </c>
      <c r="H135" s="15">
        <v>2510.12</v>
      </c>
      <c r="I135" s="15">
        <v>2679.61</v>
      </c>
      <c r="J135" s="15">
        <v>2679.61</v>
      </c>
      <c r="K135" s="15">
        <v>2643.88</v>
      </c>
      <c r="L135" s="15">
        <v>2679.61</v>
      </c>
      <c r="M135" s="15">
        <v>2658.17</v>
      </c>
      <c r="N135" s="15">
        <v>2692.81</v>
      </c>
      <c r="O135" t="s">
        <v>75</v>
      </c>
    </row>
    <row r="136" spans="1:15" x14ac:dyDescent="0.25">
      <c r="A136" s="10" t="s">
        <v>366</v>
      </c>
      <c r="B136" s="15">
        <v>1964.51</v>
      </c>
      <c r="C136" s="15">
        <v>2273.6</v>
      </c>
      <c r="D136" s="15">
        <v>3196.19</v>
      </c>
      <c r="E136" s="15">
        <v>2211.14</v>
      </c>
      <c r="F136" s="15">
        <v>2051.7600000000002</v>
      </c>
      <c r="G136" s="15">
        <v>2211.14</v>
      </c>
      <c r="H136" s="15">
        <v>4130.7299999999996</v>
      </c>
      <c r="I136" s="15">
        <v>2211.14</v>
      </c>
      <c r="J136" s="15">
        <v>737.05</v>
      </c>
      <c r="K136" s="15">
        <v>2211.14</v>
      </c>
      <c r="L136" s="15">
        <v>2211.14</v>
      </c>
      <c r="M136" s="15">
        <v>2211.14</v>
      </c>
      <c r="N136" s="15">
        <v>2218.42</v>
      </c>
      <c r="O136" t="s">
        <v>75</v>
      </c>
    </row>
    <row r="137" spans="1:15" x14ac:dyDescent="0.25">
      <c r="A137" s="10" t="s">
        <v>368</v>
      </c>
      <c r="B137" s="15">
        <v>0</v>
      </c>
      <c r="C137" s="15">
        <v>1361.67</v>
      </c>
      <c r="D137" s="15">
        <v>2042.5</v>
      </c>
      <c r="E137" s="15">
        <v>2042.5</v>
      </c>
      <c r="F137" s="15">
        <v>2651.25</v>
      </c>
      <c r="G137" s="15">
        <v>2042.5</v>
      </c>
      <c r="H137" s="15">
        <v>2042.5</v>
      </c>
      <c r="I137" s="15">
        <v>2042.5</v>
      </c>
      <c r="J137" s="15">
        <v>2042.5</v>
      </c>
      <c r="K137" s="15">
        <v>2042.5</v>
      </c>
      <c r="L137" s="15">
        <v>2042.5</v>
      </c>
      <c r="M137" s="15">
        <v>2042.5</v>
      </c>
      <c r="N137" s="15">
        <v>2097.84</v>
      </c>
      <c r="O137" t="s">
        <v>75</v>
      </c>
    </row>
    <row r="138" spans="1:15" x14ac:dyDescent="0.25">
      <c r="A138" s="10" t="s">
        <v>370</v>
      </c>
      <c r="B138" s="15">
        <v>0</v>
      </c>
      <c r="C138" s="15">
        <v>0</v>
      </c>
      <c r="D138" s="15">
        <v>1082.96</v>
      </c>
      <c r="E138" s="15">
        <v>1082.96</v>
      </c>
      <c r="F138" s="15">
        <v>1080.79</v>
      </c>
      <c r="G138" s="15">
        <v>1082.96</v>
      </c>
      <c r="H138" s="15">
        <v>1082.96</v>
      </c>
      <c r="I138" s="15">
        <v>1082.96</v>
      </c>
      <c r="J138" s="15">
        <v>1082.96</v>
      </c>
      <c r="K138" s="15">
        <v>1082.96</v>
      </c>
      <c r="L138" s="15">
        <v>1120.5899999999999</v>
      </c>
      <c r="M138" s="15">
        <v>0</v>
      </c>
      <c r="N138" s="15">
        <v>815.75</v>
      </c>
      <c r="O138" t="s">
        <v>75</v>
      </c>
    </row>
    <row r="139" spans="1:15" x14ac:dyDescent="0.25">
      <c r="A139" s="10" t="s">
        <v>372</v>
      </c>
      <c r="B139" s="15">
        <v>1856.62</v>
      </c>
      <c r="C139" s="15">
        <v>2211.14</v>
      </c>
      <c r="D139" s="15">
        <v>2211.14</v>
      </c>
      <c r="E139" s="15">
        <v>2211.14</v>
      </c>
      <c r="F139" s="15">
        <v>2211.14</v>
      </c>
      <c r="G139" s="15">
        <v>2206.7199999999998</v>
      </c>
      <c r="H139" s="15">
        <v>2211.14</v>
      </c>
      <c r="I139" s="15">
        <v>2211.14</v>
      </c>
      <c r="J139" s="15">
        <v>2211.14</v>
      </c>
      <c r="K139" s="15">
        <v>5159.33</v>
      </c>
      <c r="L139" s="15">
        <v>2164.52</v>
      </c>
      <c r="M139" s="15">
        <v>700.2</v>
      </c>
      <c r="N139" s="15">
        <v>2211.14</v>
      </c>
      <c r="O139" t="s">
        <v>75</v>
      </c>
    </row>
    <row r="140" spans="1:15" x14ac:dyDescent="0.25">
      <c r="A140" s="10" t="s">
        <v>374</v>
      </c>
      <c r="B140" s="15">
        <v>531.15</v>
      </c>
      <c r="C140" s="15">
        <v>155.22</v>
      </c>
      <c r="D140" s="15">
        <v>416.7</v>
      </c>
      <c r="E140" s="15">
        <v>446.46</v>
      </c>
      <c r="F140" s="15">
        <v>446.46</v>
      </c>
      <c r="G140" s="15">
        <v>446.46</v>
      </c>
      <c r="H140" s="15">
        <v>654.80999999999995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260.44</v>
      </c>
      <c r="O140" t="s">
        <v>75</v>
      </c>
    </row>
    <row r="141" spans="1:15" x14ac:dyDescent="0.25">
      <c r="A141" s="10" t="s">
        <v>376</v>
      </c>
      <c r="B141" s="15">
        <v>2823.96</v>
      </c>
      <c r="C141" s="15">
        <v>3840.58</v>
      </c>
      <c r="D141" s="15">
        <v>3840.58</v>
      </c>
      <c r="E141" s="15">
        <v>3840.58</v>
      </c>
      <c r="F141" s="15">
        <v>7320.51</v>
      </c>
      <c r="G141" s="15">
        <v>3840.58</v>
      </c>
      <c r="H141" s="15">
        <v>2240.34</v>
      </c>
      <c r="I141" s="15">
        <v>3840.58</v>
      </c>
      <c r="J141" s="15">
        <v>3840.58</v>
      </c>
      <c r="K141" s="15">
        <v>3840.58</v>
      </c>
      <c r="L141" s="15">
        <v>3840.58</v>
      </c>
      <c r="M141" s="15">
        <v>3840.58</v>
      </c>
      <c r="N141" s="15">
        <v>3840.58</v>
      </c>
      <c r="O141" t="s">
        <v>75</v>
      </c>
    </row>
    <row r="142" spans="1:15" x14ac:dyDescent="0.25">
      <c r="A142" s="10" t="s">
        <v>378</v>
      </c>
      <c r="B142" s="15">
        <v>1724</v>
      </c>
      <c r="C142" s="15">
        <v>2261.17</v>
      </c>
      <c r="D142" s="15">
        <v>2211.14</v>
      </c>
      <c r="E142" s="15">
        <v>2211.14</v>
      </c>
      <c r="F142" s="15">
        <v>4186.93</v>
      </c>
      <c r="G142" s="15">
        <v>2616.52</v>
      </c>
      <c r="H142" s="15">
        <v>884.46</v>
      </c>
      <c r="I142" s="15">
        <v>2211.14</v>
      </c>
      <c r="J142" s="15">
        <v>2211.14</v>
      </c>
      <c r="K142" s="15">
        <v>2211.14</v>
      </c>
      <c r="L142" s="15">
        <v>2277.65</v>
      </c>
      <c r="M142" s="15">
        <v>0</v>
      </c>
      <c r="N142" s="15">
        <v>1846.41</v>
      </c>
      <c r="O142" t="s">
        <v>75</v>
      </c>
    </row>
    <row r="143" spans="1:15" x14ac:dyDescent="0.25">
      <c r="A143" s="10" t="s">
        <v>380</v>
      </c>
      <c r="B143" s="15">
        <v>2590.16</v>
      </c>
      <c r="C143" s="15">
        <v>2697.36</v>
      </c>
      <c r="D143" s="15">
        <v>2679.61</v>
      </c>
      <c r="E143" s="15">
        <v>2679.61</v>
      </c>
      <c r="F143" s="15">
        <v>2679.61</v>
      </c>
      <c r="G143" s="15">
        <v>2679.61</v>
      </c>
      <c r="H143" s="15">
        <v>2679.61</v>
      </c>
      <c r="I143" s="15">
        <v>2679.61</v>
      </c>
      <c r="J143" s="15">
        <v>2679.61</v>
      </c>
      <c r="K143" s="15">
        <v>2679.61</v>
      </c>
      <c r="L143" s="15">
        <v>2679.61</v>
      </c>
      <c r="M143" s="15">
        <v>2679.61</v>
      </c>
      <c r="N143" s="15">
        <v>2681.09</v>
      </c>
      <c r="O143" t="s">
        <v>75</v>
      </c>
    </row>
    <row r="144" spans="1:15" x14ac:dyDescent="0.25">
      <c r="A144" s="10" t="s">
        <v>382</v>
      </c>
      <c r="B144" s="15">
        <v>1989.25</v>
      </c>
      <c r="C144" s="15">
        <v>1428.23</v>
      </c>
      <c r="D144" s="15">
        <v>2063.73</v>
      </c>
      <c r="E144" s="15">
        <v>2211.14</v>
      </c>
      <c r="F144" s="15">
        <v>2211.14</v>
      </c>
      <c r="G144" s="15">
        <v>2211.14</v>
      </c>
      <c r="H144" s="15">
        <v>2211.14</v>
      </c>
      <c r="I144" s="15">
        <v>2211.14</v>
      </c>
      <c r="J144" s="15">
        <v>1621.5</v>
      </c>
      <c r="K144" s="15">
        <v>0</v>
      </c>
      <c r="L144" s="15">
        <v>2211.14</v>
      </c>
      <c r="M144" s="15">
        <v>2211.14</v>
      </c>
      <c r="N144" s="15">
        <v>2059.8200000000002</v>
      </c>
      <c r="O144" t="s">
        <v>75</v>
      </c>
    </row>
    <row r="145" spans="1:15" x14ac:dyDescent="0.25">
      <c r="A145" s="10" t="s">
        <v>384</v>
      </c>
      <c r="B145" s="15">
        <v>4933.3599999999997</v>
      </c>
      <c r="C145" s="15">
        <v>7530.42</v>
      </c>
      <c r="D145" s="15">
        <v>7362.91</v>
      </c>
      <c r="E145" s="15">
        <v>7362.91</v>
      </c>
      <c r="F145" s="15">
        <v>7362.91</v>
      </c>
      <c r="G145" s="15">
        <v>7362.91</v>
      </c>
      <c r="H145" s="15">
        <v>7362.91</v>
      </c>
      <c r="I145" s="15">
        <v>12271.52</v>
      </c>
      <c r="J145" s="15">
        <v>7362.91</v>
      </c>
      <c r="K145" s="15">
        <v>5522.19</v>
      </c>
      <c r="L145" s="15">
        <v>7362.91</v>
      </c>
      <c r="M145" s="15">
        <v>7362.91</v>
      </c>
      <c r="N145" s="15">
        <v>7376.87</v>
      </c>
      <c r="O145" t="s">
        <v>75</v>
      </c>
    </row>
    <row r="146" spans="1:15" x14ac:dyDescent="0.25">
      <c r="A146" s="10" t="s">
        <v>386</v>
      </c>
      <c r="B146" s="15">
        <v>3108.18</v>
      </c>
      <c r="C146" s="15">
        <v>6648.55</v>
      </c>
      <c r="D146" s="15">
        <v>6708.8</v>
      </c>
      <c r="E146" s="15">
        <v>2268.73</v>
      </c>
      <c r="F146" s="15">
        <v>3403.1</v>
      </c>
      <c r="G146" s="15">
        <v>3403.1</v>
      </c>
      <c r="H146" s="15">
        <v>3403.1</v>
      </c>
      <c r="I146" s="15">
        <v>3403.1</v>
      </c>
      <c r="J146" s="15">
        <v>3403.1</v>
      </c>
      <c r="K146" s="15">
        <v>3403.1</v>
      </c>
      <c r="L146" s="15">
        <v>3403.1</v>
      </c>
      <c r="M146" s="15">
        <v>5107.74</v>
      </c>
      <c r="N146" s="15">
        <v>3835.41</v>
      </c>
      <c r="O146" t="s">
        <v>75</v>
      </c>
    </row>
    <row r="147" spans="1:15" x14ac:dyDescent="0.25">
      <c r="A147" s="10" t="s">
        <v>388</v>
      </c>
      <c r="B147" s="15">
        <v>2721.28</v>
      </c>
      <c r="C147" s="15">
        <v>1785.5</v>
      </c>
      <c r="D147" s="15">
        <v>1266.02</v>
      </c>
      <c r="E147" s="15">
        <v>1688.02</v>
      </c>
      <c r="F147" s="15">
        <v>1688.02</v>
      </c>
      <c r="G147" s="15">
        <v>1688.02</v>
      </c>
      <c r="H147" s="15">
        <v>1688.02</v>
      </c>
      <c r="I147" s="15">
        <v>1688.02</v>
      </c>
      <c r="J147" s="15">
        <v>1688.02</v>
      </c>
      <c r="K147" s="15">
        <v>1688.02</v>
      </c>
      <c r="L147" s="15">
        <v>1688.02</v>
      </c>
      <c r="M147" s="15">
        <v>2818.78</v>
      </c>
      <c r="N147" s="15">
        <v>1696.14</v>
      </c>
      <c r="O147" t="s">
        <v>75</v>
      </c>
    </row>
    <row r="148" spans="1:15" x14ac:dyDescent="0.25">
      <c r="A148" s="10" t="s">
        <v>390</v>
      </c>
      <c r="B148" s="15">
        <v>1989.25</v>
      </c>
      <c r="C148" s="15">
        <v>2699.17</v>
      </c>
      <c r="D148" s="15">
        <v>4094.08</v>
      </c>
      <c r="E148" s="15">
        <v>2122.89</v>
      </c>
      <c r="F148" s="15">
        <v>1262.01</v>
      </c>
      <c r="G148" s="15">
        <v>2163.4499999999998</v>
      </c>
      <c r="H148" s="15">
        <v>2163.4499999999998</v>
      </c>
      <c r="I148" s="15">
        <v>2163.4499999999998</v>
      </c>
      <c r="J148" s="15">
        <v>2163.4499999999998</v>
      </c>
      <c r="K148" s="15">
        <v>2163.4499999999998</v>
      </c>
      <c r="L148" s="15">
        <v>3144.82</v>
      </c>
      <c r="M148" s="15">
        <v>1442.3</v>
      </c>
      <c r="N148" s="15">
        <v>2208.09</v>
      </c>
      <c r="O148" t="s">
        <v>75</v>
      </c>
    </row>
    <row r="149" spans="1:15" x14ac:dyDescent="0.25">
      <c r="A149" s="10" t="s">
        <v>392</v>
      </c>
      <c r="B149" s="15">
        <v>1957.58</v>
      </c>
      <c r="C149" s="15">
        <v>832.61</v>
      </c>
      <c r="D149" s="15">
        <v>1825.34</v>
      </c>
      <c r="E149" s="15">
        <v>1947.11</v>
      </c>
      <c r="F149" s="15">
        <v>2076.92</v>
      </c>
      <c r="G149" s="15">
        <v>2213.29</v>
      </c>
      <c r="H149" s="15">
        <v>2064.48</v>
      </c>
      <c r="I149" s="15">
        <v>1947.11</v>
      </c>
      <c r="J149" s="15">
        <v>1941.34</v>
      </c>
      <c r="K149" s="15">
        <v>2474.38</v>
      </c>
      <c r="L149" s="15">
        <v>2076.92</v>
      </c>
      <c r="M149" s="15">
        <v>5003.3100000000004</v>
      </c>
      <c r="N149" s="15">
        <v>2088.62</v>
      </c>
      <c r="O149" t="s">
        <v>75</v>
      </c>
    </row>
    <row r="150" spans="1:15" x14ac:dyDescent="0.25">
      <c r="A150" s="10" t="s">
        <v>394</v>
      </c>
      <c r="B150" s="15">
        <v>1018.48</v>
      </c>
      <c r="C150" s="15">
        <v>1138.31</v>
      </c>
      <c r="D150" s="15">
        <v>1073.1199999999999</v>
      </c>
      <c r="E150" s="15">
        <v>1073.1199999999999</v>
      </c>
      <c r="F150" s="15">
        <v>1073.1199999999999</v>
      </c>
      <c r="G150" s="15">
        <v>1073.1199999999999</v>
      </c>
      <c r="H150" s="15">
        <v>1073.1199999999999</v>
      </c>
      <c r="I150" s="15">
        <v>2511.19</v>
      </c>
      <c r="J150" s="15">
        <v>1073.1199999999999</v>
      </c>
      <c r="K150" s="15">
        <v>411.36</v>
      </c>
      <c r="L150" s="15">
        <v>930.04</v>
      </c>
      <c r="M150" s="15">
        <v>1373.06</v>
      </c>
      <c r="N150" s="15">
        <v>1103.55</v>
      </c>
      <c r="O150" t="s">
        <v>75</v>
      </c>
    </row>
    <row r="151" spans="1:15" x14ac:dyDescent="0.25">
      <c r="A151" s="10" t="s">
        <v>398</v>
      </c>
      <c r="B151" s="15">
        <v>9366.61</v>
      </c>
      <c r="C151" s="15">
        <v>10115.94</v>
      </c>
      <c r="D151" s="15">
        <v>19337.43</v>
      </c>
      <c r="E151" s="15">
        <v>11296.13</v>
      </c>
      <c r="F151" s="15">
        <v>4720.7700000000004</v>
      </c>
      <c r="G151" s="15">
        <v>14726.69</v>
      </c>
      <c r="H151" s="15">
        <v>10115.94</v>
      </c>
      <c r="I151" s="15">
        <v>6743.96</v>
      </c>
      <c r="J151" s="15">
        <v>10115.94</v>
      </c>
      <c r="K151" s="15">
        <v>10115.94</v>
      </c>
      <c r="L151" s="15">
        <v>10115.94</v>
      </c>
      <c r="M151" s="15">
        <v>10115.94</v>
      </c>
      <c r="N151" s="15">
        <v>10115.94</v>
      </c>
      <c r="O151" t="s">
        <v>75</v>
      </c>
    </row>
    <row r="152" spans="1:15" x14ac:dyDescent="0.25">
      <c r="A152" s="10" t="s">
        <v>400</v>
      </c>
      <c r="B152" s="15">
        <v>2486.56</v>
      </c>
      <c r="C152" s="15">
        <v>5306.37</v>
      </c>
      <c r="D152" s="15">
        <v>2211.14</v>
      </c>
      <c r="E152" s="15">
        <v>552.79</v>
      </c>
      <c r="F152" s="15">
        <v>2211.14</v>
      </c>
      <c r="G152" s="15">
        <v>2211.14</v>
      </c>
      <c r="H152" s="15">
        <v>2211.14</v>
      </c>
      <c r="I152" s="15">
        <v>2211.14</v>
      </c>
      <c r="J152" s="15">
        <v>2211.14</v>
      </c>
      <c r="K152" s="15">
        <v>2211.14</v>
      </c>
      <c r="L152" s="15">
        <v>2211.14</v>
      </c>
      <c r="M152" s="15">
        <v>5175.66</v>
      </c>
      <c r="N152" s="15">
        <v>2223.39</v>
      </c>
      <c r="O152" t="s">
        <v>75</v>
      </c>
    </row>
    <row r="153" spans="1:15" x14ac:dyDescent="0.25">
      <c r="A153" s="10" t="s">
        <v>402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866.37</v>
      </c>
      <c r="N153" s="15">
        <v>180.49</v>
      </c>
      <c r="O153" t="s">
        <v>75</v>
      </c>
    </row>
    <row r="154" spans="1:15" x14ac:dyDescent="0.25">
      <c r="A154" s="10" t="s">
        <v>404</v>
      </c>
      <c r="B154" s="15">
        <v>2118.54</v>
      </c>
      <c r="C154" s="15">
        <v>321.72000000000003</v>
      </c>
      <c r="D154" s="15">
        <v>1947.11</v>
      </c>
      <c r="E154" s="15">
        <v>1947.11</v>
      </c>
      <c r="F154" s="15">
        <v>1947.11</v>
      </c>
      <c r="G154" s="15">
        <v>1955.15</v>
      </c>
      <c r="H154" s="15">
        <v>1941.52</v>
      </c>
      <c r="I154" s="15">
        <v>1937.55</v>
      </c>
      <c r="J154" s="15">
        <v>1943.5</v>
      </c>
      <c r="K154" s="15">
        <v>2474.38</v>
      </c>
      <c r="L154" s="15">
        <v>1947.11</v>
      </c>
      <c r="M154" s="15">
        <v>2076.92</v>
      </c>
      <c r="N154" s="15">
        <v>2002.54</v>
      </c>
      <c r="O154" t="s">
        <v>75</v>
      </c>
    </row>
    <row r="155" spans="1:15" x14ac:dyDescent="0.25">
      <c r="A155" s="10" t="s">
        <v>406</v>
      </c>
      <c r="B155" s="15">
        <v>1113.97</v>
      </c>
      <c r="C155" s="15">
        <v>1676.34</v>
      </c>
      <c r="D155" s="15">
        <v>1688.02</v>
      </c>
      <c r="E155" s="15">
        <v>3188.49</v>
      </c>
      <c r="F155" s="15">
        <v>1568.73</v>
      </c>
      <c r="G155" s="15">
        <v>925.88</v>
      </c>
      <c r="H155" s="15">
        <v>1530.19</v>
      </c>
      <c r="I155" s="15">
        <v>1671.42</v>
      </c>
      <c r="J155" s="15">
        <v>1625.56</v>
      </c>
      <c r="K155" s="15">
        <v>1635.55</v>
      </c>
      <c r="L155" s="15">
        <v>1668.33</v>
      </c>
      <c r="M155" s="15">
        <v>1688.02</v>
      </c>
      <c r="N155" s="15">
        <v>1688.02</v>
      </c>
      <c r="O155" t="s">
        <v>75</v>
      </c>
    </row>
    <row r="156" spans="1:15" x14ac:dyDescent="0.25">
      <c r="A156" s="10" t="s">
        <v>408</v>
      </c>
      <c r="B156" s="15">
        <v>1921.58</v>
      </c>
      <c r="C156" s="15">
        <v>2283.52</v>
      </c>
      <c r="D156" s="15">
        <v>2042.5</v>
      </c>
      <c r="E156" s="15">
        <v>2042.5</v>
      </c>
      <c r="F156" s="15">
        <v>2231.69</v>
      </c>
      <c r="G156" s="15">
        <v>4792.6099999999997</v>
      </c>
      <c r="H156" s="15">
        <v>2042.5</v>
      </c>
      <c r="I156" s="15">
        <v>646.79999999999995</v>
      </c>
      <c r="J156" s="15">
        <v>1906.33</v>
      </c>
      <c r="K156" s="15">
        <v>2042.5</v>
      </c>
      <c r="L156" s="15">
        <v>2042.5</v>
      </c>
      <c r="M156" s="15">
        <v>2042.5</v>
      </c>
      <c r="N156" s="15">
        <v>2078.35</v>
      </c>
      <c r="O156" t="s">
        <v>75</v>
      </c>
    </row>
    <row r="157" spans="1:15" x14ac:dyDescent="0.25">
      <c r="A157" s="10" t="s">
        <v>410</v>
      </c>
      <c r="B157" s="15">
        <v>0</v>
      </c>
      <c r="C157" s="15">
        <v>0</v>
      </c>
      <c r="D157" s="15">
        <v>1906.33</v>
      </c>
      <c r="E157" s="15">
        <v>2042.5</v>
      </c>
      <c r="F157" s="15">
        <v>2042.5</v>
      </c>
      <c r="G157" s="15">
        <v>2042.5</v>
      </c>
      <c r="H157" s="15">
        <v>2042.5</v>
      </c>
      <c r="I157" s="15">
        <v>2042.5</v>
      </c>
      <c r="J157" s="15">
        <v>2042.5</v>
      </c>
      <c r="K157" s="15">
        <v>2042.5</v>
      </c>
      <c r="L157" s="15">
        <v>2042.5</v>
      </c>
      <c r="M157" s="15">
        <v>2042.5</v>
      </c>
      <c r="N157" s="15">
        <v>1872.29</v>
      </c>
      <c r="O157" t="s">
        <v>75</v>
      </c>
    </row>
    <row r="158" spans="1:15" x14ac:dyDescent="0.25">
      <c r="A158" s="10" t="s">
        <v>412</v>
      </c>
      <c r="B158" s="15">
        <v>2068.81</v>
      </c>
      <c r="C158" s="15">
        <v>4376.08</v>
      </c>
      <c r="D158" s="15">
        <v>1658.36</v>
      </c>
      <c r="E158" s="15">
        <v>1842.62</v>
      </c>
      <c r="F158" s="15">
        <v>2446.63</v>
      </c>
      <c r="G158" s="15">
        <v>2211.14</v>
      </c>
      <c r="H158" s="15">
        <v>2211.14</v>
      </c>
      <c r="I158" s="15">
        <v>3199.23</v>
      </c>
      <c r="J158" s="15">
        <v>2211.14</v>
      </c>
      <c r="K158" s="15">
        <v>1474.09</v>
      </c>
      <c r="L158" s="15">
        <v>2211.14</v>
      </c>
      <c r="M158" s="15">
        <v>2211.14</v>
      </c>
      <c r="N158" s="15">
        <v>2246.5</v>
      </c>
      <c r="O158" t="s">
        <v>75</v>
      </c>
    </row>
    <row r="159" spans="1:15" x14ac:dyDescent="0.25">
      <c r="A159" s="10" t="s">
        <v>414</v>
      </c>
      <c r="B159" s="15">
        <v>1989.25</v>
      </c>
      <c r="C159" s="15">
        <v>2691.6</v>
      </c>
      <c r="D159" s="15">
        <v>2163.4499999999998</v>
      </c>
      <c r="E159" s="15">
        <v>3223.78</v>
      </c>
      <c r="F159" s="15">
        <v>6404.78</v>
      </c>
      <c r="G159" s="15">
        <v>2163.4499999999998</v>
      </c>
      <c r="H159" s="15">
        <v>2163.4499999999998</v>
      </c>
      <c r="I159" s="15">
        <v>6580.25</v>
      </c>
      <c r="J159" s="15">
        <v>1478.36</v>
      </c>
      <c r="K159" s="15">
        <v>2091.34</v>
      </c>
      <c r="L159" s="15">
        <v>2163.4499999999998</v>
      </c>
      <c r="M159" s="15">
        <v>3340.76</v>
      </c>
      <c r="N159" s="15">
        <v>2870.17</v>
      </c>
      <c r="O159" t="s">
        <v>75</v>
      </c>
    </row>
    <row r="160" spans="1:15" x14ac:dyDescent="0.25">
      <c r="A160" s="10" t="s">
        <v>416</v>
      </c>
      <c r="B160" s="15">
        <v>5262.23</v>
      </c>
      <c r="C160" s="15">
        <v>5867.97</v>
      </c>
      <c r="D160" s="15">
        <v>5642.28</v>
      </c>
      <c r="E160" s="15">
        <v>5642.28</v>
      </c>
      <c r="F160" s="15">
        <v>6802.27</v>
      </c>
      <c r="G160" s="15">
        <v>5642.28</v>
      </c>
      <c r="H160" s="15">
        <v>8535.48</v>
      </c>
      <c r="I160" s="15">
        <v>9981.34</v>
      </c>
      <c r="J160" s="15">
        <v>5642.28</v>
      </c>
      <c r="K160" s="15">
        <v>2068.84</v>
      </c>
      <c r="L160" s="15">
        <v>5642.28</v>
      </c>
      <c r="M160" s="15">
        <v>6802.27</v>
      </c>
      <c r="N160" s="15">
        <v>5854.42</v>
      </c>
      <c r="O160" t="s">
        <v>75</v>
      </c>
    </row>
    <row r="161" spans="1:15" x14ac:dyDescent="0.25">
      <c r="A161" s="10" t="s">
        <v>418</v>
      </c>
      <c r="B161" s="15">
        <v>1326.14</v>
      </c>
      <c r="C161" s="15">
        <v>3084.18</v>
      </c>
      <c r="D161" s="15">
        <v>2163.4499999999998</v>
      </c>
      <c r="E161" s="15">
        <v>2151.37</v>
      </c>
      <c r="F161" s="15">
        <v>4086.82</v>
      </c>
      <c r="G161" s="15">
        <v>2163.4499999999998</v>
      </c>
      <c r="H161" s="15">
        <v>1406.24</v>
      </c>
      <c r="I161" s="15">
        <v>2019.22</v>
      </c>
      <c r="J161" s="15">
        <v>2163.4499999999998</v>
      </c>
      <c r="K161" s="15">
        <v>2163.4499999999998</v>
      </c>
      <c r="L161" s="15">
        <v>2163.4499999999998</v>
      </c>
      <c r="M161" s="15">
        <v>2163.4499999999998</v>
      </c>
      <c r="N161" s="15">
        <v>2240.1799999999998</v>
      </c>
      <c r="O161" t="s">
        <v>75</v>
      </c>
    </row>
    <row r="162" spans="1:15" x14ac:dyDescent="0.25">
      <c r="A162" s="10" t="s">
        <v>420</v>
      </c>
      <c r="B162" s="15">
        <v>0</v>
      </c>
      <c r="C162" s="15">
        <v>0</v>
      </c>
      <c r="D162" s="15">
        <v>0</v>
      </c>
      <c r="E162" s="15">
        <v>2243.11</v>
      </c>
      <c r="F162" s="15">
        <v>5176.3999999999996</v>
      </c>
      <c r="G162" s="15">
        <v>5176.3999999999996</v>
      </c>
      <c r="H162" s="15">
        <v>5176.3999999999996</v>
      </c>
      <c r="I162" s="15">
        <v>5176.3999999999996</v>
      </c>
      <c r="J162" s="15">
        <v>5176.3999999999996</v>
      </c>
      <c r="K162" s="15">
        <v>5176.3999999999996</v>
      </c>
      <c r="L162" s="15">
        <v>7383.7</v>
      </c>
      <c r="M162" s="15">
        <v>0</v>
      </c>
      <c r="N162" s="15">
        <v>3042.12</v>
      </c>
      <c r="O162" t="s">
        <v>75</v>
      </c>
    </row>
    <row r="163" spans="1:15" x14ac:dyDescent="0.25">
      <c r="A163" s="10" t="s">
        <v>422</v>
      </c>
      <c r="B163" s="15">
        <v>5602.98</v>
      </c>
      <c r="C163" s="15">
        <v>5667.12</v>
      </c>
      <c r="D163" s="15">
        <v>5797.57</v>
      </c>
      <c r="E163" s="15">
        <v>5797.57</v>
      </c>
      <c r="F163" s="15">
        <v>5797.57</v>
      </c>
      <c r="G163" s="15">
        <v>5797.57</v>
      </c>
      <c r="H163" s="15">
        <v>5797.57</v>
      </c>
      <c r="I163" s="15">
        <v>5797.57</v>
      </c>
      <c r="J163" s="15">
        <v>13527.66</v>
      </c>
      <c r="K163" s="15">
        <v>4927.93</v>
      </c>
      <c r="L163" s="15">
        <v>2319.0300000000002</v>
      </c>
      <c r="M163" s="15">
        <v>5797.57</v>
      </c>
      <c r="N163" s="15">
        <v>5797.57</v>
      </c>
      <c r="O163" t="s">
        <v>75</v>
      </c>
    </row>
    <row r="164" spans="1:15" x14ac:dyDescent="0.25">
      <c r="A164" s="10" t="s">
        <v>424</v>
      </c>
      <c r="B164" s="15">
        <v>1989.24</v>
      </c>
      <c r="C164" s="15">
        <v>2997.29</v>
      </c>
      <c r="D164" s="15">
        <v>2211.14</v>
      </c>
      <c r="E164" s="15">
        <v>3400.31</v>
      </c>
      <c r="F164" s="15">
        <v>2321.6999999999998</v>
      </c>
      <c r="G164" s="15">
        <v>1768.91</v>
      </c>
      <c r="H164" s="15">
        <v>2211.14</v>
      </c>
      <c r="I164" s="15">
        <v>2211.14</v>
      </c>
      <c r="J164" s="15">
        <v>2211.14</v>
      </c>
      <c r="K164" s="15">
        <v>2211.14</v>
      </c>
      <c r="L164" s="15">
        <v>2211.14</v>
      </c>
      <c r="M164" s="15">
        <v>2211.14</v>
      </c>
      <c r="N164" s="15">
        <v>2276.65</v>
      </c>
      <c r="O164" t="s">
        <v>75</v>
      </c>
    </row>
    <row r="165" spans="1:15" x14ac:dyDescent="0.25">
      <c r="A165" s="10" t="s">
        <v>426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2679.61</v>
      </c>
      <c r="I165" s="15">
        <v>3139.61</v>
      </c>
      <c r="J165" s="15">
        <v>3295.92</v>
      </c>
      <c r="K165" s="15">
        <v>3340.58</v>
      </c>
      <c r="L165" s="15">
        <v>3896.6</v>
      </c>
      <c r="M165" s="15">
        <v>3818.44</v>
      </c>
      <c r="N165" s="15">
        <v>1961.01</v>
      </c>
      <c r="O165" t="s">
        <v>75</v>
      </c>
    </row>
    <row r="166" spans="1:15" x14ac:dyDescent="0.25">
      <c r="A166" s="10" t="s">
        <v>428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2773.07</v>
      </c>
      <c r="I166" s="15">
        <v>4621.79</v>
      </c>
      <c r="J166" s="15">
        <v>4621.79</v>
      </c>
      <c r="K166" s="15">
        <v>4621.79</v>
      </c>
      <c r="L166" s="15">
        <v>4621.79</v>
      </c>
      <c r="M166" s="15">
        <v>6084.98</v>
      </c>
      <c r="N166" s="15">
        <v>2310.9</v>
      </c>
      <c r="O166" t="s">
        <v>75</v>
      </c>
    </row>
    <row r="167" spans="1:15" x14ac:dyDescent="0.25">
      <c r="A167" s="10" t="s">
        <v>430</v>
      </c>
      <c r="B167" s="15">
        <v>0</v>
      </c>
      <c r="C167" s="15">
        <v>1686.47</v>
      </c>
      <c r="D167" s="15">
        <v>1873.85</v>
      </c>
      <c r="E167" s="15">
        <v>1873.85</v>
      </c>
      <c r="F167" s="15">
        <v>1873.85</v>
      </c>
      <c r="G167" s="15">
        <v>1873.85</v>
      </c>
      <c r="H167" s="15">
        <v>1873.85</v>
      </c>
      <c r="I167" s="15">
        <v>1866.82</v>
      </c>
      <c r="J167" s="15">
        <v>1873.85</v>
      </c>
      <c r="K167" s="15">
        <v>1875.57</v>
      </c>
      <c r="L167" s="15">
        <v>0</v>
      </c>
      <c r="M167" s="15">
        <v>0</v>
      </c>
      <c r="N167" s="15">
        <v>1405.39</v>
      </c>
      <c r="O167" t="s">
        <v>75</v>
      </c>
    </row>
    <row r="168" spans="1:15" x14ac:dyDescent="0.25">
      <c r="A168" s="10" t="s">
        <v>432</v>
      </c>
      <c r="B168" s="15">
        <v>4911.43</v>
      </c>
      <c r="C168" s="15">
        <v>6474.98</v>
      </c>
      <c r="D168" s="15">
        <v>5869.67</v>
      </c>
      <c r="E168" s="15">
        <v>5869.67</v>
      </c>
      <c r="F168" s="15">
        <v>5869.67</v>
      </c>
      <c r="G168" s="15">
        <v>5869.67</v>
      </c>
      <c r="H168" s="15">
        <v>5869.67</v>
      </c>
      <c r="I168" s="15">
        <v>6065.33</v>
      </c>
      <c r="J168" s="15">
        <v>6065.33</v>
      </c>
      <c r="K168" s="15">
        <v>5869.67</v>
      </c>
      <c r="L168" s="15">
        <v>13958.81</v>
      </c>
      <c r="M168" s="15">
        <v>5380.53</v>
      </c>
      <c r="N168" s="15">
        <v>5920.11</v>
      </c>
      <c r="O168" t="s">
        <v>75</v>
      </c>
    </row>
    <row r="169" spans="1:15" x14ac:dyDescent="0.25">
      <c r="A169" s="10" t="s">
        <v>434</v>
      </c>
      <c r="B169" s="15">
        <v>530.47</v>
      </c>
      <c r="C169" s="15">
        <v>1938.13</v>
      </c>
      <c r="D169" s="15">
        <v>2211.14</v>
      </c>
      <c r="E169" s="15">
        <v>2211.14</v>
      </c>
      <c r="F169" s="15">
        <v>2211.14</v>
      </c>
      <c r="G169" s="15">
        <v>2211.14</v>
      </c>
      <c r="H169" s="15">
        <v>2211.14</v>
      </c>
      <c r="I169" s="15">
        <v>2211.14</v>
      </c>
      <c r="J169" s="15">
        <v>2211.14</v>
      </c>
      <c r="K169" s="15">
        <v>2211.14</v>
      </c>
      <c r="L169" s="15">
        <v>2211.14</v>
      </c>
      <c r="M169" s="15">
        <v>2211.14</v>
      </c>
      <c r="N169" s="15">
        <v>2231.13</v>
      </c>
      <c r="O169" t="s">
        <v>75</v>
      </c>
    </row>
    <row r="170" spans="1:15" x14ac:dyDescent="0.25">
      <c r="A170" s="10" t="s">
        <v>436</v>
      </c>
      <c r="B170" s="15">
        <v>1989.25</v>
      </c>
      <c r="C170" s="15">
        <v>2461.4699999999998</v>
      </c>
      <c r="D170" s="15">
        <v>2163.4499999999998</v>
      </c>
      <c r="E170" s="15">
        <v>2161.4699999999998</v>
      </c>
      <c r="F170" s="15">
        <v>2160.75</v>
      </c>
      <c r="G170" s="15">
        <v>2163.4499999999998</v>
      </c>
      <c r="H170" s="15">
        <v>3128.17</v>
      </c>
      <c r="I170" s="15">
        <v>1983.16</v>
      </c>
      <c r="J170" s="15">
        <v>3128.17</v>
      </c>
      <c r="K170" s="15">
        <v>1442.3</v>
      </c>
      <c r="L170" s="15">
        <v>2163.4499999999998</v>
      </c>
      <c r="M170" s="15">
        <v>2163.4499999999998</v>
      </c>
      <c r="N170" s="15">
        <v>2188.2800000000002</v>
      </c>
      <c r="O170" t="s">
        <v>75</v>
      </c>
    </row>
    <row r="171" spans="1:15" x14ac:dyDescent="0.25">
      <c r="A171" s="10" t="s">
        <v>438</v>
      </c>
      <c r="B171" s="15">
        <v>1018.48</v>
      </c>
      <c r="C171" s="15">
        <v>4160.04</v>
      </c>
      <c r="D171" s="15">
        <v>1703.5</v>
      </c>
      <c r="E171" s="15">
        <v>993.71</v>
      </c>
      <c r="F171" s="15">
        <v>2500.63</v>
      </c>
      <c r="G171" s="15">
        <v>1703.5</v>
      </c>
      <c r="H171" s="15">
        <v>1135.67</v>
      </c>
      <c r="I171" s="15">
        <v>1703.5</v>
      </c>
      <c r="J171" s="15">
        <v>1703.5</v>
      </c>
      <c r="K171" s="15">
        <v>1703.5</v>
      </c>
      <c r="L171" s="15">
        <v>1703.5</v>
      </c>
      <c r="M171" s="15">
        <v>1703.5</v>
      </c>
      <c r="N171" s="15">
        <v>1775.35</v>
      </c>
      <c r="O171" t="s">
        <v>75</v>
      </c>
    </row>
    <row r="172" spans="1:15" x14ac:dyDescent="0.25">
      <c r="A172" s="10" t="s">
        <v>440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127.76</v>
      </c>
      <c r="O172" t="s">
        <v>75</v>
      </c>
    </row>
    <row r="173" spans="1:15" x14ac:dyDescent="0.25">
      <c r="A173" s="10" t="s">
        <v>442</v>
      </c>
      <c r="B173" s="15">
        <v>1591.39</v>
      </c>
      <c r="C173" s="15">
        <v>1710.18</v>
      </c>
      <c r="D173" s="15">
        <v>1688.02</v>
      </c>
      <c r="E173" s="15">
        <v>4878.83</v>
      </c>
      <c r="F173" s="15">
        <v>2271.62</v>
      </c>
      <c r="G173" s="15">
        <v>1874.99</v>
      </c>
      <c r="H173" s="15">
        <v>2140.19</v>
      </c>
      <c r="I173" s="15">
        <v>2146.86</v>
      </c>
      <c r="J173" s="15">
        <v>2142</v>
      </c>
      <c r="K173" s="15">
        <v>4088.62</v>
      </c>
      <c r="L173" s="15">
        <v>2163.4499999999998</v>
      </c>
      <c r="M173" s="15">
        <v>721.15</v>
      </c>
      <c r="N173" s="15">
        <v>2165.8200000000002</v>
      </c>
      <c r="O173" t="s">
        <v>75</v>
      </c>
    </row>
    <row r="174" spans="1:15" x14ac:dyDescent="0.25">
      <c r="A174" s="10" t="s">
        <v>446</v>
      </c>
      <c r="B174" s="15">
        <v>662.01</v>
      </c>
      <c r="C174" s="15">
        <v>268.88</v>
      </c>
      <c r="D174" s="15">
        <v>893.45</v>
      </c>
      <c r="E174" s="15">
        <v>893.45</v>
      </c>
      <c r="F174" s="15">
        <v>893.45</v>
      </c>
      <c r="G174" s="15">
        <v>893.45</v>
      </c>
      <c r="H174" s="15">
        <v>893.45</v>
      </c>
      <c r="I174" s="15">
        <v>893.45</v>
      </c>
      <c r="J174" s="15">
        <v>893.45</v>
      </c>
      <c r="K174" s="15">
        <v>893.45</v>
      </c>
      <c r="L174" s="15">
        <v>893.45</v>
      </c>
      <c r="M174" s="15">
        <v>1687.62</v>
      </c>
      <c r="N174" s="15">
        <v>893.45</v>
      </c>
      <c r="O174" t="s">
        <v>75</v>
      </c>
    </row>
    <row r="175" spans="1:15" x14ac:dyDescent="0.25">
      <c r="A175" s="10" t="s">
        <v>448</v>
      </c>
      <c r="B175" s="15">
        <v>1989.24</v>
      </c>
      <c r="C175" s="15">
        <v>2211.14</v>
      </c>
      <c r="D175" s="15">
        <v>2211.14</v>
      </c>
      <c r="E175" s="15">
        <v>2211.14</v>
      </c>
      <c r="F175" s="15">
        <v>2211.14</v>
      </c>
      <c r="G175" s="15">
        <v>5173.3</v>
      </c>
      <c r="H175" s="15">
        <v>2163.42</v>
      </c>
      <c r="I175" s="15">
        <v>552.79</v>
      </c>
      <c r="J175" s="15">
        <v>2211.14</v>
      </c>
      <c r="K175" s="15">
        <v>2211.14</v>
      </c>
      <c r="L175" s="15">
        <v>2211.14</v>
      </c>
      <c r="M175" s="15">
        <v>2211.14</v>
      </c>
      <c r="N175" s="15">
        <v>2211.14</v>
      </c>
      <c r="O175" t="s">
        <v>75</v>
      </c>
    </row>
    <row r="176" spans="1:15" x14ac:dyDescent="0.25">
      <c r="A176" s="10" t="s">
        <v>450</v>
      </c>
      <c r="B176" s="15">
        <v>2207.6799999999998</v>
      </c>
      <c r="C176" s="15">
        <v>1347.26</v>
      </c>
      <c r="D176" s="15">
        <v>1688.02</v>
      </c>
      <c r="E176" s="15">
        <v>1688.02</v>
      </c>
      <c r="F176" s="15">
        <v>1688.02</v>
      </c>
      <c r="G176" s="15">
        <v>2821.43</v>
      </c>
      <c r="H176" s="15">
        <v>1831.52</v>
      </c>
      <c r="I176" s="15">
        <v>900.28</v>
      </c>
      <c r="J176" s="15">
        <v>1688.02</v>
      </c>
      <c r="K176" s="15">
        <v>1903.28</v>
      </c>
      <c r="L176" s="15">
        <v>1744.29</v>
      </c>
      <c r="M176" s="15">
        <v>1688.02</v>
      </c>
      <c r="N176" s="15">
        <v>1772.27</v>
      </c>
      <c r="O176" t="s">
        <v>75</v>
      </c>
    </row>
    <row r="177" spans="1:15" x14ac:dyDescent="0.25">
      <c r="A177" s="10" t="s">
        <v>452</v>
      </c>
      <c r="B177" s="15">
        <v>2725.69</v>
      </c>
      <c r="C177" s="15">
        <v>1095.1400000000001</v>
      </c>
      <c r="D177" s="15">
        <v>667.83</v>
      </c>
      <c r="E177" s="15">
        <v>685.87</v>
      </c>
      <c r="F177" s="15">
        <v>1082.96</v>
      </c>
      <c r="G177" s="15">
        <v>1082.96</v>
      </c>
      <c r="H177" s="15">
        <v>1082.96</v>
      </c>
      <c r="I177" s="15">
        <v>1082.96</v>
      </c>
      <c r="J177" s="15">
        <v>1082.96</v>
      </c>
      <c r="K177" s="15">
        <v>1082.96</v>
      </c>
      <c r="L177" s="15">
        <v>1082.96</v>
      </c>
      <c r="M177" s="15">
        <v>2185.7800000000002</v>
      </c>
      <c r="N177" s="15">
        <v>1175.8800000000001</v>
      </c>
      <c r="O177" t="s">
        <v>75</v>
      </c>
    </row>
    <row r="178" spans="1:15" x14ac:dyDescent="0.25">
      <c r="A178" s="10" t="s">
        <v>454</v>
      </c>
      <c r="B178" s="15">
        <v>686.29</v>
      </c>
      <c r="C178" s="15">
        <v>2084.96</v>
      </c>
      <c r="D178" s="15">
        <v>2076.92</v>
      </c>
      <c r="E178" s="15">
        <v>2071.62</v>
      </c>
      <c r="F178" s="15">
        <v>1947.11</v>
      </c>
      <c r="G178" s="15">
        <v>2076.92</v>
      </c>
      <c r="H178" s="15">
        <v>1955.15</v>
      </c>
      <c r="I178" s="15">
        <v>1947.11</v>
      </c>
      <c r="J178" s="15">
        <v>1947.11</v>
      </c>
      <c r="K178" s="15">
        <v>1947.11</v>
      </c>
      <c r="L178" s="15">
        <v>2163.4499999999998</v>
      </c>
      <c r="M178" s="15">
        <v>3318.7</v>
      </c>
      <c r="N178" s="15">
        <v>2228.62</v>
      </c>
      <c r="O178" t="s">
        <v>75</v>
      </c>
    </row>
    <row r="179" spans="1:15" x14ac:dyDescent="0.25">
      <c r="A179" s="10" t="s">
        <v>456</v>
      </c>
      <c r="B179" s="15">
        <v>2185.61</v>
      </c>
      <c r="C179" s="15">
        <v>1947.11</v>
      </c>
      <c r="D179" s="15">
        <v>2084.96</v>
      </c>
      <c r="E179" s="15">
        <v>1947.11</v>
      </c>
      <c r="F179" s="15">
        <v>2084.96</v>
      </c>
      <c r="G179" s="15">
        <v>2084.96</v>
      </c>
      <c r="H179" s="15">
        <v>2206.7199999999998</v>
      </c>
      <c r="I179" s="15">
        <v>1945.96</v>
      </c>
      <c r="J179" s="15">
        <v>1943.14</v>
      </c>
      <c r="K179" s="15">
        <v>2474.38</v>
      </c>
      <c r="L179" s="15">
        <v>4800.8900000000003</v>
      </c>
      <c r="M179" s="15">
        <v>2084.96</v>
      </c>
      <c r="N179" s="15">
        <v>2096.67</v>
      </c>
      <c r="O179" t="s">
        <v>75</v>
      </c>
    </row>
    <row r="180" spans="1:15" x14ac:dyDescent="0.25">
      <c r="A180" s="10" t="s">
        <v>458</v>
      </c>
      <c r="B180" s="15">
        <v>8636.64</v>
      </c>
      <c r="C180" s="15">
        <v>9502.52</v>
      </c>
      <c r="D180" s="15">
        <v>10605.65</v>
      </c>
      <c r="E180" s="15">
        <v>10870.02</v>
      </c>
      <c r="F180" s="15">
        <v>10915.94</v>
      </c>
      <c r="G180" s="15">
        <v>16506.580000000002</v>
      </c>
      <c r="H180" s="15">
        <v>10197.459999999999</v>
      </c>
      <c r="I180" s="15">
        <v>10803.63</v>
      </c>
      <c r="J180" s="15">
        <v>10825.65</v>
      </c>
      <c r="K180" s="15">
        <v>11386.56</v>
      </c>
      <c r="L180" s="15">
        <v>25597.94</v>
      </c>
      <c r="M180" s="15">
        <v>10565.11</v>
      </c>
      <c r="N180" s="15">
        <v>11600.38</v>
      </c>
      <c r="O180" t="s">
        <v>75</v>
      </c>
    </row>
    <row r="181" spans="1:15" x14ac:dyDescent="0.25">
      <c r="A181" s="10" t="s">
        <v>460</v>
      </c>
      <c r="B181" s="15">
        <v>2252.75</v>
      </c>
      <c r="C181" s="15">
        <v>1955.15</v>
      </c>
      <c r="D181" s="15">
        <v>2076.92</v>
      </c>
      <c r="E181" s="15">
        <v>4748.55</v>
      </c>
      <c r="F181" s="15">
        <v>1947.11</v>
      </c>
      <c r="G181" s="15">
        <v>486.78</v>
      </c>
      <c r="H181" s="15">
        <v>1947.11</v>
      </c>
      <c r="I181" s="15">
        <v>1362.98</v>
      </c>
      <c r="J181" s="15">
        <v>0</v>
      </c>
      <c r="K181" s="15">
        <v>0</v>
      </c>
      <c r="L181" s="15">
        <v>0</v>
      </c>
      <c r="M181" s="15">
        <v>0</v>
      </c>
      <c r="N181" s="15">
        <v>1160.7</v>
      </c>
      <c r="O181" t="s">
        <v>75</v>
      </c>
    </row>
    <row r="182" spans="1:15" x14ac:dyDescent="0.25">
      <c r="A182" s="10" t="s">
        <v>462</v>
      </c>
      <c r="B182" s="15">
        <v>2387.1</v>
      </c>
      <c r="C182" s="15">
        <v>3109.35</v>
      </c>
      <c r="D182" s="15">
        <v>5124.5200000000004</v>
      </c>
      <c r="E182" s="15">
        <v>2623.39</v>
      </c>
      <c r="F182" s="15">
        <v>874.46</v>
      </c>
      <c r="G182" s="15">
        <v>2623.39</v>
      </c>
      <c r="H182" s="15">
        <v>2623.39</v>
      </c>
      <c r="I182" s="15">
        <v>2623.39</v>
      </c>
      <c r="J182" s="15">
        <v>2623.39</v>
      </c>
      <c r="K182" s="15">
        <v>2623.39</v>
      </c>
      <c r="L182" s="15">
        <v>2623.39</v>
      </c>
      <c r="M182" s="15">
        <v>2623.39</v>
      </c>
      <c r="N182" s="15">
        <v>2686.41</v>
      </c>
      <c r="O182" t="s">
        <v>75</v>
      </c>
    </row>
    <row r="183" spans="1:15" x14ac:dyDescent="0.25">
      <c r="A183" s="10" t="s">
        <v>469</v>
      </c>
      <c r="B183" s="15">
        <v>1921.58</v>
      </c>
      <c r="C183" s="15">
        <v>2042.5</v>
      </c>
      <c r="D183" s="15">
        <v>2002.67</v>
      </c>
      <c r="E183" s="15">
        <v>2034.67</v>
      </c>
      <c r="F183" s="15">
        <v>4781.91</v>
      </c>
      <c r="G183" s="15">
        <v>2042.5</v>
      </c>
      <c r="H183" s="15">
        <v>1123.3800000000001</v>
      </c>
      <c r="I183" s="15">
        <v>1429.75</v>
      </c>
      <c r="J183" s="15">
        <v>2042.5</v>
      </c>
      <c r="K183" s="15">
        <v>2025.99</v>
      </c>
      <c r="L183" s="15">
        <v>2031.61</v>
      </c>
      <c r="M183" s="15">
        <v>2019.69</v>
      </c>
      <c r="N183" s="15">
        <v>2043.84</v>
      </c>
      <c r="O183" t="s">
        <v>75</v>
      </c>
    </row>
    <row r="184" spans="1:15" x14ac:dyDescent="0.25">
      <c r="A184" s="10" t="s">
        <v>471</v>
      </c>
      <c r="B184" s="15">
        <v>2481.08</v>
      </c>
      <c r="C184" s="15">
        <v>2080.37</v>
      </c>
      <c r="D184" s="15">
        <v>2211.14</v>
      </c>
      <c r="E184" s="15">
        <v>2211.14</v>
      </c>
      <c r="F184" s="15">
        <v>2211.14</v>
      </c>
      <c r="G184" s="15">
        <v>2211.14</v>
      </c>
      <c r="H184" s="15">
        <v>4044.9</v>
      </c>
      <c r="I184" s="15">
        <v>2121.77</v>
      </c>
      <c r="J184" s="15">
        <v>693.56</v>
      </c>
      <c r="K184" s="15">
        <v>2211.14</v>
      </c>
      <c r="L184" s="15">
        <v>2211.14</v>
      </c>
      <c r="M184" s="15">
        <v>1547.8</v>
      </c>
      <c r="N184" s="15">
        <v>2026.88</v>
      </c>
      <c r="O184" t="s">
        <v>75</v>
      </c>
    </row>
    <row r="185" spans="1:15" x14ac:dyDescent="0.25">
      <c r="A185" s="10" t="s">
        <v>473</v>
      </c>
      <c r="B185" s="15">
        <v>0</v>
      </c>
      <c r="C185" s="15">
        <v>0</v>
      </c>
      <c r="D185" s="15">
        <v>1021.25</v>
      </c>
      <c r="E185" s="15">
        <v>2042.5</v>
      </c>
      <c r="F185" s="15">
        <v>2203.86</v>
      </c>
      <c r="G185" s="15">
        <v>2042.5</v>
      </c>
      <c r="H185" s="15">
        <v>2042.5</v>
      </c>
      <c r="I185" s="15">
        <v>2042.5</v>
      </c>
      <c r="J185" s="15">
        <v>2042.5</v>
      </c>
      <c r="K185" s="15">
        <v>2042.5</v>
      </c>
      <c r="L185" s="15">
        <v>2042.5</v>
      </c>
      <c r="M185" s="15">
        <v>2042.5</v>
      </c>
      <c r="N185" s="15">
        <v>1715.53</v>
      </c>
      <c r="O185" t="s">
        <v>75</v>
      </c>
    </row>
    <row r="186" spans="1:15" x14ac:dyDescent="0.25">
      <c r="A186" s="10" t="s">
        <v>475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14225.41</v>
      </c>
      <c r="N186" s="15">
        <v>1185.45</v>
      </c>
      <c r="O186" t="s">
        <v>75</v>
      </c>
    </row>
    <row r="187" spans="1:15" x14ac:dyDescent="0.25">
      <c r="A187" s="10" t="s">
        <v>477</v>
      </c>
      <c r="B187" s="15">
        <v>4217.54</v>
      </c>
      <c r="C187" s="15">
        <v>2522.23</v>
      </c>
      <c r="D187" s="15">
        <v>1259.55</v>
      </c>
      <c r="E187" s="15">
        <v>1974.42</v>
      </c>
      <c r="F187" s="15">
        <v>2593.64</v>
      </c>
      <c r="G187" s="15">
        <v>2042.5</v>
      </c>
      <c r="H187" s="15">
        <v>2042.5</v>
      </c>
      <c r="I187" s="15">
        <v>2950.27</v>
      </c>
      <c r="J187" s="15">
        <v>2042.5</v>
      </c>
      <c r="K187" s="15">
        <v>1361.67</v>
      </c>
      <c r="L187" s="15">
        <v>2042.5</v>
      </c>
      <c r="M187" s="15">
        <v>2042.5</v>
      </c>
      <c r="N187" s="15">
        <v>2128.41</v>
      </c>
      <c r="O187" t="s">
        <v>75</v>
      </c>
    </row>
    <row r="188" spans="1:15" x14ac:dyDescent="0.25">
      <c r="A188" s="10" t="s">
        <v>479</v>
      </c>
      <c r="B188" s="15">
        <v>2245.36</v>
      </c>
      <c r="C188" s="15">
        <v>1987.29</v>
      </c>
      <c r="D188" s="15">
        <v>2084.96</v>
      </c>
      <c r="E188" s="15">
        <v>1947.11</v>
      </c>
      <c r="F188" s="15">
        <v>3300.09</v>
      </c>
      <c r="G188" s="15">
        <v>1590.15</v>
      </c>
      <c r="H188" s="15">
        <v>3288.04</v>
      </c>
      <c r="I188" s="15">
        <v>1947.11</v>
      </c>
      <c r="J188" s="15">
        <v>973.56</v>
      </c>
      <c r="K188" s="15">
        <v>2206.7199999999998</v>
      </c>
      <c r="L188" s="15">
        <v>1947.11</v>
      </c>
      <c r="M188" s="15">
        <v>2076.92</v>
      </c>
      <c r="N188" s="15">
        <v>2016.98</v>
      </c>
      <c r="O188" t="s">
        <v>75</v>
      </c>
    </row>
    <row r="189" spans="1:15" x14ac:dyDescent="0.25">
      <c r="A189" s="10" t="s">
        <v>481</v>
      </c>
      <c r="B189" s="15">
        <v>3108.18</v>
      </c>
      <c r="C189" s="15">
        <v>4544.9799999999996</v>
      </c>
      <c r="D189" s="15">
        <v>3312.97</v>
      </c>
      <c r="E189" s="15">
        <v>3312.97</v>
      </c>
      <c r="F189" s="15">
        <v>3312.97</v>
      </c>
      <c r="G189" s="15">
        <v>3312.97</v>
      </c>
      <c r="H189" s="15">
        <v>3312.97</v>
      </c>
      <c r="I189" s="15">
        <v>3312.97</v>
      </c>
      <c r="J189" s="15">
        <v>3312.97</v>
      </c>
      <c r="K189" s="15">
        <v>3312.97</v>
      </c>
      <c r="L189" s="15">
        <v>3312.97</v>
      </c>
      <c r="M189" s="15">
        <v>3312.97</v>
      </c>
      <c r="N189" s="15">
        <v>3415.64</v>
      </c>
      <c r="O189" t="s">
        <v>75</v>
      </c>
    </row>
    <row r="190" spans="1:15" x14ac:dyDescent="0.25">
      <c r="A190" s="10" t="s">
        <v>483</v>
      </c>
      <c r="B190" s="15">
        <v>7322.5</v>
      </c>
      <c r="C190" s="15">
        <v>5286.14</v>
      </c>
      <c r="D190" s="15">
        <v>4597.62</v>
      </c>
      <c r="E190" s="15">
        <v>5286.14</v>
      </c>
      <c r="F190" s="15">
        <v>5286.14</v>
      </c>
      <c r="G190" s="15">
        <v>5286.14</v>
      </c>
      <c r="H190" s="15">
        <v>7635.54</v>
      </c>
      <c r="I190" s="15">
        <v>3083.58</v>
      </c>
      <c r="J190" s="15">
        <v>5286.14</v>
      </c>
      <c r="K190" s="15">
        <v>5286.14</v>
      </c>
      <c r="L190" s="15">
        <v>5286.14</v>
      </c>
      <c r="M190" s="15">
        <v>5286.14</v>
      </c>
      <c r="N190" s="15">
        <v>5286.14</v>
      </c>
      <c r="O190" t="s">
        <v>75</v>
      </c>
    </row>
    <row r="191" spans="1:15" x14ac:dyDescent="0.25">
      <c r="A191" s="10" t="s">
        <v>485</v>
      </c>
      <c r="B191" s="15">
        <v>2806.53</v>
      </c>
      <c r="C191" s="15">
        <v>4624.68</v>
      </c>
      <c r="D191" s="15">
        <v>4621.79</v>
      </c>
      <c r="E191" s="15">
        <v>4621.79</v>
      </c>
      <c r="F191" s="15">
        <v>4621.79</v>
      </c>
      <c r="G191" s="15">
        <v>4621.79</v>
      </c>
      <c r="H191" s="15">
        <v>6676.03</v>
      </c>
      <c r="I191" s="15">
        <v>4621.79</v>
      </c>
      <c r="J191" s="15">
        <v>4236.6400000000003</v>
      </c>
      <c r="K191" s="15">
        <v>4621.79</v>
      </c>
      <c r="L191" s="15">
        <v>6676.03</v>
      </c>
      <c r="M191" s="15">
        <v>4621.79</v>
      </c>
      <c r="N191" s="15">
        <v>4622.03</v>
      </c>
      <c r="O191" t="s">
        <v>75</v>
      </c>
    </row>
    <row r="192" spans="1:15" x14ac:dyDescent="0.25">
      <c r="A192" s="10" t="s">
        <v>487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165.33</v>
      </c>
      <c r="K192" s="15">
        <v>619.99</v>
      </c>
      <c r="L192" s="15">
        <v>619.99</v>
      </c>
      <c r="M192" s="15">
        <v>619.99</v>
      </c>
      <c r="N192" s="15">
        <v>206.66</v>
      </c>
      <c r="O192" t="s">
        <v>75</v>
      </c>
    </row>
    <row r="193" spans="1:15" x14ac:dyDescent="0.25">
      <c r="A193" s="10" t="s">
        <v>489</v>
      </c>
      <c r="B193" s="15">
        <v>2806.53</v>
      </c>
      <c r="C193" s="15">
        <v>4866.83</v>
      </c>
      <c r="D193" s="15">
        <v>4497.99</v>
      </c>
      <c r="E193" s="15">
        <v>8778.16</v>
      </c>
      <c r="F193" s="15">
        <v>3973.23</v>
      </c>
      <c r="G193" s="15">
        <v>3069.88</v>
      </c>
      <c r="H193" s="15">
        <v>6677.43</v>
      </c>
      <c r="I193" s="15">
        <v>4497.99</v>
      </c>
      <c r="J193" s="15">
        <v>6810.12</v>
      </c>
      <c r="K193" s="15">
        <v>4497.99</v>
      </c>
      <c r="L193" s="15">
        <v>4497.99</v>
      </c>
      <c r="M193" s="15">
        <v>8717.86</v>
      </c>
      <c r="N193" s="15">
        <v>4914.09</v>
      </c>
      <c r="O193" t="s">
        <v>75</v>
      </c>
    </row>
    <row r="194" spans="1:15" x14ac:dyDescent="0.25">
      <c r="A194" s="10" t="s">
        <v>491</v>
      </c>
      <c r="B194" s="15">
        <v>1989.21</v>
      </c>
      <c r="C194" s="15">
        <v>2153.31</v>
      </c>
      <c r="D194" s="15">
        <v>2211.14</v>
      </c>
      <c r="E194" s="15">
        <v>2211.14</v>
      </c>
      <c r="F194" s="15">
        <v>2424.52</v>
      </c>
      <c r="G194" s="15">
        <v>2211.14</v>
      </c>
      <c r="H194" s="15">
        <v>5159.33</v>
      </c>
      <c r="I194" s="15">
        <v>1252.98</v>
      </c>
      <c r="J194" s="15">
        <v>914.49</v>
      </c>
      <c r="K194" s="15">
        <v>2211.14</v>
      </c>
      <c r="L194" s="15">
        <v>2211.14</v>
      </c>
      <c r="M194" s="15">
        <v>2211.14</v>
      </c>
      <c r="N194" s="15">
        <v>2228.92</v>
      </c>
      <c r="O194" t="s">
        <v>75</v>
      </c>
    </row>
    <row r="195" spans="1:15" x14ac:dyDescent="0.25">
      <c r="A195" s="10" t="s">
        <v>493</v>
      </c>
      <c r="B195" s="15">
        <v>1989.25</v>
      </c>
      <c r="C195" s="15">
        <v>2622.96</v>
      </c>
      <c r="D195" s="15">
        <v>4149.3999999999996</v>
      </c>
      <c r="E195" s="15">
        <v>2679.61</v>
      </c>
      <c r="F195" s="15">
        <v>2679.61</v>
      </c>
      <c r="G195" s="15">
        <v>4108.7299999999996</v>
      </c>
      <c r="H195" s="15">
        <v>2679.61</v>
      </c>
      <c r="I195" s="15">
        <v>1607.77</v>
      </c>
      <c r="J195" s="15">
        <v>2679.61</v>
      </c>
      <c r="K195" s="15">
        <v>2679.61</v>
      </c>
      <c r="L195" s="15">
        <v>2679.61</v>
      </c>
      <c r="M195" s="15">
        <v>2679.61</v>
      </c>
      <c r="N195" s="15">
        <v>2710.48</v>
      </c>
      <c r="O195" t="s">
        <v>75</v>
      </c>
    </row>
    <row r="196" spans="1:15" x14ac:dyDescent="0.25">
      <c r="A196" s="10" t="s">
        <v>495</v>
      </c>
      <c r="B196" s="15">
        <v>2486.54</v>
      </c>
      <c r="C196" s="15">
        <v>5378.74</v>
      </c>
      <c r="D196" s="15">
        <v>2456.31</v>
      </c>
      <c r="E196" s="15">
        <v>2679.61</v>
      </c>
      <c r="F196" s="15">
        <v>2779.43</v>
      </c>
      <c r="G196" s="15">
        <v>2679.61</v>
      </c>
      <c r="H196" s="15">
        <v>2679.61</v>
      </c>
      <c r="I196" s="15">
        <v>2679.61</v>
      </c>
      <c r="J196" s="15">
        <v>2679.61</v>
      </c>
      <c r="K196" s="15">
        <v>3924.9</v>
      </c>
      <c r="L196" s="15">
        <v>1786.41</v>
      </c>
      <c r="M196" s="15">
        <v>2679.61</v>
      </c>
      <c r="N196" s="15">
        <v>2810.24</v>
      </c>
      <c r="O196" t="s">
        <v>75</v>
      </c>
    </row>
    <row r="197" spans="1:15" x14ac:dyDescent="0.25">
      <c r="A197" s="10" t="s">
        <v>497</v>
      </c>
      <c r="B197" s="15">
        <v>1793.47</v>
      </c>
      <c r="C197" s="15">
        <v>2375.17</v>
      </c>
      <c r="D197" s="15">
        <v>2042.5</v>
      </c>
      <c r="E197" s="15">
        <v>2042.5</v>
      </c>
      <c r="F197" s="15">
        <v>2373.9</v>
      </c>
      <c r="G197" s="15">
        <v>2042.5</v>
      </c>
      <c r="H197" s="15">
        <v>2042.5</v>
      </c>
      <c r="I197" s="15">
        <v>2042.5</v>
      </c>
      <c r="J197" s="15">
        <v>2042.5</v>
      </c>
      <c r="K197" s="15">
        <v>2042.5</v>
      </c>
      <c r="L197" s="15">
        <v>3419.59</v>
      </c>
      <c r="M197" s="15">
        <v>2042.5</v>
      </c>
      <c r="N197" s="15">
        <v>2097.84</v>
      </c>
      <c r="O197" t="s">
        <v>75</v>
      </c>
    </row>
    <row r="198" spans="1:15" x14ac:dyDescent="0.25">
      <c r="A198" s="10" t="s">
        <v>499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7241.97</v>
      </c>
      <c r="L198" s="15">
        <v>7241.97</v>
      </c>
      <c r="M198" s="15">
        <v>7241.97</v>
      </c>
      <c r="N198" s="15">
        <v>2413.9899999999998</v>
      </c>
      <c r="O198" t="s">
        <v>75</v>
      </c>
    </row>
    <row r="199" spans="1:15" x14ac:dyDescent="0.25">
      <c r="A199" s="10" t="s">
        <v>501</v>
      </c>
      <c r="B199" s="15">
        <v>1989.25</v>
      </c>
      <c r="C199" s="15">
        <v>2122.69</v>
      </c>
      <c r="D199" s="15">
        <v>2145.54</v>
      </c>
      <c r="E199" s="15">
        <v>2211.14</v>
      </c>
      <c r="F199" s="15">
        <v>2083.8200000000002</v>
      </c>
      <c r="G199" s="15">
        <v>2284.84</v>
      </c>
      <c r="H199" s="15">
        <v>2211.14</v>
      </c>
      <c r="I199" s="15">
        <v>5233.03</v>
      </c>
      <c r="J199" s="15">
        <v>1805.77</v>
      </c>
      <c r="K199" s="15">
        <v>737.05</v>
      </c>
      <c r="L199" s="15">
        <v>2211.14</v>
      </c>
      <c r="M199" s="15">
        <v>1990.03</v>
      </c>
      <c r="N199" s="15">
        <v>2211.14</v>
      </c>
      <c r="O199" t="s">
        <v>75</v>
      </c>
    </row>
    <row r="200" spans="1:15" x14ac:dyDescent="0.25">
      <c r="A200" s="10" t="s">
        <v>503</v>
      </c>
      <c r="B200" s="15">
        <v>9568.66</v>
      </c>
      <c r="C200" s="15">
        <v>12375.85</v>
      </c>
      <c r="D200" s="15">
        <v>12246.25</v>
      </c>
      <c r="E200" s="15">
        <v>12229.45</v>
      </c>
      <c r="F200" s="15">
        <v>12497.04</v>
      </c>
      <c r="G200" s="15">
        <v>11276.28</v>
      </c>
      <c r="H200" s="15">
        <v>12112.67</v>
      </c>
      <c r="I200" s="15">
        <v>12468.58</v>
      </c>
      <c r="J200" s="15">
        <v>12469.55</v>
      </c>
      <c r="K200" s="15">
        <v>11790.23</v>
      </c>
      <c r="L200" s="15">
        <v>13044.57</v>
      </c>
      <c r="M200" s="15">
        <v>12245.83</v>
      </c>
      <c r="N200" s="15">
        <v>12274.06</v>
      </c>
      <c r="O200" t="s">
        <v>75</v>
      </c>
    </row>
    <row r="201" spans="1:15" x14ac:dyDescent="0.25">
      <c r="A201" s="10" t="s">
        <v>505</v>
      </c>
      <c r="B201" s="15">
        <v>6577.82</v>
      </c>
      <c r="C201" s="15">
        <v>12568.13</v>
      </c>
      <c r="D201" s="15">
        <v>7599.52</v>
      </c>
      <c r="E201" s="15">
        <v>7884.7</v>
      </c>
      <c r="F201" s="15">
        <v>7859.73</v>
      </c>
      <c r="G201" s="15">
        <v>7884.7</v>
      </c>
      <c r="H201" s="15">
        <v>8256.57</v>
      </c>
      <c r="I201" s="15">
        <v>7884.7</v>
      </c>
      <c r="J201" s="15">
        <v>9372.19</v>
      </c>
      <c r="K201" s="15">
        <v>11490.27</v>
      </c>
      <c r="L201" s="15">
        <v>7884.7</v>
      </c>
      <c r="M201" s="15">
        <v>5256.47</v>
      </c>
      <c r="N201" s="15">
        <v>8159.04</v>
      </c>
      <c r="O201" t="s">
        <v>75</v>
      </c>
    </row>
    <row r="202" spans="1:15" x14ac:dyDescent="0.25">
      <c r="A202" s="10" t="s">
        <v>507</v>
      </c>
      <c r="B202" s="15">
        <v>1346.05</v>
      </c>
      <c r="C202" s="15">
        <v>2592.08</v>
      </c>
      <c r="D202" s="15">
        <v>2548.44</v>
      </c>
      <c r="E202" s="15">
        <v>2548.44</v>
      </c>
      <c r="F202" s="15">
        <v>2490.6799999999998</v>
      </c>
      <c r="G202" s="15">
        <v>2548.44</v>
      </c>
      <c r="H202" s="15">
        <v>2540.16</v>
      </c>
      <c r="I202" s="15">
        <v>2548.44</v>
      </c>
      <c r="J202" s="15">
        <v>2548.44</v>
      </c>
      <c r="K202" s="15">
        <v>2548.44</v>
      </c>
      <c r="L202" s="15">
        <v>5949.76</v>
      </c>
      <c r="M202" s="15">
        <v>2546.3200000000002</v>
      </c>
      <c r="N202" s="15">
        <v>2552.08</v>
      </c>
      <c r="O202" t="s">
        <v>75</v>
      </c>
    </row>
    <row r="203" spans="1:15" x14ac:dyDescent="0.25">
      <c r="A203" s="10" t="s">
        <v>509</v>
      </c>
      <c r="B203" s="15">
        <v>447.52</v>
      </c>
      <c r="C203" s="15">
        <v>1642.8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157.96</v>
      </c>
      <c r="O203" t="s">
        <v>75</v>
      </c>
    </row>
    <row r="204" spans="1:15" x14ac:dyDescent="0.25">
      <c r="A204" s="10" t="s">
        <v>511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919.89</v>
      </c>
      <c r="J204" s="15">
        <v>1533.15</v>
      </c>
      <c r="K204" s="15">
        <v>1941.99</v>
      </c>
      <c r="L204" s="15">
        <v>1651.43</v>
      </c>
      <c r="M204" s="15">
        <v>1761.68</v>
      </c>
      <c r="N204" s="15">
        <v>842.15</v>
      </c>
      <c r="O204" t="s">
        <v>75</v>
      </c>
    </row>
    <row r="205" spans="1:15" x14ac:dyDescent="0.25">
      <c r="A205" s="10" t="s">
        <v>513</v>
      </c>
      <c r="B205" s="15">
        <v>63.57</v>
      </c>
      <c r="C205" s="15">
        <v>1176.47</v>
      </c>
      <c r="D205" s="15">
        <v>1073.1199999999999</v>
      </c>
      <c r="E205" s="15">
        <v>1073.1199999999999</v>
      </c>
      <c r="F205" s="15">
        <v>1073.1199999999999</v>
      </c>
      <c r="G205" s="15">
        <v>1073.1199999999999</v>
      </c>
      <c r="H205" s="15">
        <v>1073.1199999999999</v>
      </c>
      <c r="I205" s="15">
        <v>1073.1199999999999</v>
      </c>
      <c r="J205" s="15">
        <v>1059.8800000000001</v>
      </c>
      <c r="K205" s="15">
        <v>1073.1199999999999</v>
      </c>
      <c r="L205" s="15">
        <v>2744.27</v>
      </c>
      <c r="M205" s="15">
        <v>1073.1199999999999</v>
      </c>
      <c r="N205" s="15">
        <v>1104.8699999999999</v>
      </c>
      <c r="O205" t="s">
        <v>75</v>
      </c>
    </row>
    <row r="206" spans="1:15" x14ac:dyDescent="0.25">
      <c r="A206" s="10" t="s">
        <v>518</v>
      </c>
      <c r="B206" s="15">
        <v>3315.44</v>
      </c>
      <c r="C206" s="15">
        <v>2124.73</v>
      </c>
      <c r="D206" s="15">
        <v>1802.88</v>
      </c>
      <c r="E206" s="15">
        <v>2163.4499999999998</v>
      </c>
      <c r="F206" s="15">
        <v>2163.4499999999998</v>
      </c>
      <c r="G206" s="15">
        <v>2163.4499999999998</v>
      </c>
      <c r="H206" s="15">
        <v>3605.8</v>
      </c>
      <c r="I206" s="15">
        <v>2163.4499999999998</v>
      </c>
      <c r="J206" s="15">
        <v>1081.73</v>
      </c>
      <c r="K206" s="15">
        <v>2163.4499999999998</v>
      </c>
      <c r="L206" s="15">
        <v>2163.4499999999998</v>
      </c>
      <c r="M206" s="15">
        <v>2163.4499999999998</v>
      </c>
      <c r="N206" s="15">
        <v>2165.5700000000002</v>
      </c>
      <c r="O206" t="s">
        <v>75</v>
      </c>
    </row>
    <row r="207" spans="1:15" x14ac:dyDescent="0.25">
      <c r="A207" s="10" t="s">
        <v>520</v>
      </c>
      <c r="B207" s="15">
        <v>2876.55</v>
      </c>
      <c r="C207" s="15">
        <v>2652.75</v>
      </c>
      <c r="D207" s="15">
        <v>2163.4499999999998</v>
      </c>
      <c r="E207" s="15">
        <v>2163.4499999999998</v>
      </c>
      <c r="F207" s="15">
        <v>2163.4499999999998</v>
      </c>
      <c r="G207" s="15">
        <v>2163.4499999999998</v>
      </c>
      <c r="H207" s="15">
        <v>2163.4499999999998</v>
      </c>
      <c r="I207" s="15">
        <v>2163.4499999999998</v>
      </c>
      <c r="J207" s="15">
        <v>2163.4499999999998</v>
      </c>
      <c r="K207" s="15">
        <v>3128.46</v>
      </c>
      <c r="L207" s="15">
        <v>1442.3</v>
      </c>
      <c r="M207" s="15">
        <v>2163.4499999999998</v>
      </c>
      <c r="N207" s="15">
        <v>2212.77</v>
      </c>
      <c r="O207" t="s">
        <v>75</v>
      </c>
    </row>
    <row r="208" spans="1:15" x14ac:dyDescent="0.25">
      <c r="A208" s="10" t="s">
        <v>522</v>
      </c>
      <c r="B208" s="15">
        <v>0</v>
      </c>
      <c r="C208" s="15">
        <v>0</v>
      </c>
      <c r="D208" s="15">
        <v>0</v>
      </c>
      <c r="E208" s="15">
        <v>851.75</v>
      </c>
      <c r="F208" s="15">
        <v>1703.5</v>
      </c>
      <c r="G208" s="15">
        <v>1703.5</v>
      </c>
      <c r="H208" s="15">
        <v>1703.5</v>
      </c>
      <c r="I208" s="15">
        <v>1703.5</v>
      </c>
      <c r="J208" s="15">
        <v>1703.5</v>
      </c>
      <c r="K208" s="15">
        <v>1703.5</v>
      </c>
      <c r="L208" s="15">
        <v>1703.5</v>
      </c>
      <c r="M208" s="15">
        <v>1703.5</v>
      </c>
      <c r="N208" s="15">
        <v>1419.58</v>
      </c>
      <c r="O208" t="s">
        <v>75</v>
      </c>
    </row>
    <row r="209" spans="1:15" x14ac:dyDescent="0.25">
      <c r="A209" s="10" t="s">
        <v>524</v>
      </c>
      <c r="B209" s="15">
        <v>3508.15</v>
      </c>
      <c r="C209" s="15">
        <v>5757.95</v>
      </c>
      <c r="D209" s="15">
        <v>5642.28</v>
      </c>
      <c r="E209" s="15">
        <v>5642.28</v>
      </c>
      <c r="F209" s="15">
        <v>5642.28</v>
      </c>
      <c r="G209" s="15">
        <v>10666.21</v>
      </c>
      <c r="H209" s="15">
        <v>6300.55</v>
      </c>
      <c r="I209" s="15">
        <v>2633.06</v>
      </c>
      <c r="J209" s="15">
        <v>5642.28</v>
      </c>
      <c r="K209" s="15">
        <v>5642.28</v>
      </c>
      <c r="L209" s="15">
        <v>8154.24</v>
      </c>
      <c r="M209" s="15">
        <v>5642.28</v>
      </c>
      <c r="N209" s="15">
        <v>5651.92</v>
      </c>
      <c r="O209" t="s">
        <v>75</v>
      </c>
    </row>
    <row r="210" spans="1:15" x14ac:dyDescent="0.25">
      <c r="A210" s="10" t="s">
        <v>526</v>
      </c>
      <c r="B210" s="15">
        <v>1326.17</v>
      </c>
      <c r="C210" s="15">
        <v>2224.13</v>
      </c>
      <c r="D210" s="15">
        <v>2211.14</v>
      </c>
      <c r="E210" s="15">
        <v>2211.14</v>
      </c>
      <c r="F210" s="15">
        <v>3193.87</v>
      </c>
      <c r="G210" s="15">
        <v>2026.88</v>
      </c>
      <c r="H210" s="15">
        <v>2211.14</v>
      </c>
      <c r="I210" s="15">
        <v>2210.59</v>
      </c>
      <c r="J210" s="15">
        <v>2207.4499999999998</v>
      </c>
      <c r="K210" s="15">
        <v>2211.14</v>
      </c>
      <c r="L210" s="15">
        <v>2211.14</v>
      </c>
      <c r="M210" s="15">
        <v>2211.14</v>
      </c>
      <c r="N210" s="15">
        <v>2212.2199999999998</v>
      </c>
      <c r="O210" t="s">
        <v>75</v>
      </c>
    </row>
    <row r="211" spans="1:15" x14ac:dyDescent="0.25">
      <c r="A211" s="10" t="s">
        <v>528</v>
      </c>
      <c r="B211" s="15">
        <v>6577.81</v>
      </c>
      <c r="C211" s="15">
        <v>6045.59</v>
      </c>
      <c r="D211" s="15">
        <v>7299.71</v>
      </c>
      <c r="E211" s="15">
        <v>7362.91</v>
      </c>
      <c r="F211" s="15">
        <v>7362.91</v>
      </c>
      <c r="G211" s="15">
        <v>7362.91</v>
      </c>
      <c r="H211" s="15">
        <v>7071.46</v>
      </c>
      <c r="I211" s="15">
        <v>13907.72</v>
      </c>
      <c r="J211" s="15">
        <v>7117.48</v>
      </c>
      <c r="K211" s="15">
        <v>4828.83</v>
      </c>
      <c r="L211" s="15">
        <v>0</v>
      </c>
      <c r="M211" s="15">
        <v>0</v>
      </c>
      <c r="N211" s="15">
        <v>5522.18</v>
      </c>
      <c r="O211" t="s">
        <v>75</v>
      </c>
    </row>
    <row r="212" spans="1:15" x14ac:dyDescent="0.25">
      <c r="A212" s="10" t="s">
        <v>530</v>
      </c>
      <c r="B212" s="15">
        <v>8144.87</v>
      </c>
      <c r="C212" s="15">
        <v>9122.25</v>
      </c>
      <c r="D212" s="15">
        <v>13176.58</v>
      </c>
      <c r="E212" s="15">
        <v>9122.25</v>
      </c>
      <c r="F212" s="15">
        <v>8362.06</v>
      </c>
      <c r="G212" s="15">
        <v>9122.25</v>
      </c>
      <c r="H212" s="15">
        <v>9122.25</v>
      </c>
      <c r="I212" s="15">
        <v>9122.25</v>
      </c>
      <c r="J212" s="15">
        <v>9122.25</v>
      </c>
      <c r="K212" s="15">
        <v>9122.25</v>
      </c>
      <c r="L212" s="15">
        <v>13176.58</v>
      </c>
      <c r="M212" s="15">
        <v>6081.5</v>
      </c>
      <c r="N212" s="15">
        <v>9122.25</v>
      </c>
      <c r="O212" t="s">
        <v>75</v>
      </c>
    </row>
    <row r="213" spans="1:15" x14ac:dyDescent="0.25">
      <c r="A213" s="10" t="s">
        <v>532</v>
      </c>
      <c r="B213" s="15">
        <v>1921.58</v>
      </c>
      <c r="C213" s="15">
        <v>2045.82</v>
      </c>
      <c r="D213" s="15">
        <v>2042.5</v>
      </c>
      <c r="E213" s="15">
        <v>2042.5</v>
      </c>
      <c r="F213" s="15">
        <v>4766.21</v>
      </c>
      <c r="G213" s="15">
        <v>2042.5</v>
      </c>
      <c r="H213" s="15">
        <v>851.05</v>
      </c>
      <c r="I213" s="15">
        <v>1690.17</v>
      </c>
      <c r="J213" s="15">
        <v>2042.5</v>
      </c>
      <c r="K213" s="15">
        <v>2042.5</v>
      </c>
      <c r="L213" s="15">
        <v>2042.5</v>
      </c>
      <c r="M213" s="15">
        <v>1838.25</v>
      </c>
      <c r="N213" s="15">
        <v>2042.78</v>
      </c>
      <c r="O213" t="s">
        <v>75</v>
      </c>
    </row>
    <row r="214" spans="1:15" x14ac:dyDescent="0.25">
      <c r="A214" s="10" t="s">
        <v>534</v>
      </c>
      <c r="B214" s="15">
        <v>6235.21</v>
      </c>
      <c r="C214" s="15">
        <v>7882.26</v>
      </c>
      <c r="D214" s="15">
        <v>6220.79</v>
      </c>
      <c r="E214" s="15">
        <v>6220.79</v>
      </c>
      <c r="F214" s="15">
        <v>6220.79</v>
      </c>
      <c r="G214" s="15">
        <v>6220.79</v>
      </c>
      <c r="H214" s="15">
        <v>6220.79</v>
      </c>
      <c r="I214" s="15">
        <v>6220.79</v>
      </c>
      <c r="J214" s="15">
        <v>6220.79</v>
      </c>
      <c r="K214" s="15">
        <v>6220.79</v>
      </c>
      <c r="L214" s="15">
        <v>10047.85</v>
      </c>
      <c r="M214" s="15">
        <v>5702.39</v>
      </c>
      <c r="N214" s="15">
        <v>6395.53</v>
      </c>
      <c r="O214" t="s">
        <v>75</v>
      </c>
    </row>
    <row r="215" spans="1:15" x14ac:dyDescent="0.25">
      <c r="A215" s="10" t="s">
        <v>536</v>
      </c>
      <c r="B215" s="15">
        <v>729.39</v>
      </c>
      <c r="C215" s="15">
        <v>2551.38</v>
      </c>
      <c r="D215" s="15">
        <v>2211.14</v>
      </c>
      <c r="E215" s="15">
        <v>2211.14</v>
      </c>
      <c r="F215" s="15">
        <v>2211.14</v>
      </c>
      <c r="G215" s="15">
        <v>2211.14</v>
      </c>
      <c r="H215" s="15">
        <v>2211.14</v>
      </c>
      <c r="I215" s="15">
        <v>2211.14</v>
      </c>
      <c r="J215" s="15">
        <v>2211.14</v>
      </c>
      <c r="K215" s="15">
        <v>2211.14</v>
      </c>
      <c r="L215" s="15">
        <v>4230.74</v>
      </c>
      <c r="M215" s="15">
        <v>2211.14</v>
      </c>
      <c r="N215" s="15">
        <v>2239.4899999999998</v>
      </c>
      <c r="O215" t="s">
        <v>75</v>
      </c>
    </row>
    <row r="216" spans="1:15" x14ac:dyDescent="0.25">
      <c r="A216" s="10" t="s">
        <v>538</v>
      </c>
      <c r="B216" s="15">
        <v>8203.19</v>
      </c>
      <c r="C216" s="15">
        <v>15305.89</v>
      </c>
      <c r="D216" s="15">
        <v>9183.5300000000007</v>
      </c>
      <c r="E216" s="15">
        <v>6887.65</v>
      </c>
      <c r="F216" s="15">
        <v>9183.5300000000007</v>
      </c>
      <c r="G216" s="15">
        <v>9183.5300000000007</v>
      </c>
      <c r="H216" s="15">
        <v>15305.89</v>
      </c>
      <c r="I216" s="15">
        <v>4897.88</v>
      </c>
      <c r="J216" s="15">
        <v>8877.41</v>
      </c>
      <c r="K216" s="15">
        <v>9183.5300000000007</v>
      </c>
      <c r="L216" s="15">
        <v>13265.1</v>
      </c>
      <c r="M216" s="15">
        <v>9183.5300000000007</v>
      </c>
      <c r="N216" s="15">
        <v>9183.5300000000007</v>
      </c>
      <c r="O216" t="s">
        <v>75</v>
      </c>
    </row>
    <row r="217" spans="1:15" x14ac:dyDescent="0.25">
      <c r="A217" s="10" t="s">
        <v>540</v>
      </c>
      <c r="B217" s="15">
        <v>1960.24</v>
      </c>
      <c r="C217" s="15">
        <v>2211.14</v>
      </c>
      <c r="D217" s="15">
        <v>3608.76</v>
      </c>
      <c r="E217" s="15">
        <v>2205.8000000000002</v>
      </c>
      <c r="F217" s="15">
        <v>1615.8</v>
      </c>
      <c r="G217" s="15">
        <v>3685.23</v>
      </c>
      <c r="H217" s="15">
        <v>2211.14</v>
      </c>
      <c r="I217" s="15">
        <v>1105.57</v>
      </c>
      <c r="J217" s="15">
        <v>2147.5700000000002</v>
      </c>
      <c r="K217" s="15">
        <v>2274.71</v>
      </c>
      <c r="L217" s="15">
        <v>2211.14</v>
      </c>
      <c r="M217" s="15">
        <v>2180.7399999999998</v>
      </c>
      <c r="N217" s="15">
        <v>2211.14</v>
      </c>
      <c r="O217" t="s">
        <v>75</v>
      </c>
    </row>
    <row r="218" spans="1:15" x14ac:dyDescent="0.25">
      <c r="A218" s="10" t="s">
        <v>542</v>
      </c>
      <c r="B218" s="15">
        <v>953.47</v>
      </c>
      <c r="C218" s="15">
        <v>736.85</v>
      </c>
      <c r="D218" s="15">
        <v>1001.58</v>
      </c>
      <c r="E218" s="15">
        <v>1073.1199999999999</v>
      </c>
      <c r="F218" s="15">
        <v>1073.1199999999999</v>
      </c>
      <c r="G218" s="15">
        <v>1320.47</v>
      </c>
      <c r="H218" s="15">
        <v>1718.96</v>
      </c>
      <c r="I218" s="15">
        <v>1359.29</v>
      </c>
      <c r="J218" s="15">
        <v>1272.72</v>
      </c>
      <c r="K218" s="15">
        <v>1140.19</v>
      </c>
      <c r="L218" s="15">
        <v>1366.62</v>
      </c>
      <c r="M218" s="15">
        <v>2774.98</v>
      </c>
      <c r="N218" s="15">
        <v>1243.1099999999999</v>
      </c>
      <c r="O218" t="s">
        <v>75</v>
      </c>
    </row>
    <row r="219" spans="1:15" x14ac:dyDescent="0.25">
      <c r="A219" s="10" t="s">
        <v>544</v>
      </c>
      <c r="B219" s="15">
        <v>979.21</v>
      </c>
      <c r="C219" s="15">
        <v>1647.24</v>
      </c>
      <c r="D219" s="15">
        <v>2052.58</v>
      </c>
      <c r="E219" s="15">
        <v>2076.92</v>
      </c>
      <c r="F219" s="15">
        <v>1949.92</v>
      </c>
      <c r="G219" s="15">
        <v>1892.3</v>
      </c>
      <c r="H219" s="15">
        <v>1937.74</v>
      </c>
      <c r="I219" s="15">
        <v>1941.63</v>
      </c>
      <c r="J219" s="15">
        <v>1936.65</v>
      </c>
      <c r="K219" s="15">
        <v>2474.38</v>
      </c>
      <c r="L219" s="15">
        <v>4820.87</v>
      </c>
      <c r="M219" s="15">
        <v>2049.6999999999998</v>
      </c>
      <c r="N219" s="15">
        <v>2055.17</v>
      </c>
      <c r="O219" t="s">
        <v>75</v>
      </c>
    </row>
    <row r="220" spans="1:15" x14ac:dyDescent="0.25">
      <c r="A220" s="10" t="s">
        <v>546</v>
      </c>
      <c r="B220" s="15">
        <v>3502.16</v>
      </c>
      <c r="C220" s="15">
        <v>2586.7600000000002</v>
      </c>
      <c r="D220" s="15">
        <v>1658.36</v>
      </c>
      <c r="E220" s="15">
        <v>2065.02</v>
      </c>
      <c r="F220" s="15">
        <v>2357.2600000000002</v>
      </c>
      <c r="G220" s="15">
        <v>2211.14</v>
      </c>
      <c r="H220" s="15">
        <v>2211.14</v>
      </c>
      <c r="I220" s="15">
        <v>2211.14</v>
      </c>
      <c r="J220" s="15">
        <v>2211.14</v>
      </c>
      <c r="K220" s="15">
        <v>2211.14</v>
      </c>
      <c r="L220" s="15">
        <v>2211.14</v>
      </c>
      <c r="M220" s="15">
        <v>5201.0600000000004</v>
      </c>
      <c r="N220" s="15">
        <v>2242.44</v>
      </c>
      <c r="O220" t="s">
        <v>75</v>
      </c>
    </row>
    <row r="221" spans="1:15" x14ac:dyDescent="0.25">
      <c r="A221" s="10" t="s">
        <v>548</v>
      </c>
      <c r="B221" s="15">
        <v>994.62</v>
      </c>
      <c r="C221" s="15">
        <v>2318.13</v>
      </c>
      <c r="D221" s="15">
        <v>2230.52</v>
      </c>
      <c r="E221" s="15">
        <v>2163.4499999999998</v>
      </c>
      <c r="F221" s="15">
        <v>2163.4499999999998</v>
      </c>
      <c r="G221" s="15">
        <v>2163.4499999999998</v>
      </c>
      <c r="H221" s="15">
        <v>3613.84</v>
      </c>
      <c r="I221" s="15">
        <v>1622.59</v>
      </c>
      <c r="J221" s="15">
        <v>2163.4499999999998</v>
      </c>
      <c r="K221" s="15">
        <v>2163.4499999999998</v>
      </c>
      <c r="L221" s="15">
        <v>2163.4499999999998</v>
      </c>
      <c r="M221" s="15">
        <v>2163.4499999999998</v>
      </c>
      <c r="N221" s="15">
        <v>2181.9299999999998</v>
      </c>
      <c r="O221" t="s">
        <v>75</v>
      </c>
    </row>
    <row r="222" spans="1:15" x14ac:dyDescent="0.25">
      <c r="A222" s="10" t="s">
        <v>550</v>
      </c>
      <c r="B222" s="15">
        <v>1989.25</v>
      </c>
      <c r="C222" s="15">
        <v>2260.89</v>
      </c>
      <c r="D222" s="15">
        <v>2211.14</v>
      </c>
      <c r="E222" s="15">
        <v>2211.14</v>
      </c>
      <c r="F222" s="15">
        <v>4180.29</v>
      </c>
      <c r="G222" s="15">
        <v>2211.14</v>
      </c>
      <c r="H222" s="15">
        <v>1289.8399999999999</v>
      </c>
      <c r="I222" s="15">
        <v>2211.14</v>
      </c>
      <c r="J222" s="15">
        <v>2211.14</v>
      </c>
      <c r="K222" s="15">
        <v>3195.71</v>
      </c>
      <c r="L222" s="15">
        <v>2211.14</v>
      </c>
      <c r="M222" s="15">
        <v>1474.09</v>
      </c>
      <c r="N222" s="15">
        <v>2215.29</v>
      </c>
      <c r="O222" t="s">
        <v>75</v>
      </c>
    </row>
    <row r="223" spans="1:15" x14ac:dyDescent="0.25">
      <c r="A223" s="10" t="s">
        <v>552</v>
      </c>
      <c r="B223" s="15">
        <v>6797.02</v>
      </c>
      <c r="C223" s="15">
        <v>5895.94</v>
      </c>
      <c r="D223" s="15">
        <v>2782.5</v>
      </c>
      <c r="E223" s="15">
        <v>3478.13</v>
      </c>
      <c r="F223" s="15">
        <v>3478.13</v>
      </c>
      <c r="G223" s="15">
        <v>3439</v>
      </c>
      <c r="H223" s="15">
        <v>3478.13</v>
      </c>
      <c r="I223" s="15">
        <v>3478.13</v>
      </c>
      <c r="J223" s="15">
        <v>3478.13</v>
      </c>
      <c r="K223" s="15">
        <v>3478.13</v>
      </c>
      <c r="L223" s="15">
        <v>3478.13</v>
      </c>
      <c r="M223" s="15">
        <v>3478.13</v>
      </c>
      <c r="N223" s="15">
        <v>3770.91</v>
      </c>
      <c r="O223" t="s">
        <v>75</v>
      </c>
    </row>
    <row r="224" spans="1:15" x14ac:dyDescent="0.25">
      <c r="A224" s="10" t="s">
        <v>554</v>
      </c>
      <c r="B224" s="15">
        <v>1989.24</v>
      </c>
      <c r="C224" s="15">
        <v>2916.24</v>
      </c>
      <c r="D224" s="15">
        <v>2163.4499999999998</v>
      </c>
      <c r="E224" s="15">
        <v>5109.38</v>
      </c>
      <c r="F224" s="15">
        <v>2163.4499999999998</v>
      </c>
      <c r="G224" s="15">
        <v>540.86</v>
      </c>
      <c r="H224" s="15">
        <v>2163.4499999999998</v>
      </c>
      <c r="I224" s="15">
        <v>2163.4499999999998</v>
      </c>
      <c r="J224" s="15">
        <v>2163.4499999999998</v>
      </c>
      <c r="K224" s="15">
        <v>2163.4499999999998</v>
      </c>
      <c r="L224" s="15">
        <v>2163.4499999999998</v>
      </c>
      <c r="M224" s="15">
        <v>2163.4499999999998</v>
      </c>
      <c r="N224" s="15">
        <v>2226.1799999999998</v>
      </c>
      <c r="O224" t="s">
        <v>75</v>
      </c>
    </row>
    <row r="225" spans="1:15" x14ac:dyDescent="0.25">
      <c r="A225" s="10" t="s">
        <v>556</v>
      </c>
      <c r="B225" s="15">
        <v>2372.11</v>
      </c>
      <c r="C225" s="15">
        <v>1947.11</v>
      </c>
      <c r="D225" s="15">
        <v>4784.95</v>
      </c>
      <c r="E225" s="15">
        <v>2084.96</v>
      </c>
      <c r="F225" s="15">
        <v>681.49</v>
      </c>
      <c r="G225" s="15">
        <v>1760.44</v>
      </c>
      <c r="H225" s="15">
        <v>1947.11</v>
      </c>
      <c r="I225" s="15">
        <v>1947.11</v>
      </c>
      <c r="J225" s="15">
        <v>1955.15</v>
      </c>
      <c r="K225" s="15">
        <v>2466.34</v>
      </c>
      <c r="L225" s="15">
        <v>1955.15</v>
      </c>
      <c r="M225" s="15">
        <v>2076.92</v>
      </c>
      <c r="N225" s="15">
        <v>2048.9699999999998</v>
      </c>
      <c r="O225" t="s">
        <v>75</v>
      </c>
    </row>
    <row r="226" spans="1:15" x14ac:dyDescent="0.25">
      <c r="A226" s="10" t="s">
        <v>558</v>
      </c>
      <c r="B226" s="15">
        <v>0</v>
      </c>
      <c r="C226" s="15">
        <v>1249.23</v>
      </c>
      <c r="D226" s="15">
        <v>2154.87</v>
      </c>
      <c r="E226" s="15">
        <v>2042.5</v>
      </c>
      <c r="F226" s="15">
        <v>2015.95</v>
      </c>
      <c r="G226" s="15">
        <v>2284.11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1031.8</v>
      </c>
      <c r="O226" t="s">
        <v>75</v>
      </c>
    </row>
    <row r="227" spans="1:15" x14ac:dyDescent="0.25">
      <c r="A227" s="10" t="s">
        <v>560</v>
      </c>
      <c r="B227" s="15">
        <v>5920.02</v>
      </c>
      <c r="C227" s="15">
        <v>10520.59</v>
      </c>
      <c r="D227" s="15">
        <v>9697.51</v>
      </c>
      <c r="E227" s="15">
        <v>9697.51</v>
      </c>
      <c r="F227" s="15">
        <v>9697.51</v>
      </c>
      <c r="G227" s="15">
        <v>9697.51</v>
      </c>
      <c r="H227" s="15">
        <v>9697.51</v>
      </c>
      <c r="I227" s="15">
        <v>17145.189999999999</v>
      </c>
      <c r="J227" s="15">
        <v>7273.14</v>
      </c>
      <c r="K227" s="15">
        <v>9697.51</v>
      </c>
      <c r="L227" s="15">
        <v>9697.51</v>
      </c>
      <c r="M227" s="15">
        <v>16232.96</v>
      </c>
      <c r="N227" s="15">
        <v>9842.1200000000008</v>
      </c>
      <c r="O227" t="s">
        <v>75</v>
      </c>
    </row>
    <row r="228" spans="1:15" x14ac:dyDescent="0.25">
      <c r="A228" s="10" t="s">
        <v>562</v>
      </c>
      <c r="B228" s="15">
        <v>0</v>
      </c>
      <c r="C228" s="15">
        <v>0</v>
      </c>
      <c r="D228" s="15">
        <v>0</v>
      </c>
      <c r="E228" s="15">
        <v>0</v>
      </c>
      <c r="F228" s="15">
        <v>0</v>
      </c>
      <c r="G228" s="15">
        <v>0</v>
      </c>
      <c r="H228" s="15">
        <v>0</v>
      </c>
      <c r="I228" s="15">
        <v>0</v>
      </c>
      <c r="J228" s="15">
        <v>0</v>
      </c>
      <c r="K228" s="15">
        <v>3671.79</v>
      </c>
      <c r="L228" s="15">
        <v>5797.57</v>
      </c>
      <c r="M228" s="15">
        <v>5797.57</v>
      </c>
      <c r="N228" s="15">
        <v>1932.52</v>
      </c>
      <c r="O228" t="s">
        <v>75</v>
      </c>
    </row>
    <row r="229" spans="1:15" x14ac:dyDescent="0.25">
      <c r="A229" s="10" t="s">
        <v>564</v>
      </c>
      <c r="B229" s="15">
        <v>2609.5500000000002</v>
      </c>
      <c r="C229" s="15">
        <v>3020.08</v>
      </c>
      <c r="D229" s="15">
        <v>2920.77</v>
      </c>
      <c r="E229" s="15">
        <v>2920.77</v>
      </c>
      <c r="F229" s="15">
        <v>5527.42</v>
      </c>
      <c r="G229" s="15">
        <v>2920.77</v>
      </c>
      <c r="H229" s="15">
        <v>1703.78</v>
      </c>
      <c r="I229" s="15">
        <v>2920.77</v>
      </c>
      <c r="J229" s="15">
        <v>2920.77</v>
      </c>
      <c r="K229" s="15">
        <v>2935.37</v>
      </c>
      <c r="L229" s="15">
        <v>0</v>
      </c>
      <c r="M229" s="15">
        <v>0</v>
      </c>
      <c r="N229" s="15">
        <v>2200.08</v>
      </c>
      <c r="O229" t="s">
        <v>75</v>
      </c>
    </row>
    <row r="230" spans="1:15" x14ac:dyDescent="0.25">
      <c r="A230" s="10" t="s">
        <v>566</v>
      </c>
      <c r="B230" s="15">
        <v>2486.54</v>
      </c>
      <c r="C230" s="15">
        <v>8358.5</v>
      </c>
      <c r="D230" s="15">
        <v>3892.57</v>
      </c>
      <c r="E230" s="15">
        <v>6697.86</v>
      </c>
      <c r="F230" s="15">
        <v>3403.1</v>
      </c>
      <c r="G230" s="15">
        <v>3319.62</v>
      </c>
      <c r="H230" s="15">
        <v>4546.93</v>
      </c>
      <c r="I230" s="15">
        <v>3403.1</v>
      </c>
      <c r="J230" s="15">
        <v>5500.12</v>
      </c>
      <c r="K230" s="15">
        <v>3403.1</v>
      </c>
      <c r="L230" s="15">
        <v>3403.1</v>
      </c>
      <c r="M230" s="15">
        <v>3403.1</v>
      </c>
      <c r="N230" s="15">
        <v>4087.89</v>
      </c>
      <c r="O230" t="s">
        <v>75</v>
      </c>
    </row>
    <row r="231" spans="1:15" x14ac:dyDescent="0.25">
      <c r="A231" s="10" t="s">
        <v>568</v>
      </c>
      <c r="B231" s="15">
        <v>0</v>
      </c>
      <c r="C231" s="15">
        <v>0</v>
      </c>
      <c r="D231" s="15">
        <v>0</v>
      </c>
      <c r="E231" s="15">
        <v>0</v>
      </c>
      <c r="F231" s="15">
        <v>0</v>
      </c>
      <c r="G231" s="15">
        <v>0</v>
      </c>
      <c r="H231" s="15">
        <v>1225.5</v>
      </c>
      <c r="I231" s="15">
        <v>2042.5</v>
      </c>
      <c r="J231" s="15">
        <v>2042.5</v>
      </c>
      <c r="K231" s="15">
        <v>2042.5</v>
      </c>
      <c r="L231" s="15">
        <v>2042.5</v>
      </c>
      <c r="M231" s="15">
        <v>2042.5</v>
      </c>
      <c r="N231" s="15">
        <v>1191.46</v>
      </c>
      <c r="O231" t="s">
        <v>75</v>
      </c>
    </row>
    <row r="232" spans="1:15" x14ac:dyDescent="0.25">
      <c r="A232" s="10" t="s">
        <v>570</v>
      </c>
      <c r="B232" s="15">
        <v>9584.32</v>
      </c>
      <c r="C232" s="15">
        <v>5411.44</v>
      </c>
      <c r="D232" s="15">
        <v>3465.78</v>
      </c>
      <c r="E232" s="15">
        <v>4933.25</v>
      </c>
      <c r="F232" s="15">
        <v>8104.85</v>
      </c>
      <c r="G232" s="15">
        <v>3761.53</v>
      </c>
      <c r="H232" s="15">
        <v>5642.3</v>
      </c>
      <c r="I232" s="15">
        <v>5642.3</v>
      </c>
      <c r="J232" s="15">
        <v>4513.6000000000004</v>
      </c>
      <c r="K232" s="15">
        <v>4513.6000000000004</v>
      </c>
      <c r="L232" s="15">
        <v>4513.6000000000004</v>
      </c>
      <c r="M232" s="15">
        <v>4513.6000000000004</v>
      </c>
      <c r="N232" s="15">
        <v>4513.6000000000004</v>
      </c>
      <c r="O232" t="s">
        <v>75</v>
      </c>
    </row>
    <row r="233" spans="1:15" x14ac:dyDescent="0.25">
      <c r="A233" s="10" t="s">
        <v>572</v>
      </c>
      <c r="B233" s="15">
        <v>0</v>
      </c>
      <c r="C233" s="15">
        <v>0</v>
      </c>
      <c r="D233" s="15">
        <v>0</v>
      </c>
      <c r="E233" s="15">
        <v>0</v>
      </c>
      <c r="F233" s="15">
        <v>0</v>
      </c>
      <c r="G233" s="15">
        <v>0</v>
      </c>
      <c r="H233" s="15">
        <v>0</v>
      </c>
      <c r="I233" s="15">
        <v>919.89</v>
      </c>
      <c r="J233" s="15">
        <v>1533.15</v>
      </c>
      <c r="K233" s="15">
        <v>1941.99</v>
      </c>
      <c r="L233" s="15">
        <v>1643.4</v>
      </c>
      <c r="M233" s="15">
        <v>1635.36</v>
      </c>
      <c r="N233" s="15">
        <v>828.72</v>
      </c>
      <c r="O233" t="s">
        <v>75</v>
      </c>
    </row>
    <row r="234" spans="1:15" x14ac:dyDescent="0.25">
      <c r="A234" s="10" t="s">
        <v>574</v>
      </c>
      <c r="B234" s="15">
        <v>1864.92</v>
      </c>
      <c r="C234" s="15">
        <v>2084.96</v>
      </c>
      <c r="D234" s="15">
        <v>2084.96</v>
      </c>
      <c r="E234" s="15">
        <v>1955.15</v>
      </c>
      <c r="F234" s="15">
        <v>1947.11</v>
      </c>
      <c r="G234" s="15">
        <v>1955.15</v>
      </c>
      <c r="H234" s="15">
        <v>1947.11</v>
      </c>
      <c r="I234" s="15">
        <v>1947.11</v>
      </c>
      <c r="J234" s="15">
        <v>1955.15</v>
      </c>
      <c r="K234" s="15">
        <v>2578.83</v>
      </c>
      <c r="L234" s="15">
        <v>4655.68</v>
      </c>
      <c r="M234" s="15">
        <v>2076.92</v>
      </c>
      <c r="N234" s="15">
        <v>2036.22</v>
      </c>
      <c r="O234" t="s">
        <v>75</v>
      </c>
    </row>
    <row r="235" spans="1:15" x14ac:dyDescent="0.25">
      <c r="A235" s="10" t="s">
        <v>576</v>
      </c>
      <c r="B235" s="15">
        <v>994.62</v>
      </c>
      <c r="C235" s="15">
        <v>4250.01</v>
      </c>
      <c r="D235" s="15">
        <v>0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v>0</v>
      </c>
      <c r="K235" s="15">
        <v>0</v>
      </c>
      <c r="L235" s="15">
        <v>0</v>
      </c>
      <c r="M235" s="15">
        <v>0</v>
      </c>
      <c r="N235" s="15">
        <v>562.80999999999995</v>
      </c>
      <c r="O235" t="s">
        <v>75</v>
      </c>
    </row>
    <row r="236" spans="1:15" x14ac:dyDescent="0.25">
      <c r="A236" s="10" t="s">
        <v>578</v>
      </c>
      <c r="B236" s="15">
        <v>1928.14</v>
      </c>
      <c r="C236" s="15">
        <v>1967.2</v>
      </c>
      <c r="D236" s="15">
        <v>2084.96</v>
      </c>
      <c r="E236" s="15">
        <v>1947.11</v>
      </c>
      <c r="F236" s="15">
        <v>1967.2</v>
      </c>
      <c r="G236" s="15">
        <v>2206.7199999999998</v>
      </c>
      <c r="H236" s="15">
        <v>1947.11</v>
      </c>
      <c r="I236" s="15">
        <v>1955.15</v>
      </c>
      <c r="J236" s="15">
        <v>4706.55</v>
      </c>
      <c r="K236" s="15">
        <v>2466.34</v>
      </c>
      <c r="L236" s="15">
        <v>551.67999999999995</v>
      </c>
      <c r="M236" s="15">
        <v>1902.3</v>
      </c>
      <c r="N236" s="15">
        <v>2041.75</v>
      </c>
      <c r="O236" t="s">
        <v>75</v>
      </c>
    </row>
    <row r="237" spans="1:15" x14ac:dyDescent="0.25">
      <c r="A237" s="10" t="s">
        <v>580</v>
      </c>
      <c r="B237" s="15">
        <v>2030.68</v>
      </c>
      <c r="C237" s="15">
        <v>2317.87</v>
      </c>
      <c r="D237" s="15">
        <v>2163.4499999999998</v>
      </c>
      <c r="E237" s="15">
        <v>2163.4499999999998</v>
      </c>
      <c r="F237" s="15">
        <v>2163.4499999999998</v>
      </c>
      <c r="G237" s="15">
        <v>2163.4499999999998</v>
      </c>
      <c r="H237" s="15">
        <v>2163.4499999999998</v>
      </c>
      <c r="I237" s="15">
        <v>2163.4499999999998</v>
      </c>
      <c r="J237" s="15">
        <v>2163.4499999999998</v>
      </c>
      <c r="K237" s="15">
        <v>2163.4499999999998</v>
      </c>
      <c r="L237" s="15">
        <v>2163.4499999999998</v>
      </c>
      <c r="M237" s="15">
        <v>2163.4499999999998</v>
      </c>
      <c r="N237" s="15">
        <v>2176.3200000000002</v>
      </c>
      <c r="O237" t="s">
        <v>75</v>
      </c>
    </row>
    <row r="238" spans="1:15" x14ac:dyDescent="0.25">
      <c r="A238" s="10" t="s">
        <v>582</v>
      </c>
      <c r="B238" s="15">
        <v>0</v>
      </c>
      <c r="C238" s="15">
        <v>0</v>
      </c>
      <c r="D238" s="15">
        <v>0</v>
      </c>
      <c r="E238" s="15">
        <v>0</v>
      </c>
      <c r="F238" s="15">
        <v>1277.6300000000001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127.76</v>
      </c>
      <c r="O238" t="s">
        <v>75</v>
      </c>
    </row>
    <row r="239" spans="1:15" x14ac:dyDescent="0.25">
      <c r="A239" s="10" t="s">
        <v>584</v>
      </c>
      <c r="B239" s="15">
        <v>6577.83</v>
      </c>
      <c r="C239" s="15">
        <v>7362.91</v>
      </c>
      <c r="D239" s="15">
        <v>13838.86</v>
      </c>
      <c r="E239" s="15">
        <v>7362.91</v>
      </c>
      <c r="F239" s="15">
        <v>4295.03</v>
      </c>
      <c r="G239" s="15">
        <v>7362.91</v>
      </c>
      <c r="H239" s="15">
        <v>7362.91</v>
      </c>
      <c r="I239" s="15">
        <v>7362.91</v>
      </c>
      <c r="J239" s="15">
        <v>7362.91</v>
      </c>
      <c r="K239" s="15">
        <v>7362.91</v>
      </c>
      <c r="L239" s="15">
        <v>7362.91</v>
      </c>
      <c r="M239" s="15">
        <v>7362.91</v>
      </c>
      <c r="N239" s="15">
        <v>7362.91</v>
      </c>
      <c r="O239" t="s">
        <v>75</v>
      </c>
    </row>
    <row r="240" spans="1:15" x14ac:dyDescent="0.25">
      <c r="A240" s="10" t="s">
        <v>586</v>
      </c>
      <c r="B240" s="15">
        <v>5701.41</v>
      </c>
      <c r="C240" s="15">
        <v>6585.13</v>
      </c>
      <c r="D240" s="15">
        <v>10351.39</v>
      </c>
      <c r="E240" s="15">
        <v>6935.43</v>
      </c>
      <c r="F240" s="15">
        <v>3933.53</v>
      </c>
      <c r="G240" s="15">
        <v>6210.83</v>
      </c>
      <c r="H240" s="15">
        <v>6210.83</v>
      </c>
      <c r="I240" s="15">
        <v>6210.83</v>
      </c>
      <c r="J240" s="15">
        <v>10351.39</v>
      </c>
      <c r="K240" s="15">
        <v>3105.42</v>
      </c>
      <c r="L240" s="15">
        <v>6210.83</v>
      </c>
      <c r="M240" s="15">
        <v>6210.83</v>
      </c>
      <c r="N240" s="15">
        <v>6210.83</v>
      </c>
      <c r="O240" t="s">
        <v>75</v>
      </c>
    </row>
    <row r="241" spans="1:15" x14ac:dyDescent="0.25">
      <c r="A241" s="10" t="s">
        <v>588</v>
      </c>
      <c r="B241" s="15">
        <v>5701.41</v>
      </c>
      <c r="C241" s="15">
        <v>5986.48</v>
      </c>
      <c r="D241" s="15">
        <v>7554.37</v>
      </c>
      <c r="E241" s="15">
        <v>5986.48</v>
      </c>
      <c r="F241" s="15">
        <v>5986.48</v>
      </c>
      <c r="G241" s="15">
        <v>5986.48</v>
      </c>
      <c r="H241" s="15">
        <v>11392.91</v>
      </c>
      <c r="I241" s="15">
        <v>7554.37</v>
      </c>
      <c r="J241" s="15">
        <v>3492.11</v>
      </c>
      <c r="K241" s="15">
        <v>5986.48</v>
      </c>
      <c r="L241" s="15">
        <v>5986.48</v>
      </c>
      <c r="M241" s="15">
        <v>5986.48</v>
      </c>
      <c r="N241" s="15">
        <v>6247.8</v>
      </c>
      <c r="O241" t="s">
        <v>75</v>
      </c>
    </row>
    <row r="242" spans="1:15" x14ac:dyDescent="0.25">
      <c r="A242" s="10" t="s">
        <v>590</v>
      </c>
      <c r="B242" s="15">
        <v>2403.67</v>
      </c>
      <c r="C242" s="15">
        <v>2225.5100000000002</v>
      </c>
      <c r="D242" s="15">
        <v>3384.16</v>
      </c>
      <c r="E242" s="15">
        <v>0</v>
      </c>
      <c r="F242" s="15">
        <v>0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369.32</v>
      </c>
      <c r="O242" t="s">
        <v>75</v>
      </c>
    </row>
    <row r="243" spans="1:15" x14ac:dyDescent="0.25">
      <c r="A243" s="10" t="s">
        <v>592</v>
      </c>
      <c r="B243" s="15">
        <v>0</v>
      </c>
      <c r="C243" s="15">
        <v>1533.15</v>
      </c>
      <c r="D243" s="15">
        <v>1703.5</v>
      </c>
      <c r="E243" s="15">
        <v>1703.5</v>
      </c>
      <c r="F243" s="15">
        <v>1703.5</v>
      </c>
      <c r="G243" s="15">
        <v>1703.5</v>
      </c>
      <c r="H243" s="15">
        <v>1703.5</v>
      </c>
      <c r="I243" s="15">
        <v>1703.5</v>
      </c>
      <c r="J243" s="15">
        <v>1703.5</v>
      </c>
      <c r="K243" s="15">
        <v>1703.5</v>
      </c>
      <c r="L243" s="15">
        <v>1703.5</v>
      </c>
      <c r="M243" s="15">
        <v>1703.5</v>
      </c>
      <c r="N243" s="15">
        <v>1703.5</v>
      </c>
      <c r="O243" t="s">
        <v>75</v>
      </c>
    </row>
    <row r="244" spans="1:15" x14ac:dyDescent="0.25">
      <c r="A244" s="10" t="s">
        <v>594</v>
      </c>
      <c r="B244" s="15">
        <v>3325.66</v>
      </c>
      <c r="C244" s="15">
        <v>2146.17</v>
      </c>
      <c r="D244" s="15">
        <v>1579.62</v>
      </c>
      <c r="E244" s="15">
        <v>2106.15</v>
      </c>
      <c r="F244" s="15">
        <v>2106.15</v>
      </c>
      <c r="G244" s="15">
        <v>3477.2</v>
      </c>
      <c r="H244" s="15">
        <v>2038.4</v>
      </c>
      <c r="I244" s="15">
        <v>984.98</v>
      </c>
      <c r="J244" s="15">
        <v>2106.15</v>
      </c>
      <c r="K244" s="15">
        <v>2102.46</v>
      </c>
      <c r="L244" s="15">
        <v>2049.63</v>
      </c>
      <c r="M244" s="15">
        <v>2106.15</v>
      </c>
      <c r="N244" s="15">
        <v>2109.48</v>
      </c>
      <c r="O244" t="s">
        <v>75</v>
      </c>
    </row>
    <row r="245" spans="1:15" x14ac:dyDescent="0.25">
      <c r="A245" s="10" t="s">
        <v>596</v>
      </c>
      <c r="B245" s="15">
        <v>1632.83</v>
      </c>
      <c r="C245" s="15">
        <v>2321.38</v>
      </c>
      <c r="D245" s="15">
        <v>2163.4499999999998</v>
      </c>
      <c r="E245" s="15">
        <v>2163.4499999999998</v>
      </c>
      <c r="F245" s="15">
        <v>2163.4499999999998</v>
      </c>
      <c r="G245" s="15">
        <v>2163.4499999999998</v>
      </c>
      <c r="H245" s="15">
        <v>2163.4499999999998</v>
      </c>
      <c r="I245" s="15">
        <v>2163.4499999999998</v>
      </c>
      <c r="J245" s="15">
        <v>2064.83</v>
      </c>
      <c r="K245" s="15">
        <v>2163.4499999999998</v>
      </c>
      <c r="L245" s="15">
        <v>2163.4499999999998</v>
      </c>
      <c r="M245" s="15">
        <v>2163.4499999999998</v>
      </c>
      <c r="N245" s="15">
        <v>2176.61</v>
      </c>
      <c r="O245" t="s">
        <v>75</v>
      </c>
    </row>
    <row r="246" spans="1:15" x14ac:dyDescent="0.25">
      <c r="A246" s="10" t="s">
        <v>598</v>
      </c>
      <c r="B246" s="15">
        <v>0</v>
      </c>
      <c r="C246" s="15">
        <v>0</v>
      </c>
      <c r="D246" s="15">
        <v>0</v>
      </c>
      <c r="E246" s="15">
        <v>0</v>
      </c>
      <c r="F246" s="15">
        <v>0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156.15</v>
      </c>
      <c r="O246" t="s">
        <v>75</v>
      </c>
    </row>
    <row r="247" spans="1:15" x14ac:dyDescent="0.25">
      <c r="A247" s="10" t="s">
        <v>600</v>
      </c>
      <c r="B247" s="15">
        <v>1921.58</v>
      </c>
      <c r="C247" s="15">
        <v>2278.92</v>
      </c>
      <c r="D247" s="15">
        <v>2042.5</v>
      </c>
      <c r="E247" s="15">
        <v>2042.5</v>
      </c>
      <c r="F247" s="15">
        <v>2131.86</v>
      </c>
      <c r="G247" s="15">
        <v>2042.5</v>
      </c>
      <c r="H247" s="15">
        <v>2042.5</v>
      </c>
      <c r="I247" s="15">
        <v>2042.5</v>
      </c>
      <c r="J247" s="15">
        <v>2042.5</v>
      </c>
      <c r="K247" s="15">
        <v>4792.1000000000004</v>
      </c>
      <c r="L247" s="15">
        <v>2042.5</v>
      </c>
      <c r="M247" s="15">
        <v>510.63</v>
      </c>
      <c r="N247" s="15">
        <v>2069.65</v>
      </c>
      <c r="O247" t="s">
        <v>75</v>
      </c>
    </row>
    <row r="248" spans="1:15" x14ac:dyDescent="0.25">
      <c r="A248" s="10" t="s">
        <v>602</v>
      </c>
      <c r="B248" s="15">
        <v>1921.58</v>
      </c>
      <c r="C248" s="15">
        <v>2281.73</v>
      </c>
      <c r="D248" s="15">
        <v>2042.5</v>
      </c>
      <c r="E248" s="15">
        <v>2042.5</v>
      </c>
      <c r="F248" s="15">
        <v>2386.5700000000002</v>
      </c>
      <c r="G248" s="15">
        <v>2042.5</v>
      </c>
      <c r="H248" s="15">
        <v>2042.5</v>
      </c>
      <c r="I248" s="15">
        <v>3904.95</v>
      </c>
      <c r="J248" s="15">
        <v>2042.5</v>
      </c>
      <c r="K248" s="15">
        <v>1259.55</v>
      </c>
      <c r="L248" s="15">
        <v>1974.42</v>
      </c>
      <c r="M248" s="15">
        <v>2042.5</v>
      </c>
      <c r="N248" s="15">
        <v>2091.11</v>
      </c>
      <c r="O248" t="s">
        <v>75</v>
      </c>
    </row>
    <row r="249" spans="1:15" x14ac:dyDescent="0.25">
      <c r="A249" s="10" t="s">
        <v>604</v>
      </c>
      <c r="B249" s="15">
        <v>1724.01</v>
      </c>
      <c r="C249" s="15">
        <v>2037.03</v>
      </c>
      <c r="D249" s="15">
        <v>1703.5</v>
      </c>
      <c r="E249" s="15">
        <v>1703.5</v>
      </c>
      <c r="F249" s="15">
        <v>1703.5</v>
      </c>
      <c r="G249" s="15">
        <v>1703.5</v>
      </c>
      <c r="H249" s="15">
        <v>1703.5</v>
      </c>
      <c r="I249" s="15">
        <v>3242.43</v>
      </c>
      <c r="J249" s="15">
        <v>1703.5</v>
      </c>
      <c r="K249" s="15">
        <v>993.71</v>
      </c>
      <c r="L249" s="15">
        <v>1703.5</v>
      </c>
      <c r="M249" s="15">
        <v>2472.9499999999998</v>
      </c>
      <c r="N249" s="15">
        <v>1731.29</v>
      </c>
      <c r="O249" t="s">
        <v>75</v>
      </c>
    </row>
    <row r="250" spans="1:15" x14ac:dyDescent="0.25">
      <c r="A250" s="10" t="s">
        <v>606</v>
      </c>
      <c r="B250" s="15">
        <v>1871.94</v>
      </c>
      <c r="C250" s="15">
        <v>2155.09</v>
      </c>
      <c r="D250" s="15">
        <v>2042.5</v>
      </c>
      <c r="E250" s="15">
        <v>2042.5</v>
      </c>
      <c r="F250" s="15">
        <v>2042.5</v>
      </c>
      <c r="G250" s="15">
        <v>3852.43</v>
      </c>
      <c r="H250" s="15">
        <v>2042.5</v>
      </c>
      <c r="I250" s="15">
        <v>1191.46</v>
      </c>
      <c r="J250" s="15">
        <v>2042.5</v>
      </c>
      <c r="K250" s="15">
        <v>2954.45</v>
      </c>
      <c r="L250" s="15">
        <v>2042.5</v>
      </c>
      <c r="M250" s="15">
        <v>1361.67</v>
      </c>
      <c r="N250" s="15">
        <v>2051.88</v>
      </c>
      <c r="O250" t="s">
        <v>75</v>
      </c>
    </row>
    <row r="251" spans="1:15" x14ac:dyDescent="0.25">
      <c r="A251" s="10" t="s">
        <v>608</v>
      </c>
      <c r="B251" s="15">
        <v>763.87</v>
      </c>
      <c r="C251" s="15">
        <v>2084.7199999999998</v>
      </c>
      <c r="D251" s="15">
        <v>893.45</v>
      </c>
      <c r="E251" s="15">
        <v>223.36</v>
      </c>
      <c r="F251" s="15">
        <v>893.45</v>
      </c>
      <c r="G251" s="15">
        <v>893.45</v>
      </c>
      <c r="H251" s="15">
        <v>893.45</v>
      </c>
      <c r="I251" s="15">
        <v>893.45</v>
      </c>
      <c r="J251" s="15">
        <v>893.45</v>
      </c>
      <c r="K251" s="15">
        <v>893.45</v>
      </c>
      <c r="L251" s="15">
        <v>893.45</v>
      </c>
      <c r="M251" s="15">
        <v>893.45</v>
      </c>
      <c r="N251" s="15">
        <v>893.45</v>
      </c>
      <c r="O251" t="s">
        <v>75</v>
      </c>
    </row>
    <row r="252" spans="1:15" x14ac:dyDescent="0.25">
      <c r="A252" s="10" t="s">
        <v>610</v>
      </c>
      <c r="B252" s="15">
        <v>2043.81</v>
      </c>
      <c r="C252" s="15">
        <v>1947.11</v>
      </c>
      <c r="D252" s="15">
        <v>2117.1</v>
      </c>
      <c r="E252" s="15">
        <v>2076.92</v>
      </c>
      <c r="F252" s="15">
        <v>2076.92</v>
      </c>
      <c r="G252" s="15">
        <v>2076.92</v>
      </c>
      <c r="H252" s="15">
        <v>1959.45</v>
      </c>
      <c r="I252" s="15">
        <v>1975.23</v>
      </c>
      <c r="J252" s="15">
        <v>1967.2</v>
      </c>
      <c r="K252" s="15">
        <v>2466.34</v>
      </c>
      <c r="L252" s="15">
        <v>4809.72</v>
      </c>
      <c r="M252" s="15">
        <v>2206.7199999999998</v>
      </c>
      <c r="N252" s="15">
        <v>2096.8000000000002</v>
      </c>
      <c r="O252" t="s">
        <v>75</v>
      </c>
    </row>
    <row r="253" spans="1:15" x14ac:dyDescent="0.25">
      <c r="A253" s="10" t="s">
        <v>612</v>
      </c>
      <c r="B253" s="15">
        <v>5701.41</v>
      </c>
      <c r="C253" s="15">
        <v>5986.48</v>
      </c>
      <c r="D253" s="15">
        <v>5986.48</v>
      </c>
      <c r="E253" s="15">
        <v>5986.48</v>
      </c>
      <c r="F253" s="15">
        <v>5986.48</v>
      </c>
      <c r="G253" s="15">
        <v>5986.48</v>
      </c>
      <c r="H253" s="15">
        <v>10775.67</v>
      </c>
      <c r="I253" s="15">
        <v>4888.96</v>
      </c>
      <c r="J253" s="15">
        <v>4988.74</v>
      </c>
      <c r="K253" s="15">
        <v>5986.48</v>
      </c>
      <c r="L253" s="15">
        <v>9179.27</v>
      </c>
      <c r="M253" s="15">
        <v>5387.83</v>
      </c>
      <c r="N253" s="15">
        <v>5986.48</v>
      </c>
      <c r="O253" t="s">
        <v>75</v>
      </c>
    </row>
    <row r="254" spans="1:15" x14ac:dyDescent="0.25">
      <c r="A254" s="10" t="s">
        <v>614</v>
      </c>
      <c r="B254" s="15">
        <v>1790.32</v>
      </c>
      <c r="C254" s="15">
        <v>1947.11</v>
      </c>
      <c r="D254" s="15">
        <v>2084.96</v>
      </c>
      <c r="E254" s="15">
        <v>2117.1</v>
      </c>
      <c r="F254" s="15">
        <v>2084.96</v>
      </c>
      <c r="G254" s="15">
        <v>1947.11</v>
      </c>
      <c r="H254" s="15">
        <v>2076.92</v>
      </c>
      <c r="I254" s="15">
        <v>1882.21</v>
      </c>
      <c r="J254" s="15">
        <v>1947.11</v>
      </c>
      <c r="K254" s="15">
        <v>2486.4299999999998</v>
      </c>
      <c r="L254" s="15">
        <v>1975.23</v>
      </c>
      <c r="M254" s="15">
        <v>2076.92</v>
      </c>
      <c r="N254" s="15">
        <v>2053.1799999999998</v>
      </c>
      <c r="O254" t="s">
        <v>75</v>
      </c>
    </row>
    <row r="255" spans="1:15" x14ac:dyDescent="0.25">
      <c r="A255" s="10" t="s">
        <v>616</v>
      </c>
      <c r="B255" s="15">
        <v>4469.16</v>
      </c>
      <c r="C255" s="15">
        <v>2200.4499999999998</v>
      </c>
      <c r="D255" s="15">
        <v>1363.54</v>
      </c>
      <c r="E255" s="15">
        <v>2137.44</v>
      </c>
      <c r="F255" s="15">
        <v>2211.14</v>
      </c>
      <c r="G255" s="15">
        <v>2211.14</v>
      </c>
      <c r="H255" s="15">
        <v>2174.1</v>
      </c>
      <c r="I255" s="15">
        <v>2175.21</v>
      </c>
      <c r="J255" s="15">
        <v>2211.14</v>
      </c>
      <c r="K255" s="15">
        <v>3202.45</v>
      </c>
      <c r="L255" s="15">
        <v>1474.09</v>
      </c>
      <c r="M255" s="15">
        <v>2211.14</v>
      </c>
      <c r="N255" s="15">
        <v>2211.14</v>
      </c>
      <c r="O255" t="s">
        <v>75</v>
      </c>
    </row>
    <row r="256" spans="1:15" x14ac:dyDescent="0.25">
      <c r="A256" s="10" t="s">
        <v>618</v>
      </c>
      <c r="B256" s="15">
        <v>1921.58</v>
      </c>
      <c r="C256" s="15">
        <v>808</v>
      </c>
      <c r="D256" s="15">
        <v>1827.86</v>
      </c>
      <c r="E256" s="15">
        <v>2042.5</v>
      </c>
      <c r="F256" s="15">
        <v>2208.96</v>
      </c>
      <c r="G256" s="15">
        <v>2042.5</v>
      </c>
      <c r="H256" s="15">
        <v>2042.5</v>
      </c>
      <c r="I256" s="15">
        <v>2042.5</v>
      </c>
      <c r="J256" s="15">
        <v>2042.5</v>
      </c>
      <c r="K256" s="15">
        <v>2042.5</v>
      </c>
      <c r="L256" s="15">
        <v>2042.5</v>
      </c>
      <c r="M256" s="15">
        <v>2042.5</v>
      </c>
      <c r="N256" s="15">
        <v>2056.37</v>
      </c>
      <c r="O256" t="s">
        <v>75</v>
      </c>
    </row>
    <row r="257" spans="1:15" x14ac:dyDescent="0.25">
      <c r="A257" s="10" t="s">
        <v>620</v>
      </c>
      <c r="B257" s="15">
        <v>1864.92</v>
      </c>
      <c r="C257" s="15">
        <v>2214.7600000000002</v>
      </c>
      <c r="D257" s="15">
        <v>2076.92</v>
      </c>
      <c r="E257" s="15">
        <v>1963.18</v>
      </c>
      <c r="F257" s="15">
        <v>2076.92</v>
      </c>
      <c r="G257" s="15">
        <v>1955.15</v>
      </c>
      <c r="H257" s="15">
        <v>2209.89</v>
      </c>
      <c r="I257" s="15">
        <v>1947.11</v>
      </c>
      <c r="J257" s="15">
        <v>1955.15</v>
      </c>
      <c r="K257" s="15">
        <v>2457.5100000000002</v>
      </c>
      <c r="L257" s="15">
        <v>2076.92</v>
      </c>
      <c r="M257" s="15">
        <v>2076.92</v>
      </c>
      <c r="N257" s="15">
        <v>2080.94</v>
      </c>
      <c r="O257" t="s">
        <v>75</v>
      </c>
    </row>
    <row r="258" spans="1:15" x14ac:dyDescent="0.25">
      <c r="A258" s="10" t="s">
        <v>622</v>
      </c>
      <c r="B258" s="15">
        <v>1904.79</v>
      </c>
      <c r="C258" s="15">
        <v>1947.11</v>
      </c>
      <c r="D258" s="15">
        <v>3731.97</v>
      </c>
      <c r="E258" s="15">
        <v>0</v>
      </c>
      <c r="F258" s="15">
        <v>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687.89</v>
      </c>
      <c r="O258" t="s">
        <v>75</v>
      </c>
    </row>
    <row r="259" spans="1:15" x14ac:dyDescent="0.25">
      <c r="A259" s="10" t="s">
        <v>624</v>
      </c>
      <c r="B259" s="15">
        <v>1989.24</v>
      </c>
      <c r="C259" s="15">
        <v>1776.44</v>
      </c>
      <c r="D259" s="15">
        <v>2211.14</v>
      </c>
      <c r="E259" s="15">
        <v>2209.48</v>
      </c>
      <c r="F259" s="15">
        <v>2152.36</v>
      </c>
      <c r="G259" s="15">
        <v>3665.15</v>
      </c>
      <c r="H259" s="15">
        <v>1380.86</v>
      </c>
      <c r="I259" s="15">
        <v>1876.89</v>
      </c>
      <c r="J259" s="15">
        <v>2206.16</v>
      </c>
      <c r="K259" s="15">
        <v>2211.14</v>
      </c>
      <c r="L259" s="15">
        <v>2211.14</v>
      </c>
      <c r="M259" s="15">
        <v>2191.79</v>
      </c>
      <c r="N259" s="15">
        <v>2211.14</v>
      </c>
      <c r="O259" t="s">
        <v>75</v>
      </c>
    </row>
    <row r="260" spans="1:15" x14ac:dyDescent="0.25">
      <c r="A260" s="10" t="s">
        <v>626</v>
      </c>
      <c r="B260" s="15">
        <v>5262.25</v>
      </c>
      <c r="C260" s="15">
        <v>5640.92</v>
      </c>
      <c r="D260" s="15">
        <v>5869.67</v>
      </c>
      <c r="E260" s="15">
        <v>5869.67</v>
      </c>
      <c r="F260" s="15">
        <v>5869.67</v>
      </c>
      <c r="G260" s="15">
        <v>5869.67</v>
      </c>
      <c r="H260" s="15">
        <v>5869.67</v>
      </c>
      <c r="I260" s="15">
        <v>5869.67</v>
      </c>
      <c r="J260" s="15">
        <v>5869.67</v>
      </c>
      <c r="K260" s="15">
        <v>8478.42</v>
      </c>
      <c r="L260" s="15">
        <v>5869.67</v>
      </c>
      <c r="M260" s="15">
        <v>6521.86</v>
      </c>
      <c r="N260" s="15">
        <v>5869.67</v>
      </c>
      <c r="O260" t="s">
        <v>75</v>
      </c>
    </row>
    <row r="261" spans="1:15" x14ac:dyDescent="0.25">
      <c r="A261" s="10" t="s">
        <v>628</v>
      </c>
      <c r="B261" s="15">
        <v>6577.82</v>
      </c>
      <c r="C261" s="15">
        <v>7520.07</v>
      </c>
      <c r="D261" s="15">
        <v>10267.950000000001</v>
      </c>
      <c r="E261" s="15">
        <v>6506.27</v>
      </c>
      <c r="F261" s="15">
        <v>7097.75</v>
      </c>
      <c r="G261" s="15">
        <v>7097.75</v>
      </c>
      <c r="H261" s="15">
        <v>7097.75</v>
      </c>
      <c r="I261" s="15">
        <v>7097.75</v>
      </c>
      <c r="J261" s="15">
        <v>7097.75</v>
      </c>
      <c r="K261" s="15">
        <v>7097.75</v>
      </c>
      <c r="L261" s="15">
        <v>10267.950000000001</v>
      </c>
      <c r="M261" s="15">
        <v>4731.83</v>
      </c>
      <c r="N261" s="15">
        <v>7132.94</v>
      </c>
      <c r="O261" t="s">
        <v>75</v>
      </c>
    </row>
    <row r="262" spans="1:15" x14ac:dyDescent="0.25">
      <c r="A262" s="10" t="s">
        <v>630</v>
      </c>
      <c r="B262" s="15">
        <v>1989.23</v>
      </c>
      <c r="C262" s="15">
        <v>2238.23</v>
      </c>
      <c r="D262" s="15">
        <v>4183.63</v>
      </c>
      <c r="E262" s="15">
        <v>2211.14</v>
      </c>
      <c r="F262" s="15">
        <v>1289.8399999999999</v>
      </c>
      <c r="G262" s="15">
        <v>2194.37</v>
      </c>
      <c r="H262" s="15">
        <v>2198.06</v>
      </c>
      <c r="I262" s="15">
        <v>2211.14</v>
      </c>
      <c r="J262" s="15">
        <v>5162.34</v>
      </c>
      <c r="K262" s="15">
        <v>2154.7600000000002</v>
      </c>
      <c r="L262" s="15">
        <v>50.67</v>
      </c>
      <c r="M262" s="15">
        <v>2113.12</v>
      </c>
      <c r="N262" s="15">
        <v>2213.4</v>
      </c>
      <c r="O262" t="s">
        <v>75</v>
      </c>
    </row>
    <row r="263" spans="1:15" x14ac:dyDescent="0.25">
      <c r="A263" s="10" t="s">
        <v>632</v>
      </c>
      <c r="B263" s="15">
        <v>1856.61</v>
      </c>
      <c r="C263" s="15">
        <v>2211.14</v>
      </c>
      <c r="D263" s="15">
        <v>2195.66</v>
      </c>
      <c r="E263" s="15">
        <v>2211.14</v>
      </c>
      <c r="F263" s="15">
        <v>2211.14</v>
      </c>
      <c r="G263" s="15">
        <v>2211.14</v>
      </c>
      <c r="H263" s="15">
        <v>2211.14</v>
      </c>
      <c r="I263" s="15">
        <v>2211.14</v>
      </c>
      <c r="J263" s="15">
        <v>5159.33</v>
      </c>
      <c r="K263" s="15">
        <v>2208.0100000000002</v>
      </c>
      <c r="L263" s="15">
        <v>700.2</v>
      </c>
      <c r="M263" s="15">
        <v>2063.73</v>
      </c>
      <c r="N263" s="15">
        <v>2211.14</v>
      </c>
      <c r="O263" t="s">
        <v>75</v>
      </c>
    </row>
    <row r="264" spans="1:15" x14ac:dyDescent="0.25">
      <c r="A264" s="10" t="s">
        <v>634</v>
      </c>
      <c r="B264" s="15">
        <v>1591.39</v>
      </c>
      <c r="C264" s="15">
        <v>1662.32</v>
      </c>
      <c r="D264" s="15">
        <v>1419.58</v>
      </c>
      <c r="E264" s="15">
        <v>1703.5</v>
      </c>
      <c r="F264" s="15">
        <v>1703.5</v>
      </c>
      <c r="G264" s="15">
        <v>1703.5</v>
      </c>
      <c r="H264" s="15">
        <v>1703.5</v>
      </c>
      <c r="I264" s="15">
        <v>1703.5</v>
      </c>
      <c r="J264" s="15">
        <v>1703.5</v>
      </c>
      <c r="K264" s="15">
        <v>1703.5</v>
      </c>
      <c r="L264" s="15">
        <v>1703.5</v>
      </c>
      <c r="M264" s="15">
        <v>1703.5</v>
      </c>
      <c r="N264" s="15">
        <v>1770.32</v>
      </c>
      <c r="O264" t="s">
        <v>75</v>
      </c>
    </row>
    <row r="265" spans="1:15" x14ac:dyDescent="0.25">
      <c r="A265" s="10" t="s">
        <v>636</v>
      </c>
      <c r="B265" s="15">
        <v>795.7</v>
      </c>
      <c r="C265" s="15">
        <v>2162.38</v>
      </c>
      <c r="D265" s="15">
        <v>2163.4499999999998</v>
      </c>
      <c r="E265" s="15">
        <v>3505.85</v>
      </c>
      <c r="F265" s="15">
        <v>2163.4499999999998</v>
      </c>
      <c r="G265" s="15">
        <v>2163.4499999999998</v>
      </c>
      <c r="H265" s="15">
        <v>2163.4499999999998</v>
      </c>
      <c r="I265" s="15">
        <v>2163.4499999999998</v>
      </c>
      <c r="J265" s="15">
        <v>2163.4499999999998</v>
      </c>
      <c r="K265" s="15">
        <v>2163.4499999999998</v>
      </c>
      <c r="L265" s="15">
        <v>2163.4499999999998</v>
      </c>
      <c r="M265" s="15">
        <v>2163.4499999999998</v>
      </c>
      <c r="N265" s="15">
        <v>2212.0100000000002</v>
      </c>
      <c r="O265" t="s">
        <v>75</v>
      </c>
    </row>
    <row r="266" spans="1:15" x14ac:dyDescent="0.25">
      <c r="A266" s="10" t="s">
        <v>638</v>
      </c>
      <c r="B266" s="15">
        <v>6735.41</v>
      </c>
      <c r="C266" s="15">
        <v>5049.83</v>
      </c>
      <c r="D266" s="15">
        <v>5609.96</v>
      </c>
      <c r="E266" s="15">
        <v>6010.67</v>
      </c>
      <c r="F266" s="15">
        <v>6010.67</v>
      </c>
      <c r="G266" s="15">
        <v>6010.67</v>
      </c>
      <c r="H266" s="15">
        <v>6010.67</v>
      </c>
      <c r="I266" s="15">
        <v>6010.67</v>
      </c>
      <c r="J266" s="15">
        <v>6010.67</v>
      </c>
      <c r="K266" s="15">
        <v>6010.67</v>
      </c>
      <c r="L266" s="15">
        <v>6010.67</v>
      </c>
      <c r="M266" s="15">
        <v>14247.3</v>
      </c>
      <c r="N266" s="15">
        <v>6196.74</v>
      </c>
      <c r="O266" t="s">
        <v>75</v>
      </c>
    </row>
    <row r="267" spans="1:15" x14ac:dyDescent="0.25">
      <c r="A267" s="10" t="s">
        <v>640</v>
      </c>
      <c r="B267" s="15">
        <v>4209.8</v>
      </c>
      <c r="C267" s="15">
        <v>6143.97</v>
      </c>
      <c r="D267" s="15">
        <v>10976.64</v>
      </c>
      <c r="E267" s="15">
        <v>5797.57</v>
      </c>
      <c r="F267" s="15">
        <v>3381.91</v>
      </c>
      <c r="G267" s="15">
        <v>5797.57</v>
      </c>
      <c r="H267" s="15">
        <v>5797.57</v>
      </c>
      <c r="I267" s="15">
        <v>5797.57</v>
      </c>
      <c r="J267" s="15">
        <v>5797.57</v>
      </c>
      <c r="K267" s="15">
        <v>5797.57</v>
      </c>
      <c r="L267" s="15">
        <v>5797.57</v>
      </c>
      <c r="M267" s="15">
        <v>5797.57</v>
      </c>
      <c r="N267" s="15">
        <v>5826.44</v>
      </c>
      <c r="O267" t="s">
        <v>75</v>
      </c>
    </row>
    <row r="268" spans="1:15" x14ac:dyDescent="0.25">
      <c r="A268" s="10" t="s">
        <v>642</v>
      </c>
      <c r="B268" s="15">
        <v>1573.75</v>
      </c>
      <c r="C268" s="15">
        <v>1749</v>
      </c>
      <c r="D268" s="15">
        <v>3190.07</v>
      </c>
      <c r="E268" s="15">
        <v>1688.02</v>
      </c>
      <c r="F268" s="15">
        <v>984.68</v>
      </c>
      <c r="G268" s="15">
        <v>1688.02</v>
      </c>
      <c r="H268" s="15">
        <v>1688.02</v>
      </c>
      <c r="I268" s="15">
        <v>1688.02</v>
      </c>
      <c r="J268" s="15">
        <v>1688.02</v>
      </c>
      <c r="K268" s="15">
        <v>1688.02</v>
      </c>
      <c r="L268" s="15">
        <v>1688.02</v>
      </c>
      <c r="M268" s="15">
        <v>1688.02</v>
      </c>
      <c r="N268" s="15">
        <v>1693.1</v>
      </c>
      <c r="O268" t="s">
        <v>75</v>
      </c>
    </row>
    <row r="269" spans="1:15" x14ac:dyDescent="0.25">
      <c r="A269" s="10" t="s">
        <v>644</v>
      </c>
      <c r="B269" s="15">
        <v>1591.39</v>
      </c>
      <c r="C269" s="15">
        <v>1698.15</v>
      </c>
      <c r="D269" s="15">
        <v>1688.02</v>
      </c>
      <c r="E269" s="15">
        <v>1660.87</v>
      </c>
      <c r="F269" s="15">
        <v>1688.02</v>
      </c>
      <c r="G269" s="15">
        <v>1688.02</v>
      </c>
      <c r="H269" s="15">
        <v>1688.02</v>
      </c>
      <c r="I269" s="15">
        <v>1688.02</v>
      </c>
      <c r="J269" s="15">
        <v>1688.02</v>
      </c>
      <c r="K269" s="15">
        <v>1688.02</v>
      </c>
      <c r="L269" s="15">
        <v>3175.44</v>
      </c>
      <c r="M269" s="15">
        <v>1527.81</v>
      </c>
      <c r="N269" s="15">
        <v>1688.86</v>
      </c>
      <c r="O269" t="s">
        <v>75</v>
      </c>
    </row>
    <row r="270" spans="1:15" x14ac:dyDescent="0.25">
      <c r="A270" s="10" t="s">
        <v>646</v>
      </c>
      <c r="B270" s="15">
        <v>1909.67</v>
      </c>
      <c r="C270" s="15">
        <v>1947.11</v>
      </c>
      <c r="D270" s="15">
        <v>2076.92</v>
      </c>
      <c r="E270" s="15">
        <v>1947.11</v>
      </c>
      <c r="F270" s="15">
        <v>1955.15</v>
      </c>
      <c r="G270" s="15">
        <v>2076.92</v>
      </c>
      <c r="H270" s="15">
        <v>4817.12</v>
      </c>
      <c r="I270" s="15">
        <v>1947.11</v>
      </c>
      <c r="J270" s="15">
        <v>486.78</v>
      </c>
      <c r="K270" s="15">
        <v>1955.15</v>
      </c>
      <c r="L270" s="15">
        <v>2661.05</v>
      </c>
      <c r="M270" s="15">
        <v>0</v>
      </c>
      <c r="N270" s="15">
        <v>2007.01</v>
      </c>
      <c r="O270" t="s">
        <v>75</v>
      </c>
    </row>
    <row r="271" spans="1:15" x14ac:dyDescent="0.25">
      <c r="A271" s="10" t="s">
        <v>648</v>
      </c>
      <c r="B271" s="15">
        <v>1921.55</v>
      </c>
      <c r="C271" s="15">
        <v>2183.94</v>
      </c>
      <c r="D271" s="15">
        <v>2042.5</v>
      </c>
      <c r="E271" s="15">
        <v>3868.54</v>
      </c>
      <c r="F271" s="15">
        <v>2063.44</v>
      </c>
      <c r="G271" s="15">
        <v>1191.46</v>
      </c>
      <c r="H271" s="15">
        <v>2042.5</v>
      </c>
      <c r="I271" s="15">
        <v>2042.5</v>
      </c>
      <c r="J271" s="15">
        <v>2042.5</v>
      </c>
      <c r="K271" s="15">
        <v>2042.5</v>
      </c>
      <c r="L271" s="15">
        <v>2042.5</v>
      </c>
      <c r="M271" s="15">
        <v>2042.5</v>
      </c>
      <c r="N271" s="15">
        <v>2056.0300000000002</v>
      </c>
      <c r="O271" t="s">
        <v>75</v>
      </c>
    </row>
    <row r="272" spans="1:15" x14ac:dyDescent="0.25">
      <c r="A272" s="10" t="s">
        <v>650</v>
      </c>
      <c r="B272" s="15">
        <v>0</v>
      </c>
      <c r="C272" s="15">
        <v>0</v>
      </c>
      <c r="D272" s="15">
        <v>0</v>
      </c>
      <c r="E272" s="15">
        <v>0</v>
      </c>
      <c r="F272" s="15">
        <v>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127.76</v>
      </c>
      <c r="O272" t="s">
        <v>75</v>
      </c>
    </row>
    <row r="273" spans="1:15" x14ac:dyDescent="0.25">
      <c r="A273" s="10" t="s">
        <v>652</v>
      </c>
      <c r="B273" s="15">
        <v>960.8</v>
      </c>
      <c r="C273" s="15">
        <v>3680.16</v>
      </c>
      <c r="D273" s="15">
        <v>1531.88</v>
      </c>
      <c r="E273" s="15">
        <v>2042.5</v>
      </c>
      <c r="F273" s="15">
        <v>2084.88</v>
      </c>
      <c r="G273" s="15">
        <v>2042.5</v>
      </c>
      <c r="H273" s="15">
        <v>2042.5</v>
      </c>
      <c r="I273" s="15">
        <v>2023.27</v>
      </c>
      <c r="J273" s="15">
        <v>2042.5</v>
      </c>
      <c r="K273" s="15">
        <v>2042.5</v>
      </c>
      <c r="L273" s="15">
        <v>2042.5</v>
      </c>
      <c r="M273" s="15">
        <v>2042.5</v>
      </c>
      <c r="N273" s="15">
        <v>2212.1</v>
      </c>
      <c r="O273" t="s">
        <v>75</v>
      </c>
    </row>
    <row r="274" spans="1:15" x14ac:dyDescent="0.25">
      <c r="A274" s="10" t="s">
        <v>654</v>
      </c>
      <c r="B274" s="15">
        <v>1591.39</v>
      </c>
      <c r="C274" s="15">
        <v>2542.2600000000002</v>
      </c>
      <c r="D274" s="15">
        <v>1703.5</v>
      </c>
      <c r="E274" s="15">
        <v>3295.98</v>
      </c>
      <c r="F274" s="15">
        <v>1703.5</v>
      </c>
      <c r="G274" s="15">
        <v>993.71</v>
      </c>
      <c r="H274" s="15">
        <v>1703.5</v>
      </c>
      <c r="I274" s="15">
        <v>1703.5</v>
      </c>
      <c r="J274" s="15">
        <v>1703.5</v>
      </c>
      <c r="K274" s="15">
        <v>2499.73</v>
      </c>
      <c r="L274" s="15">
        <v>1703.5</v>
      </c>
      <c r="M274" s="15">
        <v>1135.67</v>
      </c>
      <c r="N274" s="15">
        <v>1773.4</v>
      </c>
      <c r="O274" t="s">
        <v>75</v>
      </c>
    </row>
    <row r="275" spans="1:15" x14ac:dyDescent="0.25">
      <c r="A275" s="10" t="s">
        <v>656</v>
      </c>
      <c r="B275" s="15">
        <v>5262.23</v>
      </c>
      <c r="C275" s="15">
        <v>11467.69</v>
      </c>
      <c r="D275" s="15">
        <v>5869.67</v>
      </c>
      <c r="E275" s="15">
        <v>3260.12</v>
      </c>
      <c r="F275" s="15">
        <v>5869.67</v>
      </c>
      <c r="G275" s="15">
        <v>8374.9699999999993</v>
      </c>
      <c r="H275" s="15">
        <v>5059.66</v>
      </c>
      <c r="I275" s="15">
        <v>4695.74</v>
      </c>
      <c r="J275" s="15">
        <v>5869.67</v>
      </c>
      <c r="K275" s="15">
        <v>5869.67</v>
      </c>
      <c r="L275" s="15">
        <v>5869.67</v>
      </c>
      <c r="M275" s="15">
        <v>5869.67</v>
      </c>
      <c r="N275" s="15">
        <v>5899.87</v>
      </c>
      <c r="O275" t="s">
        <v>75</v>
      </c>
    </row>
    <row r="276" spans="1:15" x14ac:dyDescent="0.25">
      <c r="A276" s="10" t="s">
        <v>658</v>
      </c>
      <c r="B276" s="15">
        <v>1989.24</v>
      </c>
      <c r="C276" s="15">
        <v>2582.89</v>
      </c>
      <c r="D276" s="15">
        <v>3215.53</v>
      </c>
      <c r="E276" s="15">
        <v>2469.11</v>
      </c>
      <c r="F276" s="15">
        <v>1768.91</v>
      </c>
      <c r="G276" s="15">
        <v>2211.14</v>
      </c>
      <c r="H276" s="15">
        <v>2211.14</v>
      </c>
      <c r="I276" s="15">
        <v>4215.33</v>
      </c>
      <c r="J276" s="15">
        <v>2211.14</v>
      </c>
      <c r="K276" s="15">
        <v>791.36</v>
      </c>
      <c r="L276" s="15">
        <v>2211.14</v>
      </c>
      <c r="M276" s="15">
        <v>2211.14</v>
      </c>
      <c r="N276" s="15">
        <v>2246.65</v>
      </c>
      <c r="O276" t="s">
        <v>75</v>
      </c>
    </row>
    <row r="277" spans="1:15" x14ac:dyDescent="0.25">
      <c r="A277" s="10" t="s">
        <v>660</v>
      </c>
      <c r="B277" s="15">
        <v>0</v>
      </c>
      <c r="C277" s="15">
        <v>0</v>
      </c>
      <c r="D277" s="15">
        <v>0</v>
      </c>
      <c r="E277" s="15">
        <v>0</v>
      </c>
      <c r="F277" s="15">
        <v>0</v>
      </c>
      <c r="G277" s="15">
        <v>0</v>
      </c>
      <c r="H277" s="15">
        <v>0</v>
      </c>
      <c r="I277" s="15">
        <v>0</v>
      </c>
      <c r="J277" s="15">
        <v>499.69</v>
      </c>
      <c r="K277" s="15">
        <v>1873.85</v>
      </c>
      <c r="L277" s="15">
        <v>1873.85</v>
      </c>
      <c r="M277" s="15">
        <v>1873.85</v>
      </c>
      <c r="N277" s="15">
        <v>624.62</v>
      </c>
      <c r="O277" t="s">
        <v>75</v>
      </c>
    </row>
    <row r="278" spans="1:15" x14ac:dyDescent="0.25">
      <c r="A278" s="10" t="s">
        <v>662</v>
      </c>
      <c r="B278" s="15">
        <v>1921.58</v>
      </c>
      <c r="C278" s="15">
        <v>2082.0700000000002</v>
      </c>
      <c r="D278" s="15">
        <v>2042.5</v>
      </c>
      <c r="E278" s="15">
        <v>2042.5</v>
      </c>
      <c r="F278" s="15">
        <v>2042.5</v>
      </c>
      <c r="G278" s="15">
        <v>1915.52</v>
      </c>
      <c r="H278" s="15">
        <v>3809.42</v>
      </c>
      <c r="I278" s="15">
        <v>2024.8</v>
      </c>
      <c r="J278" s="15">
        <v>1191.46</v>
      </c>
      <c r="K278" s="15">
        <v>2042.5</v>
      </c>
      <c r="L278" s="15">
        <v>2042.5</v>
      </c>
      <c r="M278" s="15">
        <v>2042.5</v>
      </c>
      <c r="N278" s="15">
        <v>2045.8</v>
      </c>
      <c r="O278" t="s">
        <v>75</v>
      </c>
    </row>
    <row r="279" spans="1:15" x14ac:dyDescent="0.25">
      <c r="A279" s="10" t="s">
        <v>664</v>
      </c>
      <c r="B279" s="15">
        <v>994.62</v>
      </c>
      <c r="C279" s="15">
        <v>2296.27</v>
      </c>
      <c r="D279" s="15">
        <v>2211.14</v>
      </c>
      <c r="E279" s="15">
        <v>3692.3</v>
      </c>
      <c r="F279" s="15">
        <v>2211.14</v>
      </c>
      <c r="G279" s="15">
        <v>1658.36</v>
      </c>
      <c r="H279" s="15">
        <v>2211.14</v>
      </c>
      <c r="I279" s="15">
        <v>2211.14</v>
      </c>
      <c r="J279" s="15">
        <v>2161.21</v>
      </c>
      <c r="K279" s="15">
        <v>3689.95</v>
      </c>
      <c r="L279" s="15">
        <v>2137.44</v>
      </c>
      <c r="M279" s="15">
        <v>1179.27</v>
      </c>
      <c r="N279" s="15">
        <v>2218.23</v>
      </c>
      <c r="O279" t="s">
        <v>75</v>
      </c>
    </row>
    <row r="280" spans="1:15" x14ac:dyDescent="0.25">
      <c r="A280" s="10" t="s">
        <v>666</v>
      </c>
      <c r="B280" s="15">
        <v>1882.64</v>
      </c>
      <c r="C280" s="15">
        <v>3840.58</v>
      </c>
      <c r="D280" s="15">
        <v>3840.58</v>
      </c>
      <c r="E280" s="15">
        <v>3840.58</v>
      </c>
      <c r="F280" s="15">
        <v>3840.58</v>
      </c>
      <c r="G280" s="15">
        <v>3840.58</v>
      </c>
      <c r="H280" s="15">
        <v>3840.58</v>
      </c>
      <c r="I280" s="15">
        <v>3840.58</v>
      </c>
      <c r="J280" s="15">
        <v>3840.58</v>
      </c>
      <c r="K280" s="15">
        <v>3840.58</v>
      </c>
      <c r="L280" s="15">
        <v>7254.43</v>
      </c>
      <c r="M280" s="15">
        <v>3520.54</v>
      </c>
      <c r="N280" s="15">
        <v>3840.58</v>
      </c>
      <c r="O280" t="s">
        <v>75</v>
      </c>
    </row>
    <row r="281" spans="1:15" x14ac:dyDescent="0.25">
      <c r="A281" s="10" t="s">
        <v>668</v>
      </c>
      <c r="B281" s="15">
        <v>2177.77</v>
      </c>
      <c r="C281" s="15">
        <v>4274.43</v>
      </c>
      <c r="D281" s="15">
        <v>4124.1000000000004</v>
      </c>
      <c r="E281" s="15">
        <v>4081.58</v>
      </c>
      <c r="F281" s="15">
        <v>6858.97</v>
      </c>
      <c r="G281" s="15">
        <v>4020.84</v>
      </c>
      <c r="H281" s="15">
        <v>3152.3</v>
      </c>
      <c r="I281" s="15">
        <v>4944.0600000000004</v>
      </c>
      <c r="J281" s="15">
        <v>4610</v>
      </c>
      <c r="K281" s="15">
        <v>4567.49</v>
      </c>
      <c r="L281" s="15">
        <v>6828.51</v>
      </c>
      <c r="M281" s="15">
        <v>4020.84</v>
      </c>
      <c r="N281" s="15">
        <v>4207.95</v>
      </c>
      <c r="O281" t="s">
        <v>75</v>
      </c>
    </row>
    <row r="282" spans="1:15" x14ac:dyDescent="0.25">
      <c r="A282" s="10" t="s">
        <v>670</v>
      </c>
      <c r="B282" s="15">
        <v>9437.75</v>
      </c>
      <c r="C282" s="15">
        <v>10190.69</v>
      </c>
      <c r="D282" s="15">
        <v>10190.69</v>
      </c>
      <c r="E282" s="15">
        <v>10190.69</v>
      </c>
      <c r="F282" s="15">
        <v>10190.69</v>
      </c>
      <c r="G282" s="15">
        <v>7473.18</v>
      </c>
      <c r="H282" s="15">
        <v>0</v>
      </c>
      <c r="I282" s="15">
        <v>0</v>
      </c>
      <c r="J282" s="15">
        <v>9058.39</v>
      </c>
      <c r="K282" s="15">
        <v>3227.05</v>
      </c>
      <c r="L282" s="15">
        <v>8831.93</v>
      </c>
      <c r="M282" s="15">
        <v>10190.69</v>
      </c>
      <c r="N282" s="15">
        <v>7643.02</v>
      </c>
      <c r="O282" t="s">
        <v>75</v>
      </c>
    </row>
    <row r="283" spans="1:15" x14ac:dyDescent="0.25">
      <c r="A283" s="10" t="s">
        <v>672</v>
      </c>
      <c r="B283" s="15">
        <v>2036.42</v>
      </c>
      <c r="C283" s="15">
        <v>1578.57</v>
      </c>
      <c r="D283" s="15">
        <v>2084.96</v>
      </c>
      <c r="E283" s="15">
        <v>1930.34</v>
      </c>
      <c r="F283" s="15">
        <v>1955.15</v>
      </c>
      <c r="G283" s="15">
        <v>2206.7199999999998</v>
      </c>
      <c r="H283" s="15">
        <v>3678.19</v>
      </c>
      <c r="I283" s="15">
        <v>981.6</v>
      </c>
      <c r="J283" s="15">
        <v>1947.11</v>
      </c>
      <c r="K283" s="15">
        <v>2466.34</v>
      </c>
      <c r="L283" s="15">
        <v>1947.11</v>
      </c>
      <c r="M283" s="15">
        <v>2206.7199999999998</v>
      </c>
      <c r="N283" s="15">
        <v>2087.5300000000002</v>
      </c>
      <c r="O283" t="s">
        <v>75</v>
      </c>
    </row>
    <row r="284" spans="1:15" x14ac:dyDescent="0.25">
      <c r="A284" s="10" t="s">
        <v>674</v>
      </c>
      <c r="B284" s="15">
        <v>2486.54</v>
      </c>
      <c r="C284" s="15">
        <v>2679.61</v>
      </c>
      <c r="D284" s="15">
        <v>3889.2</v>
      </c>
      <c r="E284" s="15">
        <v>2409.86</v>
      </c>
      <c r="F284" s="15">
        <v>2679.61</v>
      </c>
      <c r="G284" s="15">
        <v>2665.77</v>
      </c>
      <c r="H284" s="15">
        <v>2667.78</v>
      </c>
      <c r="I284" s="15">
        <v>3895.92</v>
      </c>
      <c r="J284" s="15">
        <v>2411.65</v>
      </c>
      <c r="K284" s="15">
        <v>2054.37</v>
      </c>
      <c r="L284" s="15">
        <v>2679.61</v>
      </c>
      <c r="M284" s="15">
        <v>803.88</v>
      </c>
      <c r="N284" s="15">
        <v>2233.0100000000002</v>
      </c>
      <c r="O284" t="s">
        <v>75</v>
      </c>
    </row>
    <row r="285" spans="1:15" x14ac:dyDescent="0.25">
      <c r="A285" s="10" t="s">
        <v>676</v>
      </c>
      <c r="B285" s="15">
        <v>994.63</v>
      </c>
      <c r="C285" s="15">
        <v>2193.64</v>
      </c>
      <c r="D285" s="15">
        <v>2163.4499999999998</v>
      </c>
      <c r="E285" s="15">
        <v>2163.4499999999998</v>
      </c>
      <c r="F285" s="15">
        <v>3318.64</v>
      </c>
      <c r="G285" s="15">
        <v>2163.4499999999998</v>
      </c>
      <c r="H285" s="15">
        <v>1838.93</v>
      </c>
      <c r="I285" s="15">
        <v>2163.4499999999998</v>
      </c>
      <c r="J285" s="15">
        <v>2163.4499999999998</v>
      </c>
      <c r="K285" s="15">
        <v>2163.4499999999998</v>
      </c>
      <c r="L285" s="15">
        <v>3896.22</v>
      </c>
      <c r="M285" s="15">
        <v>2163.4499999999998</v>
      </c>
      <c r="N285" s="15">
        <v>2165.9699999999998</v>
      </c>
      <c r="O285" t="s">
        <v>75</v>
      </c>
    </row>
    <row r="286" spans="1:15" x14ac:dyDescent="0.25">
      <c r="A286" s="10" t="s">
        <v>678</v>
      </c>
      <c r="B286" s="15">
        <v>0</v>
      </c>
      <c r="C286" s="15">
        <v>0</v>
      </c>
      <c r="D286" s="15">
        <v>0</v>
      </c>
      <c r="E286" s="15">
        <v>5615.88</v>
      </c>
      <c r="F286" s="15">
        <v>9910.3700000000008</v>
      </c>
      <c r="G286" s="15">
        <v>10460.950000000001</v>
      </c>
      <c r="H286" s="15">
        <v>10482.969999999999</v>
      </c>
      <c r="I286" s="15">
        <v>10747.25</v>
      </c>
      <c r="J286" s="15">
        <v>10725.22</v>
      </c>
      <c r="K286" s="15">
        <v>10589.48</v>
      </c>
      <c r="L286" s="15">
        <v>10703.2</v>
      </c>
      <c r="M286" s="15">
        <v>11119.37</v>
      </c>
      <c r="N286" s="15">
        <v>8713.26</v>
      </c>
      <c r="O286" t="s">
        <v>75</v>
      </c>
    </row>
    <row r="287" spans="1:15" x14ac:dyDescent="0.25">
      <c r="A287" s="10" t="s">
        <v>680</v>
      </c>
      <c r="B287" s="15">
        <v>1979.8</v>
      </c>
      <c r="C287" s="15">
        <v>2180</v>
      </c>
      <c r="D287" s="15">
        <v>2197.87</v>
      </c>
      <c r="E287" s="15">
        <v>3685.54</v>
      </c>
      <c r="F287" s="15">
        <v>2211.14</v>
      </c>
      <c r="G287" s="15">
        <v>1658.36</v>
      </c>
      <c r="H287" s="15">
        <v>2211.14</v>
      </c>
      <c r="I287" s="15">
        <v>2211.14</v>
      </c>
      <c r="J287" s="15">
        <v>2211.14</v>
      </c>
      <c r="K287" s="15">
        <v>2024.11</v>
      </c>
      <c r="L287" s="15">
        <v>3685.23</v>
      </c>
      <c r="M287" s="15">
        <v>1105.57</v>
      </c>
      <c r="N287" s="15">
        <v>2211.14</v>
      </c>
      <c r="O287" t="s">
        <v>75</v>
      </c>
    </row>
    <row r="288" spans="1:15" x14ac:dyDescent="0.25">
      <c r="A288" s="10" t="s">
        <v>682</v>
      </c>
      <c r="B288" s="15">
        <v>1921.58</v>
      </c>
      <c r="C288" s="15">
        <v>2104.54</v>
      </c>
      <c r="D288" s="15">
        <v>2953.55</v>
      </c>
      <c r="E288" s="15">
        <v>1872.3</v>
      </c>
      <c r="F288" s="15">
        <v>2147.94</v>
      </c>
      <c r="G288" s="15">
        <v>2042.5</v>
      </c>
      <c r="H288" s="15">
        <v>2042.5</v>
      </c>
      <c r="I288" s="15">
        <v>2953.55</v>
      </c>
      <c r="J288" s="15">
        <v>1838.25</v>
      </c>
      <c r="K288" s="15">
        <v>1565.92</v>
      </c>
      <c r="L288" s="15">
        <v>2042.5</v>
      </c>
      <c r="M288" s="15">
        <v>2042.5</v>
      </c>
      <c r="N288" s="15">
        <v>2056.46</v>
      </c>
      <c r="O288" t="s">
        <v>75</v>
      </c>
    </row>
    <row r="289" spans="1:15" x14ac:dyDescent="0.25">
      <c r="A289" s="10" t="s">
        <v>684</v>
      </c>
      <c r="B289" s="15">
        <v>1909.66</v>
      </c>
      <c r="C289" s="15">
        <v>2012.02</v>
      </c>
      <c r="D289" s="15">
        <v>1882.21</v>
      </c>
      <c r="E289" s="15">
        <v>4711.53</v>
      </c>
      <c r="F289" s="15">
        <v>1947.11</v>
      </c>
      <c r="G289" s="15">
        <v>746.39</v>
      </c>
      <c r="H289" s="15">
        <v>1760.44</v>
      </c>
      <c r="I289" s="15">
        <v>1947.11</v>
      </c>
      <c r="J289" s="15">
        <v>1947.11</v>
      </c>
      <c r="K289" s="15">
        <v>2474.38</v>
      </c>
      <c r="L289" s="15">
        <v>1947.11</v>
      </c>
      <c r="M289" s="15">
        <v>2076.92</v>
      </c>
      <c r="N289" s="15">
        <v>2011.96</v>
      </c>
      <c r="O289" t="s">
        <v>75</v>
      </c>
    </row>
    <row r="290" spans="1:15" x14ac:dyDescent="0.25">
      <c r="A290" s="10" t="s">
        <v>686</v>
      </c>
      <c r="B290" s="15">
        <v>836</v>
      </c>
      <c r="C290" s="15">
        <v>1082.96</v>
      </c>
      <c r="D290" s="15">
        <v>1082.96</v>
      </c>
      <c r="E290" s="15">
        <v>1082.96</v>
      </c>
      <c r="F290" s="15">
        <v>1082.96</v>
      </c>
      <c r="G290" s="15">
        <v>1082.96</v>
      </c>
      <c r="H290" s="15">
        <v>1082.96</v>
      </c>
      <c r="I290" s="15">
        <v>1082.96</v>
      </c>
      <c r="J290" s="15">
        <v>1082.96</v>
      </c>
      <c r="K290" s="15">
        <v>1082.96</v>
      </c>
      <c r="L290" s="15">
        <v>2045.59</v>
      </c>
      <c r="M290" s="15">
        <v>1082.96</v>
      </c>
      <c r="N290" s="15">
        <v>1082.96</v>
      </c>
      <c r="O290" t="s">
        <v>75</v>
      </c>
    </row>
    <row r="291" spans="1:15" x14ac:dyDescent="0.25">
      <c r="A291" s="10" t="s">
        <v>688</v>
      </c>
      <c r="B291" s="15">
        <v>530.46</v>
      </c>
      <c r="C291" s="15">
        <v>1706.8</v>
      </c>
      <c r="D291" s="15">
        <v>1688.02</v>
      </c>
      <c r="E291" s="15">
        <v>2964.58</v>
      </c>
      <c r="F291" s="15">
        <v>1688.02</v>
      </c>
      <c r="G291" s="15">
        <v>1153.49</v>
      </c>
      <c r="H291" s="15">
        <v>1688.02</v>
      </c>
      <c r="I291" s="15">
        <v>1688.02</v>
      </c>
      <c r="J291" s="15">
        <v>1688.02</v>
      </c>
      <c r="K291" s="15">
        <v>1688.02</v>
      </c>
      <c r="L291" s="15">
        <v>1688.02</v>
      </c>
      <c r="M291" s="15">
        <v>2735.96</v>
      </c>
      <c r="N291" s="15">
        <v>1695.56</v>
      </c>
      <c r="O291" t="s">
        <v>75</v>
      </c>
    </row>
    <row r="292" spans="1:15" x14ac:dyDescent="0.25">
      <c r="A292" s="10" t="s">
        <v>690</v>
      </c>
      <c r="B292" s="15">
        <v>2185.61</v>
      </c>
      <c r="C292" s="15">
        <v>1947.11</v>
      </c>
      <c r="D292" s="15">
        <v>2084.96</v>
      </c>
      <c r="E292" s="15">
        <v>1947.11</v>
      </c>
      <c r="F292" s="15">
        <v>2076.92</v>
      </c>
      <c r="G292" s="15">
        <v>2080.4499999999998</v>
      </c>
      <c r="H292" s="15">
        <v>2076.92</v>
      </c>
      <c r="I292" s="15">
        <v>1947.11</v>
      </c>
      <c r="J292" s="15">
        <v>1955.15</v>
      </c>
      <c r="K292" s="15">
        <v>2466.34</v>
      </c>
      <c r="L292" s="15">
        <v>2084.96</v>
      </c>
      <c r="M292" s="15">
        <v>2206.7199999999998</v>
      </c>
      <c r="N292" s="15">
        <v>2094.66</v>
      </c>
      <c r="O292" t="s">
        <v>75</v>
      </c>
    </row>
    <row r="293" spans="1:15" x14ac:dyDescent="0.25">
      <c r="A293" s="10" t="s">
        <v>692</v>
      </c>
      <c r="B293" s="15">
        <v>237.65</v>
      </c>
      <c r="C293" s="15">
        <v>1118.83</v>
      </c>
      <c r="D293" s="15">
        <v>1082.96</v>
      </c>
      <c r="E293" s="15">
        <v>1082.96</v>
      </c>
      <c r="F293" s="15">
        <v>1168.8699999999999</v>
      </c>
      <c r="G293" s="15">
        <v>1082.96</v>
      </c>
      <c r="H293" s="15">
        <v>1082.96</v>
      </c>
      <c r="I293" s="15">
        <v>1082.96</v>
      </c>
      <c r="J293" s="15">
        <v>1082.96</v>
      </c>
      <c r="K293" s="15">
        <v>1082.96</v>
      </c>
      <c r="L293" s="15">
        <v>1082.96</v>
      </c>
      <c r="M293" s="15">
        <v>1082.96</v>
      </c>
      <c r="N293" s="15">
        <v>1093.1099999999999</v>
      </c>
      <c r="O293" t="s">
        <v>75</v>
      </c>
    </row>
    <row r="294" spans="1:15" x14ac:dyDescent="0.25">
      <c r="A294" s="10" t="s">
        <v>694</v>
      </c>
      <c r="B294" s="15">
        <v>1259.8499999999999</v>
      </c>
      <c r="C294" s="15">
        <v>2222.67</v>
      </c>
      <c r="D294" s="15">
        <v>2163.4499999999998</v>
      </c>
      <c r="E294" s="15">
        <v>2163.4499999999998</v>
      </c>
      <c r="F294" s="15">
        <v>2163.4499999999998</v>
      </c>
      <c r="G294" s="15">
        <v>2163.4499999999998</v>
      </c>
      <c r="H294" s="15">
        <v>2163.4499999999998</v>
      </c>
      <c r="I294" s="15">
        <v>2163.4499999999998</v>
      </c>
      <c r="J294" s="15">
        <v>2163.4499999999998</v>
      </c>
      <c r="K294" s="15">
        <v>2163.4499999999998</v>
      </c>
      <c r="L294" s="15">
        <v>5054.6400000000003</v>
      </c>
      <c r="M294" s="15">
        <v>2199.5100000000002</v>
      </c>
      <c r="N294" s="15">
        <v>2168.39</v>
      </c>
      <c r="O294" t="s">
        <v>75</v>
      </c>
    </row>
    <row r="295" spans="1:15" x14ac:dyDescent="0.25">
      <c r="A295" s="10" t="s">
        <v>696</v>
      </c>
      <c r="B295" s="15">
        <v>1847.6</v>
      </c>
      <c r="C295" s="15">
        <v>3942.79</v>
      </c>
      <c r="D295" s="15">
        <v>2042.5</v>
      </c>
      <c r="E295" s="15">
        <v>1191.46</v>
      </c>
      <c r="F295" s="15">
        <v>2042.5</v>
      </c>
      <c r="G295" s="15">
        <v>1961.65</v>
      </c>
      <c r="H295" s="15">
        <v>2036.03</v>
      </c>
      <c r="I295" s="15">
        <v>2042.5</v>
      </c>
      <c r="J295" s="15">
        <v>2042.5</v>
      </c>
      <c r="K295" s="15">
        <v>2042.5</v>
      </c>
      <c r="L295" s="15">
        <v>2042.5</v>
      </c>
      <c r="M295" s="15">
        <v>2042.5</v>
      </c>
      <c r="N295" s="15">
        <v>2049.0700000000002</v>
      </c>
      <c r="O295" t="s">
        <v>75</v>
      </c>
    </row>
    <row r="296" spans="1:15" x14ac:dyDescent="0.25">
      <c r="A296" s="10" t="s">
        <v>698</v>
      </c>
      <c r="B296" s="15">
        <v>1830.09</v>
      </c>
      <c r="C296" s="15">
        <v>2488.08</v>
      </c>
      <c r="D296" s="15">
        <v>2436.0100000000002</v>
      </c>
      <c r="E296" s="15">
        <v>2436.0100000000002</v>
      </c>
      <c r="F296" s="15">
        <v>4622.76</v>
      </c>
      <c r="G296" s="15">
        <v>1745.8</v>
      </c>
      <c r="H296" s="15">
        <v>2111.21</v>
      </c>
      <c r="I296" s="15">
        <v>2436.0100000000002</v>
      </c>
      <c r="J296" s="15">
        <v>2436.0100000000002</v>
      </c>
      <c r="K296" s="15">
        <v>2436.0100000000002</v>
      </c>
      <c r="L296" s="15">
        <v>3529.38</v>
      </c>
      <c r="M296" s="15">
        <v>2354.81</v>
      </c>
      <c r="N296" s="15">
        <v>2440.35</v>
      </c>
      <c r="O296" t="s">
        <v>75</v>
      </c>
    </row>
    <row r="297" spans="1:15" x14ac:dyDescent="0.25">
      <c r="A297" s="10" t="s">
        <v>700</v>
      </c>
      <c r="B297" s="15">
        <v>1808.78</v>
      </c>
      <c r="C297" s="15">
        <v>1947.11</v>
      </c>
      <c r="D297" s="15">
        <v>2097.0100000000002</v>
      </c>
      <c r="E297" s="15">
        <v>2084.96</v>
      </c>
      <c r="F297" s="15">
        <v>1967.2</v>
      </c>
      <c r="G297" s="15">
        <v>2076.92</v>
      </c>
      <c r="H297" s="15">
        <v>1951.54</v>
      </c>
      <c r="I297" s="15">
        <v>1967.2</v>
      </c>
      <c r="J297" s="15">
        <v>1947.11</v>
      </c>
      <c r="K297" s="15">
        <v>5161.33</v>
      </c>
      <c r="L297" s="15">
        <v>1955.15</v>
      </c>
      <c r="M297" s="15">
        <v>746.39</v>
      </c>
      <c r="N297" s="15">
        <v>2054.63</v>
      </c>
      <c r="O297" t="s">
        <v>75</v>
      </c>
    </row>
    <row r="298" spans="1:15" x14ac:dyDescent="0.25">
      <c r="A298" s="10" t="s">
        <v>702</v>
      </c>
      <c r="B298" s="15">
        <v>1921.58</v>
      </c>
      <c r="C298" s="15">
        <v>2141.8200000000002</v>
      </c>
      <c r="D298" s="15">
        <v>2042.5</v>
      </c>
      <c r="E298" s="15">
        <v>2042.5</v>
      </c>
      <c r="F298" s="15">
        <v>2348.62</v>
      </c>
      <c r="G298" s="15">
        <v>2042.5</v>
      </c>
      <c r="H298" s="15">
        <v>2965.29</v>
      </c>
      <c r="I298" s="15">
        <v>2042.5</v>
      </c>
      <c r="J298" s="15">
        <v>1872.3</v>
      </c>
      <c r="K298" s="15">
        <v>2042.5</v>
      </c>
      <c r="L298" s="15">
        <v>2042.5</v>
      </c>
      <c r="M298" s="15">
        <v>3888.1</v>
      </c>
      <c r="N298" s="15">
        <v>2076.29</v>
      </c>
      <c r="O298" t="s">
        <v>75</v>
      </c>
    </row>
    <row r="299" spans="1:15" x14ac:dyDescent="0.25">
      <c r="A299" s="10" t="s">
        <v>704</v>
      </c>
      <c r="B299" s="15">
        <v>0</v>
      </c>
      <c r="C299" s="15">
        <v>0</v>
      </c>
      <c r="D299" s="15">
        <v>454.27</v>
      </c>
      <c r="E299" s="15">
        <v>1703.5</v>
      </c>
      <c r="F299" s="15">
        <v>1703.5</v>
      </c>
      <c r="G299" s="15">
        <v>1703.5</v>
      </c>
      <c r="H299" s="15">
        <v>1703.5</v>
      </c>
      <c r="I299" s="15">
        <v>1703.5</v>
      </c>
      <c r="J299" s="15">
        <v>1703.5</v>
      </c>
      <c r="K299" s="15">
        <v>1703.5</v>
      </c>
      <c r="L299" s="15">
        <v>1703.5</v>
      </c>
      <c r="M299" s="15">
        <v>1703.5</v>
      </c>
      <c r="N299" s="15">
        <v>1419.58</v>
      </c>
      <c r="O299" t="s">
        <v>75</v>
      </c>
    </row>
    <row r="300" spans="1:15" x14ac:dyDescent="0.25">
      <c r="A300" s="10" t="s">
        <v>706</v>
      </c>
      <c r="B300" s="15">
        <v>0</v>
      </c>
      <c r="C300" s="15">
        <v>0</v>
      </c>
      <c r="D300" s="15">
        <v>0</v>
      </c>
      <c r="E300" s="15">
        <v>0</v>
      </c>
      <c r="F300" s="15">
        <v>0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1175.42</v>
      </c>
      <c r="N300" s="15">
        <v>255.53</v>
      </c>
      <c r="O300" t="s">
        <v>75</v>
      </c>
    </row>
    <row r="301" spans="1:15" x14ac:dyDescent="0.25">
      <c r="A301" s="10" t="s">
        <v>708</v>
      </c>
      <c r="B301" s="15">
        <v>2036.4</v>
      </c>
      <c r="C301" s="15">
        <v>1955.15</v>
      </c>
      <c r="D301" s="15">
        <v>2076.92</v>
      </c>
      <c r="E301" s="15">
        <v>1947.11</v>
      </c>
      <c r="F301" s="15">
        <v>1947.11</v>
      </c>
      <c r="G301" s="15">
        <v>3282.52</v>
      </c>
      <c r="H301" s="15">
        <v>2368.9899999999998</v>
      </c>
      <c r="I301" s="15">
        <v>1259.3599999999999</v>
      </c>
      <c r="J301" s="15">
        <v>2163.4499999999998</v>
      </c>
      <c r="K301" s="15">
        <v>2163.4499999999998</v>
      </c>
      <c r="L301" s="15">
        <v>2163.4499999999998</v>
      </c>
      <c r="M301" s="15">
        <v>2163.4499999999998</v>
      </c>
      <c r="N301" s="15">
        <v>2184.9299999999998</v>
      </c>
      <c r="O301" t="s">
        <v>75</v>
      </c>
    </row>
    <row r="302" spans="1:15" x14ac:dyDescent="0.25">
      <c r="A302" s="10" t="s">
        <v>710</v>
      </c>
      <c r="B302" s="15">
        <v>1909.67</v>
      </c>
      <c r="C302" s="15">
        <v>1947.11</v>
      </c>
      <c r="D302" s="15">
        <v>2076.92</v>
      </c>
      <c r="E302" s="15">
        <v>1947.11</v>
      </c>
      <c r="F302" s="15">
        <v>2076.92</v>
      </c>
      <c r="G302" s="15">
        <v>2206.7199999999998</v>
      </c>
      <c r="H302" s="15">
        <v>1947.11</v>
      </c>
      <c r="I302" s="15">
        <v>2012.01</v>
      </c>
      <c r="J302" s="15">
        <v>2012.01</v>
      </c>
      <c r="K302" s="15">
        <v>4631.43</v>
      </c>
      <c r="L302" s="15">
        <v>2174.29</v>
      </c>
      <c r="M302" s="15">
        <v>324.52</v>
      </c>
      <c r="N302" s="15">
        <v>1999.79</v>
      </c>
      <c r="O302" t="s">
        <v>75</v>
      </c>
    </row>
    <row r="303" spans="1:15" x14ac:dyDescent="0.25">
      <c r="A303" s="10" t="s">
        <v>712</v>
      </c>
      <c r="B303" s="15">
        <v>7268.48</v>
      </c>
      <c r="C303" s="15">
        <v>7769.71</v>
      </c>
      <c r="D303" s="15">
        <v>7362.91</v>
      </c>
      <c r="E303" s="15">
        <v>7362.91</v>
      </c>
      <c r="F303" s="15">
        <v>7362.91</v>
      </c>
      <c r="G303" s="15">
        <v>7362.91</v>
      </c>
      <c r="H303" s="15">
        <v>7362.91</v>
      </c>
      <c r="I303" s="15">
        <v>7362.91</v>
      </c>
      <c r="J303" s="15">
        <v>13940.59</v>
      </c>
      <c r="K303" s="15">
        <v>7362.91</v>
      </c>
      <c r="L303" s="15">
        <v>4295.03</v>
      </c>
      <c r="M303" s="15">
        <v>7362.91</v>
      </c>
      <c r="N303" s="15">
        <v>7396.81</v>
      </c>
      <c r="O303" t="s">
        <v>75</v>
      </c>
    </row>
    <row r="304" spans="1:15" x14ac:dyDescent="0.25">
      <c r="A304" s="10" t="s">
        <v>714</v>
      </c>
      <c r="B304" s="15">
        <v>1985.63</v>
      </c>
      <c r="C304" s="15">
        <v>2042.5</v>
      </c>
      <c r="D304" s="15">
        <v>2042.5</v>
      </c>
      <c r="E304" s="15">
        <v>2042.5</v>
      </c>
      <c r="F304" s="15">
        <v>1838.25</v>
      </c>
      <c r="G304" s="15">
        <v>1838.25</v>
      </c>
      <c r="H304" s="15">
        <v>1932.2</v>
      </c>
      <c r="I304" s="15">
        <v>4727.0200000000004</v>
      </c>
      <c r="J304" s="15">
        <v>1879.95</v>
      </c>
      <c r="K304" s="15">
        <v>510.63</v>
      </c>
      <c r="L304" s="15">
        <v>2042.5</v>
      </c>
      <c r="M304" s="15">
        <v>2042.5</v>
      </c>
      <c r="N304" s="15">
        <v>2042.5</v>
      </c>
      <c r="O304" t="s">
        <v>75</v>
      </c>
    </row>
    <row r="305" spans="1:15" x14ac:dyDescent="0.25">
      <c r="A305" s="10" t="s">
        <v>716</v>
      </c>
      <c r="B305" s="15">
        <v>1793.48</v>
      </c>
      <c r="C305" s="15">
        <v>2042.5</v>
      </c>
      <c r="D305" s="15">
        <v>1994.33</v>
      </c>
      <c r="E305" s="15">
        <v>1912.12</v>
      </c>
      <c r="F305" s="15">
        <v>2031.44</v>
      </c>
      <c r="G305" s="15">
        <v>2042.5</v>
      </c>
      <c r="H305" s="15">
        <v>2035.69</v>
      </c>
      <c r="I305" s="15">
        <v>1961.99</v>
      </c>
      <c r="J305" s="15">
        <v>1993.48</v>
      </c>
      <c r="K305" s="15">
        <v>4765.83</v>
      </c>
      <c r="L305" s="15">
        <v>2042.5</v>
      </c>
      <c r="M305" s="15">
        <v>646.79999999999995</v>
      </c>
      <c r="N305" s="15">
        <v>2042.5</v>
      </c>
      <c r="O305" t="s">
        <v>75</v>
      </c>
    </row>
    <row r="306" spans="1:15" x14ac:dyDescent="0.25">
      <c r="A306" s="10" t="s">
        <v>718</v>
      </c>
      <c r="B306" s="15">
        <v>3912.31</v>
      </c>
      <c r="C306" s="15">
        <v>2163.4499999999998</v>
      </c>
      <c r="D306" s="15">
        <v>1334.13</v>
      </c>
      <c r="E306" s="15">
        <v>2091.34</v>
      </c>
      <c r="F306" s="15">
        <v>2163.4499999999998</v>
      </c>
      <c r="G306" s="15">
        <v>2163.4499999999998</v>
      </c>
      <c r="H306" s="15">
        <v>2163.4499999999998</v>
      </c>
      <c r="I306" s="15">
        <v>2163.4499999999998</v>
      </c>
      <c r="J306" s="15">
        <v>3317.29</v>
      </c>
      <c r="K306" s="15">
        <v>2163.4499999999998</v>
      </c>
      <c r="L306" s="15">
        <v>1298.07</v>
      </c>
      <c r="M306" s="15">
        <v>2163.4499999999998</v>
      </c>
      <c r="N306" s="15">
        <v>2163.4499999999998</v>
      </c>
      <c r="O306" t="s">
        <v>75</v>
      </c>
    </row>
    <row r="307" spans="1:15" x14ac:dyDescent="0.25">
      <c r="A307" s="10" t="s">
        <v>720</v>
      </c>
      <c r="B307" s="15">
        <v>2282.83</v>
      </c>
      <c r="C307" s="15">
        <v>1967.2</v>
      </c>
      <c r="D307" s="15">
        <v>2084.96</v>
      </c>
      <c r="E307" s="15">
        <v>2076.92</v>
      </c>
      <c r="F307" s="15">
        <v>2097.0100000000002</v>
      </c>
      <c r="G307" s="15">
        <v>1955.07</v>
      </c>
      <c r="H307" s="15">
        <v>1933.59</v>
      </c>
      <c r="I307" s="15">
        <v>3313.55</v>
      </c>
      <c r="J307" s="15">
        <v>1476.41</v>
      </c>
      <c r="K307" s="15">
        <v>2196.37</v>
      </c>
      <c r="L307" s="15">
        <v>1967.2</v>
      </c>
      <c r="M307" s="15">
        <v>3561.11</v>
      </c>
      <c r="N307" s="15">
        <v>2057.4299999999998</v>
      </c>
      <c r="O307" t="s">
        <v>75</v>
      </c>
    </row>
    <row r="308" spans="1:15" x14ac:dyDescent="0.25">
      <c r="A308" s="10" t="s">
        <v>722</v>
      </c>
      <c r="B308" s="15">
        <v>686.29</v>
      </c>
      <c r="C308" s="15">
        <v>2076.92</v>
      </c>
      <c r="D308" s="15">
        <v>2076.92</v>
      </c>
      <c r="E308" s="15">
        <v>2076.92</v>
      </c>
      <c r="F308" s="15">
        <v>1967.2</v>
      </c>
      <c r="G308" s="15">
        <v>2094.2199999999998</v>
      </c>
      <c r="H308" s="15">
        <v>2077</v>
      </c>
      <c r="I308" s="15">
        <v>1927.57</v>
      </c>
      <c r="J308" s="15">
        <v>1925.3</v>
      </c>
      <c r="K308" s="15">
        <v>2486.4299999999998</v>
      </c>
      <c r="L308" s="15">
        <v>2084.96</v>
      </c>
      <c r="M308" s="15">
        <v>2076.92</v>
      </c>
      <c r="N308" s="15">
        <v>2093.64</v>
      </c>
      <c r="O308" t="s">
        <v>75</v>
      </c>
    </row>
    <row r="309" spans="1:15" x14ac:dyDescent="0.25">
      <c r="A309" s="10" t="s">
        <v>724</v>
      </c>
      <c r="B309" s="15">
        <v>0</v>
      </c>
      <c r="C309" s="15">
        <v>754.46</v>
      </c>
      <c r="D309" s="15">
        <v>1191.26</v>
      </c>
      <c r="E309" s="15">
        <v>1191.26</v>
      </c>
      <c r="F309" s="15">
        <v>1191.26</v>
      </c>
      <c r="G309" s="15">
        <v>1336.4</v>
      </c>
      <c r="H309" s="15">
        <v>1997.99</v>
      </c>
      <c r="I309" s="15">
        <v>0</v>
      </c>
      <c r="J309" s="15">
        <v>0</v>
      </c>
      <c r="K309" s="15">
        <v>0</v>
      </c>
      <c r="L309" s="15">
        <v>675.05</v>
      </c>
      <c r="M309" s="15">
        <v>1298.28</v>
      </c>
      <c r="N309" s="15">
        <v>949.76</v>
      </c>
      <c r="O309" t="s">
        <v>75</v>
      </c>
    </row>
    <row r="310" spans="1:15" x14ac:dyDescent="0.25">
      <c r="A310" s="10" t="s">
        <v>726</v>
      </c>
      <c r="B310" s="15">
        <v>1921.58</v>
      </c>
      <c r="C310" s="15">
        <v>2279.17</v>
      </c>
      <c r="D310" s="15">
        <v>2042.5</v>
      </c>
      <c r="E310" s="15">
        <v>2042.5</v>
      </c>
      <c r="F310" s="15">
        <v>4837.83</v>
      </c>
      <c r="G310" s="15">
        <v>2042.5</v>
      </c>
      <c r="H310" s="15">
        <v>578.71</v>
      </c>
      <c r="I310" s="15">
        <v>1974.42</v>
      </c>
      <c r="J310" s="15">
        <v>2042.5</v>
      </c>
      <c r="K310" s="15">
        <v>2042.5</v>
      </c>
      <c r="L310" s="15">
        <v>2042.5</v>
      </c>
      <c r="M310" s="15">
        <v>2042.5</v>
      </c>
      <c r="N310" s="15">
        <v>2066.0300000000002</v>
      </c>
      <c r="O310" t="s">
        <v>75</v>
      </c>
    </row>
    <row r="311" spans="1:15" x14ac:dyDescent="0.25">
      <c r="A311" s="10" t="s">
        <v>728</v>
      </c>
      <c r="B311" s="15">
        <v>1989.25</v>
      </c>
      <c r="C311" s="15">
        <v>2214.83</v>
      </c>
      <c r="D311" s="15">
        <v>2163.4499999999998</v>
      </c>
      <c r="E311" s="15">
        <v>3990.38</v>
      </c>
      <c r="F311" s="15">
        <v>2163.4499999999998</v>
      </c>
      <c r="G311" s="15">
        <v>1334.13</v>
      </c>
      <c r="H311" s="15">
        <v>3801.3</v>
      </c>
      <c r="I311" s="15">
        <v>1298.07</v>
      </c>
      <c r="J311" s="15">
        <v>1802.88</v>
      </c>
      <c r="K311" s="15">
        <v>2163.4499999999998</v>
      </c>
      <c r="L311" s="15">
        <v>2163.4499999999998</v>
      </c>
      <c r="M311" s="15">
        <v>2163.4499999999998</v>
      </c>
      <c r="N311" s="15">
        <v>2167.73</v>
      </c>
      <c r="O311" t="s">
        <v>75</v>
      </c>
    </row>
    <row r="312" spans="1:15" x14ac:dyDescent="0.25">
      <c r="A312" s="10" t="s">
        <v>730</v>
      </c>
      <c r="B312" s="15">
        <v>797.43</v>
      </c>
      <c r="C312" s="15">
        <v>731.22</v>
      </c>
      <c r="D312" s="15">
        <v>731.22</v>
      </c>
      <c r="E312" s="15">
        <v>1121.21</v>
      </c>
      <c r="F312" s="15">
        <v>134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256.26</v>
      </c>
      <c r="O312" t="s">
        <v>75</v>
      </c>
    </row>
    <row r="313" spans="1:15" x14ac:dyDescent="0.25">
      <c r="A313" s="10" t="s">
        <v>732</v>
      </c>
      <c r="B313" s="15">
        <v>2486.5500000000002</v>
      </c>
      <c r="C313" s="15">
        <v>4144.67</v>
      </c>
      <c r="D313" s="15">
        <v>1622.59</v>
      </c>
      <c r="E313" s="15">
        <v>1802.88</v>
      </c>
      <c r="F313" s="15">
        <v>2163.4499999999998</v>
      </c>
      <c r="G313" s="15">
        <v>3125.13</v>
      </c>
      <c r="H313" s="15">
        <v>2163.4499999999998</v>
      </c>
      <c r="I313" s="15">
        <v>1442.3</v>
      </c>
      <c r="J313" s="15">
        <v>2163.4499999999998</v>
      </c>
      <c r="K313" s="15">
        <v>2163.4499999999998</v>
      </c>
      <c r="L313" s="15">
        <v>2163.4499999999998</v>
      </c>
      <c r="M313" s="15">
        <v>2163.4499999999998</v>
      </c>
      <c r="N313" s="15">
        <v>2168.27</v>
      </c>
      <c r="O313" t="s">
        <v>75</v>
      </c>
    </row>
    <row r="314" spans="1:15" x14ac:dyDescent="0.25">
      <c r="A314" s="10" t="s">
        <v>734</v>
      </c>
      <c r="B314" s="15">
        <v>1921.58</v>
      </c>
      <c r="C314" s="15">
        <v>2106.0700000000002</v>
      </c>
      <c r="D314" s="15">
        <v>2042.5</v>
      </c>
      <c r="E314" s="15">
        <v>2042.5</v>
      </c>
      <c r="F314" s="15">
        <v>2121.65</v>
      </c>
      <c r="G314" s="15">
        <v>2042.5</v>
      </c>
      <c r="H314" s="15">
        <v>2042.5</v>
      </c>
      <c r="I314" s="15">
        <v>4787.97</v>
      </c>
      <c r="J314" s="15">
        <v>2042.5</v>
      </c>
      <c r="K314" s="15">
        <v>1259.55</v>
      </c>
      <c r="L314" s="15">
        <v>1293.58</v>
      </c>
      <c r="M314" s="15">
        <v>2042.5</v>
      </c>
      <c r="N314" s="15">
        <v>2054.39</v>
      </c>
      <c r="O314" t="s">
        <v>75</v>
      </c>
    </row>
    <row r="315" spans="1:15" x14ac:dyDescent="0.25">
      <c r="A315" s="10" t="s">
        <v>736</v>
      </c>
      <c r="B315" s="15">
        <v>9608.1200000000008</v>
      </c>
      <c r="C315" s="15">
        <v>10369.69</v>
      </c>
      <c r="D315" s="15">
        <v>10369.69</v>
      </c>
      <c r="E315" s="15">
        <v>10369.69</v>
      </c>
      <c r="F315" s="15">
        <v>10369.69</v>
      </c>
      <c r="G315" s="15">
        <v>24195.94</v>
      </c>
      <c r="H315" s="15">
        <v>10369.69</v>
      </c>
      <c r="I315" s="15">
        <v>3283.74</v>
      </c>
      <c r="J315" s="15">
        <v>9678.3700000000008</v>
      </c>
      <c r="K315" s="15">
        <v>10369.69</v>
      </c>
      <c r="L315" s="15">
        <v>10369.69</v>
      </c>
      <c r="M315" s="15">
        <v>10369.69</v>
      </c>
      <c r="N315" s="15">
        <v>10369.69</v>
      </c>
      <c r="O315" t="s">
        <v>75</v>
      </c>
    </row>
    <row r="316" spans="1:15" x14ac:dyDescent="0.25">
      <c r="A316" s="10" t="s">
        <v>738</v>
      </c>
      <c r="B316" s="15">
        <v>3108.18</v>
      </c>
      <c r="C316" s="15">
        <v>5409.65</v>
      </c>
      <c r="D316" s="15">
        <v>5105.84</v>
      </c>
      <c r="E316" s="15">
        <v>3188.28</v>
      </c>
      <c r="F316" s="15">
        <v>3478.13</v>
      </c>
      <c r="G316" s="15">
        <v>3478.13</v>
      </c>
      <c r="H316" s="15">
        <v>3478.13</v>
      </c>
      <c r="I316" s="15">
        <v>3478.13</v>
      </c>
      <c r="J316" s="15">
        <v>5105.84</v>
      </c>
      <c r="K316" s="15">
        <v>2318.75</v>
      </c>
      <c r="L316" s="15">
        <v>3478.13</v>
      </c>
      <c r="M316" s="15">
        <v>3478.13</v>
      </c>
      <c r="N316" s="15">
        <v>3639.09</v>
      </c>
      <c r="O316" t="s">
        <v>75</v>
      </c>
    </row>
    <row r="317" spans="1:15" x14ac:dyDescent="0.25">
      <c r="A317" s="10" t="s">
        <v>740</v>
      </c>
      <c r="B317" s="15">
        <v>6139.3</v>
      </c>
      <c r="C317" s="15">
        <v>7557.11</v>
      </c>
      <c r="D317" s="15">
        <v>7362.91</v>
      </c>
      <c r="E317" s="15">
        <v>7362.91</v>
      </c>
      <c r="F317" s="15">
        <v>7362.91</v>
      </c>
      <c r="G317" s="15">
        <v>10642.51</v>
      </c>
      <c r="H317" s="15">
        <v>6749.34</v>
      </c>
      <c r="I317" s="15">
        <v>7362.91</v>
      </c>
      <c r="J317" s="15">
        <v>7362.91</v>
      </c>
      <c r="K317" s="15">
        <v>7362.91</v>
      </c>
      <c r="L317" s="15">
        <v>10642.5</v>
      </c>
      <c r="M317" s="15">
        <v>4908.6099999999997</v>
      </c>
      <c r="N317" s="15">
        <v>7379.09</v>
      </c>
      <c r="O317" t="s">
        <v>75</v>
      </c>
    </row>
    <row r="318" spans="1:15" x14ac:dyDescent="0.25">
      <c r="A318" s="10" t="s">
        <v>742</v>
      </c>
      <c r="B318" s="15">
        <v>1147.1199999999999</v>
      </c>
      <c r="C318" s="15">
        <v>1734.59</v>
      </c>
      <c r="D318" s="15">
        <v>1703.5</v>
      </c>
      <c r="E318" s="15">
        <v>1703.5</v>
      </c>
      <c r="F318" s="15">
        <v>1703.5</v>
      </c>
      <c r="G318" s="15">
        <v>1703.5</v>
      </c>
      <c r="H318" s="15">
        <v>1703.5</v>
      </c>
      <c r="I318" s="15">
        <v>1703.5</v>
      </c>
      <c r="J318" s="15">
        <v>1703.5</v>
      </c>
      <c r="K318" s="15">
        <v>1703.5</v>
      </c>
      <c r="L318" s="15">
        <v>1703.5</v>
      </c>
      <c r="M318" s="15">
        <v>1703.5</v>
      </c>
      <c r="N318" s="15">
        <v>1706.09</v>
      </c>
      <c r="O318" t="s">
        <v>75</v>
      </c>
    </row>
    <row r="319" spans="1:15" x14ac:dyDescent="0.25">
      <c r="A319" s="10" t="s">
        <v>744</v>
      </c>
      <c r="B319" s="15">
        <v>1921.58</v>
      </c>
      <c r="C319" s="15">
        <v>2402.4899999999998</v>
      </c>
      <c r="D319" s="15">
        <v>2042.5</v>
      </c>
      <c r="E319" s="15">
        <v>2042.5</v>
      </c>
      <c r="F319" s="15">
        <v>2253.56</v>
      </c>
      <c r="G319" s="15">
        <v>2042.5</v>
      </c>
      <c r="H319" s="15">
        <v>2042.5</v>
      </c>
      <c r="I319" s="15">
        <v>2042.5</v>
      </c>
      <c r="J319" s="15">
        <v>2042.5</v>
      </c>
      <c r="K319" s="15">
        <v>2042.5</v>
      </c>
      <c r="L319" s="15">
        <v>3884.73</v>
      </c>
      <c r="M319" s="15">
        <v>1531.88</v>
      </c>
      <c r="N319" s="15">
        <v>2090.09</v>
      </c>
      <c r="O319" t="s">
        <v>75</v>
      </c>
    </row>
    <row r="320" spans="1:15" x14ac:dyDescent="0.25">
      <c r="A320" s="10" t="s">
        <v>746</v>
      </c>
      <c r="B320" s="15">
        <v>1273.1099999999999</v>
      </c>
      <c r="C320" s="15">
        <v>1279.31</v>
      </c>
      <c r="D320" s="15">
        <v>1548.64</v>
      </c>
      <c r="E320" s="15">
        <v>1548.64</v>
      </c>
      <c r="F320" s="15">
        <v>1548.64</v>
      </c>
      <c r="G320" s="15">
        <v>1548.64</v>
      </c>
      <c r="H320" s="15">
        <v>2376.91</v>
      </c>
      <c r="I320" s="15">
        <v>1548.64</v>
      </c>
      <c r="J320" s="15">
        <v>929.18</v>
      </c>
      <c r="K320" s="15">
        <v>1548.64</v>
      </c>
      <c r="L320" s="15">
        <v>1548.64</v>
      </c>
      <c r="M320" s="15">
        <v>1548.64</v>
      </c>
      <c r="N320" s="15">
        <v>1553</v>
      </c>
      <c r="O320" t="s">
        <v>75</v>
      </c>
    </row>
    <row r="321" spans="1:15" x14ac:dyDescent="0.25">
      <c r="A321" s="10" t="s">
        <v>748</v>
      </c>
      <c r="B321" s="15">
        <v>5371.88</v>
      </c>
      <c r="C321" s="15">
        <v>5642.3</v>
      </c>
      <c r="D321" s="15">
        <v>5642.3</v>
      </c>
      <c r="E321" s="15">
        <v>5642.3</v>
      </c>
      <c r="F321" s="15">
        <v>5642.3</v>
      </c>
      <c r="G321" s="15">
        <v>5642.3</v>
      </c>
      <c r="H321" s="15">
        <v>5642.28</v>
      </c>
      <c r="I321" s="15">
        <v>5642.28</v>
      </c>
      <c r="J321" s="15">
        <v>5642.28</v>
      </c>
      <c r="K321" s="15">
        <v>5642.28</v>
      </c>
      <c r="L321" s="15">
        <v>5642.28</v>
      </c>
      <c r="M321" s="15">
        <v>5642.28</v>
      </c>
      <c r="N321" s="15">
        <v>5642.28</v>
      </c>
      <c r="O321" t="s">
        <v>75</v>
      </c>
    </row>
    <row r="322" spans="1:15" x14ac:dyDescent="0.25">
      <c r="A322" s="10" t="s">
        <v>750</v>
      </c>
      <c r="B322" s="15">
        <v>1293.01</v>
      </c>
      <c r="C322" s="15">
        <v>2220.12</v>
      </c>
      <c r="D322" s="15">
        <v>2211.14</v>
      </c>
      <c r="E322" s="15">
        <v>2211.14</v>
      </c>
      <c r="F322" s="15">
        <v>2211.14</v>
      </c>
      <c r="G322" s="15">
        <v>2211.14</v>
      </c>
      <c r="H322" s="15">
        <v>2211.14</v>
      </c>
      <c r="I322" s="15">
        <v>2211.14</v>
      </c>
      <c r="J322" s="15">
        <v>4186.7299999999996</v>
      </c>
      <c r="K322" s="15">
        <v>2211.14</v>
      </c>
      <c r="L322" s="15">
        <v>1289.8399999999999</v>
      </c>
      <c r="M322" s="15">
        <v>2211.14</v>
      </c>
      <c r="N322" s="15">
        <v>2222.54</v>
      </c>
      <c r="O322" t="s">
        <v>75</v>
      </c>
    </row>
    <row r="323" spans="1:15" x14ac:dyDescent="0.25">
      <c r="A323" s="10" t="s">
        <v>752</v>
      </c>
      <c r="B323" s="15">
        <v>2355.27</v>
      </c>
      <c r="C323" s="15">
        <v>2488.19</v>
      </c>
      <c r="D323" s="15">
        <v>2025.72</v>
      </c>
      <c r="E323" s="15">
        <v>903.37</v>
      </c>
      <c r="F323" s="15">
        <v>1548.64</v>
      </c>
      <c r="G323" s="15">
        <v>1548.64</v>
      </c>
      <c r="H323" s="15">
        <v>1548.64</v>
      </c>
      <c r="I323" s="15">
        <v>1548.64</v>
      </c>
      <c r="J323" s="15">
        <v>1548.64</v>
      </c>
      <c r="K323" s="15">
        <v>1548.64</v>
      </c>
      <c r="L323" s="15">
        <v>3382.19</v>
      </c>
      <c r="M323" s="15">
        <v>1548.64</v>
      </c>
      <c r="N323" s="15">
        <v>1933.41</v>
      </c>
      <c r="O323" t="s">
        <v>75</v>
      </c>
    </row>
    <row r="324" spans="1:15" x14ac:dyDescent="0.25">
      <c r="A324" s="10" t="s">
        <v>754</v>
      </c>
      <c r="B324" s="15">
        <v>0</v>
      </c>
      <c r="C324" s="15">
        <v>0</v>
      </c>
      <c r="D324" s="15">
        <v>0</v>
      </c>
      <c r="E324" s="15">
        <v>414.35</v>
      </c>
      <c r="F324" s="15">
        <v>731.2</v>
      </c>
      <c r="G324" s="15">
        <v>827.68</v>
      </c>
      <c r="H324" s="15">
        <v>768.79</v>
      </c>
      <c r="I324" s="15">
        <v>768.79</v>
      </c>
      <c r="J324" s="15">
        <v>768.79</v>
      </c>
      <c r="K324" s="15">
        <v>768.79</v>
      </c>
      <c r="L324" s="15">
        <v>768.79</v>
      </c>
      <c r="M324" s="15">
        <v>768.79</v>
      </c>
      <c r="N324" s="15">
        <v>640.66</v>
      </c>
      <c r="O324" t="s">
        <v>75</v>
      </c>
    </row>
    <row r="325" spans="1:15" x14ac:dyDescent="0.25">
      <c r="A325" s="10" t="s">
        <v>756</v>
      </c>
      <c r="B325" s="15">
        <v>6577.81</v>
      </c>
      <c r="C325" s="15">
        <v>5934.04</v>
      </c>
      <c r="D325" s="15">
        <v>5454.2</v>
      </c>
      <c r="E325" s="15">
        <v>13355.03</v>
      </c>
      <c r="F325" s="15">
        <v>5642.28</v>
      </c>
      <c r="G325" s="15">
        <v>3080.68</v>
      </c>
      <c r="H325" s="15">
        <v>4160.25</v>
      </c>
      <c r="I325" s="15">
        <v>5642.28</v>
      </c>
      <c r="J325" s="15">
        <v>5642.28</v>
      </c>
      <c r="K325" s="15">
        <v>5642.28</v>
      </c>
      <c r="L325" s="15">
        <v>5642.28</v>
      </c>
      <c r="M325" s="15">
        <v>5642.28</v>
      </c>
      <c r="N325" s="15">
        <v>5650.92</v>
      </c>
      <c r="O325" t="s">
        <v>75</v>
      </c>
    </row>
    <row r="326" spans="1:15" x14ac:dyDescent="0.25">
      <c r="A326" s="10" t="s">
        <v>758</v>
      </c>
      <c r="B326" s="15">
        <v>1989.25</v>
      </c>
      <c r="C326" s="15">
        <v>2264.21</v>
      </c>
      <c r="D326" s="15">
        <v>3194.23</v>
      </c>
      <c r="E326" s="15">
        <v>2013.61</v>
      </c>
      <c r="F326" s="15">
        <v>2211.14</v>
      </c>
      <c r="G326" s="15">
        <v>2133.0100000000002</v>
      </c>
      <c r="H326" s="15">
        <v>2189.77</v>
      </c>
      <c r="I326" s="15">
        <v>2211.14</v>
      </c>
      <c r="J326" s="15">
        <v>2211.14</v>
      </c>
      <c r="K326" s="15">
        <v>2211.14</v>
      </c>
      <c r="L326" s="15">
        <v>4177.3100000000004</v>
      </c>
      <c r="M326" s="15">
        <v>2211.14</v>
      </c>
      <c r="N326" s="15">
        <v>2215.56</v>
      </c>
      <c r="O326" t="s">
        <v>75</v>
      </c>
    </row>
    <row r="327" spans="1:15" x14ac:dyDescent="0.25">
      <c r="A327" s="10" t="s">
        <v>760</v>
      </c>
      <c r="B327" s="15">
        <v>1989.25</v>
      </c>
      <c r="C327" s="15">
        <v>4174.13</v>
      </c>
      <c r="D327" s="15">
        <v>2679.61</v>
      </c>
      <c r="E327" s="15">
        <v>2679.61</v>
      </c>
      <c r="F327" s="15">
        <v>5087.17</v>
      </c>
      <c r="G327" s="15">
        <v>2679.61</v>
      </c>
      <c r="H327" s="15">
        <v>1071.8399999999999</v>
      </c>
      <c r="I327" s="15">
        <v>2500.9699999999998</v>
      </c>
      <c r="J327" s="15">
        <v>2679.61</v>
      </c>
      <c r="K327" s="15">
        <v>2679.61</v>
      </c>
      <c r="L327" s="15">
        <v>2679.61</v>
      </c>
      <c r="M327" s="15">
        <v>3922.68</v>
      </c>
      <c r="N327" s="15">
        <v>2796.92</v>
      </c>
      <c r="O327" t="s">
        <v>75</v>
      </c>
    </row>
    <row r="328" spans="1:15" x14ac:dyDescent="0.25">
      <c r="A328" s="10" t="s">
        <v>762</v>
      </c>
      <c r="B328" s="15">
        <v>1989.25</v>
      </c>
      <c r="C328" s="15">
        <v>2580.4899999999998</v>
      </c>
      <c r="D328" s="15">
        <v>2211.14</v>
      </c>
      <c r="E328" s="15">
        <v>2211.14</v>
      </c>
      <c r="F328" s="15">
        <v>2211.14</v>
      </c>
      <c r="G328" s="15">
        <v>2211.14</v>
      </c>
      <c r="H328" s="15">
        <v>2211.14</v>
      </c>
      <c r="I328" s="15">
        <v>2211.14</v>
      </c>
      <c r="J328" s="15">
        <v>2211.14</v>
      </c>
      <c r="K328" s="15">
        <v>2211.14</v>
      </c>
      <c r="L328" s="15">
        <v>5220.0200000000004</v>
      </c>
      <c r="M328" s="15">
        <v>2211.14</v>
      </c>
      <c r="N328" s="15">
        <v>2241.92</v>
      </c>
      <c r="O328" t="s">
        <v>75</v>
      </c>
    </row>
    <row r="329" spans="1:15" x14ac:dyDescent="0.25">
      <c r="A329" s="10" t="s">
        <v>764</v>
      </c>
      <c r="B329" s="15">
        <v>2486.54</v>
      </c>
      <c r="C329" s="15">
        <v>2070.36</v>
      </c>
      <c r="D329" s="15">
        <v>2655.25</v>
      </c>
      <c r="E329" s="15">
        <v>2655.25</v>
      </c>
      <c r="F329" s="15">
        <v>2639.1</v>
      </c>
      <c r="G329" s="15">
        <v>2655.25</v>
      </c>
      <c r="H329" s="15">
        <v>2655.25</v>
      </c>
      <c r="I329" s="15">
        <v>2655.25</v>
      </c>
      <c r="J329" s="15">
        <v>2655.25</v>
      </c>
      <c r="K329" s="15">
        <v>4307.41</v>
      </c>
      <c r="L329" s="15">
        <v>1416.13</v>
      </c>
      <c r="M329" s="15">
        <v>2655.25</v>
      </c>
      <c r="N329" s="15">
        <v>2659.21</v>
      </c>
      <c r="O329" t="s">
        <v>75</v>
      </c>
    </row>
    <row r="330" spans="1:15" x14ac:dyDescent="0.25">
      <c r="A330" s="10" t="s">
        <v>766</v>
      </c>
      <c r="B330" s="15">
        <v>0</v>
      </c>
      <c r="C330" s="15">
        <v>0</v>
      </c>
      <c r="D330" s="15">
        <v>0</v>
      </c>
      <c r="E330" s="15">
        <v>0</v>
      </c>
      <c r="F330" s="15">
        <v>0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90.25</v>
      </c>
      <c r="O330" t="s">
        <v>75</v>
      </c>
    </row>
    <row r="331" spans="1:15" x14ac:dyDescent="0.25">
      <c r="A331" s="10" t="s">
        <v>768</v>
      </c>
      <c r="B331" s="15">
        <v>9121.23</v>
      </c>
      <c r="C331" s="15">
        <v>8928.26</v>
      </c>
      <c r="D331" s="15">
        <v>8035.43</v>
      </c>
      <c r="E331" s="15">
        <v>8928.26</v>
      </c>
      <c r="F331" s="15">
        <v>8928.26</v>
      </c>
      <c r="G331" s="15">
        <v>8928.26</v>
      </c>
      <c r="H331" s="15">
        <v>8928.26</v>
      </c>
      <c r="I331" s="15">
        <v>8928.26</v>
      </c>
      <c r="J331" s="15">
        <v>8928.26</v>
      </c>
      <c r="K331" s="15">
        <v>8928.26</v>
      </c>
      <c r="L331" s="15">
        <v>8928.26</v>
      </c>
      <c r="M331" s="15">
        <v>8928.26</v>
      </c>
      <c r="N331" s="15">
        <v>8928.26</v>
      </c>
      <c r="O331" t="s">
        <v>75</v>
      </c>
    </row>
    <row r="332" spans="1:15" x14ac:dyDescent="0.25">
      <c r="A332" s="10" t="s">
        <v>770</v>
      </c>
      <c r="B332" s="15">
        <v>3557.02</v>
      </c>
      <c r="C332" s="15">
        <v>2883.33</v>
      </c>
      <c r="D332" s="15">
        <v>1802.88</v>
      </c>
      <c r="E332" s="15">
        <v>2163.4499999999998</v>
      </c>
      <c r="F332" s="15">
        <v>3909.77</v>
      </c>
      <c r="G332" s="15">
        <v>2163.4499999999998</v>
      </c>
      <c r="H332" s="15">
        <v>865.38</v>
      </c>
      <c r="I332" s="15">
        <v>2163.4499999999998</v>
      </c>
      <c r="J332" s="15">
        <v>2163.4499999999998</v>
      </c>
      <c r="K332" s="15">
        <v>2163.4499999999998</v>
      </c>
      <c r="L332" s="15">
        <v>2163.4499999999998</v>
      </c>
      <c r="M332" s="15">
        <v>3245.18</v>
      </c>
      <c r="N332" s="15">
        <v>2212.62</v>
      </c>
      <c r="O332" t="s">
        <v>75</v>
      </c>
    </row>
    <row r="333" spans="1:15" x14ac:dyDescent="0.25">
      <c r="A333" s="10" t="s">
        <v>772</v>
      </c>
      <c r="B333" s="15">
        <v>2320.7800000000002</v>
      </c>
      <c r="C333" s="15">
        <v>2211.14</v>
      </c>
      <c r="D333" s="15">
        <v>2205.61</v>
      </c>
      <c r="E333" s="15">
        <v>2205.2399999999998</v>
      </c>
      <c r="F333" s="15">
        <v>2210.96</v>
      </c>
      <c r="G333" s="15">
        <v>2211.14</v>
      </c>
      <c r="H333" s="15">
        <v>2116.25</v>
      </c>
      <c r="I333" s="15">
        <v>2211.14</v>
      </c>
      <c r="J333" s="15">
        <v>2211.14</v>
      </c>
      <c r="K333" s="15">
        <v>2211.14</v>
      </c>
      <c r="L333" s="15">
        <v>2211.14</v>
      </c>
      <c r="M333" s="15">
        <v>2211.14</v>
      </c>
      <c r="N333" s="15">
        <v>2211.14</v>
      </c>
      <c r="O333" t="s">
        <v>75</v>
      </c>
    </row>
    <row r="334" spans="1:15" x14ac:dyDescent="0.25">
      <c r="A334" s="10" t="s">
        <v>774</v>
      </c>
      <c r="B334" s="15">
        <v>2823.96</v>
      </c>
      <c r="C334" s="15">
        <v>3840.58</v>
      </c>
      <c r="D334" s="15">
        <v>7254.43</v>
      </c>
      <c r="E334" s="15">
        <v>3840.58</v>
      </c>
      <c r="F334" s="15">
        <v>2240.34</v>
      </c>
      <c r="G334" s="15">
        <v>3840.58</v>
      </c>
      <c r="H334" s="15">
        <v>3840.58</v>
      </c>
      <c r="I334" s="15">
        <v>3840.58</v>
      </c>
      <c r="J334" s="15">
        <v>3840.58</v>
      </c>
      <c r="K334" s="15">
        <v>0</v>
      </c>
      <c r="L334" s="15">
        <v>0</v>
      </c>
      <c r="M334" s="15">
        <v>0</v>
      </c>
      <c r="N334" s="15">
        <v>2880.44</v>
      </c>
      <c r="O334" t="s">
        <v>75</v>
      </c>
    </row>
    <row r="335" spans="1:15" x14ac:dyDescent="0.25">
      <c r="A335" s="10" t="s">
        <v>776</v>
      </c>
      <c r="B335" s="15">
        <v>3165.25</v>
      </c>
      <c r="C335" s="15">
        <v>1634.41</v>
      </c>
      <c r="D335" s="15">
        <v>1882.21</v>
      </c>
      <c r="E335" s="15">
        <v>1947.11</v>
      </c>
      <c r="F335" s="15">
        <v>1955.15</v>
      </c>
      <c r="G335" s="15">
        <v>1947.11</v>
      </c>
      <c r="H335" s="15">
        <v>2082.08</v>
      </c>
      <c r="I335" s="15">
        <v>1944.59</v>
      </c>
      <c r="J335" s="15">
        <v>4605.12</v>
      </c>
      <c r="K335" s="15">
        <v>2469.69</v>
      </c>
      <c r="L335" s="15">
        <v>64.900000000000006</v>
      </c>
      <c r="M335" s="15">
        <v>2401.44</v>
      </c>
      <c r="N335" s="15">
        <v>2013.22</v>
      </c>
      <c r="O335" t="s">
        <v>75</v>
      </c>
    </row>
    <row r="336" spans="1:15" x14ac:dyDescent="0.25">
      <c r="A336" s="10" t="s">
        <v>778</v>
      </c>
      <c r="B336" s="15">
        <v>5920.03</v>
      </c>
      <c r="C336" s="15">
        <v>5834.82</v>
      </c>
      <c r="D336" s="15">
        <v>5642.28</v>
      </c>
      <c r="E336" s="15">
        <v>5642.28</v>
      </c>
      <c r="F336" s="15">
        <v>5642.28</v>
      </c>
      <c r="G336" s="15">
        <v>5642.28</v>
      </c>
      <c r="H336" s="15">
        <v>5642.28</v>
      </c>
      <c r="I336" s="15">
        <v>10673.2</v>
      </c>
      <c r="J336" s="15">
        <v>5638.52</v>
      </c>
      <c r="K336" s="15">
        <v>3479.41</v>
      </c>
      <c r="L336" s="15">
        <v>5454.2</v>
      </c>
      <c r="M336" s="15">
        <v>5642.28</v>
      </c>
      <c r="N336" s="15">
        <v>5658.33</v>
      </c>
      <c r="O336" t="s">
        <v>75</v>
      </c>
    </row>
    <row r="337" spans="1:15" x14ac:dyDescent="0.25">
      <c r="A337" s="10" t="s">
        <v>780</v>
      </c>
      <c r="B337" s="15">
        <v>0</v>
      </c>
      <c r="C337" s="15">
        <v>0</v>
      </c>
      <c r="D337" s="15">
        <v>0</v>
      </c>
      <c r="E337" s="15">
        <v>0</v>
      </c>
      <c r="F337" s="15">
        <v>1561.54</v>
      </c>
      <c r="G337" s="15">
        <v>1873.85</v>
      </c>
      <c r="H337" s="15">
        <v>2152.12</v>
      </c>
      <c r="I337" s="15">
        <v>0</v>
      </c>
      <c r="J337" s="15">
        <v>0</v>
      </c>
      <c r="K337" s="15">
        <v>0</v>
      </c>
      <c r="L337" s="15">
        <v>0</v>
      </c>
      <c r="M337" s="15">
        <v>0</v>
      </c>
      <c r="N337" s="15">
        <v>468.46</v>
      </c>
      <c r="O337" t="s">
        <v>75</v>
      </c>
    </row>
    <row r="338" spans="1:15" x14ac:dyDescent="0.25">
      <c r="A338" s="10" t="s">
        <v>782</v>
      </c>
      <c r="B338" s="15">
        <v>2998.24</v>
      </c>
      <c r="C338" s="15">
        <v>2163.4499999999998</v>
      </c>
      <c r="D338" s="15">
        <v>1550.47</v>
      </c>
      <c r="E338" s="15">
        <v>2163.4499999999998</v>
      </c>
      <c r="F338" s="15">
        <v>2163.4499999999998</v>
      </c>
      <c r="G338" s="15">
        <v>2163.4499999999998</v>
      </c>
      <c r="H338" s="15">
        <v>3551.1</v>
      </c>
      <c r="I338" s="15">
        <v>2163.4499999999998</v>
      </c>
      <c r="J338" s="15">
        <v>1153.8399999999999</v>
      </c>
      <c r="K338" s="15">
        <v>2163.4499999999998</v>
      </c>
      <c r="L338" s="15">
        <v>2163.4499999999998</v>
      </c>
      <c r="M338" s="15">
        <v>2163.4499999999998</v>
      </c>
      <c r="N338" s="15">
        <v>2163.4499999999998</v>
      </c>
      <c r="O338" t="s">
        <v>75</v>
      </c>
    </row>
    <row r="339" spans="1:15" x14ac:dyDescent="0.25">
      <c r="A339" s="10" t="s">
        <v>784</v>
      </c>
      <c r="B339" s="15">
        <v>1909.66</v>
      </c>
      <c r="C339" s="15">
        <v>1947.11</v>
      </c>
      <c r="D339" s="15">
        <v>2076.92</v>
      </c>
      <c r="E339" s="15">
        <v>1947.11</v>
      </c>
      <c r="F339" s="15">
        <v>2076.92</v>
      </c>
      <c r="G339" s="15">
        <v>2081.5300000000002</v>
      </c>
      <c r="H339" s="15">
        <v>2076.92</v>
      </c>
      <c r="I339" s="15">
        <v>4631.51</v>
      </c>
      <c r="J339" s="15">
        <v>1947.11</v>
      </c>
      <c r="K339" s="15">
        <v>1006.01</v>
      </c>
      <c r="L339" s="15">
        <v>1955.15</v>
      </c>
      <c r="M339" s="15">
        <v>2076.92</v>
      </c>
      <c r="N339" s="15">
        <v>2055.2199999999998</v>
      </c>
      <c r="O339" t="s">
        <v>75</v>
      </c>
    </row>
    <row r="340" spans="1:15" x14ac:dyDescent="0.25">
      <c r="A340" s="10" t="s">
        <v>786</v>
      </c>
      <c r="B340" s="15">
        <v>1989.24</v>
      </c>
      <c r="C340" s="15">
        <v>2163.4499999999998</v>
      </c>
      <c r="D340" s="15">
        <v>3536.88</v>
      </c>
      <c r="E340" s="15">
        <v>2163.4499999999998</v>
      </c>
      <c r="F340" s="15">
        <v>1694.7</v>
      </c>
      <c r="G340" s="15">
        <v>2163.4499999999998</v>
      </c>
      <c r="H340" s="15">
        <v>2163.4499999999998</v>
      </c>
      <c r="I340" s="15">
        <v>2163.4499999999998</v>
      </c>
      <c r="J340" s="15">
        <v>2163.4499999999998</v>
      </c>
      <c r="K340" s="15">
        <v>2163.4499999999998</v>
      </c>
      <c r="L340" s="15">
        <v>3317.29</v>
      </c>
      <c r="M340" s="15">
        <v>2163.4499999999998</v>
      </c>
      <c r="N340" s="15">
        <v>2163.4499999999998</v>
      </c>
      <c r="O340" t="s">
        <v>75</v>
      </c>
    </row>
    <row r="341" spans="1:15" x14ac:dyDescent="0.25">
      <c r="A341" s="10" t="s">
        <v>788</v>
      </c>
      <c r="B341" s="15">
        <v>1103.3499999999999</v>
      </c>
      <c r="C341" s="15">
        <v>1121.4100000000001</v>
      </c>
      <c r="D341" s="15">
        <v>1082.96</v>
      </c>
      <c r="E341" s="15">
        <v>1082.96</v>
      </c>
      <c r="F341" s="15">
        <v>1081.52</v>
      </c>
      <c r="G341" s="15">
        <v>1082.96</v>
      </c>
      <c r="H341" s="15">
        <v>1082.96</v>
      </c>
      <c r="I341" s="15">
        <v>1082.96</v>
      </c>
      <c r="J341" s="15">
        <v>1082.96</v>
      </c>
      <c r="K341" s="15">
        <v>1081.3399999999999</v>
      </c>
      <c r="L341" s="15">
        <v>1082.96</v>
      </c>
      <c r="M341" s="15">
        <v>2531.17</v>
      </c>
      <c r="N341" s="15">
        <v>1086.1600000000001</v>
      </c>
      <c r="O341" t="s">
        <v>75</v>
      </c>
    </row>
    <row r="342" spans="1:15" x14ac:dyDescent="0.25">
      <c r="A342" s="10" t="s">
        <v>790</v>
      </c>
      <c r="B342" s="15">
        <v>1591.39</v>
      </c>
      <c r="C342" s="15">
        <v>1540.3</v>
      </c>
      <c r="D342" s="15">
        <v>1703.5</v>
      </c>
      <c r="E342" s="15">
        <v>1703.5</v>
      </c>
      <c r="F342" s="15">
        <v>1703.5</v>
      </c>
      <c r="G342" s="15">
        <v>1703.5</v>
      </c>
      <c r="H342" s="15">
        <v>1703.5</v>
      </c>
      <c r="I342" s="15">
        <v>1861.07</v>
      </c>
      <c r="J342" s="15">
        <v>0</v>
      </c>
      <c r="K342" s="15">
        <v>0</v>
      </c>
      <c r="L342" s="15">
        <v>0</v>
      </c>
      <c r="M342" s="15">
        <v>0</v>
      </c>
      <c r="N342" s="15">
        <v>1026.26</v>
      </c>
      <c r="O342" t="s">
        <v>75</v>
      </c>
    </row>
    <row r="343" spans="1:15" x14ac:dyDescent="0.25">
      <c r="A343" s="10" t="s">
        <v>792</v>
      </c>
      <c r="B343" s="15">
        <v>1790.31</v>
      </c>
      <c r="C343" s="15">
        <v>1889.74</v>
      </c>
      <c r="D343" s="15">
        <v>1688.02</v>
      </c>
      <c r="E343" s="15">
        <v>1688.02</v>
      </c>
      <c r="F343" s="15">
        <v>1677.75</v>
      </c>
      <c r="G343" s="15">
        <v>3944.95</v>
      </c>
      <c r="H343" s="15">
        <v>1884.96</v>
      </c>
      <c r="I343" s="15">
        <v>221.98</v>
      </c>
      <c r="J343" s="15">
        <v>1683.38</v>
      </c>
      <c r="K343" s="15">
        <v>1687.6</v>
      </c>
      <c r="L343" s="15">
        <v>1649.62</v>
      </c>
      <c r="M343" s="15">
        <v>1688.02</v>
      </c>
      <c r="N343" s="15">
        <v>1704.83</v>
      </c>
      <c r="O343" t="s">
        <v>75</v>
      </c>
    </row>
    <row r="344" spans="1:15" x14ac:dyDescent="0.25">
      <c r="A344" s="10" t="s">
        <v>794</v>
      </c>
      <c r="B344" s="15">
        <v>2358.34</v>
      </c>
      <c r="C344" s="15">
        <v>4657.2700000000004</v>
      </c>
      <c r="D344" s="15">
        <v>2084.96</v>
      </c>
      <c r="E344" s="15">
        <v>486.78</v>
      </c>
      <c r="F344" s="15">
        <v>1947.11</v>
      </c>
      <c r="G344" s="15">
        <v>1946.32</v>
      </c>
      <c r="H344" s="15">
        <v>1794.23</v>
      </c>
      <c r="I344" s="15">
        <v>2647.89</v>
      </c>
      <c r="J344" s="15">
        <v>0</v>
      </c>
      <c r="K344" s="15">
        <v>0</v>
      </c>
      <c r="L344" s="15">
        <v>0</v>
      </c>
      <c r="M344" s="15">
        <v>0</v>
      </c>
      <c r="N344" s="15">
        <v>1498.97</v>
      </c>
      <c r="O344" t="s">
        <v>75</v>
      </c>
    </row>
    <row r="345" spans="1:15" x14ac:dyDescent="0.25">
      <c r="A345" s="10" t="s">
        <v>796</v>
      </c>
      <c r="B345" s="15">
        <v>923</v>
      </c>
      <c r="C345" s="15">
        <v>893.45</v>
      </c>
      <c r="D345" s="15">
        <v>5700.1</v>
      </c>
      <c r="E345" s="15">
        <v>2010.13</v>
      </c>
      <c r="F345" s="15">
        <v>2010.13</v>
      </c>
      <c r="G345" s="15">
        <v>2010.13</v>
      </c>
      <c r="H345" s="15">
        <v>2903.52</v>
      </c>
      <c r="I345" s="15">
        <v>1842.62</v>
      </c>
      <c r="J345" s="15">
        <v>2010.13</v>
      </c>
      <c r="K345" s="15">
        <v>2903.52</v>
      </c>
      <c r="L345" s="15">
        <v>1340.09</v>
      </c>
      <c r="M345" s="15">
        <v>2010.13</v>
      </c>
      <c r="N345" s="15">
        <v>2010.13</v>
      </c>
      <c r="O345" t="s">
        <v>75</v>
      </c>
    </row>
    <row r="346" spans="1:15" x14ac:dyDescent="0.25">
      <c r="A346" s="10" t="s">
        <v>798</v>
      </c>
      <c r="B346" s="15">
        <v>0</v>
      </c>
      <c r="C346" s="15">
        <v>0</v>
      </c>
      <c r="D346" s="15">
        <v>0</v>
      </c>
      <c r="E346" s="15">
        <v>0</v>
      </c>
      <c r="F346" s="15">
        <v>1277.6300000000001</v>
      </c>
      <c r="G346" s="15">
        <v>1635.36</v>
      </c>
      <c r="H346" s="15">
        <v>1525.63</v>
      </c>
      <c r="I346" s="15">
        <v>1541.19</v>
      </c>
      <c r="J346" s="15">
        <v>1533.15</v>
      </c>
      <c r="K346" s="15">
        <v>1939.95</v>
      </c>
      <c r="L346" s="15">
        <v>1635.36</v>
      </c>
      <c r="M346" s="15">
        <v>1737.57</v>
      </c>
      <c r="N346" s="15">
        <v>1228.03</v>
      </c>
      <c r="O346" t="s">
        <v>75</v>
      </c>
    </row>
    <row r="347" spans="1:15" x14ac:dyDescent="0.25">
      <c r="A347" s="10" t="s">
        <v>800</v>
      </c>
      <c r="B347" s="15">
        <v>2030.68</v>
      </c>
      <c r="C347" s="15">
        <v>2451.1799999999998</v>
      </c>
      <c r="D347" s="15">
        <v>2163.4499999999998</v>
      </c>
      <c r="E347" s="15">
        <v>2163.4499999999998</v>
      </c>
      <c r="F347" s="15">
        <v>2163.4499999999998</v>
      </c>
      <c r="G347" s="15">
        <v>2163.4499999999998</v>
      </c>
      <c r="H347" s="15">
        <v>2163.4499999999998</v>
      </c>
      <c r="I347" s="15">
        <v>2163.4499999999998</v>
      </c>
      <c r="J347" s="15">
        <v>2163.4499999999998</v>
      </c>
      <c r="K347" s="15">
        <v>2163.4499999999998</v>
      </c>
      <c r="L347" s="15">
        <v>2163.4499999999998</v>
      </c>
      <c r="M347" s="15">
        <v>2163.4499999999998</v>
      </c>
      <c r="N347" s="15">
        <v>2187.4299999999998</v>
      </c>
      <c r="O347" t="s">
        <v>75</v>
      </c>
    </row>
    <row r="348" spans="1:15" x14ac:dyDescent="0.25">
      <c r="A348" s="10" t="s">
        <v>802</v>
      </c>
      <c r="B348" s="15">
        <v>0</v>
      </c>
      <c r="C348" s="15">
        <v>0</v>
      </c>
      <c r="D348" s="15">
        <v>0</v>
      </c>
      <c r="E348" s="15">
        <v>0</v>
      </c>
      <c r="F348" s="15">
        <v>0</v>
      </c>
      <c r="G348" s="15">
        <v>0</v>
      </c>
      <c r="H348" s="15">
        <v>0</v>
      </c>
      <c r="I348" s="15">
        <v>0</v>
      </c>
      <c r="J348" s="15">
        <v>0</v>
      </c>
      <c r="K348" s="15">
        <v>307.52</v>
      </c>
      <c r="L348" s="15">
        <v>743.16</v>
      </c>
      <c r="M348" s="15">
        <v>768.79</v>
      </c>
      <c r="N348" s="15">
        <v>192.2</v>
      </c>
      <c r="O348" t="s">
        <v>75</v>
      </c>
    </row>
    <row r="349" spans="1:15" x14ac:dyDescent="0.25">
      <c r="A349" s="10" t="s">
        <v>804</v>
      </c>
      <c r="B349" s="15">
        <v>571.25</v>
      </c>
      <c r="C349" s="15">
        <v>731.2</v>
      </c>
      <c r="D349" s="15">
        <v>731.2</v>
      </c>
      <c r="E349" s="15">
        <v>731.2</v>
      </c>
      <c r="F349" s="15">
        <v>731.2</v>
      </c>
      <c r="G349" s="15">
        <v>919.15</v>
      </c>
      <c r="H349" s="15">
        <v>768.79</v>
      </c>
      <c r="I349" s="15">
        <v>768.79</v>
      </c>
      <c r="J349" s="15">
        <v>768.79</v>
      </c>
      <c r="K349" s="15">
        <v>768.79</v>
      </c>
      <c r="L349" s="15">
        <v>922.55</v>
      </c>
      <c r="M349" s="15">
        <v>1175.42</v>
      </c>
      <c r="N349" s="15">
        <v>896.19</v>
      </c>
      <c r="O349" t="s">
        <v>75</v>
      </c>
    </row>
    <row r="350" spans="1:15" x14ac:dyDescent="0.25">
      <c r="A350" s="10" t="s">
        <v>806</v>
      </c>
      <c r="B350" s="15">
        <v>0</v>
      </c>
      <c r="C350" s="15">
        <v>0</v>
      </c>
      <c r="D350" s="15">
        <v>0</v>
      </c>
      <c r="E350" s="15">
        <v>0</v>
      </c>
      <c r="F350" s="15">
        <v>0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100.93</v>
      </c>
      <c r="O350" t="s">
        <v>75</v>
      </c>
    </row>
    <row r="351" spans="1:15" x14ac:dyDescent="0.25">
      <c r="A351" s="10" t="s">
        <v>808</v>
      </c>
      <c r="B351" s="15">
        <v>1724.01</v>
      </c>
      <c r="C351" s="15">
        <v>1950.8</v>
      </c>
      <c r="D351" s="15">
        <v>1703.5</v>
      </c>
      <c r="E351" s="15">
        <v>1703.5</v>
      </c>
      <c r="F351" s="15">
        <v>1703.5</v>
      </c>
      <c r="G351" s="15">
        <v>1703.5</v>
      </c>
      <c r="H351" s="15">
        <v>1692.14</v>
      </c>
      <c r="I351" s="15">
        <v>1616.05</v>
      </c>
      <c r="J351" s="15">
        <v>1703.5</v>
      </c>
      <c r="K351" s="15">
        <v>1703.5</v>
      </c>
      <c r="L351" s="15">
        <v>1703.5</v>
      </c>
      <c r="M351" s="15">
        <v>1691.15</v>
      </c>
      <c r="N351" s="15">
        <v>1724.11</v>
      </c>
      <c r="O351" t="s">
        <v>75</v>
      </c>
    </row>
    <row r="352" spans="1:15" x14ac:dyDescent="0.25">
      <c r="A352" s="10" t="s">
        <v>810</v>
      </c>
      <c r="B352" s="15">
        <v>0</v>
      </c>
      <c r="C352" s="15">
        <v>0</v>
      </c>
      <c r="D352" s="15">
        <v>0</v>
      </c>
      <c r="E352" s="15">
        <v>0</v>
      </c>
      <c r="F352" s="15">
        <v>0</v>
      </c>
      <c r="G352" s="15">
        <v>0</v>
      </c>
      <c r="H352" s="15">
        <v>0</v>
      </c>
      <c r="I352" s="15">
        <v>0</v>
      </c>
      <c r="J352" s="15">
        <v>0</v>
      </c>
      <c r="K352" s="15">
        <v>3840.58</v>
      </c>
      <c r="L352" s="15">
        <v>3840.58</v>
      </c>
      <c r="M352" s="15">
        <v>3840.58</v>
      </c>
      <c r="N352" s="15">
        <v>1280.19</v>
      </c>
      <c r="O352" t="s">
        <v>75</v>
      </c>
    </row>
    <row r="353" spans="1:15" x14ac:dyDescent="0.25">
      <c r="A353" s="10" t="s">
        <v>812</v>
      </c>
      <c r="B353" s="15">
        <v>0</v>
      </c>
      <c r="C353" s="15">
        <v>0</v>
      </c>
      <c r="D353" s="15">
        <v>0</v>
      </c>
      <c r="E353" s="15">
        <v>0</v>
      </c>
      <c r="F353" s="15">
        <v>0</v>
      </c>
      <c r="G353" s="15">
        <v>1073.21</v>
      </c>
      <c r="H353" s="15">
        <v>1533.15</v>
      </c>
      <c r="I353" s="15">
        <v>1532.1</v>
      </c>
      <c r="J353" s="15">
        <v>1533.15</v>
      </c>
      <c r="K353" s="15">
        <v>1934.04</v>
      </c>
      <c r="L353" s="15">
        <v>1643.4</v>
      </c>
      <c r="M353" s="15">
        <v>1745.61</v>
      </c>
      <c r="N353" s="15">
        <v>1092.54</v>
      </c>
      <c r="O353" t="s">
        <v>75</v>
      </c>
    </row>
    <row r="354" spans="1:15" x14ac:dyDescent="0.25">
      <c r="A354" s="10" t="s">
        <v>814</v>
      </c>
      <c r="B354" s="15">
        <v>878.63</v>
      </c>
      <c r="C354" s="15">
        <v>0</v>
      </c>
      <c r="D354" s="15">
        <v>0</v>
      </c>
      <c r="E354" s="15">
        <v>0</v>
      </c>
      <c r="F354" s="15">
        <v>2.4300000000000002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t="s">
        <v>75</v>
      </c>
    </row>
    <row r="355" spans="1:15" x14ac:dyDescent="0.25">
      <c r="A355" s="10" t="s">
        <v>816</v>
      </c>
      <c r="B355" s="15">
        <v>739.44</v>
      </c>
      <c r="C355" s="15">
        <v>731.22</v>
      </c>
      <c r="D355" s="15">
        <v>731.22</v>
      </c>
      <c r="E355" s="15">
        <v>731.22</v>
      </c>
      <c r="F355" s="15">
        <v>731.22</v>
      </c>
      <c r="G355" s="15">
        <v>893.44</v>
      </c>
      <c r="H355" s="15">
        <v>768.79</v>
      </c>
      <c r="I355" s="15">
        <v>768.79</v>
      </c>
      <c r="J355" s="15">
        <v>871.3</v>
      </c>
      <c r="K355" s="15">
        <v>0</v>
      </c>
      <c r="L355" s="15">
        <v>0</v>
      </c>
      <c r="M355" s="15">
        <v>0</v>
      </c>
      <c r="N355" s="15">
        <v>512.53</v>
      </c>
      <c r="O355" t="s">
        <v>75</v>
      </c>
    </row>
    <row r="356" spans="1:15" x14ac:dyDescent="0.25">
      <c r="A356" s="10" t="s">
        <v>818</v>
      </c>
      <c r="B356" s="15">
        <v>0</v>
      </c>
      <c r="C356" s="15">
        <v>2125.7399999999998</v>
      </c>
      <c r="D356" s="15">
        <v>1963.86</v>
      </c>
      <c r="E356" s="15">
        <v>1326.68</v>
      </c>
      <c r="F356" s="15">
        <v>2211.14</v>
      </c>
      <c r="G356" s="15">
        <v>2211.14</v>
      </c>
      <c r="H356" s="15">
        <v>2192.9</v>
      </c>
      <c r="I356" s="15">
        <v>2211.14</v>
      </c>
      <c r="J356" s="15">
        <v>2211.14</v>
      </c>
      <c r="K356" s="15">
        <v>2211.14</v>
      </c>
      <c r="L356" s="15">
        <v>2211.14</v>
      </c>
      <c r="M356" s="15">
        <v>2211.14</v>
      </c>
      <c r="N356" s="15">
        <v>2026.88</v>
      </c>
      <c r="O356" t="s">
        <v>75</v>
      </c>
    </row>
    <row r="357" spans="1:15" x14ac:dyDescent="0.25">
      <c r="A357" s="10" t="s">
        <v>820</v>
      </c>
      <c r="B357" s="15">
        <v>596.77</v>
      </c>
      <c r="C357" s="15">
        <v>1947.31</v>
      </c>
      <c r="D357" s="15">
        <v>2077.13</v>
      </c>
      <c r="E357" s="15">
        <v>2085.17</v>
      </c>
      <c r="F357" s="15">
        <v>2085.17</v>
      </c>
      <c r="G357" s="15">
        <v>2263.1999999999998</v>
      </c>
      <c r="H357" s="15">
        <v>2083.46</v>
      </c>
      <c r="I357" s="15">
        <v>1947.31</v>
      </c>
      <c r="J357" s="15">
        <v>1955.35</v>
      </c>
      <c r="K357" s="15">
        <v>2457.75</v>
      </c>
      <c r="L357" s="15">
        <v>1955.35</v>
      </c>
      <c r="M357" s="15">
        <v>2077.13</v>
      </c>
      <c r="N357" s="15">
        <v>2075.02</v>
      </c>
      <c r="O357" t="s">
        <v>75</v>
      </c>
    </row>
    <row r="358" spans="1:15" x14ac:dyDescent="0.25">
      <c r="A358" s="10" t="s">
        <v>822</v>
      </c>
      <c r="B358" s="15">
        <v>2029.02</v>
      </c>
      <c r="C358" s="15">
        <v>1955.15</v>
      </c>
      <c r="D358" s="15">
        <v>2125.13</v>
      </c>
      <c r="E358" s="15">
        <v>2117.1</v>
      </c>
      <c r="F358" s="15">
        <v>1947.11</v>
      </c>
      <c r="G358" s="15">
        <v>4967.79</v>
      </c>
      <c r="H358" s="15">
        <v>2076.92</v>
      </c>
      <c r="I358" s="15">
        <v>486.78</v>
      </c>
      <c r="J358" s="15">
        <v>1955.15</v>
      </c>
      <c r="K358" s="15">
        <v>2466.34</v>
      </c>
      <c r="L358" s="15">
        <v>1967.2</v>
      </c>
      <c r="M358" s="15">
        <v>2226.81</v>
      </c>
      <c r="N358" s="15">
        <v>2097.65</v>
      </c>
      <c r="O358" t="s">
        <v>75</v>
      </c>
    </row>
    <row r="359" spans="1:15" x14ac:dyDescent="0.25">
      <c r="A359" s="10" t="s">
        <v>824</v>
      </c>
      <c r="B359" s="15">
        <v>475.29</v>
      </c>
      <c r="C359" s="15">
        <v>1084.72</v>
      </c>
      <c r="D359" s="15">
        <v>1082.96</v>
      </c>
      <c r="E359" s="15">
        <v>1689.64</v>
      </c>
      <c r="F359" s="15">
        <v>0</v>
      </c>
      <c r="G359" s="15">
        <v>0</v>
      </c>
      <c r="H359" s="15">
        <v>0</v>
      </c>
      <c r="I359" s="15">
        <v>0</v>
      </c>
      <c r="J359" s="15">
        <v>0</v>
      </c>
      <c r="K359" s="15">
        <v>0</v>
      </c>
      <c r="L359" s="15">
        <v>0</v>
      </c>
      <c r="M359" s="15">
        <v>0</v>
      </c>
      <c r="N359" s="15">
        <v>363.56</v>
      </c>
      <c r="O359" t="s">
        <v>75</v>
      </c>
    </row>
    <row r="360" spans="1:15" x14ac:dyDescent="0.25">
      <c r="A360" s="10" t="s">
        <v>826</v>
      </c>
      <c r="B360" s="15">
        <v>2170.7600000000002</v>
      </c>
      <c r="C360" s="15">
        <v>1963.18</v>
      </c>
      <c r="D360" s="15">
        <v>2076.92</v>
      </c>
      <c r="E360" s="15">
        <v>1955.15</v>
      </c>
      <c r="F360" s="15">
        <v>1947.11</v>
      </c>
      <c r="G360" s="15">
        <v>2076.92</v>
      </c>
      <c r="H360" s="15">
        <v>1947.11</v>
      </c>
      <c r="I360" s="15">
        <v>1955.15</v>
      </c>
      <c r="J360" s="15">
        <v>4605.2700000000004</v>
      </c>
      <c r="K360" s="15">
        <v>2474.38</v>
      </c>
      <c r="L360" s="15">
        <v>551.67999999999995</v>
      </c>
      <c r="M360" s="15">
        <v>1882.21</v>
      </c>
      <c r="N360" s="15">
        <v>2026.97</v>
      </c>
      <c r="O360" t="s">
        <v>75</v>
      </c>
    </row>
    <row r="361" spans="1:15" x14ac:dyDescent="0.25">
      <c r="A361" s="10" t="s">
        <v>828</v>
      </c>
      <c r="B361" s="15">
        <v>2208.06</v>
      </c>
      <c r="C361" s="15">
        <v>1947.11</v>
      </c>
      <c r="D361" s="15">
        <v>2084.96</v>
      </c>
      <c r="E361" s="15">
        <v>2076.92</v>
      </c>
      <c r="F361" s="15">
        <v>1947.11</v>
      </c>
      <c r="G361" s="15">
        <v>454.33</v>
      </c>
      <c r="H361" s="15">
        <v>2571.73</v>
      </c>
      <c r="I361" s="15">
        <v>0</v>
      </c>
      <c r="J361" s="15">
        <v>0</v>
      </c>
      <c r="K361" s="15">
        <v>0</v>
      </c>
      <c r="L361" s="15">
        <v>0</v>
      </c>
      <c r="M361" s="15">
        <v>0</v>
      </c>
      <c r="N361" s="15">
        <v>774.17</v>
      </c>
      <c r="O361" t="s">
        <v>75</v>
      </c>
    </row>
    <row r="362" spans="1:15" x14ac:dyDescent="0.25">
      <c r="A362" s="10" t="s">
        <v>830</v>
      </c>
      <c r="B362" s="15">
        <v>8287.27</v>
      </c>
      <c r="C362" s="15">
        <v>6283.81</v>
      </c>
      <c r="D362" s="15">
        <v>9271.8700000000008</v>
      </c>
      <c r="E362" s="15">
        <v>9271.8700000000008</v>
      </c>
      <c r="F362" s="15">
        <v>9271.8700000000008</v>
      </c>
      <c r="G362" s="15">
        <v>9271.8700000000008</v>
      </c>
      <c r="H362" s="15">
        <v>9271.8700000000008</v>
      </c>
      <c r="I362" s="15">
        <v>9271.8700000000008</v>
      </c>
      <c r="J362" s="15">
        <v>9271.8700000000008</v>
      </c>
      <c r="K362" s="15">
        <v>9271.8700000000008</v>
      </c>
      <c r="L362" s="15">
        <v>9271.8700000000008</v>
      </c>
      <c r="M362" s="15">
        <v>21634.36</v>
      </c>
      <c r="N362" s="15">
        <v>9271.8700000000008</v>
      </c>
      <c r="O362" t="s">
        <v>75</v>
      </c>
    </row>
    <row r="363" spans="1:15" x14ac:dyDescent="0.25">
      <c r="A363" s="10" t="s">
        <v>832</v>
      </c>
      <c r="B363" s="15">
        <v>2350.7199999999998</v>
      </c>
      <c r="C363" s="15">
        <v>2214.7600000000002</v>
      </c>
      <c r="D363" s="15">
        <v>3400.98</v>
      </c>
      <c r="E363" s="15">
        <v>1849.76</v>
      </c>
      <c r="F363" s="15">
        <v>1682.74</v>
      </c>
      <c r="G363" s="15">
        <v>2214.7600000000002</v>
      </c>
      <c r="H363" s="15">
        <v>3500.91</v>
      </c>
      <c r="I363" s="15">
        <v>1941.52</v>
      </c>
      <c r="J363" s="15">
        <v>971.68</v>
      </c>
      <c r="K363" s="15">
        <v>2262.9699999999998</v>
      </c>
      <c r="L363" s="15">
        <v>2011.39</v>
      </c>
      <c r="M363" s="15">
        <v>2214.7600000000002</v>
      </c>
      <c r="N363" s="15">
        <v>2097.7600000000002</v>
      </c>
      <c r="O363" t="s">
        <v>75</v>
      </c>
    </row>
    <row r="364" spans="1:15" x14ac:dyDescent="0.25">
      <c r="A364" s="10" t="s">
        <v>834</v>
      </c>
      <c r="B364" s="15">
        <v>1724.01</v>
      </c>
      <c r="C364" s="15">
        <v>1975.63</v>
      </c>
      <c r="D364" s="15">
        <v>1703.5</v>
      </c>
      <c r="E364" s="15">
        <v>1703.5</v>
      </c>
      <c r="F364" s="15">
        <v>1703.5</v>
      </c>
      <c r="G364" s="15">
        <v>1703.5</v>
      </c>
      <c r="H364" s="15">
        <v>1703.5</v>
      </c>
      <c r="I364" s="15">
        <v>1703.5</v>
      </c>
      <c r="J364" s="15">
        <v>1703.5</v>
      </c>
      <c r="K364" s="15">
        <v>3237.89</v>
      </c>
      <c r="L364" s="15">
        <v>1277.6300000000001</v>
      </c>
      <c r="M364" s="15">
        <v>1419.58</v>
      </c>
      <c r="N364" s="15">
        <v>1726.18</v>
      </c>
      <c r="O364" t="s">
        <v>75</v>
      </c>
    </row>
    <row r="365" spans="1:15" x14ac:dyDescent="0.25">
      <c r="A365" s="10" t="s">
        <v>836</v>
      </c>
      <c r="B365" s="15">
        <v>636.54999999999995</v>
      </c>
      <c r="C365" s="15">
        <v>1172.76</v>
      </c>
      <c r="D365" s="15">
        <v>676.85</v>
      </c>
      <c r="E365" s="15">
        <v>507.64</v>
      </c>
      <c r="F365" s="15">
        <v>676.85</v>
      </c>
      <c r="G365" s="15">
        <v>676.85</v>
      </c>
      <c r="H365" s="15">
        <v>676.85</v>
      </c>
      <c r="I365" s="15">
        <v>676.85</v>
      </c>
      <c r="J365" s="15">
        <v>676.85</v>
      </c>
      <c r="K365" s="15">
        <v>676.85</v>
      </c>
      <c r="L365" s="15">
        <v>2048.89</v>
      </c>
      <c r="M365" s="15">
        <v>974.66</v>
      </c>
      <c r="N365" s="15">
        <v>1086.68</v>
      </c>
      <c r="O365" t="s">
        <v>75</v>
      </c>
    </row>
    <row r="366" spans="1:15" x14ac:dyDescent="0.25">
      <c r="A366" s="10" t="s">
        <v>838</v>
      </c>
      <c r="B366" s="15">
        <v>571.25</v>
      </c>
      <c r="C366" s="15">
        <v>731.2</v>
      </c>
      <c r="D366" s="15">
        <v>731.2</v>
      </c>
      <c r="E366" s="15">
        <v>731.2</v>
      </c>
      <c r="F366" s="15">
        <v>706.83</v>
      </c>
      <c r="G366" s="15">
        <v>943.52</v>
      </c>
      <c r="H366" s="15">
        <v>768.79</v>
      </c>
      <c r="I366" s="15">
        <v>768.79</v>
      </c>
      <c r="J366" s="15">
        <v>768.79</v>
      </c>
      <c r="K366" s="15">
        <v>768.79</v>
      </c>
      <c r="L366" s="15">
        <v>922.55</v>
      </c>
      <c r="M366" s="15">
        <v>0</v>
      </c>
      <c r="N366" s="15">
        <v>640.66</v>
      </c>
      <c r="O366" t="s">
        <v>75</v>
      </c>
    </row>
    <row r="367" spans="1:15" x14ac:dyDescent="0.25">
      <c r="A367" s="10" t="s">
        <v>840</v>
      </c>
      <c r="B367" s="15">
        <v>1989.24</v>
      </c>
      <c r="C367" s="15">
        <v>917.37</v>
      </c>
      <c r="D367" s="15">
        <v>2019.22</v>
      </c>
      <c r="E367" s="15">
        <v>2163.4499999999998</v>
      </c>
      <c r="F367" s="15">
        <v>2163.4499999999998</v>
      </c>
      <c r="G367" s="15">
        <v>2163.4499999999998</v>
      </c>
      <c r="H367" s="15">
        <v>2163.4499999999998</v>
      </c>
      <c r="I367" s="15">
        <v>2163.4499999999998</v>
      </c>
      <c r="J367" s="15">
        <v>2163.4499999999998</v>
      </c>
      <c r="K367" s="15">
        <v>2163.4499999999998</v>
      </c>
      <c r="L367" s="15">
        <v>2163.4499999999998</v>
      </c>
      <c r="M367" s="15">
        <v>5048.05</v>
      </c>
      <c r="N367" s="15">
        <v>2163.4499999999998</v>
      </c>
      <c r="O367" t="s">
        <v>75</v>
      </c>
    </row>
    <row r="368" spans="1:15" x14ac:dyDescent="0.25">
      <c r="A368" s="10" t="s">
        <v>842</v>
      </c>
      <c r="B368" s="15">
        <v>0</v>
      </c>
      <c r="C368" s="15">
        <v>0</v>
      </c>
      <c r="D368" s="15">
        <v>0</v>
      </c>
      <c r="E368" s="15">
        <v>0</v>
      </c>
      <c r="F368" s="15">
        <v>0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538.15</v>
      </c>
      <c r="M368" s="15">
        <v>768.79</v>
      </c>
      <c r="N368" s="15">
        <v>192.2</v>
      </c>
      <c r="O368" t="s">
        <v>75</v>
      </c>
    </row>
    <row r="369" spans="1:15" x14ac:dyDescent="0.25">
      <c r="A369" s="10" t="s">
        <v>844</v>
      </c>
      <c r="B369" s="15">
        <v>2513.54</v>
      </c>
      <c r="C369" s="15">
        <v>857.36</v>
      </c>
      <c r="D369" s="15">
        <v>2038.26</v>
      </c>
      <c r="E369" s="15">
        <v>2176.11</v>
      </c>
      <c r="F369" s="15">
        <v>2368.9499999999998</v>
      </c>
      <c r="G369" s="15">
        <v>2137.1799999999998</v>
      </c>
      <c r="H369" s="15">
        <v>2105.04</v>
      </c>
      <c r="I369" s="15">
        <v>1967.2</v>
      </c>
      <c r="J369" s="15">
        <v>1987.29</v>
      </c>
      <c r="K369" s="15">
        <v>2506.52</v>
      </c>
      <c r="L369" s="15">
        <v>2137.1799999999998</v>
      </c>
      <c r="M369" s="15">
        <v>5343.31</v>
      </c>
      <c r="N369" s="15">
        <v>2187.63</v>
      </c>
      <c r="O369" t="s">
        <v>75</v>
      </c>
    </row>
    <row r="370" spans="1:15" x14ac:dyDescent="0.25">
      <c r="A370" s="10" t="s">
        <v>846</v>
      </c>
      <c r="B370" s="15">
        <v>1591.39</v>
      </c>
      <c r="C370" s="15">
        <v>2311.87</v>
      </c>
      <c r="D370" s="15">
        <v>1703.5</v>
      </c>
      <c r="E370" s="15">
        <v>1703.5</v>
      </c>
      <c r="F370" s="15">
        <v>1703.5</v>
      </c>
      <c r="G370" s="15">
        <v>1703.5</v>
      </c>
      <c r="H370" s="15">
        <v>3275.49</v>
      </c>
      <c r="I370" s="15">
        <v>1703.5</v>
      </c>
      <c r="J370" s="15">
        <v>993.71</v>
      </c>
      <c r="K370" s="15">
        <v>1703.5</v>
      </c>
      <c r="L370" s="15">
        <v>1703.5</v>
      </c>
      <c r="M370" s="15">
        <v>1703.5</v>
      </c>
      <c r="N370" s="15">
        <v>1754.2</v>
      </c>
      <c r="O370" t="s">
        <v>75</v>
      </c>
    </row>
    <row r="371" spans="1:15" x14ac:dyDescent="0.25">
      <c r="A371" s="10" t="s">
        <v>848</v>
      </c>
      <c r="B371" s="15">
        <v>0</v>
      </c>
      <c r="C371" s="15">
        <v>1752.58</v>
      </c>
      <c r="D371" s="15">
        <v>2077.13</v>
      </c>
      <c r="E371" s="15">
        <v>1947.31</v>
      </c>
      <c r="F371" s="15">
        <v>2105.25</v>
      </c>
      <c r="G371" s="15">
        <v>2214.9899999999998</v>
      </c>
      <c r="H371" s="15">
        <v>2072.8000000000002</v>
      </c>
      <c r="I371" s="15">
        <v>1967.4</v>
      </c>
      <c r="J371" s="15">
        <v>1947.42</v>
      </c>
      <c r="K371" s="15">
        <v>2486.6799999999998</v>
      </c>
      <c r="L371" s="15">
        <v>1947.31</v>
      </c>
      <c r="M371" s="15">
        <v>2097.2199999999998</v>
      </c>
      <c r="N371" s="15">
        <v>2074.83</v>
      </c>
      <c r="O371" t="s">
        <v>75</v>
      </c>
    </row>
    <row r="372" spans="1:15" x14ac:dyDescent="0.25">
      <c r="A372" s="10" t="s">
        <v>850</v>
      </c>
      <c r="B372" s="15">
        <v>1891.45</v>
      </c>
      <c r="C372" s="15">
        <v>2025.14</v>
      </c>
      <c r="D372" s="15">
        <v>2042.5</v>
      </c>
      <c r="E372" s="15">
        <v>2042.5</v>
      </c>
      <c r="F372" s="15">
        <v>2010.5</v>
      </c>
      <c r="G372" s="15">
        <v>4638.17</v>
      </c>
      <c r="H372" s="15">
        <v>2042.5</v>
      </c>
      <c r="I372" s="15">
        <v>646.79999999999995</v>
      </c>
      <c r="J372" s="15">
        <v>1875.86</v>
      </c>
      <c r="K372" s="15">
        <v>2030.93</v>
      </c>
      <c r="L372" s="15">
        <v>1993.48</v>
      </c>
      <c r="M372" s="15">
        <v>1989.57</v>
      </c>
      <c r="N372" s="15">
        <v>2042.5</v>
      </c>
      <c r="O372" t="s">
        <v>75</v>
      </c>
    </row>
    <row r="373" spans="1:15" x14ac:dyDescent="0.25">
      <c r="A373" s="10" t="s">
        <v>852</v>
      </c>
      <c r="B373" s="15">
        <v>2184.17</v>
      </c>
      <c r="C373" s="15">
        <v>2123.88</v>
      </c>
      <c r="D373" s="15">
        <v>2237.62</v>
      </c>
      <c r="E373" s="15">
        <v>2263.1999999999998</v>
      </c>
      <c r="F373" s="15">
        <v>2261.73</v>
      </c>
      <c r="G373" s="15">
        <v>2253.69</v>
      </c>
      <c r="H373" s="15">
        <v>2059.6</v>
      </c>
      <c r="I373" s="15">
        <v>5558.14</v>
      </c>
      <c r="J373" s="15">
        <v>2348.2600000000002</v>
      </c>
      <c r="K373" s="15">
        <v>1102.96</v>
      </c>
      <c r="L373" s="15">
        <v>2275.94</v>
      </c>
      <c r="M373" s="15">
        <v>2465.1999999999998</v>
      </c>
      <c r="N373" s="15">
        <v>2442.39</v>
      </c>
      <c r="O373" t="s">
        <v>75</v>
      </c>
    </row>
    <row r="374" spans="1:15" x14ac:dyDescent="0.25">
      <c r="A374" s="10" t="s">
        <v>854</v>
      </c>
      <c r="B374" s="15">
        <v>4236.58</v>
      </c>
      <c r="C374" s="15">
        <v>2310.58</v>
      </c>
      <c r="D374" s="15">
        <v>1259.55</v>
      </c>
      <c r="E374" s="15">
        <v>1974.42</v>
      </c>
      <c r="F374" s="15">
        <v>2155.86</v>
      </c>
      <c r="G374" s="15">
        <v>2042.5</v>
      </c>
      <c r="H374" s="15">
        <v>2042.5</v>
      </c>
      <c r="I374" s="15">
        <v>2042.5</v>
      </c>
      <c r="J374" s="15">
        <v>2042.5</v>
      </c>
      <c r="K374" s="15">
        <v>2042.5</v>
      </c>
      <c r="L374" s="15">
        <v>2042.5</v>
      </c>
      <c r="M374" s="15">
        <v>2042.5</v>
      </c>
      <c r="N374" s="15">
        <v>2074.29</v>
      </c>
      <c r="O374" t="s">
        <v>75</v>
      </c>
    </row>
    <row r="375" spans="1:15" x14ac:dyDescent="0.25">
      <c r="A375" s="10" t="s">
        <v>856</v>
      </c>
      <c r="B375" s="15">
        <v>0</v>
      </c>
      <c r="C375" s="15">
        <v>0</v>
      </c>
      <c r="D375" s="15">
        <v>0</v>
      </c>
      <c r="E375" s="15">
        <v>0</v>
      </c>
      <c r="F375" s="15">
        <v>0</v>
      </c>
      <c r="G375" s="15">
        <v>0</v>
      </c>
      <c r="H375" s="15">
        <v>0</v>
      </c>
      <c r="I375" s="15">
        <v>0</v>
      </c>
      <c r="J375" s="15">
        <v>0</v>
      </c>
      <c r="K375" s="15">
        <v>0</v>
      </c>
      <c r="L375" s="15">
        <v>538.15</v>
      </c>
      <c r="M375" s="15">
        <v>743.16</v>
      </c>
      <c r="N375" s="15">
        <v>192.2</v>
      </c>
      <c r="O375" t="s">
        <v>75</v>
      </c>
    </row>
    <row r="376" spans="1:15" x14ac:dyDescent="0.25">
      <c r="A376" s="10" t="s">
        <v>858</v>
      </c>
      <c r="B376" s="15">
        <v>1985.25</v>
      </c>
      <c r="C376" s="15">
        <v>0</v>
      </c>
      <c r="D376" s="15">
        <v>0</v>
      </c>
      <c r="E376" s="15">
        <v>0</v>
      </c>
      <c r="F376" s="15">
        <v>0</v>
      </c>
      <c r="G376" s="15">
        <v>0</v>
      </c>
      <c r="H376" s="15">
        <v>0</v>
      </c>
      <c r="I376" s="15">
        <v>0</v>
      </c>
      <c r="J376" s="15">
        <v>0</v>
      </c>
      <c r="K376" s="15">
        <v>0</v>
      </c>
      <c r="L376" s="15">
        <v>0</v>
      </c>
      <c r="M376" s="15">
        <v>0</v>
      </c>
      <c r="N376" s="15">
        <v>180.5</v>
      </c>
      <c r="O376" t="s">
        <v>75</v>
      </c>
    </row>
    <row r="377" spans="1:15" x14ac:dyDescent="0.25">
      <c r="A377" s="10" t="s">
        <v>860</v>
      </c>
      <c r="B377" s="15">
        <v>1591.39</v>
      </c>
      <c r="C377" s="15">
        <v>2406.84</v>
      </c>
      <c r="D377" s="15">
        <v>1703.5</v>
      </c>
      <c r="E377" s="15">
        <v>1703.5</v>
      </c>
      <c r="F377" s="15">
        <v>1703.5</v>
      </c>
      <c r="G377" s="15">
        <v>1703.5</v>
      </c>
      <c r="H377" s="15">
        <v>1703.5</v>
      </c>
      <c r="I377" s="15">
        <v>1703.5</v>
      </c>
      <c r="J377" s="15">
        <v>1684.34</v>
      </c>
      <c r="K377" s="15">
        <v>3289.66</v>
      </c>
      <c r="L377" s="15">
        <v>1703.5</v>
      </c>
      <c r="M377" s="15">
        <v>993.71</v>
      </c>
      <c r="N377" s="15">
        <v>1762.11</v>
      </c>
      <c r="O377" t="s">
        <v>75</v>
      </c>
    </row>
    <row r="378" spans="1:15" x14ac:dyDescent="0.25">
      <c r="A378" s="10" t="s">
        <v>862</v>
      </c>
      <c r="B378" s="15">
        <v>0</v>
      </c>
      <c r="C378" s="15">
        <v>0</v>
      </c>
      <c r="D378" s="15">
        <v>0</v>
      </c>
      <c r="E378" s="15">
        <v>0</v>
      </c>
      <c r="F378" s="15">
        <v>1277.6300000000001</v>
      </c>
      <c r="G378" s="15">
        <v>1533.15</v>
      </c>
      <c r="H378" s="15">
        <v>1635.36</v>
      </c>
      <c r="I378" s="15">
        <v>1533.15</v>
      </c>
      <c r="J378" s="15">
        <v>1533.15</v>
      </c>
      <c r="K378" s="15">
        <v>1941.99</v>
      </c>
      <c r="L378" s="15">
        <v>1541.19</v>
      </c>
      <c r="M378" s="15">
        <v>1635.36</v>
      </c>
      <c r="N378" s="15">
        <v>1208.1199999999999</v>
      </c>
      <c r="O378" t="s">
        <v>75</v>
      </c>
    </row>
    <row r="379" spans="1:15" x14ac:dyDescent="0.25">
      <c r="A379" s="10" t="s">
        <v>864</v>
      </c>
      <c r="B379" s="15">
        <v>0</v>
      </c>
      <c r="C379" s="15">
        <v>0</v>
      </c>
      <c r="D379" s="15">
        <v>0</v>
      </c>
      <c r="E379" s="15">
        <v>414.35</v>
      </c>
      <c r="F379" s="15">
        <v>828.69</v>
      </c>
      <c r="G379" s="15">
        <v>0</v>
      </c>
      <c r="H379" s="15">
        <v>0</v>
      </c>
      <c r="I379" s="15">
        <v>0</v>
      </c>
      <c r="J379" s="15">
        <v>0</v>
      </c>
      <c r="K379" s="15">
        <v>0</v>
      </c>
      <c r="L379" s="15">
        <v>0</v>
      </c>
      <c r="M379" s="15">
        <v>0</v>
      </c>
      <c r="N379" s="15">
        <v>121.87</v>
      </c>
      <c r="O379" t="s">
        <v>75</v>
      </c>
    </row>
    <row r="380" spans="1:15" x14ac:dyDescent="0.25">
      <c r="A380" s="10" t="s">
        <v>866</v>
      </c>
      <c r="B380" s="15">
        <v>1591.39</v>
      </c>
      <c r="C380" s="15">
        <v>2719.57</v>
      </c>
      <c r="D380" s="15">
        <v>1703.5</v>
      </c>
      <c r="E380" s="15">
        <v>1703.5</v>
      </c>
      <c r="F380" s="15">
        <v>1703.5</v>
      </c>
      <c r="G380" s="15">
        <v>1703.5</v>
      </c>
      <c r="H380" s="15">
        <v>1703.5</v>
      </c>
      <c r="I380" s="15">
        <v>3306.65</v>
      </c>
      <c r="J380" s="15">
        <v>1703.5</v>
      </c>
      <c r="K380" s="15">
        <v>1050.5</v>
      </c>
      <c r="L380" s="15">
        <v>1646.72</v>
      </c>
      <c r="M380" s="15">
        <v>1703.5</v>
      </c>
      <c r="N380" s="15">
        <v>1788.17</v>
      </c>
      <c r="O380" t="s">
        <v>75</v>
      </c>
    </row>
    <row r="381" spans="1:15" x14ac:dyDescent="0.25">
      <c r="A381" s="10" t="s">
        <v>868</v>
      </c>
      <c r="B381" s="15">
        <v>571.25</v>
      </c>
      <c r="C381" s="15">
        <v>731.2</v>
      </c>
      <c r="D381" s="15">
        <v>731.2</v>
      </c>
      <c r="E381" s="15">
        <v>731.2</v>
      </c>
      <c r="F381" s="15">
        <v>731.2</v>
      </c>
      <c r="G381" s="15">
        <v>919.15</v>
      </c>
      <c r="H381" s="15">
        <v>768.79</v>
      </c>
      <c r="I381" s="15">
        <v>768.79</v>
      </c>
      <c r="J381" s="15">
        <v>768.79</v>
      </c>
      <c r="K381" s="15">
        <v>768.79</v>
      </c>
      <c r="L381" s="15">
        <v>896.92</v>
      </c>
      <c r="M381" s="15">
        <v>0</v>
      </c>
      <c r="N381" s="15">
        <v>640.66</v>
      </c>
      <c r="O381" t="s">
        <v>75</v>
      </c>
    </row>
    <row r="382" spans="1:15" x14ac:dyDescent="0.25">
      <c r="A382" s="10" t="s">
        <v>870</v>
      </c>
      <c r="B382" s="15">
        <v>3498.61</v>
      </c>
      <c r="C382" s="15">
        <v>2665.27</v>
      </c>
      <c r="D382" s="15">
        <v>1050.5</v>
      </c>
      <c r="E382" s="15">
        <v>1646.72</v>
      </c>
      <c r="F382" s="15">
        <v>1703.5</v>
      </c>
      <c r="G382" s="15">
        <v>1703.5</v>
      </c>
      <c r="H382" s="15">
        <v>1703.5</v>
      </c>
      <c r="I382" s="15">
        <v>1703.5</v>
      </c>
      <c r="J382" s="15">
        <v>1703.5</v>
      </c>
      <c r="K382" s="15">
        <v>1703.5</v>
      </c>
      <c r="L382" s="15">
        <v>1703.5</v>
      </c>
      <c r="M382" s="15">
        <v>1703.5</v>
      </c>
      <c r="N382" s="15">
        <v>1783.65</v>
      </c>
      <c r="O382" t="s">
        <v>75</v>
      </c>
    </row>
    <row r="383" spans="1:15" x14ac:dyDescent="0.25">
      <c r="A383" s="10" t="s">
        <v>872</v>
      </c>
      <c r="B383" s="15">
        <v>1306.26</v>
      </c>
      <c r="C383" s="15">
        <v>1708.61</v>
      </c>
      <c r="D383" s="15">
        <v>1703.5</v>
      </c>
      <c r="E383" s="15">
        <v>1703.5</v>
      </c>
      <c r="F383" s="15">
        <v>1703.5</v>
      </c>
      <c r="G383" s="15">
        <v>1703.5</v>
      </c>
      <c r="H383" s="15">
        <v>1703.5</v>
      </c>
      <c r="I383" s="15">
        <v>1703.5</v>
      </c>
      <c r="J383" s="15">
        <v>1703.5</v>
      </c>
      <c r="K383" s="15">
        <v>1703.5</v>
      </c>
      <c r="L383" s="15">
        <v>1703.5</v>
      </c>
      <c r="M383" s="15">
        <v>1703.5</v>
      </c>
      <c r="N383" s="15">
        <v>1703.93</v>
      </c>
      <c r="O383" t="s">
        <v>75</v>
      </c>
    </row>
    <row r="384" spans="1:15" x14ac:dyDescent="0.25">
      <c r="A384" s="10" t="s">
        <v>874</v>
      </c>
      <c r="B384" s="15">
        <v>0</v>
      </c>
      <c r="C384" s="15">
        <v>0</v>
      </c>
      <c r="D384" s="15">
        <v>0</v>
      </c>
      <c r="E384" s="15">
        <v>0</v>
      </c>
      <c r="F384" s="15">
        <v>0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705.77</v>
      </c>
      <c r="M384" s="15">
        <v>0</v>
      </c>
      <c r="N384" s="15">
        <v>0</v>
      </c>
      <c r="O384" t="s">
        <v>75</v>
      </c>
    </row>
    <row r="385" spans="1:15" x14ac:dyDescent="0.25">
      <c r="A385" s="10" t="s">
        <v>876</v>
      </c>
      <c r="B385" s="15">
        <v>571.25</v>
      </c>
      <c r="C385" s="15">
        <v>731.2</v>
      </c>
      <c r="D385" s="15">
        <v>731.2</v>
      </c>
      <c r="E385" s="15">
        <v>682.45</v>
      </c>
      <c r="F385" s="15">
        <v>682.45</v>
      </c>
      <c r="G385" s="15">
        <v>919.15</v>
      </c>
      <c r="H385" s="15">
        <v>768.79</v>
      </c>
      <c r="I385" s="15">
        <v>768.79</v>
      </c>
      <c r="J385" s="15">
        <v>717.54</v>
      </c>
      <c r="K385" s="15">
        <v>717.54</v>
      </c>
      <c r="L385" s="15">
        <v>871.3</v>
      </c>
      <c r="M385" s="15">
        <v>0</v>
      </c>
      <c r="N385" s="15">
        <v>768.42</v>
      </c>
      <c r="O385" t="s">
        <v>75</v>
      </c>
    </row>
    <row r="386" spans="1:15" x14ac:dyDescent="0.25">
      <c r="A386" s="10" t="s">
        <v>878</v>
      </c>
      <c r="B386" s="15">
        <v>1251.8800000000001</v>
      </c>
      <c r="C386" s="15">
        <v>1019.79</v>
      </c>
      <c r="D386" s="15">
        <v>1082.96</v>
      </c>
      <c r="E386" s="15">
        <v>1082.96</v>
      </c>
      <c r="F386" s="15">
        <v>1230.42</v>
      </c>
      <c r="G386" s="15">
        <v>1082.96</v>
      </c>
      <c r="H386" s="15">
        <v>1042.8</v>
      </c>
      <c r="I386" s="15">
        <v>2045.59</v>
      </c>
      <c r="J386" s="15">
        <v>1082.96</v>
      </c>
      <c r="K386" s="15">
        <v>667.83</v>
      </c>
      <c r="L386" s="15">
        <v>1046.8599999999999</v>
      </c>
      <c r="M386" s="15">
        <v>1082.96</v>
      </c>
      <c r="N386" s="15">
        <v>1095.25</v>
      </c>
      <c r="O386" t="s">
        <v>75</v>
      </c>
    </row>
    <row r="387" spans="1:15" x14ac:dyDescent="0.25">
      <c r="A387" s="10" t="s">
        <v>880</v>
      </c>
      <c r="B387" s="15">
        <v>2744.97</v>
      </c>
      <c r="C387" s="15">
        <v>2977.39</v>
      </c>
      <c r="D387" s="15">
        <v>2978.13</v>
      </c>
      <c r="E387" s="15">
        <v>2978.13</v>
      </c>
      <c r="F387" s="15">
        <v>5625.36</v>
      </c>
      <c r="G387" s="15">
        <v>2978.13</v>
      </c>
      <c r="H387" s="15">
        <v>1935.78</v>
      </c>
      <c r="I387" s="15">
        <v>2779.59</v>
      </c>
      <c r="J387" s="15">
        <v>2978.13</v>
      </c>
      <c r="K387" s="15">
        <v>2978.13</v>
      </c>
      <c r="L387" s="15">
        <v>2978.13</v>
      </c>
      <c r="M387" s="15">
        <v>2978.13</v>
      </c>
      <c r="N387" s="15">
        <v>2978.13</v>
      </c>
      <c r="O387" t="s">
        <v>75</v>
      </c>
    </row>
    <row r="388" spans="1:15" x14ac:dyDescent="0.25">
      <c r="A388" s="10" t="s">
        <v>882</v>
      </c>
      <c r="B388" s="15">
        <v>855.43</v>
      </c>
      <c r="C388" s="15">
        <v>974.66</v>
      </c>
      <c r="D388" s="15">
        <v>1082.96</v>
      </c>
      <c r="E388" s="15">
        <v>1082.96</v>
      </c>
      <c r="F388" s="15">
        <v>1085.3900000000001</v>
      </c>
      <c r="G388" s="15">
        <v>1082.96</v>
      </c>
      <c r="H388" s="15">
        <v>1082.96</v>
      </c>
      <c r="I388" s="15">
        <v>1057.51</v>
      </c>
      <c r="J388" s="15">
        <v>1082.96</v>
      </c>
      <c r="K388" s="15">
        <v>1082.96</v>
      </c>
      <c r="L388" s="15">
        <v>1082.96</v>
      </c>
      <c r="M388" s="15">
        <v>1082.96</v>
      </c>
      <c r="N388" s="15">
        <v>1082.96</v>
      </c>
      <c r="O388" t="s">
        <v>75</v>
      </c>
    </row>
    <row r="389" spans="1:15" x14ac:dyDescent="0.25">
      <c r="A389" s="10" t="s">
        <v>884</v>
      </c>
      <c r="B389" s="15">
        <v>0</v>
      </c>
      <c r="C389" s="15">
        <v>0</v>
      </c>
      <c r="D389" s="15">
        <v>0</v>
      </c>
      <c r="E389" s="15">
        <v>0</v>
      </c>
      <c r="F389" s="15">
        <v>0</v>
      </c>
      <c r="G389" s="15">
        <v>0</v>
      </c>
      <c r="H389" s="15">
        <v>0</v>
      </c>
      <c r="I389" s="15">
        <v>691.91</v>
      </c>
      <c r="J389" s="15">
        <v>768.79</v>
      </c>
      <c r="K389" s="15">
        <v>768.79</v>
      </c>
      <c r="L389" s="15">
        <v>768.79</v>
      </c>
      <c r="M389" s="15">
        <v>768.79</v>
      </c>
      <c r="N389" s="15">
        <v>384.4</v>
      </c>
      <c r="O389" t="s">
        <v>75</v>
      </c>
    </row>
    <row r="390" spans="1:15" x14ac:dyDescent="0.25">
      <c r="A390" s="10" t="s">
        <v>886</v>
      </c>
      <c r="B390" s="15">
        <v>1538.34</v>
      </c>
      <c r="C390" s="15">
        <v>1560.45</v>
      </c>
      <c r="D390" s="15">
        <v>1548.64</v>
      </c>
      <c r="E390" s="15">
        <v>2237.36</v>
      </c>
      <c r="F390" s="15">
        <v>1626.07</v>
      </c>
      <c r="G390" s="15">
        <v>1342.15</v>
      </c>
      <c r="H390" s="15">
        <v>1548.64</v>
      </c>
      <c r="I390" s="15">
        <v>1548.64</v>
      </c>
      <c r="J390" s="15">
        <v>1548.64</v>
      </c>
      <c r="K390" s="15">
        <v>1548.64</v>
      </c>
      <c r="L390" s="15">
        <v>1548.64</v>
      </c>
      <c r="M390" s="15">
        <v>2926.08</v>
      </c>
      <c r="N390" s="15">
        <v>1549.62</v>
      </c>
      <c r="O390" t="s">
        <v>75</v>
      </c>
    </row>
    <row r="391" spans="1:15" x14ac:dyDescent="0.25">
      <c r="A391" s="10" t="s">
        <v>888</v>
      </c>
      <c r="B391" s="15">
        <v>0</v>
      </c>
      <c r="C391" s="15">
        <v>0</v>
      </c>
      <c r="D391" s="15">
        <v>505.38</v>
      </c>
      <c r="E391" s="15">
        <v>1082.96</v>
      </c>
      <c r="F391" s="15">
        <v>1082.96</v>
      </c>
      <c r="G391" s="15">
        <v>1082.96</v>
      </c>
      <c r="H391" s="15">
        <v>1082.96</v>
      </c>
      <c r="I391" s="15">
        <v>1082.96</v>
      </c>
      <c r="J391" s="15">
        <v>1082.96</v>
      </c>
      <c r="K391" s="15">
        <v>1082.96</v>
      </c>
      <c r="L391" s="15">
        <v>1082.96</v>
      </c>
      <c r="M391" s="15">
        <v>1130.7</v>
      </c>
      <c r="N391" s="15">
        <v>902.47</v>
      </c>
      <c r="O391" t="s">
        <v>75</v>
      </c>
    </row>
    <row r="392" spans="1:15" x14ac:dyDescent="0.25">
      <c r="A392" s="10" t="s">
        <v>890</v>
      </c>
      <c r="B392" s="15">
        <v>1453.17</v>
      </c>
      <c r="C392" s="15">
        <v>1207.96</v>
      </c>
      <c r="D392" s="15">
        <v>902.47</v>
      </c>
      <c r="E392" s="15">
        <v>1082.96</v>
      </c>
      <c r="F392" s="15">
        <v>1082.96</v>
      </c>
      <c r="G392" s="15">
        <v>1082.96</v>
      </c>
      <c r="H392" s="15">
        <v>1564.51</v>
      </c>
      <c r="I392" s="15">
        <v>827.47</v>
      </c>
      <c r="J392" s="15">
        <v>974.66</v>
      </c>
      <c r="K392" s="15">
        <v>1067.8900000000001</v>
      </c>
      <c r="L392" s="15">
        <v>1082.96</v>
      </c>
      <c r="M392" s="15">
        <v>1082.96</v>
      </c>
      <c r="N392" s="15">
        <v>1083.47</v>
      </c>
      <c r="O392" t="s">
        <v>75</v>
      </c>
    </row>
    <row r="393" spans="1:15" x14ac:dyDescent="0.25">
      <c r="A393" s="10" t="s">
        <v>892</v>
      </c>
      <c r="B393" s="15">
        <v>0</v>
      </c>
      <c r="C393" s="15">
        <v>0</v>
      </c>
      <c r="D393" s="15">
        <v>0</v>
      </c>
      <c r="E393" s="15">
        <v>0</v>
      </c>
      <c r="F393" s="15">
        <v>0</v>
      </c>
      <c r="G393" s="15">
        <v>384.4</v>
      </c>
      <c r="H393" s="15">
        <v>768.79</v>
      </c>
      <c r="I393" s="15">
        <v>768.79</v>
      </c>
      <c r="J393" s="15">
        <v>717.54</v>
      </c>
      <c r="K393" s="15">
        <v>768.79</v>
      </c>
      <c r="L393" s="15">
        <v>743.16</v>
      </c>
      <c r="M393" s="15">
        <v>768.79</v>
      </c>
      <c r="N393" s="15">
        <v>512.53</v>
      </c>
      <c r="O393" t="s">
        <v>75</v>
      </c>
    </row>
    <row r="394" spans="1:15" x14ac:dyDescent="0.25">
      <c r="A394" s="10" t="s">
        <v>894</v>
      </c>
      <c r="B394" s="15">
        <v>0</v>
      </c>
      <c r="C394" s="15">
        <v>974.66</v>
      </c>
      <c r="D394" s="15">
        <v>0</v>
      </c>
      <c r="E394" s="15">
        <v>0</v>
      </c>
      <c r="F394" s="15">
        <v>0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15">
        <v>0</v>
      </c>
      <c r="N394" s="15">
        <v>90.25</v>
      </c>
      <c r="O394" t="s">
        <v>75</v>
      </c>
    </row>
    <row r="395" spans="1:15" x14ac:dyDescent="0.25">
      <c r="A395" s="10" t="s">
        <v>896</v>
      </c>
      <c r="B395" s="15">
        <v>1251.8900000000001</v>
      </c>
      <c r="C395" s="15">
        <v>1090.68</v>
      </c>
      <c r="D395" s="15">
        <v>3522.09</v>
      </c>
      <c r="E395" s="15">
        <v>1688.02</v>
      </c>
      <c r="F395" s="15">
        <v>1688.02</v>
      </c>
      <c r="G395" s="15">
        <v>1688.02</v>
      </c>
      <c r="H395" s="15">
        <v>1688.02</v>
      </c>
      <c r="I395" s="15">
        <v>3189.38</v>
      </c>
      <c r="J395" s="15">
        <v>1688.02</v>
      </c>
      <c r="K395" s="15">
        <v>1040.95</v>
      </c>
      <c r="L395" s="15">
        <v>1631.75</v>
      </c>
      <c r="M395" s="15">
        <v>1688.02</v>
      </c>
      <c r="N395" s="15">
        <v>1690.38</v>
      </c>
      <c r="O395" t="s">
        <v>75</v>
      </c>
    </row>
    <row r="396" spans="1:15" x14ac:dyDescent="0.25">
      <c r="A396" s="10" t="s">
        <v>898</v>
      </c>
      <c r="B396" s="15">
        <v>0</v>
      </c>
      <c r="C396" s="15">
        <v>0</v>
      </c>
      <c r="D396" s="15">
        <v>0</v>
      </c>
      <c r="E396" s="15">
        <v>0</v>
      </c>
      <c r="F396" s="15">
        <v>0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64.069999999999993</v>
      </c>
      <c r="O396" t="s">
        <v>75</v>
      </c>
    </row>
    <row r="397" spans="1:15" x14ac:dyDescent="0.25">
      <c r="A397" s="10" t="s">
        <v>900</v>
      </c>
      <c r="B397" s="15">
        <v>855.43</v>
      </c>
      <c r="C397" s="15">
        <v>0</v>
      </c>
      <c r="D397" s="15">
        <v>0</v>
      </c>
      <c r="E397" s="15">
        <v>0</v>
      </c>
      <c r="F397" s="15">
        <v>2.4300000000000002</v>
      </c>
      <c r="G397" s="15">
        <v>0</v>
      </c>
      <c r="H397" s="15">
        <v>0</v>
      </c>
      <c r="I397" s="15">
        <v>0</v>
      </c>
      <c r="J397" s="15">
        <v>0</v>
      </c>
      <c r="K397" s="15">
        <v>0</v>
      </c>
      <c r="L397" s="15">
        <v>0</v>
      </c>
      <c r="M397" s="15">
        <v>0</v>
      </c>
      <c r="N397" s="15">
        <v>0</v>
      </c>
      <c r="O397" t="s">
        <v>75</v>
      </c>
    </row>
    <row r="398" spans="1:15" x14ac:dyDescent="0.25">
      <c r="A398" s="10" t="s">
        <v>902</v>
      </c>
      <c r="B398" s="15">
        <v>878.63</v>
      </c>
      <c r="C398" s="15">
        <v>536.07000000000005</v>
      </c>
      <c r="D398" s="15">
        <v>893.45</v>
      </c>
      <c r="E398" s="15">
        <v>893.45</v>
      </c>
      <c r="F398" s="15">
        <v>895.88</v>
      </c>
      <c r="G398" s="15">
        <v>893.45</v>
      </c>
      <c r="H398" s="15">
        <v>893.45</v>
      </c>
      <c r="I398" s="15">
        <v>893.45</v>
      </c>
      <c r="J398" s="15">
        <v>893.45</v>
      </c>
      <c r="K398" s="15">
        <v>893.45</v>
      </c>
      <c r="L398" s="15">
        <v>893.45</v>
      </c>
      <c r="M398" s="15">
        <v>893.45</v>
      </c>
      <c r="N398" s="15">
        <v>893.45</v>
      </c>
      <c r="O398" t="s">
        <v>75</v>
      </c>
    </row>
    <row r="399" spans="1:15" x14ac:dyDescent="0.25">
      <c r="A399" s="10" t="s">
        <v>904</v>
      </c>
      <c r="B399" s="15">
        <v>2237.9</v>
      </c>
      <c r="C399" s="15">
        <v>2577.08</v>
      </c>
      <c r="D399" s="15">
        <v>2211.14</v>
      </c>
      <c r="E399" s="15">
        <v>2211.14</v>
      </c>
      <c r="F399" s="15">
        <v>2211.14</v>
      </c>
      <c r="G399" s="15">
        <v>4203.7</v>
      </c>
      <c r="H399" s="15">
        <v>2211.14</v>
      </c>
      <c r="I399" s="15">
        <v>1289.8399999999999</v>
      </c>
      <c r="J399" s="15">
        <v>2211.14</v>
      </c>
      <c r="K399" s="15">
        <v>2211.14</v>
      </c>
      <c r="L399" s="15">
        <v>2211.14</v>
      </c>
      <c r="M399" s="15">
        <v>2211.14</v>
      </c>
      <c r="N399" s="15">
        <v>2241.64</v>
      </c>
      <c r="O399" t="s">
        <v>75</v>
      </c>
    </row>
    <row r="400" spans="1:15" x14ac:dyDescent="0.25">
      <c r="A400" s="10" t="s">
        <v>906</v>
      </c>
      <c r="B400" s="15">
        <v>0</v>
      </c>
      <c r="C400" s="15">
        <v>0</v>
      </c>
      <c r="D400" s="15">
        <v>721.97</v>
      </c>
      <c r="E400" s="15">
        <v>1082.96</v>
      </c>
      <c r="F400" s="15">
        <v>1082.96</v>
      </c>
      <c r="G400" s="15">
        <v>1082.96</v>
      </c>
      <c r="H400" s="15">
        <v>1082.96</v>
      </c>
      <c r="I400" s="15">
        <v>1082.96</v>
      </c>
      <c r="J400" s="15">
        <v>1082.96</v>
      </c>
      <c r="K400" s="15">
        <v>1082.96</v>
      </c>
      <c r="L400" s="15">
        <v>1082.96</v>
      </c>
      <c r="M400" s="15">
        <v>1127.22</v>
      </c>
      <c r="N400" s="15">
        <v>996.77</v>
      </c>
      <c r="O400" t="s">
        <v>75</v>
      </c>
    </row>
    <row r="401" spans="1:15" x14ac:dyDescent="0.25">
      <c r="A401" s="10" t="s">
        <v>908</v>
      </c>
      <c r="B401" s="15">
        <v>571.25</v>
      </c>
      <c r="C401" s="15">
        <v>731.2</v>
      </c>
      <c r="D401" s="15">
        <v>731.2</v>
      </c>
      <c r="E401" s="15">
        <v>731.2</v>
      </c>
      <c r="F401" s="15">
        <v>731.2</v>
      </c>
      <c r="G401" s="15">
        <v>919.15</v>
      </c>
      <c r="H401" s="15">
        <v>768.79</v>
      </c>
      <c r="I401" s="15">
        <v>768.79</v>
      </c>
      <c r="J401" s="15">
        <v>768.79</v>
      </c>
      <c r="K401" s="15">
        <v>717.54</v>
      </c>
      <c r="L401" s="15">
        <v>922.55</v>
      </c>
      <c r="M401" s="15">
        <v>0</v>
      </c>
      <c r="N401" s="15">
        <v>768.42</v>
      </c>
      <c r="O401" t="s">
        <v>75</v>
      </c>
    </row>
    <row r="402" spans="1:15" x14ac:dyDescent="0.25">
      <c r="A402" s="10" t="s">
        <v>910</v>
      </c>
      <c r="B402" s="15">
        <v>1060.92</v>
      </c>
      <c r="C402" s="15">
        <v>1138.06</v>
      </c>
      <c r="D402" s="15">
        <v>1082.96</v>
      </c>
      <c r="E402" s="15">
        <v>1082.96</v>
      </c>
      <c r="F402" s="15">
        <v>1082.96</v>
      </c>
      <c r="G402" s="15">
        <v>1082.96</v>
      </c>
      <c r="H402" s="15">
        <v>1082.96</v>
      </c>
      <c r="I402" s="15">
        <v>1082.96</v>
      </c>
      <c r="J402" s="15">
        <v>1082.96</v>
      </c>
      <c r="K402" s="15">
        <v>1082.96</v>
      </c>
      <c r="L402" s="15">
        <v>1082.96</v>
      </c>
      <c r="M402" s="15">
        <v>2088.79</v>
      </c>
      <c r="N402" s="15">
        <v>1090.81</v>
      </c>
      <c r="O402" t="s">
        <v>75</v>
      </c>
    </row>
    <row r="403" spans="1:15" x14ac:dyDescent="0.25">
      <c r="A403" s="10" t="s">
        <v>912</v>
      </c>
      <c r="B403" s="15">
        <v>1813.11</v>
      </c>
      <c r="C403" s="15">
        <v>3677.05</v>
      </c>
      <c r="D403" s="15">
        <v>3403.1</v>
      </c>
      <c r="E403" s="15">
        <v>3403.1</v>
      </c>
      <c r="F403" s="15">
        <v>3403.1</v>
      </c>
      <c r="G403" s="15">
        <v>3403.1</v>
      </c>
      <c r="H403" s="15">
        <v>3403.1</v>
      </c>
      <c r="I403" s="15">
        <v>4925.74</v>
      </c>
      <c r="J403" s="15">
        <v>3119.51</v>
      </c>
      <c r="K403" s="15">
        <v>3403.1</v>
      </c>
      <c r="L403" s="15">
        <v>3403.1</v>
      </c>
      <c r="M403" s="15">
        <v>4925.74</v>
      </c>
      <c r="N403" s="15">
        <v>3425.93</v>
      </c>
      <c r="O403" t="s">
        <v>75</v>
      </c>
    </row>
    <row r="404" spans="1:15" x14ac:dyDescent="0.25">
      <c r="A404" s="10" t="s">
        <v>914</v>
      </c>
      <c r="B404" s="15">
        <v>1060.92</v>
      </c>
      <c r="C404" s="15">
        <v>1116.53</v>
      </c>
      <c r="D404" s="15">
        <v>1082.96</v>
      </c>
      <c r="E404" s="15">
        <v>1082.96</v>
      </c>
      <c r="F404" s="15">
        <v>1073.48</v>
      </c>
      <c r="G404" s="15">
        <v>1082.96</v>
      </c>
      <c r="H404" s="15">
        <v>1082.96</v>
      </c>
      <c r="I404" s="15">
        <v>1082.96</v>
      </c>
      <c r="J404" s="15">
        <v>1082.96</v>
      </c>
      <c r="K404" s="15">
        <v>1074.6600000000001</v>
      </c>
      <c r="L404" s="15">
        <v>1065.18</v>
      </c>
      <c r="M404" s="15">
        <v>1082.96</v>
      </c>
      <c r="N404" s="15">
        <v>1085.76</v>
      </c>
      <c r="O404" t="s">
        <v>75</v>
      </c>
    </row>
    <row r="405" spans="1:15" x14ac:dyDescent="0.25">
      <c r="A405" s="10" t="s">
        <v>916</v>
      </c>
      <c r="B405" s="15">
        <v>530.47</v>
      </c>
      <c r="C405" s="15">
        <v>2330.54</v>
      </c>
      <c r="D405" s="15">
        <v>2211.14</v>
      </c>
      <c r="E405" s="15">
        <v>2211.14</v>
      </c>
      <c r="F405" s="15">
        <v>2211.14</v>
      </c>
      <c r="G405" s="15">
        <v>2211.14</v>
      </c>
      <c r="H405" s="15">
        <v>2211.14</v>
      </c>
      <c r="I405" s="15">
        <v>2211.14</v>
      </c>
      <c r="J405" s="15">
        <v>2211.14</v>
      </c>
      <c r="K405" s="15">
        <v>2211.14</v>
      </c>
      <c r="L405" s="15">
        <v>5172.59</v>
      </c>
      <c r="M405" s="15">
        <v>2211.14</v>
      </c>
      <c r="N405" s="15">
        <v>2221.09</v>
      </c>
      <c r="O405" t="s">
        <v>75</v>
      </c>
    </row>
    <row r="406" spans="1:15" x14ac:dyDescent="0.25">
      <c r="A406" s="10" t="s">
        <v>918</v>
      </c>
      <c r="B406" s="15">
        <v>0</v>
      </c>
      <c r="C406" s="15">
        <v>0</v>
      </c>
      <c r="D406" s="15">
        <v>0</v>
      </c>
      <c r="E406" s="15">
        <v>0</v>
      </c>
      <c r="F406" s="15">
        <v>0</v>
      </c>
      <c r="G406" s="15">
        <v>384.4</v>
      </c>
      <c r="H406" s="15">
        <v>768.79</v>
      </c>
      <c r="I406" s="15">
        <v>768.79</v>
      </c>
      <c r="J406" s="15">
        <v>767.25</v>
      </c>
      <c r="K406" s="15">
        <v>717.54</v>
      </c>
      <c r="L406" s="15">
        <v>768.79</v>
      </c>
      <c r="M406" s="15">
        <v>768.79</v>
      </c>
      <c r="N406" s="15">
        <v>512.53</v>
      </c>
      <c r="O406" t="s">
        <v>75</v>
      </c>
    </row>
    <row r="407" spans="1:15" x14ac:dyDescent="0.25">
      <c r="A407" s="10" t="s">
        <v>920</v>
      </c>
      <c r="B407" s="15">
        <v>0</v>
      </c>
      <c r="C407" s="15">
        <v>0</v>
      </c>
      <c r="D407" s="15">
        <v>0</v>
      </c>
      <c r="E407" s="15">
        <v>0</v>
      </c>
      <c r="F407" s="15">
        <v>0</v>
      </c>
      <c r="G407" s="15">
        <v>0</v>
      </c>
      <c r="H407" s="15">
        <v>0</v>
      </c>
      <c r="I407" s="15">
        <v>0</v>
      </c>
      <c r="J407" s="15">
        <v>0</v>
      </c>
      <c r="K407" s="15">
        <v>0</v>
      </c>
      <c r="L407" s="15">
        <v>538.15</v>
      </c>
      <c r="M407" s="15">
        <v>768.79</v>
      </c>
      <c r="N407" s="15">
        <v>192.2</v>
      </c>
      <c r="O407" t="s">
        <v>75</v>
      </c>
    </row>
    <row r="408" spans="1:15" x14ac:dyDescent="0.25">
      <c r="A408" s="10" t="s">
        <v>922</v>
      </c>
      <c r="B408" s="15">
        <v>782.93</v>
      </c>
      <c r="C408" s="15">
        <v>731.22</v>
      </c>
      <c r="D408" s="15">
        <v>706.85</v>
      </c>
      <c r="E408" s="15">
        <v>706.85</v>
      </c>
      <c r="F408" s="15">
        <v>731.22</v>
      </c>
      <c r="G408" s="15">
        <v>1226.5899999999999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>
        <v>320.33</v>
      </c>
      <c r="O408" t="s">
        <v>75</v>
      </c>
    </row>
    <row r="409" spans="1:15" x14ac:dyDescent="0.25">
      <c r="A409" s="10" t="s">
        <v>924</v>
      </c>
      <c r="B409" s="15">
        <v>4017.47</v>
      </c>
      <c r="C409" s="15">
        <v>2334.69</v>
      </c>
      <c r="D409" s="15">
        <v>1584.66</v>
      </c>
      <c r="E409" s="15">
        <v>2211.14</v>
      </c>
      <c r="F409" s="15">
        <v>2211.14</v>
      </c>
      <c r="G409" s="15">
        <v>2211.14</v>
      </c>
      <c r="H409" s="15">
        <v>2211.14</v>
      </c>
      <c r="I409" s="15">
        <v>2211.14</v>
      </c>
      <c r="J409" s="15">
        <v>2211.14</v>
      </c>
      <c r="K409" s="15">
        <v>3593.38</v>
      </c>
      <c r="L409" s="15">
        <v>2211.14</v>
      </c>
      <c r="M409" s="15">
        <v>1179.27</v>
      </c>
      <c r="N409" s="15">
        <v>2221.44</v>
      </c>
      <c r="O409" t="s">
        <v>75</v>
      </c>
    </row>
    <row r="410" spans="1:15" x14ac:dyDescent="0.25">
      <c r="A410" s="10" t="s">
        <v>926</v>
      </c>
      <c r="B410" s="15">
        <v>710.44</v>
      </c>
      <c r="C410" s="15">
        <v>731.22</v>
      </c>
      <c r="D410" s="15">
        <v>731.22</v>
      </c>
      <c r="E410" s="15">
        <v>731.22</v>
      </c>
      <c r="F410" s="15">
        <v>706.85</v>
      </c>
      <c r="G410" s="15">
        <v>919.07</v>
      </c>
      <c r="H410" s="15">
        <v>768.79</v>
      </c>
      <c r="I410" s="15">
        <v>768.79</v>
      </c>
      <c r="J410" s="15">
        <v>768.79</v>
      </c>
      <c r="K410" s="15">
        <v>1127.56</v>
      </c>
      <c r="L410" s="15">
        <v>0</v>
      </c>
      <c r="M410" s="15">
        <v>0</v>
      </c>
      <c r="N410" s="15">
        <v>640.66</v>
      </c>
      <c r="O410" t="s">
        <v>75</v>
      </c>
    </row>
    <row r="411" spans="1:15" x14ac:dyDescent="0.25">
      <c r="A411" s="10" t="s">
        <v>928</v>
      </c>
      <c r="B411" s="15">
        <v>0</v>
      </c>
      <c r="C411" s="15">
        <v>0</v>
      </c>
      <c r="D411" s="15">
        <v>0</v>
      </c>
      <c r="E411" s="15">
        <v>0</v>
      </c>
      <c r="F411" s="15">
        <v>0</v>
      </c>
      <c r="G411" s="15">
        <v>0</v>
      </c>
      <c r="H411" s="15">
        <v>0</v>
      </c>
      <c r="I411" s="15">
        <v>0</v>
      </c>
      <c r="J411" s="15">
        <v>0</v>
      </c>
      <c r="K411" s="15">
        <v>0</v>
      </c>
      <c r="L411" s="15">
        <v>538.15</v>
      </c>
      <c r="M411" s="15">
        <v>768.79</v>
      </c>
      <c r="N411" s="15">
        <v>192.2</v>
      </c>
      <c r="O411" t="s">
        <v>75</v>
      </c>
    </row>
    <row r="412" spans="1:15" x14ac:dyDescent="0.25">
      <c r="A412" s="10" t="s">
        <v>930</v>
      </c>
      <c r="B412" s="15">
        <v>571.25</v>
      </c>
      <c r="C412" s="15">
        <v>731.2</v>
      </c>
      <c r="D412" s="15">
        <v>731.2</v>
      </c>
      <c r="E412" s="15">
        <v>706.83</v>
      </c>
      <c r="F412" s="15">
        <v>731.2</v>
      </c>
      <c r="G412" s="15">
        <v>893.52</v>
      </c>
      <c r="H412" s="15">
        <v>743.16</v>
      </c>
      <c r="I412" s="15">
        <v>768.79</v>
      </c>
      <c r="J412" s="15">
        <v>768.79</v>
      </c>
      <c r="K412" s="15">
        <v>717.54</v>
      </c>
      <c r="L412" s="15">
        <v>871.3</v>
      </c>
      <c r="M412" s="15">
        <v>0</v>
      </c>
      <c r="N412" s="15">
        <v>640.66</v>
      </c>
      <c r="O412" t="s">
        <v>75</v>
      </c>
    </row>
    <row r="413" spans="1:15" x14ac:dyDescent="0.25">
      <c r="A413" s="10" t="s">
        <v>932</v>
      </c>
      <c r="B413" s="15">
        <v>265.52</v>
      </c>
      <c r="C413" s="15">
        <v>0</v>
      </c>
      <c r="D413" s="15">
        <v>0</v>
      </c>
      <c r="E413" s="15">
        <v>0</v>
      </c>
      <c r="F413" s="15">
        <v>0</v>
      </c>
      <c r="G413" s="15">
        <v>0</v>
      </c>
      <c r="H413" s="15">
        <v>0</v>
      </c>
      <c r="I413" s="15">
        <v>0</v>
      </c>
      <c r="J413" s="15">
        <v>0</v>
      </c>
      <c r="K413" s="15">
        <v>0</v>
      </c>
      <c r="L413" s="15">
        <v>0</v>
      </c>
      <c r="M413" s="15">
        <v>0</v>
      </c>
      <c r="N413" s="15">
        <v>90.25</v>
      </c>
      <c r="O413" t="s">
        <v>75</v>
      </c>
    </row>
    <row r="414" spans="1:15" x14ac:dyDescent="0.25">
      <c r="A414" s="10" t="s">
        <v>934</v>
      </c>
      <c r="B414" s="15">
        <v>17484.169999999998</v>
      </c>
      <c r="C414" s="15">
        <v>17484.169999999998</v>
      </c>
      <c r="D414" s="15">
        <v>17484.169999999998</v>
      </c>
      <c r="E414" s="15">
        <v>17484.169999999998</v>
      </c>
      <c r="F414" s="15">
        <v>17484.169999999998</v>
      </c>
      <c r="G414" s="15">
        <v>17484.169999999998</v>
      </c>
      <c r="H414" s="15">
        <v>17484.169999999998</v>
      </c>
      <c r="I414" s="15">
        <v>33025.660000000003</v>
      </c>
      <c r="J414" s="15">
        <v>17484.169999999998</v>
      </c>
      <c r="K414" s="15">
        <v>10199.09</v>
      </c>
      <c r="L414" s="15">
        <v>17484.169999999998</v>
      </c>
      <c r="M414" s="15">
        <v>17484.169999999998</v>
      </c>
      <c r="N414" s="15">
        <v>17484.169999999998</v>
      </c>
      <c r="O414" t="s">
        <v>75</v>
      </c>
    </row>
    <row r="415" spans="1:15" x14ac:dyDescent="0.25">
      <c r="A415" s="10" t="s">
        <v>936</v>
      </c>
      <c r="B415" s="15">
        <v>0</v>
      </c>
      <c r="C415" s="15">
        <v>0</v>
      </c>
      <c r="D415" s="15">
        <v>0</v>
      </c>
      <c r="E415" s="15">
        <v>414.35</v>
      </c>
      <c r="F415" s="15">
        <v>731.2</v>
      </c>
      <c r="G415" s="15">
        <v>827.68</v>
      </c>
      <c r="H415" s="15">
        <v>768.79</v>
      </c>
      <c r="I415" s="15">
        <v>768.79</v>
      </c>
      <c r="J415" s="15">
        <v>768.79</v>
      </c>
      <c r="K415" s="15">
        <v>768.79</v>
      </c>
      <c r="L415" s="15">
        <v>743.16</v>
      </c>
      <c r="M415" s="15">
        <v>768.79</v>
      </c>
      <c r="N415" s="15">
        <v>640.66</v>
      </c>
      <c r="O415" t="s">
        <v>75</v>
      </c>
    </row>
    <row r="416" spans="1:15" x14ac:dyDescent="0.25">
      <c r="A416" s="10" t="s">
        <v>938</v>
      </c>
      <c r="B416" s="15">
        <v>0</v>
      </c>
      <c r="C416" s="15">
        <v>0</v>
      </c>
      <c r="D416" s="15">
        <v>0</v>
      </c>
      <c r="E416" s="15">
        <v>414.35</v>
      </c>
      <c r="F416" s="15">
        <v>731.2</v>
      </c>
      <c r="G416" s="15">
        <v>827.68</v>
      </c>
      <c r="H416" s="15">
        <v>768.79</v>
      </c>
      <c r="I416" s="15">
        <v>768.79</v>
      </c>
      <c r="J416" s="15">
        <v>768.79</v>
      </c>
      <c r="K416" s="15">
        <v>768.79</v>
      </c>
      <c r="L416" s="15">
        <v>768.79</v>
      </c>
      <c r="M416" s="15">
        <v>768.79</v>
      </c>
      <c r="N416" s="15">
        <v>640.66</v>
      </c>
      <c r="O416" t="s">
        <v>75</v>
      </c>
    </row>
    <row r="417" spans="1:15" x14ac:dyDescent="0.25">
      <c r="A417" s="10" t="s">
        <v>940</v>
      </c>
      <c r="B417" s="15">
        <v>774.23</v>
      </c>
      <c r="C417" s="15">
        <v>706.85</v>
      </c>
      <c r="D417" s="15">
        <v>731.22</v>
      </c>
      <c r="E417" s="15">
        <v>1121.21</v>
      </c>
      <c r="F417" s="15">
        <v>134</v>
      </c>
      <c r="G417" s="15">
        <v>1046.8599999999999</v>
      </c>
      <c r="H417" s="15">
        <v>1082.96</v>
      </c>
      <c r="I417" s="15">
        <v>1082.96</v>
      </c>
      <c r="J417" s="15">
        <v>1082.96</v>
      </c>
      <c r="K417" s="15">
        <v>1080.8800000000001</v>
      </c>
      <c r="L417" s="15">
        <v>1068.25</v>
      </c>
      <c r="M417" s="15">
        <v>1082.96</v>
      </c>
      <c r="N417" s="15">
        <v>978.23</v>
      </c>
      <c r="O417" t="s">
        <v>75</v>
      </c>
    </row>
    <row r="418" spans="1:15" x14ac:dyDescent="0.25">
      <c r="A418" s="10" t="s">
        <v>942</v>
      </c>
      <c r="B418" s="15">
        <v>1936.87</v>
      </c>
      <c r="C418" s="15">
        <v>2217.5</v>
      </c>
      <c r="D418" s="15">
        <v>2211.14</v>
      </c>
      <c r="E418" s="15">
        <v>5072.1400000000003</v>
      </c>
      <c r="F418" s="15">
        <v>2211.14</v>
      </c>
      <c r="G418" s="15">
        <v>552.79</v>
      </c>
      <c r="H418" s="15">
        <v>2211.14</v>
      </c>
      <c r="I418" s="15">
        <v>2211.14</v>
      </c>
      <c r="J418" s="15">
        <v>2205.06</v>
      </c>
      <c r="K418" s="15">
        <v>2211.14</v>
      </c>
      <c r="L418" s="15">
        <v>2211.14</v>
      </c>
      <c r="M418" s="15">
        <v>2211.14</v>
      </c>
      <c r="N418" s="15">
        <v>2211.67</v>
      </c>
      <c r="O418" t="s">
        <v>75</v>
      </c>
    </row>
    <row r="419" spans="1:15" x14ac:dyDescent="0.25">
      <c r="A419" s="10" t="s">
        <v>944</v>
      </c>
      <c r="B419" s="15">
        <v>751.03</v>
      </c>
      <c r="C419" s="15">
        <v>731.22</v>
      </c>
      <c r="D419" s="15">
        <v>682.47</v>
      </c>
      <c r="E419" s="15">
        <v>1145.58</v>
      </c>
      <c r="F419" s="15">
        <v>134</v>
      </c>
      <c r="G419" s="15">
        <v>1429.75</v>
      </c>
      <c r="H419" s="15">
        <v>1531.87</v>
      </c>
      <c r="I419" s="15">
        <v>1531.87</v>
      </c>
      <c r="J419" s="15">
        <v>1531.87</v>
      </c>
      <c r="K419" s="15">
        <v>1531.87</v>
      </c>
      <c r="L419" s="15">
        <v>1531.87</v>
      </c>
      <c r="M419" s="15">
        <v>1531.87</v>
      </c>
      <c r="N419" s="15">
        <v>1277.51</v>
      </c>
      <c r="O419" t="s">
        <v>75</v>
      </c>
    </row>
    <row r="420" spans="1:15" x14ac:dyDescent="0.25">
      <c r="A420" s="10" t="s">
        <v>946</v>
      </c>
      <c r="B420" s="15">
        <v>0</v>
      </c>
      <c r="C420" s="15">
        <v>0</v>
      </c>
      <c r="D420" s="15">
        <v>0</v>
      </c>
      <c r="E420" s="15">
        <v>0</v>
      </c>
      <c r="F420" s="15">
        <v>0</v>
      </c>
      <c r="G420" s="15">
        <v>0</v>
      </c>
      <c r="H420" s="15">
        <v>0</v>
      </c>
      <c r="I420" s="15">
        <v>0</v>
      </c>
      <c r="J420" s="15">
        <v>0</v>
      </c>
      <c r="K420" s="15">
        <v>0</v>
      </c>
      <c r="L420" s="15">
        <v>0</v>
      </c>
      <c r="M420" s="15">
        <v>0</v>
      </c>
      <c r="N420" s="15">
        <v>64.069999999999993</v>
      </c>
      <c r="O420" t="s">
        <v>75</v>
      </c>
    </row>
    <row r="421" spans="1:15" x14ac:dyDescent="0.25">
      <c r="A421" s="10" t="s">
        <v>948</v>
      </c>
      <c r="B421" s="15">
        <v>0</v>
      </c>
      <c r="C421" s="15">
        <v>0</v>
      </c>
      <c r="D421" s="15">
        <v>0</v>
      </c>
      <c r="E421" s="15">
        <v>0</v>
      </c>
      <c r="F421" s="15">
        <v>0</v>
      </c>
      <c r="G421" s="15">
        <v>384.4</v>
      </c>
      <c r="H421" s="15">
        <v>768.79</v>
      </c>
      <c r="I421" s="15">
        <v>768.79</v>
      </c>
      <c r="J421" s="15">
        <v>640.91999999999996</v>
      </c>
      <c r="K421" s="15">
        <v>691.75</v>
      </c>
      <c r="L421" s="15">
        <v>1230.06</v>
      </c>
      <c r="M421" s="15">
        <v>0</v>
      </c>
      <c r="N421" s="15">
        <v>448.46</v>
      </c>
      <c r="O421" t="s">
        <v>75</v>
      </c>
    </row>
    <row r="422" spans="1:15" x14ac:dyDescent="0.25">
      <c r="A422" s="10" t="s">
        <v>950</v>
      </c>
      <c r="B422" s="15">
        <v>797.43</v>
      </c>
      <c r="C422" s="15">
        <v>731.22</v>
      </c>
      <c r="D422" s="15">
        <v>706.85</v>
      </c>
      <c r="E422" s="15">
        <v>731.22</v>
      </c>
      <c r="F422" s="15">
        <v>881.5</v>
      </c>
      <c r="G422" s="15">
        <v>0</v>
      </c>
      <c r="H422" s="15">
        <v>0</v>
      </c>
      <c r="I422" s="15">
        <v>0</v>
      </c>
      <c r="J422" s="15">
        <v>0</v>
      </c>
      <c r="K422" s="15">
        <v>0</v>
      </c>
      <c r="L422" s="15">
        <v>0</v>
      </c>
      <c r="M422" s="15">
        <v>0</v>
      </c>
      <c r="N422" s="15">
        <v>256.26</v>
      </c>
      <c r="O422" t="s">
        <v>75</v>
      </c>
    </row>
    <row r="423" spans="1:15" x14ac:dyDescent="0.25">
      <c r="A423" s="10" t="s">
        <v>952</v>
      </c>
      <c r="B423" s="15">
        <v>0</v>
      </c>
      <c r="C423" s="15">
        <v>0</v>
      </c>
      <c r="D423" s="15">
        <v>0</v>
      </c>
      <c r="E423" s="15">
        <v>0</v>
      </c>
      <c r="F423" s="15">
        <v>0</v>
      </c>
      <c r="G423" s="15">
        <v>0</v>
      </c>
      <c r="H423" s="15">
        <v>0</v>
      </c>
      <c r="I423" s="15">
        <v>0</v>
      </c>
      <c r="J423" s="15">
        <v>0</v>
      </c>
      <c r="K423" s="15">
        <v>307.52</v>
      </c>
      <c r="L423" s="15">
        <v>717.54</v>
      </c>
      <c r="M423" s="15">
        <v>179.38</v>
      </c>
      <c r="N423" s="15">
        <v>128.13</v>
      </c>
      <c r="O423" t="s">
        <v>75</v>
      </c>
    </row>
    <row r="424" spans="1:15" x14ac:dyDescent="0.25">
      <c r="A424" s="10" t="s">
        <v>954</v>
      </c>
      <c r="B424" s="15">
        <v>774.23</v>
      </c>
      <c r="C424" s="15">
        <v>731.22</v>
      </c>
      <c r="D424" s="15">
        <v>706.85</v>
      </c>
      <c r="E424" s="15">
        <v>1169.95</v>
      </c>
      <c r="F424" s="15">
        <v>134</v>
      </c>
      <c r="G424" s="15">
        <v>0</v>
      </c>
      <c r="H424" s="15">
        <v>511.05</v>
      </c>
      <c r="I424" s="15">
        <v>1703.5</v>
      </c>
      <c r="J424" s="15">
        <v>1703.5</v>
      </c>
      <c r="K424" s="15">
        <v>1703.5</v>
      </c>
      <c r="L424" s="15">
        <v>1703.5</v>
      </c>
      <c r="M424" s="15">
        <v>1703.5</v>
      </c>
      <c r="N424" s="15">
        <v>1108.01</v>
      </c>
      <c r="O424" t="s">
        <v>75</v>
      </c>
    </row>
    <row r="425" spans="1:15" x14ac:dyDescent="0.25">
      <c r="A425" s="10" t="s">
        <v>956</v>
      </c>
      <c r="B425" s="15">
        <v>0</v>
      </c>
      <c r="C425" s="15">
        <v>0</v>
      </c>
      <c r="D425" s="15">
        <v>0</v>
      </c>
      <c r="E425" s="15">
        <v>414.35</v>
      </c>
      <c r="F425" s="15">
        <v>828.7</v>
      </c>
      <c r="G425" s="15">
        <v>0</v>
      </c>
      <c r="H425" s="15">
        <v>0</v>
      </c>
      <c r="I425" s="15">
        <v>0</v>
      </c>
      <c r="J425" s="15">
        <v>0</v>
      </c>
      <c r="K425" s="15">
        <v>0</v>
      </c>
      <c r="L425" s="15">
        <v>0</v>
      </c>
      <c r="M425" s="15">
        <v>0</v>
      </c>
      <c r="N425" s="15">
        <v>121.87</v>
      </c>
      <c r="O425" t="s">
        <v>75</v>
      </c>
    </row>
    <row r="426" spans="1:15" x14ac:dyDescent="0.25">
      <c r="A426" s="10" t="s">
        <v>958</v>
      </c>
      <c r="B426" s="15">
        <v>2188.16</v>
      </c>
      <c r="C426" s="15">
        <v>2512.46</v>
      </c>
      <c r="D426" s="15">
        <v>2379.79</v>
      </c>
      <c r="E426" s="15">
        <v>4495.16</v>
      </c>
      <c r="F426" s="15">
        <v>2379.79</v>
      </c>
      <c r="G426" s="15">
        <v>1388.21</v>
      </c>
      <c r="H426" s="15">
        <v>2379.79</v>
      </c>
      <c r="I426" s="15">
        <v>2379.79</v>
      </c>
      <c r="J426" s="15">
        <v>2379.79</v>
      </c>
      <c r="K426" s="15">
        <v>2379.79</v>
      </c>
      <c r="L426" s="15">
        <v>2379.79</v>
      </c>
      <c r="M426" s="15">
        <v>2379.79</v>
      </c>
      <c r="N426" s="15">
        <v>2390.85</v>
      </c>
      <c r="O426" t="s">
        <v>75</v>
      </c>
    </row>
    <row r="427" spans="1:15" x14ac:dyDescent="0.25">
      <c r="A427" s="10" t="s">
        <v>960</v>
      </c>
      <c r="B427" s="15">
        <v>8259.0499999999993</v>
      </c>
      <c r="C427" s="15">
        <v>12238.59</v>
      </c>
      <c r="D427" s="15">
        <v>9841.2199999999993</v>
      </c>
      <c r="E427" s="15">
        <v>11083.2</v>
      </c>
      <c r="F427" s="15">
        <v>10890.59</v>
      </c>
      <c r="G427" s="15">
        <v>10818.88</v>
      </c>
      <c r="H427" s="15">
        <v>10908.64</v>
      </c>
      <c r="I427" s="15">
        <v>10596.9</v>
      </c>
      <c r="J427" s="15">
        <v>10817.01</v>
      </c>
      <c r="K427" s="15">
        <v>15709.88</v>
      </c>
      <c r="L427" s="15">
        <v>10486.09</v>
      </c>
      <c r="M427" s="15">
        <v>6880.41</v>
      </c>
      <c r="N427" s="15">
        <v>10823.5</v>
      </c>
      <c r="O427" t="s">
        <v>75</v>
      </c>
    </row>
    <row r="428" spans="1:15" x14ac:dyDescent="0.25">
      <c r="A428" s="10" t="s">
        <v>962</v>
      </c>
      <c r="B428" s="15">
        <v>6509.95</v>
      </c>
      <c r="C428" s="15">
        <v>7625.52</v>
      </c>
      <c r="D428" s="15">
        <v>6868.04</v>
      </c>
      <c r="E428" s="15">
        <v>6868.04</v>
      </c>
      <c r="F428" s="15">
        <v>6841.71</v>
      </c>
      <c r="G428" s="15">
        <v>9595.83</v>
      </c>
      <c r="H428" s="15">
        <v>10587.75</v>
      </c>
      <c r="I428" s="15">
        <v>10587.75</v>
      </c>
      <c r="J428" s="15">
        <v>10587.75</v>
      </c>
      <c r="K428" s="15">
        <v>16629.37</v>
      </c>
      <c r="L428" s="15">
        <v>4731.25</v>
      </c>
      <c r="M428" s="15">
        <v>6639.1</v>
      </c>
      <c r="N428" s="15">
        <v>8419.0400000000009</v>
      </c>
      <c r="O428" t="s">
        <v>75</v>
      </c>
    </row>
    <row r="429" spans="1:15" x14ac:dyDescent="0.25">
      <c r="A429" s="10" t="s">
        <v>964</v>
      </c>
      <c r="B429" s="15">
        <v>18027.009999999998</v>
      </c>
      <c r="C429" s="15">
        <v>19088.64</v>
      </c>
      <c r="D429" s="15">
        <v>19088.64</v>
      </c>
      <c r="E429" s="15">
        <v>19088.64</v>
      </c>
      <c r="F429" s="15">
        <v>19088.64</v>
      </c>
      <c r="G429" s="15">
        <v>19088.64</v>
      </c>
      <c r="H429" s="15">
        <v>19088.64</v>
      </c>
      <c r="I429" s="15">
        <v>18452.36</v>
      </c>
      <c r="J429" s="15">
        <v>24437.74</v>
      </c>
      <c r="K429" s="15">
        <v>23649.43</v>
      </c>
      <c r="L429" s="15">
        <v>23649.43</v>
      </c>
      <c r="M429" s="15">
        <v>23649.43</v>
      </c>
      <c r="N429" s="15">
        <v>23649.43</v>
      </c>
      <c r="O429" t="s">
        <v>75</v>
      </c>
    </row>
    <row r="430" spans="1:15" x14ac:dyDescent="0.25">
      <c r="A430" s="10" t="s">
        <v>966</v>
      </c>
      <c r="B430" s="15">
        <v>9588.57</v>
      </c>
      <c r="C430" s="15">
        <v>7412.74</v>
      </c>
      <c r="D430" s="15">
        <v>3884.24</v>
      </c>
      <c r="E430" s="15">
        <v>4241.49</v>
      </c>
      <c r="F430" s="15">
        <v>4404.08</v>
      </c>
      <c r="G430" s="15">
        <v>4404.08</v>
      </c>
      <c r="H430" s="15">
        <v>4404.08</v>
      </c>
      <c r="I430" s="15">
        <v>4404.08</v>
      </c>
      <c r="J430" s="15">
        <v>4404.08</v>
      </c>
      <c r="K430" s="15">
        <v>8759.1200000000008</v>
      </c>
      <c r="L430" s="15">
        <v>1614.83</v>
      </c>
      <c r="M430" s="15">
        <v>4257.2700000000004</v>
      </c>
      <c r="N430" s="15">
        <v>4752.16</v>
      </c>
      <c r="O430" t="s">
        <v>75</v>
      </c>
    </row>
    <row r="431" spans="1:15" x14ac:dyDescent="0.25">
      <c r="A431" s="10" t="s">
        <v>968</v>
      </c>
      <c r="B431" s="15">
        <v>4293.72</v>
      </c>
      <c r="C431" s="15">
        <v>8087.32</v>
      </c>
      <c r="D431" s="15">
        <v>4124.1899999999996</v>
      </c>
      <c r="E431" s="15">
        <v>7150.76</v>
      </c>
      <c r="F431" s="15">
        <v>4124.1899999999996</v>
      </c>
      <c r="G431" s="15">
        <v>3090.4</v>
      </c>
      <c r="H431" s="15">
        <v>7150.76</v>
      </c>
      <c r="I431" s="15">
        <v>2199.56</v>
      </c>
      <c r="J431" s="15">
        <v>3986.72</v>
      </c>
      <c r="K431" s="15">
        <v>4124.1899999999996</v>
      </c>
      <c r="L431" s="15">
        <v>4124.1899999999996</v>
      </c>
      <c r="M431" s="15">
        <v>4124.1899999999996</v>
      </c>
      <c r="N431" s="15">
        <v>4500.7299999999996</v>
      </c>
      <c r="O431" t="s">
        <v>75</v>
      </c>
    </row>
    <row r="432" spans="1:15" x14ac:dyDescent="0.25">
      <c r="A432" s="10" t="s">
        <v>970</v>
      </c>
      <c r="B432" s="15">
        <v>828.85</v>
      </c>
      <c r="C432" s="15">
        <v>1990.33</v>
      </c>
      <c r="D432" s="15">
        <v>2211.14</v>
      </c>
      <c r="E432" s="15">
        <v>2122.69</v>
      </c>
      <c r="F432" s="15">
        <v>2195.85</v>
      </c>
      <c r="G432" s="15">
        <v>2210.0300000000002</v>
      </c>
      <c r="H432" s="15">
        <v>2211.14</v>
      </c>
      <c r="I432" s="15">
        <v>2211.14</v>
      </c>
      <c r="J432" s="15">
        <v>2211.14</v>
      </c>
      <c r="K432" s="15">
        <v>2211.14</v>
      </c>
      <c r="L432" s="15">
        <v>5170.26</v>
      </c>
      <c r="M432" s="15">
        <v>2542.8200000000002</v>
      </c>
      <c r="N432" s="15">
        <v>2219.34</v>
      </c>
      <c r="O432" t="s">
        <v>75</v>
      </c>
    </row>
    <row r="433" spans="1:15" x14ac:dyDescent="0.25">
      <c r="A433" s="10" t="s">
        <v>972</v>
      </c>
      <c r="B433" s="15">
        <v>2237.9</v>
      </c>
      <c r="C433" s="15">
        <v>2354.31</v>
      </c>
      <c r="D433" s="15">
        <v>2211.14</v>
      </c>
      <c r="E433" s="15">
        <v>2211.14</v>
      </c>
      <c r="F433" s="15">
        <v>2211.14</v>
      </c>
      <c r="G433" s="15">
        <v>2211.14</v>
      </c>
      <c r="H433" s="15">
        <v>3502.82</v>
      </c>
      <c r="I433" s="15">
        <v>0</v>
      </c>
      <c r="J433" s="15">
        <v>0</v>
      </c>
      <c r="K433" s="15">
        <v>0</v>
      </c>
      <c r="L433" s="15">
        <v>0</v>
      </c>
      <c r="M433" s="15">
        <v>0</v>
      </c>
      <c r="N433" s="15">
        <v>1142.25</v>
      </c>
      <c r="O433" t="s">
        <v>75</v>
      </c>
    </row>
    <row r="434" spans="1:15" x14ac:dyDescent="0.25">
      <c r="A434" s="10" t="s">
        <v>974</v>
      </c>
      <c r="B434" s="15">
        <v>2773.36</v>
      </c>
      <c r="C434" s="15">
        <v>3019.79</v>
      </c>
      <c r="D434" s="15">
        <v>2978.1</v>
      </c>
      <c r="E434" s="15">
        <v>2978.1</v>
      </c>
      <c r="F434" s="15">
        <v>2978.1</v>
      </c>
      <c r="G434" s="15">
        <v>2978.1</v>
      </c>
      <c r="H434" s="15">
        <v>2978.1</v>
      </c>
      <c r="I434" s="15">
        <v>5625.81</v>
      </c>
      <c r="J434" s="15">
        <v>2729.93</v>
      </c>
      <c r="K434" s="15">
        <v>1985.4</v>
      </c>
      <c r="L434" s="15">
        <v>2978.1</v>
      </c>
      <c r="M434" s="15">
        <v>2978.1</v>
      </c>
      <c r="N434" s="15">
        <v>2981.57</v>
      </c>
      <c r="O434" t="s">
        <v>75</v>
      </c>
    </row>
    <row r="435" spans="1:15" x14ac:dyDescent="0.25">
      <c r="A435" s="10" t="s">
        <v>976</v>
      </c>
      <c r="B435" s="15">
        <v>7120.54</v>
      </c>
      <c r="C435" s="15">
        <v>4989.57</v>
      </c>
      <c r="D435" s="15">
        <v>9197</v>
      </c>
      <c r="E435" s="15">
        <v>9197</v>
      </c>
      <c r="F435" s="15">
        <v>9197</v>
      </c>
      <c r="G435" s="15">
        <v>9197</v>
      </c>
      <c r="H435" s="15">
        <v>9197</v>
      </c>
      <c r="I435" s="15">
        <v>9197</v>
      </c>
      <c r="J435" s="15">
        <v>9197</v>
      </c>
      <c r="K435" s="15">
        <v>9197</v>
      </c>
      <c r="L435" s="15">
        <v>17372.11</v>
      </c>
      <c r="M435" s="15">
        <v>9197</v>
      </c>
      <c r="N435" s="15">
        <v>9197</v>
      </c>
      <c r="O435" t="s">
        <v>75</v>
      </c>
    </row>
    <row r="436" spans="1:15" x14ac:dyDescent="0.25">
      <c r="A436" s="10" t="s">
        <v>978</v>
      </c>
      <c r="B436" s="15">
        <v>6577.82</v>
      </c>
      <c r="C436" s="15">
        <v>7475.19</v>
      </c>
      <c r="D436" s="15">
        <v>7362.91</v>
      </c>
      <c r="E436" s="15">
        <v>12273.2</v>
      </c>
      <c r="F436" s="15">
        <v>7976.49</v>
      </c>
      <c r="G436" s="15">
        <v>4908.6099999999997</v>
      </c>
      <c r="H436" s="15">
        <v>7362.91</v>
      </c>
      <c r="I436" s="15">
        <v>7362.91</v>
      </c>
      <c r="J436" s="15">
        <v>7362.91</v>
      </c>
      <c r="K436" s="15">
        <v>12277.76</v>
      </c>
      <c r="L436" s="15">
        <v>3926.89</v>
      </c>
      <c r="M436" s="15">
        <v>7117.48</v>
      </c>
      <c r="N436" s="15">
        <v>7372.27</v>
      </c>
      <c r="O436" t="s">
        <v>75</v>
      </c>
    </row>
    <row r="437" spans="1:15" x14ac:dyDescent="0.25">
      <c r="A437" s="10" t="s">
        <v>980</v>
      </c>
      <c r="B437" s="15">
        <v>0</v>
      </c>
      <c r="C437" s="15">
        <v>0</v>
      </c>
      <c r="D437" s="15">
        <v>0</v>
      </c>
      <c r="E437" s="15">
        <v>0</v>
      </c>
      <c r="F437" s="15">
        <v>0</v>
      </c>
      <c r="G437" s="15">
        <v>0</v>
      </c>
      <c r="H437" s="15">
        <v>5797.57</v>
      </c>
      <c r="I437" s="15">
        <v>5797.57</v>
      </c>
      <c r="J437" s="15">
        <v>8546.34</v>
      </c>
      <c r="K437" s="15">
        <v>0</v>
      </c>
      <c r="L437" s="15">
        <v>0</v>
      </c>
      <c r="M437" s="15">
        <v>0</v>
      </c>
      <c r="N437" s="15">
        <v>2044.69</v>
      </c>
      <c r="O437" t="s">
        <v>75</v>
      </c>
    </row>
    <row r="438" spans="1:15" x14ac:dyDescent="0.25">
      <c r="A438" s="10" t="s">
        <v>982</v>
      </c>
      <c r="B438" s="15">
        <v>4597.58</v>
      </c>
      <c r="C438" s="15">
        <v>5233.38</v>
      </c>
      <c r="D438" s="15">
        <v>5044.38</v>
      </c>
      <c r="E438" s="15">
        <v>4961.6899999999996</v>
      </c>
      <c r="F438" s="15">
        <v>5238.4399999999996</v>
      </c>
      <c r="G438" s="15">
        <v>5238.4399999999996</v>
      </c>
      <c r="H438" s="15">
        <v>12183.97</v>
      </c>
      <c r="I438" s="15">
        <v>5238.4399999999996</v>
      </c>
      <c r="J438" s="15">
        <v>1265.6099999999999</v>
      </c>
      <c r="K438" s="15">
        <v>5238.4399999999996</v>
      </c>
      <c r="L438" s="15">
        <v>5238.4399999999996</v>
      </c>
      <c r="M438" s="15">
        <v>5238.4399999999996</v>
      </c>
      <c r="N438" s="15">
        <v>5221.07</v>
      </c>
      <c r="O438" t="s">
        <v>75</v>
      </c>
    </row>
    <row r="439" spans="1:15" x14ac:dyDescent="0.25">
      <c r="A439" s="10" t="s">
        <v>984</v>
      </c>
      <c r="B439" s="15">
        <v>2387.08</v>
      </c>
      <c r="C439" s="15">
        <v>1665.53</v>
      </c>
      <c r="D439" s="15">
        <v>2548.44</v>
      </c>
      <c r="E439" s="15">
        <v>3681.81</v>
      </c>
      <c r="F439" s="15">
        <v>1698.96</v>
      </c>
      <c r="G439" s="15">
        <v>2548.44</v>
      </c>
      <c r="H439" s="15">
        <v>2548.44</v>
      </c>
      <c r="I439" s="15">
        <v>4816.3500000000004</v>
      </c>
      <c r="J439" s="15">
        <v>1104.32</v>
      </c>
      <c r="K439" s="15">
        <v>2293.6</v>
      </c>
      <c r="L439" s="15">
        <v>2548.44</v>
      </c>
      <c r="M439" s="15">
        <v>2548.44</v>
      </c>
      <c r="N439" s="15">
        <v>2551.39</v>
      </c>
      <c r="O439" t="s">
        <v>75</v>
      </c>
    </row>
    <row r="440" spans="1:15" x14ac:dyDescent="0.25">
      <c r="A440" s="10" t="s">
        <v>986</v>
      </c>
      <c r="B440" s="15">
        <v>14051.64</v>
      </c>
      <c r="C440" s="15">
        <v>17626.310000000001</v>
      </c>
      <c r="D440" s="15">
        <v>15790.12</v>
      </c>
      <c r="E440" s="15">
        <v>36158.19</v>
      </c>
      <c r="F440" s="15">
        <v>15121.99</v>
      </c>
      <c r="G440" s="15">
        <v>3548.38</v>
      </c>
      <c r="H440" s="15">
        <v>14865.55</v>
      </c>
      <c r="I440" s="15">
        <v>14770.22</v>
      </c>
      <c r="J440" s="15">
        <v>13694.8</v>
      </c>
      <c r="K440" s="15">
        <v>14383.61</v>
      </c>
      <c r="L440" s="15">
        <v>14812.19</v>
      </c>
      <c r="M440" s="15">
        <v>14865.55</v>
      </c>
      <c r="N440" s="15">
        <v>14969.31</v>
      </c>
      <c r="O440" t="s">
        <v>75</v>
      </c>
    </row>
    <row r="441" spans="1:15" x14ac:dyDescent="0.25">
      <c r="A441" s="10" t="s">
        <v>988</v>
      </c>
      <c r="B441" s="15">
        <v>5945.5</v>
      </c>
      <c r="C441" s="15">
        <v>7274.5</v>
      </c>
      <c r="D441" s="15">
        <v>1899.96</v>
      </c>
      <c r="E441" s="15">
        <v>3012.93</v>
      </c>
      <c r="F441" s="15">
        <v>3084.09</v>
      </c>
      <c r="G441" s="15">
        <v>3115.26</v>
      </c>
      <c r="H441" s="15">
        <v>3116.82</v>
      </c>
      <c r="I441" s="15">
        <v>3116.82</v>
      </c>
      <c r="J441" s="15">
        <v>3116.82</v>
      </c>
      <c r="K441" s="15">
        <v>3116.82</v>
      </c>
      <c r="L441" s="15">
        <v>4572.01</v>
      </c>
      <c r="M441" s="15">
        <v>3740.47</v>
      </c>
      <c r="N441" s="15">
        <v>3636.53</v>
      </c>
      <c r="O441" t="s">
        <v>75</v>
      </c>
    </row>
    <row r="442" spans="1:15" x14ac:dyDescent="0.25">
      <c r="A442" s="10" t="s">
        <v>990</v>
      </c>
      <c r="B442" s="15">
        <v>8507.18</v>
      </c>
      <c r="C442" s="15">
        <v>6428.49</v>
      </c>
      <c r="D442" s="15">
        <v>9502.93</v>
      </c>
      <c r="E442" s="15">
        <v>9502.93</v>
      </c>
      <c r="F442" s="15">
        <v>9502.93</v>
      </c>
      <c r="G442" s="15">
        <v>9502.93</v>
      </c>
      <c r="H442" s="15">
        <v>9502.93</v>
      </c>
      <c r="I442" s="15">
        <v>9502.93</v>
      </c>
      <c r="J442" s="15">
        <v>9502.93</v>
      </c>
      <c r="K442" s="15">
        <v>9502.93</v>
      </c>
      <c r="L442" s="15">
        <v>9502.93</v>
      </c>
      <c r="M442" s="15">
        <v>17949.98</v>
      </c>
      <c r="N442" s="15">
        <v>9502.93</v>
      </c>
      <c r="O442" t="s">
        <v>75</v>
      </c>
    </row>
    <row r="443" spans="1:15" x14ac:dyDescent="0.25">
      <c r="A443" s="10" t="s">
        <v>992</v>
      </c>
      <c r="B443" s="15">
        <v>0</v>
      </c>
      <c r="C443" s="15">
        <v>7565.83</v>
      </c>
      <c r="D443" s="15">
        <v>8406.48</v>
      </c>
      <c r="E443" s="15">
        <v>8380.56</v>
      </c>
      <c r="F443" s="15">
        <v>8406.48</v>
      </c>
      <c r="G443" s="15">
        <v>8406.48</v>
      </c>
      <c r="H443" s="15">
        <v>8406.48</v>
      </c>
      <c r="I443" s="15">
        <v>8406.48</v>
      </c>
      <c r="J443" s="15">
        <v>8406.48</v>
      </c>
      <c r="K443" s="15">
        <v>8406.48</v>
      </c>
      <c r="L443" s="15">
        <v>8406.48</v>
      </c>
      <c r="M443" s="15">
        <v>12142.69</v>
      </c>
      <c r="N443" s="15">
        <v>8406.48</v>
      </c>
      <c r="O443" t="s">
        <v>75</v>
      </c>
    </row>
    <row r="444" spans="1:15" x14ac:dyDescent="0.25">
      <c r="A444" s="10" t="s">
        <v>994</v>
      </c>
      <c r="B444" s="15">
        <v>4473.5600000000004</v>
      </c>
      <c r="C444" s="15">
        <v>7151.5</v>
      </c>
      <c r="D444" s="15">
        <v>4975.28</v>
      </c>
      <c r="E444" s="15">
        <v>5103.63</v>
      </c>
      <c r="F444" s="15">
        <v>5140.3</v>
      </c>
      <c r="G444" s="15">
        <v>11241.03</v>
      </c>
      <c r="H444" s="15">
        <v>0</v>
      </c>
      <c r="I444" s="15">
        <v>0</v>
      </c>
      <c r="J444" s="15">
        <v>0</v>
      </c>
      <c r="K444" s="15">
        <v>0</v>
      </c>
      <c r="L444" s="15">
        <v>0</v>
      </c>
      <c r="M444" s="15">
        <v>0</v>
      </c>
      <c r="N444" s="15">
        <v>2825.7</v>
      </c>
      <c r="O444" t="s">
        <v>75</v>
      </c>
    </row>
    <row r="445" spans="1:15" x14ac:dyDescent="0.25">
      <c r="A445" s="10" t="s">
        <v>996</v>
      </c>
      <c r="B445" s="15">
        <v>16008.69</v>
      </c>
      <c r="C445" s="15">
        <v>8576.32</v>
      </c>
      <c r="D445" s="15">
        <v>14016.94</v>
      </c>
      <c r="E445" s="15">
        <v>16820.330000000002</v>
      </c>
      <c r="F445" s="15">
        <v>16820.330000000002</v>
      </c>
      <c r="G445" s="15">
        <v>16820.330000000002</v>
      </c>
      <c r="H445" s="15">
        <v>16820.330000000002</v>
      </c>
      <c r="I445" s="15">
        <v>16820.330000000002</v>
      </c>
      <c r="J445" s="15">
        <v>16820.330000000002</v>
      </c>
      <c r="K445" s="15">
        <v>16820.330000000002</v>
      </c>
      <c r="L445" s="15">
        <v>16820.330000000002</v>
      </c>
      <c r="M445" s="15">
        <v>39280.93</v>
      </c>
      <c r="N445" s="15">
        <v>16860.8</v>
      </c>
      <c r="O445" t="s">
        <v>75</v>
      </c>
    </row>
    <row r="446" spans="1:15" x14ac:dyDescent="0.25">
      <c r="A446" s="10" t="s">
        <v>1001</v>
      </c>
      <c r="B446" s="15">
        <v>1733.84</v>
      </c>
      <c r="C446" s="15">
        <v>3175.07</v>
      </c>
      <c r="D446" s="15">
        <v>3146.75</v>
      </c>
      <c r="E446" s="15">
        <v>3146.75</v>
      </c>
      <c r="F446" s="15">
        <v>3146.75</v>
      </c>
      <c r="G446" s="15">
        <v>3146.75</v>
      </c>
      <c r="H446" s="15">
        <v>3146.75</v>
      </c>
      <c r="I446" s="15">
        <v>3146.75</v>
      </c>
      <c r="J446" s="15">
        <v>3146.75</v>
      </c>
      <c r="K446" s="15">
        <v>7345.47</v>
      </c>
      <c r="L446" s="15">
        <v>3146.75</v>
      </c>
      <c r="M446" s="15">
        <v>996.48</v>
      </c>
      <c r="N446" s="15">
        <v>3149.11</v>
      </c>
      <c r="O446" t="s">
        <v>75</v>
      </c>
    </row>
    <row r="447" spans="1:15" x14ac:dyDescent="0.25">
      <c r="A447" s="10" t="s">
        <v>1003</v>
      </c>
      <c r="B447" s="15">
        <v>2486.5500000000002</v>
      </c>
      <c r="C447" s="15">
        <v>2304.84</v>
      </c>
      <c r="D447" s="15">
        <v>4177.95</v>
      </c>
      <c r="E447" s="15">
        <v>2469.11</v>
      </c>
      <c r="F447" s="15">
        <v>1031.8699999999999</v>
      </c>
      <c r="G447" s="15">
        <v>2211.14</v>
      </c>
      <c r="H447" s="15">
        <v>2211.14</v>
      </c>
      <c r="I447" s="15">
        <v>3957.21</v>
      </c>
      <c r="J447" s="15">
        <v>0</v>
      </c>
      <c r="K447" s="15">
        <v>0</v>
      </c>
      <c r="L447" s="15">
        <v>0</v>
      </c>
      <c r="M447" s="15">
        <v>0</v>
      </c>
      <c r="N447" s="15">
        <v>1486.14</v>
      </c>
      <c r="O447" t="s">
        <v>75</v>
      </c>
    </row>
    <row r="448" spans="1:15" x14ac:dyDescent="0.25">
      <c r="A448" s="10" t="s">
        <v>1005</v>
      </c>
      <c r="B448" s="15">
        <v>3522.12</v>
      </c>
      <c r="C448" s="15">
        <v>4466.92</v>
      </c>
      <c r="D448" s="15">
        <v>4172.74</v>
      </c>
      <c r="E448" s="15">
        <v>4172.74</v>
      </c>
      <c r="F448" s="15">
        <v>4494.5600000000004</v>
      </c>
      <c r="G448" s="15">
        <v>4172.74</v>
      </c>
      <c r="H448" s="15">
        <v>4172.74</v>
      </c>
      <c r="I448" s="15">
        <v>4172.74</v>
      </c>
      <c r="J448" s="15">
        <v>4172.74</v>
      </c>
      <c r="K448" s="15">
        <v>9804.09</v>
      </c>
      <c r="L448" s="15">
        <v>4172.74</v>
      </c>
      <c r="M448" s="15">
        <v>1321.38</v>
      </c>
      <c r="N448" s="15">
        <v>4224.07</v>
      </c>
      <c r="O448" t="s">
        <v>75</v>
      </c>
    </row>
    <row r="449" spans="1:15" x14ac:dyDescent="0.25">
      <c r="A449" s="10" t="s">
        <v>1007</v>
      </c>
      <c r="B449" s="15">
        <v>9417.2999999999993</v>
      </c>
      <c r="C449" s="15">
        <v>19208.490000000002</v>
      </c>
      <c r="D449" s="15">
        <v>10169.200000000001</v>
      </c>
      <c r="E449" s="15">
        <v>5932.03</v>
      </c>
      <c r="F449" s="15">
        <v>10169.200000000001</v>
      </c>
      <c r="G449" s="15">
        <v>10169.200000000001</v>
      </c>
      <c r="H449" s="15">
        <v>10169.200000000001</v>
      </c>
      <c r="I449" s="15">
        <v>10169.200000000001</v>
      </c>
      <c r="J449" s="15">
        <v>10169.200000000001</v>
      </c>
      <c r="K449" s="15">
        <v>10169.200000000001</v>
      </c>
      <c r="L449" s="15">
        <v>10169.200000000001</v>
      </c>
      <c r="M449" s="15">
        <v>10169.200000000001</v>
      </c>
      <c r="N449" s="15">
        <v>10169.200000000001</v>
      </c>
      <c r="O449" t="s">
        <v>75</v>
      </c>
    </row>
    <row r="450" spans="1:15" x14ac:dyDescent="0.25">
      <c r="A450" s="10" t="s">
        <v>1009</v>
      </c>
      <c r="B450" s="15">
        <v>11150.71</v>
      </c>
      <c r="C450" s="15">
        <v>28169.1</v>
      </c>
      <c r="D450" s="15">
        <v>11188.77</v>
      </c>
      <c r="E450" s="15">
        <v>2678.99</v>
      </c>
      <c r="F450" s="15">
        <v>10726.87</v>
      </c>
      <c r="G450" s="15">
        <v>10709.19</v>
      </c>
      <c r="H450" s="15">
        <v>10645.93</v>
      </c>
      <c r="I450" s="15">
        <v>10802.13</v>
      </c>
      <c r="J450" s="15">
        <v>10610.65</v>
      </c>
      <c r="K450" s="15">
        <v>10623.47</v>
      </c>
      <c r="L450" s="15">
        <v>10533.44</v>
      </c>
      <c r="M450" s="15">
        <v>10764.81</v>
      </c>
      <c r="N450" s="15">
        <v>10910.11</v>
      </c>
      <c r="O450" t="s">
        <v>75</v>
      </c>
    </row>
    <row r="451" spans="1:15" x14ac:dyDescent="0.25">
      <c r="A451" s="10" t="s">
        <v>1011</v>
      </c>
      <c r="B451" s="15">
        <v>763.87</v>
      </c>
      <c r="C451" s="15">
        <v>893.45</v>
      </c>
      <c r="D451" s="15">
        <v>893.45</v>
      </c>
      <c r="E451" s="15">
        <v>893.45</v>
      </c>
      <c r="F451" s="15">
        <v>893.45</v>
      </c>
      <c r="G451" s="15">
        <v>893.45</v>
      </c>
      <c r="H451" s="15">
        <v>2084.7199999999998</v>
      </c>
      <c r="I451" s="15">
        <v>893.45</v>
      </c>
      <c r="J451" s="15">
        <v>223.36</v>
      </c>
      <c r="K451" s="15">
        <v>893.45</v>
      </c>
      <c r="L451" s="15">
        <v>893.45</v>
      </c>
      <c r="M451" s="15">
        <v>893.45</v>
      </c>
      <c r="N451" s="15">
        <v>893.45</v>
      </c>
      <c r="O451" t="s">
        <v>75</v>
      </c>
    </row>
    <row r="452" spans="1:15" x14ac:dyDescent="0.25">
      <c r="A452" s="10" t="s">
        <v>1013</v>
      </c>
      <c r="B452" s="15">
        <v>5950.55</v>
      </c>
      <c r="C452" s="15">
        <v>6975.97</v>
      </c>
      <c r="D452" s="15">
        <v>8663.31</v>
      </c>
      <c r="E452" s="15">
        <v>0</v>
      </c>
      <c r="F452" s="15">
        <v>0</v>
      </c>
      <c r="G452" s="15">
        <v>0</v>
      </c>
      <c r="H452" s="15">
        <v>0</v>
      </c>
      <c r="I452" s="15">
        <v>0</v>
      </c>
      <c r="J452" s="15">
        <v>0</v>
      </c>
      <c r="K452" s="15">
        <v>0</v>
      </c>
      <c r="L452" s="15">
        <v>0</v>
      </c>
      <c r="M452" s="15">
        <v>0</v>
      </c>
      <c r="N452" s="15">
        <v>2777.75</v>
      </c>
      <c r="O452" t="s">
        <v>75</v>
      </c>
    </row>
    <row r="453" spans="1:15" x14ac:dyDescent="0.25">
      <c r="A453" s="10" t="s">
        <v>1015</v>
      </c>
      <c r="B453" s="15">
        <v>7594.43</v>
      </c>
      <c r="C453" s="15">
        <v>8937.3799999999992</v>
      </c>
      <c r="D453" s="15">
        <v>8076.63</v>
      </c>
      <c r="E453" s="15">
        <v>7699.57</v>
      </c>
      <c r="F453" s="15">
        <v>17921.59</v>
      </c>
      <c r="G453" s="15">
        <v>7543.14</v>
      </c>
      <c r="H453" s="15">
        <v>2215.33</v>
      </c>
      <c r="I453" s="15">
        <v>7003.33</v>
      </c>
      <c r="J453" s="15">
        <v>7253.63</v>
      </c>
      <c r="K453" s="15">
        <v>7505.96</v>
      </c>
      <c r="L453" s="15">
        <v>7243.32</v>
      </c>
      <c r="M453" s="15">
        <v>7542.54</v>
      </c>
      <c r="N453" s="15">
        <v>7587.41</v>
      </c>
      <c r="O453" t="s">
        <v>75</v>
      </c>
    </row>
    <row r="454" spans="1:15" x14ac:dyDescent="0.25">
      <c r="A454" s="10" t="s">
        <v>1017</v>
      </c>
      <c r="B454" s="15">
        <v>2486.5500000000002</v>
      </c>
      <c r="C454" s="15">
        <v>3030.56</v>
      </c>
      <c r="D454" s="15">
        <v>2717.08</v>
      </c>
      <c r="E454" s="15">
        <v>0</v>
      </c>
      <c r="F454" s="15">
        <v>0</v>
      </c>
      <c r="G454" s="15">
        <v>2962.32</v>
      </c>
      <c r="H454" s="15">
        <v>3034.07</v>
      </c>
      <c r="I454" s="15">
        <v>1267.97</v>
      </c>
      <c r="J454" s="15">
        <v>2717.08</v>
      </c>
      <c r="K454" s="15">
        <v>2717.08</v>
      </c>
      <c r="L454" s="15">
        <v>2717.08</v>
      </c>
      <c r="M454" s="15">
        <v>3936.27</v>
      </c>
      <c r="N454" s="15">
        <v>1828.8</v>
      </c>
      <c r="O454" t="s">
        <v>75</v>
      </c>
    </row>
    <row r="455" spans="1:15" x14ac:dyDescent="0.25">
      <c r="A455" s="10" t="s">
        <v>1019</v>
      </c>
      <c r="B455" s="15">
        <v>8346.1200000000008</v>
      </c>
      <c r="C455" s="15">
        <v>9333.7000000000007</v>
      </c>
      <c r="D455" s="15">
        <v>9333.7000000000007</v>
      </c>
      <c r="E455" s="15">
        <v>9333.7000000000007</v>
      </c>
      <c r="F455" s="15">
        <v>9333.7000000000007</v>
      </c>
      <c r="G455" s="15">
        <v>9333.7000000000007</v>
      </c>
      <c r="H455" s="15">
        <v>9333.7000000000007</v>
      </c>
      <c r="I455" s="15">
        <v>13482.01</v>
      </c>
      <c r="J455" s="15">
        <v>9333.7000000000007</v>
      </c>
      <c r="K455" s="15">
        <v>8555.9</v>
      </c>
      <c r="L455" s="15">
        <v>9333.7000000000007</v>
      </c>
      <c r="M455" s="15">
        <v>13482.01</v>
      </c>
      <c r="N455" s="15">
        <v>9333.7000000000007</v>
      </c>
      <c r="O455" t="s">
        <v>75</v>
      </c>
    </row>
    <row r="456" spans="1:15" x14ac:dyDescent="0.25">
      <c r="A456" s="10" t="s">
        <v>1021</v>
      </c>
      <c r="B456" s="15">
        <v>3108.18</v>
      </c>
      <c r="C456" s="15">
        <v>5443.41</v>
      </c>
      <c r="D456" s="15">
        <v>5359.5</v>
      </c>
      <c r="E456" s="15">
        <v>3467.99</v>
      </c>
      <c r="F456" s="15">
        <v>3467.41</v>
      </c>
      <c r="G456" s="15">
        <v>3478.13</v>
      </c>
      <c r="H456" s="15">
        <v>6950.58</v>
      </c>
      <c r="I456" s="15">
        <v>3456.1</v>
      </c>
      <c r="J456" s="15">
        <v>1970.94</v>
      </c>
      <c r="K456" s="15">
        <v>3478.13</v>
      </c>
      <c r="L456" s="15">
        <v>3478.13</v>
      </c>
      <c r="M456" s="15">
        <v>3445.09</v>
      </c>
      <c r="N456" s="15">
        <v>3798.68</v>
      </c>
      <c r="O456" t="s">
        <v>75</v>
      </c>
    </row>
    <row r="457" spans="1:15" x14ac:dyDescent="0.25">
      <c r="A457" s="10" t="s">
        <v>1023</v>
      </c>
      <c r="B457" s="15">
        <v>6743.06</v>
      </c>
      <c r="C457" s="15">
        <v>7733.69</v>
      </c>
      <c r="D457" s="15">
        <v>7349.89</v>
      </c>
      <c r="E457" s="15">
        <v>7349.89</v>
      </c>
      <c r="F457" s="15">
        <v>7349.89</v>
      </c>
      <c r="G457" s="15">
        <v>7349.89</v>
      </c>
      <c r="H457" s="15">
        <v>6810.65</v>
      </c>
      <c r="I457" s="15">
        <v>7349.89</v>
      </c>
      <c r="J457" s="15">
        <v>7349.89</v>
      </c>
      <c r="K457" s="15">
        <v>7349.89</v>
      </c>
      <c r="L457" s="15">
        <v>7349.89</v>
      </c>
      <c r="M457" s="15">
        <v>7349.89</v>
      </c>
      <c r="N457" s="15">
        <v>7378.7</v>
      </c>
      <c r="O457" t="s">
        <v>75</v>
      </c>
    </row>
    <row r="458" spans="1:15" x14ac:dyDescent="0.25">
      <c r="A458" s="10" t="s">
        <v>1025</v>
      </c>
      <c r="B458" s="15">
        <v>2088.69</v>
      </c>
      <c r="C458" s="15">
        <v>3219.42</v>
      </c>
      <c r="D458" s="15">
        <v>4514.84</v>
      </c>
      <c r="E458" s="15">
        <v>2211.14</v>
      </c>
      <c r="F458" s="15">
        <v>2211.14</v>
      </c>
      <c r="G458" s="15">
        <v>2211.14</v>
      </c>
      <c r="H458" s="15">
        <v>2211.14</v>
      </c>
      <c r="I458" s="15">
        <v>2211.14</v>
      </c>
      <c r="J458" s="15">
        <v>4514.84</v>
      </c>
      <c r="K458" s="15">
        <v>2211.14</v>
      </c>
      <c r="L458" s="15">
        <v>3466.07</v>
      </c>
      <c r="M458" s="15">
        <v>2211.14</v>
      </c>
      <c r="N458" s="15">
        <v>2679.11</v>
      </c>
      <c r="O458" t="s">
        <v>75</v>
      </c>
    </row>
    <row r="459" spans="1:15" x14ac:dyDescent="0.25">
      <c r="A459" s="10" t="s">
        <v>1027</v>
      </c>
      <c r="B459" s="15">
        <v>0</v>
      </c>
      <c r="C459" s="15">
        <v>0</v>
      </c>
      <c r="D459" s="15">
        <v>0</v>
      </c>
      <c r="E459" s="15">
        <v>0</v>
      </c>
      <c r="F459" s="15">
        <v>2733.38</v>
      </c>
      <c r="G459" s="15">
        <v>522.52</v>
      </c>
      <c r="H459" s="15">
        <v>522.52</v>
      </c>
      <c r="I459" s="15">
        <v>522.52</v>
      </c>
      <c r="J459" s="15">
        <v>38.96</v>
      </c>
      <c r="K459" s="15">
        <v>0</v>
      </c>
      <c r="L459" s="15">
        <v>1533</v>
      </c>
      <c r="M459" s="15">
        <v>0</v>
      </c>
      <c r="N459" s="15">
        <v>0</v>
      </c>
      <c r="O459" t="s">
        <v>75</v>
      </c>
    </row>
    <row r="460" spans="1:15" x14ac:dyDescent="0.25">
      <c r="A460" s="10" t="s">
        <v>1029</v>
      </c>
      <c r="B460" s="15">
        <v>0</v>
      </c>
      <c r="C460" s="15">
        <v>3130.36</v>
      </c>
      <c r="D460" s="15">
        <v>2288.34</v>
      </c>
      <c r="E460" s="15">
        <v>3520.53</v>
      </c>
      <c r="F460" s="15">
        <v>3385.28</v>
      </c>
      <c r="G460" s="15">
        <v>3392.62</v>
      </c>
      <c r="H460" s="15">
        <v>3520.53</v>
      </c>
      <c r="I460" s="15">
        <v>3395.26</v>
      </c>
      <c r="J460" s="15">
        <v>3518.77</v>
      </c>
      <c r="K460" s="15">
        <v>3520.53</v>
      </c>
      <c r="L460" s="15">
        <v>3520.53</v>
      </c>
      <c r="M460" s="15">
        <v>3520.53</v>
      </c>
      <c r="N460" s="15">
        <v>3227.15</v>
      </c>
      <c r="O460" t="s">
        <v>75</v>
      </c>
    </row>
    <row r="461" spans="1:15" x14ac:dyDescent="0.25">
      <c r="A461" s="10" t="s">
        <v>1031</v>
      </c>
      <c r="B461" s="15">
        <v>15384.75</v>
      </c>
      <c r="C461" s="15">
        <v>8014.55</v>
      </c>
      <c r="D461" s="15">
        <v>7297.8</v>
      </c>
      <c r="E461" s="15">
        <v>9122.25</v>
      </c>
      <c r="F461" s="15">
        <v>9122.25</v>
      </c>
      <c r="G461" s="15">
        <v>9122.25</v>
      </c>
      <c r="H461" s="15">
        <v>9122.25</v>
      </c>
      <c r="I461" s="15">
        <v>9122.25</v>
      </c>
      <c r="J461" s="15">
        <v>9122.25</v>
      </c>
      <c r="K461" s="15">
        <v>5777.42</v>
      </c>
      <c r="L461" s="15">
        <v>0</v>
      </c>
      <c r="M461" s="15">
        <v>0</v>
      </c>
      <c r="N461" s="15">
        <v>6841.69</v>
      </c>
      <c r="O461" t="s">
        <v>75</v>
      </c>
    </row>
    <row r="462" spans="1:15" x14ac:dyDescent="0.25">
      <c r="A462" s="10" t="s">
        <v>1033</v>
      </c>
      <c r="B462" s="15">
        <v>3955.77</v>
      </c>
      <c r="C462" s="15">
        <v>2158.81</v>
      </c>
      <c r="D462" s="15">
        <v>1277.49</v>
      </c>
      <c r="E462" s="15">
        <v>2137.44</v>
      </c>
      <c r="F462" s="15">
        <v>2211.14</v>
      </c>
      <c r="G462" s="15">
        <v>2211.14</v>
      </c>
      <c r="H462" s="15">
        <v>2211.14</v>
      </c>
      <c r="I462" s="15">
        <v>2199.5300000000002</v>
      </c>
      <c r="J462" s="15">
        <v>2211.14</v>
      </c>
      <c r="K462" s="15">
        <v>2211.14</v>
      </c>
      <c r="L462" s="15">
        <v>2211.14</v>
      </c>
      <c r="M462" s="15">
        <v>5159.33</v>
      </c>
      <c r="N462" s="15">
        <v>2211.14</v>
      </c>
      <c r="O462" t="s">
        <v>75</v>
      </c>
    </row>
    <row r="463" spans="1:15" x14ac:dyDescent="0.25">
      <c r="A463" s="10" t="s">
        <v>1038</v>
      </c>
      <c r="B463" s="15">
        <v>0</v>
      </c>
      <c r="C463" s="15">
        <v>0</v>
      </c>
      <c r="D463" s="15">
        <v>0</v>
      </c>
      <c r="E463" s="15">
        <v>0</v>
      </c>
      <c r="F463" s="15">
        <v>0</v>
      </c>
      <c r="G463" s="15">
        <v>0</v>
      </c>
      <c r="H463" s="15">
        <v>0</v>
      </c>
      <c r="I463" s="15">
        <v>0</v>
      </c>
      <c r="J463" s="15">
        <v>0</v>
      </c>
      <c r="K463" s="15">
        <v>0</v>
      </c>
      <c r="L463" s="15">
        <v>538.15</v>
      </c>
      <c r="M463" s="15">
        <v>768.79</v>
      </c>
      <c r="N463" s="15">
        <v>192.2</v>
      </c>
      <c r="O463" t="s">
        <v>75</v>
      </c>
    </row>
    <row r="464" spans="1:15" x14ac:dyDescent="0.25">
      <c r="A464" s="10" t="s">
        <v>1040</v>
      </c>
      <c r="B464" s="15">
        <v>891.17</v>
      </c>
      <c r="C464" s="15">
        <v>893.45</v>
      </c>
      <c r="D464" s="15">
        <v>1191.26</v>
      </c>
      <c r="E464" s="15">
        <v>595.63</v>
      </c>
      <c r="F464" s="15">
        <v>893.45</v>
      </c>
      <c r="G464" s="15">
        <v>2084.7199999999998</v>
      </c>
      <c r="H464" s="15">
        <v>893.45</v>
      </c>
      <c r="I464" s="15">
        <v>223.36</v>
      </c>
      <c r="J464" s="15">
        <v>893.45</v>
      </c>
      <c r="K464" s="15">
        <v>893.45</v>
      </c>
      <c r="L464" s="15">
        <v>893.45</v>
      </c>
      <c r="M464" s="15">
        <v>893.45</v>
      </c>
      <c r="N464" s="15">
        <v>893.45</v>
      </c>
      <c r="O464" t="s">
        <v>75</v>
      </c>
    </row>
    <row r="465" spans="1:15" x14ac:dyDescent="0.25">
      <c r="A465" s="10" t="s">
        <v>1042</v>
      </c>
      <c r="B465" s="15">
        <v>3108.18</v>
      </c>
      <c r="C465" s="15">
        <v>5387.88</v>
      </c>
      <c r="D465" s="15">
        <v>3188.28</v>
      </c>
      <c r="E465" s="15">
        <v>3465.38</v>
      </c>
      <c r="F465" s="15">
        <v>3478.13</v>
      </c>
      <c r="G465" s="15">
        <v>3478.13</v>
      </c>
      <c r="H465" s="15">
        <v>3478.13</v>
      </c>
      <c r="I465" s="15">
        <v>3478.13</v>
      </c>
      <c r="J465" s="15">
        <v>7052.42</v>
      </c>
      <c r="K465" s="15">
        <v>5541.55</v>
      </c>
      <c r="L465" s="15">
        <v>1147.5</v>
      </c>
      <c r="M465" s="15">
        <v>3458.42</v>
      </c>
      <c r="N465" s="15">
        <v>3660.81</v>
      </c>
      <c r="O465" t="s">
        <v>75</v>
      </c>
    </row>
    <row r="466" spans="1:15" x14ac:dyDescent="0.25">
      <c r="A466" s="10" t="s">
        <v>1044</v>
      </c>
      <c r="B466" s="15">
        <v>2668.57</v>
      </c>
      <c r="C466" s="15">
        <v>2970.16</v>
      </c>
      <c r="D466" s="15">
        <v>2848.3</v>
      </c>
      <c r="E466" s="15">
        <v>2924.74</v>
      </c>
      <c r="F466" s="15">
        <v>2885.78</v>
      </c>
      <c r="G466" s="15">
        <v>2975.62</v>
      </c>
      <c r="H466" s="15">
        <v>2978.1</v>
      </c>
      <c r="I466" s="15">
        <v>5625.3</v>
      </c>
      <c r="J466" s="15">
        <v>2729.93</v>
      </c>
      <c r="K466" s="15">
        <v>1985.4</v>
      </c>
      <c r="L466" s="15">
        <v>2922.51</v>
      </c>
      <c r="M466" s="15">
        <v>2978.1</v>
      </c>
      <c r="N466" s="15">
        <v>2978.1</v>
      </c>
      <c r="O466" t="s">
        <v>75</v>
      </c>
    </row>
    <row r="467" spans="1:15" x14ac:dyDescent="0.25">
      <c r="A467" s="10" t="s">
        <v>1046</v>
      </c>
      <c r="B467" s="15">
        <v>12313.34</v>
      </c>
      <c r="C467" s="15">
        <v>9203.99</v>
      </c>
      <c r="D467" s="15">
        <v>8436.99</v>
      </c>
      <c r="E467" s="15">
        <v>9203.99</v>
      </c>
      <c r="F467" s="15">
        <v>9203.99</v>
      </c>
      <c r="G467" s="15">
        <v>9203.99</v>
      </c>
      <c r="H467" s="15">
        <v>9203.99</v>
      </c>
      <c r="I467" s="15">
        <v>13294.66</v>
      </c>
      <c r="J467" s="15">
        <v>6135.99</v>
      </c>
      <c r="K467" s="15">
        <v>9203.99</v>
      </c>
      <c r="L467" s="15">
        <v>9203.99</v>
      </c>
      <c r="M467" s="15">
        <v>9203.99</v>
      </c>
      <c r="N467" s="15">
        <v>9203.99</v>
      </c>
      <c r="O467" t="s">
        <v>75</v>
      </c>
    </row>
    <row r="468" spans="1:15" x14ac:dyDescent="0.25">
      <c r="A468" s="10" t="s">
        <v>1053</v>
      </c>
      <c r="B468" s="15">
        <v>2227.9299999999998</v>
      </c>
      <c r="C468" s="15">
        <v>2355.4</v>
      </c>
      <c r="D468" s="15">
        <v>2371.46</v>
      </c>
      <c r="E468" s="15">
        <v>5451.7</v>
      </c>
      <c r="F468" s="15">
        <v>2375.23</v>
      </c>
      <c r="G468" s="15">
        <v>594.95000000000005</v>
      </c>
      <c r="H468" s="15">
        <v>2379.79</v>
      </c>
      <c r="I468" s="15">
        <v>2370.67</v>
      </c>
      <c r="J468" s="15">
        <v>2379.79</v>
      </c>
      <c r="K468" s="15">
        <v>2379.79</v>
      </c>
      <c r="L468" s="15">
        <v>2379.79</v>
      </c>
      <c r="M468" s="15">
        <v>2379.79</v>
      </c>
      <c r="N468" s="15">
        <v>2379.79</v>
      </c>
      <c r="O468" t="s">
        <v>75</v>
      </c>
    </row>
    <row r="469" spans="1:15" x14ac:dyDescent="0.25">
      <c r="A469" s="10" t="s">
        <v>1055</v>
      </c>
      <c r="B469" s="15">
        <v>17245.96</v>
      </c>
      <c r="C469" s="15">
        <v>6459.68</v>
      </c>
      <c r="D469" s="15">
        <v>3408.84</v>
      </c>
      <c r="E469" s="15">
        <v>7304.68</v>
      </c>
      <c r="F469" s="15">
        <v>7304.68</v>
      </c>
      <c r="G469" s="15">
        <v>7304.68</v>
      </c>
      <c r="H469" s="15">
        <v>7304.68</v>
      </c>
      <c r="I469" s="15">
        <v>7304.68</v>
      </c>
      <c r="J469" s="15">
        <v>7304.68</v>
      </c>
      <c r="K469" s="15">
        <v>7304.68</v>
      </c>
      <c r="L469" s="15">
        <v>7304.68</v>
      </c>
      <c r="M469" s="15">
        <v>7304.68</v>
      </c>
      <c r="N469" s="15">
        <v>7286.84</v>
      </c>
      <c r="O469" t="s">
        <v>75</v>
      </c>
    </row>
    <row r="470" spans="1:15" x14ac:dyDescent="0.25">
      <c r="A470" s="10" t="s">
        <v>1057</v>
      </c>
      <c r="B470" s="15">
        <v>0</v>
      </c>
      <c r="C470" s="15">
        <v>0</v>
      </c>
      <c r="D470" s="15">
        <v>0</v>
      </c>
      <c r="E470" s="15">
        <v>0</v>
      </c>
      <c r="F470" s="15">
        <v>0</v>
      </c>
      <c r="G470" s="15">
        <v>0</v>
      </c>
      <c r="H470" s="15">
        <v>0</v>
      </c>
      <c r="I470" s="15">
        <v>0</v>
      </c>
      <c r="J470" s="15">
        <v>0</v>
      </c>
      <c r="K470" s="15">
        <v>0</v>
      </c>
      <c r="L470" s="15">
        <v>538.15</v>
      </c>
      <c r="M470" s="15">
        <v>768.79</v>
      </c>
      <c r="N470" s="15">
        <v>192.2</v>
      </c>
      <c r="O470" t="s">
        <v>75</v>
      </c>
    </row>
    <row r="471" spans="1:15" x14ac:dyDescent="0.25">
      <c r="A471" s="10" t="s">
        <v>1059</v>
      </c>
      <c r="B471" s="15">
        <v>1326.17</v>
      </c>
      <c r="C471" s="15">
        <v>2240.9899999999998</v>
      </c>
      <c r="D471" s="15">
        <v>2211.14</v>
      </c>
      <c r="E471" s="15">
        <v>2211.14</v>
      </c>
      <c r="F471" s="15">
        <v>2211.14</v>
      </c>
      <c r="G471" s="15">
        <v>2211.14</v>
      </c>
      <c r="H471" s="15">
        <v>3194.47</v>
      </c>
      <c r="I471" s="15">
        <v>2026.88</v>
      </c>
      <c r="J471" s="15">
        <v>2211.14</v>
      </c>
      <c r="K471" s="15">
        <v>2211.14</v>
      </c>
      <c r="L471" s="15">
        <v>2211.14</v>
      </c>
      <c r="M471" s="15">
        <v>3194.98</v>
      </c>
      <c r="N471" s="15">
        <v>2213.63</v>
      </c>
      <c r="O471" t="s">
        <v>75</v>
      </c>
    </row>
    <row r="472" spans="1:15" x14ac:dyDescent="0.25">
      <c r="A472" s="10" t="s">
        <v>1061</v>
      </c>
      <c r="B472" s="15">
        <v>1989.25</v>
      </c>
      <c r="C472" s="15">
        <v>2261.7199999999998</v>
      </c>
      <c r="D472" s="15">
        <v>2211.14</v>
      </c>
      <c r="E472" s="15">
        <v>2209.48</v>
      </c>
      <c r="F472" s="15">
        <v>2148.31</v>
      </c>
      <c r="G472" s="15">
        <v>4180.34</v>
      </c>
      <c r="H472" s="15">
        <v>2182.9499999999998</v>
      </c>
      <c r="I472" s="15">
        <v>1289.8399999999999</v>
      </c>
      <c r="J472" s="15">
        <v>2211.14</v>
      </c>
      <c r="K472" s="15">
        <v>2210.96</v>
      </c>
      <c r="L472" s="15">
        <v>2132.46</v>
      </c>
      <c r="M472" s="15">
        <v>2211.14</v>
      </c>
      <c r="N472" s="15">
        <v>2215.35</v>
      </c>
      <c r="O472" t="s">
        <v>75</v>
      </c>
    </row>
    <row r="473" spans="1:15" x14ac:dyDescent="0.25">
      <c r="A473" s="10" t="s">
        <v>1063</v>
      </c>
      <c r="B473" s="15">
        <v>2088.69</v>
      </c>
      <c r="C473" s="15">
        <v>1411.73</v>
      </c>
      <c r="D473" s="15">
        <v>2211.14</v>
      </c>
      <c r="E473" s="15">
        <v>5666.7</v>
      </c>
      <c r="F473" s="15">
        <v>2211.14</v>
      </c>
      <c r="G473" s="15">
        <v>4405.05</v>
      </c>
      <c r="H473" s="15">
        <v>2211.14</v>
      </c>
      <c r="I473" s="15">
        <v>2718.16</v>
      </c>
      <c r="J473" s="15">
        <v>4054.1</v>
      </c>
      <c r="K473" s="15">
        <v>2211.14</v>
      </c>
      <c r="L473" s="15">
        <v>2211.14</v>
      </c>
      <c r="M473" s="15">
        <v>4405.05</v>
      </c>
      <c r="N473" s="15">
        <v>2788.15</v>
      </c>
      <c r="O473" t="s">
        <v>75</v>
      </c>
    </row>
    <row r="474" spans="1:15" x14ac:dyDescent="0.25">
      <c r="A474" s="10" t="s">
        <v>1065</v>
      </c>
      <c r="B474" s="15">
        <v>16948.72</v>
      </c>
      <c r="C474" s="15">
        <v>7782.95</v>
      </c>
      <c r="D474" s="15">
        <v>7535.92</v>
      </c>
      <c r="E474" s="15">
        <v>9419.89</v>
      </c>
      <c r="F474" s="15">
        <v>9419.89</v>
      </c>
      <c r="G474" s="15">
        <v>9419.89</v>
      </c>
      <c r="H474" s="15">
        <v>9419.89</v>
      </c>
      <c r="I474" s="15">
        <v>9419.89</v>
      </c>
      <c r="J474" s="15">
        <v>9419.89</v>
      </c>
      <c r="K474" s="15">
        <v>9419.89</v>
      </c>
      <c r="L474" s="15">
        <v>9419.89</v>
      </c>
      <c r="M474" s="15">
        <v>17793.13</v>
      </c>
      <c r="N474" s="15">
        <v>9419.89</v>
      </c>
      <c r="O474" t="s">
        <v>75</v>
      </c>
    </row>
    <row r="475" spans="1:15" x14ac:dyDescent="0.25">
      <c r="A475" s="10" t="s">
        <v>1067</v>
      </c>
      <c r="B475" s="15">
        <v>1989.25</v>
      </c>
      <c r="C475" s="15">
        <v>2240.9899999999998</v>
      </c>
      <c r="D475" s="15">
        <v>2211.14</v>
      </c>
      <c r="E475" s="15">
        <v>2120.67</v>
      </c>
      <c r="F475" s="15">
        <v>2211.14</v>
      </c>
      <c r="G475" s="15">
        <v>2211.14</v>
      </c>
      <c r="H475" s="15">
        <v>2193.27</v>
      </c>
      <c r="I475" s="15">
        <v>2211.14</v>
      </c>
      <c r="J475" s="15">
        <v>5162.6499999999996</v>
      </c>
      <c r="K475" s="15">
        <v>2211.14</v>
      </c>
      <c r="L475" s="15">
        <v>576.19000000000005</v>
      </c>
      <c r="M475" s="15">
        <v>2077.7399999999998</v>
      </c>
      <c r="N475" s="15">
        <v>2213.63</v>
      </c>
      <c r="O475" t="s">
        <v>75</v>
      </c>
    </row>
    <row r="476" spans="1:15" x14ac:dyDescent="0.25">
      <c r="A476" s="10" t="s">
        <v>1069</v>
      </c>
      <c r="B476" s="15">
        <v>1989.25</v>
      </c>
      <c r="C476" s="15">
        <v>2257.02</v>
      </c>
      <c r="D476" s="15">
        <v>2211.14</v>
      </c>
      <c r="E476" s="15">
        <v>2211.14</v>
      </c>
      <c r="F476" s="15">
        <v>2211.14</v>
      </c>
      <c r="G476" s="15">
        <v>5165.78</v>
      </c>
      <c r="H476" s="15">
        <v>2211.14</v>
      </c>
      <c r="I476" s="15">
        <v>552.79</v>
      </c>
      <c r="J476" s="15">
        <v>2211.14</v>
      </c>
      <c r="K476" s="15">
        <v>2211.14</v>
      </c>
      <c r="L476" s="15">
        <v>2211.14</v>
      </c>
      <c r="M476" s="15">
        <v>2211.14</v>
      </c>
      <c r="N476" s="15">
        <v>2214.96</v>
      </c>
      <c r="O476" t="s">
        <v>75</v>
      </c>
    </row>
    <row r="477" spans="1:15" x14ac:dyDescent="0.25">
      <c r="A477" s="10" t="s">
        <v>1071</v>
      </c>
      <c r="B477" s="15">
        <v>2188.16</v>
      </c>
      <c r="C477" s="15">
        <v>2437.1999999999998</v>
      </c>
      <c r="D477" s="15">
        <v>2379.79</v>
      </c>
      <c r="E477" s="15">
        <v>4499.42</v>
      </c>
      <c r="F477" s="15">
        <v>2379.79</v>
      </c>
      <c r="G477" s="15">
        <v>1388.21</v>
      </c>
      <c r="H477" s="15">
        <v>2379.79</v>
      </c>
      <c r="I477" s="15">
        <v>2379.79</v>
      </c>
      <c r="J477" s="15">
        <v>2379.79</v>
      </c>
      <c r="K477" s="15">
        <v>2379.79</v>
      </c>
      <c r="L477" s="15">
        <v>2141.81</v>
      </c>
      <c r="M477" s="15">
        <v>2300.46</v>
      </c>
      <c r="N477" s="15">
        <v>2384.5700000000002</v>
      </c>
      <c r="O477" t="s">
        <v>75</v>
      </c>
    </row>
    <row r="478" spans="1:15" x14ac:dyDescent="0.25">
      <c r="A478" s="10" t="s">
        <v>1073</v>
      </c>
      <c r="B478" s="15">
        <v>6604.54</v>
      </c>
      <c r="C478" s="15">
        <v>12398.9</v>
      </c>
      <c r="D478" s="15">
        <v>12079.49</v>
      </c>
      <c r="E478" s="15">
        <v>12079.49</v>
      </c>
      <c r="F478" s="15">
        <v>12079.49</v>
      </c>
      <c r="G478" s="15">
        <v>12079.49</v>
      </c>
      <c r="H478" s="15">
        <v>12079.49</v>
      </c>
      <c r="I478" s="15">
        <v>12079.49</v>
      </c>
      <c r="J478" s="15">
        <v>12079.49</v>
      </c>
      <c r="K478" s="15">
        <v>12079.49</v>
      </c>
      <c r="L478" s="15">
        <v>22825.38</v>
      </c>
      <c r="M478" s="15">
        <v>11028.86</v>
      </c>
      <c r="N478" s="15">
        <v>12093.45</v>
      </c>
      <c r="O478" t="s">
        <v>75</v>
      </c>
    </row>
    <row r="479" spans="1:15" x14ac:dyDescent="0.25">
      <c r="A479" s="10" t="s">
        <v>1075</v>
      </c>
      <c r="B479" s="15">
        <v>10284.68</v>
      </c>
      <c r="C479" s="15">
        <v>13287.02</v>
      </c>
      <c r="D479" s="15">
        <v>10610.36</v>
      </c>
      <c r="E479" s="15">
        <v>10876.43</v>
      </c>
      <c r="F479" s="15">
        <v>10952.43</v>
      </c>
      <c r="G479" s="15">
        <v>11094.17</v>
      </c>
      <c r="H479" s="15">
        <v>10727.95</v>
      </c>
      <c r="I479" s="15">
        <v>12522.27</v>
      </c>
      <c r="J479" s="15">
        <v>12520.44</v>
      </c>
      <c r="K479" s="15">
        <v>11100.1</v>
      </c>
      <c r="L479" s="15">
        <v>10653.61</v>
      </c>
      <c r="M479" s="15">
        <v>10513.38</v>
      </c>
      <c r="N479" s="15">
        <v>10998.75</v>
      </c>
      <c r="O479" t="s">
        <v>75</v>
      </c>
    </row>
    <row r="480" spans="1:15" x14ac:dyDescent="0.25">
      <c r="A480" s="10" t="s">
        <v>1077</v>
      </c>
      <c r="B480" s="15">
        <v>4104.29</v>
      </c>
      <c r="C480" s="15">
        <v>4423.93</v>
      </c>
      <c r="D480" s="15">
        <v>4407.71</v>
      </c>
      <c r="E480" s="15">
        <v>4407.71</v>
      </c>
      <c r="F480" s="15">
        <v>4407.71</v>
      </c>
      <c r="G480" s="15">
        <v>4407.71</v>
      </c>
      <c r="H480" s="15">
        <v>8310.91</v>
      </c>
      <c r="I480" s="15">
        <v>4407.71</v>
      </c>
      <c r="J480" s="15">
        <v>2527.17</v>
      </c>
      <c r="K480" s="15">
        <v>4407.71</v>
      </c>
      <c r="L480" s="15">
        <v>4407.71</v>
      </c>
      <c r="M480" s="15">
        <v>4407.71</v>
      </c>
      <c r="N480" s="15">
        <v>4396.58</v>
      </c>
      <c r="O480" t="s">
        <v>75</v>
      </c>
    </row>
    <row r="481" spans="1:15" x14ac:dyDescent="0.25">
      <c r="A481" s="10" t="s">
        <v>1079</v>
      </c>
      <c r="B481" s="15">
        <v>18072.64</v>
      </c>
      <c r="C481" s="15">
        <v>8764.94</v>
      </c>
      <c r="D481" s="15">
        <v>8261.92</v>
      </c>
      <c r="E481" s="15">
        <v>10327.4</v>
      </c>
      <c r="F481" s="15">
        <v>10327.4</v>
      </c>
      <c r="G481" s="15">
        <v>10327.4</v>
      </c>
      <c r="H481" s="15">
        <v>10327.4</v>
      </c>
      <c r="I481" s="15">
        <v>10327.4</v>
      </c>
      <c r="J481" s="15">
        <v>10327.4</v>
      </c>
      <c r="K481" s="15">
        <v>10327.4</v>
      </c>
      <c r="L481" s="15">
        <v>10327.4</v>
      </c>
      <c r="M481" s="15">
        <v>10327.4</v>
      </c>
      <c r="N481" s="15">
        <v>10327.4</v>
      </c>
      <c r="O481" t="s">
        <v>75</v>
      </c>
    </row>
    <row r="482" spans="1:15" x14ac:dyDescent="0.25">
      <c r="A482" s="10" t="s">
        <v>1081</v>
      </c>
      <c r="B482" s="15">
        <v>17941.189999999999</v>
      </c>
      <c r="C482" s="15">
        <v>11804.85</v>
      </c>
      <c r="D482" s="15">
        <v>18850.8</v>
      </c>
      <c r="E482" s="15">
        <v>18850.8</v>
      </c>
      <c r="F482" s="15">
        <v>18850.8</v>
      </c>
      <c r="G482" s="15">
        <v>18850.8</v>
      </c>
      <c r="H482" s="15">
        <v>18850.8</v>
      </c>
      <c r="I482" s="15">
        <v>35607.07</v>
      </c>
      <c r="J482" s="15">
        <v>6283.6</v>
      </c>
      <c r="K482" s="15">
        <v>18850.8</v>
      </c>
      <c r="L482" s="15">
        <v>18850.8</v>
      </c>
      <c r="M482" s="15">
        <v>18850.8</v>
      </c>
      <c r="N482" s="15">
        <v>18850.8</v>
      </c>
      <c r="O482" t="s">
        <v>75</v>
      </c>
    </row>
    <row r="483" spans="1:15" x14ac:dyDescent="0.25">
      <c r="A483" s="10" t="s">
        <v>1083</v>
      </c>
      <c r="B483" s="15">
        <v>4849.3900000000003</v>
      </c>
      <c r="C483" s="15">
        <v>12733.67</v>
      </c>
      <c r="D483" s="15">
        <v>5776.04</v>
      </c>
      <c r="E483" s="15">
        <v>888.62</v>
      </c>
      <c r="F483" s="15">
        <v>5331.73</v>
      </c>
      <c r="G483" s="15">
        <v>5331.73</v>
      </c>
      <c r="H483" s="15">
        <v>5331.73</v>
      </c>
      <c r="I483" s="15">
        <v>5331.73</v>
      </c>
      <c r="J483" s="15">
        <v>5331.73</v>
      </c>
      <c r="K483" s="15">
        <v>5331.73</v>
      </c>
      <c r="L483" s="15">
        <v>5331.73</v>
      </c>
      <c r="M483" s="15">
        <v>5331.73</v>
      </c>
      <c r="N483" s="15">
        <v>5350.56</v>
      </c>
      <c r="O483" t="s">
        <v>75</v>
      </c>
    </row>
    <row r="484" spans="1:15" x14ac:dyDescent="0.25">
      <c r="A484" s="10" t="s">
        <v>1085</v>
      </c>
      <c r="B484" s="15">
        <v>3574.41</v>
      </c>
      <c r="C484" s="15">
        <v>4119.9399999999996</v>
      </c>
      <c r="D484" s="15">
        <v>4008.7</v>
      </c>
      <c r="E484" s="15">
        <v>4008.7</v>
      </c>
      <c r="F484" s="15">
        <v>4008.7</v>
      </c>
      <c r="G484" s="15">
        <v>4008.7</v>
      </c>
      <c r="H484" s="15">
        <v>4008.7</v>
      </c>
      <c r="I484" s="15">
        <v>4008.7</v>
      </c>
      <c r="J484" s="15">
        <v>4008.7</v>
      </c>
      <c r="K484" s="15">
        <v>4008.7</v>
      </c>
      <c r="L484" s="15">
        <v>7580.23</v>
      </c>
      <c r="M484" s="15">
        <v>4008.7</v>
      </c>
      <c r="N484" s="15">
        <v>4017.97</v>
      </c>
      <c r="O484" t="s">
        <v>75</v>
      </c>
    </row>
    <row r="485" spans="1:15" x14ac:dyDescent="0.25">
      <c r="A485" s="10" t="s">
        <v>1090</v>
      </c>
      <c r="B485" s="15">
        <v>1922.57</v>
      </c>
      <c r="C485" s="15">
        <v>5044.3500000000004</v>
      </c>
      <c r="D485" s="15">
        <v>2189.77</v>
      </c>
      <c r="E485" s="15">
        <v>921.31</v>
      </c>
      <c r="F485" s="15">
        <v>1842.62</v>
      </c>
      <c r="G485" s="15">
        <v>2153.65</v>
      </c>
      <c r="H485" s="15">
        <v>2211.14</v>
      </c>
      <c r="I485" s="15">
        <v>2129.5100000000002</v>
      </c>
      <c r="J485" s="15">
        <v>2085.11</v>
      </c>
      <c r="K485" s="15">
        <v>2211.14</v>
      </c>
      <c r="L485" s="15">
        <v>2211.14</v>
      </c>
      <c r="M485" s="15">
        <v>2117.17</v>
      </c>
      <c r="N485" s="15">
        <v>2211.14</v>
      </c>
      <c r="O485" t="s">
        <v>75</v>
      </c>
    </row>
    <row r="486" spans="1:15" x14ac:dyDescent="0.25">
      <c r="A486" s="10" t="s">
        <v>1092</v>
      </c>
      <c r="B486" s="15">
        <v>2950.32</v>
      </c>
      <c r="C486" s="15">
        <v>3322.78</v>
      </c>
      <c r="D486" s="15">
        <v>3123.65</v>
      </c>
      <c r="E486" s="15">
        <v>3123.65</v>
      </c>
      <c r="F486" s="15">
        <v>3123.65</v>
      </c>
      <c r="G486" s="15">
        <v>3123.65</v>
      </c>
      <c r="H486" s="15">
        <v>5978.7</v>
      </c>
      <c r="I486" s="15">
        <v>3123.65</v>
      </c>
      <c r="J486" s="15">
        <v>1822.13</v>
      </c>
      <c r="K486" s="15">
        <v>3123.65</v>
      </c>
      <c r="L486" s="15">
        <v>3123.65</v>
      </c>
      <c r="M486" s="15">
        <v>3123.65</v>
      </c>
      <c r="N486" s="15">
        <v>3140.24</v>
      </c>
      <c r="O486" t="s">
        <v>75</v>
      </c>
    </row>
    <row r="487" spans="1:15" x14ac:dyDescent="0.25">
      <c r="A487" s="10" t="s">
        <v>1094</v>
      </c>
      <c r="B487" s="15">
        <v>6013.73</v>
      </c>
      <c r="C487" s="15">
        <v>7158.9</v>
      </c>
      <c r="D487" s="15">
        <v>1810.74</v>
      </c>
      <c r="E487" s="15">
        <v>2866.67</v>
      </c>
      <c r="F487" s="15">
        <v>2958.7</v>
      </c>
      <c r="G487" s="15">
        <v>2978.96</v>
      </c>
      <c r="H487" s="15">
        <v>2999.22</v>
      </c>
      <c r="I487" s="15">
        <v>3001.22</v>
      </c>
      <c r="J487" s="15">
        <v>2991.22</v>
      </c>
      <c r="K487" s="15">
        <v>2984.96</v>
      </c>
      <c r="L487" s="15">
        <v>3001.22</v>
      </c>
      <c r="M487" s="15">
        <v>4664.29</v>
      </c>
      <c r="N487" s="15">
        <v>3486.28</v>
      </c>
      <c r="O487" t="s">
        <v>75</v>
      </c>
    </row>
    <row r="488" spans="1:15" x14ac:dyDescent="0.25">
      <c r="A488" s="10" t="s">
        <v>1096</v>
      </c>
      <c r="B488" s="15">
        <v>2691.71</v>
      </c>
      <c r="C488" s="15">
        <v>2872.31</v>
      </c>
      <c r="D488" s="15">
        <v>2907.16</v>
      </c>
      <c r="E488" s="15">
        <v>3102.09</v>
      </c>
      <c r="F488" s="15">
        <v>5426.74</v>
      </c>
      <c r="G488" s="15">
        <v>2872.31</v>
      </c>
      <c r="H488" s="15">
        <v>1675.52</v>
      </c>
      <c r="I488" s="15">
        <v>2872.31</v>
      </c>
      <c r="J488" s="15">
        <v>2872.31</v>
      </c>
      <c r="K488" s="15">
        <v>2872.31</v>
      </c>
      <c r="L488" s="15">
        <v>2872.31</v>
      </c>
      <c r="M488" s="15">
        <v>3216.99</v>
      </c>
      <c r="N488" s="15">
        <v>2923.09</v>
      </c>
      <c r="O488" t="s">
        <v>75</v>
      </c>
    </row>
    <row r="489" spans="1:15" x14ac:dyDescent="0.25">
      <c r="A489" s="10" t="s">
        <v>1098</v>
      </c>
      <c r="B489" s="15">
        <v>11151.42</v>
      </c>
      <c r="C489" s="15">
        <v>9409.5</v>
      </c>
      <c r="D489" s="15">
        <v>13124.29</v>
      </c>
      <c r="E489" s="15">
        <v>13124.29</v>
      </c>
      <c r="F489" s="15">
        <v>13124.29</v>
      </c>
      <c r="G489" s="15">
        <v>13124.29</v>
      </c>
      <c r="H489" s="15">
        <v>13124.29</v>
      </c>
      <c r="I489" s="15">
        <v>13124.29</v>
      </c>
      <c r="J489" s="15">
        <v>13124.29</v>
      </c>
      <c r="K489" s="15">
        <v>13124.29</v>
      </c>
      <c r="L489" s="15">
        <v>13124.29</v>
      </c>
      <c r="M489" s="15">
        <v>24790.33</v>
      </c>
      <c r="N489" s="15">
        <v>13124.29</v>
      </c>
      <c r="O489" t="s">
        <v>75</v>
      </c>
    </row>
    <row r="490" spans="1:15" x14ac:dyDescent="0.25">
      <c r="A490" s="10" t="s">
        <v>1100</v>
      </c>
      <c r="B490" s="15">
        <v>8305.83</v>
      </c>
      <c r="C490" s="15">
        <v>6296</v>
      </c>
      <c r="D490" s="15">
        <v>9291.3700000000008</v>
      </c>
      <c r="E490" s="15">
        <v>9291.3700000000008</v>
      </c>
      <c r="F490" s="15">
        <v>9291.3700000000008</v>
      </c>
      <c r="G490" s="15">
        <v>9291.3700000000008</v>
      </c>
      <c r="H490" s="15">
        <v>9291.3700000000008</v>
      </c>
      <c r="I490" s="15">
        <v>9291.3700000000008</v>
      </c>
      <c r="J490" s="15">
        <v>9291.3700000000008</v>
      </c>
      <c r="K490" s="15">
        <v>9291.3700000000008</v>
      </c>
      <c r="L490" s="15">
        <v>17550.37</v>
      </c>
      <c r="M490" s="15">
        <v>9291.3700000000008</v>
      </c>
      <c r="N490" s="15">
        <v>9291.3700000000008</v>
      </c>
      <c r="O490" t="s">
        <v>75</v>
      </c>
    </row>
    <row r="491" spans="1:15" x14ac:dyDescent="0.25">
      <c r="A491" s="10" t="s">
        <v>1102</v>
      </c>
      <c r="B491" s="15">
        <v>24592.799999999999</v>
      </c>
      <c r="C491" s="15">
        <v>16420.740000000002</v>
      </c>
      <c r="D491" s="15">
        <v>7743.24</v>
      </c>
      <c r="E491" s="15">
        <v>13664.55</v>
      </c>
      <c r="F491" s="15">
        <v>13664.55</v>
      </c>
      <c r="G491" s="15">
        <v>13664.55</v>
      </c>
      <c r="H491" s="15">
        <v>13620.14</v>
      </c>
      <c r="I491" s="15">
        <v>13664.55</v>
      </c>
      <c r="J491" s="15">
        <v>13664.55</v>
      </c>
      <c r="K491" s="15">
        <v>13664.55</v>
      </c>
      <c r="L491" s="15">
        <v>13664.55</v>
      </c>
      <c r="M491" s="15">
        <v>13664.55</v>
      </c>
      <c r="N491" s="15">
        <v>13826.39</v>
      </c>
      <c r="O491" t="s">
        <v>75</v>
      </c>
    </row>
    <row r="492" spans="1:15" x14ac:dyDescent="0.25">
      <c r="A492" s="10" t="s">
        <v>1107</v>
      </c>
      <c r="B492" s="15">
        <v>3567.92</v>
      </c>
      <c r="C492" s="15">
        <v>2487.5300000000002</v>
      </c>
      <c r="D492" s="15">
        <v>1658.36</v>
      </c>
      <c r="E492" s="15">
        <v>2128.59</v>
      </c>
      <c r="F492" s="15">
        <v>2142.96</v>
      </c>
      <c r="G492" s="15">
        <v>2211.14</v>
      </c>
      <c r="H492" s="15">
        <v>2211.14</v>
      </c>
      <c r="I492" s="15">
        <v>4197.0600000000004</v>
      </c>
      <c r="J492" s="15">
        <v>2211.14</v>
      </c>
      <c r="K492" s="15">
        <v>810.75</v>
      </c>
      <c r="L492" s="15">
        <v>2123.44</v>
      </c>
      <c r="M492" s="15">
        <v>2244.58</v>
      </c>
      <c r="N492" s="15">
        <v>2052.6999999999998</v>
      </c>
      <c r="O492" t="s">
        <v>75</v>
      </c>
    </row>
    <row r="493" spans="1:15" x14ac:dyDescent="0.25">
      <c r="A493" s="10" t="s">
        <v>1109</v>
      </c>
      <c r="B493" s="15">
        <v>1491.93</v>
      </c>
      <c r="C493" s="15">
        <v>1658.36</v>
      </c>
      <c r="D493" s="15">
        <v>2909.68</v>
      </c>
      <c r="E493" s="15">
        <v>0</v>
      </c>
      <c r="F493" s="15">
        <v>0</v>
      </c>
      <c r="G493" s="15">
        <v>0</v>
      </c>
      <c r="H493" s="15">
        <v>0</v>
      </c>
      <c r="I493" s="15">
        <v>0</v>
      </c>
      <c r="J493" s="15">
        <v>0</v>
      </c>
      <c r="K493" s="15">
        <v>0</v>
      </c>
      <c r="L493" s="15">
        <v>0</v>
      </c>
      <c r="M493" s="15">
        <v>0</v>
      </c>
      <c r="N493" s="15">
        <v>414.59</v>
      </c>
      <c r="O493" t="s">
        <v>75</v>
      </c>
    </row>
    <row r="494" spans="1:15" x14ac:dyDescent="0.25">
      <c r="A494" s="10" t="s">
        <v>1111</v>
      </c>
      <c r="B494" s="15">
        <v>7527.5</v>
      </c>
      <c r="C494" s="15">
        <v>3962.93</v>
      </c>
      <c r="D494" s="15">
        <v>3611.09</v>
      </c>
      <c r="E494" s="15">
        <v>4333.3100000000004</v>
      </c>
      <c r="F494" s="15">
        <v>6600.79</v>
      </c>
      <c r="G494" s="15">
        <v>3177.76</v>
      </c>
      <c r="H494" s="15">
        <v>3899.98</v>
      </c>
      <c r="I494" s="15">
        <v>4333.3100000000004</v>
      </c>
      <c r="J494" s="15">
        <v>4333.3100000000004</v>
      </c>
      <c r="K494" s="15">
        <v>4327.17</v>
      </c>
      <c r="L494" s="15">
        <v>6280.63</v>
      </c>
      <c r="M494" s="15">
        <v>7428.67</v>
      </c>
      <c r="N494" s="15">
        <v>4515.41</v>
      </c>
      <c r="O494" t="s">
        <v>75</v>
      </c>
    </row>
    <row r="495" spans="1:15" x14ac:dyDescent="0.25">
      <c r="A495" s="10" t="s">
        <v>1113</v>
      </c>
      <c r="B495" s="15">
        <v>1231.48</v>
      </c>
      <c r="C495" s="15">
        <v>2374.36</v>
      </c>
      <c r="D495" s="15">
        <v>0</v>
      </c>
      <c r="E495" s="15">
        <v>0</v>
      </c>
      <c r="F495" s="15">
        <v>0</v>
      </c>
      <c r="G495" s="15">
        <v>0</v>
      </c>
      <c r="H495" s="15">
        <v>0</v>
      </c>
      <c r="I495" s="15">
        <v>0</v>
      </c>
      <c r="J495" s="15">
        <v>0</v>
      </c>
      <c r="K495" s="15">
        <v>0</v>
      </c>
      <c r="L495" s="15">
        <v>0</v>
      </c>
      <c r="M495" s="15">
        <v>0</v>
      </c>
      <c r="N495" s="15">
        <v>239.08</v>
      </c>
      <c r="O495" t="s">
        <v>75</v>
      </c>
    </row>
    <row r="496" spans="1:15" x14ac:dyDescent="0.25">
      <c r="A496" s="10" t="s">
        <v>1115</v>
      </c>
      <c r="B496" s="15">
        <v>2387.08</v>
      </c>
      <c r="C496" s="15">
        <v>2548.44</v>
      </c>
      <c r="D496" s="15">
        <v>2547.17</v>
      </c>
      <c r="E496" s="15">
        <v>2537.4</v>
      </c>
      <c r="F496" s="15">
        <v>5936.59</v>
      </c>
      <c r="G496" s="15">
        <v>2522.7399999999998</v>
      </c>
      <c r="H496" s="15">
        <v>1633.98</v>
      </c>
      <c r="I496" s="15">
        <v>1529.06</v>
      </c>
      <c r="J496" s="15">
        <v>2548.44</v>
      </c>
      <c r="K496" s="15">
        <v>2548.44</v>
      </c>
      <c r="L496" s="15">
        <v>2510.64</v>
      </c>
      <c r="M496" s="15">
        <v>2531.0300000000002</v>
      </c>
      <c r="N496" s="15">
        <v>2548.44</v>
      </c>
      <c r="O496" t="s">
        <v>75</v>
      </c>
    </row>
    <row r="497" spans="1:15" x14ac:dyDescent="0.25">
      <c r="A497" s="10" t="s">
        <v>1117</v>
      </c>
      <c r="B497" s="15">
        <v>3108.18</v>
      </c>
      <c r="C497" s="15">
        <v>4289.41</v>
      </c>
      <c r="D497" s="15">
        <v>3478.13</v>
      </c>
      <c r="E497" s="15">
        <v>3478.13</v>
      </c>
      <c r="F497" s="15">
        <v>5284.6</v>
      </c>
      <c r="G497" s="15">
        <v>3188.28</v>
      </c>
      <c r="H497" s="15">
        <v>3478.13</v>
      </c>
      <c r="I497" s="15">
        <v>3578.6</v>
      </c>
      <c r="J497" s="15">
        <v>2086.88</v>
      </c>
      <c r="K497" s="15">
        <v>0</v>
      </c>
      <c r="L497" s="15">
        <v>2270.23</v>
      </c>
      <c r="M497" s="15">
        <v>4629.3900000000003</v>
      </c>
      <c r="N497" s="15">
        <v>2961.76</v>
      </c>
      <c r="O497" t="s">
        <v>75</v>
      </c>
    </row>
    <row r="498" spans="1:15" x14ac:dyDescent="0.25">
      <c r="A498" s="10" t="s">
        <v>1119</v>
      </c>
      <c r="B498" s="15">
        <v>13435.07</v>
      </c>
      <c r="C498" s="15">
        <v>20332.98</v>
      </c>
      <c r="D498" s="15">
        <v>14408.1</v>
      </c>
      <c r="E498" s="15">
        <v>14467.56</v>
      </c>
      <c r="F498" s="15">
        <v>13943.96</v>
      </c>
      <c r="G498" s="15">
        <v>26739.29</v>
      </c>
      <c r="H498" s="15">
        <v>13931.62</v>
      </c>
      <c r="I498" s="15">
        <v>7991.72</v>
      </c>
      <c r="J498" s="15">
        <v>13843.62</v>
      </c>
      <c r="K498" s="15">
        <v>13620.45</v>
      </c>
      <c r="L498" s="15">
        <v>13902.56</v>
      </c>
      <c r="M498" s="15">
        <v>13576.52</v>
      </c>
      <c r="N498" s="15">
        <v>14420.15</v>
      </c>
      <c r="O498" t="s">
        <v>75</v>
      </c>
    </row>
    <row r="499" spans="1:15" x14ac:dyDescent="0.25">
      <c r="A499" s="10" t="s">
        <v>1121</v>
      </c>
      <c r="B499" s="15">
        <v>13618.92</v>
      </c>
      <c r="C499" s="15">
        <v>11363.82</v>
      </c>
      <c r="D499" s="15">
        <v>8484.1299999999992</v>
      </c>
      <c r="E499" s="15">
        <v>10180.950000000001</v>
      </c>
      <c r="F499" s="15">
        <v>10180.950000000001</v>
      </c>
      <c r="G499" s="15">
        <v>10180.950000000001</v>
      </c>
      <c r="H499" s="15">
        <v>10180.950000000001</v>
      </c>
      <c r="I499" s="15">
        <v>10180.950000000001</v>
      </c>
      <c r="J499" s="15">
        <v>10180.950000000001</v>
      </c>
      <c r="K499" s="15">
        <v>10180.950000000001</v>
      </c>
      <c r="L499" s="15">
        <v>10180.950000000001</v>
      </c>
      <c r="M499" s="15">
        <v>10180.950000000001</v>
      </c>
      <c r="N499" s="15">
        <v>10180.950000000001</v>
      </c>
      <c r="O499" t="s">
        <v>75</v>
      </c>
    </row>
    <row r="500" spans="1:15" x14ac:dyDescent="0.25">
      <c r="A500" s="10" t="s">
        <v>1123</v>
      </c>
      <c r="B500" s="15">
        <v>2401.98</v>
      </c>
      <c r="C500" s="15">
        <v>1298.49</v>
      </c>
      <c r="D500" s="15">
        <v>1906.33</v>
      </c>
      <c r="E500" s="15">
        <v>2042.5</v>
      </c>
      <c r="F500" s="15">
        <v>2226.58</v>
      </c>
      <c r="G500" s="15">
        <v>2042.5</v>
      </c>
      <c r="H500" s="15">
        <v>2042.5</v>
      </c>
      <c r="I500" s="15">
        <v>2042.5</v>
      </c>
      <c r="J500" s="15">
        <v>2042.5</v>
      </c>
      <c r="K500" s="15">
        <v>2042.5</v>
      </c>
      <c r="L500" s="15">
        <v>2042.5</v>
      </c>
      <c r="M500" s="15">
        <v>4840.5</v>
      </c>
      <c r="N500" s="15">
        <v>2098.5</v>
      </c>
      <c r="O500" t="s">
        <v>75</v>
      </c>
    </row>
    <row r="501" spans="1:15" x14ac:dyDescent="0.25">
      <c r="A501" s="10" t="s">
        <v>1125</v>
      </c>
      <c r="B501" s="15">
        <v>18598.02</v>
      </c>
      <c r="C501" s="15">
        <v>10246.040000000001</v>
      </c>
      <c r="D501" s="15">
        <v>6318.38</v>
      </c>
      <c r="E501" s="15">
        <v>9904.5</v>
      </c>
      <c r="F501" s="15">
        <v>10246.040000000001</v>
      </c>
      <c r="G501" s="15">
        <v>10246.040000000001</v>
      </c>
      <c r="H501" s="15">
        <v>10246.040000000001</v>
      </c>
      <c r="I501" s="15">
        <v>10246.040000000001</v>
      </c>
      <c r="J501" s="15">
        <v>10246.040000000001</v>
      </c>
      <c r="K501" s="15">
        <v>10246.040000000001</v>
      </c>
      <c r="L501" s="15">
        <v>10246.040000000001</v>
      </c>
      <c r="M501" s="15">
        <v>19353.63</v>
      </c>
      <c r="N501" s="15">
        <v>10246.040000000001</v>
      </c>
      <c r="O501" t="s">
        <v>75</v>
      </c>
    </row>
    <row r="502" spans="1:15" x14ac:dyDescent="0.25">
      <c r="A502" s="10" t="s">
        <v>1127</v>
      </c>
      <c r="B502" s="15">
        <v>2387.08</v>
      </c>
      <c r="C502" s="15">
        <v>1637.35</v>
      </c>
      <c r="D502" s="15">
        <v>2548.44</v>
      </c>
      <c r="E502" s="15">
        <v>2548.44</v>
      </c>
      <c r="F502" s="15">
        <v>2548.44</v>
      </c>
      <c r="G502" s="15">
        <v>2548.44</v>
      </c>
      <c r="H502" s="15">
        <v>2542.4899999999998</v>
      </c>
      <c r="I502" s="15">
        <v>3681.35</v>
      </c>
      <c r="J502" s="15">
        <v>2192.5100000000002</v>
      </c>
      <c r="K502" s="15">
        <v>1872.89</v>
      </c>
      <c r="L502" s="15">
        <v>2548.44</v>
      </c>
      <c r="M502" s="15">
        <v>4814.2700000000004</v>
      </c>
      <c r="N502" s="15">
        <v>2549.0500000000002</v>
      </c>
      <c r="O502" t="s">
        <v>75</v>
      </c>
    </row>
    <row r="503" spans="1:15" x14ac:dyDescent="0.25">
      <c r="A503" s="10" t="s">
        <v>1129</v>
      </c>
      <c r="B503" s="15">
        <v>8183.74</v>
      </c>
      <c r="C503" s="15">
        <v>9163.09</v>
      </c>
      <c r="D503" s="15">
        <v>9163.09</v>
      </c>
      <c r="E503" s="15">
        <v>13235.57</v>
      </c>
      <c r="F503" s="15">
        <v>9163.09</v>
      </c>
      <c r="G503" s="15">
        <v>8399.5</v>
      </c>
      <c r="H503" s="15">
        <v>13235.57</v>
      </c>
      <c r="I503" s="15">
        <v>9163.09</v>
      </c>
      <c r="J503" s="15">
        <v>6108.73</v>
      </c>
      <c r="K503" s="15">
        <v>9163.09</v>
      </c>
      <c r="L503" s="15">
        <v>9163.09</v>
      </c>
      <c r="M503" s="15">
        <v>9163.09</v>
      </c>
      <c r="N503" s="15">
        <v>9163.09</v>
      </c>
      <c r="O503" t="s">
        <v>75</v>
      </c>
    </row>
    <row r="504" spans="1:15" x14ac:dyDescent="0.25">
      <c r="A504" s="10" t="s">
        <v>1134</v>
      </c>
      <c r="B504" s="15">
        <v>1989.25</v>
      </c>
      <c r="C504" s="15">
        <v>2225.2399999999998</v>
      </c>
      <c r="D504" s="15">
        <v>2211.14</v>
      </c>
      <c r="E504" s="15">
        <v>2211.14</v>
      </c>
      <c r="F504" s="15">
        <v>2211.14</v>
      </c>
      <c r="G504" s="15">
        <v>2211.14</v>
      </c>
      <c r="H504" s="15">
        <v>5160.8900000000003</v>
      </c>
      <c r="I504" s="15">
        <v>2211.14</v>
      </c>
      <c r="J504" s="15">
        <v>552.79</v>
      </c>
      <c r="K504" s="15">
        <v>2211.14</v>
      </c>
      <c r="L504" s="15">
        <v>2211.14</v>
      </c>
      <c r="M504" s="15">
        <v>2211.14</v>
      </c>
      <c r="N504" s="15">
        <v>2212.31</v>
      </c>
      <c r="O504" t="s">
        <v>75</v>
      </c>
    </row>
    <row r="505" spans="1:15" x14ac:dyDescent="0.25">
      <c r="A505" s="10" t="s">
        <v>1136</v>
      </c>
      <c r="B505" s="15">
        <v>1885.89</v>
      </c>
      <c r="C505" s="15">
        <v>3674.89</v>
      </c>
      <c r="D505" s="15">
        <v>3100.52</v>
      </c>
      <c r="E505" s="15">
        <v>3100.52</v>
      </c>
      <c r="F505" s="15">
        <v>3100.52</v>
      </c>
      <c r="G505" s="15">
        <v>3100.52</v>
      </c>
      <c r="H505" s="15">
        <v>3100.52</v>
      </c>
      <c r="I505" s="15">
        <v>3100.52</v>
      </c>
      <c r="J505" s="15">
        <v>3100.52</v>
      </c>
      <c r="K505" s="15">
        <v>3100.52</v>
      </c>
      <c r="L505" s="15">
        <v>3100.52</v>
      </c>
      <c r="M505" s="15">
        <v>5898.44</v>
      </c>
      <c r="N505" s="15">
        <v>3148.38</v>
      </c>
      <c r="O505" t="s">
        <v>75</v>
      </c>
    </row>
    <row r="506" spans="1:15" x14ac:dyDescent="0.25">
      <c r="A506" s="10" t="s">
        <v>1138</v>
      </c>
      <c r="B506" s="15">
        <v>1018.48</v>
      </c>
      <c r="C506" s="15">
        <v>1074.3900000000001</v>
      </c>
      <c r="D506" s="15">
        <v>1031.07</v>
      </c>
      <c r="E506" s="15">
        <v>1082.96</v>
      </c>
      <c r="F506" s="15">
        <v>1157.8599999999999</v>
      </c>
      <c r="G506" s="15">
        <v>1082.96</v>
      </c>
      <c r="H506" s="15">
        <v>1045.51</v>
      </c>
      <c r="I506" s="15">
        <v>1046.32</v>
      </c>
      <c r="J506" s="15">
        <v>1075.74</v>
      </c>
      <c r="K506" s="15">
        <v>2051.13</v>
      </c>
      <c r="L506" s="15">
        <v>667.83</v>
      </c>
      <c r="M506" s="15">
        <v>1046.8599999999999</v>
      </c>
      <c r="N506" s="15">
        <v>1089.2</v>
      </c>
      <c r="O506" t="s">
        <v>75</v>
      </c>
    </row>
    <row r="507" spans="1:15" x14ac:dyDescent="0.25">
      <c r="A507" s="10" t="s">
        <v>1140</v>
      </c>
      <c r="B507" s="15">
        <v>1983.27</v>
      </c>
      <c r="C507" s="15">
        <v>2211.14</v>
      </c>
      <c r="D507" s="15">
        <v>2177.2399999999998</v>
      </c>
      <c r="E507" s="15">
        <v>2211.14</v>
      </c>
      <c r="F507" s="15">
        <v>2211.14</v>
      </c>
      <c r="G507" s="15">
        <v>2211.14</v>
      </c>
      <c r="H507" s="15">
        <v>2211.14</v>
      </c>
      <c r="I507" s="15">
        <v>2211.14</v>
      </c>
      <c r="J507" s="15">
        <v>737.05</v>
      </c>
      <c r="K507" s="15">
        <v>2186.56</v>
      </c>
      <c r="L507" s="15">
        <v>2690.23</v>
      </c>
      <c r="M507" s="15">
        <v>703.14</v>
      </c>
      <c r="N507" s="15">
        <v>1842.62</v>
      </c>
      <c r="O507" t="s">
        <v>75</v>
      </c>
    </row>
    <row r="508" spans="1:15" x14ac:dyDescent="0.25">
      <c r="A508" s="10" t="s">
        <v>1142</v>
      </c>
      <c r="B508" s="15">
        <v>9364.7900000000009</v>
      </c>
      <c r="C508" s="15">
        <v>2393.6999999999998</v>
      </c>
      <c r="D508" s="15">
        <v>9376</v>
      </c>
      <c r="E508" s="15">
        <v>9376</v>
      </c>
      <c r="F508" s="15">
        <v>9376</v>
      </c>
      <c r="G508" s="15">
        <v>9376</v>
      </c>
      <c r="H508" s="15">
        <v>9376</v>
      </c>
      <c r="I508" s="15">
        <v>9376</v>
      </c>
      <c r="J508" s="15">
        <v>9376</v>
      </c>
      <c r="K508" s="15">
        <v>9376</v>
      </c>
      <c r="L508" s="15">
        <v>9376</v>
      </c>
      <c r="M508" s="15">
        <v>21877.33</v>
      </c>
      <c r="N508" s="15">
        <v>9376</v>
      </c>
      <c r="O508" t="s">
        <v>75</v>
      </c>
    </row>
    <row r="509" spans="1:15" x14ac:dyDescent="0.25">
      <c r="A509" s="10" t="s">
        <v>1144</v>
      </c>
      <c r="B509" s="15">
        <v>10688.24</v>
      </c>
      <c r="C509" s="15">
        <v>11230.14</v>
      </c>
      <c r="D509" s="15">
        <v>11230.14</v>
      </c>
      <c r="E509" s="15">
        <v>11230.14</v>
      </c>
      <c r="F509" s="15">
        <v>26203.66</v>
      </c>
      <c r="G509" s="15">
        <v>11230.14</v>
      </c>
      <c r="H509" s="15">
        <v>4679.2299999999996</v>
      </c>
      <c r="I509" s="15">
        <v>9358.4500000000007</v>
      </c>
      <c r="J509" s="15">
        <v>11230.14</v>
      </c>
      <c r="K509" s="15">
        <v>11230.14</v>
      </c>
      <c r="L509" s="15">
        <v>11230.14</v>
      </c>
      <c r="M509" s="15">
        <v>11230.14</v>
      </c>
      <c r="N509" s="15">
        <v>11230.14</v>
      </c>
      <c r="O509" t="s">
        <v>75</v>
      </c>
    </row>
    <row r="510" spans="1:15" x14ac:dyDescent="0.25">
      <c r="A510" s="10" t="s">
        <v>1146</v>
      </c>
      <c r="B510" s="15">
        <v>11197.19</v>
      </c>
      <c r="C510" s="15">
        <v>13785.9</v>
      </c>
      <c r="D510" s="15">
        <v>26449.06</v>
      </c>
      <c r="E510" s="15">
        <v>11000.65</v>
      </c>
      <c r="F510" s="15">
        <v>3573.46</v>
      </c>
      <c r="G510" s="15">
        <v>9491.93</v>
      </c>
      <c r="H510" s="15">
        <v>10806.53</v>
      </c>
      <c r="I510" s="15">
        <v>10858.46</v>
      </c>
      <c r="J510" s="15">
        <v>10849.61</v>
      </c>
      <c r="K510" s="15">
        <v>10536.98</v>
      </c>
      <c r="L510" s="15">
        <v>10517.34</v>
      </c>
      <c r="M510" s="15">
        <v>10871.2</v>
      </c>
      <c r="N510" s="15">
        <v>11054.98</v>
      </c>
      <c r="O510" t="s">
        <v>75</v>
      </c>
    </row>
    <row r="511" spans="1:15" x14ac:dyDescent="0.25">
      <c r="A511" s="10" t="s">
        <v>1148</v>
      </c>
      <c r="B511" s="15">
        <v>7603</v>
      </c>
      <c r="C511" s="15">
        <v>5831.35</v>
      </c>
      <c r="D511" s="15">
        <v>7988.47</v>
      </c>
      <c r="E511" s="15">
        <v>7988.47</v>
      </c>
      <c r="F511" s="15">
        <v>7988.47</v>
      </c>
      <c r="G511" s="15">
        <v>7988.47</v>
      </c>
      <c r="H511" s="15">
        <v>7988.47</v>
      </c>
      <c r="I511" s="15">
        <v>7988.47</v>
      </c>
      <c r="J511" s="15">
        <v>7988.47</v>
      </c>
      <c r="K511" s="15">
        <v>7988.47</v>
      </c>
      <c r="L511" s="15">
        <v>7988.47</v>
      </c>
      <c r="M511" s="15">
        <v>15136.71</v>
      </c>
      <c r="N511" s="15">
        <v>8057.54</v>
      </c>
      <c r="O511" t="s">
        <v>75</v>
      </c>
    </row>
    <row r="512" spans="1:15" x14ac:dyDescent="0.25">
      <c r="A512" s="10" t="s">
        <v>1150</v>
      </c>
      <c r="B512" s="15">
        <v>5745.32</v>
      </c>
      <c r="C512" s="15">
        <v>11394.94</v>
      </c>
      <c r="D512" s="15">
        <v>6032.62</v>
      </c>
      <c r="E512" s="15">
        <v>3519.04</v>
      </c>
      <c r="F512" s="15">
        <v>6032.62</v>
      </c>
      <c r="G512" s="15">
        <v>6032.62</v>
      </c>
      <c r="H512" s="15">
        <v>6032.62</v>
      </c>
      <c r="I512" s="15">
        <v>6032.62</v>
      </c>
      <c r="J512" s="15">
        <v>6032.62</v>
      </c>
      <c r="K512" s="15">
        <v>6032.62</v>
      </c>
      <c r="L512" s="15">
        <v>6032.62</v>
      </c>
      <c r="M512" s="15">
        <v>6032.62</v>
      </c>
      <c r="N512" s="15">
        <v>6032.62</v>
      </c>
      <c r="O512" t="s">
        <v>75</v>
      </c>
    </row>
    <row r="513" spans="1:15" x14ac:dyDescent="0.25">
      <c r="A513" s="10" t="s">
        <v>1152</v>
      </c>
      <c r="B513" s="15">
        <v>3169.12</v>
      </c>
      <c r="C513" s="15">
        <v>3638.75</v>
      </c>
      <c r="D513" s="15">
        <v>3460.94</v>
      </c>
      <c r="E513" s="15">
        <v>3460.94</v>
      </c>
      <c r="F513" s="15">
        <v>3760.31</v>
      </c>
      <c r="G513" s="15">
        <v>3460.94</v>
      </c>
      <c r="H513" s="15">
        <v>3293.66</v>
      </c>
      <c r="I513" s="15">
        <v>3300.01</v>
      </c>
      <c r="J513" s="15">
        <v>3460.94</v>
      </c>
      <c r="K513" s="15">
        <v>6537.33</v>
      </c>
      <c r="L513" s="15">
        <v>2711.07</v>
      </c>
      <c r="M513" s="15">
        <v>2768.76</v>
      </c>
      <c r="N513" s="15">
        <v>3500.7</v>
      </c>
      <c r="O513" t="s">
        <v>75</v>
      </c>
    </row>
    <row r="514" spans="1:15" x14ac:dyDescent="0.25">
      <c r="A514" s="10" t="s">
        <v>1154</v>
      </c>
      <c r="B514" s="15">
        <v>1989.25</v>
      </c>
      <c r="C514" s="15">
        <v>2304.0100000000002</v>
      </c>
      <c r="D514" s="15">
        <v>2211.14</v>
      </c>
      <c r="E514" s="15">
        <v>2211.14</v>
      </c>
      <c r="F514" s="15">
        <v>5169.6499999999996</v>
      </c>
      <c r="G514" s="15">
        <v>2100.59</v>
      </c>
      <c r="H514" s="15">
        <v>663.34</v>
      </c>
      <c r="I514" s="15">
        <v>2211.14</v>
      </c>
      <c r="J514" s="15">
        <v>2211.14</v>
      </c>
      <c r="K514" s="15">
        <v>2211.14</v>
      </c>
      <c r="L514" s="15">
        <v>2211.14</v>
      </c>
      <c r="M514" s="15">
        <v>2211.14</v>
      </c>
      <c r="N514" s="15">
        <v>2218.88</v>
      </c>
      <c r="O514" t="s">
        <v>75</v>
      </c>
    </row>
    <row r="515" spans="1:15" x14ac:dyDescent="0.25">
      <c r="A515" s="10" t="s">
        <v>1156</v>
      </c>
      <c r="B515" s="15">
        <v>4407.1000000000004</v>
      </c>
      <c r="C515" s="15">
        <v>4425.5</v>
      </c>
      <c r="D515" s="15">
        <v>4425.5</v>
      </c>
      <c r="E515" s="15">
        <v>4425.5</v>
      </c>
      <c r="F515" s="15">
        <v>4425.5</v>
      </c>
      <c r="G515" s="15">
        <v>4425.5</v>
      </c>
      <c r="H515" s="15">
        <v>4425.5</v>
      </c>
      <c r="I515" s="15">
        <v>4425.5</v>
      </c>
      <c r="J515" s="15">
        <v>10964.03</v>
      </c>
      <c r="K515" s="15">
        <v>4425.5</v>
      </c>
      <c r="L515" s="15">
        <v>1189.8599999999999</v>
      </c>
      <c r="M515" s="15">
        <v>4425.5</v>
      </c>
      <c r="N515" s="15">
        <v>4918.07</v>
      </c>
      <c r="O515" t="s">
        <v>75</v>
      </c>
    </row>
    <row r="516" spans="1:15" x14ac:dyDescent="0.25">
      <c r="A516" s="10" t="s">
        <v>1158</v>
      </c>
      <c r="B516" s="15">
        <v>1989.23</v>
      </c>
      <c r="C516" s="15">
        <v>2323.36</v>
      </c>
      <c r="D516" s="15">
        <v>2211.14</v>
      </c>
      <c r="E516" s="15">
        <v>2211.14</v>
      </c>
      <c r="F516" s="15">
        <v>2211.14</v>
      </c>
      <c r="G516" s="15">
        <v>2211.14</v>
      </c>
      <c r="H516" s="15">
        <v>2211.14</v>
      </c>
      <c r="I516" s="15">
        <v>2211.14</v>
      </c>
      <c r="J516" s="15">
        <v>2211.14</v>
      </c>
      <c r="K516" s="15">
        <v>2211.14</v>
      </c>
      <c r="L516" s="15">
        <v>2211.14</v>
      </c>
      <c r="M516" s="15">
        <v>2211.14</v>
      </c>
      <c r="N516" s="15">
        <v>2220.4899999999998</v>
      </c>
      <c r="O516" t="s">
        <v>75</v>
      </c>
    </row>
    <row r="517" spans="1:15" x14ac:dyDescent="0.25">
      <c r="A517" s="10" t="s">
        <v>1160</v>
      </c>
      <c r="B517" s="15">
        <v>3147.05</v>
      </c>
      <c r="C517" s="15">
        <v>3537.44</v>
      </c>
      <c r="D517" s="15">
        <v>7011.56</v>
      </c>
      <c r="E517" s="15">
        <v>6170.82</v>
      </c>
      <c r="F517" s="15">
        <v>1642.19</v>
      </c>
      <c r="G517" s="15">
        <v>3518.97</v>
      </c>
      <c r="H517" s="15">
        <v>3518.97</v>
      </c>
      <c r="I517" s="15">
        <v>6905.44</v>
      </c>
      <c r="J517" s="15">
        <v>3518.97</v>
      </c>
      <c r="K517" s="15">
        <v>3518.97</v>
      </c>
      <c r="L517" s="15">
        <v>3518.97</v>
      </c>
      <c r="M517" s="15">
        <v>3518.97</v>
      </c>
      <c r="N517" s="15">
        <v>3989.49</v>
      </c>
      <c r="O517" t="s">
        <v>75</v>
      </c>
    </row>
    <row r="518" spans="1:15" x14ac:dyDescent="0.25">
      <c r="A518" s="10" t="s">
        <v>1162</v>
      </c>
      <c r="B518" s="15">
        <v>0</v>
      </c>
      <c r="C518" s="15">
        <v>0</v>
      </c>
      <c r="D518" s="15">
        <v>0</v>
      </c>
      <c r="E518" s="15">
        <v>0</v>
      </c>
      <c r="F518" s="15">
        <v>0</v>
      </c>
      <c r="G518" s="15">
        <v>749.67</v>
      </c>
      <c r="H518" s="15">
        <v>3212.85</v>
      </c>
      <c r="I518" s="15">
        <v>3212.85</v>
      </c>
      <c r="J518" s="15">
        <v>3091.3</v>
      </c>
      <c r="K518" s="15">
        <v>3205.89</v>
      </c>
      <c r="L518" s="15">
        <v>5616.46</v>
      </c>
      <c r="M518" s="15">
        <v>0</v>
      </c>
      <c r="N518" s="15">
        <v>1610.48</v>
      </c>
      <c r="O518" t="s">
        <v>75</v>
      </c>
    </row>
    <row r="519" spans="1:15" x14ac:dyDescent="0.25">
      <c r="A519" s="10" t="s">
        <v>1164</v>
      </c>
      <c r="B519" s="15">
        <v>1921.58</v>
      </c>
      <c r="C519" s="15">
        <v>2446.92</v>
      </c>
      <c r="D519" s="15">
        <v>2042.5</v>
      </c>
      <c r="E519" s="15">
        <v>2042.5</v>
      </c>
      <c r="F519" s="15">
        <v>4501.45</v>
      </c>
      <c r="G519" s="15">
        <v>2042.5</v>
      </c>
      <c r="H519" s="15">
        <v>1191.46</v>
      </c>
      <c r="I519" s="15">
        <v>2042.5</v>
      </c>
      <c r="J519" s="15">
        <v>2042.5</v>
      </c>
      <c r="K519" s="15">
        <v>2042.5</v>
      </c>
      <c r="L519" s="15">
        <v>2042.5</v>
      </c>
      <c r="M519" s="15">
        <v>2042.5</v>
      </c>
      <c r="N519" s="15">
        <v>2127.3200000000002</v>
      </c>
      <c r="O519" t="s">
        <v>75</v>
      </c>
    </row>
    <row r="520" spans="1:15" x14ac:dyDescent="0.25">
      <c r="A520" s="10" t="s">
        <v>1166</v>
      </c>
      <c r="B520" s="15">
        <v>734.16</v>
      </c>
      <c r="C520" s="15">
        <v>1082.96</v>
      </c>
      <c r="D520" s="15">
        <v>1040.81</v>
      </c>
      <c r="E520" s="15">
        <v>1061.48</v>
      </c>
      <c r="F520" s="15">
        <v>1033.96</v>
      </c>
      <c r="G520" s="15">
        <v>1082.96</v>
      </c>
      <c r="H520" s="15">
        <v>1070.78</v>
      </c>
      <c r="I520" s="15">
        <v>1077.27</v>
      </c>
      <c r="J520" s="15">
        <v>1481.36</v>
      </c>
      <c r="K520" s="15">
        <v>0</v>
      </c>
      <c r="L520" s="15">
        <v>0</v>
      </c>
      <c r="M520" s="15">
        <v>0</v>
      </c>
      <c r="N520" s="15">
        <v>727.42</v>
      </c>
      <c r="O520" t="s">
        <v>75</v>
      </c>
    </row>
    <row r="521" spans="1:15" x14ac:dyDescent="0.25">
      <c r="A521" s="10" t="s">
        <v>1168</v>
      </c>
      <c r="B521" s="15">
        <v>9801.33</v>
      </c>
      <c r="C521" s="15">
        <v>6853.08</v>
      </c>
      <c r="D521" s="15">
        <v>10572.7</v>
      </c>
      <c r="E521" s="15">
        <v>10572.7</v>
      </c>
      <c r="F521" s="15">
        <v>10572.7</v>
      </c>
      <c r="G521" s="15">
        <v>10572.7</v>
      </c>
      <c r="H521" s="15">
        <v>10572.7</v>
      </c>
      <c r="I521" s="15">
        <v>10572.7</v>
      </c>
      <c r="J521" s="15">
        <v>15271.67</v>
      </c>
      <c r="K521" s="15">
        <v>10572.7</v>
      </c>
      <c r="L521" s="15">
        <v>7048.47</v>
      </c>
      <c r="M521" s="15">
        <v>10572.7</v>
      </c>
      <c r="N521" s="15">
        <v>10572.7</v>
      </c>
      <c r="O521" t="s">
        <v>75</v>
      </c>
    </row>
    <row r="522" spans="1:15" x14ac:dyDescent="0.25">
      <c r="A522" s="10" t="s">
        <v>1170</v>
      </c>
      <c r="B522" s="15">
        <v>5156.37</v>
      </c>
      <c r="C522" s="15">
        <v>1955.15</v>
      </c>
      <c r="D522" s="15">
        <v>681.49</v>
      </c>
      <c r="E522" s="15">
        <v>1890.25</v>
      </c>
      <c r="F522" s="15">
        <v>1947.11</v>
      </c>
      <c r="G522" s="15">
        <v>2084.96</v>
      </c>
      <c r="H522" s="15">
        <v>1947.11</v>
      </c>
      <c r="I522" s="15">
        <v>1932.07</v>
      </c>
      <c r="J522" s="15">
        <v>1955.15</v>
      </c>
      <c r="K522" s="15">
        <v>2466.34</v>
      </c>
      <c r="L522" s="15">
        <v>1955.15</v>
      </c>
      <c r="M522" s="15">
        <v>2076.92</v>
      </c>
      <c r="N522" s="15">
        <v>2049.2199999999998</v>
      </c>
      <c r="O522" t="s">
        <v>75</v>
      </c>
    </row>
    <row r="523" spans="1:15" x14ac:dyDescent="0.25">
      <c r="A523" s="10" t="s">
        <v>1172</v>
      </c>
      <c r="B523" s="15">
        <v>1135.19</v>
      </c>
      <c r="C523" s="15">
        <v>2187.37</v>
      </c>
      <c r="D523" s="15">
        <v>2211.14</v>
      </c>
      <c r="E523" s="15">
        <v>2211.14</v>
      </c>
      <c r="F523" s="15">
        <v>2211.14</v>
      </c>
      <c r="G523" s="15">
        <v>2211.14</v>
      </c>
      <c r="H523" s="15">
        <v>2211.14</v>
      </c>
      <c r="I523" s="15">
        <v>2186.08</v>
      </c>
      <c r="J523" s="15">
        <v>2211.14</v>
      </c>
      <c r="K523" s="15">
        <v>2211.14</v>
      </c>
      <c r="L523" s="15">
        <v>2211.14</v>
      </c>
      <c r="M523" s="15">
        <v>4176.59</v>
      </c>
      <c r="N523" s="15">
        <v>2211.14</v>
      </c>
      <c r="O523" t="s">
        <v>75</v>
      </c>
    </row>
    <row r="524" spans="1:15" x14ac:dyDescent="0.25">
      <c r="A524" s="10" t="s">
        <v>1174</v>
      </c>
      <c r="B524" s="15">
        <v>1929.74</v>
      </c>
      <c r="C524" s="15">
        <v>2213.9</v>
      </c>
      <c r="D524" s="15">
        <v>2213.9</v>
      </c>
      <c r="E524" s="15">
        <v>2211.14</v>
      </c>
      <c r="F524" s="15">
        <v>2211.14</v>
      </c>
      <c r="G524" s="15">
        <v>5159.9399999999996</v>
      </c>
      <c r="H524" s="15">
        <v>2211.14</v>
      </c>
      <c r="I524" s="15">
        <v>700.2</v>
      </c>
      <c r="J524" s="15">
        <v>2063.73</v>
      </c>
      <c r="K524" s="15">
        <v>2209.85</v>
      </c>
      <c r="L524" s="15">
        <v>2177.0500000000002</v>
      </c>
      <c r="M524" s="15">
        <v>2165.81</v>
      </c>
      <c r="N524" s="15">
        <v>2211.6</v>
      </c>
      <c r="O524" t="s">
        <v>75</v>
      </c>
    </row>
    <row r="525" spans="1:15" x14ac:dyDescent="0.25">
      <c r="A525" s="10" t="s">
        <v>1176</v>
      </c>
      <c r="B525" s="15">
        <v>5419.83</v>
      </c>
      <c r="C525" s="15">
        <v>5902.91</v>
      </c>
      <c r="D525" s="15">
        <v>5818.28</v>
      </c>
      <c r="E525" s="15">
        <v>5533.82</v>
      </c>
      <c r="F525" s="15">
        <v>2133.37</v>
      </c>
      <c r="G525" s="15">
        <v>0</v>
      </c>
      <c r="H525" s="15">
        <v>0</v>
      </c>
      <c r="I525" s="15">
        <v>0</v>
      </c>
      <c r="J525" s="15">
        <v>1939.43</v>
      </c>
      <c r="K525" s="15">
        <v>2521.2600000000002</v>
      </c>
      <c r="L525" s="15">
        <v>0</v>
      </c>
      <c r="M525" s="15">
        <v>0</v>
      </c>
      <c r="N525" s="15">
        <v>1439</v>
      </c>
      <c r="O525" t="s">
        <v>75</v>
      </c>
    </row>
    <row r="526" spans="1:15" x14ac:dyDescent="0.25">
      <c r="A526" s="10" t="s">
        <v>1178</v>
      </c>
      <c r="B526" s="15">
        <v>0</v>
      </c>
      <c r="C526" s="15">
        <v>0</v>
      </c>
      <c r="D526" s="15">
        <v>0</v>
      </c>
      <c r="E526" s="15">
        <v>0</v>
      </c>
      <c r="F526" s="15">
        <v>0</v>
      </c>
      <c r="G526" s="15">
        <v>0</v>
      </c>
      <c r="H526" s="15">
        <v>0</v>
      </c>
      <c r="I526" s="15">
        <v>0</v>
      </c>
      <c r="J526" s="15">
        <v>0</v>
      </c>
      <c r="K526" s="15">
        <v>0</v>
      </c>
      <c r="L526" s="15">
        <v>0</v>
      </c>
      <c r="M526" s="15">
        <v>0</v>
      </c>
      <c r="N526" s="15">
        <v>156.15</v>
      </c>
      <c r="O526" t="s">
        <v>75</v>
      </c>
    </row>
    <row r="527" spans="1:15" x14ac:dyDescent="0.25">
      <c r="A527" s="10" t="s">
        <v>1180</v>
      </c>
      <c r="B527" s="15">
        <v>6029.66</v>
      </c>
      <c r="C527" s="15">
        <v>5939.2</v>
      </c>
      <c r="D527" s="15">
        <v>5642.28</v>
      </c>
      <c r="E527" s="15">
        <v>7273.48</v>
      </c>
      <c r="F527" s="15">
        <v>5811.7</v>
      </c>
      <c r="G527" s="15">
        <v>5818.28</v>
      </c>
      <c r="H527" s="15">
        <v>5818.28</v>
      </c>
      <c r="I527" s="15">
        <v>10900.29</v>
      </c>
      <c r="J527" s="15">
        <v>5289.42</v>
      </c>
      <c r="K527" s="15">
        <v>3878.85</v>
      </c>
      <c r="L527" s="15">
        <v>5818.28</v>
      </c>
      <c r="M527" s="15">
        <v>5818.28</v>
      </c>
      <c r="N527" s="15">
        <v>5789.24</v>
      </c>
      <c r="O527" t="s">
        <v>75</v>
      </c>
    </row>
    <row r="528" spans="1:15" x14ac:dyDescent="0.25">
      <c r="A528" s="10" t="s">
        <v>1182</v>
      </c>
      <c r="B528" s="15">
        <v>5950.68</v>
      </c>
      <c r="C528" s="15">
        <v>7711.75</v>
      </c>
      <c r="D528" s="15">
        <v>6875.54</v>
      </c>
      <c r="E528" s="15">
        <v>6248.39</v>
      </c>
      <c r="F528" s="15">
        <v>6248.39</v>
      </c>
      <c r="G528" s="15">
        <v>6248.39</v>
      </c>
      <c r="H528" s="15">
        <v>6248.39</v>
      </c>
      <c r="I528" s="15">
        <v>12017.55</v>
      </c>
      <c r="J528" s="15">
        <v>6771.02</v>
      </c>
      <c r="K528" s="15">
        <v>3853.17</v>
      </c>
      <c r="L528" s="15">
        <v>6040.11</v>
      </c>
      <c r="M528" s="15">
        <v>6248.39</v>
      </c>
      <c r="N528" s="15">
        <v>6466.15</v>
      </c>
      <c r="O528" t="s">
        <v>75</v>
      </c>
    </row>
    <row r="529" spans="1:15" x14ac:dyDescent="0.25">
      <c r="A529" s="10" t="s">
        <v>1184</v>
      </c>
      <c r="B529" s="15">
        <v>4785.1000000000004</v>
      </c>
      <c r="C529" s="15">
        <v>4632.41</v>
      </c>
      <c r="D529" s="15">
        <v>5027.7299999999996</v>
      </c>
      <c r="E529" s="15">
        <v>4984.34</v>
      </c>
      <c r="F529" s="15">
        <v>5027.7299999999996</v>
      </c>
      <c r="G529" s="15">
        <v>5770</v>
      </c>
      <c r="H529" s="15">
        <v>5027.7299999999996</v>
      </c>
      <c r="I529" s="15">
        <v>5027.7299999999996</v>
      </c>
      <c r="J529" s="15">
        <v>5027.7299999999996</v>
      </c>
      <c r="K529" s="15">
        <v>5027.7299999999996</v>
      </c>
      <c r="L529" s="15">
        <v>5027.7299999999996</v>
      </c>
      <c r="M529" s="15">
        <v>9887.58</v>
      </c>
      <c r="N529" s="15">
        <v>5209.0600000000004</v>
      </c>
      <c r="O529" t="s">
        <v>75</v>
      </c>
    </row>
    <row r="530" spans="1:15" x14ac:dyDescent="0.25">
      <c r="A530" s="10" t="s">
        <v>1186</v>
      </c>
      <c r="B530" s="15">
        <v>3688.56</v>
      </c>
      <c r="C530" s="15">
        <v>4397.26</v>
      </c>
      <c r="D530" s="15">
        <v>6115.34</v>
      </c>
      <c r="E530" s="15">
        <v>6115.34</v>
      </c>
      <c r="F530" s="15">
        <v>6115.34</v>
      </c>
      <c r="G530" s="15">
        <v>6115.34</v>
      </c>
      <c r="H530" s="15">
        <v>11551.19</v>
      </c>
      <c r="I530" s="15">
        <v>6115.34</v>
      </c>
      <c r="J530" s="15">
        <v>3567.29</v>
      </c>
      <c r="K530" s="15">
        <v>6115.34</v>
      </c>
      <c r="L530" s="15">
        <v>6115.34</v>
      </c>
      <c r="M530" s="15">
        <v>6115.34</v>
      </c>
      <c r="N530" s="15">
        <v>6115.34</v>
      </c>
      <c r="O530" t="s">
        <v>75</v>
      </c>
    </row>
    <row r="531" spans="1:15" x14ac:dyDescent="0.25">
      <c r="A531" s="10" t="s">
        <v>1188</v>
      </c>
      <c r="B531" s="15">
        <v>1982.27</v>
      </c>
      <c r="C531" s="15">
        <v>2199.5300000000002</v>
      </c>
      <c r="D531" s="15">
        <v>2210.59</v>
      </c>
      <c r="E531" s="15">
        <v>2284.85</v>
      </c>
      <c r="F531" s="15">
        <v>2211.14</v>
      </c>
      <c r="G531" s="15">
        <v>2284.84</v>
      </c>
      <c r="H531" s="15">
        <v>4176.59</v>
      </c>
      <c r="I531" s="15">
        <v>2211.14</v>
      </c>
      <c r="J531" s="15">
        <v>1289.8399999999999</v>
      </c>
      <c r="K531" s="15">
        <v>2086.0300000000002</v>
      </c>
      <c r="L531" s="15">
        <v>2126.38</v>
      </c>
      <c r="M531" s="15">
        <v>2196.96</v>
      </c>
      <c r="N531" s="15">
        <v>2211.14</v>
      </c>
      <c r="O531" t="s">
        <v>75</v>
      </c>
    </row>
    <row r="532" spans="1:15" x14ac:dyDescent="0.25">
      <c r="A532" s="10" t="s">
        <v>1190</v>
      </c>
      <c r="B532" s="15">
        <v>5456.93</v>
      </c>
      <c r="C532" s="15">
        <v>8401.15</v>
      </c>
      <c r="D532" s="15">
        <v>2160.4899999999998</v>
      </c>
      <c r="E532" s="15">
        <v>3362.19</v>
      </c>
      <c r="F532" s="15">
        <v>3478.13</v>
      </c>
      <c r="G532" s="15">
        <v>3478.13</v>
      </c>
      <c r="H532" s="15">
        <v>3478.13</v>
      </c>
      <c r="I532" s="15">
        <v>3478.13</v>
      </c>
      <c r="J532" s="15">
        <v>3478.13</v>
      </c>
      <c r="K532" s="15">
        <v>3478.13</v>
      </c>
      <c r="L532" s="15">
        <v>3478.13</v>
      </c>
      <c r="M532" s="15">
        <v>5284.14</v>
      </c>
      <c r="N532" s="15">
        <v>3889.69</v>
      </c>
      <c r="O532" t="s">
        <v>75</v>
      </c>
    </row>
    <row r="533" spans="1:15" x14ac:dyDescent="0.25">
      <c r="A533" s="10" t="s">
        <v>1192</v>
      </c>
      <c r="B533" s="15">
        <v>2075.61</v>
      </c>
      <c r="C533" s="15">
        <v>2219.98</v>
      </c>
      <c r="D533" s="15">
        <v>2228.23</v>
      </c>
      <c r="E533" s="15">
        <v>2211.14</v>
      </c>
      <c r="F533" s="15">
        <v>2136.88</v>
      </c>
      <c r="G533" s="15">
        <v>2175.21</v>
      </c>
      <c r="H533" s="15">
        <v>2179.08</v>
      </c>
      <c r="I533" s="15">
        <v>2030.75</v>
      </c>
      <c r="J533" s="15">
        <v>2132.64</v>
      </c>
      <c r="K533" s="15">
        <v>4065.58</v>
      </c>
      <c r="L533" s="15">
        <v>2164.34</v>
      </c>
      <c r="M533" s="15">
        <v>1196.24</v>
      </c>
      <c r="N533" s="15">
        <v>2211.88</v>
      </c>
      <c r="O533" t="s">
        <v>75</v>
      </c>
    </row>
    <row r="534" spans="1:15" x14ac:dyDescent="0.25">
      <c r="A534" s="10" t="s">
        <v>1194</v>
      </c>
      <c r="B534" s="15">
        <v>5999.37</v>
      </c>
      <c r="C534" s="15">
        <v>7376.07</v>
      </c>
      <c r="D534" s="15">
        <v>6317.83</v>
      </c>
      <c r="E534" s="15">
        <v>6317.83</v>
      </c>
      <c r="F534" s="15">
        <v>6317.83</v>
      </c>
      <c r="G534" s="15">
        <v>11969.3</v>
      </c>
      <c r="H534" s="15">
        <v>6317.83</v>
      </c>
      <c r="I534" s="15">
        <v>3685.4</v>
      </c>
      <c r="J534" s="15">
        <v>6317.83</v>
      </c>
      <c r="K534" s="15">
        <v>6317.83</v>
      </c>
      <c r="L534" s="15">
        <v>6317.83</v>
      </c>
      <c r="M534" s="15">
        <v>6356.24</v>
      </c>
      <c r="N534" s="15">
        <v>6409.22</v>
      </c>
      <c r="O534" t="s">
        <v>75</v>
      </c>
    </row>
    <row r="535" spans="1:15" x14ac:dyDescent="0.25">
      <c r="A535" s="10" t="s">
        <v>1196</v>
      </c>
      <c r="B535" s="15">
        <v>2030.68</v>
      </c>
      <c r="C535" s="15">
        <v>2210.96</v>
      </c>
      <c r="D535" s="15">
        <v>2205.98</v>
      </c>
      <c r="E535" s="15">
        <v>2211.14</v>
      </c>
      <c r="F535" s="15">
        <v>3301.78</v>
      </c>
      <c r="G535" s="15">
        <v>0</v>
      </c>
      <c r="H535" s="15">
        <v>0</v>
      </c>
      <c r="I535" s="15">
        <v>0</v>
      </c>
      <c r="J535" s="15">
        <v>0</v>
      </c>
      <c r="K535" s="15">
        <v>0</v>
      </c>
      <c r="L535" s="15">
        <v>0</v>
      </c>
      <c r="M535" s="15">
        <v>0</v>
      </c>
      <c r="N535" s="15">
        <v>921.31</v>
      </c>
      <c r="O535" t="s">
        <v>75</v>
      </c>
    </row>
    <row r="536" spans="1:15" x14ac:dyDescent="0.25">
      <c r="A536" s="10" t="s">
        <v>1198</v>
      </c>
      <c r="B536" s="15">
        <v>0</v>
      </c>
      <c r="C536" s="15">
        <v>812</v>
      </c>
      <c r="D536" s="15">
        <v>1920.54</v>
      </c>
      <c r="E536" s="15">
        <v>0</v>
      </c>
      <c r="F536" s="15">
        <v>0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>
        <v>156.15</v>
      </c>
      <c r="O536" t="s">
        <v>75</v>
      </c>
    </row>
    <row r="537" spans="1:15" x14ac:dyDescent="0.25">
      <c r="A537" s="10" t="s">
        <v>1200</v>
      </c>
      <c r="B537" s="15">
        <v>3108.19</v>
      </c>
      <c r="C537" s="15">
        <v>4065.57</v>
      </c>
      <c r="D537" s="15">
        <v>2666.57</v>
      </c>
      <c r="E537" s="15">
        <v>1763.54</v>
      </c>
      <c r="F537" s="15">
        <v>3478.13</v>
      </c>
      <c r="G537" s="15">
        <v>6599.74</v>
      </c>
      <c r="H537" s="15">
        <v>3478.13</v>
      </c>
      <c r="I537" s="15">
        <v>1159.3800000000001</v>
      </c>
      <c r="J537" s="15">
        <v>3478.13</v>
      </c>
      <c r="K537" s="15">
        <v>3478.13</v>
      </c>
      <c r="L537" s="15">
        <v>3478.13</v>
      </c>
      <c r="M537" s="15">
        <v>3478.13</v>
      </c>
      <c r="N537" s="15">
        <v>3537.4</v>
      </c>
      <c r="O537" t="s">
        <v>75</v>
      </c>
    </row>
    <row r="538" spans="1:15" x14ac:dyDescent="0.25">
      <c r="A538" s="10" t="s">
        <v>1202</v>
      </c>
      <c r="B538" s="15">
        <v>1921.58</v>
      </c>
      <c r="C538" s="15">
        <v>2257.2199999999998</v>
      </c>
      <c r="D538" s="15">
        <v>2042.5</v>
      </c>
      <c r="E538" s="15">
        <v>3342.73</v>
      </c>
      <c r="F538" s="15">
        <v>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15">
        <v>0</v>
      </c>
      <c r="N538" s="15">
        <v>873.41</v>
      </c>
      <c r="O538" t="s">
        <v>75</v>
      </c>
    </row>
    <row r="539" spans="1:15" x14ac:dyDescent="0.25">
      <c r="A539" s="10" t="s">
        <v>1204</v>
      </c>
      <c r="B539" s="15">
        <v>1989.25</v>
      </c>
      <c r="C539" s="15">
        <v>2331.66</v>
      </c>
      <c r="D539" s="15">
        <v>2163.4499999999998</v>
      </c>
      <c r="E539" s="15">
        <v>2163.4499999999998</v>
      </c>
      <c r="F539" s="15">
        <v>2163.4499999999998</v>
      </c>
      <c r="G539" s="15">
        <v>2163.4499999999998</v>
      </c>
      <c r="H539" s="15">
        <v>2163.4499999999998</v>
      </c>
      <c r="I539" s="15">
        <v>5066.74</v>
      </c>
      <c r="J539" s="15">
        <v>2163.4499999999998</v>
      </c>
      <c r="K539" s="15">
        <v>540.86</v>
      </c>
      <c r="L539" s="15">
        <v>2163.4499999999998</v>
      </c>
      <c r="M539" s="15">
        <v>2163.4499999999998</v>
      </c>
      <c r="N539" s="15">
        <v>2177.4699999999998</v>
      </c>
      <c r="O539" t="s">
        <v>75</v>
      </c>
    </row>
    <row r="540" spans="1:15" x14ac:dyDescent="0.25">
      <c r="A540" s="10" t="s">
        <v>1206</v>
      </c>
      <c r="B540" s="15">
        <v>6261.01</v>
      </c>
      <c r="C540" s="15">
        <v>13401.43</v>
      </c>
      <c r="D540" s="15">
        <v>7039.9</v>
      </c>
      <c r="E540" s="15">
        <v>4106.6099999999997</v>
      </c>
      <c r="F540" s="15">
        <v>7039.9</v>
      </c>
      <c r="G540" s="15">
        <v>7039.9</v>
      </c>
      <c r="H540" s="15">
        <v>6956.01</v>
      </c>
      <c r="I540" s="15">
        <v>6939.58</v>
      </c>
      <c r="J540" s="15">
        <v>7039.9</v>
      </c>
      <c r="K540" s="15">
        <v>7039.9</v>
      </c>
      <c r="L540" s="15">
        <v>16434.650000000001</v>
      </c>
      <c r="M540" s="15">
        <v>7039.9</v>
      </c>
      <c r="N540" s="15">
        <v>7046.06</v>
      </c>
      <c r="O540" t="s">
        <v>75</v>
      </c>
    </row>
    <row r="541" spans="1:15" x14ac:dyDescent="0.25">
      <c r="A541" s="10" t="s">
        <v>1208</v>
      </c>
      <c r="B541" s="15">
        <v>5531</v>
      </c>
      <c r="C541" s="15">
        <v>6595.02</v>
      </c>
      <c r="D541" s="15">
        <v>5960.93</v>
      </c>
      <c r="E541" s="15">
        <v>13973.9</v>
      </c>
      <c r="F541" s="15">
        <v>6457.68</v>
      </c>
      <c r="G541" s="15">
        <v>993.49</v>
      </c>
      <c r="H541" s="15">
        <v>5960.93</v>
      </c>
      <c r="I541" s="15">
        <v>5960.93</v>
      </c>
      <c r="J541" s="15">
        <v>5960.93</v>
      </c>
      <c r="K541" s="15">
        <v>5960.93</v>
      </c>
      <c r="L541" s="15">
        <v>5960.93</v>
      </c>
      <c r="M541" s="15">
        <v>0</v>
      </c>
      <c r="N541" s="15">
        <v>5011.47</v>
      </c>
      <c r="O541" t="s">
        <v>75</v>
      </c>
    </row>
    <row r="542" spans="1:15" x14ac:dyDescent="0.25">
      <c r="A542" s="10" t="s">
        <v>1210</v>
      </c>
      <c r="B542" s="15">
        <v>2586.0100000000002</v>
      </c>
      <c r="C542" s="15">
        <v>2888.62</v>
      </c>
      <c r="D542" s="15">
        <v>2885.73</v>
      </c>
      <c r="E542" s="15">
        <v>2823.93</v>
      </c>
      <c r="F542" s="15">
        <v>2803.73</v>
      </c>
      <c r="G542" s="15">
        <v>2814.31</v>
      </c>
      <c r="H542" s="15">
        <v>2885.73</v>
      </c>
      <c r="I542" s="15">
        <v>2885.73</v>
      </c>
      <c r="J542" s="15">
        <v>2885.73</v>
      </c>
      <c r="K542" s="15">
        <v>5353.17</v>
      </c>
      <c r="L542" s="15">
        <v>2784.49</v>
      </c>
      <c r="M542" s="15">
        <v>1561.42</v>
      </c>
      <c r="N542" s="15">
        <v>2885.97</v>
      </c>
      <c r="O542" t="s">
        <v>75</v>
      </c>
    </row>
    <row r="543" spans="1:15" x14ac:dyDescent="0.25">
      <c r="A543" s="10" t="s">
        <v>1212</v>
      </c>
      <c r="B543" s="15">
        <v>1989.25</v>
      </c>
      <c r="C543" s="15">
        <v>2283.5300000000002</v>
      </c>
      <c r="D543" s="15">
        <v>2211.14</v>
      </c>
      <c r="E543" s="15">
        <v>2211.14</v>
      </c>
      <c r="F543" s="15">
        <v>3219.09</v>
      </c>
      <c r="G543" s="15">
        <v>1474.09</v>
      </c>
      <c r="H543" s="15">
        <v>3237.7</v>
      </c>
      <c r="I543" s="15">
        <v>1474.09</v>
      </c>
      <c r="J543" s="15">
        <v>2211.14</v>
      </c>
      <c r="K543" s="15">
        <v>4054.1</v>
      </c>
      <c r="L543" s="15">
        <v>2184.9699999999998</v>
      </c>
      <c r="M543" s="15">
        <v>2211.14</v>
      </c>
      <c r="N543" s="15">
        <v>2377.83</v>
      </c>
      <c r="O543" t="s">
        <v>75</v>
      </c>
    </row>
    <row r="544" spans="1:15" x14ac:dyDescent="0.25">
      <c r="A544" s="10" t="s">
        <v>1214</v>
      </c>
      <c r="B544" s="15">
        <v>3108.18</v>
      </c>
      <c r="C544" s="15">
        <v>3761.6</v>
      </c>
      <c r="D544" s="15">
        <v>3478.13</v>
      </c>
      <c r="E544" s="15">
        <v>3476.1</v>
      </c>
      <c r="F544" s="15">
        <v>3415.23</v>
      </c>
      <c r="G544" s="15">
        <v>3895.72</v>
      </c>
      <c r="H544" s="15">
        <v>3478.13</v>
      </c>
      <c r="I544" s="15">
        <v>3478.13</v>
      </c>
      <c r="J544" s="15">
        <v>3478.13</v>
      </c>
      <c r="K544" s="15">
        <v>3478.13</v>
      </c>
      <c r="L544" s="15">
        <v>3478.13</v>
      </c>
      <c r="M544" s="15">
        <v>10184.799999999999</v>
      </c>
      <c r="N544" s="15">
        <v>3796.76</v>
      </c>
      <c r="O544" t="s">
        <v>75</v>
      </c>
    </row>
    <row r="545" spans="1:15" x14ac:dyDescent="0.25">
      <c r="A545" s="10" t="s">
        <v>1216</v>
      </c>
      <c r="B545" s="15">
        <v>1989.25</v>
      </c>
      <c r="C545" s="15">
        <v>2341.04</v>
      </c>
      <c r="D545" s="15">
        <v>2211.14</v>
      </c>
      <c r="E545" s="15">
        <v>2211.14</v>
      </c>
      <c r="F545" s="15">
        <v>2211.14</v>
      </c>
      <c r="G545" s="15">
        <v>5183.8999999999996</v>
      </c>
      <c r="H545" s="15">
        <v>2211.14</v>
      </c>
      <c r="I545" s="15">
        <v>1216.1300000000001</v>
      </c>
      <c r="J545" s="15">
        <v>1532.69</v>
      </c>
      <c r="K545" s="15">
        <v>2211.14</v>
      </c>
      <c r="L545" s="15">
        <v>2211.14</v>
      </c>
      <c r="M545" s="15">
        <v>2211.14</v>
      </c>
      <c r="N545" s="15">
        <v>2221.9699999999998</v>
      </c>
      <c r="O545" t="s">
        <v>75</v>
      </c>
    </row>
    <row r="546" spans="1:15" x14ac:dyDescent="0.25">
      <c r="A546" s="10" t="s">
        <v>1218</v>
      </c>
      <c r="B546" s="15">
        <v>1458.78</v>
      </c>
      <c r="C546" s="15">
        <v>2120.48</v>
      </c>
      <c r="D546" s="15">
        <v>2211.14</v>
      </c>
      <c r="E546" s="15">
        <v>2211.14</v>
      </c>
      <c r="F546" s="15">
        <v>2211.14</v>
      </c>
      <c r="G546" s="15">
        <v>2211.14</v>
      </c>
      <c r="H546" s="15">
        <v>2211.14</v>
      </c>
      <c r="I546" s="15">
        <v>2211.14</v>
      </c>
      <c r="J546" s="15">
        <v>2211.14</v>
      </c>
      <c r="K546" s="15">
        <v>2211.14</v>
      </c>
      <c r="L546" s="15">
        <v>5159.33</v>
      </c>
      <c r="M546" s="15">
        <v>1658.36</v>
      </c>
      <c r="N546" s="15">
        <v>2211.14</v>
      </c>
      <c r="O546" t="s">
        <v>75</v>
      </c>
    </row>
    <row r="547" spans="1:15" x14ac:dyDescent="0.25">
      <c r="A547" s="10" t="s">
        <v>1220</v>
      </c>
      <c r="B547" s="15">
        <v>4474.8599999999997</v>
      </c>
      <c r="C547" s="15">
        <v>5175.3599999999997</v>
      </c>
      <c r="D547" s="15">
        <v>11646.74</v>
      </c>
      <c r="E547" s="15">
        <v>4463.4399999999996</v>
      </c>
      <c r="F547" s="15">
        <v>1623.07</v>
      </c>
      <c r="G547" s="15">
        <v>4869.21</v>
      </c>
      <c r="H547" s="15">
        <v>4869.21</v>
      </c>
      <c r="I547" s="15">
        <v>4869.21</v>
      </c>
      <c r="J547" s="15">
        <v>4869.21</v>
      </c>
      <c r="K547" s="15">
        <v>4869.21</v>
      </c>
      <c r="L547" s="15">
        <v>4869.21</v>
      </c>
      <c r="M547" s="15">
        <v>4869.21</v>
      </c>
      <c r="N547" s="15">
        <v>4894.72</v>
      </c>
      <c r="O547" t="s">
        <v>75</v>
      </c>
    </row>
    <row r="548" spans="1:15" x14ac:dyDescent="0.25">
      <c r="A548" s="10" t="s">
        <v>1222</v>
      </c>
      <c r="B548" s="15">
        <v>0</v>
      </c>
      <c r="C548" s="15">
        <v>0</v>
      </c>
      <c r="D548" s="15">
        <v>0</v>
      </c>
      <c r="E548" s="15">
        <v>0</v>
      </c>
      <c r="F548" s="15">
        <v>0</v>
      </c>
      <c r="G548" s="15">
        <v>5411.07</v>
      </c>
      <c r="H548" s="15">
        <v>5797.57</v>
      </c>
      <c r="I548" s="15">
        <v>5797.57</v>
      </c>
      <c r="J548" s="15">
        <v>5797.57</v>
      </c>
      <c r="K548" s="15">
        <v>5797.57</v>
      </c>
      <c r="L548" s="15">
        <v>5797.57</v>
      </c>
      <c r="M548" s="15">
        <v>5797.57</v>
      </c>
      <c r="N548" s="15">
        <v>3865.05</v>
      </c>
      <c r="O548" t="s">
        <v>75</v>
      </c>
    </row>
    <row r="549" spans="1:15" x14ac:dyDescent="0.25">
      <c r="A549" s="10" t="s">
        <v>1224</v>
      </c>
      <c r="B549" s="15">
        <v>2884.39</v>
      </c>
      <c r="C549" s="15">
        <v>3136.91</v>
      </c>
      <c r="D549" s="15">
        <v>3156.06</v>
      </c>
      <c r="E549" s="15">
        <v>0</v>
      </c>
      <c r="F549" s="15">
        <v>0</v>
      </c>
      <c r="G549" s="15">
        <v>0</v>
      </c>
      <c r="H549" s="15">
        <v>0</v>
      </c>
      <c r="I549" s="15">
        <v>0</v>
      </c>
      <c r="J549" s="15">
        <v>0</v>
      </c>
      <c r="K549" s="15">
        <v>0</v>
      </c>
      <c r="L549" s="15">
        <v>0</v>
      </c>
      <c r="M549" s="15">
        <v>0</v>
      </c>
      <c r="N549" s="15">
        <v>516.87</v>
      </c>
      <c r="O549" t="s">
        <v>75</v>
      </c>
    </row>
    <row r="550" spans="1:15" x14ac:dyDescent="0.25">
      <c r="A550" s="10" t="s">
        <v>1226</v>
      </c>
      <c r="B550" s="15">
        <v>0</v>
      </c>
      <c r="C550" s="15">
        <v>0</v>
      </c>
      <c r="D550" s="15">
        <v>0</v>
      </c>
      <c r="E550" s="15">
        <v>319.62</v>
      </c>
      <c r="F550" s="15">
        <v>106.54</v>
      </c>
      <c r="G550" s="15">
        <v>106.54</v>
      </c>
      <c r="H550" s="15">
        <v>106.54</v>
      </c>
      <c r="I550" s="15">
        <v>106.54</v>
      </c>
      <c r="J550" s="15">
        <v>106.54</v>
      </c>
      <c r="K550" s="15">
        <v>106.54</v>
      </c>
      <c r="L550" s="15">
        <v>106.54</v>
      </c>
      <c r="M550" s="15">
        <v>0</v>
      </c>
      <c r="N550" s="15">
        <v>0</v>
      </c>
      <c r="O550" t="s">
        <v>75</v>
      </c>
    </row>
    <row r="551" spans="1:15" x14ac:dyDescent="0.25">
      <c r="A551" s="10" t="s">
        <v>1228</v>
      </c>
      <c r="B551" s="15">
        <v>0</v>
      </c>
      <c r="C551" s="15">
        <v>0</v>
      </c>
      <c r="D551" s="15">
        <v>999.39</v>
      </c>
      <c r="E551" s="15">
        <v>1873.85</v>
      </c>
      <c r="F551" s="15">
        <v>1873.85</v>
      </c>
      <c r="G551" s="15">
        <v>1873.85</v>
      </c>
      <c r="H551" s="15">
        <v>1873.85</v>
      </c>
      <c r="I551" s="15">
        <v>1873.85</v>
      </c>
      <c r="J551" s="15">
        <v>1873.85</v>
      </c>
      <c r="K551" s="15">
        <v>1873.85</v>
      </c>
      <c r="L551" s="15">
        <v>2752.29</v>
      </c>
      <c r="M551" s="15">
        <v>0</v>
      </c>
      <c r="N551" s="15">
        <v>1405.72</v>
      </c>
      <c r="O551" t="s">
        <v>75</v>
      </c>
    </row>
    <row r="552" spans="1:15" x14ac:dyDescent="0.25">
      <c r="A552" s="10" t="s">
        <v>1230</v>
      </c>
      <c r="B552" s="15">
        <v>11700.28</v>
      </c>
      <c r="C552" s="15">
        <v>13476.58</v>
      </c>
      <c r="D552" s="15">
        <v>13476.58</v>
      </c>
      <c r="E552" s="15">
        <v>13476.58</v>
      </c>
      <c r="F552" s="15">
        <v>13476.58</v>
      </c>
      <c r="G552" s="15">
        <v>25455.75</v>
      </c>
      <c r="H552" s="15">
        <v>13476.58</v>
      </c>
      <c r="I552" s="15">
        <v>7861.35</v>
      </c>
      <c r="J552" s="15">
        <v>13476.58</v>
      </c>
      <c r="K552" s="15">
        <v>13476.58</v>
      </c>
      <c r="L552" s="15">
        <v>13476.58</v>
      </c>
      <c r="M552" s="15">
        <v>13476.58</v>
      </c>
      <c r="N552" s="15">
        <v>13476.58</v>
      </c>
      <c r="O552" t="s">
        <v>75</v>
      </c>
    </row>
    <row r="553" spans="1:15" x14ac:dyDescent="0.25">
      <c r="A553" s="10" t="s">
        <v>1238</v>
      </c>
      <c r="B553" s="15">
        <v>1921.58</v>
      </c>
      <c r="C553" s="15">
        <v>2042.5</v>
      </c>
      <c r="D553" s="15">
        <v>2042.5</v>
      </c>
      <c r="E553" s="15">
        <v>2042.5</v>
      </c>
      <c r="F553" s="15">
        <v>3960.8</v>
      </c>
      <c r="G553" s="15">
        <v>2042.5</v>
      </c>
      <c r="H553" s="15">
        <v>1327.63</v>
      </c>
      <c r="I553" s="15">
        <v>1906.33</v>
      </c>
      <c r="J553" s="15">
        <v>2042.5</v>
      </c>
      <c r="K553" s="15">
        <v>2042.5</v>
      </c>
      <c r="L553" s="15">
        <v>2042.5</v>
      </c>
      <c r="M553" s="15">
        <v>2042.5</v>
      </c>
      <c r="N553" s="15">
        <v>2050.4699999999998</v>
      </c>
      <c r="O553" t="s">
        <v>75</v>
      </c>
    </row>
    <row r="554" spans="1:15" x14ac:dyDescent="0.25">
      <c r="A554" s="10" t="s">
        <v>1240</v>
      </c>
      <c r="B554" s="15">
        <v>8386.3799999999992</v>
      </c>
      <c r="C554" s="15">
        <v>9376</v>
      </c>
      <c r="D554" s="15">
        <v>9376</v>
      </c>
      <c r="E554" s="15">
        <v>9376</v>
      </c>
      <c r="F554" s="15">
        <v>9376</v>
      </c>
      <c r="G554" s="15">
        <v>17710.23</v>
      </c>
      <c r="H554" s="15">
        <v>10469.870000000001</v>
      </c>
      <c r="I554" s="15">
        <v>4375.47</v>
      </c>
      <c r="J554" s="15">
        <v>9376</v>
      </c>
      <c r="K554" s="15">
        <v>9376</v>
      </c>
      <c r="L554" s="15">
        <v>9376</v>
      </c>
      <c r="M554" s="15">
        <v>9376</v>
      </c>
      <c r="N554" s="15">
        <v>9376</v>
      </c>
      <c r="O554" t="s">
        <v>75</v>
      </c>
    </row>
    <row r="555" spans="1:15" x14ac:dyDescent="0.25">
      <c r="A555" s="10" t="s">
        <v>1242</v>
      </c>
      <c r="B555" s="15">
        <v>763.87</v>
      </c>
      <c r="C555" s="15">
        <v>893.45</v>
      </c>
      <c r="D555" s="15">
        <v>893.45</v>
      </c>
      <c r="E555" s="15">
        <v>893.45</v>
      </c>
      <c r="F555" s="15">
        <v>893.45</v>
      </c>
      <c r="G555" s="15">
        <v>893.45</v>
      </c>
      <c r="H555" s="15">
        <v>893.45</v>
      </c>
      <c r="I555" s="15">
        <v>893.45</v>
      </c>
      <c r="J555" s="15">
        <v>893.45</v>
      </c>
      <c r="K555" s="15">
        <v>1687.62</v>
      </c>
      <c r="L555" s="15">
        <v>550.96</v>
      </c>
      <c r="M555" s="15">
        <v>863.67</v>
      </c>
      <c r="N555" s="15">
        <v>893.45</v>
      </c>
      <c r="O555" t="s">
        <v>75</v>
      </c>
    </row>
    <row r="556" spans="1:15" x14ac:dyDescent="0.25">
      <c r="A556" s="10" t="s">
        <v>1244</v>
      </c>
      <c r="B556" s="15">
        <v>1921.55</v>
      </c>
      <c r="C556" s="15">
        <v>2145.39</v>
      </c>
      <c r="D556" s="15">
        <v>2042.5</v>
      </c>
      <c r="E556" s="15">
        <v>2042.5</v>
      </c>
      <c r="F556" s="15">
        <v>2203.52</v>
      </c>
      <c r="G556" s="15">
        <v>2042.5</v>
      </c>
      <c r="H556" s="15">
        <v>3877.61</v>
      </c>
      <c r="I556" s="15">
        <v>1736.13</v>
      </c>
      <c r="J556" s="15">
        <v>1439.79</v>
      </c>
      <c r="K556" s="15">
        <v>2042.5</v>
      </c>
      <c r="L556" s="15">
        <v>2042.5</v>
      </c>
      <c r="M556" s="15">
        <v>2042.5</v>
      </c>
      <c r="N556" s="15">
        <v>2064.4899999999998</v>
      </c>
      <c r="O556" t="s">
        <v>75</v>
      </c>
    </row>
    <row r="557" spans="1:15" x14ac:dyDescent="0.25">
      <c r="A557" s="10" t="s">
        <v>1246</v>
      </c>
      <c r="B557" s="15">
        <v>1989.25</v>
      </c>
      <c r="C557" s="15">
        <v>2188.84</v>
      </c>
      <c r="D557" s="15">
        <v>2200.64</v>
      </c>
      <c r="E557" s="15">
        <v>3686.39</v>
      </c>
      <c r="F557" s="15">
        <v>1658.36</v>
      </c>
      <c r="G557" s="15">
        <v>2210.0300000000002</v>
      </c>
      <c r="H557" s="15">
        <v>2211.14</v>
      </c>
      <c r="I557" s="15">
        <v>2211.14</v>
      </c>
      <c r="J557" s="15">
        <v>2211.14</v>
      </c>
      <c r="K557" s="15">
        <v>2211.14</v>
      </c>
      <c r="L557" s="15">
        <v>3685.23</v>
      </c>
      <c r="M557" s="15">
        <v>1105.57</v>
      </c>
      <c r="N557" s="15">
        <v>2211.14</v>
      </c>
      <c r="O557" t="s">
        <v>75</v>
      </c>
    </row>
    <row r="558" spans="1:15" x14ac:dyDescent="0.25">
      <c r="A558" s="10" t="s">
        <v>1248</v>
      </c>
      <c r="B558" s="15">
        <v>0</v>
      </c>
      <c r="C558" s="15">
        <v>0</v>
      </c>
      <c r="D558" s="15">
        <v>0</v>
      </c>
      <c r="E558" s="15">
        <v>562.16</v>
      </c>
      <c r="F558" s="15">
        <v>1873.85</v>
      </c>
      <c r="G558" s="15">
        <v>1873.85</v>
      </c>
      <c r="H558" s="15">
        <v>1873.85</v>
      </c>
      <c r="I558" s="15">
        <v>1873.85</v>
      </c>
      <c r="J558" s="15">
        <v>1873.85</v>
      </c>
      <c r="K558" s="15">
        <v>1873.85</v>
      </c>
      <c r="L558" s="15">
        <v>1863.86</v>
      </c>
      <c r="M558" s="15">
        <v>1861.51</v>
      </c>
      <c r="N558" s="15">
        <v>1405.39</v>
      </c>
      <c r="O558" t="s">
        <v>75</v>
      </c>
    </row>
    <row r="559" spans="1:15" x14ac:dyDescent="0.25">
      <c r="A559" s="10" t="s">
        <v>1250</v>
      </c>
      <c r="B559" s="15">
        <v>1989.25</v>
      </c>
      <c r="C559" s="15">
        <v>2353.48</v>
      </c>
      <c r="D559" s="15">
        <v>2211.14</v>
      </c>
      <c r="E559" s="15">
        <v>2211.14</v>
      </c>
      <c r="F559" s="15">
        <v>2211.14</v>
      </c>
      <c r="G559" s="15">
        <v>2284.84</v>
      </c>
      <c r="H559" s="15">
        <v>5159.33</v>
      </c>
      <c r="I559" s="15">
        <v>2284.84</v>
      </c>
      <c r="J559" s="15">
        <v>995.02</v>
      </c>
      <c r="K559" s="15">
        <v>1768.91</v>
      </c>
      <c r="L559" s="15">
        <v>2211.14</v>
      </c>
      <c r="M559" s="15">
        <v>2211.14</v>
      </c>
      <c r="N559" s="15">
        <v>2223</v>
      </c>
      <c r="O559" t="s">
        <v>75</v>
      </c>
    </row>
    <row r="560" spans="1:15" x14ac:dyDescent="0.25">
      <c r="A560" s="10" t="s">
        <v>1252</v>
      </c>
      <c r="B560" s="15">
        <v>2147.2199999999998</v>
      </c>
      <c r="C560" s="15">
        <v>2211.14</v>
      </c>
      <c r="D560" s="15">
        <v>2181.4699999999998</v>
      </c>
      <c r="E560" s="15">
        <v>2211.14</v>
      </c>
      <c r="F560" s="15">
        <v>2211.14</v>
      </c>
      <c r="G560" s="15">
        <v>2211.14</v>
      </c>
      <c r="H560" s="15">
        <v>2211.14</v>
      </c>
      <c r="I560" s="15">
        <v>2211.14</v>
      </c>
      <c r="J560" s="15">
        <v>4176.59</v>
      </c>
      <c r="K560" s="15">
        <v>2211.14</v>
      </c>
      <c r="L560" s="15">
        <v>1289.8399999999999</v>
      </c>
      <c r="M560" s="15">
        <v>2211.14</v>
      </c>
      <c r="N560" s="15">
        <v>2211.14</v>
      </c>
      <c r="O560" t="s">
        <v>75</v>
      </c>
    </row>
    <row r="561" spans="1:15" x14ac:dyDescent="0.25">
      <c r="A561" s="10" t="s">
        <v>1254</v>
      </c>
      <c r="B561" s="15">
        <v>1921.58</v>
      </c>
      <c r="C561" s="15">
        <v>2034.84</v>
      </c>
      <c r="D561" s="15">
        <v>2010.67</v>
      </c>
      <c r="E561" s="15">
        <v>3226.64</v>
      </c>
      <c r="F561" s="15">
        <v>0</v>
      </c>
      <c r="G561" s="15">
        <v>0</v>
      </c>
      <c r="H561" s="15">
        <v>0</v>
      </c>
      <c r="I561" s="15">
        <v>0</v>
      </c>
      <c r="J561" s="15">
        <v>0</v>
      </c>
      <c r="K561" s="15">
        <v>0</v>
      </c>
      <c r="L561" s="15">
        <v>0</v>
      </c>
      <c r="M561" s="15">
        <v>0</v>
      </c>
      <c r="N561" s="15">
        <v>851.04</v>
      </c>
      <c r="O561" t="s">
        <v>75</v>
      </c>
    </row>
    <row r="562" spans="1:15" x14ac:dyDescent="0.25">
      <c r="A562" s="10" t="s">
        <v>1256</v>
      </c>
      <c r="B562" s="15">
        <v>6314.68</v>
      </c>
      <c r="C562" s="15">
        <v>8593.9599999999991</v>
      </c>
      <c r="D562" s="15">
        <v>7039.9</v>
      </c>
      <c r="E562" s="15">
        <v>7039.9</v>
      </c>
      <c r="F562" s="15">
        <v>7039.9</v>
      </c>
      <c r="G562" s="15">
        <v>7039.9</v>
      </c>
      <c r="H562" s="15">
        <v>7039.9</v>
      </c>
      <c r="I562" s="15">
        <v>16433.86</v>
      </c>
      <c r="J562" s="15">
        <v>7039.9</v>
      </c>
      <c r="K562" s="15">
        <v>3402.62</v>
      </c>
      <c r="L562" s="15">
        <v>5397.26</v>
      </c>
      <c r="M562" s="15">
        <v>7039.9</v>
      </c>
      <c r="N562" s="15">
        <v>7169.4</v>
      </c>
      <c r="O562" t="s">
        <v>75</v>
      </c>
    </row>
    <row r="563" spans="1:15" x14ac:dyDescent="0.25">
      <c r="A563" s="10" t="s">
        <v>1258</v>
      </c>
      <c r="B563" s="15">
        <v>1273.1099999999999</v>
      </c>
      <c r="C563" s="15">
        <v>1067.71</v>
      </c>
      <c r="D563" s="15">
        <v>1081.43</v>
      </c>
      <c r="E563" s="15">
        <v>1082.96</v>
      </c>
      <c r="F563" s="15">
        <v>1294.4100000000001</v>
      </c>
      <c r="G563" s="15">
        <v>1082.96</v>
      </c>
      <c r="H563" s="15">
        <v>1082.96</v>
      </c>
      <c r="I563" s="15">
        <v>1082.96</v>
      </c>
      <c r="J563" s="15">
        <v>1082.96</v>
      </c>
      <c r="K563" s="15">
        <v>1082.96</v>
      </c>
      <c r="L563" s="15">
        <v>2045.59</v>
      </c>
      <c r="M563" s="15">
        <v>812.22</v>
      </c>
      <c r="N563" s="15">
        <v>1100.58</v>
      </c>
      <c r="O563" t="s">
        <v>75</v>
      </c>
    </row>
    <row r="564" spans="1:15" x14ac:dyDescent="0.25">
      <c r="A564" s="10" t="s">
        <v>1260</v>
      </c>
      <c r="B564" s="15">
        <v>19426.84</v>
      </c>
      <c r="C564" s="15">
        <v>21890.17</v>
      </c>
      <c r="D564" s="15">
        <v>20980.99</v>
      </c>
      <c r="E564" s="15">
        <v>20980.99</v>
      </c>
      <c r="F564" s="15">
        <v>20980.99</v>
      </c>
      <c r="G564" s="15">
        <v>20980.99</v>
      </c>
      <c r="H564" s="15">
        <v>20980.99</v>
      </c>
      <c r="I564" s="15">
        <v>20980.99</v>
      </c>
      <c r="J564" s="15">
        <v>20980.99</v>
      </c>
      <c r="K564" s="15">
        <v>39698.11</v>
      </c>
      <c r="L564" s="15">
        <v>12938.28</v>
      </c>
      <c r="M564" s="15">
        <v>20281.63</v>
      </c>
      <c r="N564" s="15">
        <v>21056.76</v>
      </c>
      <c r="O564" t="s">
        <v>75</v>
      </c>
    </row>
    <row r="565" spans="1:15" x14ac:dyDescent="0.25">
      <c r="A565" s="10" t="s">
        <v>1262</v>
      </c>
      <c r="B565" s="15">
        <v>4224.2299999999996</v>
      </c>
      <c r="C565" s="15">
        <v>2042.5</v>
      </c>
      <c r="D565" s="15">
        <v>1259.55</v>
      </c>
      <c r="E565" s="15">
        <v>1974.42</v>
      </c>
      <c r="F565" s="15">
        <v>2168.79</v>
      </c>
      <c r="G565" s="15">
        <v>2042.5</v>
      </c>
      <c r="H565" s="15">
        <v>2042.5</v>
      </c>
      <c r="I565" s="15">
        <v>2042.5</v>
      </c>
      <c r="J565" s="15">
        <v>2042.5</v>
      </c>
      <c r="K565" s="15">
        <v>2042.5</v>
      </c>
      <c r="L565" s="15">
        <v>3867.41</v>
      </c>
      <c r="M565" s="15">
        <v>2042.5</v>
      </c>
      <c r="N565" s="15">
        <v>2053.02</v>
      </c>
      <c r="O565" t="s">
        <v>75</v>
      </c>
    </row>
    <row r="566" spans="1:15" x14ac:dyDescent="0.25">
      <c r="A566" s="10" t="s">
        <v>1264</v>
      </c>
      <c r="B566" s="15">
        <v>2420.85</v>
      </c>
      <c r="C566" s="15">
        <v>6070.35</v>
      </c>
      <c r="D566" s="15">
        <v>2583.92</v>
      </c>
      <c r="E566" s="15">
        <v>1335.02</v>
      </c>
      <c r="F566" s="15">
        <v>1894.88</v>
      </c>
      <c r="G566" s="15">
        <v>2463.12</v>
      </c>
      <c r="H566" s="15">
        <v>2583.92</v>
      </c>
      <c r="I566" s="15">
        <v>2583.92</v>
      </c>
      <c r="J566" s="15">
        <v>2583.92</v>
      </c>
      <c r="K566" s="15">
        <v>2583.92</v>
      </c>
      <c r="L566" s="15">
        <v>2533.3200000000002</v>
      </c>
      <c r="M566" s="15">
        <v>2583.92</v>
      </c>
      <c r="N566" s="15">
        <v>2587.02</v>
      </c>
      <c r="O566" t="s">
        <v>75</v>
      </c>
    </row>
    <row r="567" spans="1:15" x14ac:dyDescent="0.25">
      <c r="A567" s="10" t="s">
        <v>1266</v>
      </c>
      <c r="B567" s="15">
        <v>2937.69</v>
      </c>
      <c r="C567" s="15">
        <v>5631.38</v>
      </c>
      <c r="D567" s="15">
        <v>5631.38</v>
      </c>
      <c r="E567" s="15">
        <v>5631.38</v>
      </c>
      <c r="F567" s="15">
        <v>5631.38</v>
      </c>
      <c r="G567" s="15">
        <v>5631.38</v>
      </c>
      <c r="H567" s="15">
        <v>5631.38</v>
      </c>
      <c r="I567" s="15">
        <v>5631.38</v>
      </c>
      <c r="J567" s="15">
        <v>5631.38</v>
      </c>
      <c r="K567" s="15">
        <v>5631.38</v>
      </c>
      <c r="L567" s="15">
        <v>10637.05</v>
      </c>
      <c r="M567" s="15">
        <v>5162.1000000000004</v>
      </c>
      <c r="N567" s="15">
        <v>5631.38</v>
      </c>
      <c r="O567" t="s">
        <v>75</v>
      </c>
    </row>
    <row r="568" spans="1:15" x14ac:dyDescent="0.25">
      <c r="A568" s="10" t="s">
        <v>1268</v>
      </c>
      <c r="B568" s="15">
        <v>3811.99</v>
      </c>
      <c r="C568" s="15">
        <v>7823.46</v>
      </c>
      <c r="D568" s="15">
        <v>5021.63</v>
      </c>
      <c r="E568" s="15">
        <v>1518.67</v>
      </c>
      <c r="F568" s="15">
        <v>2623.16</v>
      </c>
      <c r="G568" s="15">
        <v>106.54</v>
      </c>
      <c r="H568" s="15">
        <v>0</v>
      </c>
      <c r="I568" s="15">
        <v>0</v>
      </c>
      <c r="J568" s="15">
        <v>3589.59</v>
      </c>
      <c r="K568" s="15">
        <v>4141.83</v>
      </c>
      <c r="L568" s="15">
        <v>4141.83</v>
      </c>
      <c r="M568" s="15">
        <v>4141.83</v>
      </c>
      <c r="N568" s="15">
        <v>3106.37</v>
      </c>
      <c r="O568" t="s">
        <v>75</v>
      </c>
    </row>
    <row r="569" spans="1:15" x14ac:dyDescent="0.25">
      <c r="A569" s="10" t="s">
        <v>1270</v>
      </c>
      <c r="B569" s="15">
        <v>5419.86</v>
      </c>
      <c r="C569" s="15">
        <v>6167.4</v>
      </c>
      <c r="D569" s="15">
        <v>13636.33</v>
      </c>
      <c r="E569" s="15">
        <v>5095.4799999999996</v>
      </c>
      <c r="F569" s="15">
        <v>2133.37</v>
      </c>
      <c r="G569" s="15">
        <v>5818.28</v>
      </c>
      <c r="H569" s="15">
        <v>5818.28</v>
      </c>
      <c r="I569" s="15">
        <v>5818.28</v>
      </c>
      <c r="J569" s="15">
        <v>5770.32</v>
      </c>
      <c r="K569" s="15">
        <v>5812.64</v>
      </c>
      <c r="L569" s="15">
        <v>8408.5499999999993</v>
      </c>
      <c r="M569" s="15">
        <v>3878.85</v>
      </c>
      <c r="N569" s="15">
        <v>5824.66</v>
      </c>
      <c r="O569" t="s">
        <v>75</v>
      </c>
    </row>
    <row r="570" spans="1:15" x14ac:dyDescent="0.25">
      <c r="A570" s="10" t="s">
        <v>1272</v>
      </c>
      <c r="B570" s="15">
        <v>0</v>
      </c>
      <c r="C570" s="15">
        <v>0</v>
      </c>
      <c r="D570" s="15">
        <v>0</v>
      </c>
      <c r="E570" s="15">
        <v>1046.8599999999999</v>
      </c>
      <c r="F570" s="15">
        <v>1082.96</v>
      </c>
      <c r="G570" s="15">
        <v>1082.96</v>
      </c>
      <c r="H570" s="15">
        <v>1082.96</v>
      </c>
      <c r="I570" s="15">
        <v>1082.96</v>
      </c>
      <c r="J570" s="15">
        <v>1082.96</v>
      </c>
      <c r="K570" s="15">
        <v>1269.9100000000001</v>
      </c>
      <c r="L570" s="15">
        <v>0</v>
      </c>
      <c r="M570" s="15">
        <v>0</v>
      </c>
      <c r="N570" s="15">
        <v>632.37</v>
      </c>
      <c r="O570" t="s">
        <v>75</v>
      </c>
    </row>
    <row r="571" spans="1:15" x14ac:dyDescent="0.25">
      <c r="A571" s="10" t="s">
        <v>1274</v>
      </c>
      <c r="B571" s="15">
        <v>0</v>
      </c>
      <c r="C571" s="15">
        <v>0</v>
      </c>
      <c r="D571" s="15">
        <v>0</v>
      </c>
      <c r="E571" s="15">
        <v>0</v>
      </c>
      <c r="F571" s="15">
        <v>0</v>
      </c>
      <c r="G571" s="15">
        <v>0</v>
      </c>
      <c r="H571" s="15">
        <v>0</v>
      </c>
      <c r="I571" s="15">
        <v>0</v>
      </c>
      <c r="J571" s="15">
        <v>0</v>
      </c>
      <c r="K571" s="15">
        <v>0</v>
      </c>
      <c r="L571" s="15">
        <v>0</v>
      </c>
      <c r="M571" s="15">
        <v>0</v>
      </c>
      <c r="N571" s="15">
        <v>156.15</v>
      </c>
      <c r="O571" t="s">
        <v>75</v>
      </c>
    </row>
    <row r="572" spans="1:15" x14ac:dyDescent="0.25">
      <c r="A572" s="10" t="s">
        <v>1276</v>
      </c>
      <c r="B572" s="15">
        <v>2449.29</v>
      </c>
      <c r="C572" s="15">
        <v>1164.3399999999999</v>
      </c>
      <c r="D572" s="15">
        <v>661.76</v>
      </c>
      <c r="E572" s="15">
        <v>679.1</v>
      </c>
      <c r="F572" s="15">
        <v>1060.69</v>
      </c>
      <c r="G572" s="15">
        <v>1073.1199999999999</v>
      </c>
      <c r="H572" s="15">
        <v>1073.1199999999999</v>
      </c>
      <c r="I572" s="15">
        <v>1073.1199999999999</v>
      </c>
      <c r="J572" s="15">
        <v>1073.1199999999999</v>
      </c>
      <c r="K572" s="15">
        <v>1073.1199999999999</v>
      </c>
      <c r="L572" s="15">
        <v>1073.1199999999999</v>
      </c>
      <c r="M572" s="15">
        <v>1073.1199999999999</v>
      </c>
      <c r="N572" s="15">
        <v>1080.72</v>
      </c>
      <c r="O572" t="s">
        <v>75</v>
      </c>
    </row>
    <row r="573" spans="1:15" x14ac:dyDescent="0.25">
      <c r="A573" s="10" t="s">
        <v>1278</v>
      </c>
      <c r="B573" s="15">
        <v>0</v>
      </c>
      <c r="C573" s="15">
        <v>0</v>
      </c>
      <c r="D573" s="15">
        <v>0</v>
      </c>
      <c r="E573" s="15">
        <v>0</v>
      </c>
      <c r="F573" s="15">
        <v>0</v>
      </c>
      <c r="G573" s="15">
        <v>0</v>
      </c>
      <c r="H573" s="15">
        <v>0</v>
      </c>
      <c r="I573" s="15">
        <v>974.66</v>
      </c>
      <c r="J573" s="15">
        <v>1082.96</v>
      </c>
      <c r="K573" s="15">
        <v>1082.8699999999999</v>
      </c>
      <c r="L573" s="15">
        <v>1073.94</v>
      </c>
      <c r="M573" s="15">
        <v>1078.9000000000001</v>
      </c>
      <c r="N573" s="15">
        <v>541.48</v>
      </c>
      <c r="O573" t="s">
        <v>75</v>
      </c>
    </row>
    <row r="574" spans="1:15" x14ac:dyDescent="0.25">
      <c r="A574" s="10" t="s">
        <v>1280</v>
      </c>
      <c r="B574" s="15">
        <v>2532.56</v>
      </c>
      <c r="C574" s="15">
        <v>1763.49</v>
      </c>
      <c r="D574" s="15">
        <v>2736.66</v>
      </c>
      <c r="E574" s="15">
        <v>2755.93</v>
      </c>
      <c r="F574" s="15">
        <v>2724.82</v>
      </c>
      <c r="G574" s="15">
        <v>2786.35</v>
      </c>
      <c r="H574" s="15">
        <v>2786.35</v>
      </c>
      <c r="I574" s="15">
        <v>2786.35</v>
      </c>
      <c r="J574" s="15">
        <v>2786.35</v>
      </c>
      <c r="K574" s="15">
        <v>2786.35</v>
      </c>
      <c r="L574" s="15">
        <v>2786.35</v>
      </c>
      <c r="M574" s="15">
        <v>2786.35</v>
      </c>
      <c r="N574" s="15">
        <v>2786.35</v>
      </c>
      <c r="O574" t="s">
        <v>75</v>
      </c>
    </row>
    <row r="575" spans="1:15" x14ac:dyDescent="0.25">
      <c r="A575" s="10" t="s">
        <v>1282</v>
      </c>
      <c r="B575" s="15">
        <v>1603.33</v>
      </c>
      <c r="C575" s="15">
        <v>3944.09</v>
      </c>
      <c r="D575" s="15">
        <v>4791.43</v>
      </c>
      <c r="E575" s="15">
        <v>4367.76</v>
      </c>
      <c r="F575" s="15">
        <v>4571.59</v>
      </c>
      <c r="G575" s="15">
        <v>4367.76</v>
      </c>
      <c r="H575" s="15">
        <v>4367.76</v>
      </c>
      <c r="I575" s="15">
        <v>4367.76</v>
      </c>
      <c r="J575" s="15">
        <v>4367.76</v>
      </c>
      <c r="K575" s="15">
        <v>4367.76</v>
      </c>
      <c r="L575" s="15">
        <v>4367.76</v>
      </c>
      <c r="M575" s="15">
        <v>10122.370000000001</v>
      </c>
      <c r="N575" s="15">
        <v>4384.75</v>
      </c>
      <c r="O575" t="s">
        <v>75</v>
      </c>
    </row>
    <row r="576" spans="1:15" x14ac:dyDescent="0.25">
      <c r="A576" s="10" t="s">
        <v>1284</v>
      </c>
      <c r="B576" s="15">
        <v>1863.6</v>
      </c>
      <c r="C576" s="15">
        <v>1507.95</v>
      </c>
      <c r="D576" s="15">
        <v>2211.14</v>
      </c>
      <c r="E576" s="15">
        <v>2211.14</v>
      </c>
      <c r="F576" s="15">
        <v>2118.09</v>
      </c>
      <c r="G576" s="15">
        <v>2136.15</v>
      </c>
      <c r="H576" s="15">
        <v>2128.04</v>
      </c>
      <c r="I576" s="15">
        <v>2211.14</v>
      </c>
      <c r="J576" s="15">
        <v>2211.14</v>
      </c>
      <c r="K576" s="15">
        <v>2211.14</v>
      </c>
      <c r="L576" s="15">
        <v>3025.47</v>
      </c>
      <c r="M576" s="15">
        <v>2189.77</v>
      </c>
      <c r="N576" s="15">
        <v>2212.8200000000002</v>
      </c>
      <c r="O576" t="s">
        <v>75</v>
      </c>
    </row>
    <row r="577" spans="1:15" x14ac:dyDescent="0.25">
      <c r="A577" s="10" t="s">
        <v>1286</v>
      </c>
      <c r="B577" s="15">
        <v>10860.55</v>
      </c>
      <c r="C577" s="15">
        <v>12701.14</v>
      </c>
      <c r="D577" s="15">
        <v>12701.14</v>
      </c>
      <c r="E577" s="15">
        <v>12701.14</v>
      </c>
      <c r="F577" s="15">
        <v>12701.14</v>
      </c>
      <c r="G577" s="15">
        <v>12701.14</v>
      </c>
      <c r="H577" s="15">
        <v>29635.99</v>
      </c>
      <c r="I577" s="15">
        <v>12701.14</v>
      </c>
      <c r="J577" s="15">
        <v>3598.67</v>
      </c>
      <c r="K577" s="15">
        <v>14006.51</v>
      </c>
      <c r="L577" s="15">
        <v>14410.89</v>
      </c>
      <c r="M577" s="15">
        <v>14410.89</v>
      </c>
      <c r="N577" s="15">
        <v>14410.89</v>
      </c>
      <c r="O577" t="s">
        <v>75</v>
      </c>
    </row>
    <row r="578" spans="1:15" x14ac:dyDescent="0.25">
      <c r="A578" s="10" t="s">
        <v>1288</v>
      </c>
      <c r="B578" s="15">
        <v>2104.9</v>
      </c>
      <c r="C578" s="15">
        <v>9197.2199999999993</v>
      </c>
      <c r="D578" s="15">
        <v>8928.26</v>
      </c>
      <c r="E578" s="15">
        <v>8928.26</v>
      </c>
      <c r="F578" s="15">
        <v>8928.26</v>
      </c>
      <c r="G578" s="15">
        <v>8928.26</v>
      </c>
      <c r="H578" s="15">
        <v>8928.26</v>
      </c>
      <c r="I578" s="15">
        <v>8928.26</v>
      </c>
      <c r="J578" s="15">
        <v>8928.26</v>
      </c>
      <c r="K578" s="15">
        <v>8928.26</v>
      </c>
      <c r="L578" s="15">
        <v>20862.490000000002</v>
      </c>
      <c r="M578" s="15">
        <v>8928.26</v>
      </c>
      <c r="N578" s="15">
        <v>8950.67</v>
      </c>
      <c r="O578" t="s">
        <v>75</v>
      </c>
    </row>
    <row r="579" spans="1:15" x14ac:dyDescent="0.25">
      <c r="A579" s="10" t="s">
        <v>1290</v>
      </c>
      <c r="B579" s="15">
        <v>4841.2700000000004</v>
      </c>
      <c r="C579" s="15">
        <v>5855.24</v>
      </c>
      <c r="D579" s="15">
        <v>5453.71</v>
      </c>
      <c r="E579" s="15">
        <v>5453.71</v>
      </c>
      <c r="F579" s="15">
        <v>7892.66</v>
      </c>
      <c r="G579" s="15">
        <v>4999.24</v>
      </c>
      <c r="H579" s="15">
        <v>5453.71</v>
      </c>
      <c r="I579" s="15">
        <v>5453.71</v>
      </c>
      <c r="J579" s="15">
        <v>5453.71</v>
      </c>
      <c r="K579" s="15">
        <v>10331.6</v>
      </c>
      <c r="L579" s="15">
        <v>1999.69</v>
      </c>
      <c r="M579" s="15">
        <v>5271.92</v>
      </c>
      <c r="N579" s="15">
        <v>5487.17</v>
      </c>
      <c r="O579" t="s">
        <v>75</v>
      </c>
    </row>
    <row r="580" spans="1:15" x14ac:dyDescent="0.25">
      <c r="A580" s="10" t="s">
        <v>1292</v>
      </c>
      <c r="B580" s="15">
        <v>0</v>
      </c>
      <c r="C580" s="15">
        <v>0</v>
      </c>
      <c r="D580" s="15">
        <v>1838.25</v>
      </c>
      <c r="E580" s="15">
        <v>2042.5</v>
      </c>
      <c r="F580" s="15">
        <v>2150.5</v>
      </c>
      <c r="G580" s="15">
        <v>2042.5</v>
      </c>
      <c r="H580" s="15">
        <v>2042.5</v>
      </c>
      <c r="I580" s="15">
        <v>2042.5</v>
      </c>
      <c r="J580" s="15">
        <v>2042.5</v>
      </c>
      <c r="K580" s="15">
        <v>2042.5</v>
      </c>
      <c r="L580" s="15">
        <v>2042.5</v>
      </c>
      <c r="M580" s="15">
        <v>2042.5</v>
      </c>
      <c r="N580" s="15">
        <v>1882.19</v>
      </c>
      <c r="O580" t="s">
        <v>75</v>
      </c>
    </row>
    <row r="581" spans="1:15" x14ac:dyDescent="0.25">
      <c r="A581" s="10" t="s">
        <v>1294</v>
      </c>
      <c r="B581" s="15">
        <v>734.16</v>
      </c>
      <c r="C581" s="15">
        <v>1104.3499999999999</v>
      </c>
      <c r="D581" s="15">
        <v>1082.96</v>
      </c>
      <c r="E581" s="15">
        <v>1082.96</v>
      </c>
      <c r="F581" s="15">
        <v>983.96</v>
      </c>
      <c r="G581" s="15">
        <v>1082.96</v>
      </c>
      <c r="H581" s="15">
        <v>1076.73</v>
      </c>
      <c r="I581" s="15">
        <v>1069.33</v>
      </c>
      <c r="J581" s="15">
        <v>1082.96</v>
      </c>
      <c r="K581" s="15">
        <v>1082.96</v>
      </c>
      <c r="L581" s="15">
        <v>1082.96</v>
      </c>
      <c r="M581" s="15">
        <v>1043.7</v>
      </c>
      <c r="N581" s="15">
        <v>1084.74</v>
      </c>
      <c r="O581" t="s">
        <v>75</v>
      </c>
    </row>
    <row r="582" spans="1:15" x14ac:dyDescent="0.25">
      <c r="A582" s="10" t="s">
        <v>1296</v>
      </c>
      <c r="B582" s="15">
        <v>15375.64</v>
      </c>
      <c r="C582" s="15">
        <v>14997.64</v>
      </c>
      <c r="D582" s="15">
        <v>14997.64</v>
      </c>
      <c r="E582" s="15">
        <v>14997.64</v>
      </c>
      <c r="F582" s="15">
        <v>14997.64</v>
      </c>
      <c r="G582" s="15">
        <v>14997.64</v>
      </c>
      <c r="H582" s="15">
        <v>14997.64</v>
      </c>
      <c r="I582" s="15">
        <v>14997.64</v>
      </c>
      <c r="J582" s="15">
        <v>14997.64</v>
      </c>
      <c r="K582" s="15">
        <v>28328.87</v>
      </c>
      <c r="L582" s="15">
        <v>9248.5499999999993</v>
      </c>
      <c r="M582" s="15">
        <v>14497.72</v>
      </c>
      <c r="N582" s="15">
        <v>14997.64</v>
      </c>
      <c r="O582" t="s">
        <v>75</v>
      </c>
    </row>
    <row r="583" spans="1:15" x14ac:dyDescent="0.25">
      <c r="A583" s="10" t="s">
        <v>1298</v>
      </c>
      <c r="B583" s="15">
        <v>2486.54</v>
      </c>
      <c r="C583" s="15">
        <v>2930.91</v>
      </c>
      <c r="D583" s="15">
        <v>2679.61</v>
      </c>
      <c r="E583" s="15">
        <v>2679.61</v>
      </c>
      <c r="F583" s="15">
        <v>2679.61</v>
      </c>
      <c r="G583" s="15">
        <v>3753.38</v>
      </c>
      <c r="H583" s="15">
        <v>2679.61</v>
      </c>
      <c r="I583" s="15">
        <v>2679.61</v>
      </c>
      <c r="J583" s="15">
        <v>6974.7</v>
      </c>
      <c r="K583" s="15">
        <v>2679.61</v>
      </c>
      <c r="L583" s="15">
        <v>2679.61</v>
      </c>
      <c r="M583" s="15">
        <v>2679.61</v>
      </c>
      <c r="N583" s="15">
        <v>3226.14</v>
      </c>
      <c r="O583" t="s">
        <v>75</v>
      </c>
    </row>
    <row r="584" spans="1:15" x14ac:dyDescent="0.25">
      <c r="A584" s="10" t="s">
        <v>1300</v>
      </c>
      <c r="B584" s="15">
        <v>17390.02</v>
      </c>
      <c r="C584" s="15">
        <v>19081.349999999999</v>
      </c>
      <c r="D584" s="15">
        <v>18271.689999999999</v>
      </c>
      <c r="E584" s="15">
        <v>18271.689999999999</v>
      </c>
      <c r="F584" s="15">
        <v>18271.689999999999</v>
      </c>
      <c r="G584" s="15">
        <v>18271.689999999999</v>
      </c>
      <c r="H584" s="15">
        <v>18271.689999999999</v>
      </c>
      <c r="I584" s="15">
        <v>34930.17</v>
      </c>
      <c r="J584" s="15">
        <v>18271.689999999999</v>
      </c>
      <c r="K584" s="15">
        <v>10658.48</v>
      </c>
      <c r="L584" s="15">
        <v>20025.96</v>
      </c>
      <c r="M584" s="15">
        <v>18271.689999999999</v>
      </c>
      <c r="N584" s="15">
        <v>18485.349999999999</v>
      </c>
      <c r="O584" t="s">
        <v>75</v>
      </c>
    </row>
    <row r="585" spans="1:15" x14ac:dyDescent="0.25">
      <c r="A585" s="10" t="s">
        <v>1302</v>
      </c>
      <c r="B585" s="15">
        <v>0</v>
      </c>
      <c r="C585" s="15">
        <v>0</v>
      </c>
      <c r="D585" s="15">
        <v>0</v>
      </c>
      <c r="E585" s="15">
        <v>0</v>
      </c>
      <c r="F585" s="15">
        <v>0</v>
      </c>
      <c r="G585" s="15">
        <v>0</v>
      </c>
      <c r="H585" s="15">
        <v>0</v>
      </c>
      <c r="I585" s="15">
        <v>0</v>
      </c>
      <c r="J585" s="15">
        <v>0</v>
      </c>
      <c r="K585" s="15">
        <v>0</v>
      </c>
      <c r="L585" s="15">
        <v>0</v>
      </c>
      <c r="M585" s="15">
        <v>0</v>
      </c>
      <c r="N585" s="15">
        <v>90.25</v>
      </c>
      <c r="O585" t="s">
        <v>75</v>
      </c>
    </row>
    <row r="586" spans="1:15" x14ac:dyDescent="0.25">
      <c r="A586" s="10" t="s">
        <v>1304</v>
      </c>
      <c r="B586" s="15">
        <v>4653.58</v>
      </c>
      <c r="C586" s="15">
        <v>5286.43</v>
      </c>
      <c r="D586" s="15">
        <v>4757.79</v>
      </c>
      <c r="E586" s="15">
        <v>5185.1099999999997</v>
      </c>
      <c r="F586" s="15">
        <v>4917.7</v>
      </c>
      <c r="G586" s="15">
        <v>4777.6099999999997</v>
      </c>
      <c r="H586" s="15">
        <v>4881.58</v>
      </c>
      <c r="I586" s="15">
        <v>4852.9399999999996</v>
      </c>
      <c r="J586" s="15">
        <v>5065.28</v>
      </c>
      <c r="K586" s="15">
        <v>9985.4699999999993</v>
      </c>
      <c r="L586" s="15">
        <v>5286.43</v>
      </c>
      <c r="M586" s="15">
        <v>3083.76</v>
      </c>
      <c r="N586" s="15">
        <v>5286.43</v>
      </c>
      <c r="O586" t="s">
        <v>75</v>
      </c>
    </row>
    <row r="587" spans="1:15" x14ac:dyDescent="0.25">
      <c r="A587" s="10" t="s">
        <v>1306</v>
      </c>
      <c r="B587" s="15">
        <v>0</v>
      </c>
      <c r="C587" s="15">
        <v>0</v>
      </c>
      <c r="D587" s="15">
        <v>0</v>
      </c>
      <c r="E587" s="15">
        <v>0</v>
      </c>
      <c r="F587" s="15">
        <v>469.28</v>
      </c>
      <c r="G587" s="15">
        <v>1082.96</v>
      </c>
      <c r="H587" s="15">
        <v>1082.96</v>
      </c>
      <c r="I587" s="15">
        <v>1082.96</v>
      </c>
      <c r="J587" s="15">
        <v>1082.96</v>
      </c>
      <c r="K587" s="15">
        <v>1082.96</v>
      </c>
      <c r="L587" s="15">
        <v>1082.96</v>
      </c>
      <c r="M587" s="15">
        <v>1082.96</v>
      </c>
      <c r="N587" s="15">
        <v>721.97</v>
      </c>
      <c r="O587" t="s">
        <v>75</v>
      </c>
    </row>
    <row r="588" spans="1:15" x14ac:dyDescent="0.25">
      <c r="A588" s="10" t="s">
        <v>1308</v>
      </c>
      <c r="B588" s="15">
        <v>4813.75</v>
      </c>
      <c r="C588" s="15">
        <v>3512.48</v>
      </c>
      <c r="D588" s="15">
        <v>5074.54</v>
      </c>
      <c r="E588" s="15">
        <v>5074.54</v>
      </c>
      <c r="F588" s="15">
        <v>4970.93</v>
      </c>
      <c r="G588" s="15">
        <v>5074.54</v>
      </c>
      <c r="H588" s="15">
        <v>5026.33</v>
      </c>
      <c r="I588" s="15">
        <v>5074.54</v>
      </c>
      <c r="J588" s="15">
        <v>6498.59</v>
      </c>
      <c r="K588" s="15">
        <v>6498.59</v>
      </c>
      <c r="L588" s="15">
        <v>5074.54</v>
      </c>
      <c r="M588" s="15">
        <v>5074.54</v>
      </c>
      <c r="N588" s="15">
        <v>5338.2</v>
      </c>
      <c r="O588" t="s">
        <v>75</v>
      </c>
    </row>
    <row r="589" spans="1:15" x14ac:dyDescent="0.25">
      <c r="A589" s="10" t="s">
        <v>1310</v>
      </c>
      <c r="B589" s="15">
        <v>8612.68</v>
      </c>
      <c r="C589" s="15">
        <v>9541.4500000000007</v>
      </c>
      <c r="D589" s="15">
        <v>7372.35</v>
      </c>
      <c r="E589" s="15">
        <v>7499.09</v>
      </c>
      <c r="F589" s="15">
        <v>7611.52</v>
      </c>
      <c r="G589" s="15">
        <v>8211.51</v>
      </c>
      <c r="H589" s="15">
        <v>7598.18</v>
      </c>
      <c r="I589" s="15">
        <v>16910.09</v>
      </c>
      <c r="J589" s="15">
        <v>7154.85</v>
      </c>
      <c r="K589" s="15">
        <v>2042.73</v>
      </c>
      <c r="L589" s="15">
        <v>7179.51</v>
      </c>
      <c r="M589" s="15">
        <v>7223.78</v>
      </c>
      <c r="N589" s="15">
        <v>7611.98</v>
      </c>
      <c r="O589" t="s">
        <v>75</v>
      </c>
    </row>
    <row r="590" spans="1:15" x14ac:dyDescent="0.25">
      <c r="A590" s="10" t="s">
        <v>1312</v>
      </c>
      <c r="B590" s="15">
        <v>1491.93</v>
      </c>
      <c r="C590" s="15">
        <v>2188.48</v>
      </c>
      <c r="D590" s="15">
        <v>1658.36</v>
      </c>
      <c r="E590" s="15">
        <v>1646.94</v>
      </c>
      <c r="F590" s="15">
        <v>2211.15</v>
      </c>
      <c r="G590" s="15">
        <v>2211.15</v>
      </c>
      <c r="H590" s="15">
        <v>4215.88</v>
      </c>
      <c r="I590" s="15">
        <v>2150.16</v>
      </c>
      <c r="J590" s="15">
        <v>1095.44</v>
      </c>
      <c r="K590" s="15">
        <v>2168.9499999999998</v>
      </c>
      <c r="L590" s="15">
        <v>2191.62</v>
      </c>
      <c r="M590" s="15">
        <v>2144.08</v>
      </c>
      <c r="N590" s="15">
        <v>2255.33</v>
      </c>
      <c r="O590" t="s">
        <v>75</v>
      </c>
    </row>
    <row r="591" spans="1:15" x14ac:dyDescent="0.25">
      <c r="A591" s="10" t="s">
        <v>1314</v>
      </c>
      <c r="B591" s="15">
        <v>8237.73</v>
      </c>
      <c r="C591" s="15">
        <v>9219.82</v>
      </c>
      <c r="D591" s="15">
        <v>14137.06</v>
      </c>
      <c r="E591" s="15">
        <v>7836.85</v>
      </c>
      <c r="F591" s="15">
        <v>9219.82</v>
      </c>
      <c r="G591" s="15">
        <v>16595.669999999998</v>
      </c>
      <c r="H591" s="15">
        <v>9219.82</v>
      </c>
      <c r="I591" s="15">
        <v>3687.93</v>
      </c>
      <c r="J591" s="15">
        <v>9219.82</v>
      </c>
      <c r="K591" s="15">
        <v>9219.82</v>
      </c>
      <c r="L591" s="15">
        <v>9219.82</v>
      </c>
      <c r="M591" s="15">
        <v>14137.06</v>
      </c>
      <c r="N591" s="15">
        <v>9219.82</v>
      </c>
      <c r="O591" t="s">
        <v>75</v>
      </c>
    </row>
    <row r="592" spans="1:15" x14ac:dyDescent="0.25">
      <c r="A592" s="10" t="s">
        <v>1316</v>
      </c>
      <c r="B592" s="15">
        <v>9373.3799999999992</v>
      </c>
      <c r="C592" s="15">
        <v>5458.76</v>
      </c>
      <c r="D592" s="15">
        <v>8258.64</v>
      </c>
      <c r="E592" s="15">
        <v>9910.3700000000008</v>
      </c>
      <c r="F592" s="15">
        <v>9910.3700000000008</v>
      </c>
      <c r="G592" s="15">
        <v>9910.3700000000008</v>
      </c>
      <c r="H592" s="15">
        <v>9910.3700000000008</v>
      </c>
      <c r="I592" s="15">
        <v>9910.3700000000008</v>
      </c>
      <c r="J592" s="15">
        <v>9910.3700000000008</v>
      </c>
      <c r="K592" s="15">
        <v>10460.950000000001</v>
      </c>
      <c r="L592" s="15">
        <v>9910.3700000000008</v>
      </c>
      <c r="M592" s="15">
        <v>23192.1</v>
      </c>
      <c r="N592" s="15">
        <v>10007.18</v>
      </c>
      <c r="O592" t="s">
        <v>75</v>
      </c>
    </row>
    <row r="593" spans="1:15" x14ac:dyDescent="0.25">
      <c r="A593" s="10" t="s">
        <v>1318</v>
      </c>
      <c r="B593" s="15">
        <v>3108.18</v>
      </c>
      <c r="C593" s="15">
        <v>3492.91</v>
      </c>
      <c r="D593" s="15">
        <v>3478.13</v>
      </c>
      <c r="E593" s="15">
        <v>7903.34</v>
      </c>
      <c r="F593" s="15">
        <v>3478.13</v>
      </c>
      <c r="G593" s="15">
        <v>3478.13</v>
      </c>
      <c r="H593" s="15">
        <v>3478.13</v>
      </c>
      <c r="I593" s="15">
        <v>3478.13</v>
      </c>
      <c r="J593" s="15">
        <v>8364.6299999999992</v>
      </c>
      <c r="K593" s="15">
        <v>3478.13</v>
      </c>
      <c r="L593" s="15">
        <v>985.47</v>
      </c>
      <c r="M593" s="15">
        <v>3362.19</v>
      </c>
      <c r="N593" s="15">
        <v>3848.13</v>
      </c>
      <c r="O593" t="s">
        <v>75</v>
      </c>
    </row>
    <row r="594" spans="1:15" x14ac:dyDescent="0.25">
      <c r="A594" s="10" t="s">
        <v>1320</v>
      </c>
      <c r="B594" s="15">
        <v>0</v>
      </c>
      <c r="C594" s="15">
        <v>0</v>
      </c>
      <c r="D594" s="15">
        <v>0</v>
      </c>
      <c r="E594" s="15">
        <v>0</v>
      </c>
      <c r="F594" s="15">
        <v>0</v>
      </c>
      <c r="G594" s="15">
        <v>0</v>
      </c>
      <c r="H594" s="15">
        <v>936.92</v>
      </c>
      <c r="I594" s="15">
        <v>936.92</v>
      </c>
      <c r="J594" s="15">
        <v>936.61</v>
      </c>
      <c r="K594" s="15">
        <v>936.92</v>
      </c>
      <c r="L594" s="15">
        <v>936.92</v>
      </c>
      <c r="M594" s="15">
        <v>936.92</v>
      </c>
      <c r="N594" s="15">
        <v>546.54</v>
      </c>
      <c r="O594" t="s">
        <v>75</v>
      </c>
    </row>
    <row r="595" spans="1:15" x14ac:dyDescent="0.25">
      <c r="A595" s="10" t="s">
        <v>1322</v>
      </c>
      <c r="B595" s="15">
        <v>2281.88</v>
      </c>
      <c r="C595" s="15">
        <v>2337.9</v>
      </c>
      <c r="D595" s="15">
        <v>3879.94</v>
      </c>
      <c r="E595" s="15">
        <v>2042.5</v>
      </c>
      <c r="F595" s="15">
        <v>1720.72</v>
      </c>
      <c r="G595" s="15">
        <v>2042.5</v>
      </c>
      <c r="H595" s="15">
        <v>2029.56</v>
      </c>
      <c r="I595" s="15">
        <v>2042.5</v>
      </c>
      <c r="J595" s="15">
        <v>2042.5</v>
      </c>
      <c r="K595" s="15">
        <v>2042.5</v>
      </c>
      <c r="L595" s="15">
        <v>2042.5</v>
      </c>
      <c r="M595" s="15">
        <v>2042.5</v>
      </c>
      <c r="N595" s="15">
        <v>2111.2199999999998</v>
      </c>
      <c r="O595" t="s">
        <v>75</v>
      </c>
    </row>
    <row r="596" spans="1:15" x14ac:dyDescent="0.25">
      <c r="A596" s="10" t="s">
        <v>1324</v>
      </c>
      <c r="B596" s="15">
        <v>8346.1200000000008</v>
      </c>
      <c r="C596" s="15">
        <v>8460.3700000000008</v>
      </c>
      <c r="D596" s="15">
        <v>9333.7000000000007</v>
      </c>
      <c r="E596" s="15">
        <v>9333.7000000000007</v>
      </c>
      <c r="F596" s="15">
        <v>9333.7000000000007</v>
      </c>
      <c r="G596" s="15">
        <v>9333.7000000000007</v>
      </c>
      <c r="H596" s="15">
        <v>16800.66</v>
      </c>
      <c r="I596" s="15">
        <v>4977.97</v>
      </c>
      <c r="J596" s="15">
        <v>8089.21</v>
      </c>
      <c r="K596" s="15">
        <v>9333.7000000000007</v>
      </c>
      <c r="L596" s="15">
        <v>9333.7000000000007</v>
      </c>
      <c r="M596" s="15">
        <v>14311.67</v>
      </c>
      <c r="N596" s="15">
        <v>9333.7000000000007</v>
      </c>
      <c r="O596" t="s">
        <v>75</v>
      </c>
    </row>
    <row r="597" spans="1:15" x14ac:dyDescent="0.25">
      <c r="A597" s="10" t="s">
        <v>1326</v>
      </c>
      <c r="B597" s="15">
        <v>1989.24</v>
      </c>
      <c r="C597" s="15">
        <v>2227.7199999999998</v>
      </c>
      <c r="D597" s="15">
        <v>2211.14</v>
      </c>
      <c r="E597" s="15">
        <v>2211.14</v>
      </c>
      <c r="F597" s="15">
        <v>2211.14</v>
      </c>
      <c r="G597" s="15">
        <v>4177.2</v>
      </c>
      <c r="H597" s="15">
        <v>2211.14</v>
      </c>
      <c r="I597" s="15">
        <v>1289.8399999999999</v>
      </c>
      <c r="J597" s="15">
        <v>2211.14</v>
      </c>
      <c r="K597" s="15">
        <v>2211.14</v>
      </c>
      <c r="L597" s="15">
        <v>2211.14</v>
      </c>
      <c r="M597" s="15">
        <v>2211.14</v>
      </c>
      <c r="N597" s="15">
        <v>2212.52</v>
      </c>
      <c r="O597" t="s">
        <v>75</v>
      </c>
    </row>
    <row r="598" spans="1:15" x14ac:dyDescent="0.25">
      <c r="A598" s="10" t="s">
        <v>1328</v>
      </c>
      <c r="B598" s="15">
        <v>1989.25</v>
      </c>
      <c r="C598" s="15">
        <v>2191.79</v>
      </c>
      <c r="D598" s="15">
        <v>3685.23</v>
      </c>
      <c r="E598" s="15">
        <v>2211.14</v>
      </c>
      <c r="F598" s="15">
        <v>1658.36</v>
      </c>
      <c r="G598" s="15">
        <v>2211.14</v>
      </c>
      <c r="H598" s="15">
        <v>2211.14</v>
      </c>
      <c r="I598" s="15">
        <v>2211.14</v>
      </c>
      <c r="J598" s="15">
        <v>2211.14</v>
      </c>
      <c r="K598" s="15">
        <v>3678.97</v>
      </c>
      <c r="L598" s="15">
        <v>1105.57</v>
      </c>
      <c r="M598" s="15">
        <v>2211.14</v>
      </c>
      <c r="N598" s="15">
        <v>2211.14</v>
      </c>
      <c r="O598" t="s">
        <v>75</v>
      </c>
    </row>
    <row r="599" spans="1:15" x14ac:dyDescent="0.25">
      <c r="A599" s="10" t="s">
        <v>1330</v>
      </c>
      <c r="B599" s="15">
        <v>17420.46</v>
      </c>
      <c r="C599" s="15">
        <v>15468.03</v>
      </c>
      <c r="D599" s="15">
        <v>10347.719999999999</v>
      </c>
      <c r="E599" s="15">
        <v>12212.57</v>
      </c>
      <c r="F599" s="15">
        <v>13010.57</v>
      </c>
      <c r="G599" s="15">
        <v>12891.07</v>
      </c>
      <c r="H599" s="15">
        <v>12613.31</v>
      </c>
      <c r="I599" s="15">
        <v>12491.01</v>
      </c>
      <c r="J599" s="15">
        <v>12283.73</v>
      </c>
      <c r="K599" s="15">
        <v>13009.54</v>
      </c>
      <c r="L599" s="15">
        <v>12272.54</v>
      </c>
      <c r="M599" s="15">
        <v>12494.05</v>
      </c>
      <c r="N599" s="15">
        <v>12721.21</v>
      </c>
      <c r="O599" t="s">
        <v>75</v>
      </c>
    </row>
    <row r="600" spans="1:15" x14ac:dyDescent="0.25">
      <c r="A600" s="10" t="s">
        <v>1332</v>
      </c>
      <c r="B600" s="15">
        <v>2486.5500000000002</v>
      </c>
      <c r="C600" s="15">
        <v>6940.23</v>
      </c>
      <c r="D600" s="15">
        <v>2679.61</v>
      </c>
      <c r="E600" s="15">
        <v>1563.1</v>
      </c>
      <c r="F600" s="15">
        <v>2679.61</v>
      </c>
      <c r="G600" s="15">
        <v>2679.61</v>
      </c>
      <c r="H600" s="15">
        <v>2679.61</v>
      </c>
      <c r="I600" s="15">
        <v>2679.61</v>
      </c>
      <c r="J600" s="15">
        <v>2679.61</v>
      </c>
      <c r="K600" s="15">
        <v>2679.61</v>
      </c>
      <c r="L600" s="15">
        <v>2679.61</v>
      </c>
      <c r="M600" s="15">
        <v>2679.61</v>
      </c>
      <c r="N600" s="15">
        <v>2823.7</v>
      </c>
      <c r="O600" t="s">
        <v>75</v>
      </c>
    </row>
    <row r="601" spans="1:15" x14ac:dyDescent="0.25">
      <c r="A601" s="10" t="s">
        <v>1334</v>
      </c>
      <c r="B601" s="15">
        <v>9688.7000000000007</v>
      </c>
      <c r="C601" s="15">
        <v>11465.95</v>
      </c>
      <c r="D601" s="15">
        <v>10963.33</v>
      </c>
      <c r="E601" s="15">
        <v>10963.33</v>
      </c>
      <c r="F601" s="15">
        <v>10963.33</v>
      </c>
      <c r="G601" s="15">
        <v>10963.33</v>
      </c>
      <c r="H601" s="15">
        <v>10963.33</v>
      </c>
      <c r="I601" s="15">
        <v>10963.33</v>
      </c>
      <c r="J601" s="15">
        <v>10963.33</v>
      </c>
      <c r="K601" s="15">
        <v>10963.33</v>
      </c>
      <c r="L601" s="15">
        <v>20708.5</v>
      </c>
      <c r="M601" s="15">
        <v>12607.83</v>
      </c>
      <c r="N601" s="15">
        <v>10963.33</v>
      </c>
      <c r="O601" t="s">
        <v>75</v>
      </c>
    </row>
    <row r="602" spans="1:15" x14ac:dyDescent="0.25">
      <c r="A602" s="10" t="s">
        <v>1336</v>
      </c>
      <c r="B602" s="15">
        <v>3738.1</v>
      </c>
      <c r="C602" s="15">
        <v>7418.86</v>
      </c>
      <c r="D602" s="15">
        <v>2945.73</v>
      </c>
      <c r="E602" s="15">
        <v>3273.02</v>
      </c>
      <c r="F602" s="15">
        <v>3927.63</v>
      </c>
      <c r="G602" s="15">
        <v>3907.34</v>
      </c>
      <c r="H602" s="15">
        <v>3927.63</v>
      </c>
      <c r="I602" s="15">
        <v>3927.63</v>
      </c>
      <c r="J602" s="15">
        <v>3927.63</v>
      </c>
      <c r="K602" s="15">
        <v>3927.63</v>
      </c>
      <c r="L602" s="15">
        <v>3927.63</v>
      </c>
      <c r="M602" s="15">
        <v>3927.63</v>
      </c>
      <c r="N602" s="15">
        <v>3927.63</v>
      </c>
      <c r="O602" t="s">
        <v>75</v>
      </c>
    </row>
    <row r="603" spans="1:15" x14ac:dyDescent="0.25">
      <c r="A603" s="10" t="s">
        <v>1338</v>
      </c>
      <c r="B603" s="15">
        <v>12112.1</v>
      </c>
      <c r="C603" s="15">
        <v>6921.87</v>
      </c>
      <c r="D603" s="15">
        <v>4107.01</v>
      </c>
      <c r="E603" s="15">
        <v>6438.02</v>
      </c>
      <c r="F603" s="15">
        <v>6660.01</v>
      </c>
      <c r="G603" s="15">
        <v>6660.01</v>
      </c>
      <c r="H603" s="15">
        <v>6660.01</v>
      </c>
      <c r="I603" s="15">
        <v>6660.01</v>
      </c>
      <c r="J603" s="15">
        <v>6660.01</v>
      </c>
      <c r="K603" s="15">
        <v>8963.9599999999991</v>
      </c>
      <c r="L603" s="15">
        <v>6660.01</v>
      </c>
      <c r="M603" s="15">
        <v>6660.01</v>
      </c>
      <c r="N603" s="15">
        <v>6852.01</v>
      </c>
      <c r="O603" t="s">
        <v>75</v>
      </c>
    </row>
    <row r="604" spans="1:15" x14ac:dyDescent="0.25">
      <c r="A604" s="10" t="s">
        <v>1340</v>
      </c>
      <c r="B604" s="15">
        <v>3141.95</v>
      </c>
      <c r="C604" s="15">
        <v>7293.93</v>
      </c>
      <c r="D604" s="15">
        <v>3513.61</v>
      </c>
      <c r="E604" s="15">
        <v>6106.83</v>
      </c>
      <c r="F604" s="15">
        <v>3513.61</v>
      </c>
      <c r="G604" s="15">
        <v>3513.61</v>
      </c>
      <c r="H604" s="15">
        <v>3513.61</v>
      </c>
      <c r="I604" s="15">
        <v>8804.98</v>
      </c>
      <c r="J604" s="15">
        <v>3513.61</v>
      </c>
      <c r="K604" s="15">
        <v>2165.2600000000002</v>
      </c>
      <c r="L604" s="15">
        <v>2225.29</v>
      </c>
      <c r="M604" s="15">
        <v>3513.61</v>
      </c>
      <c r="N604" s="15">
        <v>4048.13</v>
      </c>
      <c r="O604" t="s">
        <v>75</v>
      </c>
    </row>
    <row r="605" spans="1:15" x14ac:dyDescent="0.25">
      <c r="A605" s="10" t="s">
        <v>1342</v>
      </c>
      <c r="B605" s="15">
        <v>8144.87</v>
      </c>
      <c r="C605" s="15">
        <v>6214.01</v>
      </c>
      <c r="D605" s="15">
        <v>9122.25</v>
      </c>
      <c r="E605" s="15">
        <v>9122.25</v>
      </c>
      <c r="F605" s="15">
        <v>9122.25</v>
      </c>
      <c r="G605" s="15">
        <v>9122.25</v>
      </c>
      <c r="H605" s="15">
        <v>9122.25</v>
      </c>
      <c r="I605" s="15">
        <v>9122.25</v>
      </c>
      <c r="J605" s="15">
        <v>9122.25</v>
      </c>
      <c r="K605" s="15">
        <v>13176.58</v>
      </c>
      <c r="L605" s="15">
        <v>6993.72</v>
      </c>
      <c r="M605" s="15">
        <v>8210.02</v>
      </c>
      <c r="N605" s="15">
        <v>9122.25</v>
      </c>
      <c r="O605" t="s">
        <v>75</v>
      </c>
    </row>
    <row r="606" spans="1:15" x14ac:dyDescent="0.25">
      <c r="A606" s="10" t="s">
        <v>1344</v>
      </c>
      <c r="B606" s="15">
        <v>954.83</v>
      </c>
      <c r="C606" s="15">
        <v>893.45</v>
      </c>
      <c r="D606" s="15">
        <v>893.45</v>
      </c>
      <c r="E606" s="15">
        <v>893.45</v>
      </c>
      <c r="F606" s="15">
        <v>893.45</v>
      </c>
      <c r="G606" s="15">
        <v>893.45</v>
      </c>
      <c r="H606" s="15">
        <v>893.45</v>
      </c>
      <c r="I606" s="15">
        <v>2084.7199999999998</v>
      </c>
      <c r="J606" s="15">
        <v>893.45</v>
      </c>
      <c r="K606" s="15">
        <v>342.49</v>
      </c>
      <c r="L606" s="15">
        <v>774.32</v>
      </c>
      <c r="M606" s="15">
        <v>893.45</v>
      </c>
      <c r="N606" s="15">
        <v>893.45</v>
      </c>
      <c r="O606" t="s">
        <v>75</v>
      </c>
    </row>
    <row r="607" spans="1:15" x14ac:dyDescent="0.25">
      <c r="A607" s="10" t="s">
        <v>1346</v>
      </c>
      <c r="B607" s="15">
        <v>2068.81</v>
      </c>
      <c r="C607" s="15">
        <v>3530.64</v>
      </c>
      <c r="D607" s="15">
        <v>2211.14</v>
      </c>
      <c r="E607" s="15">
        <v>2211.14</v>
      </c>
      <c r="F607" s="15">
        <v>2845.74</v>
      </c>
      <c r="G607" s="15">
        <v>2211.14</v>
      </c>
      <c r="H607" s="15">
        <v>5287.09</v>
      </c>
      <c r="I607" s="15">
        <v>2211.14</v>
      </c>
      <c r="J607" s="15">
        <v>626.49</v>
      </c>
      <c r="K607" s="15">
        <v>2137.44</v>
      </c>
      <c r="L607" s="15">
        <v>2211.14</v>
      </c>
      <c r="M607" s="15">
        <v>2211.14</v>
      </c>
      <c r="N607" s="15">
        <v>2373.98</v>
      </c>
      <c r="O607" t="s">
        <v>75</v>
      </c>
    </row>
    <row r="608" spans="1:15" x14ac:dyDescent="0.25">
      <c r="A608" s="10" t="s">
        <v>1348</v>
      </c>
      <c r="B608" s="15">
        <v>310.10000000000002</v>
      </c>
      <c r="C608" s="15">
        <v>0</v>
      </c>
      <c r="D608" s="15">
        <v>0</v>
      </c>
      <c r="E608" s="15">
        <v>0</v>
      </c>
      <c r="F608" s="15">
        <v>0</v>
      </c>
      <c r="G608" s="15">
        <v>0</v>
      </c>
      <c r="H608" s="15">
        <v>0</v>
      </c>
      <c r="I608" s="15">
        <v>0</v>
      </c>
      <c r="J608" s="15">
        <v>0</v>
      </c>
      <c r="K608" s="15">
        <v>0</v>
      </c>
      <c r="L608" s="15">
        <v>0</v>
      </c>
      <c r="M608" s="15">
        <v>0</v>
      </c>
      <c r="N608" s="15">
        <v>148.91</v>
      </c>
      <c r="O608" t="s">
        <v>75</v>
      </c>
    </row>
    <row r="609" spans="1:15" x14ac:dyDescent="0.25">
      <c r="A609" s="10" t="s">
        <v>1350</v>
      </c>
      <c r="B609" s="15">
        <v>17418.27</v>
      </c>
      <c r="C609" s="15">
        <v>9194.35</v>
      </c>
      <c r="D609" s="15">
        <v>7977.46</v>
      </c>
      <c r="E609" s="15">
        <v>9971.82</v>
      </c>
      <c r="F609" s="15">
        <v>9971.82</v>
      </c>
      <c r="G609" s="15">
        <v>9971.82</v>
      </c>
      <c r="H609" s="15">
        <v>9971.82</v>
      </c>
      <c r="I609" s="15">
        <v>9971.82</v>
      </c>
      <c r="J609" s="15">
        <v>9971.82</v>
      </c>
      <c r="K609" s="15">
        <v>9971.82</v>
      </c>
      <c r="L609" s="15">
        <v>9971.82</v>
      </c>
      <c r="M609" s="15">
        <v>9971.82</v>
      </c>
      <c r="N609" s="15">
        <v>10030.4</v>
      </c>
      <c r="O609" t="s">
        <v>75</v>
      </c>
    </row>
    <row r="610" spans="1:15" x14ac:dyDescent="0.25">
      <c r="A610" s="10" t="s">
        <v>1352</v>
      </c>
      <c r="B610" s="15">
        <v>10700.42</v>
      </c>
      <c r="C610" s="15">
        <v>8565.7000000000007</v>
      </c>
      <c r="D610" s="15">
        <v>12278.84</v>
      </c>
      <c r="E610" s="15">
        <v>12278.84</v>
      </c>
      <c r="F610" s="15">
        <v>12278.84</v>
      </c>
      <c r="G610" s="15">
        <v>12278.84</v>
      </c>
      <c r="H610" s="15">
        <v>12278.84</v>
      </c>
      <c r="I610" s="15">
        <v>12278.84</v>
      </c>
      <c r="J610" s="15">
        <v>12278.84</v>
      </c>
      <c r="K610" s="15">
        <v>12278.84</v>
      </c>
      <c r="L610" s="15">
        <v>12278.84</v>
      </c>
      <c r="M610" s="15">
        <v>28650.63</v>
      </c>
      <c r="N610" s="15">
        <v>12278.84</v>
      </c>
      <c r="O610" t="s">
        <v>75</v>
      </c>
    </row>
    <row r="611" spans="1:15" x14ac:dyDescent="0.25">
      <c r="A611" s="10" t="s">
        <v>1354</v>
      </c>
      <c r="B611" s="15">
        <v>1921.55</v>
      </c>
      <c r="C611" s="15">
        <v>2668.78</v>
      </c>
      <c r="D611" s="15">
        <v>4861.33</v>
      </c>
      <c r="E611" s="15">
        <v>2042.5</v>
      </c>
      <c r="F611" s="15">
        <v>1131.29</v>
      </c>
      <c r="G611" s="15">
        <v>1838.25</v>
      </c>
      <c r="H611" s="15">
        <v>2042.5</v>
      </c>
      <c r="I611" s="15">
        <v>2042.5</v>
      </c>
      <c r="J611" s="15">
        <v>2042.5</v>
      </c>
      <c r="K611" s="15">
        <v>2042.5</v>
      </c>
      <c r="L611" s="15">
        <v>2042.5</v>
      </c>
      <c r="M611" s="15">
        <v>2042.5</v>
      </c>
      <c r="N611" s="15">
        <v>2129.39</v>
      </c>
      <c r="O611" t="s">
        <v>75</v>
      </c>
    </row>
    <row r="612" spans="1:15" x14ac:dyDescent="0.25">
      <c r="A612" s="10" t="s">
        <v>1356</v>
      </c>
      <c r="B612" s="15">
        <v>3958.2</v>
      </c>
      <c r="C612" s="15">
        <v>2242.37</v>
      </c>
      <c r="D612" s="15">
        <v>1363.54</v>
      </c>
      <c r="E612" s="15">
        <v>2137.44</v>
      </c>
      <c r="F612" s="15">
        <v>2211.14</v>
      </c>
      <c r="G612" s="15">
        <v>2211.14</v>
      </c>
      <c r="H612" s="15">
        <v>2211.14</v>
      </c>
      <c r="I612" s="15">
        <v>2211.14</v>
      </c>
      <c r="J612" s="15">
        <v>2211.14</v>
      </c>
      <c r="K612" s="15">
        <v>2902.03</v>
      </c>
      <c r="L612" s="15">
        <v>0</v>
      </c>
      <c r="M612" s="15">
        <v>0</v>
      </c>
      <c r="N612" s="15">
        <v>2045.78</v>
      </c>
      <c r="O612" t="s">
        <v>75</v>
      </c>
    </row>
    <row r="613" spans="1:15" x14ac:dyDescent="0.25">
      <c r="A613" s="10" t="s">
        <v>1358</v>
      </c>
      <c r="B613" s="15">
        <v>2505.2199999999998</v>
      </c>
      <c r="C613" s="15">
        <v>2688.25</v>
      </c>
      <c r="D613" s="15">
        <v>2674.88</v>
      </c>
      <c r="E613" s="15">
        <v>2674.88</v>
      </c>
      <c r="F613" s="15">
        <v>6242.87</v>
      </c>
      <c r="G613" s="15">
        <v>2674.88</v>
      </c>
      <c r="H613" s="15">
        <v>668.72</v>
      </c>
      <c r="I613" s="15">
        <v>2674.88</v>
      </c>
      <c r="J613" s="15">
        <v>2674.88</v>
      </c>
      <c r="K613" s="15">
        <v>2674.88</v>
      </c>
      <c r="L613" s="15">
        <v>2674.88</v>
      </c>
      <c r="M613" s="15">
        <v>2674.88</v>
      </c>
      <c r="N613" s="15">
        <v>2675.99</v>
      </c>
      <c r="O613" t="s">
        <v>75</v>
      </c>
    </row>
    <row r="614" spans="1:15" x14ac:dyDescent="0.25">
      <c r="A614" s="10" t="s">
        <v>1360</v>
      </c>
      <c r="B614" s="15">
        <v>1989.24</v>
      </c>
      <c r="C614" s="15">
        <v>2242.1</v>
      </c>
      <c r="D614" s="15">
        <v>2211.14</v>
      </c>
      <c r="E614" s="15">
        <v>2210.96</v>
      </c>
      <c r="F614" s="15">
        <v>2109.4299999999998</v>
      </c>
      <c r="G614" s="15">
        <v>2211.14</v>
      </c>
      <c r="H614" s="15">
        <v>2211.14</v>
      </c>
      <c r="I614" s="15">
        <v>2284.84</v>
      </c>
      <c r="J614" s="15">
        <v>2284.84</v>
      </c>
      <c r="K614" s="15">
        <v>2211.14</v>
      </c>
      <c r="L614" s="15">
        <v>5236.47</v>
      </c>
      <c r="M614" s="15">
        <v>2202.3000000000002</v>
      </c>
      <c r="N614" s="15">
        <v>2213.7199999999998</v>
      </c>
      <c r="O614" t="s">
        <v>75</v>
      </c>
    </row>
    <row r="615" spans="1:15" x14ac:dyDescent="0.25">
      <c r="A615" s="10" t="s">
        <v>1362</v>
      </c>
      <c r="B615" s="15">
        <v>0</v>
      </c>
      <c r="C615" s="15">
        <v>4955.18</v>
      </c>
      <c r="D615" s="15">
        <v>8258.64</v>
      </c>
      <c r="E615" s="15">
        <v>9073.49</v>
      </c>
      <c r="F615" s="15">
        <v>9198.9599999999991</v>
      </c>
      <c r="G615" s="15">
        <v>8973.3799999999992</v>
      </c>
      <c r="H615" s="15">
        <v>9182.99</v>
      </c>
      <c r="I615" s="15">
        <v>9200.91</v>
      </c>
      <c r="J615" s="15">
        <v>9453.32</v>
      </c>
      <c r="K615" s="15">
        <v>8944.99</v>
      </c>
      <c r="L615" s="15">
        <v>9118.74</v>
      </c>
      <c r="M615" s="15">
        <v>9419.66</v>
      </c>
      <c r="N615" s="15">
        <v>9007.5400000000009</v>
      </c>
      <c r="O615" t="s">
        <v>75</v>
      </c>
    </row>
    <row r="616" spans="1:15" x14ac:dyDescent="0.25">
      <c r="A616" s="10" t="s">
        <v>1364</v>
      </c>
      <c r="B616" s="15">
        <v>5701.41</v>
      </c>
      <c r="C616" s="15">
        <v>4679.91</v>
      </c>
      <c r="D616" s="15">
        <v>5986.48</v>
      </c>
      <c r="E616" s="15">
        <v>5986.48</v>
      </c>
      <c r="F616" s="15">
        <v>5986.48</v>
      </c>
      <c r="G616" s="15">
        <v>9977.48</v>
      </c>
      <c r="H616" s="15">
        <v>3192.79</v>
      </c>
      <c r="I616" s="15">
        <v>5786.93</v>
      </c>
      <c r="J616" s="15">
        <v>5986.48</v>
      </c>
      <c r="K616" s="15">
        <v>5986.48</v>
      </c>
      <c r="L616" s="15">
        <v>5986.48</v>
      </c>
      <c r="M616" s="15">
        <v>5986.48</v>
      </c>
      <c r="N616" s="15">
        <v>5986.48</v>
      </c>
      <c r="O616" t="s">
        <v>75</v>
      </c>
    </row>
    <row r="617" spans="1:15" x14ac:dyDescent="0.25">
      <c r="A617" s="10" t="s">
        <v>1366</v>
      </c>
      <c r="B617" s="15">
        <v>1921.58</v>
      </c>
      <c r="C617" s="15">
        <v>1306.0899999999999</v>
      </c>
      <c r="D617" s="15">
        <v>2042.5</v>
      </c>
      <c r="E617" s="15">
        <v>2042.5</v>
      </c>
      <c r="F617" s="15">
        <v>2076.46</v>
      </c>
      <c r="G617" s="15">
        <v>2042.5</v>
      </c>
      <c r="H617" s="15">
        <v>2042.5</v>
      </c>
      <c r="I617" s="15">
        <v>2042.5</v>
      </c>
      <c r="J617" s="15">
        <v>2042.5</v>
      </c>
      <c r="K617" s="15">
        <v>2042.5</v>
      </c>
      <c r="L617" s="15">
        <v>2042.5</v>
      </c>
      <c r="M617" s="15">
        <v>2042.5</v>
      </c>
      <c r="N617" s="15">
        <v>2045.93</v>
      </c>
      <c r="O617" t="s">
        <v>75</v>
      </c>
    </row>
    <row r="618" spans="1:15" x14ac:dyDescent="0.25">
      <c r="A618" s="10" t="s">
        <v>1368</v>
      </c>
      <c r="B618" s="15">
        <v>14563.37</v>
      </c>
      <c r="C618" s="15">
        <v>17352.73</v>
      </c>
      <c r="D618" s="15">
        <v>15301.73</v>
      </c>
      <c r="E618" s="15">
        <v>15301.73</v>
      </c>
      <c r="F618" s="15">
        <v>16327.23</v>
      </c>
      <c r="G618" s="15">
        <v>15301.73</v>
      </c>
      <c r="H618" s="15">
        <v>15301.73</v>
      </c>
      <c r="I618" s="15">
        <v>15301.73</v>
      </c>
      <c r="J618" s="15">
        <v>30841.02</v>
      </c>
      <c r="K618" s="15">
        <v>10661.27</v>
      </c>
      <c r="L618" s="15">
        <v>13771.56</v>
      </c>
      <c r="M618" s="15">
        <v>15301.73</v>
      </c>
      <c r="N618" s="15">
        <v>15729.02</v>
      </c>
      <c r="O618" t="s">
        <v>75</v>
      </c>
    </row>
    <row r="619" spans="1:15" x14ac:dyDescent="0.25">
      <c r="A619" s="10" t="s">
        <v>1370</v>
      </c>
      <c r="B619" s="15">
        <v>9261.5400000000009</v>
      </c>
      <c r="C619" s="15">
        <v>10843.26</v>
      </c>
      <c r="D619" s="15">
        <v>16426.36</v>
      </c>
      <c r="E619" s="15">
        <v>0</v>
      </c>
      <c r="F619" s="15">
        <v>0</v>
      </c>
      <c r="G619" s="15">
        <v>0</v>
      </c>
      <c r="H619" s="15">
        <v>0</v>
      </c>
      <c r="I619" s="15">
        <v>0</v>
      </c>
      <c r="J619" s="15">
        <v>0</v>
      </c>
      <c r="K619" s="15">
        <v>0</v>
      </c>
      <c r="L619" s="15">
        <v>0</v>
      </c>
      <c r="M619" s="15">
        <v>0</v>
      </c>
      <c r="N619" s="15">
        <v>1724.43</v>
      </c>
      <c r="O619" t="s">
        <v>75</v>
      </c>
    </row>
    <row r="620" spans="1:15" x14ac:dyDescent="0.25">
      <c r="A620" s="10" t="s">
        <v>1372</v>
      </c>
      <c r="B620" s="15">
        <v>1491.93</v>
      </c>
      <c r="C620" s="15">
        <v>2434.37</v>
      </c>
      <c r="D620" s="15">
        <v>2211.14</v>
      </c>
      <c r="E620" s="15">
        <v>2211.14</v>
      </c>
      <c r="F620" s="15">
        <v>2211.14</v>
      </c>
      <c r="G620" s="15">
        <v>2211.14</v>
      </c>
      <c r="H620" s="15">
        <v>3698.79</v>
      </c>
      <c r="I620" s="15">
        <v>2199.16</v>
      </c>
      <c r="J620" s="15">
        <v>1658.36</v>
      </c>
      <c r="K620" s="15">
        <v>2211.14</v>
      </c>
      <c r="L620" s="15">
        <v>2211.14</v>
      </c>
      <c r="M620" s="15">
        <v>4193.13</v>
      </c>
      <c r="N620" s="15">
        <v>2229.7399999999998</v>
      </c>
      <c r="O620" t="s">
        <v>75</v>
      </c>
    </row>
    <row r="621" spans="1:15" x14ac:dyDescent="0.25">
      <c r="A621" s="10" t="s">
        <v>1374</v>
      </c>
      <c r="B621" s="15">
        <v>6074.31</v>
      </c>
      <c r="C621" s="15">
        <v>3152.85</v>
      </c>
      <c r="D621" s="15">
        <v>4995.1000000000004</v>
      </c>
      <c r="E621" s="15">
        <v>3478.13</v>
      </c>
      <c r="F621" s="15">
        <v>3438.71</v>
      </c>
      <c r="G621" s="15">
        <v>3130.32</v>
      </c>
      <c r="H621" s="15">
        <v>5342.92</v>
      </c>
      <c r="I621" s="15">
        <v>3154.08</v>
      </c>
      <c r="J621" s="15">
        <v>3371.18</v>
      </c>
      <c r="K621" s="15">
        <v>3478.13</v>
      </c>
      <c r="L621" s="15">
        <v>4104.8100000000004</v>
      </c>
      <c r="M621" s="15">
        <v>3428.28</v>
      </c>
      <c r="N621" s="15">
        <v>3910</v>
      </c>
      <c r="O621" t="s">
        <v>75</v>
      </c>
    </row>
    <row r="622" spans="1:15" x14ac:dyDescent="0.25">
      <c r="A622" s="10" t="s">
        <v>1376</v>
      </c>
      <c r="B622" s="15">
        <v>3420.46</v>
      </c>
      <c r="C622" s="15">
        <v>5500.75</v>
      </c>
      <c r="D622" s="15">
        <v>5642.28</v>
      </c>
      <c r="E622" s="15">
        <v>5642.28</v>
      </c>
      <c r="F622" s="15">
        <v>5642.28</v>
      </c>
      <c r="G622" s="15">
        <v>5642.28</v>
      </c>
      <c r="H622" s="15">
        <v>8651.49</v>
      </c>
      <c r="I622" s="15">
        <v>5642.28</v>
      </c>
      <c r="J622" s="15">
        <v>4795.9399999999996</v>
      </c>
      <c r="K622" s="15">
        <v>5642.28</v>
      </c>
      <c r="L622" s="15">
        <v>5642.28</v>
      </c>
      <c r="M622" s="15">
        <v>5642.28</v>
      </c>
      <c r="N622" s="15">
        <v>5642.28</v>
      </c>
      <c r="O622" t="s">
        <v>75</v>
      </c>
    </row>
    <row r="623" spans="1:15" x14ac:dyDescent="0.25">
      <c r="A623" s="10" t="s">
        <v>1378</v>
      </c>
      <c r="B623" s="15">
        <v>6116.17</v>
      </c>
      <c r="C623" s="15">
        <v>9947.68</v>
      </c>
      <c r="D623" s="15">
        <v>9098.6299999999992</v>
      </c>
      <c r="E623" s="15">
        <v>9742.93</v>
      </c>
      <c r="F623" s="15">
        <v>9098.6299999999992</v>
      </c>
      <c r="G623" s="15">
        <v>9098.6299999999992</v>
      </c>
      <c r="H623" s="15">
        <v>9098.6299999999992</v>
      </c>
      <c r="I623" s="15">
        <v>9776.84</v>
      </c>
      <c r="J623" s="15">
        <v>13368.07</v>
      </c>
      <c r="K623" s="15">
        <v>8398.09</v>
      </c>
      <c r="L623" s="15">
        <v>9098.6299999999992</v>
      </c>
      <c r="M623" s="15">
        <v>13368.07</v>
      </c>
      <c r="N623" s="15">
        <v>9297.0300000000007</v>
      </c>
      <c r="O623" t="s">
        <v>75</v>
      </c>
    </row>
    <row r="624" spans="1:15" x14ac:dyDescent="0.25">
      <c r="A624" s="10" t="s">
        <v>1380</v>
      </c>
      <c r="B624" s="15">
        <v>0</v>
      </c>
      <c r="C624" s="15">
        <v>0</v>
      </c>
      <c r="D624" s="15">
        <v>0</v>
      </c>
      <c r="E624" s="15">
        <v>0</v>
      </c>
      <c r="F624" s="15">
        <v>0</v>
      </c>
      <c r="G624" s="15">
        <v>0</v>
      </c>
      <c r="H624" s="15">
        <v>1873.85</v>
      </c>
      <c r="I624" s="15">
        <v>1873.85</v>
      </c>
      <c r="J624" s="15">
        <v>1873.85</v>
      </c>
      <c r="K624" s="15">
        <v>1873.85</v>
      </c>
      <c r="L624" s="15">
        <v>1873.85</v>
      </c>
      <c r="M624" s="15">
        <v>1873.85</v>
      </c>
      <c r="N624" s="15">
        <v>1093.08</v>
      </c>
      <c r="O624" t="s">
        <v>75</v>
      </c>
    </row>
    <row r="625" spans="1:15" x14ac:dyDescent="0.25">
      <c r="A625" s="10" t="s">
        <v>1382</v>
      </c>
      <c r="B625" s="15">
        <v>0</v>
      </c>
      <c r="C625" s="15">
        <v>0</v>
      </c>
      <c r="D625" s="15">
        <v>0</v>
      </c>
      <c r="E625" s="15">
        <v>281.08</v>
      </c>
      <c r="F625" s="15">
        <v>936.93</v>
      </c>
      <c r="G625" s="15">
        <v>936.93</v>
      </c>
      <c r="H625" s="15">
        <v>936.77</v>
      </c>
      <c r="I625" s="15">
        <v>936.93</v>
      </c>
      <c r="J625" s="15">
        <v>1873.85</v>
      </c>
      <c r="K625" s="15">
        <v>936.93</v>
      </c>
      <c r="L625" s="15">
        <v>869.47</v>
      </c>
      <c r="M625" s="15">
        <v>1004.55</v>
      </c>
      <c r="N625" s="15">
        <v>702.7</v>
      </c>
      <c r="O625" t="s">
        <v>75</v>
      </c>
    </row>
    <row r="626" spans="1:15" x14ac:dyDescent="0.25">
      <c r="A626" s="10" t="s">
        <v>1384</v>
      </c>
      <c r="B626" s="15">
        <v>1293.01</v>
      </c>
      <c r="C626" s="15">
        <v>2873.23</v>
      </c>
      <c r="D626" s="15">
        <v>2885.73</v>
      </c>
      <c r="E626" s="15">
        <v>2885.73</v>
      </c>
      <c r="F626" s="15">
        <v>2885.73</v>
      </c>
      <c r="G626" s="15">
        <v>2885.73</v>
      </c>
      <c r="H626" s="15">
        <v>2885.73</v>
      </c>
      <c r="I626" s="15">
        <v>2885.73</v>
      </c>
      <c r="J626" s="15">
        <v>2885.73</v>
      </c>
      <c r="K626" s="15">
        <v>2885.73</v>
      </c>
      <c r="L626" s="15">
        <v>6754.89</v>
      </c>
      <c r="M626" s="15">
        <v>2645.25</v>
      </c>
      <c r="N626" s="15">
        <v>2885.73</v>
      </c>
      <c r="O626" t="s">
        <v>75</v>
      </c>
    </row>
    <row r="627" spans="1:15" x14ac:dyDescent="0.25">
      <c r="A627" s="10" t="s">
        <v>1386</v>
      </c>
      <c r="B627" s="15">
        <v>19140.830000000002</v>
      </c>
      <c r="C627" s="15">
        <v>10943.11</v>
      </c>
      <c r="D627" s="15">
        <v>9544.4500000000007</v>
      </c>
      <c r="E627" s="15">
        <v>11930.57</v>
      </c>
      <c r="F627" s="15">
        <v>11930.57</v>
      </c>
      <c r="G627" s="15">
        <v>11930.57</v>
      </c>
      <c r="H627" s="15">
        <v>11930.57</v>
      </c>
      <c r="I627" s="15">
        <v>11930.57</v>
      </c>
      <c r="J627" s="15">
        <v>11930.57</v>
      </c>
      <c r="K627" s="15">
        <v>22535.52</v>
      </c>
      <c r="L627" s="15">
        <v>8749.08</v>
      </c>
      <c r="M627" s="15">
        <v>7158.34</v>
      </c>
      <c r="N627" s="15">
        <v>11930.57</v>
      </c>
      <c r="O627" t="s">
        <v>75</v>
      </c>
    </row>
    <row r="628" spans="1:15" x14ac:dyDescent="0.25">
      <c r="A628" s="10" t="s">
        <v>1388</v>
      </c>
      <c r="B628" s="15">
        <v>2030.68</v>
      </c>
      <c r="C628" s="15">
        <v>2244.0300000000002</v>
      </c>
      <c r="D628" s="15">
        <v>2211.14</v>
      </c>
      <c r="E628" s="15">
        <v>2211.14</v>
      </c>
      <c r="F628" s="15">
        <v>2208.7399999999998</v>
      </c>
      <c r="G628" s="15">
        <v>2211.14</v>
      </c>
      <c r="H628" s="15">
        <v>2211.14</v>
      </c>
      <c r="I628" s="15">
        <v>2184.0500000000002</v>
      </c>
      <c r="J628" s="15">
        <v>2211.14</v>
      </c>
      <c r="K628" s="15">
        <v>2211.14</v>
      </c>
      <c r="L628" s="15">
        <v>2211.14</v>
      </c>
      <c r="M628" s="15">
        <v>2211.14</v>
      </c>
      <c r="N628" s="15">
        <v>2213.88</v>
      </c>
      <c r="O628" t="s">
        <v>75</v>
      </c>
    </row>
    <row r="629" spans="1:15" x14ac:dyDescent="0.25">
      <c r="A629" s="10" t="s">
        <v>1390</v>
      </c>
      <c r="B629" s="15">
        <v>7006.6</v>
      </c>
      <c r="C629" s="15">
        <v>4070.74</v>
      </c>
      <c r="D629" s="15">
        <v>2450.25</v>
      </c>
      <c r="E629" s="15">
        <v>3716.97</v>
      </c>
      <c r="F629" s="15">
        <v>3712.69</v>
      </c>
      <c r="G629" s="15">
        <v>4010.56</v>
      </c>
      <c r="H629" s="15">
        <v>4010.56</v>
      </c>
      <c r="I629" s="15">
        <v>3716.97</v>
      </c>
      <c r="J629" s="15">
        <v>3716.97</v>
      </c>
      <c r="K629" s="15">
        <v>4889.1899999999996</v>
      </c>
      <c r="L629" s="15">
        <v>3712.69</v>
      </c>
      <c r="M629" s="15">
        <v>3935.02</v>
      </c>
      <c r="N629" s="15">
        <v>3936.03</v>
      </c>
      <c r="O629" t="s">
        <v>75</v>
      </c>
    </row>
    <row r="630" spans="1:15" x14ac:dyDescent="0.25">
      <c r="A630" s="10" t="s">
        <v>1392</v>
      </c>
      <c r="B630" s="15">
        <v>4216.53</v>
      </c>
      <c r="C630" s="15">
        <v>3499</v>
      </c>
      <c r="D630" s="15">
        <v>1712.31</v>
      </c>
      <c r="E630" s="15">
        <v>2684.15</v>
      </c>
      <c r="F630" s="15">
        <v>2776.71</v>
      </c>
      <c r="G630" s="15">
        <v>2776.71</v>
      </c>
      <c r="H630" s="15">
        <v>2776.71</v>
      </c>
      <c r="I630" s="15">
        <v>2776.71</v>
      </c>
      <c r="J630" s="15">
        <v>2776.71</v>
      </c>
      <c r="K630" s="15">
        <v>2776.71</v>
      </c>
      <c r="L630" s="15">
        <v>2776.71</v>
      </c>
      <c r="M630" s="15">
        <v>4037.55</v>
      </c>
      <c r="N630" s="15">
        <v>2836.9</v>
      </c>
      <c r="O630" t="s">
        <v>75</v>
      </c>
    </row>
    <row r="631" spans="1:15" x14ac:dyDescent="0.25">
      <c r="A631" s="10" t="s">
        <v>1394</v>
      </c>
      <c r="B631" s="15">
        <v>9712.41</v>
      </c>
      <c r="C631" s="15">
        <v>11415.24</v>
      </c>
      <c r="D631" s="15">
        <v>11415.24</v>
      </c>
      <c r="E631" s="15">
        <v>11415.24</v>
      </c>
      <c r="F631" s="15">
        <v>11415.24</v>
      </c>
      <c r="G631" s="15">
        <v>11415.24</v>
      </c>
      <c r="H631" s="15">
        <v>11415.24</v>
      </c>
      <c r="I631" s="15">
        <v>21562.12</v>
      </c>
      <c r="J631" s="15">
        <v>10463.969999999999</v>
      </c>
      <c r="K631" s="15">
        <v>7610.16</v>
      </c>
      <c r="L631" s="15">
        <v>11415.24</v>
      </c>
      <c r="M631" s="15">
        <v>11415.24</v>
      </c>
      <c r="N631" s="15">
        <v>11415.24</v>
      </c>
      <c r="O631" t="s">
        <v>75</v>
      </c>
    </row>
    <row r="632" spans="1:15" x14ac:dyDescent="0.25">
      <c r="A632" s="10" t="s">
        <v>1396</v>
      </c>
      <c r="B632" s="15">
        <v>13016.49</v>
      </c>
      <c r="C632" s="15">
        <v>14057.8</v>
      </c>
      <c r="D632" s="15">
        <v>14057.8</v>
      </c>
      <c r="E632" s="15">
        <v>16596.3</v>
      </c>
      <c r="F632" s="15">
        <v>16134.76</v>
      </c>
      <c r="G632" s="15">
        <v>14057.8</v>
      </c>
      <c r="H632" s="15">
        <v>14057.8</v>
      </c>
      <c r="I632" s="15">
        <v>14057.8</v>
      </c>
      <c r="J632" s="15">
        <v>14057.8</v>
      </c>
      <c r="K632" s="15">
        <v>14057.8</v>
      </c>
      <c r="L632" s="15">
        <v>14057.8</v>
      </c>
      <c r="M632" s="15">
        <v>28698.65</v>
      </c>
      <c r="N632" s="15">
        <v>14596.27</v>
      </c>
      <c r="O632" t="s">
        <v>75</v>
      </c>
    </row>
    <row r="633" spans="1:15" x14ac:dyDescent="0.25">
      <c r="A633" s="10" t="s">
        <v>1398</v>
      </c>
      <c r="B633" s="15">
        <v>1989.25</v>
      </c>
      <c r="C633" s="15">
        <v>2211.14</v>
      </c>
      <c r="D633" s="15">
        <v>2207.64</v>
      </c>
      <c r="E633" s="15">
        <v>2211.14</v>
      </c>
      <c r="F633" s="15">
        <v>2202.11</v>
      </c>
      <c r="G633" s="15">
        <v>2206.9</v>
      </c>
      <c r="H633" s="15">
        <v>2211.14</v>
      </c>
      <c r="I633" s="15">
        <v>2211.14</v>
      </c>
      <c r="J633" s="15">
        <v>2193.64</v>
      </c>
      <c r="K633" s="15">
        <v>2211.14</v>
      </c>
      <c r="L633" s="15">
        <v>2193.64</v>
      </c>
      <c r="M633" s="15">
        <v>4176.59</v>
      </c>
      <c r="N633" s="15">
        <v>2211.14</v>
      </c>
      <c r="O633" t="s">
        <v>75</v>
      </c>
    </row>
    <row r="634" spans="1:15" x14ac:dyDescent="0.25">
      <c r="A634" s="10" t="s">
        <v>1400</v>
      </c>
      <c r="B634" s="15">
        <v>960.8</v>
      </c>
      <c r="C634" s="15">
        <v>2231.4299999999998</v>
      </c>
      <c r="D634" s="15">
        <v>2042.5</v>
      </c>
      <c r="E634" s="15">
        <v>2042.5</v>
      </c>
      <c r="F634" s="15">
        <v>2334.58</v>
      </c>
      <c r="G634" s="15">
        <v>3923.7</v>
      </c>
      <c r="H634" s="15">
        <v>2042.5</v>
      </c>
      <c r="I634" s="15">
        <v>1191.46</v>
      </c>
      <c r="J634" s="15">
        <v>2042.5</v>
      </c>
      <c r="K634" s="15">
        <v>2042.5</v>
      </c>
      <c r="L634" s="15">
        <v>2042.5</v>
      </c>
      <c r="M634" s="15">
        <v>2042.5</v>
      </c>
      <c r="N634" s="15">
        <v>2082.58</v>
      </c>
      <c r="O634" t="s">
        <v>75</v>
      </c>
    </row>
    <row r="635" spans="1:15" x14ac:dyDescent="0.25">
      <c r="A635" s="10" t="s">
        <v>1402</v>
      </c>
      <c r="B635" s="15">
        <v>8285.44</v>
      </c>
      <c r="C635" s="15">
        <v>9334.33</v>
      </c>
      <c r="D635" s="15">
        <v>8818.4500000000007</v>
      </c>
      <c r="E635" s="15">
        <v>8818.4500000000007</v>
      </c>
      <c r="F635" s="15">
        <v>8818.4500000000007</v>
      </c>
      <c r="G635" s="15">
        <v>8818.4500000000007</v>
      </c>
      <c r="H635" s="15">
        <v>16657.080000000002</v>
      </c>
      <c r="I635" s="15">
        <v>8818.4500000000007</v>
      </c>
      <c r="J635" s="15">
        <v>5144.09</v>
      </c>
      <c r="K635" s="15">
        <v>8818.4500000000007</v>
      </c>
      <c r="L635" s="15">
        <v>8818.4500000000007</v>
      </c>
      <c r="M635" s="15">
        <v>8818.4500000000007</v>
      </c>
      <c r="N635" s="15">
        <v>8861.44</v>
      </c>
      <c r="O635" t="s">
        <v>75</v>
      </c>
    </row>
    <row r="636" spans="1:15" x14ac:dyDescent="0.25">
      <c r="A636" s="10" t="s">
        <v>1404</v>
      </c>
      <c r="B636" s="15">
        <v>1921.55</v>
      </c>
      <c r="C636" s="15">
        <v>1306.2</v>
      </c>
      <c r="D636" s="15">
        <v>2040.63</v>
      </c>
      <c r="E636" s="15">
        <v>2042.5</v>
      </c>
      <c r="F636" s="15">
        <v>2187.77</v>
      </c>
      <c r="G636" s="15">
        <v>2042.5</v>
      </c>
      <c r="H636" s="15">
        <v>2042.5</v>
      </c>
      <c r="I636" s="15">
        <v>4781.9799999999996</v>
      </c>
      <c r="J636" s="15">
        <v>2042.5</v>
      </c>
      <c r="K636" s="15">
        <v>748.92</v>
      </c>
      <c r="L636" s="15">
        <v>1293.58</v>
      </c>
      <c r="M636" s="15">
        <v>2032.63</v>
      </c>
      <c r="N636" s="15">
        <v>2054.61</v>
      </c>
      <c r="O636" t="s">
        <v>75</v>
      </c>
    </row>
    <row r="637" spans="1:15" x14ac:dyDescent="0.25">
      <c r="A637" s="10" t="s">
        <v>1406</v>
      </c>
      <c r="B637" s="15">
        <v>2073.64</v>
      </c>
      <c r="C637" s="15">
        <v>1947.11</v>
      </c>
      <c r="D637" s="15">
        <v>2081.35</v>
      </c>
      <c r="E637" s="15">
        <v>2065.13</v>
      </c>
      <c r="F637" s="15">
        <v>2076.92</v>
      </c>
      <c r="G637" s="15">
        <v>2079.37</v>
      </c>
      <c r="H637" s="15">
        <v>1943.5</v>
      </c>
      <c r="I637" s="15">
        <v>1938.64</v>
      </c>
      <c r="J637" s="15">
        <v>1963.18</v>
      </c>
      <c r="K637" s="15">
        <v>2482.41</v>
      </c>
      <c r="L637" s="15">
        <v>2076.92</v>
      </c>
      <c r="M637" s="15">
        <v>4774.57</v>
      </c>
      <c r="N637" s="15">
        <v>2075.54</v>
      </c>
      <c r="O637" t="s">
        <v>75</v>
      </c>
    </row>
    <row r="638" spans="1:15" x14ac:dyDescent="0.25">
      <c r="A638" s="10" t="s">
        <v>1408</v>
      </c>
      <c r="B638" s="15">
        <v>1160.3900000000001</v>
      </c>
      <c r="C638" s="15">
        <v>2209.48</v>
      </c>
      <c r="D638" s="15">
        <v>2211.14</v>
      </c>
      <c r="E638" s="15">
        <v>2211.14</v>
      </c>
      <c r="F638" s="15">
        <v>2211.14</v>
      </c>
      <c r="G638" s="15">
        <v>2211.14</v>
      </c>
      <c r="H638" s="15">
        <v>2211.14</v>
      </c>
      <c r="I638" s="15">
        <v>2211.14</v>
      </c>
      <c r="J638" s="15">
        <v>2211.14</v>
      </c>
      <c r="K638" s="15">
        <v>2211.14</v>
      </c>
      <c r="L638" s="15">
        <v>2211.14</v>
      </c>
      <c r="M638" s="15">
        <v>4176.59</v>
      </c>
      <c r="N638" s="15">
        <v>2211.14</v>
      </c>
      <c r="O638" t="s">
        <v>75</v>
      </c>
    </row>
    <row r="639" spans="1:15" x14ac:dyDescent="0.25">
      <c r="A639" s="10" t="s">
        <v>1410</v>
      </c>
      <c r="B639" s="15">
        <v>0</v>
      </c>
      <c r="C639" s="15">
        <v>0</v>
      </c>
      <c r="D639" s="15">
        <v>0</v>
      </c>
      <c r="E639" s="15">
        <v>562.16</v>
      </c>
      <c r="F639" s="15">
        <v>1873.85</v>
      </c>
      <c r="G639" s="15">
        <v>1859.8</v>
      </c>
      <c r="H639" s="15">
        <v>1873.85</v>
      </c>
      <c r="I639" s="15">
        <v>1873.85</v>
      </c>
      <c r="J639" s="15">
        <v>1873.85</v>
      </c>
      <c r="K639" s="15">
        <v>1873.85</v>
      </c>
      <c r="L639" s="15">
        <v>1873.69</v>
      </c>
      <c r="M639" s="15">
        <v>1862.61</v>
      </c>
      <c r="N639" s="15">
        <v>1405.39</v>
      </c>
      <c r="O639" t="s">
        <v>75</v>
      </c>
    </row>
    <row r="640" spans="1:15" x14ac:dyDescent="0.25">
      <c r="A640" s="10" t="s">
        <v>1412</v>
      </c>
      <c r="B640" s="15">
        <v>0</v>
      </c>
      <c r="C640" s="15">
        <v>0</v>
      </c>
      <c r="D640" s="15">
        <v>0</v>
      </c>
      <c r="E640" s="15">
        <v>1046.8599999999999</v>
      </c>
      <c r="F640" s="15">
        <v>1082.96</v>
      </c>
      <c r="G640" s="15">
        <v>1082.96</v>
      </c>
      <c r="H640" s="15">
        <v>1082.96</v>
      </c>
      <c r="I640" s="15">
        <v>1082.8699999999999</v>
      </c>
      <c r="J640" s="15">
        <v>1082.96</v>
      </c>
      <c r="K640" s="15">
        <v>1082.96</v>
      </c>
      <c r="L640" s="15">
        <v>1082.96</v>
      </c>
      <c r="M640" s="15">
        <v>1082.96</v>
      </c>
      <c r="N640" s="15">
        <v>902.47</v>
      </c>
      <c r="O640" t="s">
        <v>75</v>
      </c>
    </row>
    <row r="641" spans="1:15" x14ac:dyDescent="0.25">
      <c r="A641" s="10" t="s">
        <v>1414</v>
      </c>
      <c r="B641" s="15">
        <v>18896.46</v>
      </c>
      <c r="C641" s="15">
        <v>10545.59</v>
      </c>
      <c r="D641" s="15">
        <v>9827.81</v>
      </c>
      <c r="E641" s="15">
        <v>11793.37</v>
      </c>
      <c r="F641" s="15">
        <v>11793.37</v>
      </c>
      <c r="G641" s="15">
        <v>11793.37</v>
      </c>
      <c r="H641" s="15">
        <v>17559.009999999998</v>
      </c>
      <c r="I641" s="15">
        <v>11793.37</v>
      </c>
      <c r="J641" s="15">
        <v>7469.14</v>
      </c>
      <c r="K641" s="15">
        <v>11793.37</v>
      </c>
      <c r="L641" s="15">
        <v>11793.37</v>
      </c>
      <c r="M641" s="15">
        <v>11793.37</v>
      </c>
      <c r="N641" s="15">
        <v>11793.37</v>
      </c>
      <c r="O641" t="s">
        <v>75</v>
      </c>
    </row>
    <row r="642" spans="1:15" x14ac:dyDescent="0.25">
      <c r="A642" s="10" t="s">
        <v>1416</v>
      </c>
      <c r="B642" s="15">
        <v>0</v>
      </c>
      <c r="C642" s="15">
        <v>1624</v>
      </c>
      <c r="D642" s="15">
        <v>3046.72</v>
      </c>
      <c r="E642" s="15">
        <v>0</v>
      </c>
      <c r="F642" s="15">
        <v>0</v>
      </c>
      <c r="G642" s="15">
        <v>0</v>
      </c>
      <c r="H642" s="15">
        <v>0</v>
      </c>
      <c r="I642" s="15">
        <v>0</v>
      </c>
      <c r="J642" s="15">
        <v>0</v>
      </c>
      <c r="K642" s="15">
        <v>0</v>
      </c>
      <c r="L642" s="15">
        <v>0</v>
      </c>
      <c r="M642" s="15">
        <v>0</v>
      </c>
      <c r="N642" s="15">
        <v>624.62</v>
      </c>
      <c r="O642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E642"/>
  <sheetViews>
    <sheetView topLeftCell="B540" workbookViewId="0">
      <selection activeCell="C552" sqref="C552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95</v>
      </c>
      <c r="B3" s="10" t="s">
        <v>95</v>
      </c>
      <c r="C3" s="9" t="s">
        <v>96</v>
      </c>
      <c r="D3" s="9" t="s">
        <v>75</v>
      </c>
      <c r="E3" t="s">
        <v>75</v>
      </c>
    </row>
    <row r="4" spans="1:5" x14ac:dyDescent="0.25">
      <c r="A4" s="10" t="s">
        <v>97</v>
      </c>
      <c r="B4" s="10" t="s">
        <v>97</v>
      </c>
      <c r="C4" s="9" t="s">
        <v>98</v>
      </c>
      <c r="D4" s="9" t="s">
        <v>75</v>
      </c>
      <c r="E4" t="s">
        <v>75</v>
      </c>
    </row>
    <row r="5" spans="1:5" x14ac:dyDescent="0.25">
      <c r="A5" s="10" t="s">
        <v>99</v>
      </c>
      <c r="B5" s="10" t="s">
        <v>99</v>
      </c>
      <c r="C5" s="9" t="s">
        <v>100</v>
      </c>
      <c r="D5" s="9" t="s">
        <v>75</v>
      </c>
      <c r="E5" t="s">
        <v>75</v>
      </c>
    </row>
    <row r="6" spans="1:5" x14ac:dyDescent="0.25">
      <c r="A6" s="10" t="s">
        <v>102</v>
      </c>
      <c r="B6" s="10" t="s">
        <v>102</v>
      </c>
      <c r="C6" s="9" t="s">
        <v>103</v>
      </c>
      <c r="D6" s="9" t="s">
        <v>75</v>
      </c>
      <c r="E6" t="s">
        <v>75</v>
      </c>
    </row>
    <row r="7" spans="1:5" x14ac:dyDescent="0.25">
      <c r="A7" s="10" t="s">
        <v>104</v>
      </c>
      <c r="B7" s="10" t="s">
        <v>104</v>
      </c>
      <c r="C7" s="9" t="s">
        <v>105</v>
      </c>
      <c r="D7" s="9" t="s">
        <v>75</v>
      </c>
      <c r="E7" t="s">
        <v>75</v>
      </c>
    </row>
    <row r="8" spans="1:5" x14ac:dyDescent="0.25">
      <c r="A8" s="10" t="s">
        <v>106</v>
      </c>
      <c r="B8" s="10" t="s">
        <v>106</v>
      </c>
      <c r="C8" s="9" t="s">
        <v>107</v>
      </c>
      <c r="D8" s="9" t="s">
        <v>75</v>
      </c>
      <c r="E8" t="s">
        <v>75</v>
      </c>
    </row>
    <row r="9" spans="1:5" x14ac:dyDescent="0.25">
      <c r="A9" s="10" t="s">
        <v>108</v>
      </c>
      <c r="B9" s="10" t="s">
        <v>108</v>
      </c>
      <c r="C9" s="9" t="s">
        <v>109</v>
      </c>
      <c r="D9" s="9" t="s">
        <v>75</v>
      </c>
      <c r="E9" t="s">
        <v>75</v>
      </c>
    </row>
    <row r="10" spans="1:5" x14ac:dyDescent="0.25">
      <c r="A10" s="10" t="s">
        <v>110</v>
      </c>
      <c r="B10" s="10" t="s">
        <v>110</v>
      </c>
      <c r="C10" s="9" t="s">
        <v>111</v>
      </c>
      <c r="D10" s="9" t="s">
        <v>75</v>
      </c>
      <c r="E10" t="s">
        <v>75</v>
      </c>
    </row>
    <row r="11" spans="1:5" x14ac:dyDescent="0.25">
      <c r="A11" s="10" t="s">
        <v>112</v>
      </c>
      <c r="B11" s="10" t="s">
        <v>112</v>
      </c>
      <c r="C11" s="9" t="s">
        <v>113</v>
      </c>
      <c r="D11" s="9" t="s">
        <v>75</v>
      </c>
      <c r="E11" t="s">
        <v>75</v>
      </c>
    </row>
    <row r="12" spans="1:5" x14ac:dyDescent="0.25">
      <c r="A12" s="10" t="s">
        <v>114</v>
      </c>
      <c r="B12" s="10" t="s">
        <v>114</v>
      </c>
      <c r="C12" s="9" t="s">
        <v>115</v>
      </c>
      <c r="D12" s="9" t="s">
        <v>75</v>
      </c>
      <c r="E12" t="s">
        <v>75</v>
      </c>
    </row>
    <row r="13" spans="1:5" x14ac:dyDescent="0.25">
      <c r="A13" s="10" t="s">
        <v>119</v>
      </c>
      <c r="B13" s="10" t="s">
        <v>119</v>
      </c>
      <c r="C13" s="9" t="s">
        <v>120</v>
      </c>
      <c r="D13" s="9" t="s">
        <v>75</v>
      </c>
      <c r="E13" t="s">
        <v>75</v>
      </c>
    </row>
    <row r="14" spans="1:5" x14ac:dyDescent="0.25">
      <c r="A14" s="10" t="s">
        <v>121</v>
      </c>
      <c r="B14" s="10" t="s">
        <v>121</v>
      </c>
      <c r="C14" s="9" t="s">
        <v>122</v>
      </c>
      <c r="D14" s="9" t="s">
        <v>75</v>
      </c>
      <c r="E14" t="s">
        <v>75</v>
      </c>
    </row>
    <row r="15" spans="1:5" x14ac:dyDescent="0.25">
      <c r="A15" s="10" t="s">
        <v>123</v>
      </c>
      <c r="B15" s="10" t="s">
        <v>123</v>
      </c>
      <c r="C15" s="9" t="s">
        <v>124</v>
      </c>
      <c r="D15" s="9" t="s">
        <v>75</v>
      </c>
      <c r="E15" t="s">
        <v>75</v>
      </c>
    </row>
    <row r="16" spans="1:5" x14ac:dyDescent="0.25">
      <c r="A16" s="10" t="s">
        <v>125</v>
      </c>
      <c r="B16" s="10" t="s">
        <v>125</v>
      </c>
      <c r="C16" s="9" t="s">
        <v>126</v>
      </c>
      <c r="D16" s="9" t="s">
        <v>75</v>
      </c>
      <c r="E16" t="s">
        <v>75</v>
      </c>
    </row>
    <row r="17" spans="1:5" x14ac:dyDescent="0.25">
      <c r="A17" s="10" t="s">
        <v>127</v>
      </c>
      <c r="B17" s="10" t="s">
        <v>127</v>
      </c>
      <c r="C17" s="9" t="s">
        <v>128</v>
      </c>
      <c r="D17" s="9" t="s">
        <v>75</v>
      </c>
      <c r="E17" t="s">
        <v>75</v>
      </c>
    </row>
    <row r="18" spans="1:5" x14ac:dyDescent="0.25">
      <c r="A18" s="10" t="s">
        <v>129</v>
      </c>
      <c r="B18" s="10" t="s">
        <v>129</v>
      </c>
      <c r="C18" s="9" t="s">
        <v>130</v>
      </c>
      <c r="D18" s="9" t="s">
        <v>75</v>
      </c>
      <c r="E18" t="s">
        <v>75</v>
      </c>
    </row>
    <row r="19" spans="1:5" x14ac:dyDescent="0.25">
      <c r="A19" s="10" t="s">
        <v>131</v>
      </c>
      <c r="B19" s="10" t="s">
        <v>131</v>
      </c>
      <c r="C19" s="9" t="s">
        <v>132</v>
      </c>
      <c r="D19" s="9" t="s">
        <v>75</v>
      </c>
      <c r="E19" t="s">
        <v>75</v>
      </c>
    </row>
    <row r="20" spans="1:5" x14ac:dyDescent="0.25">
      <c r="A20" s="10" t="s">
        <v>133</v>
      </c>
      <c r="B20" s="10" t="s">
        <v>133</v>
      </c>
      <c r="C20" s="9" t="s">
        <v>134</v>
      </c>
      <c r="D20" s="9" t="s">
        <v>75</v>
      </c>
      <c r="E20" t="s">
        <v>75</v>
      </c>
    </row>
    <row r="21" spans="1:5" x14ac:dyDescent="0.25">
      <c r="A21" s="10" t="s">
        <v>135</v>
      </c>
      <c r="B21" s="10" t="s">
        <v>135</v>
      </c>
      <c r="C21" s="9" t="s">
        <v>136</v>
      </c>
      <c r="D21" s="9" t="s">
        <v>75</v>
      </c>
      <c r="E21" t="s">
        <v>75</v>
      </c>
    </row>
    <row r="22" spans="1:5" x14ac:dyDescent="0.25">
      <c r="A22" s="10" t="s">
        <v>137</v>
      </c>
      <c r="B22" s="10" t="s">
        <v>137</v>
      </c>
      <c r="C22" s="9" t="s">
        <v>138</v>
      </c>
      <c r="D22" s="9" t="s">
        <v>75</v>
      </c>
      <c r="E22" t="s">
        <v>75</v>
      </c>
    </row>
    <row r="23" spans="1:5" x14ac:dyDescent="0.25">
      <c r="A23" s="10" t="s">
        <v>139</v>
      </c>
      <c r="B23" s="10" t="s">
        <v>139</v>
      </c>
      <c r="C23" s="9" t="s">
        <v>140</v>
      </c>
      <c r="D23" s="9" t="s">
        <v>75</v>
      </c>
      <c r="E23" t="s">
        <v>75</v>
      </c>
    </row>
    <row r="24" spans="1:5" x14ac:dyDescent="0.25">
      <c r="A24" s="10" t="s">
        <v>141</v>
      </c>
      <c r="B24" s="10" t="s">
        <v>141</v>
      </c>
      <c r="C24" s="9" t="s">
        <v>142</v>
      </c>
      <c r="D24" s="9" t="s">
        <v>75</v>
      </c>
      <c r="E24" t="s">
        <v>75</v>
      </c>
    </row>
    <row r="25" spans="1:5" x14ac:dyDescent="0.25">
      <c r="A25" s="10" t="s">
        <v>143</v>
      </c>
      <c r="B25" s="10" t="s">
        <v>143</v>
      </c>
      <c r="C25" s="9" t="s">
        <v>144</v>
      </c>
      <c r="D25" s="9" t="s">
        <v>75</v>
      </c>
      <c r="E25" t="s">
        <v>75</v>
      </c>
    </row>
    <row r="26" spans="1:5" x14ac:dyDescent="0.25">
      <c r="A26" s="10" t="s">
        <v>145</v>
      </c>
      <c r="B26" s="10" t="s">
        <v>145</v>
      </c>
      <c r="C26" s="9" t="s">
        <v>146</v>
      </c>
      <c r="D26" s="9" t="s">
        <v>75</v>
      </c>
      <c r="E26" t="s">
        <v>75</v>
      </c>
    </row>
    <row r="27" spans="1:5" x14ac:dyDescent="0.25">
      <c r="A27" s="10" t="s">
        <v>147</v>
      </c>
      <c r="B27" s="10" t="s">
        <v>147</v>
      </c>
      <c r="C27" s="9" t="s">
        <v>148</v>
      </c>
      <c r="D27" s="9" t="s">
        <v>75</v>
      </c>
      <c r="E27" t="s">
        <v>75</v>
      </c>
    </row>
    <row r="28" spans="1:5" x14ac:dyDescent="0.25">
      <c r="A28" s="10" t="s">
        <v>149</v>
      </c>
      <c r="B28" s="10" t="s">
        <v>149</v>
      </c>
      <c r="C28" s="9" t="s">
        <v>150</v>
      </c>
      <c r="D28" s="9" t="s">
        <v>75</v>
      </c>
      <c r="E28" t="s">
        <v>75</v>
      </c>
    </row>
    <row r="29" spans="1:5" x14ac:dyDescent="0.25">
      <c r="A29" s="10" t="s">
        <v>151</v>
      </c>
      <c r="B29" s="10" t="s">
        <v>151</v>
      </c>
      <c r="C29" s="9" t="s">
        <v>152</v>
      </c>
      <c r="D29" s="9" t="s">
        <v>75</v>
      </c>
      <c r="E29" t="s">
        <v>75</v>
      </c>
    </row>
    <row r="30" spans="1:5" x14ac:dyDescent="0.25">
      <c r="A30" s="10" t="s">
        <v>153</v>
      </c>
      <c r="B30" s="10" t="s">
        <v>153</v>
      </c>
      <c r="C30" s="9" t="s">
        <v>154</v>
      </c>
      <c r="D30" s="9" t="s">
        <v>75</v>
      </c>
      <c r="E30" t="s">
        <v>75</v>
      </c>
    </row>
    <row r="31" spans="1:5" x14ac:dyDescent="0.25">
      <c r="A31" s="10" t="s">
        <v>155</v>
      </c>
      <c r="B31" s="10" t="s">
        <v>155</v>
      </c>
      <c r="C31" s="9" t="s">
        <v>156</v>
      </c>
      <c r="D31" s="9" t="s">
        <v>75</v>
      </c>
      <c r="E31" t="s">
        <v>75</v>
      </c>
    </row>
    <row r="32" spans="1:5" x14ac:dyDescent="0.25">
      <c r="A32" s="10" t="s">
        <v>157</v>
      </c>
      <c r="B32" s="10" t="s">
        <v>157</v>
      </c>
      <c r="C32" s="9" t="s">
        <v>158</v>
      </c>
      <c r="D32" s="9" t="s">
        <v>75</v>
      </c>
      <c r="E32" t="s">
        <v>75</v>
      </c>
    </row>
    <row r="33" spans="1:5" x14ac:dyDescent="0.25">
      <c r="A33" s="10" t="s">
        <v>159</v>
      </c>
      <c r="B33" s="10" t="s">
        <v>159</v>
      </c>
      <c r="C33" s="9" t="s">
        <v>160</v>
      </c>
      <c r="D33" s="9" t="s">
        <v>75</v>
      </c>
      <c r="E33" t="s">
        <v>75</v>
      </c>
    </row>
    <row r="34" spans="1:5" x14ac:dyDescent="0.25">
      <c r="A34" s="10" t="s">
        <v>161</v>
      </c>
      <c r="B34" s="10" t="s">
        <v>161</v>
      </c>
      <c r="C34" s="9" t="s">
        <v>162</v>
      </c>
      <c r="D34" s="9" t="s">
        <v>75</v>
      </c>
      <c r="E34" t="s">
        <v>75</v>
      </c>
    </row>
    <row r="35" spans="1:5" x14ac:dyDescent="0.25">
      <c r="A35" s="10" t="s">
        <v>163</v>
      </c>
      <c r="B35" s="10" t="s">
        <v>163</v>
      </c>
      <c r="C35" s="9" t="s">
        <v>164</v>
      </c>
      <c r="D35" s="9" t="s">
        <v>75</v>
      </c>
      <c r="E35" t="s">
        <v>75</v>
      </c>
    </row>
    <row r="36" spans="1:5" x14ac:dyDescent="0.25">
      <c r="A36" s="10" t="s">
        <v>165</v>
      </c>
      <c r="B36" s="10" t="s">
        <v>165</v>
      </c>
      <c r="C36" s="9" t="s">
        <v>166</v>
      </c>
      <c r="D36" s="9" t="s">
        <v>75</v>
      </c>
      <c r="E36" t="s">
        <v>75</v>
      </c>
    </row>
    <row r="37" spans="1:5" x14ac:dyDescent="0.25">
      <c r="A37" s="10" t="s">
        <v>167</v>
      </c>
      <c r="B37" s="10" t="s">
        <v>167</v>
      </c>
      <c r="C37" s="9" t="s">
        <v>168</v>
      </c>
      <c r="D37" s="9" t="s">
        <v>75</v>
      </c>
      <c r="E37" t="s">
        <v>75</v>
      </c>
    </row>
    <row r="38" spans="1:5" x14ac:dyDescent="0.25">
      <c r="A38" s="10" t="s">
        <v>169</v>
      </c>
      <c r="B38" s="10" t="s">
        <v>169</v>
      </c>
      <c r="C38" s="9" t="s">
        <v>170</v>
      </c>
      <c r="D38" s="9" t="s">
        <v>75</v>
      </c>
      <c r="E38" t="s">
        <v>75</v>
      </c>
    </row>
    <row r="39" spans="1:5" x14ac:dyDescent="0.25">
      <c r="A39" s="10" t="s">
        <v>171</v>
      </c>
      <c r="B39" s="10" t="s">
        <v>171</v>
      </c>
      <c r="C39" s="9" t="s">
        <v>172</v>
      </c>
      <c r="D39" s="9" t="s">
        <v>75</v>
      </c>
      <c r="E39" t="s">
        <v>75</v>
      </c>
    </row>
    <row r="40" spans="1:5" x14ac:dyDescent="0.25">
      <c r="A40" s="10" t="s">
        <v>173</v>
      </c>
      <c r="B40" s="10" t="s">
        <v>173</v>
      </c>
      <c r="C40" s="9" t="s">
        <v>174</v>
      </c>
      <c r="D40" s="9" t="s">
        <v>75</v>
      </c>
      <c r="E40" t="s">
        <v>75</v>
      </c>
    </row>
    <row r="41" spans="1:5" x14ac:dyDescent="0.25">
      <c r="A41" s="10" t="s">
        <v>175</v>
      </c>
      <c r="B41" s="10" t="s">
        <v>175</v>
      </c>
      <c r="C41" s="9" t="s">
        <v>176</v>
      </c>
      <c r="D41" s="9" t="s">
        <v>75</v>
      </c>
      <c r="E41" t="s">
        <v>75</v>
      </c>
    </row>
    <row r="42" spans="1:5" x14ac:dyDescent="0.25">
      <c r="A42" s="10" t="s">
        <v>177</v>
      </c>
      <c r="B42" s="10" t="s">
        <v>177</v>
      </c>
      <c r="C42" s="9" t="s">
        <v>178</v>
      </c>
      <c r="D42" s="9" t="s">
        <v>75</v>
      </c>
      <c r="E42" t="s">
        <v>75</v>
      </c>
    </row>
    <row r="43" spans="1:5" x14ac:dyDescent="0.25">
      <c r="A43" s="10" t="s">
        <v>179</v>
      </c>
      <c r="B43" s="10" t="s">
        <v>179</v>
      </c>
      <c r="C43" s="9" t="s">
        <v>180</v>
      </c>
      <c r="D43" s="9" t="s">
        <v>75</v>
      </c>
      <c r="E43" t="s">
        <v>75</v>
      </c>
    </row>
    <row r="44" spans="1:5" x14ac:dyDescent="0.25">
      <c r="A44" s="10" t="s">
        <v>181</v>
      </c>
      <c r="B44" s="10" t="s">
        <v>181</v>
      </c>
      <c r="C44" s="9" t="s">
        <v>182</v>
      </c>
      <c r="D44" s="9" t="s">
        <v>75</v>
      </c>
      <c r="E44" t="s">
        <v>75</v>
      </c>
    </row>
    <row r="45" spans="1:5" x14ac:dyDescent="0.25">
      <c r="A45" s="10" t="s">
        <v>183</v>
      </c>
      <c r="B45" s="10" t="s">
        <v>183</v>
      </c>
      <c r="C45" s="9" t="s">
        <v>184</v>
      </c>
      <c r="D45" s="9" t="s">
        <v>75</v>
      </c>
      <c r="E45" t="s">
        <v>75</v>
      </c>
    </row>
    <row r="46" spans="1:5" x14ac:dyDescent="0.25">
      <c r="A46" s="10" t="s">
        <v>185</v>
      </c>
      <c r="B46" s="10" t="s">
        <v>185</v>
      </c>
      <c r="C46" s="9" t="s">
        <v>186</v>
      </c>
      <c r="D46" s="9" t="s">
        <v>75</v>
      </c>
      <c r="E46" t="s">
        <v>75</v>
      </c>
    </row>
    <row r="47" spans="1:5" x14ac:dyDescent="0.25">
      <c r="A47" s="10" t="s">
        <v>187</v>
      </c>
      <c r="B47" s="10" t="s">
        <v>187</v>
      </c>
      <c r="C47" s="9" t="s">
        <v>188</v>
      </c>
      <c r="D47" s="9" t="s">
        <v>75</v>
      </c>
      <c r="E47" t="s">
        <v>75</v>
      </c>
    </row>
    <row r="48" spans="1:5" x14ac:dyDescent="0.25">
      <c r="A48" s="10" t="s">
        <v>189</v>
      </c>
      <c r="B48" s="10" t="s">
        <v>189</v>
      </c>
      <c r="C48" s="9" t="s">
        <v>190</v>
      </c>
      <c r="D48" s="9" t="s">
        <v>75</v>
      </c>
      <c r="E48" t="s">
        <v>75</v>
      </c>
    </row>
    <row r="49" spans="1:5" x14ac:dyDescent="0.25">
      <c r="A49" s="10" t="s">
        <v>191</v>
      </c>
      <c r="B49" s="10" t="s">
        <v>191</v>
      </c>
      <c r="C49" s="9" t="s">
        <v>192</v>
      </c>
      <c r="D49" s="9" t="s">
        <v>75</v>
      </c>
      <c r="E49" t="s">
        <v>75</v>
      </c>
    </row>
    <row r="50" spans="1:5" x14ac:dyDescent="0.25">
      <c r="A50" s="10" t="s">
        <v>193</v>
      </c>
      <c r="B50" s="10" t="s">
        <v>193</v>
      </c>
      <c r="C50" s="9" t="s">
        <v>194</v>
      </c>
      <c r="D50" s="9" t="s">
        <v>75</v>
      </c>
      <c r="E50" t="s">
        <v>75</v>
      </c>
    </row>
    <row r="51" spans="1:5" x14ac:dyDescent="0.25">
      <c r="A51" s="10" t="s">
        <v>195</v>
      </c>
      <c r="B51" s="10" t="s">
        <v>195</v>
      </c>
      <c r="C51" s="9" t="s">
        <v>196</v>
      </c>
      <c r="D51" s="9" t="s">
        <v>75</v>
      </c>
      <c r="E51" t="s">
        <v>75</v>
      </c>
    </row>
    <row r="52" spans="1:5" x14ac:dyDescent="0.25">
      <c r="A52" s="10" t="s">
        <v>197</v>
      </c>
      <c r="B52" s="10" t="s">
        <v>197</v>
      </c>
      <c r="C52" s="9" t="s">
        <v>198</v>
      </c>
      <c r="D52" s="9" t="s">
        <v>75</v>
      </c>
      <c r="E52" t="s">
        <v>75</v>
      </c>
    </row>
    <row r="53" spans="1:5" x14ac:dyDescent="0.25">
      <c r="A53" s="10" t="s">
        <v>199</v>
      </c>
      <c r="B53" s="10" t="s">
        <v>199</v>
      </c>
      <c r="C53" s="9" t="s">
        <v>200</v>
      </c>
      <c r="D53" s="9" t="s">
        <v>75</v>
      </c>
      <c r="E53" t="s">
        <v>75</v>
      </c>
    </row>
    <row r="54" spans="1:5" x14ac:dyDescent="0.25">
      <c r="A54" s="10" t="s">
        <v>201</v>
      </c>
      <c r="B54" s="10" t="s">
        <v>201</v>
      </c>
      <c r="C54" s="9" t="s">
        <v>202</v>
      </c>
      <c r="D54" s="9" t="s">
        <v>75</v>
      </c>
      <c r="E54" t="s">
        <v>75</v>
      </c>
    </row>
    <row r="55" spans="1:5" x14ac:dyDescent="0.25">
      <c r="A55" s="10" t="s">
        <v>203</v>
      </c>
      <c r="B55" s="10" t="s">
        <v>203</v>
      </c>
      <c r="C55" s="9" t="s">
        <v>204</v>
      </c>
      <c r="D55" s="9" t="s">
        <v>75</v>
      </c>
      <c r="E55" t="s">
        <v>75</v>
      </c>
    </row>
    <row r="56" spans="1:5" x14ac:dyDescent="0.25">
      <c r="A56" s="10" t="s">
        <v>205</v>
      </c>
      <c r="B56" s="10" t="s">
        <v>205</v>
      </c>
      <c r="C56" s="9" t="s">
        <v>206</v>
      </c>
      <c r="D56" s="9" t="s">
        <v>75</v>
      </c>
      <c r="E56" t="s">
        <v>75</v>
      </c>
    </row>
    <row r="57" spans="1:5" x14ac:dyDescent="0.25">
      <c r="A57" s="10" t="s">
        <v>207</v>
      </c>
      <c r="B57" s="10" t="s">
        <v>207</v>
      </c>
      <c r="C57" s="9" t="s">
        <v>208</v>
      </c>
      <c r="D57" s="9" t="s">
        <v>75</v>
      </c>
      <c r="E57" t="s">
        <v>75</v>
      </c>
    </row>
    <row r="58" spans="1:5" x14ac:dyDescent="0.25">
      <c r="A58" s="10" t="s">
        <v>209</v>
      </c>
      <c r="B58" s="10" t="s">
        <v>209</v>
      </c>
      <c r="C58" s="9" t="s">
        <v>210</v>
      </c>
      <c r="D58" s="9" t="s">
        <v>75</v>
      </c>
      <c r="E58" t="s">
        <v>75</v>
      </c>
    </row>
    <row r="59" spans="1:5" x14ac:dyDescent="0.25">
      <c r="A59" s="10" t="s">
        <v>211</v>
      </c>
      <c r="B59" s="10" t="s">
        <v>211</v>
      </c>
      <c r="C59" s="9" t="s">
        <v>212</v>
      </c>
      <c r="D59" s="9" t="s">
        <v>75</v>
      </c>
      <c r="E59" t="s">
        <v>75</v>
      </c>
    </row>
    <row r="60" spans="1:5" x14ac:dyDescent="0.25">
      <c r="A60" s="10" t="s">
        <v>213</v>
      </c>
      <c r="B60" s="10" t="s">
        <v>213</v>
      </c>
      <c r="C60" s="9" t="s">
        <v>214</v>
      </c>
      <c r="D60" s="9" t="s">
        <v>75</v>
      </c>
      <c r="E60" t="s">
        <v>75</v>
      </c>
    </row>
    <row r="61" spans="1:5" x14ac:dyDescent="0.25">
      <c r="A61" s="10" t="s">
        <v>215</v>
      </c>
      <c r="B61" s="10" t="s">
        <v>215</v>
      </c>
      <c r="C61" s="9" t="s">
        <v>216</v>
      </c>
      <c r="D61" s="9" t="s">
        <v>75</v>
      </c>
      <c r="E61" t="s">
        <v>75</v>
      </c>
    </row>
    <row r="62" spans="1:5" x14ac:dyDescent="0.25">
      <c r="A62" s="10" t="s">
        <v>217</v>
      </c>
      <c r="B62" s="10" t="s">
        <v>217</v>
      </c>
      <c r="C62" s="9" t="s">
        <v>218</v>
      </c>
      <c r="D62" s="9" t="s">
        <v>75</v>
      </c>
      <c r="E62" t="s">
        <v>75</v>
      </c>
    </row>
    <row r="63" spans="1:5" x14ac:dyDescent="0.25">
      <c r="A63" s="10" t="s">
        <v>219</v>
      </c>
      <c r="B63" s="10" t="s">
        <v>219</v>
      </c>
      <c r="C63" s="9" t="s">
        <v>220</v>
      </c>
      <c r="D63" s="9" t="s">
        <v>75</v>
      </c>
      <c r="E63" t="s">
        <v>75</v>
      </c>
    </row>
    <row r="64" spans="1:5" x14ac:dyDescent="0.25">
      <c r="A64" s="10" t="s">
        <v>221</v>
      </c>
      <c r="B64" s="10" t="s">
        <v>221</v>
      </c>
      <c r="C64" s="9" t="s">
        <v>222</v>
      </c>
      <c r="D64" s="9" t="s">
        <v>75</v>
      </c>
      <c r="E64" t="s">
        <v>75</v>
      </c>
    </row>
    <row r="65" spans="1:5" x14ac:dyDescent="0.25">
      <c r="A65" s="10" t="s">
        <v>223</v>
      </c>
      <c r="B65" s="10" t="s">
        <v>223</v>
      </c>
      <c r="C65" s="9" t="s">
        <v>224</v>
      </c>
      <c r="D65" s="9" t="s">
        <v>75</v>
      </c>
      <c r="E65" t="s">
        <v>75</v>
      </c>
    </row>
    <row r="66" spans="1:5" x14ac:dyDescent="0.25">
      <c r="A66" s="10" t="s">
        <v>225</v>
      </c>
      <c r="B66" s="10" t="s">
        <v>225</v>
      </c>
      <c r="C66" s="9" t="s">
        <v>226</v>
      </c>
      <c r="D66" s="9" t="s">
        <v>75</v>
      </c>
      <c r="E66" t="s">
        <v>75</v>
      </c>
    </row>
    <row r="67" spans="1:5" x14ac:dyDescent="0.25">
      <c r="A67" s="10" t="s">
        <v>227</v>
      </c>
      <c r="B67" s="10" t="s">
        <v>227</v>
      </c>
      <c r="C67" s="9" t="s">
        <v>228</v>
      </c>
      <c r="D67" s="9" t="s">
        <v>75</v>
      </c>
      <c r="E67" t="s">
        <v>75</v>
      </c>
    </row>
    <row r="68" spans="1:5" x14ac:dyDescent="0.25">
      <c r="A68" s="10" t="s">
        <v>229</v>
      </c>
      <c r="B68" s="10" t="s">
        <v>229</v>
      </c>
      <c r="C68" s="9" t="s">
        <v>230</v>
      </c>
      <c r="D68" s="9" t="s">
        <v>75</v>
      </c>
      <c r="E68" t="s">
        <v>75</v>
      </c>
    </row>
    <row r="69" spans="1:5" x14ac:dyDescent="0.25">
      <c r="A69" s="10" t="s">
        <v>231</v>
      </c>
      <c r="B69" s="10" t="s">
        <v>231</v>
      </c>
      <c r="C69" s="9" t="s">
        <v>232</v>
      </c>
      <c r="D69" s="9" t="s">
        <v>75</v>
      </c>
      <c r="E69" t="s">
        <v>75</v>
      </c>
    </row>
    <row r="70" spans="1:5" x14ac:dyDescent="0.25">
      <c r="A70" s="10" t="s">
        <v>233</v>
      </c>
      <c r="B70" s="10" t="s">
        <v>233</v>
      </c>
      <c r="C70" s="9" t="s">
        <v>234</v>
      </c>
      <c r="D70" s="9" t="s">
        <v>75</v>
      </c>
      <c r="E70" t="s">
        <v>75</v>
      </c>
    </row>
    <row r="71" spans="1:5" x14ac:dyDescent="0.25">
      <c r="A71" s="10" t="s">
        <v>235</v>
      </c>
      <c r="B71" s="10" t="s">
        <v>235</v>
      </c>
      <c r="C71" s="9" t="s">
        <v>236</v>
      </c>
      <c r="D71" s="9" t="s">
        <v>75</v>
      </c>
      <c r="E71" t="s">
        <v>75</v>
      </c>
    </row>
    <row r="72" spans="1:5" x14ac:dyDescent="0.25">
      <c r="A72" s="10" t="s">
        <v>237</v>
      </c>
      <c r="B72" s="10" t="s">
        <v>237</v>
      </c>
      <c r="C72" s="9" t="s">
        <v>238</v>
      </c>
      <c r="D72" s="9" t="s">
        <v>75</v>
      </c>
      <c r="E72" t="s">
        <v>75</v>
      </c>
    </row>
    <row r="73" spans="1:5" x14ac:dyDescent="0.25">
      <c r="A73" s="10" t="s">
        <v>239</v>
      </c>
      <c r="B73" s="10" t="s">
        <v>239</v>
      </c>
      <c r="C73" s="9" t="s">
        <v>240</v>
      </c>
      <c r="D73" s="9" t="s">
        <v>75</v>
      </c>
      <c r="E73" t="s">
        <v>75</v>
      </c>
    </row>
    <row r="74" spans="1:5" x14ac:dyDescent="0.25">
      <c r="A74" s="10" t="s">
        <v>241</v>
      </c>
      <c r="B74" s="10" t="s">
        <v>241</v>
      </c>
      <c r="C74" s="9" t="s">
        <v>242</v>
      </c>
      <c r="D74" s="9" t="s">
        <v>75</v>
      </c>
      <c r="E74" t="s">
        <v>75</v>
      </c>
    </row>
    <row r="75" spans="1:5" x14ac:dyDescent="0.25">
      <c r="A75" s="10" t="s">
        <v>243</v>
      </c>
      <c r="B75" s="10" t="s">
        <v>243</v>
      </c>
      <c r="C75" s="9" t="s">
        <v>244</v>
      </c>
      <c r="D75" s="9" t="s">
        <v>75</v>
      </c>
      <c r="E75" t="s">
        <v>75</v>
      </c>
    </row>
    <row r="76" spans="1:5" x14ac:dyDescent="0.25">
      <c r="A76" s="10" t="s">
        <v>245</v>
      </c>
      <c r="B76" s="10" t="s">
        <v>245</v>
      </c>
      <c r="C76" s="9" t="s">
        <v>246</v>
      </c>
      <c r="D76" s="9" t="s">
        <v>75</v>
      </c>
      <c r="E76" t="s">
        <v>75</v>
      </c>
    </row>
    <row r="77" spans="1:5" x14ac:dyDescent="0.25">
      <c r="A77" s="10" t="s">
        <v>247</v>
      </c>
      <c r="B77" s="10" t="s">
        <v>247</v>
      </c>
      <c r="C77" s="9" t="s">
        <v>248</v>
      </c>
      <c r="D77" s="9" t="s">
        <v>75</v>
      </c>
      <c r="E77" t="s">
        <v>75</v>
      </c>
    </row>
    <row r="78" spans="1:5" x14ac:dyDescent="0.25">
      <c r="A78" s="10" t="s">
        <v>249</v>
      </c>
      <c r="B78" s="10" t="s">
        <v>249</v>
      </c>
      <c r="C78" s="9" t="s">
        <v>250</v>
      </c>
      <c r="D78" s="9" t="s">
        <v>75</v>
      </c>
      <c r="E78" t="s">
        <v>75</v>
      </c>
    </row>
    <row r="79" spans="1:5" x14ac:dyDescent="0.25">
      <c r="A79" s="10" t="s">
        <v>254</v>
      </c>
      <c r="B79" s="10" t="s">
        <v>254</v>
      </c>
      <c r="C79" s="9" t="s">
        <v>255</v>
      </c>
      <c r="D79" s="9" t="s">
        <v>75</v>
      </c>
      <c r="E79" t="s">
        <v>75</v>
      </c>
    </row>
    <row r="80" spans="1:5" x14ac:dyDescent="0.25">
      <c r="A80" s="10" t="s">
        <v>256</v>
      </c>
      <c r="B80" s="10" t="s">
        <v>256</v>
      </c>
      <c r="C80" s="9" t="s">
        <v>257</v>
      </c>
      <c r="D80" s="9" t="s">
        <v>75</v>
      </c>
      <c r="E80" t="s">
        <v>75</v>
      </c>
    </row>
    <row r="81" spans="1:5" x14ac:dyDescent="0.25">
      <c r="A81" s="10" t="s">
        <v>258</v>
      </c>
      <c r="B81" s="10" t="s">
        <v>258</v>
      </c>
      <c r="C81" s="9" t="s">
        <v>259</v>
      </c>
      <c r="D81" s="9" t="s">
        <v>75</v>
      </c>
      <c r="E81" t="s">
        <v>75</v>
      </c>
    </row>
    <row r="82" spans="1:5" x14ac:dyDescent="0.25">
      <c r="A82" s="10" t="s">
        <v>260</v>
      </c>
      <c r="B82" s="10" t="s">
        <v>260</v>
      </c>
      <c r="C82" s="9" t="s">
        <v>261</v>
      </c>
      <c r="D82" s="9" t="s">
        <v>75</v>
      </c>
      <c r="E82" t="s">
        <v>75</v>
      </c>
    </row>
    <row r="83" spans="1:5" x14ac:dyDescent="0.25">
      <c r="A83" s="10" t="s">
        <v>262</v>
      </c>
      <c r="B83" s="10" t="s">
        <v>262</v>
      </c>
      <c r="C83" s="9" t="s">
        <v>263</v>
      </c>
      <c r="D83" s="9" t="s">
        <v>75</v>
      </c>
      <c r="E83" t="s">
        <v>75</v>
      </c>
    </row>
    <row r="84" spans="1:5" x14ac:dyDescent="0.25">
      <c r="A84" s="10" t="s">
        <v>264</v>
      </c>
      <c r="B84" s="10" t="s">
        <v>264</v>
      </c>
      <c r="C84" s="9" t="s">
        <v>265</v>
      </c>
      <c r="D84" s="9" t="s">
        <v>75</v>
      </c>
      <c r="E84" t="s">
        <v>75</v>
      </c>
    </row>
    <row r="85" spans="1:5" x14ac:dyDescent="0.25">
      <c r="A85" s="10" t="s">
        <v>266</v>
      </c>
      <c r="B85" s="10" t="s">
        <v>266</v>
      </c>
      <c r="C85" s="9" t="s">
        <v>267</v>
      </c>
      <c r="D85" s="9" t="s">
        <v>75</v>
      </c>
      <c r="E85" t="s">
        <v>75</v>
      </c>
    </row>
    <row r="86" spans="1:5" x14ac:dyDescent="0.25">
      <c r="A86" s="10" t="s">
        <v>268</v>
      </c>
      <c r="B86" s="10" t="s">
        <v>268</v>
      </c>
      <c r="C86" s="9" t="s">
        <v>269</v>
      </c>
      <c r="D86" s="9" t="s">
        <v>75</v>
      </c>
      <c r="E86" t="s">
        <v>75</v>
      </c>
    </row>
    <row r="87" spans="1:5" x14ac:dyDescent="0.25">
      <c r="A87" s="10" t="s">
        <v>270</v>
      </c>
      <c r="B87" s="10" t="s">
        <v>270</v>
      </c>
      <c r="C87" s="9" t="s">
        <v>271</v>
      </c>
      <c r="D87" s="9" t="s">
        <v>75</v>
      </c>
      <c r="E87" t="s">
        <v>75</v>
      </c>
    </row>
    <row r="88" spans="1:5" x14ac:dyDescent="0.25">
      <c r="A88" s="10" t="s">
        <v>272</v>
      </c>
      <c r="B88" s="10" t="s">
        <v>272</v>
      </c>
      <c r="C88" s="9" t="s">
        <v>273</v>
      </c>
      <c r="D88" s="9" t="s">
        <v>75</v>
      </c>
      <c r="E88" t="s">
        <v>75</v>
      </c>
    </row>
    <row r="89" spans="1:5" x14ac:dyDescent="0.25">
      <c r="A89" s="10" t="s">
        <v>274</v>
      </c>
      <c r="B89" s="10" t="s">
        <v>274</v>
      </c>
      <c r="C89" s="9" t="s">
        <v>275</v>
      </c>
      <c r="D89" s="9" t="s">
        <v>75</v>
      </c>
      <c r="E89" t="s">
        <v>75</v>
      </c>
    </row>
    <row r="90" spans="1:5" x14ac:dyDescent="0.25">
      <c r="A90" s="10" t="s">
        <v>276</v>
      </c>
      <c r="B90" s="10" t="s">
        <v>276</v>
      </c>
      <c r="C90" s="9" t="s">
        <v>277</v>
      </c>
      <c r="D90" s="9" t="s">
        <v>75</v>
      </c>
      <c r="E90" t="s">
        <v>75</v>
      </c>
    </row>
    <row r="91" spans="1:5" x14ac:dyDescent="0.25">
      <c r="A91" s="10" t="s">
        <v>278</v>
      </c>
      <c r="B91" s="10" t="s">
        <v>278</v>
      </c>
      <c r="C91" s="9" t="s">
        <v>279</v>
      </c>
      <c r="D91" s="9" t="s">
        <v>75</v>
      </c>
      <c r="E91" t="s">
        <v>75</v>
      </c>
    </row>
    <row r="92" spans="1:5" x14ac:dyDescent="0.25">
      <c r="A92" s="10" t="s">
        <v>280</v>
      </c>
      <c r="B92" s="10" t="s">
        <v>280</v>
      </c>
      <c r="C92" s="9" t="s">
        <v>281</v>
      </c>
      <c r="D92" s="9" t="s">
        <v>75</v>
      </c>
      <c r="E92" t="s">
        <v>75</v>
      </c>
    </row>
    <row r="93" spans="1:5" x14ac:dyDescent="0.25">
      <c r="A93" s="10" t="s">
        <v>282</v>
      </c>
      <c r="B93" s="10" t="s">
        <v>282</v>
      </c>
      <c r="C93" s="9" t="s">
        <v>283</v>
      </c>
      <c r="D93" s="9" t="s">
        <v>75</v>
      </c>
      <c r="E93" t="s">
        <v>75</v>
      </c>
    </row>
    <row r="94" spans="1:5" x14ac:dyDescent="0.25">
      <c r="A94" s="10" t="s">
        <v>284</v>
      </c>
      <c r="B94" s="10" t="s">
        <v>284</v>
      </c>
      <c r="C94" s="9" t="s">
        <v>285</v>
      </c>
      <c r="D94" s="9" t="s">
        <v>75</v>
      </c>
      <c r="E94" t="s">
        <v>75</v>
      </c>
    </row>
    <row r="95" spans="1:5" x14ac:dyDescent="0.25">
      <c r="A95" s="10" t="s">
        <v>286</v>
      </c>
      <c r="B95" s="10" t="s">
        <v>286</v>
      </c>
      <c r="C95" s="9" t="s">
        <v>287</v>
      </c>
      <c r="D95" s="9" t="s">
        <v>75</v>
      </c>
      <c r="E95" t="s">
        <v>75</v>
      </c>
    </row>
    <row r="96" spans="1:5" x14ac:dyDescent="0.25">
      <c r="A96" s="10" t="s">
        <v>288</v>
      </c>
      <c r="B96" s="10" t="s">
        <v>288</v>
      </c>
      <c r="C96" s="9" t="s">
        <v>289</v>
      </c>
      <c r="D96" s="9" t="s">
        <v>75</v>
      </c>
      <c r="E96" t="s">
        <v>75</v>
      </c>
    </row>
    <row r="97" spans="1:5" x14ac:dyDescent="0.25">
      <c r="A97" s="10" t="s">
        <v>290</v>
      </c>
      <c r="B97" s="10" t="s">
        <v>290</v>
      </c>
      <c r="C97" s="9" t="s">
        <v>291</v>
      </c>
      <c r="D97" s="9" t="s">
        <v>75</v>
      </c>
      <c r="E97" t="s">
        <v>75</v>
      </c>
    </row>
    <row r="98" spans="1:5" x14ac:dyDescent="0.25">
      <c r="A98" s="10" t="s">
        <v>292</v>
      </c>
      <c r="B98" s="10" t="s">
        <v>292</v>
      </c>
      <c r="C98" s="9" t="s">
        <v>293</v>
      </c>
      <c r="D98" s="9" t="s">
        <v>75</v>
      </c>
      <c r="E98" t="s">
        <v>75</v>
      </c>
    </row>
    <row r="99" spans="1:5" x14ac:dyDescent="0.25">
      <c r="A99" s="10" t="s">
        <v>294</v>
      </c>
      <c r="B99" s="10" t="s">
        <v>294</v>
      </c>
      <c r="C99" s="9" t="s">
        <v>295</v>
      </c>
      <c r="D99" s="9" t="s">
        <v>75</v>
      </c>
      <c r="E99" t="s">
        <v>75</v>
      </c>
    </row>
    <row r="100" spans="1:5" x14ac:dyDescent="0.25">
      <c r="A100" s="10" t="s">
        <v>296</v>
      </c>
      <c r="B100" s="10" t="s">
        <v>296</v>
      </c>
      <c r="C100" s="9" t="s">
        <v>297</v>
      </c>
      <c r="D100" s="9" t="s">
        <v>75</v>
      </c>
      <c r="E100" t="s">
        <v>75</v>
      </c>
    </row>
    <row r="101" spans="1:5" x14ac:dyDescent="0.25">
      <c r="A101" s="10" t="s">
        <v>298</v>
      </c>
      <c r="B101" s="10" t="s">
        <v>298</v>
      </c>
      <c r="C101" s="9" t="s">
        <v>299</v>
      </c>
      <c r="D101" s="9" t="s">
        <v>75</v>
      </c>
      <c r="E101" t="s">
        <v>75</v>
      </c>
    </row>
    <row r="102" spans="1:5" x14ac:dyDescent="0.25">
      <c r="A102" s="10" t="s">
        <v>300</v>
      </c>
      <c r="B102" s="10" t="s">
        <v>300</v>
      </c>
      <c r="C102" s="9" t="s">
        <v>301</v>
      </c>
      <c r="D102" s="9" t="s">
        <v>75</v>
      </c>
      <c r="E102" t="s">
        <v>75</v>
      </c>
    </row>
    <row r="103" spans="1:5" x14ac:dyDescent="0.25">
      <c r="A103" s="10" t="s">
        <v>302</v>
      </c>
      <c r="B103" s="10" t="s">
        <v>302</v>
      </c>
      <c r="C103" s="9" t="s">
        <v>303</v>
      </c>
      <c r="D103" s="9" t="s">
        <v>75</v>
      </c>
      <c r="E103" t="s">
        <v>75</v>
      </c>
    </row>
    <row r="104" spans="1:5" x14ac:dyDescent="0.25">
      <c r="A104" s="10" t="s">
        <v>304</v>
      </c>
      <c r="B104" s="10" t="s">
        <v>304</v>
      </c>
      <c r="C104" s="9" t="s">
        <v>305</v>
      </c>
      <c r="D104" s="9" t="s">
        <v>75</v>
      </c>
      <c r="E104" t="s">
        <v>75</v>
      </c>
    </row>
    <row r="105" spans="1:5" x14ac:dyDescent="0.25">
      <c r="A105" s="10" t="s">
        <v>306</v>
      </c>
      <c r="B105" s="10" t="s">
        <v>306</v>
      </c>
      <c r="C105" s="9" t="s">
        <v>307</v>
      </c>
      <c r="D105" s="9" t="s">
        <v>75</v>
      </c>
      <c r="E105" t="s">
        <v>75</v>
      </c>
    </row>
    <row r="106" spans="1:5" x14ac:dyDescent="0.25">
      <c r="A106" s="10" t="s">
        <v>308</v>
      </c>
      <c r="B106" s="10" t="s">
        <v>308</v>
      </c>
      <c r="C106" s="9" t="s">
        <v>309</v>
      </c>
      <c r="D106" s="9" t="s">
        <v>75</v>
      </c>
      <c r="E106" t="s">
        <v>75</v>
      </c>
    </row>
    <row r="107" spans="1:5" x14ac:dyDescent="0.25">
      <c r="A107" s="10" t="s">
        <v>310</v>
      </c>
      <c r="B107" s="10" t="s">
        <v>310</v>
      </c>
      <c r="C107" s="9" t="s">
        <v>311</v>
      </c>
      <c r="D107" s="9" t="s">
        <v>75</v>
      </c>
      <c r="E107" t="s">
        <v>75</v>
      </c>
    </row>
    <row r="108" spans="1:5" x14ac:dyDescent="0.25">
      <c r="A108" s="10" t="s">
        <v>312</v>
      </c>
      <c r="B108" s="10" t="s">
        <v>312</v>
      </c>
      <c r="C108" s="9" t="s">
        <v>313</v>
      </c>
      <c r="D108" s="9" t="s">
        <v>75</v>
      </c>
      <c r="E108" t="s">
        <v>75</v>
      </c>
    </row>
    <row r="109" spans="1:5" x14ac:dyDescent="0.25">
      <c r="A109" s="10" t="s">
        <v>314</v>
      </c>
      <c r="B109" s="10" t="s">
        <v>314</v>
      </c>
      <c r="C109" s="9" t="s">
        <v>315</v>
      </c>
      <c r="D109" s="9" t="s">
        <v>75</v>
      </c>
      <c r="E109" t="s">
        <v>75</v>
      </c>
    </row>
    <row r="110" spans="1:5" x14ac:dyDescent="0.25">
      <c r="A110" s="10" t="s">
        <v>316</v>
      </c>
      <c r="B110" s="10" t="s">
        <v>316</v>
      </c>
      <c r="C110" s="9" t="s">
        <v>317</v>
      </c>
      <c r="D110" s="9" t="s">
        <v>75</v>
      </c>
      <c r="E110" t="s">
        <v>75</v>
      </c>
    </row>
    <row r="111" spans="1:5" x14ac:dyDescent="0.25">
      <c r="A111" s="10" t="s">
        <v>318</v>
      </c>
      <c r="B111" s="10" t="s">
        <v>318</v>
      </c>
      <c r="C111" s="9" t="s">
        <v>319</v>
      </c>
      <c r="D111" s="9" t="s">
        <v>75</v>
      </c>
      <c r="E111" t="s">
        <v>75</v>
      </c>
    </row>
    <row r="112" spans="1:5" x14ac:dyDescent="0.25">
      <c r="A112" s="10" t="s">
        <v>320</v>
      </c>
      <c r="B112" s="10" t="s">
        <v>320</v>
      </c>
      <c r="C112" s="9" t="s">
        <v>321</v>
      </c>
      <c r="D112" s="9" t="s">
        <v>75</v>
      </c>
      <c r="E112" t="s">
        <v>75</v>
      </c>
    </row>
    <row r="113" spans="1:5" x14ac:dyDescent="0.25">
      <c r="A113" s="10" t="s">
        <v>322</v>
      </c>
      <c r="B113" s="10" t="s">
        <v>322</v>
      </c>
      <c r="C113" s="9" t="s">
        <v>323</v>
      </c>
      <c r="D113" s="9" t="s">
        <v>75</v>
      </c>
      <c r="E113" t="s">
        <v>75</v>
      </c>
    </row>
    <row r="114" spans="1:5" x14ac:dyDescent="0.25">
      <c r="A114" s="10" t="s">
        <v>324</v>
      </c>
      <c r="B114" s="10" t="s">
        <v>324</v>
      </c>
      <c r="C114" s="9" t="s">
        <v>325</v>
      </c>
      <c r="D114" s="9" t="s">
        <v>75</v>
      </c>
      <c r="E114" t="s">
        <v>75</v>
      </c>
    </row>
    <row r="115" spans="1:5" x14ac:dyDescent="0.25">
      <c r="A115" s="10" t="s">
        <v>326</v>
      </c>
      <c r="B115" s="10" t="s">
        <v>326</v>
      </c>
      <c r="C115" s="9" t="s">
        <v>327</v>
      </c>
      <c r="D115" s="9" t="s">
        <v>75</v>
      </c>
      <c r="E115" t="s">
        <v>75</v>
      </c>
    </row>
    <row r="116" spans="1:5" x14ac:dyDescent="0.25">
      <c r="A116" s="10" t="s">
        <v>328</v>
      </c>
      <c r="B116" s="10" t="s">
        <v>328</v>
      </c>
      <c r="C116" s="9" t="s">
        <v>329</v>
      </c>
      <c r="D116" s="9" t="s">
        <v>75</v>
      </c>
      <c r="E116" t="s">
        <v>75</v>
      </c>
    </row>
    <row r="117" spans="1:5" x14ac:dyDescent="0.25">
      <c r="A117" s="10" t="s">
        <v>330</v>
      </c>
      <c r="B117" s="10" t="s">
        <v>330</v>
      </c>
      <c r="C117" s="9" t="s">
        <v>331</v>
      </c>
      <c r="D117" s="9" t="s">
        <v>75</v>
      </c>
      <c r="E117" t="s">
        <v>75</v>
      </c>
    </row>
    <row r="118" spans="1:5" x14ac:dyDescent="0.25">
      <c r="A118" s="10" t="s">
        <v>332</v>
      </c>
      <c r="B118" s="10" t="s">
        <v>332</v>
      </c>
      <c r="C118" s="9" t="s">
        <v>333</v>
      </c>
      <c r="D118" s="9" t="s">
        <v>75</v>
      </c>
      <c r="E118" t="s">
        <v>75</v>
      </c>
    </row>
    <row r="119" spans="1:5" x14ac:dyDescent="0.25">
      <c r="A119" s="10" t="s">
        <v>334</v>
      </c>
      <c r="B119" s="10" t="s">
        <v>334</v>
      </c>
      <c r="C119" s="9" t="s">
        <v>335</v>
      </c>
      <c r="D119" s="9" t="s">
        <v>75</v>
      </c>
      <c r="E119" t="s">
        <v>75</v>
      </c>
    </row>
    <row r="120" spans="1:5" x14ac:dyDescent="0.25">
      <c r="A120" s="10" t="s">
        <v>336</v>
      </c>
      <c r="B120" s="10" t="s">
        <v>336</v>
      </c>
      <c r="C120" s="9" t="s">
        <v>337</v>
      </c>
      <c r="D120" s="9" t="s">
        <v>75</v>
      </c>
      <c r="E120" t="s">
        <v>75</v>
      </c>
    </row>
    <row r="121" spans="1:5" x14ac:dyDescent="0.25">
      <c r="A121" s="10" t="s">
        <v>338</v>
      </c>
      <c r="B121" s="10" t="s">
        <v>338</v>
      </c>
      <c r="C121" s="9" t="s">
        <v>339</v>
      </c>
      <c r="D121" s="9" t="s">
        <v>75</v>
      </c>
      <c r="E121" t="s">
        <v>75</v>
      </c>
    </row>
    <row r="122" spans="1:5" x14ac:dyDescent="0.25">
      <c r="A122" s="10" t="s">
        <v>84</v>
      </c>
      <c r="B122" s="10" t="s">
        <v>84</v>
      </c>
      <c r="C122" s="9" t="s">
        <v>85</v>
      </c>
      <c r="D122" s="9" t="s">
        <v>75</v>
      </c>
      <c r="E122" t="s">
        <v>75</v>
      </c>
    </row>
    <row r="123" spans="1:5" x14ac:dyDescent="0.25">
      <c r="A123" s="10" t="s">
        <v>340</v>
      </c>
      <c r="B123" s="10" t="s">
        <v>340</v>
      </c>
      <c r="C123" s="9" t="s">
        <v>341</v>
      </c>
      <c r="D123" s="9" t="s">
        <v>75</v>
      </c>
      <c r="E123" t="s">
        <v>75</v>
      </c>
    </row>
    <row r="124" spans="1:5" x14ac:dyDescent="0.25">
      <c r="A124" s="10" t="s">
        <v>342</v>
      </c>
      <c r="B124" s="10" t="s">
        <v>342</v>
      </c>
      <c r="C124" s="9" t="s">
        <v>343</v>
      </c>
      <c r="D124" s="9" t="s">
        <v>75</v>
      </c>
      <c r="E124" t="s">
        <v>75</v>
      </c>
    </row>
    <row r="125" spans="1:5" x14ac:dyDescent="0.25">
      <c r="A125" s="10" t="s">
        <v>344</v>
      </c>
      <c r="B125" s="10" t="s">
        <v>344</v>
      </c>
      <c r="C125" s="9" t="s">
        <v>345</v>
      </c>
      <c r="D125" s="9" t="s">
        <v>75</v>
      </c>
      <c r="E125" t="s">
        <v>75</v>
      </c>
    </row>
    <row r="126" spans="1:5" x14ac:dyDescent="0.25">
      <c r="A126" s="10" t="s">
        <v>346</v>
      </c>
      <c r="B126" s="10" t="s">
        <v>346</v>
      </c>
      <c r="C126" s="9" t="s">
        <v>347</v>
      </c>
      <c r="D126" s="9" t="s">
        <v>75</v>
      </c>
      <c r="E126" t="s">
        <v>75</v>
      </c>
    </row>
    <row r="127" spans="1:5" x14ac:dyDescent="0.25">
      <c r="A127" s="10" t="s">
        <v>348</v>
      </c>
      <c r="B127" s="10" t="s">
        <v>348</v>
      </c>
      <c r="C127" s="9" t="s">
        <v>349</v>
      </c>
      <c r="D127" s="9" t="s">
        <v>75</v>
      </c>
      <c r="E127" t="s">
        <v>75</v>
      </c>
    </row>
    <row r="128" spans="1:5" x14ac:dyDescent="0.25">
      <c r="A128" s="10" t="s">
        <v>350</v>
      </c>
      <c r="B128" s="10" t="s">
        <v>350</v>
      </c>
      <c r="C128" s="9" t="s">
        <v>351</v>
      </c>
      <c r="D128" s="9" t="s">
        <v>75</v>
      </c>
      <c r="E128" t="s">
        <v>75</v>
      </c>
    </row>
    <row r="129" spans="1:5" x14ac:dyDescent="0.25">
      <c r="A129" s="10" t="s">
        <v>352</v>
      </c>
      <c r="B129" s="10" t="s">
        <v>352</v>
      </c>
      <c r="C129" s="9" t="s">
        <v>353</v>
      </c>
      <c r="D129" s="9" t="s">
        <v>75</v>
      </c>
      <c r="E129" t="s">
        <v>75</v>
      </c>
    </row>
    <row r="130" spans="1:5" x14ac:dyDescent="0.25">
      <c r="A130" s="10" t="s">
        <v>354</v>
      </c>
      <c r="B130" s="10" t="s">
        <v>354</v>
      </c>
      <c r="C130" s="9" t="s">
        <v>355</v>
      </c>
      <c r="D130" s="9" t="s">
        <v>75</v>
      </c>
      <c r="E130" t="s">
        <v>75</v>
      </c>
    </row>
    <row r="131" spans="1:5" x14ac:dyDescent="0.25">
      <c r="A131" s="10" t="s">
        <v>356</v>
      </c>
      <c r="B131" s="10" t="s">
        <v>356</v>
      </c>
      <c r="C131" s="9" t="s">
        <v>357</v>
      </c>
      <c r="D131" s="9" t="s">
        <v>75</v>
      </c>
      <c r="E131" t="s">
        <v>75</v>
      </c>
    </row>
    <row r="132" spans="1:5" x14ac:dyDescent="0.25">
      <c r="A132" s="10" t="s">
        <v>358</v>
      </c>
      <c r="B132" s="10" t="s">
        <v>358</v>
      </c>
      <c r="C132" s="9" t="s">
        <v>359</v>
      </c>
      <c r="D132" s="9" t="s">
        <v>75</v>
      </c>
      <c r="E132" t="s">
        <v>75</v>
      </c>
    </row>
    <row r="133" spans="1:5" x14ac:dyDescent="0.25">
      <c r="A133" s="10" t="s">
        <v>360</v>
      </c>
      <c r="B133" s="10" t="s">
        <v>360</v>
      </c>
      <c r="C133" s="9" t="s">
        <v>361</v>
      </c>
      <c r="D133" s="9" t="s">
        <v>75</v>
      </c>
      <c r="E133" t="s">
        <v>75</v>
      </c>
    </row>
    <row r="134" spans="1:5" x14ac:dyDescent="0.25">
      <c r="A134" s="10" t="s">
        <v>362</v>
      </c>
      <c r="B134" s="10" t="s">
        <v>362</v>
      </c>
      <c r="C134" s="9" t="s">
        <v>363</v>
      </c>
      <c r="D134" s="9" t="s">
        <v>75</v>
      </c>
      <c r="E134" t="s">
        <v>75</v>
      </c>
    </row>
    <row r="135" spans="1:5" x14ac:dyDescent="0.25">
      <c r="A135" s="10" t="s">
        <v>364</v>
      </c>
      <c r="B135" s="10" t="s">
        <v>364</v>
      </c>
      <c r="C135" s="9" t="s">
        <v>365</v>
      </c>
      <c r="D135" s="9" t="s">
        <v>75</v>
      </c>
      <c r="E135" t="s">
        <v>75</v>
      </c>
    </row>
    <row r="136" spans="1:5" x14ac:dyDescent="0.25">
      <c r="A136" s="10" t="s">
        <v>366</v>
      </c>
      <c r="B136" s="10" t="s">
        <v>366</v>
      </c>
      <c r="C136" s="9" t="s">
        <v>367</v>
      </c>
      <c r="D136" s="9" t="s">
        <v>75</v>
      </c>
      <c r="E136" t="s">
        <v>75</v>
      </c>
    </row>
    <row r="137" spans="1:5" x14ac:dyDescent="0.25">
      <c r="A137" s="10" t="s">
        <v>368</v>
      </c>
      <c r="B137" s="10" t="s">
        <v>368</v>
      </c>
      <c r="C137" s="9" t="s">
        <v>369</v>
      </c>
      <c r="D137" s="9" t="s">
        <v>75</v>
      </c>
      <c r="E137" t="s">
        <v>75</v>
      </c>
    </row>
    <row r="138" spans="1:5" x14ac:dyDescent="0.25">
      <c r="A138" s="10" t="s">
        <v>370</v>
      </c>
      <c r="B138" s="10" t="s">
        <v>370</v>
      </c>
      <c r="C138" s="9" t="s">
        <v>371</v>
      </c>
      <c r="D138" s="9" t="s">
        <v>75</v>
      </c>
      <c r="E138" t="s">
        <v>75</v>
      </c>
    </row>
    <row r="139" spans="1:5" x14ac:dyDescent="0.25">
      <c r="A139" s="10" t="s">
        <v>372</v>
      </c>
      <c r="B139" s="10" t="s">
        <v>372</v>
      </c>
      <c r="C139" s="9" t="s">
        <v>373</v>
      </c>
      <c r="D139" s="9" t="s">
        <v>75</v>
      </c>
      <c r="E139" t="s">
        <v>75</v>
      </c>
    </row>
    <row r="140" spans="1:5" x14ac:dyDescent="0.25">
      <c r="A140" s="10" t="s">
        <v>374</v>
      </c>
      <c r="B140" s="10" t="s">
        <v>374</v>
      </c>
      <c r="C140" s="9" t="s">
        <v>375</v>
      </c>
      <c r="D140" s="9" t="s">
        <v>75</v>
      </c>
      <c r="E140" t="s">
        <v>75</v>
      </c>
    </row>
    <row r="141" spans="1:5" x14ac:dyDescent="0.25">
      <c r="A141" s="10" t="s">
        <v>376</v>
      </c>
      <c r="B141" s="10" t="s">
        <v>376</v>
      </c>
      <c r="C141" s="9" t="s">
        <v>377</v>
      </c>
      <c r="D141" s="9" t="s">
        <v>75</v>
      </c>
      <c r="E141" t="s">
        <v>75</v>
      </c>
    </row>
    <row r="142" spans="1:5" x14ac:dyDescent="0.25">
      <c r="A142" s="10" t="s">
        <v>378</v>
      </c>
      <c r="B142" s="10" t="s">
        <v>378</v>
      </c>
      <c r="C142" s="9" t="s">
        <v>379</v>
      </c>
      <c r="D142" s="9" t="s">
        <v>75</v>
      </c>
      <c r="E142" t="s">
        <v>75</v>
      </c>
    </row>
    <row r="143" spans="1:5" x14ac:dyDescent="0.25">
      <c r="A143" s="10" t="s">
        <v>380</v>
      </c>
      <c r="B143" s="10" t="s">
        <v>380</v>
      </c>
      <c r="C143" s="9" t="s">
        <v>381</v>
      </c>
      <c r="D143" s="9" t="s">
        <v>75</v>
      </c>
      <c r="E143" t="s">
        <v>75</v>
      </c>
    </row>
    <row r="144" spans="1:5" x14ac:dyDescent="0.25">
      <c r="A144" s="10" t="s">
        <v>382</v>
      </c>
      <c r="B144" s="10" t="s">
        <v>382</v>
      </c>
      <c r="C144" s="9" t="s">
        <v>383</v>
      </c>
      <c r="D144" s="9" t="s">
        <v>75</v>
      </c>
      <c r="E144" t="s">
        <v>75</v>
      </c>
    </row>
    <row r="145" spans="1:5" x14ac:dyDescent="0.25">
      <c r="A145" s="10" t="s">
        <v>384</v>
      </c>
      <c r="B145" s="10" t="s">
        <v>384</v>
      </c>
      <c r="C145" s="9" t="s">
        <v>385</v>
      </c>
      <c r="D145" s="9" t="s">
        <v>75</v>
      </c>
      <c r="E145" t="s">
        <v>75</v>
      </c>
    </row>
    <row r="146" spans="1:5" x14ac:dyDescent="0.25">
      <c r="A146" s="10" t="s">
        <v>386</v>
      </c>
      <c r="B146" s="10" t="s">
        <v>386</v>
      </c>
      <c r="C146" s="9" t="s">
        <v>387</v>
      </c>
      <c r="D146" s="9" t="s">
        <v>75</v>
      </c>
      <c r="E146" t="s">
        <v>75</v>
      </c>
    </row>
    <row r="147" spans="1:5" x14ac:dyDescent="0.25">
      <c r="A147" s="10" t="s">
        <v>388</v>
      </c>
      <c r="B147" s="10" t="s">
        <v>388</v>
      </c>
      <c r="C147" s="9" t="s">
        <v>389</v>
      </c>
      <c r="D147" s="9" t="s">
        <v>75</v>
      </c>
      <c r="E147" t="s">
        <v>75</v>
      </c>
    </row>
    <row r="148" spans="1:5" x14ac:dyDescent="0.25">
      <c r="A148" s="10" t="s">
        <v>390</v>
      </c>
      <c r="B148" s="10" t="s">
        <v>390</v>
      </c>
      <c r="C148" s="9" t="s">
        <v>391</v>
      </c>
      <c r="D148" s="9" t="s">
        <v>75</v>
      </c>
      <c r="E148" t="s">
        <v>75</v>
      </c>
    </row>
    <row r="149" spans="1:5" x14ac:dyDescent="0.25">
      <c r="A149" s="10" t="s">
        <v>392</v>
      </c>
      <c r="B149" s="10" t="s">
        <v>392</v>
      </c>
      <c r="C149" s="9" t="s">
        <v>393</v>
      </c>
      <c r="D149" s="9" t="s">
        <v>75</v>
      </c>
      <c r="E149" t="s">
        <v>75</v>
      </c>
    </row>
    <row r="150" spans="1:5" x14ac:dyDescent="0.25">
      <c r="A150" s="10" t="s">
        <v>394</v>
      </c>
      <c r="B150" s="10" t="s">
        <v>394</v>
      </c>
      <c r="C150" s="9" t="s">
        <v>395</v>
      </c>
      <c r="D150" s="9" t="s">
        <v>75</v>
      </c>
      <c r="E150" t="s">
        <v>75</v>
      </c>
    </row>
    <row r="151" spans="1:5" x14ac:dyDescent="0.25">
      <c r="A151" s="10" t="s">
        <v>398</v>
      </c>
      <c r="B151" s="10" t="s">
        <v>398</v>
      </c>
      <c r="C151" s="9" t="s">
        <v>399</v>
      </c>
      <c r="D151" s="9" t="s">
        <v>75</v>
      </c>
      <c r="E151" t="s">
        <v>75</v>
      </c>
    </row>
    <row r="152" spans="1:5" x14ac:dyDescent="0.25">
      <c r="A152" s="10" t="s">
        <v>400</v>
      </c>
      <c r="B152" s="10" t="s">
        <v>400</v>
      </c>
      <c r="C152" s="9" t="s">
        <v>401</v>
      </c>
      <c r="D152" s="9" t="s">
        <v>75</v>
      </c>
      <c r="E152" t="s">
        <v>75</v>
      </c>
    </row>
    <row r="153" spans="1:5" x14ac:dyDescent="0.25">
      <c r="A153" s="10" t="s">
        <v>402</v>
      </c>
      <c r="B153" s="10" t="s">
        <v>402</v>
      </c>
      <c r="C153" s="9" t="s">
        <v>403</v>
      </c>
      <c r="D153" s="9" t="s">
        <v>75</v>
      </c>
      <c r="E153" t="s">
        <v>75</v>
      </c>
    </row>
    <row r="154" spans="1:5" x14ac:dyDescent="0.25">
      <c r="A154" s="10" t="s">
        <v>404</v>
      </c>
      <c r="B154" s="10" t="s">
        <v>404</v>
      </c>
      <c r="C154" s="9" t="s">
        <v>405</v>
      </c>
      <c r="D154" s="9" t="s">
        <v>75</v>
      </c>
      <c r="E154" t="s">
        <v>75</v>
      </c>
    </row>
    <row r="155" spans="1:5" x14ac:dyDescent="0.25">
      <c r="A155" s="10" t="s">
        <v>406</v>
      </c>
      <c r="B155" s="10" t="s">
        <v>406</v>
      </c>
      <c r="C155" s="9" t="s">
        <v>407</v>
      </c>
      <c r="D155" s="9" t="s">
        <v>75</v>
      </c>
      <c r="E155" t="s">
        <v>75</v>
      </c>
    </row>
    <row r="156" spans="1:5" x14ac:dyDescent="0.25">
      <c r="A156" s="10" t="s">
        <v>408</v>
      </c>
      <c r="B156" s="10" t="s">
        <v>408</v>
      </c>
      <c r="C156" s="9" t="s">
        <v>409</v>
      </c>
      <c r="D156" s="9" t="s">
        <v>75</v>
      </c>
      <c r="E156" t="s">
        <v>75</v>
      </c>
    </row>
    <row r="157" spans="1:5" x14ac:dyDescent="0.25">
      <c r="A157" s="10" t="s">
        <v>410</v>
      </c>
      <c r="B157" s="10" t="s">
        <v>410</v>
      </c>
      <c r="C157" s="9" t="s">
        <v>411</v>
      </c>
      <c r="D157" s="9" t="s">
        <v>75</v>
      </c>
      <c r="E157" t="s">
        <v>75</v>
      </c>
    </row>
    <row r="158" spans="1:5" x14ac:dyDescent="0.25">
      <c r="A158" s="10" t="s">
        <v>412</v>
      </c>
      <c r="B158" s="10" t="s">
        <v>412</v>
      </c>
      <c r="C158" s="9" t="s">
        <v>413</v>
      </c>
      <c r="D158" s="9" t="s">
        <v>75</v>
      </c>
      <c r="E158" t="s">
        <v>75</v>
      </c>
    </row>
    <row r="159" spans="1:5" x14ac:dyDescent="0.25">
      <c r="A159" s="10" t="s">
        <v>414</v>
      </c>
      <c r="B159" s="10" t="s">
        <v>414</v>
      </c>
      <c r="C159" s="9" t="s">
        <v>415</v>
      </c>
      <c r="D159" s="9" t="s">
        <v>75</v>
      </c>
      <c r="E159" t="s">
        <v>75</v>
      </c>
    </row>
    <row r="160" spans="1:5" x14ac:dyDescent="0.25">
      <c r="A160" s="10" t="s">
        <v>416</v>
      </c>
      <c r="B160" s="10" t="s">
        <v>416</v>
      </c>
      <c r="C160" s="9" t="s">
        <v>417</v>
      </c>
      <c r="D160" s="9" t="s">
        <v>75</v>
      </c>
      <c r="E160" t="s">
        <v>75</v>
      </c>
    </row>
    <row r="161" spans="1:5" x14ac:dyDescent="0.25">
      <c r="A161" s="10" t="s">
        <v>418</v>
      </c>
      <c r="B161" s="10" t="s">
        <v>418</v>
      </c>
      <c r="C161" s="9" t="s">
        <v>419</v>
      </c>
      <c r="D161" s="9" t="s">
        <v>75</v>
      </c>
      <c r="E161" t="s">
        <v>75</v>
      </c>
    </row>
    <row r="162" spans="1:5" x14ac:dyDescent="0.25">
      <c r="A162" s="10" t="s">
        <v>420</v>
      </c>
      <c r="B162" s="10" t="s">
        <v>420</v>
      </c>
      <c r="C162" s="9" t="s">
        <v>421</v>
      </c>
      <c r="D162" s="9" t="s">
        <v>75</v>
      </c>
      <c r="E162" t="s">
        <v>75</v>
      </c>
    </row>
    <row r="163" spans="1:5" x14ac:dyDescent="0.25">
      <c r="A163" s="10" t="s">
        <v>422</v>
      </c>
      <c r="B163" s="10" t="s">
        <v>422</v>
      </c>
      <c r="C163" s="9" t="s">
        <v>423</v>
      </c>
      <c r="D163" s="9" t="s">
        <v>75</v>
      </c>
      <c r="E163" t="s">
        <v>75</v>
      </c>
    </row>
    <row r="164" spans="1:5" x14ac:dyDescent="0.25">
      <c r="A164" s="10" t="s">
        <v>424</v>
      </c>
      <c r="B164" s="10" t="s">
        <v>424</v>
      </c>
      <c r="C164" s="9" t="s">
        <v>425</v>
      </c>
      <c r="D164" s="9" t="s">
        <v>75</v>
      </c>
      <c r="E164" t="s">
        <v>75</v>
      </c>
    </row>
    <row r="165" spans="1:5" x14ac:dyDescent="0.25">
      <c r="A165" s="10" t="s">
        <v>426</v>
      </c>
      <c r="B165" s="10" t="s">
        <v>426</v>
      </c>
      <c r="C165" s="9" t="s">
        <v>427</v>
      </c>
      <c r="D165" s="9" t="s">
        <v>75</v>
      </c>
      <c r="E165" t="s">
        <v>75</v>
      </c>
    </row>
    <row r="166" spans="1:5" x14ac:dyDescent="0.25">
      <c r="A166" s="10" t="s">
        <v>428</v>
      </c>
      <c r="B166" s="10" t="s">
        <v>428</v>
      </c>
      <c r="C166" s="9" t="s">
        <v>429</v>
      </c>
      <c r="D166" s="9" t="s">
        <v>75</v>
      </c>
      <c r="E166" t="s">
        <v>75</v>
      </c>
    </row>
    <row r="167" spans="1:5" x14ac:dyDescent="0.25">
      <c r="A167" s="10" t="s">
        <v>430</v>
      </c>
      <c r="B167" s="10" t="s">
        <v>430</v>
      </c>
      <c r="C167" s="9" t="s">
        <v>431</v>
      </c>
      <c r="D167" s="9" t="s">
        <v>75</v>
      </c>
      <c r="E167" t="s">
        <v>75</v>
      </c>
    </row>
    <row r="168" spans="1:5" x14ac:dyDescent="0.25">
      <c r="A168" s="10" t="s">
        <v>432</v>
      </c>
      <c r="B168" s="10" t="s">
        <v>432</v>
      </c>
      <c r="C168" s="9" t="s">
        <v>433</v>
      </c>
      <c r="D168" s="9" t="s">
        <v>75</v>
      </c>
      <c r="E168" t="s">
        <v>75</v>
      </c>
    </row>
    <row r="169" spans="1:5" x14ac:dyDescent="0.25">
      <c r="A169" s="10" t="s">
        <v>434</v>
      </c>
      <c r="B169" s="10" t="s">
        <v>434</v>
      </c>
      <c r="C169" s="9" t="s">
        <v>435</v>
      </c>
      <c r="D169" s="9" t="s">
        <v>75</v>
      </c>
      <c r="E169" t="s">
        <v>75</v>
      </c>
    </row>
    <row r="170" spans="1:5" x14ac:dyDescent="0.25">
      <c r="A170" s="10" t="s">
        <v>436</v>
      </c>
      <c r="B170" s="10" t="s">
        <v>436</v>
      </c>
      <c r="C170" s="9" t="s">
        <v>437</v>
      </c>
      <c r="D170" s="9" t="s">
        <v>75</v>
      </c>
      <c r="E170" t="s">
        <v>75</v>
      </c>
    </row>
    <row r="171" spans="1:5" x14ac:dyDescent="0.25">
      <c r="A171" s="10" t="s">
        <v>438</v>
      </c>
      <c r="B171" s="10" t="s">
        <v>438</v>
      </c>
      <c r="C171" s="9" t="s">
        <v>439</v>
      </c>
      <c r="D171" s="9" t="s">
        <v>75</v>
      </c>
      <c r="E171" t="s">
        <v>75</v>
      </c>
    </row>
    <row r="172" spans="1:5" x14ac:dyDescent="0.25">
      <c r="A172" s="10" t="s">
        <v>440</v>
      </c>
      <c r="B172" s="10" t="s">
        <v>440</v>
      </c>
      <c r="C172" s="9" t="s">
        <v>441</v>
      </c>
      <c r="D172" s="9" t="s">
        <v>75</v>
      </c>
      <c r="E172" t="s">
        <v>75</v>
      </c>
    </row>
    <row r="173" spans="1:5" x14ac:dyDescent="0.25">
      <c r="A173" s="10" t="s">
        <v>442</v>
      </c>
      <c r="B173" s="10" t="s">
        <v>442</v>
      </c>
      <c r="C173" s="9" t="s">
        <v>443</v>
      </c>
      <c r="D173" s="9" t="s">
        <v>75</v>
      </c>
      <c r="E173" t="s">
        <v>75</v>
      </c>
    </row>
    <row r="174" spans="1:5" x14ac:dyDescent="0.25">
      <c r="A174" s="10" t="s">
        <v>446</v>
      </c>
      <c r="B174" s="10" t="s">
        <v>446</v>
      </c>
      <c r="C174" s="9" t="s">
        <v>447</v>
      </c>
      <c r="D174" s="9" t="s">
        <v>75</v>
      </c>
      <c r="E174" t="s">
        <v>75</v>
      </c>
    </row>
    <row r="175" spans="1:5" x14ac:dyDescent="0.25">
      <c r="A175" s="10" t="s">
        <v>448</v>
      </c>
      <c r="B175" s="10" t="s">
        <v>448</v>
      </c>
      <c r="C175" s="9" t="s">
        <v>449</v>
      </c>
      <c r="D175" s="9" t="s">
        <v>75</v>
      </c>
      <c r="E175" t="s">
        <v>75</v>
      </c>
    </row>
    <row r="176" spans="1:5" x14ac:dyDescent="0.25">
      <c r="A176" s="10" t="s">
        <v>450</v>
      </c>
      <c r="B176" s="10" t="s">
        <v>450</v>
      </c>
      <c r="C176" s="9" t="s">
        <v>451</v>
      </c>
      <c r="D176" s="9" t="s">
        <v>75</v>
      </c>
      <c r="E176" t="s">
        <v>75</v>
      </c>
    </row>
    <row r="177" spans="1:5" x14ac:dyDescent="0.25">
      <c r="A177" s="10" t="s">
        <v>452</v>
      </c>
      <c r="B177" s="10" t="s">
        <v>452</v>
      </c>
      <c r="C177" s="9" t="s">
        <v>453</v>
      </c>
      <c r="D177" s="9" t="s">
        <v>75</v>
      </c>
      <c r="E177" t="s">
        <v>75</v>
      </c>
    </row>
    <row r="178" spans="1:5" x14ac:dyDescent="0.25">
      <c r="A178" s="10" t="s">
        <v>454</v>
      </c>
      <c r="B178" s="10" t="s">
        <v>454</v>
      </c>
      <c r="C178" s="9" t="s">
        <v>455</v>
      </c>
      <c r="D178" s="9" t="s">
        <v>75</v>
      </c>
      <c r="E178" t="s">
        <v>75</v>
      </c>
    </row>
    <row r="179" spans="1:5" x14ac:dyDescent="0.25">
      <c r="A179" s="10" t="s">
        <v>456</v>
      </c>
      <c r="B179" s="10" t="s">
        <v>456</v>
      </c>
      <c r="C179" s="9" t="s">
        <v>457</v>
      </c>
      <c r="D179" s="9" t="s">
        <v>75</v>
      </c>
      <c r="E179" t="s">
        <v>75</v>
      </c>
    </row>
    <row r="180" spans="1:5" x14ac:dyDescent="0.25">
      <c r="A180" s="10" t="s">
        <v>458</v>
      </c>
      <c r="B180" s="10" t="s">
        <v>458</v>
      </c>
      <c r="C180" s="9" t="s">
        <v>459</v>
      </c>
      <c r="D180" s="9" t="s">
        <v>75</v>
      </c>
      <c r="E180" t="s">
        <v>75</v>
      </c>
    </row>
    <row r="181" spans="1:5" x14ac:dyDescent="0.25">
      <c r="A181" s="10" t="s">
        <v>460</v>
      </c>
      <c r="B181" s="10" t="s">
        <v>460</v>
      </c>
      <c r="C181" s="9" t="s">
        <v>461</v>
      </c>
      <c r="D181" s="9" t="s">
        <v>75</v>
      </c>
      <c r="E181" t="s">
        <v>75</v>
      </c>
    </row>
    <row r="182" spans="1:5" x14ac:dyDescent="0.25">
      <c r="A182" s="10" t="s">
        <v>462</v>
      </c>
      <c r="B182" s="10" t="s">
        <v>462</v>
      </c>
      <c r="C182" s="9" t="s">
        <v>463</v>
      </c>
      <c r="D182" s="9" t="s">
        <v>75</v>
      </c>
      <c r="E182" t="s">
        <v>75</v>
      </c>
    </row>
    <row r="183" spans="1:5" x14ac:dyDescent="0.25">
      <c r="A183" s="10" t="s">
        <v>469</v>
      </c>
      <c r="B183" s="10" t="s">
        <v>469</v>
      </c>
      <c r="C183" s="9" t="s">
        <v>470</v>
      </c>
      <c r="D183" s="9" t="s">
        <v>75</v>
      </c>
      <c r="E183" t="s">
        <v>75</v>
      </c>
    </row>
    <row r="184" spans="1:5" x14ac:dyDescent="0.25">
      <c r="A184" s="10" t="s">
        <v>471</v>
      </c>
      <c r="B184" s="10" t="s">
        <v>471</v>
      </c>
      <c r="C184" s="9" t="s">
        <v>472</v>
      </c>
      <c r="D184" s="9" t="s">
        <v>75</v>
      </c>
      <c r="E184" t="s">
        <v>75</v>
      </c>
    </row>
    <row r="185" spans="1:5" x14ac:dyDescent="0.25">
      <c r="A185" s="10" t="s">
        <v>473</v>
      </c>
      <c r="B185" s="10" t="s">
        <v>473</v>
      </c>
      <c r="C185" s="9" t="s">
        <v>474</v>
      </c>
      <c r="D185" s="9" t="s">
        <v>75</v>
      </c>
      <c r="E185" t="s">
        <v>75</v>
      </c>
    </row>
    <row r="186" spans="1:5" x14ac:dyDescent="0.25">
      <c r="A186" s="10" t="s">
        <v>475</v>
      </c>
      <c r="B186" s="10" t="s">
        <v>475</v>
      </c>
      <c r="C186" s="9" t="s">
        <v>476</v>
      </c>
      <c r="D186" s="9" t="s">
        <v>75</v>
      </c>
      <c r="E186" t="s">
        <v>75</v>
      </c>
    </row>
    <row r="187" spans="1:5" x14ac:dyDescent="0.25">
      <c r="A187" s="10" t="s">
        <v>477</v>
      </c>
      <c r="B187" s="10" t="s">
        <v>477</v>
      </c>
      <c r="C187" s="9" t="s">
        <v>478</v>
      </c>
      <c r="D187" s="9" t="s">
        <v>75</v>
      </c>
      <c r="E187" t="s">
        <v>75</v>
      </c>
    </row>
    <row r="188" spans="1:5" x14ac:dyDescent="0.25">
      <c r="A188" s="10" t="s">
        <v>479</v>
      </c>
      <c r="B188" s="10" t="s">
        <v>479</v>
      </c>
      <c r="C188" s="9" t="s">
        <v>480</v>
      </c>
      <c r="D188" s="9" t="s">
        <v>75</v>
      </c>
      <c r="E188" t="s">
        <v>75</v>
      </c>
    </row>
    <row r="189" spans="1:5" x14ac:dyDescent="0.25">
      <c r="A189" s="10" t="s">
        <v>481</v>
      </c>
      <c r="B189" s="10" t="s">
        <v>481</v>
      </c>
      <c r="C189" s="9" t="s">
        <v>482</v>
      </c>
      <c r="D189" s="9" t="s">
        <v>75</v>
      </c>
      <c r="E189" t="s">
        <v>75</v>
      </c>
    </row>
    <row r="190" spans="1:5" x14ac:dyDescent="0.25">
      <c r="A190" s="10" t="s">
        <v>483</v>
      </c>
      <c r="B190" s="10" t="s">
        <v>483</v>
      </c>
      <c r="C190" s="9" t="s">
        <v>484</v>
      </c>
      <c r="D190" s="9" t="s">
        <v>75</v>
      </c>
      <c r="E190" t="s">
        <v>75</v>
      </c>
    </row>
    <row r="191" spans="1:5" x14ac:dyDescent="0.25">
      <c r="A191" s="10" t="s">
        <v>485</v>
      </c>
      <c r="B191" s="10" t="s">
        <v>485</v>
      </c>
      <c r="C191" s="9" t="s">
        <v>486</v>
      </c>
      <c r="D191" s="9" t="s">
        <v>75</v>
      </c>
      <c r="E191" t="s">
        <v>75</v>
      </c>
    </row>
    <row r="192" spans="1:5" x14ac:dyDescent="0.25">
      <c r="A192" s="10" t="s">
        <v>487</v>
      </c>
      <c r="B192" s="10" t="s">
        <v>487</v>
      </c>
      <c r="C192" s="9" t="s">
        <v>488</v>
      </c>
      <c r="D192" s="9" t="s">
        <v>75</v>
      </c>
      <c r="E192" t="s">
        <v>75</v>
      </c>
    </row>
    <row r="193" spans="1:5" x14ac:dyDescent="0.25">
      <c r="A193" s="10" t="s">
        <v>489</v>
      </c>
      <c r="B193" s="10" t="s">
        <v>489</v>
      </c>
      <c r="C193" s="9" t="s">
        <v>490</v>
      </c>
      <c r="D193" s="9" t="s">
        <v>75</v>
      </c>
      <c r="E193" t="s">
        <v>75</v>
      </c>
    </row>
    <row r="194" spans="1:5" x14ac:dyDescent="0.25">
      <c r="A194" s="10" t="s">
        <v>491</v>
      </c>
      <c r="B194" s="10" t="s">
        <v>491</v>
      </c>
      <c r="C194" s="9" t="s">
        <v>492</v>
      </c>
      <c r="D194" s="9" t="s">
        <v>75</v>
      </c>
      <c r="E194" t="s">
        <v>75</v>
      </c>
    </row>
    <row r="195" spans="1:5" x14ac:dyDescent="0.25">
      <c r="A195" s="10" t="s">
        <v>493</v>
      </c>
      <c r="B195" s="10" t="s">
        <v>493</v>
      </c>
      <c r="C195" s="9" t="s">
        <v>494</v>
      </c>
      <c r="D195" s="9" t="s">
        <v>75</v>
      </c>
      <c r="E195" t="s">
        <v>75</v>
      </c>
    </row>
    <row r="196" spans="1:5" x14ac:dyDescent="0.25">
      <c r="A196" s="10" t="s">
        <v>495</v>
      </c>
      <c r="B196" s="10" t="s">
        <v>495</v>
      </c>
      <c r="C196" s="9" t="s">
        <v>496</v>
      </c>
      <c r="D196" s="9" t="s">
        <v>75</v>
      </c>
      <c r="E196" t="s">
        <v>75</v>
      </c>
    </row>
    <row r="197" spans="1:5" x14ac:dyDescent="0.25">
      <c r="A197" s="10" t="s">
        <v>497</v>
      </c>
      <c r="B197" s="10" t="s">
        <v>497</v>
      </c>
      <c r="C197" s="9" t="s">
        <v>498</v>
      </c>
      <c r="D197" s="9" t="s">
        <v>75</v>
      </c>
      <c r="E197" t="s">
        <v>75</v>
      </c>
    </row>
    <row r="198" spans="1:5" x14ac:dyDescent="0.25">
      <c r="A198" s="10" t="s">
        <v>499</v>
      </c>
      <c r="B198" s="10" t="s">
        <v>499</v>
      </c>
      <c r="C198" s="9" t="s">
        <v>500</v>
      </c>
      <c r="D198" s="9" t="s">
        <v>75</v>
      </c>
      <c r="E198" t="s">
        <v>75</v>
      </c>
    </row>
    <row r="199" spans="1:5" x14ac:dyDescent="0.25">
      <c r="A199" s="10" t="s">
        <v>501</v>
      </c>
      <c r="B199" s="10" t="s">
        <v>501</v>
      </c>
      <c r="C199" s="9" t="s">
        <v>502</v>
      </c>
      <c r="D199" s="9" t="s">
        <v>75</v>
      </c>
      <c r="E199" t="s">
        <v>75</v>
      </c>
    </row>
    <row r="200" spans="1:5" x14ac:dyDescent="0.25">
      <c r="A200" s="10" t="s">
        <v>503</v>
      </c>
      <c r="B200" s="10" t="s">
        <v>503</v>
      </c>
      <c r="C200" s="9" t="s">
        <v>504</v>
      </c>
      <c r="D200" s="9" t="s">
        <v>75</v>
      </c>
      <c r="E200" t="s">
        <v>75</v>
      </c>
    </row>
    <row r="201" spans="1:5" x14ac:dyDescent="0.25">
      <c r="A201" s="10" t="s">
        <v>505</v>
      </c>
      <c r="B201" s="10" t="s">
        <v>505</v>
      </c>
      <c r="C201" s="9" t="s">
        <v>506</v>
      </c>
      <c r="D201" s="9" t="s">
        <v>75</v>
      </c>
      <c r="E201" t="s">
        <v>75</v>
      </c>
    </row>
    <row r="202" spans="1:5" x14ac:dyDescent="0.25">
      <c r="A202" s="10" t="s">
        <v>507</v>
      </c>
      <c r="B202" s="10" t="s">
        <v>507</v>
      </c>
      <c r="C202" s="9" t="s">
        <v>508</v>
      </c>
      <c r="D202" s="9" t="s">
        <v>75</v>
      </c>
      <c r="E202" t="s">
        <v>75</v>
      </c>
    </row>
    <row r="203" spans="1:5" x14ac:dyDescent="0.25">
      <c r="A203" s="10" t="s">
        <v>509</v>
      </c>
      <c r="B203" s="10" t="s">
        <v>509</v>
      </c>
      <c r="C203" s="9" t="s">
        <v>510</v>
      </c>
      <c r="D203" s="9" t="s">
        <v>75</v>
      </c>
      <c r="E203" t="s">
        <v>75</v>
      </c>
    </row>
    <row r="204" spans="1:5" x14ac:dyDescent="0.25">
      <c r="A204" s="10" t="s">
        <v>511</v>
      </c>
      <c r="B204" s="10" t="s">
        <v>511</v>
      </c>
      <c r="C204" s="9" t="s">
        <v>512</v>
      </c>
      <c r="D204" s="9" t="s">
        <v>75</v>
      </c>
      <c r="E204" t="s">
        <v>75</v>
      </c>
    </row>
    <row r="205" spans="1:5" x14ac:dyDescent="0.25">
      <c r="A205" s="10" t="s">
        <v>513</v>
      </c>
      <c r="B205" s="10" t="s">
        <v>513</v>
      </c>
      <c r="C205" s="9" t="s">
        <v>514</v>
      </c>
      <c r="D205" s="9" t="s">
        <v>75</v>
      </c>
      <c r="E205" t="s">
        <v>75</v>
      </c>
    </row>
    <row r="206" spans="1:5" x14ac:dyDescent="0.25">
      <c r="A206" s="10" t="s">
        <v>518</v>
      </c>
      <c r="B206" s="10" t="s">
        <v>518</v>
      </c>
      <c r="C206" s="9" t="s">
        <v>519</v>
      </c>
      <c r="D206" s="9" t="s">
        <v>75</v>
      </c>
      <c r="E206" t="s">
        <v>75</v>
      </c>
    </row>
    <row r="207" spans="1:5" x14ac:dyDescent="0.25">
      <c r="A207" s="10" t="s">
        <v>520</v>
      </c>
      <c r="B207" s="10" t="s">
        <v>520</v>
      </c>
      <c r="C207" s="9" t="s">
        <v>521</v>
      </c>
      <c r="D207" s="9" t="s">
        <v>75</v>
      </c>
      <c r="E207" t="s">
        <v>75</v>
      </c>
    </row>
    <row r="208" spans="1:5" x14ac:dyDescent="0.25">
      <c r="A208" s="10" t="s">
        <v>522</v>
      </c>
      <c r="B208" s="10" t="s">
        <v>522</v>
      </c>
      <c r="C208" s="9" t="s">
        <v>523</v>
      </c>
      <c r="D208" s="9" t="s">
        <v>75</v>
      </c>
      <c r="E208" t="s">
        <v>75</v>
      </c>
    </row>
    <row r="209" spans="1:5" x14ac:dyDescent="0.25">
      <c r="A209" s="10" t="s">
        <v>524</v>
      </c>
      <c r="B209" s="10" t="s">
        <v>524</v>
      </c>
      <c r="C209" s="9" t="s">
        <v>525</v>
      </c>
      <c r="D209" s="9" t="s">
        <v>75</v>
      </c>
      <c r="E209" t="s">
        <v>75</v>
      </c>
    </row>
    <row r="210" spans="1:5" x14ac:dyDescent="0.25">
      <c r="A210" s="10" t="s">
        <v>526</v>
      </c>
      <c r="B210" s="10" t="s">
        <v>526</v>
      </c>
      <c r="C210" s="9" t="s">
        <v>527</v>
      </c>
      <c r="D210" s="9" t="s">
        <v>75</v>
      </c>
      <c r="E210" t="s">
        <v>75</v>
      </c>
    </row>
    <row r="211" spans="1:5" x14ac:dyDescent="0.25">
      <c r="A211" s="10" t="s">
        <v>528</v>
      </c>
      <c r="B211" s="10" t="s">
        <v>528</v>
      </c>
      <c r="C211" s="9" t="s">
        <v>529</v>
      </c>
      <c r="D211" s="9" t="s">
        <v>75</v>
      </c>
      <c r="E211" t="s">
        <v>75</v>
      </c>
    </row>
    <row r="212" spans="1:5" x14ac:dyDescent="0.25">
      <c r="A212" s="10" t="s">
        <v>530</v>
      </c>
      <c r="B212" s="10" t="s">
        <v>530</v>
      </c>
      <c r="C212" s="9" t="s">
        <v>531</v>
      </c>
      <c r="D212" s="9" t="s">
        <v>75</v>
      </c>
      <c r="E212" t="s">
        <v>75</v>
      </c>
    </row>
    <row r="213" spans="1:5" x14ac:dyDescent="0.25">
      <c r="A213" s="10" t="s">
        <v>532</v>
      </c>
      <c r="B213" s="10" t="s">
        <v>532</v>
      </c>
      <c r="C213" s="9" t="s">
        <v>533</v>
      </c>
      <c r="D213" s="9" t="s">
        <v>75</v>
      </c>
      <c r="E213" t="s">
        <v>75</v>
      </c>
    </row>
    <row r="214" spans="1:5" x14ac:dyDescent="0.25">
      <c r="A214" s="10" t="s">
        <v>534</v>
      </c>
      <c r="B214" s="10" t="s">
        <v>534</v>
      </c>
      <c r="C214" s="9" t="s">
        <v>535</v>
      </c>
      <c r="D214" s="9" t="s">
        <v>75</v>
      </c>
      <c r="E214" t="s">
        <v>75</v>
      </c>
    </row>
    <row r="215" spans="1:5" x14ac:dyDescent="0.25">
      <c r="A215" s="10" t="s">
        <v>536</v>
      </c>
      <c r="B215" s="10" t="s">
        <v>536</v>
      </c>
      <c r="C215" s="9" t="s">
        <v>537</v>
      </c>
      <c r="D215" s="9" t="s">
        <v>75</v>
      </c>
      <c r="E215" t="s">
        <v>75</v>
      </c>
    </row>
    <row r="216" spans="1:5" x14ac:dyDescent="0.25">
      <c r="A216" s="10" t="s">
        <v>538</v>
      </c>
      <c r="B216" s="10" t="s">
        <v>538</v>
      </c>
      <c r="C216" s="9" t="s">
        <v>539</v>
      </c>
      <c r="D216" s="9" t="s">
        <v>75</v>
      </c>
      <c r="E216" t="s">
        <v>75</v>
      </c>
    </row>
    <row r="217" spans="1:5" x14ac:dyDescent="0.25">
      <c r="A217" s="10" t="s">
        <v>540</v>
      </c>
      <c r="B217" s="10" t="s">
        <v>540</v>
      </c>
      <c r="C217" s="9" t="s">
        <v>541</v>
      </c>
      <c r="D217" s="9" t="s">
        <v>75</v>
      </c>
      <c r="E217" t="s">
        <v>75</v>
      </c>
    </row>
    <row r="218" spans="1:5" x14ac:dyDescent="0.25">
      <c r="A218" s="10" t="s">
        <v>542</v>
      </c>
      <c r="B218" s="10" t="s">
        <v>542</v>
      </c>
      <c r="C218" s="9" t="s">
        <v>543</v>
      </c>
      <c r="D218" s="9" t="s">
        <v>75</v>
      </c>
      <c r="E218" t="s">
        <v>75</v>
      </c>
    </row>
    <row r="219" spans="1:5" x14ac:dyDescent="0.25">
      <c r="A219" s="10" t="s">
        <v>544</v>
      </c>
      <c r="B219" s="10" t="s">
        <v>544</v>
      </c>
      <c r="C219" s="9" t="s">
        <v>545</v>
      </c>
      <c r="D219" s="9" t="s">
        <v>75</v>
      </c>
      <c r="E219" t="s">
        <v>75</v>
      </c>
    </row>
    <row r="220" spans="1:5" x14ac:dyDescent="0.25">
      <c r="A220" s="10" t="s">
        <v>546</v>
      </c>
      <c r="B220" s="10" t="s">
        <v>546</v>
      </c>
      <c r="C220" s="9" t="s">
        <v>547</v>
      </c>
      <c r="D220" s="9" t="s">
        <v>75</v>
      </c>
      <c r="E220" t="s">
        <v>75</v>
      </c>
    </row>
    <row r="221" spans="1:5" x14ac:dyDescent="0.25">
      <c r="A221" s="10" t="s">
        <v>548</v>
      </c>
      <c r="B221" s="10" t="s">
        <v>548</v>
      </c>
      <c r="C221" s="9" t="s">
        <v>549</v>
      </c>
      <c r="D221" s="9" t="s">
        <v>75</v>
      </c>
      <c r="E221" t="s">
        <v>75</v>
      </c>
    </row>
    <row r="222" spans="1:5" x14ac:dyDescent="0.25">
      <c r="A222" s="10" t="s">
        <v>550</v>
      </c>
      <c r="B222" s="10" t="s">
        <v>550</v>
      </c>
      <c r="C222" s="9" t="s">
        <v>551</v>
      </c>
      <c r="D222" s="9" t="s">
        <v>75</v>
      </c>
      <c r="E222" t="s">
        <v>75</v>
      </c>
    </row>
    <row r="223" spans="1:5" x14ac:dyDescent="0.25">
      <c r="A223" s="10" t="s">
        <v>552</v>
      </c>
      <c r="B223" s="10" t="s">
        <v>552</v>
      </c>
      <c r="C223" s="9" t="s">
        <v>553</v>
      </c>
      <c r="D223" s="9" t="s">
        <v>75</v>
      </c>
      <c r="E223" t="s">
        <v>75</v>
      </c>
    </row>
    <row r="224" spans="1:5" x14ac:dyDescent="0.25">
      <c r="A224" s="10" t="s">
        <v>554</v>
      </c>
      <c r="B224" s="10" t="s">
        <v>554</v>
      </c>
      <c r="C224" s="9" t="s">
        <v>555</v>
      </c>
      <c r="D224" s="9" t="s">
        <v>75</v>
      </c>
      <c r="E224" t="s">
        <v>75</v>
      </c>
    </row>
    <row r="225" spans="1:5" x14ac:dyDescent="0.25">
      <c r="A225" s="10" t="s">
        <v>556</v>
      </c>
      <c r="B225" s="10" t="s">
        <v>556</v>
      </c>
      <c r="C225" s="9" t="s">
        <v>557</v>
      </c>
      <c r="D225" s="9" t="s">
        <v>75</v>
      </c>
      <c r="E225" t="s">
        <v>75</v>
      </c>
    </row>
    <row r="226" spans="1:5" x14ac:dyDescent="0.25">
      <c r="A226" s="10" t="s">
        <v>558</v>
      </c>
      <c r="B226" s="10" t="s">
        <v>558</v>
      </c>
      <c r="C226" s="9" t="s">
        <v>559</v>
      </c>
      <c r="D226" s="9" t="s">
        <v>75</v>
      </c>
      <c r="E226" t="s">
        <v>75</v>
      </c>
    </row>
    <row r="227" spans="1:5" x14ac:dyDescent="0.25">
      <c r="A227" s="10" t="s">
        <v>560</v>
      </c>
      <c r="B227" s="10" t="s">
        <v>560</v>
      </c>
      <c r="C227" s="9" t="s">
        <v>561</v>
      </c>
      <c r="D227" s="9" t="s">
        <v>75</v>
      </c>
      <c r="E227" t="s">
        <v>75</v>
      </c>
    </row>
    <row r="228" spans="1:5" x14ac:dyDescent="0.25">
      <c r="A228" s="10" t="s">
        <v>562</v>
      </c>
      <c r="B228" s="10" t="s">
        <v>562</v>
      </c>
      <c r="C228" s="9" t="s">
        <v>563</v>
      </c>
      <c r="D228" s="9" t="s">
        <v>75</v>
      </c>
      <c r="E228" t="s">
        <v>75</v>
      </c>
    </row>
    <row r="229" spans="1:5" x14ac:dyDescent="0.25">
      <c r="A229" s="10" t="s">
        <v>564</v>
      </c>
      <c r="B229" s="10" t="s">
        <v>564</v>
      </c>
      <c r="C229" s="9" t="s">
        <v>565</v>
      </c>
      <c r="D229" s="9" t="s">
        <v>75</v>
      </c>
      <c r="E229" t="s">
        <v>75</v>
      </c>
    </row>
    <row r="230" spans="1:5" x14ac:dyDescent="0.25">
      <c r="A230" s="10" t="s">
        <v>566</v>
      </c>
      <c r="B230" s="10" t="s">
        <v>566</v>
      </c>
      <c r="C230" s="9" t="s">
        <v>567</v>
      </c>
      <c r="D230" s="9" t="s">
        <v>75</v>
      </c>
      <c r="E230" t="s">
        <v>75</v>
      </c>
    </row>
    <row r="231" spans="1:5" x14ac:dyDescent="0.25">
      <c r="A231" s="10" t="s">
        <v>568</v>
      </c>
      <c r="B231" s="10" t="s">
        <v>568</v>
      </c>
      <c r="C231" s="9" t="s">
        <v>569</v>
      </c>
      <c r="D231" s="9" t="s">
        <v>75</v>
      </c>
      <c r="E231" t="s">
        <v>75</v>
      </c>
    </row>
    <row r="232" spans="1:5" x14ac:dyDescent="0.25">
      <c r="A232" s="10" t="s">
        <v>570</v>
      </c>
      <c r="B232" s="10" t="s">
        <v>570</v>
      </c>
      <c r="C232" s="9" t="s">
        <v>571</v>
      </c>
      <c r="D232" s="9" t="s">
        <v>75</v>
      </c>
      <c r="E232" t="s">
        <v>75</v>
      </c>
    </row>
    <row r="233" spans="1:5" x14ac:dyDescent="0.25">
      <c r="A233" s="10" t="s">
        <v>572</v>
      </c>
      <c r="B233" s="10" t="s">
        <v>572</v>
      </c>
      <c r="C233" s="9" t="s">
        <v>573</v>
      </c>
      <c r="D233" s="9" t="s">
        <v>75</v>
      </c>
      <c r="E233" t="s">
        <v>75</v>
      </c>
    </row>
    <row r="234" spans="1:5" x14ac:dyDescent="0.25">
      <c r="A234" s="10" t="s">
        <v>574</v>
      </c>
      <c r="B234" s="10" t="s">
        <v>574</v>
      </c>
      <c r="C234" s="9" t="s">
        <v>575</v>
      </c>
      <c r="D234" s="9" t="s">
        <v>75</v>
      </c>
      <c r="E234" t="s">
        <v>75</v>
      </c>
    </row>
    <row r="235" spans="1:5" x14ac:dyDescent="0.25">
      <c r="A235" s="10" t="s">
        <v>576</v>
      </c>
      <c r="B235" s="10" t="s">
        <v>576</v>
      </c>
      <c r="C235" s="9" t="s">
        <v>577</v>
      </c>
      <c r="D235" s="9" t="s">
        <v>75</v>
      </c>
      <c r="E235" t="s">
        <v>75</v>
      </c>
    </row>
    <row r="236" spans="1:5" x14ac:dyDescent="0.25">
      <c r="A236" s="10" t="s">
        <v>578</v>
      </c>
      <c r="B236" s="10" t="s">
        <v>578</v>
      </c>
      <c r="C236" s="9" t="s">
        <v>579</v>
      </c>
      <c r="D236" s="9" t="s">
        <v>75</v>
      </c>
      <c r="E236" t="s">
        <v>75</v>
      </c>
    </row>
    <row r="237" spans="1:5" x14ac:dyDescent="0.25">
      <c r="A237" s="10" t="s">
        <v>580</v>
      </c>
      <c r="B237" s="10" t="s">
        <v>580</v>
      </c>
      <c r="C237" s="9" t="s">
        <v>581</v>
      </c>
      <c r="D237" s="9" t="s">
        <v>75</v>
      </c>
      <c r="E237" t="s">
        <v>75</v>
      </c>
    </row>
    <row r="238" spans="1:5" x14ac:dyDescent="0.25">
      <c r="A238" s="10" t="s">
        <v>582</v>
      </c>
      <c r="B238" s="10" t="s">
        <v>582</v>
      </c>
      <c r="C238" s="9" t="s">
        <v>583</v>
      </c>
      <c r="D238" s="9" t="s">
        <v>75</v>
      </c>
      <c r="E238" t="s">
        <v>75</v>
      </c>
    </row>
    <row r="239" spans="1:5" x14ac:dyDescent="0.25">
      <c r="A239" s="10" t="s">
        <v>584</v>
      </c>
      <c r="B239" s="10" t="s">
        <v>584</v>
      </c>
      <c r="C239" s="9" t="s">
        <v>585</v>
      </c>
      <c r="D239" s="9" t="s">
        <v>75</v>
      </c>
      <c r="E239" t="s">
        <v>75</v>
      </c>
    </row>
    <row r="240" spans="1:5" x14ac:dyDescent="0.25">
      <c r="A240" s="10" t="s">
        <v>586</v>
      </c>
      <c r="B240" s="10" t="s">
        <v>586</v>
      </c>
      <c r="C240" s="9" t="s">
        <v>587</v>
      </c>
      <c r="D240" s="9" t="s">
        <v>75</v>
      </c>
      <c r="E240" t="s">
        <v>75</v>
      </c>
    </row>
    <row r="241" spans="1:5" x14ac:dyDescent="0.25">
      <c r="A241" s="10" t="s">
        <v>588</v>
      </c>
      <c r="B241" s="10" t="s">
        <v>588</v>
      </c>
      <c r="C241" s="9" t="s">
        <v>589</v>
      </c>
      <c r="D241" s="9" t="s">
        <v>75</v>
      </c>
      <c r="E241" t="s">
        <v>75</v>
      </c>
    </row>
    <row r="242" spans="1:5" x14ac:dyDescent="0.25">
      <c r="A242" s="10" t="s">
        <v>590</v>
      </c>
      <c r="B242" s="10" t="s">
        <v>590</v>
      </c>
      <c r="C242" s="9" t="s">
        <v>591</v>
      </c>
      <c r="D242" s="9" t="s">
        <v>75</v>
      </c>
      <c r="E242" t="s">
        <v>75</v>
      </c>
    </row>
    <row r="243" spans="1:5" x14ac:dyDescent="0.25">
      <c r="A243" s="10" t="s">
        <v>592</v>
      </c>
      <c r="B243" s="10" t="s">
        <v>592</v>
      </c>
      <c r="C243" s="9" t="s">
        <v>593</v>
      </c>
      <c r="D243" s="9" t="s">
        <v>75</v>
      </c>
      <c r="E243" t="s">
        <v>75</v>
      </c>
    </row>
    <row r="244" spans="1:5" x14ac:dyDescent="0.25">
      <c r="A244" s="10" t="s">
        <v>594</v>
      </c>
      <c r="B244" s="10" t="s">
        <v>594</v>
      </c>
      <c r="C244" s="9" t="s">
        <v>595</v>
      </c>
      <c r="D244" s="9" t="s">
        <v>75</v>
      </c>
      <c r="E244" t="s">
        <v>75</v>
      </c>
    </row>
    <row r="245" spans="1:5" x14ac:dyDescent="0.25">
      <c r="A245" s="10" t="s">
        <v>596</v>
      </c>
      <c r="B245" s="10" t="s">
        <v>596</v>
      </c>
      <c r="C245" s="9" t="s">
        <v>597</v>
      </c>
      <c r="D245" s="9" t="s">
        <v>75</v>
      </c>
      <c r="E245" t="s">
        <v>75</v>
      </c>
    </row>
    <row r="246" spans="1:5" x14ac:dyDescent="0.25">
      <c r="A246" s="10" t="s">
        <v>598</v>
      </c>
      <c r="B246" s="10" t="s">
        <v>598</v>
      </c>
      <c r="C246" s="9" t="s">
        <v>599</v>
      </c>
      <c r="D246" s="9" t="s">
        <v>75</v>
      </c>
      <c r="E246" t="s">
        <v>75</v>
      </c>
    </row>
    <row r="247" spans="1:5" x14ac:dyDescent="0.25">
      <c r="A247" s="10" t="s">
        <v>600</v>
      </c>
      <c r="B247" s="10" t="s">
        <v>600</v>
      </c>
      <c r="C247" s="9" t="s">
        <v>601</v>
      </c>
      <c r="D247" s="9" t="s">
        <v>75</v>
      </c>
      <c r="E247" t="s">
        <v>75</v>
      </c>
    </row>
    <row r="248" spans="1:5" x14ac:dyDescent="0.25">
      <c r="A248" s="10" t="s">
        <v>602</v>
      </c>
      <c r="B248" s="10" t="s">
        <v>602</v>
      </c>
      <c r="C248" s="9" t="s">
        <v>603</v>
      </c>
      <c r="D248" s="9" t="s">
        <v>75</v>
      </c>
      <c r="E248" t="s">
        <v>75</v>
      </c>
    </row>
    <row r="249" spans="1:5" x14ac:dyDescent="0.25">
      <c r="A249" s="10" t="s">
        <v>604</v>
      </c>
      <c r="B249" s="10" t="s">
        <v>604</v>
      </c>
      <c r="C249" s="9" t="s">
        <v>605</v>
      </c>
      <c r="D249" s="9" t="s">
        <v>75</v>
      </c>
      <c r="E249" t="s">
        <v>75</v>
      </c>
    </row>
    <row r="250" spans="1:5" x14ac:dyDescent="0.25">
      <c r="A250" s="10" t="s">
        <v>606</v>
      </c>
      <c r="B250" s="10" t="s">
        <v>606</v>
      </c>
      <c r="C250" s="9" t="s">
        <v>607</v>
      </c>
      <c r="D250" s="9" t="s">
        <v>75</v>
      </c>
      <c r="E250" t="s">
        <v>75</v>
      </c>
    </row>
    <row r="251" spans="1:5" x14ac:dyDescent="0.25">
      <c r="A251" s="10" t="s">
        <v>608</v>
      </c>
      <c r="B251" s="10" t="s">
        <v>608</v>
      </c>
      <c r="C251" s="9" t="s">
        <v>609</v>
      </c>
      <c r="D251" s="9" t="s">
        <v>75</v>
      </c>
      <c r="E251" t="s">
        <v>75</v>
      </c>
    </row>
    <row r="252" spans="1:5" x14ac:dyDescent="0.25">
      <c r="A252" s="10" t="s">
        <v>610</v>
      </c>
      <c r="B252" s="10" t="s">
        <v>610</v>
      </c>
      <c r="C252" s="9" t="s">
        <v>611</v>
      </c>
      <c r="D252" s="9" t="s">
        <v>75</v>
      </c>
      <c r="E252" t="s">
        <v>75</v>
      </c>
    </row>
    <row r="253" spans="1:5" x14ac:dyDescent="0.25">
      <c r="A253" s="10" t="s">
        <v>612</v>
      </c>
      <c r="B253" s="10" t="s">
        <v>612</v>
      </c>
      <c r="C253" s="9" t="s">
        <v>613</v>
      </c>
      <c r="D253" s="9" t="s">
        <v>75</v>
      </c>
      <c r="E253" t="s">
        <v>75</v>
      </c>
    </row>
    <row r="254" spans="1:5" x14ac:dyDescent="0.25">
      <c r="A254" s="10" t="s">
        <v>614</v>
      </c>
      <c r="B254" s="10" t="s">
        <v>614</v>
      </c>
      <c r="C254" s="9" t="s">
        <v>615</v>
      </c>
      <c r="D254" s="9" t="s">
        <v>75</v>
      </c>
      <c r="E254" t="s">
        <v>75</v>
      </c>
    </row>
    <row r="255" spans="1:5" x14ac:dyDescent="0.25">
      <c r="A255" s="10" t="s">
        <v>616</v>
      </c>
      <c r="B255" s="10" t="s">
        <v>616</v>
      </c>
      <c r="C255" s="9" t="s">
        <v>617</v>
      </c>
      <c r="D255" s="9" t="s">
        <v>75</v>
      </c>
      <c r="E255" t="s">
        <v>75</v>
      </c>
    </row>
    <row r="256" spans="1:5" x14ac:dyDescent="0.25">
      <c r="A256" s="10" t="s">
        <v>618</v>
      </c>
      <c r="B256" s="10" t="s">
        <v>618</v>
      </c>
      <c r="C256" s="9" t="s">
        <v>619</v>
      </c>
      <c r="D256" s="9" t="s">
        <v>75</v>
      </c>
      <c r="E256" t="s">
        <v>75</v>
      </c>
    </row>
    <row r="257" spans="1:5" x14ac:dyDescent="0.25">
      <c r="A257" s="10" t="s">
        <v>620</v>
      </c>
      <c r="B257" s="10" t="s">
        <v>620</v>
      </c>
      <c r="C257" s="9" t="s">
        <v>621</v>
      </c>
      <c r="D257" s="9" t="s">
        <v>75</v>
      </c>
      <c r="E257" t="s">
        <v>75</v>
      </c>
    </row>
    <row r="258" spans="1:5" x14ac:dyDescent="0.25">
      <c r="A258" s="10" t="s">
        <v>622</v>
      </c>
      <c r="B258" s="10" t="s">
        <v>622</v>
      </c>
      <c r="C258" s="9" t="s">
        <v>623</v>
      </c>
      <c r="D258" s="9" t="s">
        <v>75</v>
      </c>
      <c r="E258" t="s">
        <v>75</v>
      </c>
    </row>
    <row r="259" spans="1:5" x14ac:dyDescent="0.25">
      <c r="A259" s="10" t="s">
        <v>624</v>
      </c>
      <c r="B259" s="10" t="s">
        <v>624</v>
      </c>
      <c r="C259" s="9" t="s">
        <v>625</v>
      </c>
      <c r="D259" s="9" t="s">
        <v>75</v>
      </c>
      <c r="E259" t="s">
        <v>75</v>
      </c>
    </row>
    <row r="260" spans="1:5" x14ac:dyDescent="0.25">
      <c r="A260" s="10" t="s">
        <v>626</v>
      </c>
      <c r="B260" s="10" t="s">
        <v>626</v>
      </c>
      <c r="C260" s="9" t="s">
        <v>627</v>
      </c>
      <c r="D260" s="9" t="s">
        <v>75</v>
      </c>
      <c r="E260" t="s">
        <v>75</v>
      </c>
    </row>
    <row r="261" spans="1:5" x14ac:dyDescent="0.25">
      <c r="A261" s="10" t="s">
        <v>628</v>
      </c>
      <c r="B261" s="10" t="s">
        <v>628</v>
      </c>
      <c r="C261" s="9" t="s">
        <v>629</v>
      </c>
      <c r="D261" s="9" t="s">
        <v>75</v>
      </c>
      <c r="E261" t="s">
        <v>75</v>
      </c>
    </row>
    <row r="262" spans="1:5" x14ac:dyDescent="0.25">
      <c r="A262" s="10" t="s">
        <v>630</v>
      </c>
      <c r="B262" s="10" t="s">
        <v>630</v>
      </c>
      <c r="C262" s="9" t="s">
        <v>631</v>
      </c>
      <c r="D262" s="9" t="s">
        <v>75</v>
      </c>
      <c r="E262" t="s">
        <v>75</v>
      </c>
    </row>
    <row r="263" spans="1:5" x14ac:dyDescent="0.25">
      <c r="A263" s="10" t="s">
        <v>632</v>
      </c>
      <c r="B263" s="10" t="s">
        <v>632</v>
      </c>
      <c r="C263" s="9" t="s">
        <v>633</v>
      </c>
      <c r="D263" s="9" t="s">
        <v>75</v>
      </c>
      <c r="E263" t="s">
        <v>75</v>
      </c>
    </row>
    <row r="264" spans="1:5" x14ac:dyDescent="0.25">
      <c r="A264" s="10" t="s">
        <v>634</v>
      </c>
      <c r="B264" s="10" t="s">
        <v>634</v>
      </c>
      <c r="C264" s="9" t="s">
        <v>635</v>
      </c>
      <c r="D264" s="9" t="s">
        <v>75</v>
      </c>
      <c r="E264" t="s">
        <v>75</v>
      </c>
    </row>
    <row r="265" spans="1:5" x14ac:dyDescent="0.25">
      <c r="A265" s="10" t="s">
        <v>636</v>
      </c>
      <c r="B265" s="10" t="s">
        <v>636</v>
      </c>
      <c r="C265" s="9" t="s">
        <v>637</v>
      </c>
      <c r="D265" s="9" t="s">
        <v>75</v>
      </c>
      <c r="E265" t="s">
        <v>75</v>
      </c>
    </row>
    <row r="266" spans="1:5" x14ac:dyDescent="0.25">
      <c r="A266" s="10" t="s">
        <v>638</v>
      </c>
      <c r="B266" s="10" t="s">
        <v>638</v>
      </c>
      <c r="C266" s="9" t="s">
        <v>639</v>
      </c>
      <c r="D266" s="9" t="s">
        <v>75</v>
      </c>
      <c r="E266" t="s">
        <v>75</v>
      </c>
    </row>
    <row r="267" spans="1:5" x14ac:dyDescent="0.25">
      <c r="A267" s="10" t="s">
        <v>640</v>
      </c>
      <c r="B267" s="10" t="s">
        <v>640</v>
      </c>
      <c r="C267" s="9" t="s">
        <v>641</v>
      </c>
      <c r="D267" s="9" t="s">
        <v>75</v>
      </c>
      <c r="E267" t="s">
        <v>75</v>
      </c>
    </row>
    <row r="268" spans="1:5" x14ac:dyDescent="0.25">
      <c r="A268" s="10" t="s">
        <v>642</v>
      </c>
      <c r="B268" s="10" t="s">
        <v>642</v>
      </c>
      <c r="C268" s="9" t="s">
        <v>643</v>
      </c>
      <c r="D268" s="9" t="s">
        <v>75</v>
      </c>
      <c r="E268" t="s">
        <v>75</v>
      </c>
    </row>
    <row r="269" spans="1:5" x14ac:dyDescent="0.25">
      <c r="A269" s="10" t="s">
        <v>644</v>
      </c>
      <c r="B269" s="10" t="s">
        <v>644</v>
      </c>
      <c r="C269" s="9" t="s">
        <v>645</v>
      </c>
      <c r="D269" s="9" t="s">
        <v>75</v>
      </c>
      <c r="E269" t="s">
        <v>75</v>
      </c>
    </row>
    <row r="270" spans="1:5" x14ac:dyDescent="0.25">
      <c r="A270" s="10" t="s">
        <v>646</v>
      </c>
      <c r="B270" s="10" t="s">
        <v>646</v>
      </c>
      <c r="C270" s="9" t="s">
        <v>647</v>
      </c>
      <c r="D270" s="9" t="s">
        <v>75</v>
      </c>
      <c r="E270" t="s">
        <v>75</v>
      </c>
    </row>
    <row r="271" spans="1:5" x14ac:dyDescent="0.25">
      <c r="A271" s="10" t="s">
        <v>648</v>
      </c>
      <c r="B271" s="10" t="s">
        <v>648</v>
      </c>
      <c r="C271" s="9" t="s">
        <v>649</v>
      </c>
      <c r="D271" s="9" t="s">
        <v>75</v>
      </c>
      <c r="E271" t="s">
        <v>75</v>
      </c>
    </row>
    <row r="272" spans="1:5" x14ac:dyDescent="0.25">
      <c r="A272" s="10" t="s">
        <v>650</v>
      </c>
      <c r="B272" s="10" t="s">
        <v>650</v>
      </c>
      <c r="C272" s="9" t="s">
        <v>651</v>
      </c>
      <c r="D272" s="9" t="s">
        <v>75</v>
      </c>
      <c r="E272" t="s">
        <v>75</v>
      </c>
    </row>
    <row r="273" spans="1:5" x14ac:dyDescent="0.25">
      <c r="A273" s="10" t="s">
        <v>652</v>
      </c>
      <c r="B273" s="10" t="s">
        <v>652</v>
      </c>
      <c r="C273" s="9" t="s">
        <v>653</v>
      </c>
      <c r="D273" s="9" t="s">
        <v>75</v>
      </c>
      <c r="E273" t="s">
        <v>75</v>
      </c>
    </row>
    <row r="274" spans="1:5" x14ac:dyDescent="0.25">
      <c r="A274" s="10" t="s">
        <v>654</v>
      </c>
      <c r="B274" s="10" t="s">
        <v>654</v>
      </c>
      <c r="C274" s="9" t="s">
        <v>655</v>
      </c>
      <c r="D274" s="9" t="s">
        <v>75</v>
      </c>
      <c r="E274" t="s">
        <v>75</v>
      </c>
    </row>
    <row r="275" spans="1:5" x14ac:dyDescent="0.25">
      <c r="A275" s="10" t="s">
        <v>656</v>
      </c>
      <c r="B275" s="10" t="s">
        <v>656</v>
      </c>
      <c r="C275" s="9" t="s">
        <v>657</v>
      </c>
      <c r="D275" s="9" t="s">
        <v>75</v>
      </c>
      <c r="E275" t="s">
        <v>75</v>
      </c>
    </row>
    <row r="276" spans="1:5" x14ac:dyDescent="0.25">
      <c r="A276" s="10" t="s">
        <v>658</v>
      </c>
      <c r="B276" s="10" t="s">
        <v>658</v>
      </c>
      <c r="C276" s="9" t="s">
        <v>659</v>
      </c>
      <c r="D276" s="9" t="s">
        <v>75</v>
      </c>
      <c r="E276" t="s">
        <v>75</v>
      </c>
    </row>
    <row r="277" spans="1:5" x14ac:dyDescent="0.25">
      <c r="A277" s="10" t="s">
        <v>660</v>
      </c>
      <c r="B277" s="10" t="s">
        <v>660</v>
      </c>
      <c r="C277" s="9" t="s">
        <v>661</v>
      </c>
      <c r="D277" s="9" t="s">
        <v>75</v>
      </c>
      <c r="E277" t="s">
        <v>75</v>
      </c>
    </row>
    <row r="278" spans="1:5" x14ac:dyDescent="0.25">
      <c r="A278" s="10" t="s">
        <v>662</v>
      </c>
      <c r="B278" s="10" t="s">
        <v>662</v>
      </c>
      <c r="C278" s="9" t="s">
        <v>663</v>
      </c>
      <c r="D278" s="9" t="s">
        <v>75</v>
      </c>
      <c r="E278" t="s">
        <v>75</v>
      </c>
    </row>
    <row r="279" spans="1:5" x14ac:dyDescent="0.25">
      <c r="A279" s="10" t="s">
        <v>664</v>
      </c>
      <c r="B279" s="10" t="s">
        <v>664</v>
      </c>
      <c r="C279" s="9" t="s">
        <v>665</v>
      </c>
      <c r="D279" s="9" t="s">
        <v>75</v>
      </c>
      <c r="E279" t="s">
        <v>75</v>
      </c>
    </row>
    <row r="280" spans="1:5" x14ac:dyDescent="0.25">
      <c r="A280" s="10" t="s">
        <v>666</v>
      </c>
      <c r="B280" s="10" t="s">
        <v>666</v>
      </c>
      <c r="C280" s="9" t="s">
        <v>667</v>
      </c>
      <c r="D280" s="9" t="s">
        <v>75</v>
      </c>
      <c r="E280" t="s">
        <v>75</v>
      </c>
    </row>
    <row r="281" spans="1:5" x14ac:dyDescent="0.25">
      <c r="A281" s="10" t="s">
        <v>668</v>
      </c>
      <c r="B281" s="10" t="s">
        <v>668</v>
      </c>
      <c r="C281" s="9" t="s">
        <v>669</v>
      </c>
      <c r="D281" s="9" t="s">
        <v>75</v>
      </c>
      <c r="E281" t="s">
        <v>75</v>
      </c>
    </row>
    <row r="282" spans="1:5" x14ac:dyDescent="0.25">
      <c r="A282" s="10" t="s">
        <v>670</v>
      </c>
      <c r="B282" s="10" t="s">
        <v>670</v>
      </c>
      <c r="C282" s="9" t="s">
        <v>671</v>
      </c>
      <c r="D282" s="9" t="s">
        <v>75</v>
      </c>
      <c r="E282" t="s">
        <v>75</v>
      </c>
    </row>
    <row r="283" spans="1:5" x14ac:dyDescent="0.25">
      <c r="A283" s="10" t="s">
        <v>672</v>
      </c>
      <c r="B283" s="10" t="s">
        <v>672</v>
      </c>
      <c r="C283" s="9" t="s">
        <v>673</v>
      </c>
      <c r="D283" s="9" t="s">
        <v>75</v>
      </c>
      <c r="E283" t="s">
        <v>75</v>
      </c>
    </row>
    <row r="284" spans="1:5" x14ac:dyDescent="0.25">
      <c r="A284" s="10" t="s">
        <v>674</v>
      </c>
      <c r="B284" s="10" t="s">
        <v>674</v>
      </c>
      <c r="C284" s="9" t="s">
        <v>675</v>
      </c>
      <c r="D284" s="9" t="s">
        <v>75</v>
      </c>
      <c r="E284" t="s">
        <v>75</v>
      </c>
    </row>
    <row r="285" spans="1:5" x14ac:dyDescent="0.25">
      <c r="A285" s="10" t="s">
        <v>676</v>
      </c>
      <c r="B285" s="10" t="s">
        <v>676</v>
      </c>
      <c r="C285" s="9" t="s">
        <v>677</v>
      </c>
      <c r="D285" s="9" t="s">
        <v>75</v>
      </c>
      <c r="E285" t="s">
        <v>75</v>
      </c>
    </row>
    <row r="286" spans="1:5" x14ac:dyDescent="0.25">
      <c r="A286" s="10" t="s">
        <v>678</v>
      </c>
      <c r="B286" s="10" t="s">
        <v>678</v>
      </c>
      <c r="C286" s="9" t="s">
        <v>679</v>
      </c>
      <c r="D286" s="9" t="s">
        <v>75</v>
      </c>
      <c r="E286" t="s">
        <v>75</v>
      </c>
    </row>
    <row r="287" spans="1:5" x14ac:dyDescent="0.25">
      <c r="A287" s="10" t="s">
        <v>680</v>
      </c>
      <c r="B287" s="10" t="s">
        <v>680</v>
      </c>
      <c r="C287" s="9" t="s">
        <v>681</v>
      </c>
      <c r="D287" s="9" t="s">
        <v>75</v>
      </c>
      <c r="E287" t="s">
        <v>75</v>
      </c>
    </row>
    <row r="288" spans="1:5" x14ac:dyDescent="0.25">
      <c r="A288" s="10" t="s">
        <v>682</v>
      </c>
      <c r="B288" s="10" t="s">
        <v>682</v>
      </c>
      <c r="C288" s="9" t="s">
        <v>683</v>
      </c>
      <c r="D288" s="9" t="s">
        <v>75</v>
      </c>
      <c r="E288" t="s">
        <v>75</v>
      </c>
    </row>
    <row r="289" spans="1:5" x14ac:dyDescent="0.25">
      <c r="A289" s="10" t="s">
        <v>684</v>
      </c>
      <c r="B289" s="10" t="s">
        <v>684</v>
      </c>
      <c r="C289" s="9" t="s">
        <v>685</v>
      </c>
      <c r="D289" s="9" t="s">
        <v>75</v>
      </c>
      <c r="E289" t="s">
        <v>75</v>
      </c>
    </row>
    <row r="290" spans="1:5" x14ac:dyDescent="0.25">
      <c r="A290" s="10" t="s">
        <v>686</v>
      </c>
      <c r="B290" s="10" t="s">
        <v>686</v>
      </c>
      <c r="C290" s="9" t="s">
        <v>687</v>
      </c>
      <c r="D290" s="9" t="s">
        <v>75</v>
      </c>
      <c r="E290" t="s">
        <v>75</v>
      </c>
    </row>
    <row r="291" spans="1:5" x14ac:dyDescent="0.25">
      <c r="A291" s="10" t="s">
        <v>688</v>
      </c>
      <c r="B291" s="10" t="s">
        <v>688</v>
      </c>
      <c r="C291" s="9" t="s">
        <v>689</v>
      </c>
      <c r="D291" s="9" t="s">
        <v>75</v>
      </c>
      <c r="E291" t="s">
        <v>75</v>
      </c>
    </row>
    <row r="292" spans="1:5" x14ac:dyDescent="0.25">
      <c r="A292" s="10" t="s">
        <v>690</v>
      </c>
      <c r="B292" s="10" t="s">
        <v>690</v>
      </c>
      <c r="C292" s="9" t="s">
        <v>691</v>
      </c>
      <c r="D292" s="9" t="s">
        <v>75</v>
      </c>
      <c r="E292" t="s">
        <v>75</v>
      </c>
    </row>
    <row r="293" spans="1:5" x14ac:dyDescent="0.25">
      <c r="A293" s="10" t="s">
        <v>692</v>
      </c>
      <c r="B293" s="10" t="s">
        <v>692</v>
      </c>
      <c r="C293" s="9" t="s">
        <v>693</v>
      </c>
      <c r="D293" s="9" t="s">
        <v>75</v>
      </c>
      <c r="E293" t="s">
        <v>75</v>
      </c>
    </row>
    <row r="294" spans="1:5" x14ac:dyDescent="0.25">
      <c r="A294" s="10" t="s">
        <v>694</v>
      </c>
      <c r="B294" s="10" t="s">
        <v>694</v>
      </c>
      <c r="C294" s="9" t="s">
        <v>695</v>
      </c>
      <c r="D294" s="9" t="s">
        <v>75</v>
      </c>
      <c r="E294" t="s">
        <v>75</v>
      </c>
    </row>
    <row r="295" spans="1:5" x14ac:dyDescent="0.25">
      <c r="A295" s="10" t="s">
        <v>696</v>
      </c>
      <c r="B295" s="10" t="s">
        <v>696</v>
      </c>
      <c r="C295" s="9" t="s">
        <v>697</v>
      </c>
      <c r="D295" s="9" t="s">
        <v>75</v>
      </c>
      <c r="E295" t="s">
        <v>75</v>
      </c>
    </row>
    <row r="296" spans="1:5" x14ac:dyDescent="0.25">
      <c r="A296" s="10" t="s">
        <v>698</v>
      </c>
      <c r="B296" s="10" t="s">
        <v>698</v>
      </c>
      <c r="C296" s="9" t="s">
        <v>699</v>
      </c>
      <c r="D296" s="9" t="s">
        <v>75</v>
      </c>
      <c r="E296" t="s">
        <v>75</v>
      </c>
    </row>
    <row r="297" spans="1:5" x14ac:dyDescent="0.25">
      <c r="A297" s="10" t="s">
        <v>700</v>
      </c>
      <c r="B297" s="10" t="s">
        <v>700</v>
      </c>
      <c r="C297" s="9" t="s">
        <v>701</v>
      </c>
      <c r="D297" s="9" t="s">
        <v>75</v>
      </c>
      <c r="E297" t="s">
        <v>75</v>
      </c>
    </row>
    <row r="298" spans="1:5" x14ac:dyDescent="0.25">
      <c r="A298" s="10" t="s">
        <v>702</v>
      </c>
      <c r="B298" s="10" t="s">
        <v>702</v>
      </c>
      <c r="C298" s="9" t="s">
        <v>703</v>
      </c>
      <c r="D298" s="9" t="s">
        <v>75</v>
      </c>
      <c r="E298" t="s">
        <v>75</v>
      </c>
    </row>
    <row r="299" spans="1:5" x14ac:dyDescent="0.25">
      <c r="A299" s="10" t="s">
        <v>704</v>
      </c>
      <c r="B299" s="10" t="s">
        <v>704</v>
      </c>
      <c r="C299" s="9" t="s">
        <v>705</v>
      </c>
      <c r="D299" s="9" t="s">
        <v>75</v>
      </c>
      <c r="E299" t="s">
        <v>75</v>
      </c>
    </row>
    <row r="300" spans="1:5" x14ac:dyDescent="0.25">
      <c r="A300" s="10" t="s">
        <v>706</v>
      </c>
      <c r="B300" s="10" t="s">
        <v>706</v>
      </c>
      <c r="C300" s="9" t="s">
        <v>707</v>
      </c>
      <c r="D300" s="9" t="s">
        <v>75</v>
      </c>
      <c r="E300" t="s">
        <v>75</v>
      </c>
    </row>
    <row r="301" spans="1:5" x14ac:dyDescent="0.25">
      <c r="A301" s="10" t="s">
        <v>708</v>
      </c>
      <c r="B301" s="10" t="s">
        <v>708</v>
      </c>
      <c r="C301" s="9" t="s">
        <v>709</v>
      </c>
      <c r="D301" s="9" t="s">
        <v>75</v>
      </c>
      <c r="E301" t="s">
        <v>75</v>
      </c>
    </row>
    <row r="302" spans="1:5" x14ac:dyDescent="0.25">
      <c r="A302" s="10" t="s">
        <v>710</v>
      </c>
      <c r="B302" s="10" t="s">
        <v>710</v>
      </c>
      <c r="C302" s="9" t="s">
        <v>711</v>
      </c>
      <c r="D302" s="9" t="s">
        <v>75</v>
      </c>
      <c r="E302" t="s">
        <v>75</v>
      </c>
    </row>
    <row r="303" spans="1:5" x14ac:dyDescent="0.25">
      <c r="A303" s="10" t="s">
        <v>712</v>
      </c>
      <c r="B303" s="10" t="s">
        <v>712</v>
      </c>
      <c r="C303" s="9" t="s">
        <v>713</v>
      </c>
      <c r="D303" s="9" t="s">
        <v>75</v>
      </c>
      <c r="E303" t="s">
        <v>75</v>
      </c>
    </row>
    <row r="304" spans="1:5" x14ac:dyDescent="0.25">
      <c r="A304" s="10" t="s">
        <v>714</v>
      </c>
      <c r="B304" s="10" t="s">
        <v>714</v>
      </c>
      <c r="C304" s="9" t="s">
        <v>715</v>
      </c>
      <c r="D304" s="9" t="s">
        <v>75</v>
      </c>
      <c r="E304" t="s">
        <v>75</v>
      </c>
    </row>
    <row r="305" spans="1:5" x14ac:dyDescent="0.25">
      <c r="A305" s="10" t="s">
        <v>716</v>
      </c>
      <c r="B305" s="10" t="s">
        <v>716</v>
      </c>
      <c r="C305" s="9" t="s">
        <v>717</v>
      </c>
      <c r="D305" s="9" t="s">
        <v>75</v>
      </c>
      <c r="E305" t="s">
        <v>75</v>
      </c>
    </row>
    <row r="306" spans="1:5" x14ac:dyDescent="0.25">
      <c r="A306" s="10" t="s">
        <v>718</v>
      </c>
      <c r="B306" s="10" t="s">
        <v>718</v>
      </c>
      <c r="C306" s="9" t="s">
        <v>719</v>
      </c>
      <c r="D306" s="9" t="s">
        <v>75</v>
      </c>
      <c r="E306" t="s">
        <v>75</v>
      </c>
    </row>
    <row r="307" spans="1:5" x14ac:dyDescent="0.25">
      <c r="A307" s="10" t="s">
        <v>720</v>
      </c>
      <c r="B307" s="10" t="s">
        <v>720</v>
      </c>
      <c r="C307" s="9" t="s">
        <v>721</v>
      </c>
      <c r="D307" s="9" t="s">
        <v>75</v>
      </c>
      <c r="E307" t="s">
        <v>75</v>
      </c>
    </row>
    <row r="308" spans="1:5" x14ac:dyDescent="0.25">
      <c r="A308" s="10" t="s">
        <v>722</v>
      </c>
      <c r="B308" s="10" t="s">
        <v>722</v>
      </c>
      <c r="C308" s="9" t="s">
        <v>723</v>
      </c>
      <c r="D308" s="9" t="s">
        <v>75</v>
      </c>
      <c r="E308" t="s">
        <v>75</v>
      </c>
    </row>
    <row r="309" spans="1:5" x14ac:dyDescent="0.25">
      <c r="A309" s="10" t="s">
        <v>724</v>
      </c>
      <c r="B309" s="10" t="s">
        <v>724</v>
      </c>
      <c r="C309" s="9" t="s">
        <v>725</v>
      </c>
      <c r="D309" s="9" t="s">
        <v>75</v>
      </c>
      <c r="E309" t="s">
        <v>75</v>
      </c>
    </row>
    <row r="310" spans="1:5" x14ac:dyDescent="0.25">
      <c r="A310" s="10" t="s">
        <v>726</v>
      </c>
      <c r="B310" s="10" t="s">
        <v>726</v>
      </c>
      <c r="C310" s="9" t="s">
        <v>727</v>
      </c>
      <c r="D310" s="9" t="s">
        <v>75</v>
      </c>
      <c r="E310" t="s">
        <v>75</v>
      </c>
    </row>
    <row r="311" spans="1:5" x14ac:dyDescent="0.25">
      <c r="A311" s="10" t="s">
        <v>728</v>
      </c>
      <c r="B311" s="10" t="s">
        <v>728</v>
      </c>
      <c r="C311" s="9" t="s">
        <v>729</v>
      </c>
      <c r="D311" s="9" t="s">
        <v>75</v>
      </c>
      <c r="E311" t="s">
        <v>75</v>
      </c>
    </row>
    <row r="312" spans="1:5" x14ac:dyDescent="0.25">
      <c r="A312" s="10" t="s">
        <v>730</v>
      </c>
      <c r="B312" s="10" t="s">
        <v>730</v>
      </c>
      <c r="C312" s="9" t="s">
        <v>731</v>
      </c>
      <c r="D312" s="9" t="s">
        <v>75</v>
      </c>
      <c r="E312" t="s">
        <v>75</v>
      </c>
    </row>
    <row r="313" spans="1:5" x14ac:dyDescent="0.25">
      <c r="A313" s="10" t="s">
        <v>732</v>
      </c>
      <c r="B313" s="10" t="s">
        <v>732</v>
      </c>
      <c r="C313" s="9" t="s">
        <v>733</v>
      </c>
      <c r="D313" s="9" t="s">
        <v>75</v>
      </c>
      <c r="E313" t="s">
        <v>75</v>
      </c>
    </row>
    <row r="314" spans="1:5" x14ac:dyDescent="0.25">
      <c r="A314" s="10" t="s">
        <v>734</v>
      </c>
      <c r="B314" s="10" t="s">
        <v>734</v>
      </c>
      <c r="C314" s="9" t="s">
        <v>735</v>
      </c>
      <c r="D314" s="9" t="s">
        <v>75</v>
      </c>
      <c r="E314" t="s">
        <v>75</v>
      </c>
    </row>
    <row r="315" spans="1:5" x14ac:dyDescent="0.25">
      <c r="A315" s="10" t="s">
        <v>736</v>
      </c>
      <c r="B315" s="10" t="s">
        <v>736</v>
      </c>
      <c r="C315" s="9" t="s">
        <v>737</v>
      </c>
      <c r="D315" s="9" t="s">
        <v>75</v>
      </c>
      <c r="E315" t="s">
        <v>75</v>
      </c>
    </row>
    <row r="316" spans="1:5" x14ac:dyDescent="0.25">
      <c r="A316" s="10" t="s">
        <v>738</v>
      </c>
      <c r="B316" s="10" t="s">
        <v>738</v>
      </c>
      <c r="C316" s="9" t="s">
        <v>739</v>
      </c>
      <c r="D316" s="9" t="s">
        <v>75</v>
      </c>
      <c r="E316" t="s">
        <v>75</v>
      </c>
    </row>
    <row r="317" spans="1:5" x14ac:dyDescent="0.25">
      <c r="A317" s="10" t="s">
        <v>740</v>
      </c>
      <c r="B317" s="10" t="s">
        <v>740</v>
      </c>
      <c r="C317" s="9" t="s">
        <v>741</v>
      </c>
      <c r="D317" s="9" t="s">
        <v>75</v>
      </c>
      <c r="E317" t="s">
        <v>75</v>
      </c>
    </row>
    <row r="318" spans="1:5" x14ac:dyDescent="0.25">
      <c r="A318" s="10" t="s">
        <v>742</v>
      </c>
      <c r="B318" s="10" t="s">
        <v>742</v>
      </c>
      <c r="C318" s="9" t="s">
        <v>743</v>
      </c>
      <c r="D318" s="9" t="s">
        <v>75</v>
      </c>
      <c r="E318" t="s">
        <v>75</v>
      </c>
    </row>
    <row r="319" spans="1:5" x14ac:dyDescent="0.25">
      <c r="A319" s="10" t="s">
        <v>744</v>
      </c>
      <c r="B319" s="10" t="s">
        <v>744</v>
      </c>
      <c r="C319" s="9" t="s">
        <v>745</v>
      </c>
      <c r="D319" s="9" t="s">
        <v>75</v>
      </c>
      <c r="E319" t="s">
        <v>75</v>
      </c>
    </row>
    <row r="320" spans="1:5" x14ac:dyDescent="0.25">
      <c r="A320" s="10" t="s">
        <v>746</v>
      </c>
      <c r="B320" s="10" t="s">
        <v>746</v>
      </c>
      <c r="C320" s="9" t="s">
        <v>747</v>
      </c>
      <c r="D320" s="9" t="s">
        <v>75</v>
      </c>
      <c r="E320" t="s">
        <v>75</v>
      </c>
    </row>
    <row r="321" spans="1:5" x14ac:dyDescent="0.25">
      <c r="A321" s="10" t="s">
        <v>748</v>
      </c>
      <c r="B321" s="10" t="s">
        <v>748</v>
      </c>
      <c r="C321" s="9" t="s">
        <v>749</v>
      </c>
      <c r="D321" s="9" t="s">
        <v>75</v>
      </c>
      <c r="E321" t="s">
        <v>75</v>
      </c>
    </row>
    <row r="322" spans="1:5" x14ac:dyDescent="0.25">
      <c r="A322" s="10" t="s">
        <v>750</v>
      </c>
      <c r="B322" s="10" t="s">
        <v>750</v>
      </c>
      <c r="C322" s="9" t="s">
        <v>751</v>
      </c>
      <c r="D322" s="9" t="s">
        <v>75</v>
      </c>
      <c r="E322" t="s">
        <v>75</v>
      </c>
    </row>
    <row r="323" spans="1:5" x14ac:dyDescent="0.25">
      <c r="A323" s="10" t="s">
        <v>752</v>
      </c>
      <c r="B323" s="10" t="s">
        <v>752</v>
      </c>
      <c r="C323" s="9" t="s">
        <v>753</v>
      </c>
      <c r="D323" s="9" t="s">
        <v>75</v>
      </c>
      <c r="E323" t="s">
        <v>75</v>
      </c>
    </row>
    <row r="324" spans="1:5" x14ac:dyDescent="0.25">
      <c r="A324" s="10" t="s">
        <v>754</v>
      </c>
      <c r="B324" s="10" t="s">
        <v>754</v>
      </c>
      <c r="C324" s="9" t="s">
        <v>755</v>
      </c>
      <c r="D324" s="9" t="s">
        <v>75</v>
      </c>
      <c r="E324" t="s">
        <v>75</v>
      </c>
    </row>
    <row r="325" spans="1:5" x14ac:dyDescent="0.25">
      <c r="A325" s="10" t="s">
        <v>756</v>
      </c>
      <c r="B325" s="10" t="s">
        <v>756</v>
      </c>
      <c r="C325" s="9" t="s">
        <v>757</v>
      </c>
      <c r="D325" s="9" t="s">
        <v>75</v>
      </c>
      <c r="E325" t="s">
        <v>75</v>
      </c>
    </row>
    <row r="326" spans="1:5" x14ac:dyDescent="0.25">
      <c r="A326" s="10" t="s">
        <v>758</v>
      </c>
      <c r="B326" s="10" t="s">
        <v>758</v>
      </c>
      <c r="C326" s="9" t="s">
        <v>759</v>
      </c>
      <c r="D326" s="9" t="s">
        <v>75</v>
      </c>
      <c r="E326" t="s">
        <v>75</v>
      </c>
    </row>
    <row r="327" spans="1:5" x14ac:dyDescent="0.25">
      <c r="A327" s="10" t="s">
        <v>760</v>
      </c>
      <c r="B327" s="10" t="s">
        <v>760</v>
      </c>
      <c r="C327" s="9" t="s">
        <v>761</v>
      </c>
      <c r="D327" s="9" t="s">
        <v>75</v>
      </c>
      <c r="E327" t="s">
        <v>75</v>
      </c>
    </row>
    <row r="328" spans="1:5" x14ac:dyDescent="0.25">
      <c r="A328" s="10" t="s">
        <v>762</v>
      </c>
      <c r="B328" s="10" t="s">
        <v>762</v>
      </c>
      <c r="C328" s="9" t="s">
        <v>763</v>
      </c>
      <c r="D328" s="9" t="s">
        <v>75</v>
      </c>
      <c r="E328" t="s">
        <v>75</v>
      </c>
    </row>
    <row r="329" spans="1:5" x14ac:dyDescent="0.25">
      <c r="A329" s="10" t="s">
        <v>764</v>
      </c>
      <c r="B329" s="10" t="s">
        <v>764</v>
      </c>
      <c r="C329" s="9" t="s">
        <v>765</v>
      </c>
      <c r="D329" s="9" t="s">
        <v>75</v>
      </c>
      <c r="E329" t="s">
        <v>75</v>
      </c>
    </row>
    <row r="330" spans="1:5" x14ac:dyDescent="0.25">
      <c r="A330" s="10" t="s">
        <v>766</v>
      </c>
      <c r="B330" s="10" t="s">
        <v>766</v>
      </c>
      <c r="C330" s="9" t="s">
        <v>767</v>
      </c>
      <c r="D330" s="9" t="s">
        <v>75</v>
      </c>
      <c r="E330" t="s">
        <v>75</v>
      </c>
    </row>
    <row r="331" spans="1:5" x14ac:dyDescent="0.25">
      <c r="A331" s="10" t="s">
        <v>768</v>
      </c>
      <c r="B331" s="10" t="s">
        <v>768</v>
      </c>
      <c r="C331" s="9" t="s">
        <v>769</v>
      </c>
      <c r="D331" s="9" t="s">
        <v>75</v>
      </c>
      <c r="E331" t="s">
        <v>75</v>
      </c>
    </row>
    <row r="332" spans="1:5" x14ac:dyDescent="0.25">
      <c r="A332" s="10" t="s">
        <v>770</v>
      </c>
      <c r="B332" s="10" t="s">
        <v>770</v>
      </c>
      <c r="C332" s="9" t="s">
        <v>771</v>
      </c>
      <c r="D332" s="9" t="s">
        <v>75</v>
      </c>
      <c r="E332" t="s">
        <v>75</v>
      </c>
    </row>
    <row r="333" spans="1:5" x14ac:dyDescent="0.25">
      <c r="A333" s="10" t="s">
        <v>772</v>
      </c>
      <c r="B333" s="10" t="s">
        <v>772</v>
      </c>
      <c r="C333" s="9" t="s">
        <v>773</v>
      </c>
      <c r="D333" s="9" t="s">
        <v>75</v>
      </c>
      <c r="E333" t="s">
        <v>75</v>
      </c>
    </row>
    <row r="334" spans="1:5" x14ac:dyDescent="0.25">
      <c r="A334" s="10" t="s">
        <v>774</v>
      </c>
      <c r="B334" s="10" t="s">
        <v>774</v>
      </c>
      <c r="C334" s="9" t="s">
        <v>775</v>
      </c>
      <c r="D334" s="9" t="s">
        <v>75</v>
      </c>
      <c r="E334" t="s">
        <v>75</v>
      </c>
    </row>
    <row r="335" spans="1:5" x14ac:dyDescent="0.25">
      <c r="A335" s="10" t="s">
        <v>776</v>
      </c>
      <c r="B335" s="10" t="s">
        <v>776</v>
      </c>
      <c r="C335" s="9" t="s">
        <v>777</v>
      </c>
      <c r="D335" s="9" t="s">
        <v>75</v>
      </c>
      <c r="E335" t="s">
        <v>75</v>
      </c>
    </row>
    <row r="336" spans="1:5" x14ac:dyDescent="0.25">
      <c r="A336" s="10" t="s">
        <v>778</v>
      </c>
      <c r="B336" s="10" t="s">
        <v>778</v>
      </c>
      <c r="C336" s="9" t="s">
        <v>779</v>
      </c>
      <c r="D336" s="9" t="s">
        <v>75</v>
      </c>
      <c r="E336" t="s">
        <v>75</v>
      </c>
    </row>
    <row r="337" spans="1:5" x14ac:dyDescent="0.25">
      <c r="A337" s="10" t="s">
        <v>780</v>
      </c>
      <c r="B337" s="10" t="s">
        <v>780</v>
      </c>
      <c r="C337" s="9" t="s">
        <v>781</v>
      </c>
      <c r="D337" s="9" t="s">
        <v>75</v>
      </c>
      <c r="E337" t="s">
        <v>75</v>
      </c>
    </row>
    <row r="338" spans="1:5" x14ac:dyDescent="0.25">
      <c r="A338" s="10" t="s">
        <v>782</v>
      </c>
      <c r="B338" s="10" t="s">
        <v>782</v>
      </c>
      <c r="C338" s="9" t="s">
        <v>783</v>
      </c>
      <c r="D338" s="9" t="s">
        <v>75</v>
      </c>
      <c r="E338" t="s">
        <v>75</v>
      </c>
    </row>
    <row r="339" spans="1:5" x14ac:dyDescent="0.25">
      <c r="A339" s="10" t="s">
        <v>784</v>
      </c>
      <c r="B339" s="10" t="s">
        <v>784</v>
      </c>
      <c r="C339" s="9" t="s">
        <v>785</v>
      </c>
      <c r="D339" s="9" t="s">
        <v>75</v>
      </c>
      <c r="E339" t="s">
        <v>75</v>
      </c>
    </row>
    <row r="340" spans="1:5" x14ac:dyDescent="0.25">
      <c r="A340" s="10" t="s">
        <v>786</v>
      </c>
      <c r="B340" s="10" t="s">
        <v>786</v>
      </c>
      <c r="C340" s="9" t="s">
        <v>787</v>
      </c>
      <c r="D340" s="9" t="s">
        <v>75</v>
      </c>
      <c r="E340" t="s">
        <v>75</v>
      </c>
    </row>
    <row r="341" spans="1:5" x14ac:dyDescent="0.25">
      <c r="A341" s="10" t="s">
        <v>788</v>
      </c>
      <c r="B341" s="10" t="s">
        <v>788</v>
      </c>
      <c r="C341" s="9" t="s">
        <v>789</v>
      </c>
      <c r="D341" s="9" t="s">
        <v>75</v>
      </c>
      <c r="E341" t="s">
        <v>75</v>
      </c>
    </row>
    <row r="342" spans="1:5" x14ac:dyDescent="0.25">
      <c r="A342" s="10" t="s">
        <v>790</v>
      </c>
      <c r="B342" s="10" t="s">
        <v>790</v>
      </c>
      <c r="C342" s="9" t="s">
        <v>791</v>
      </c>
      <c r="D342" s="9" t="s">
        <v>75</v>
      </c>
      <c r="E342" t="s">
        <v>75</v>
      </c>
    </row>
    <row r="343" spans="1:5" x14ac:dyDescent="0.25">
      <c r="A343" s="10" t="s">
        <v>792</v>
      </c>
      <c r="B343" s="10" t="s">
        <v>792</v>
      </c>
      <c r="C343" s="9" t="s">
        <v>793</v>
      </c>
      <c r="D343" s="9" t="s">
        <v>75</v>
      </c>
      <c r="E343" t="s">
        <v>75</v>
      </c>
    </row>
    <row r="344" spans="1:5" x14ac:dyDescent="0.25">
      <c r="A344" s="10" t="s">
        <v>794</v>
      </c>
      <c r="B344" s="10" t="s">
        <v>794</v>
      </c>
      <c r="C344" s="9" t="s">
        <v>795</v>
      </c>
      <c r="D344" s="9" t="s">
        <v>75</v>
      </c>
      <c r="E344" t="s">
        <v>75</v>
      </c>
    </row>
    <row r="345" spans="1:5" x14ac:dyDescent="0.25">
      <c r="A345" s="10" t="s">
        <v>796</v>
      </c>
      <c r="B345" s="10" t="s">
        <v>796</v>
      </c>
      <c r="C345" s="9" t="s">
        <v>797</v>
      </c>
      <c r="D345" s="9" t="s">
        <v>75</v>
      </c>
      <c r="E345" t="s">
        <v>75</v>
      </c>
    </row>
    <row r="346" spans="1:5" x14ac:dyDescent="0.25">
      <c r="A346" s="10" t="s">
        <v>798</v>
      </c>
      <c r="B346" s="10" t="s">
        <v>798</v>
      </c>
      <c r="C346" s="9" t="s">
        <v>799</v>
      </c>
      <c r="D346" s="9" t="s">
        <v>75</v>
      </c>
      <c r="E346" t="s">
        <v>75</v>
      </c>
    </row>
    <row r="347" spans="1:5" x14ac:dyDescent="0.25">
      <c r="A347" s="10" t="s">
        <v>800</v>
      </c>
      <c r="B347" s="10" t="s">
        <v>800</v>
      </c>
      <c r="C347" s="9" t="s">
        <v>801</v>
      </c>
      <c r="D347" s="9" t="s">
        <v>75</v>
      </c>
      <c r="E347" t="s">
        <v>75</v>
      </c>
    </row>
    <row r="348" spans="1:5" x14ac:dyDescent="0.25">
      <c r="A348" s="10" t="s">
        <v>802</v>
      </c>
      <c r="B348" s="10" t="s">
        <v>802</v>
      </c>
      <c r="C348" s="9" t="s">
        <v>803</v>
      </c>
      <c r="D348" s="9" t="s">
        <v>75</v>
      </c>
      <c r="E348" t="s">
        <v>75</v>
      </c>
    </row>
    <row r="349" spans="1:5" x14ac:dyDescent="0.25">
      <c r="A349" s="10" t="s">
        <v>804</v>
      </c>
      <c r="B349" s="10" t="s">
        <v>804</v>
      </c>
      <c r="C349" s="9" t="s">
        <v>805</v>
      </c>
      <c r="D349" s="9" t="s">
        <v>75</v>
      </c>
      <c r="E349" t="s">
        <v>75</v>
      </c>
    </row>
    <row r="350" spans="1:5" x14ac:dyDescent="0.25">
      <c r="A350" s="10" t="s">
        <v>806</v>
      </c>
      <c r="B350" s="10" t="s">
        <v>806</v>
      </c>
      <c r="C350" s="9" t="s">
        <v>807</v>
      </c>
      <c r="D350" s="9" t="s">
        <v>75</v>
      </c>
      <c r="E350" t="s">
        <v>75</v>
      </c>
    </row>
    <row r="351" spans="1:5" x14ac:dyDescent="0.25">
      <c r="A351" s="10" t="s">
        <v>808</v>
      </c>
      <c r="B351" s="10" t="s">
        <v>808</v>
      </c>
      <c r="C351" s="9" t="s">
        <v>809</v>
      </c>
      <c r="D351" s="9" t="s">
        <v>75</v>
      </c>
      <c r="E351" t="s">
        <v>75</v>
      </c>
    </row>
    <row r="352" spans="1:5" x14ac:dyDescent="0.25">
      <c r="A352" s="10" t="s">
        <v>810</v>
      </c>
      <c r="B352" s="10" t="s">
        <v>810</v>
      </c>
      <c r="C352" s="9" t="s">
        <v>811</v>
      </c>
      <c r="D352" s="9" t="s">
        <v>75</v>
      </c>
      <c r="E352" t="s">
        <v>75</v>
      </c>
    </row>
    <row r="353" spans="1:5" x14ac:dyDescent="0.25">
      <c r="A353" s="10" t="s">
        <v>812</v>
      </c>
      <c r="B353" s="10" t="s">
        <v>812</v>
      </c>
      <c r="C353" s="9" t="s">
        <v>813</v>
      </c>
      <c r="D353" s="9" t="s">
        <v>75</v>
      </c>
      <c r="E353" t="s">
        <v>75</v>
      </c>
    </row>
    <row r="354" spans="1:5" x14ac:dyDescent="0.25">
      <c r="A354" s="10" t="s">
        <v>814</v>
      </c>
      <c r="B354" s="10" t="s">
        <v>814</v>
      </c>
      <c r="C354" s="9" t="s">
        <v>815</v>
      </c>
      <c r="D354" s="9" t="s">
        <v>75</v>
      </c>
      <c r="E354" t="s">
        <v>75</v>
      </c>
    </row>
    <row r="355" spans="1:5" x14ac:dyDescent="0.25">
      <c r="A355" s="10" t="s">
        <v>816</v>
      </c>
      <c r="B355" s="10" t="s">
        <v>816</v>
      </c>
      <c r="C355" s="9" t="s">
        <v>817</v>
      </c>
      <c r="D355" s="9" t="s">
        <v>75</v>
      </c>
      <c r="E355" t="s">
        <v>75</v>
      </c>
    </row>
    <row r="356" spans="1:5" x14ac:dyDescent="0.25">
      <c r="A356" s="10" t="s">
        <v>818</v>
      </c>
      <c r="B356" s="10" t="s">
        <v>818</v>
      </c>
      <c r="C356" s="9" t="s">
        <v>819</v>
      </c>
      <c r="D356" s="9" t="s">
        <v>75</v>
      </c>
      <c r="E356" t="s">
        <v>75</v>
      </c>
    </row>
    <row r="357" spans="1:5" x14ac:dyDescent="0.25">
      <c r="A357" s="10" t="s">
        <v>820</v>
      </c>
      <c r="B357" s="10" t="s">
        <v>820</v>
      </c>
      <c r="C357" s="9" t="s">
        <v>821</v>
      </c>
      <c r="D357" s="9" t="s">
        <v>75</v>
      </c>
      <c r="E357" t="s">
        <v>75</v>
      </c>
    </row>
    <row r="358" spans="1:5" x14ac:dyDescent="0.25">
      <c r="A358" s="10" t="s">
        <v>822</v>
      </c>
      <c r="B358" s="10" t="s">
        <v>822</v>
      </c>
      <c r="C358" s="9" t="s">
        <v>823</v>
      </c>
      <c r="D358" s="9" t="s">
        <v>75</v>
      </c>
      <c r="E358" t="s">
        <v>75</v>
      </c>
    </row>
    <row r="359" spans="1:5" x14ac:dyDescent="0.25">
      <c r="A359" s="10" t="s">
        <v>824</v>
      </c>
      <c r="B359" s="10" t="s">
        <v>824</v>
      </c>
      <c r="C359" s="9" t="s">
        <v>825</v>
      </c>
      <c r="D359" s="9" t="s">
        <v>75</v>
      </c>
      <c r="E359" t="s">
        <v>75</v>
      </c>
    </row>
    <row r="360" spans="1:5" x14ac:dyDescent="0.25">
      <c r="A360" s="10" t="s">
        <v>826</v>
      </c>
      <c r="B360" s="10" t="s">
        <v>826</v>
      </c>
      <c r="C360" s="9" t="s">
        <v>827</v>
      </c>
      <c r="D360" s="9" t="s">
        <v>75</v>
      </c>
      <c r="E360" t="s">
        <v>75</v>
      </c>
    </row>
    <row r="361" spans="1:5" x14ac:dyDescent="0.25">
      <c r="A361" s="10" t="s">
        <v>828</v>
      </c>
      <c r="B361" s="10" t="s">
        <v>828</v>
      </c>
      <c r="C361" s="9" t="s">
        <v>829</v>
      </c>
      <c r="D361" s="9" t="s">
        <v>75</v>
      </c>
      <c r="E361" t="s">
        <v>75</v>
      </c>
    </row>
    <row r="362" spans="1:5" x14ac:dyDescent="0.25">
      <c r="A362" s="10" t="s">
        <v>830</v>
      </c>
      <c r="B362" s="10" t="s">
        <v>830</v>
      </c>
      <c r="C362" s="9" t="s">
        <v>831</v>
      </c>
      <c r="D362" s="9" t="s">
        <v>75</v>
      </c>
      <c r="E362" t="s">
        <v>75</v>
      </c>
    </row>
    <row r="363" spans="1:5" x14ac:dyDescent="0.25">
      <c r="A363" s="10" t="s">
        <v>832</v>
      </c>
      <c r="B363" s="10" t="s">
        <v>832</v>
      </c>
      <c r="C363" s="9" t="s">
        <v>833</v>
      </c>
      <c r="D363" s="9" t="s">
        <v>75</v>
      </c>
      <c r="E363" t="s">
        <v>75</v>
      </c>
    </row>
    <row r="364" spans="1:5" x14ac:dyDescent="0.25">
      <c r="A364" s="10" t="s">
        <v>834</v>
      </c>
      <c r="B364" s="10" t="s">
        <v>834</v>
      </c>
      <c r="C364" s="9" t="s">
        <v>835</v>
      </c>
      <c r="D364" s="9" t="s">
        <v>75</v>
      </c>
      <c r="E364" t="s">
        <v>75</v>
      </c>
    </row>
    <row r="365" spans="1:5" x14ac:dyDescent="0.25">
      <c r="A365" s="10" t="s">
        <v>836</v>
      </c>
      <c r="B365" s="10" t="s">
        <v>836</v>
      </c>
      <c r="C365" s="9" t="s">
        <v>837</v>
      </c>
      <c r="D365" s="9" t="s">
        <v>75</v>
      </c>
      <c r="E365" t="s">
        <v>75</v>
      </c>
    </row>
    <row r="366" spans="1:5" x14ac:dyDescent="0.25">
      <c r="A366" s="10" t="s">
        <v>838</v>
      </c>
      <c r="B366" s="10" t="s">
        <v>838</v>
      </c>
      <c r="C366" s="9" t="s">
        <v>839</v>
      </c>
      <c r="D366" s="9" t="s">
        <v>75</v>
      </c>
      <c r="E366" t="s">
        <v>75</v>
      </c>
    </row>
    <row r="367" spans="1:5" x14ac:dyDescent="0.25">
      <c r="A367" s="10" t="s">
        <v>840</v>
      </c>
      <c r="B367" s="10" t="s">
        <v>840</v>
      </c>
      <c r="C367" s="9" t="s">
        <v>841</v>
      </c>
      <c r="D367" s="9" t="s">
        <v>75</v>
      </c>
      <c r="E367" t="s">
        <v>75</v>
      </c>
    </row>
    <row r="368" spans="1:5" x14ac:dyDescent="0.25">
      <c r="A368" s="10" t="s">
        <v>842</v>
      </c>
      <c r="B368" s="10" t="s">
        <v>842</v>
      </c>
      <c r="C368" s="9" t="s">
        <v>843</v>
      </c>
      <c r="D368" s="9" t="s">
        <v>75</v>
      </c>
      <c r="E368" t="s">
        <v>75</v>
      </c>
    </row>
    <row r="369" spans="1:5" x14ac:dyDescent="0.25">
      <c r="A369" s="10" t="s">
        <v>844</v>
      </c>
      <c r="B369" s="10" t="s">
        <v>844</v>
      </c>
      <c r="C369" s="9" t="s">
        <v>845</v>
      </c>
      <c r="D369" s="9" t="s">
        <v>75</v>
      </c>
      <c r="E369" t="s">
        <v>75</v>
      </c>
    </row>
    <row r="370" spans="1:5" x14ac:dyDescent="0.25">
      <c r="A370" s="10" t="s">
        <v>846</v>
      </c>
      <c r="B370" s="10" t="s">
        <v>846</v>
      </c>
      <c r="C370" s="9" t="s">
        <v>847</v>
      </c>
      <c r="D370" s="9" t="s">
        <v>75</v>
      </c>
      <c r="E370" t="s">
        <v>75</v>
      </c>
    </row>
    <row r="371" spans="1:5" x14ac:dyDescent="0.25">
      <c r="A371" s="10" t="s">
        <v>848</v>
      </c>
      <c r="B371" s="10" t="s">
        <v>848</v>
      </c>
      <c r="C371" s="9" t="s">
        <v>849</v>
      </c>
      <c r="D371" s="9" t="s">
        <v>75</v>
      </c>
      <c r="E371" t="s">
        <v>75</v>
      </c>
    </row>
    <row r="372" spans="1:5" x14ac:dyDescent="0.25">
      <c r="A372" s="10" t="s">
        <v>850</v>
      </c>
      <c r="B372" s="10" t="s">
        <v>850</v>
      </c>
      <c r="C372" s="9" t="s">
        <v>851</v>
      </c>
      <c r="D372" s="9" t="s">
        <v>75</v>
      </c>
      <c r="E372" t="s">
        <v>75</v>
      </c>
    </row>
    <row r="373" spans="1:5" x14ac:dyDescent="0.25">
      <c r="A373" s="10" t="s">
        <v>852</v>
      </c>
      <c r="B373" s="10" t="s">
        <v>852</v>
      </c>
      <c r="C373" s="9" t="s">
        <v>853</v>
      </c>
      <c r="D373" s="9" t="s">
        <v>75</v>
      </c>
      <c r="E373" t="s">
        <v>75</v>
      </c>
    </row>
    <row r="374" spans="1:5" x14ac:dyDescent="0.25">
      <c r="A374" s="10" t="s">
        <v>854</v>
      </c>
      <c r="B374" s="10" t="s">
        <v>854</v>
      </c>
      <c r="C374" s="9" t="s">
        <v>855</v>
      </c>
      <c r="D374" s="9" t="s">
        <v>75</v>
      </c>
      <c r="E374" t="s">
        <v>75</v>
      </c>
    </row>
    <row r="375" spans="1:5" x14ac:dyDescent="0.25">
      <c r="A375" s="10" t="s">
        <v>856</v>
      </c>
      <c r="B375" s="10" t="s">
        <v>856</v>
      </c>
      <c r="C375" s="9" t="s">
        <v>857</v>
      </c>
      <c r="D375" s="9" t="s">
        <v>75</v>
      </c>
      <c r="E375" t="s">
        <v>75</v>
      </c>
    </row>
    <row r="376" spans="1:5" x14ac:dyDescent="0.25">
      <c r="A376" s="10" t="s">
        <v>858</v>
      </c>
      <c r="B376" s="10" t="s">
        <v>858</v>
      </c>
      <c r="C376" s="9" t="s">
        <v>859</v>
      </c>
      <c r="D376" s="9" t="s">
        <v>75</v>
      </c>
      <c r="E376" t="s">
        <v>75</v>
      </c>
    </row>
    <row r="377" spans="1:5" x14ac:dyDescent="0.25">
      <c r="A377" s="10" t="s">
        <v>860</v>
      </c>
      <c r="B377" s="10" t="s">
        <v>860</v>
      </c>
      <c r="C377" s="9" t="s">
        <v>861</v>
      </c>
      <c r="D377" s="9" t="s">
        <v>75</v>
      </c>
      <c r="E377" t="s">
        <v>75</v>
      </c>
    </row>
    <row r="378" spans="1:5" x14ac:dyDescent="0.25">
      <c r="A378" s="10" t="s">
        <v>862</v>
      </c>
      <c r="B378" s="10" t="s">
        <v>862</v>
      </c>
      <c r="C378" s="9" t="s">
        <v>863</v>
      </c>
      <c r="D378" s="9" t="s">
        <v>75</v>
      </c>
      <c r="E378" t="s">
        <v>75</v>
      </c>
    </row>
    <row r="379" spans="1:5" x14ac:dyDescent="0.25">
      <c r="A379" s="10" t="s">
        <v>864</v>
      </c>
      <c r="B379" s="10" t="s">
        <v>864</v>
      </c>
      <c r="C379" s="9" t="s">
        <v>865</v>
      </c>
      <c r="D379" s="9" t="s">
        <v>75</v>
      </c>
      <c r="E379" t="s">
        <v>75</v>
      </c>
    </row>
    <row r="380" spans="1:5" x14ac:dyDescent="0.25">
      <c r="A380" s="10" t="s">
        <v>866</v>
      </c>
      <c r="B380" s="10" t="s">
        <v>866</v>
      </c>
      <c r="C380" s="9" t="s">
        <v>867</v>
      </c>
      <c r="D380" s="9" t="s">
        <v>75</v>
      </c>
      <c r="E380" t="s">
        <v>75</v>
      </c>
    </row>
    <row r="381" spans="1:5" x14ac:dyDescent="0.25">
      <c r="A381" s="10" t="s">
        <v>868</v>
      </c>
      <c r="B381" s="10" t="s">
        <v>868</v>
      </c>
      <c r="C381" s="9" t="s">
        <v>869</v>
      </c>
      <c r="D381" s="9" t="s">
        <v>75</v>
      </c>
      <c r="E381" t="s">
        <v>75</v>
      </c>
    </row>
    <row r="382" spans="1:5" x14ac:dyDescent="0.25">
      <c r="A382" s="10" t="s">
        <v>870</v>
      </c>
      <c r="B382" s="10" t="s">
        <v>870</v>
      </c>
      <c r="C382" s="9" t="s">
        <v>871</v>
      </c>
      <c r="D382" s="9" t="s">
        <v>75</v>
      </c>
      <c r="E382" t="s">
        <v>75</v>
      </c>
    </row>
    <row r="383" spans="1:5" x14ac:dyDescent="0.25">
      <c r="A383" s="10" t="s">
        <v>872</v>
      </c>
      <c r="B383" s="10" t="s">
        <v>872</v>
      </c>
      <c r="C383" s="9" t="s">
        <v>873</v>
      </c>
      <c r="D383" s="9" t="s">
        <v>75</v>
      </c>
      <c r="E383" t="s">
        <v>75</v>
      </c>
    </row>
    <row r="384" spans="1:5" x14ac:dyDescent="0.25">
      <c r="A384" s="10" t="s">
        <v>874</v>
      </c>
      <c r="B384" s="10" t="s">
        <v>874</v>
      </c>
      <c r="C384" s="9" t="s">
        <v>875</v>
      </c>
      <c r="D384" s="9" t="s">
        <v>75</v>
      </c>
      <c r="E384" t="s">
        <v>75</v>
      </c>
    </row>
    <row r="385" spans="1:5" x14ac:dyDescent="0.25">
      <c r="A385" s="10" t="s">
        <v>876</v>
      </c>
      <c r="B385" s="10" t="s">
        <v>876</v>
      </c>
      <c r="C385" s="9" t="s">
        <v>877</v>
      </c>
      <c r="D385" s="9" t="s">
        <v>75</v>
      </c>
      <c r="E385" t="s">
        <v>75</v>
      </c>
    </row>
    <row r="386" spans="1:5" x14ac:dyDescent="0.25">
      <c r="A386" s="10" t="s">
        <v>878</v>
      </c>
      <c r="B386" s="10" t="s">
        <v>878</v>
      </c>
      <c r="C386" s="9" t="s">
        <v>879</v>
      </c>
      <c r="D386" s="9" t="s">
        <v>75</v>
      </c>
      <c r="E386" t="s">
        <v>75</v>
      </c>
    </row>
    <row r="387" spans="1:5" x14ac:dyDescent="0.25">
      <c r="A387" s="10" t="s">
        <v>880</v>
      </c>
      <c r="B387" s="10" t="s">
        <v>880</v>
      </c>
      <c r="C387" s="9" t="s">
        <v>881</v>
      </c>
      <c r="D387" s="9" t="s">
        <v>75</v>
      </c>
      <c r="E387" t="s">
        <v>75</v>
      </c>
    </row>
    <row r="388" spans="1:5" x14ac:dyDescent="0.25">
      <c r="A388" s="10" t="s">
        <v>882</v>
      </c>
      <c r="B388" s="10" t="s">
        <v>882</v>
      </c>
      <c r="C388" s="9" t="s">
        <v>883</v>
      </c>
      <c r="D388" s="9" t="s">
        <v>75</v>
      </c>
      <c r="E388" t="s">
        <v>75</v>
      </c>
    </row>
    <row r="389" spans="1:5" x14ac:dyDescent="0.25">
      <c r="A389" s="10" t="s">
        <v>884</v>
      </c>
      <c r="B389" s="10" t="s">
        <v>884</v>
      </c>
      <c r="C389" s="9" t="s">
        <v>885</v>
      </c>
      <c r="D389" s="9" t="s">
        <v>75</v>
      </c>
      <c r="E389" t="s">
        <v>75</v>
      </c>
    </row>
    <row r="390" spans="1:5" x14ac:dyDescent="0.25">
      <c r="A390" s="10" t="s">
        <v>886</v>
      </c>
      <c r="B390" s="10" t="s">
        <v>886</v>
      </c>
      <c r="C390" s="9" t="s">
        <v>887</v>
      </c>
      <c r="D390" s="9" t="s">
        <v>75</v>
      </c>
      <c r="E390" t="s">
        <v>75</v>
      </c>
    </row>
    <row r="391" spans="1:5" x14ac:dyDescent="0.25">
      <c r="A391" s="10" t="s">
        <v>888</v>
      </c>
      <c r="B391" s="10" t="s">
        <v>888</v>
      </c>
      <c r="C391" s="9" t="s">
        <v>889</v>
      </c>
      <c r="D391" s="9" t="s">
        <v>75</v>
      </c>
      <c r="E391" t="s">
        <v>75</v>
      </c>
    </row>
    <row r="392" spans="1:5" x14ac:dyDescent="0.25">
      <c r="A392" s="10" t="s">
        <v>890</v>
      </c>
      <c r="B392" s="10" t="s">
        <v>890</v>
      </c>
      <c r="C392" s="9" t="s">
        <v>891</v>
      </c>
      <c r="D392" s="9" t="s">
        <v>75</v>
      </c>
      <c r="E392" t="s">
        <v>75</v>
      </c>
    </row>
    <row r="393" spans="1:5" x14ac:dyDescent="0.25">
      <c r="A393" s="10" t="s">
        <v>892</v>
      </c>
      <c r="B393" s="10" t="s">
        <v>892</v>
      </c>
      <c r="C393" s="9" t="s">
        <v>893</v>
      </c>
      <c r="D393" s="9" t="s">
        <v>75</v>
      </c>
      <c r="E393" t="s">
        <v>75</v>
      </c>
    </row>
    <row r="394" spans="1:5" x14ac:dyDescent="0.25">
      <c r="A394" s="10" t="s">
        <v>894</v>
      </c>
      <c r="B394" s="10" t="s">
        <v>894</v>
      </c>
      <c r="C394" s="9" t="s">
        <v>895</v>
      </c>
      <c r="D394" s="9" t="s">
        <v>75</v>
      </c>
      <c r="E394" t="s">
        <v>75</v>
      </c>
    </row>
    <row r="395" spans="1:5" x14ac:dyDescent="0.25">
      <c r="A395" s="10" t="s">
        <v>896</v>
      </c>
      <c r="B395" s="10" t="s">
        <v>896</v>
      </c>
      <c r="C395" s="9" t="s">
        <v>897</v>
      </c>
      <c r="D395" s="9" t="s">
        <v>75</v>
      </c>
      <c r="E395" t="s">
        <v>75</v>
      </c>
    </row>
    <row r="396" spans="1:5" x14ac:dyDescent="0.25">
      <c r="A396" s="10" t="s">
        <v>898</v>
      </c>
      <c r="B396" s="10" t="s">
        <v>898</v>
      </c>
      <c r="C396" s="9" t="s">
        <v>899</v>
      </c>
      <c r="D396" s="9" t="s">
        <v>75</v>
      </c>
      <c r="E396" t="s">
        <v>75</v>
      </c>
    </row>
    <row r="397" spans="1:5" x14ac:dyDescent="0.25">
      <c r="A397" s="10" t="s">
        <v>900</v>
      </c>
      <c r="B397" s="10" t="s">
        <v>900</v>
      </c>
      <c r="C397" s="9" t="s">
        <v>901</v>
      </c>
      <c r="D397" s="9" t="s">
        <v>75</v>
      </c>
      <c r="E397" t="s">
        <v>75</v>
      </c>
    </row>
    <row r="398" spans="1:5" x14ac:dyDescent="0.25">
      <c r="A398" s="10" t="s">
        <v>902</v>
      </c>
      <c r="B398" s="10" t="s">
        <v>902</v>
      </c>
      <c r="C398" s="9" t="s">
        <v>903</v>
      </c>
      <c r="D398" s="9" t="s">
        <v>75</v>
      </c>
      <c r="E398" t="s">
        <v>75</v>
      </c>
    </row>
    <row r="399" spans="1:5" x14ac:dyDescent="0.25">
      <c r="A399" s="10" t="s">
        <v>904</v>
      </c>
      <c r="B399" s="10" t="s">
        <v>904</v>
      </c>
      <c r="C399" s="9" t="s">
        <v>905</v>
      </c>
      <c r="D399" s="9" t="s">
        <v>75</v>
      </c>
      <c r="E399" t="s">
        <v>75</v>
      </c>
    </row>
    <row r="400" spans="1:5" x14ac:dyDescent="0.25">
      <c r="A400" s="10" t="s">
        <v>906</v>
      </c>
      <c r="B400" s="10" t="s">
        <v>906</v>
      </c>
      <c r="C400" s="9" t="s">
        <v>907</v>
      </c>
      <c r="D400" s="9" t="s">
        <v>75</v>
      </c>
      <c r="E400" t="s">
        <v>75</v>
      </c>
    </row>
    <row r="401" spans="1:5" x14ac:dyDescent="0.25">
      <c r="A401" s="10" t="s">
        <v>908</v>
      </c>
      <c r="B401" s="10" t="s">
        <v>908</v>
      </c>
      <c r="C401" s="9" t="s">
        <v>909</v>
      </c>
      <c r="D401" s="9" t="s">
        <v>75</v>
      </c>
      <c r="E401" t="s">
        <v>75</v>
      </c>
    </row>
    <row r="402" spans="1:5" x14ac:dyDescent="0.25">
      <c r="A402" s="10" t="s">
        <v>910</v>
      </c>
      <c r="B402" s="10" t="s">
        <v>910</v>
      </c>
      <c r="C402" s="9" t="s">
        <v>911</v>
      </c>
      <c r="D402" s="9" t="s">
        <v>75</v>
      </c>
      <c r="E402" t="s">
        <v>75</v>
      </c>
    </row>
    <row r="403" spans="1:5" x14ac:dyDescent="0.25">
      <c r="A403" s="10" t="s">
        <v>912</v>
      </c>
      <c r="B403" s="10" t="s">
        <v>912</v>
      </c>
      <c r="C403" s="9" t="s">
        <v>913</v>
      </c>
      <c r="D403" s="9" t="s">
        <v>75</v>
      </c>
      <c r="E403" t="s">
        <v>75</v>
      </c>
    </row>
    <row r="404" spans="1:5" x14ac:dyDescent="0.25">
      <c r="A404" s="10" t="s">
        <v>914</v>
      </c>
      <c r="B404" s="10" t="s">
        <v>914</v>
      </c>
      <c r="C404" s="9" t="s">
        <v>915</v>
      </c>
      <c r="D404" s="9" t="s">
        <v>75</v>
      </c>
      <c r="E404" t="s">
        <v>75</v>
      </c>
    </row>
    <row r="405" spans="1:5" x14ac:dyDescent="0.25">
      <c r="A405" s="10" t="s">
        <v>916</v>
      </c>
      <c r="B405" s="10" t="s">
        <v>916</v>
      </c>
      <c r="C405" s="9" t="s">
        <v>917</v>
      </c>
      <c r="D405" s="9" t="s">
        <v>75</v>
      </c>
      <c r="E405" t="s">
        <v>75</v>
      </c>
    </row>
    <row r="406" spans="1:5" x14ac:dyDescent="0.25">
      <c r="A406" s="10" t="s">
        <v>918</v>
      </c>
      <c r="B406" s="10" t="s">
        <v>918</v>
      </c>
      <c r="C406" s="9" t="s">
        <v>919</v>
      </c>
      <c r="D406" s="9" t="s">
        <v>75</v>
      </c>
      <c r="E406" t="s">
        <v>75</v>
      </c>
    </row>
    <row r="407" spans="1:5" x14ac:dyDescent="0.25">
      <c r="A407" s="10" t="s">
        <v>920</v>
      </c>
      <c r="B407" s="10" t="s">
        <v>920</v>
      </c>
      <c r="C407" s="9" t="s">
        <v>921</v>
      </c>
      <c r="D407" s="9" t="s">
        <v>75</v>
      </c>
      <c r="E407" t="s">
        <v>75</v>
      </c>
    </row>
    <row r="408" spans="1:5" x14ac:dyDescent="0.25">
      <c r="A408" s="10" t="s">
        <v>922</v>
      </c>
      <c r="B408" s="10" t="s">
        <v>922</v>
      </c>
      <c r="C408" s="9" t="s">
        <v>923</v>
      </c>
      <c r="D408" s="9" t="s">
        <v>75</v>
      </c>
      <c r="E408" t="s">
        <v>75</v>
      </c>
    </row>
    <row r="409" spans="1:5" x14ac:dyDescent="0.25">
      <c r="A409" s="10" t="s">
        <v>924</v>
      </c>
      <c r="B409" s="10" t="s">
        <v>924</v>
      </c>
      <c r="C409" s="9" t="s">
        <v>925</v>
      </c>
      <c r="D409" s="9" t="s">
        <v>75</v>
      </c>
      <c r="E409" t="s">
        <v>75</v>
      </c>
    </row>
    <row r="410" spans="1:5" x14ac:dyDescent="0.25">
      <c r="A410" s="10" t="s">
        <v>926</v>
      </c>
      <c r="B410" s="10" t="s">
        <v>926</v>
      </c>
      <c r="C410" s="9" t="s">
        <v>927</v>
      </c>
      <c r="D410" s="9" t="s">
        <v>75</v>
      </c>
      <c r="E410" t="s">
        <v>75</v>
      </c>
    </row>
    <row r="411" spans="1:5" x14ac:dyDescent="0.25">
      <c r="A411" s="10" t="s">
        <v>928</v>
      </c>
      <c r="B411" s="10" t="s">
        <v>928</v>
      </c>
      <c r="C411" s="9" t="s">
        <v>929</v>
      </c>
      <c r="D411" s="9" t="s">
        <v>75</v>
      </c>
      <c r="E411" t="s">
        <v>75</v>
      </c>
    </row>
    <row r="412" spans="1:5" x14ac:dyDescent="0.25">
      <c r="A412" s="10" t="s">
        <v>930</v>
      </c>
      <c r="B412" s="10" t="s">
        <v>930</v>
      </c>
      <c r="C412" s="9" t="s">
        <v>931</v>
      </c>
      <c r="D412" s="9" t="s">
        <v>75</v>
      </c>
      <c r="E412" t="s">
        <v>75</v>
      </c>
    </row>
    <row r="413" spans="1:5" x14ac:dyDescent="0.25">
      <c r="A413" s="10" t="s">
        <v>932</v>
      </c>
      <c r="B413" s="10" t="s">
        <v>932</v>
      </c>
      <c r="C413" s="9" t="s">
        <v>933</v>
      </c>
      <c r="D413" s="9" t="s">
        <v>75</v>
      </c>
      <c r="E413" t="s">
        <v>75</v>
      </c>
    </row>
    <row r="414" spans="1:5" x14ac:dyDescent="0.25">
      <c r="A414" s="10" t="s">
        <v>934</v>
      </c>
      <c r="B414" s="10" t="s">
        <v>934</v>
      </c>
      <c r="C414" s="9" t="s">
        <v>935</v>
      </c>
      <c r="D414" s="9" t="s">
        <v>75</v>
      </c>
      <c r="E414" t="s">
        <v>75</v>
      </c>
    </row>
    <row r="415" spans="1:5" x14ac:dyDescent="0.25">
      <c r="A415" s="10" t="s">
        <v>936</v>
      </c>
      <c r="B415" s="10" t="s">
        <v>936</v>
      </c>
      <c r="C415" s="9" t="s">
        <v>937</v>
      </c>
      <c r="D415" s="9" t="s">
        <v>75</v>
      </c>
      <c r="E415" t="s">
        <v>75</v>
      </c>
    </row>
    <row r="416" spans="1:5" x14ac:dyDescent="0.25">
      <c r="A416" s="10" t="s">
        <v>938</v>
      </c>
      <c r="B416" s="10" t="s">
        <v>938</v>
      </c>
      <c r="C416" s="9" t="s">
        <v>939</v>
      </c>
      <c r="D416" s="9" t="s">
        <v>75</v>
      </c>
      <c r="E416" t="s">
        <v>75</v>
      </c>
    </row>
    <row r="417" spans="1:5" x14ac:dyDescent="0.25">
      <c r="A417" s="10" t="s">
        <v>940</v>
      </c>
      <c r="B417" s="10" t="s">
        <v>940</v>
      </c>
      <c r="C417" s="9" t="s">
        <v>941</v>
      </c>
      <c r="D417" s="9" t="s">
        <v>75</v>
      </c>
      <c r="E417" t="s">
        <v>75</v>
      </c>
    </row>
    <row r="418" spans="1:5" x14ac:dyDescent="0.25">
      <c r="A418" s="10" t="s">
        <v>942</v>
      </c>
      <c r="B418" s="10" t="s">
        <v>942</v>
      </c>
      <c r="C418" s="9" t="s">
        <v>943</v>
      </c>
      <c r="D418" s="9" t="s">
        <v>75</v>
      </c>
      <c r="E418" t="s">
        <v>75</v>
      </c>
    </row>
    <row r="419" spans="1:5" x14ac:dyDescent="0.25">
      <c r="A419" s="10" t="s">
        <v>944</v>
      </c>
      <c r="B419" s="10" t="s">
        <v>944</v>
      </c>
      <c r="C419" s="9" t="s">
        <v>945</v>
      </c>
      <c r="D419" s="9" t="s">
        <v>75</v>
      </c>
      <c r="E419" t="s">
        <v>75</v>
      </c>
    </row>
    <row r="420" spans="1:5" x14ac:dyDescent="0.25">
      <c r="A420" s="10" t="s">
        <v>946</v>
      </c>
      <c r="B420" s="10" t="s">
        <v>946</v>
      </c>
      <c r="C420" s="9" t="s">
        <v>947</v>
      </c>
      <c r="D420" s="9" t="s">
        <v>75</v>
      </c>
      <c r="E420" t="s">
        <v>75</v>
      </c>
    </row>
    <row r="421" spans="1:5" x14ac:dyDescent="0.25">
      <c r="A421" s="10" t="s">
        <v>948</v>
      </c>
      <c r="B421" s="10" t="s">
        <v>948</v>
      </c>
      <c r="C421" s="9" t="s">
        <v>949</v>
      </c>
      <c r="D421" s="9" t="s">
        <v>75</v>
      </c>
      <c r="E421" t="s">
        <v>75</v>
      </c>
    </row>
    <row r="422" spans="1:5" x14ac:dyDescent="0.25">
      <c r="A422" s="10" t="s">
        <v>950</v>
      </c>
      <c r="B422" s="10" t="s">
        <v>950</v>
      </c>
      <c r="C422" s="9" t="s">
        <v>951</v>
      </c>
      <c r="D422" s="9" t="s">
        <v>75</v>
      </c>
      <c r="E422" t="s">
        <v>75</v>
      </c>
    </row>
    <row r="423" spans="1:5" x14ac:dyDescent="0.25">
      <c r="A423" s="10" t="s">
        <v>952</v>
      </c>
      <c r="B423" s="10" t="s">
        <v>952</v>
      </c>
      <c r="C423" s="9" t="s">
        <v>953</v>
      </c>
      <c r="D423" s="9" t="s">
        <v>75</v>
      </c>
      <c r="E423" t="s">
        <v>75</v>
      </c>
    </row>
    <row r="424" spans="1:5" x14ac:dyDescent="0.25">
      <c r="A424" s="10" t="s">
        <v>954</v>
      </c>
      <c r="B424" s="10" t="s">
        <v>954</v>
      </c>
      <c r="C424" s="9" t="s">
        <v>955</v>
      </c>
      <c r="D424" s="9" t="s">
        <v>75</v>
      </c>
      <c r="E424" t="s">
        <v>75</v>
      </c>
    </row>
    <row r="425" spans="1:5" x14ac:dyDescent="0.25">
      <c r="A425" s="10" t="s">
        <v>956</v>
      </c>
      <c r="B425" s="10" t="s">
        <v>956</v>
      </c>
      <c r="C425" s="9" t="s">
        <v>957</v>
      </c>
      <c r="D425" s="9" t="s">
        <v>75</v>
      </c>
      <c r="E425" t="s">
        <v>75</v>
      </c>
    </row>
    <row r="426" spans="1:5" x14ac:dyDescent="0.25">
      <c r="A426" s="10" t="s">
        <v>958</v>
      </c>
      <c r="B426" s="10" t="s">
        <v>958</v>
      </c>
      <c r="C426" s="9" t="s">
        <v>959</v>
      </c>
      <c r="D426" s="9" t="s">
        <v>75</v>
      </c>
      <c r="E426" t="s">
        <v>75</v>
      </c>
    </row>
    <row r="427" spans="1:5" x14ac:dyDescent="0.25">
      <c r="A427" s="10" t="s">
        <v>960</v>
      </c>
      <c r="B427" s="10" t="s">
        <v>960</v>
      </c>
      <c r="C427" s="9" t="s">
        <v>961</v>
      </c>
      <c r="D427" s="9" t="s">
        <v>75</v>
      </c>
      <c r="E427" t="s">
        <v>75</v>
      </c>
    </row>
    <row r="428" spans="1:5" x14ac:dyDescent="0.25">
      <c r="A428" s="10" t="s">
        <v>962</v>
      </c>
      <c r="B428" s="10" t="s">
        <v>962</v>
      </c>
      <c r="C428" s="9" t="s">
        <v>963</v>
      </c>
      <c r="D428" s="9" t="s">
        <v>75</v>
      </c>
      <c r="E428" t="s">
        <v>75</v>
      </c>
    </row>
    <row r="429" spans="1:5" x14ac:dyDescent="0.25">
      <c r="A429" s="10" t="s">
        <v>964</v>
      </c>
      <c r="B429" s="10" t="s">
        <v>964</v>
      </c>
      <c r="C429" s="9" t="s">
        <v>965</v>
      </c>
      <c r="D429" s="9" t="s">
        <v>75</v>
      </c>
      <c r="E429" t="s">
        <v>75</v>
      </c>
    </row>
    <row r="430" spans="1:5" x14ac:dyDescent="0.25">
      <c r="A430" s="10" t="s">
        <v>966</v>
      </c>
      <c r="B430" s="10" t="s">
        <v>966</v>
      </c>
      <c r="C430" s="9" t="s">
        <v>967</v>
      </c>
      <c r="D430" s="9" t="s">
        <v>75</v>
      </c>
      <c r="E430" t="s">
        <v>75</v>
      </c>
    </row>
    <row r="431" spans="1:5" x14ac:dyDescent="0.25">
      <c r="A431" s="10" t="s">
        <v>968</v>
      </c>
      <c r="B431" s="10" t="s">
        <v>968</v>
      </c>
      <c r="C431" s="9" t="s">
        <v>969</v>
      </c>
      <c r="D431" s="9" t="s">
        <v>75</v>
      </c>
      <c r="E431" t="s">
        <v>75</v>
      </c>
    </row>
    <row r="432" spans="1:5" x14ac:dyDescent="0.25">
      <c r="A432" s="10" t="s">
        <v>970</v>
      </c>
      <c r="B432" s="10" t="s">
        <v>970</v>
      </c>
      <c r="C432" s="9" t="s">
        <v>971</v>
      </c>
      <c r="D432" s="9" t="s">
        <v>75</v>
      </c>
      <c r="E432" t="s">
        <v>75</v>
      </c>
    </row>
    <row r="433" spans="1:5" x14ac:dyDescent="0.25">
      <c r="A433" s="10" t="s">
        <v>972</v>
      </c>
      <c r="B433" s="10" t="s">
        <v>972</v>
      </c>
      <c r="C433" s="9" t="s">
        <v>973</v>
      </c>
      <c r="D433" s="9" t="s">
        <v>75</v>
      </c>
      <c r="E433" t="s">
        <v>75</v>
      </c>
    </row>
    <row r="434" spans="1:5" x14ac:dyDescent="0.25">
      <c r="A434" s="10" t="s">
        <v>974</v>
      </c>
      <c r="B434" s="10" t="s">
        <v>974</v>
      </c>
      <c r="C434" s="9" t="s">
        <v>975</v>
      </c>
      <c r="D434" s="9" t="s">
        <v>75</v>
      </c>
      <c r="E434" t="s">
        <v>75</v>
      </c>
    </row>
    <row r="435" spans="1:5" x14ac:dyDescent="0.25">
      <c r="A435" s="10" t="s">
        <v>976</v>
      </c>
      <c r="B435" s="10" t="s">
        <v>976</v>
      </c>
      <c r="C435" s="9" t="s">
        <v>977</v>
      </c>
      <c r="D435" s="9" t="s">
        <v>75</v>
      </c>
      <c r="E435" t="s">
        <v>75</v>
      </c>
    </row>
    <row r="436" spans="1:5" x14ac:dyDescent="0.25">
      <c r="A436" s="10" t="s">
        <v>978</v>
      </c>
      <c r="B436" s="10" t="s">
        <v>978</v>
      </c>
      <c r="C436" s="9" t="s">
        <v>979</v>
      </c>
      <c r="D436" s="9" t="s">
        <v>75</v>
      </c>
      <c r="E436" t="s">
        <v>75</v>
      </c>
    </row>
    <row r="437" spans="1:5" x14ac:dyDescent="0.25">
      <c r="A437" s="10" t="s">
        <v>980</v>
      </c>
      <c r="B437" s="10" t="s">
        <v>980</v>
      </c>
      <c r="C437" s="9" t="s">
        <v>981</v>
      </c>
      <c r="D437" s="9" t="s">
        <v>75</v>
      </c>
      <c r="E437" t="s">
        <v>75</v>
      </c>
    </row>
    <row r="438" spans="1:5" x14ac:dyDescent="0.25">
      <c r="A438" s="10" t="s">
        <v>982</v>
      </c>
      <c r="B438" s="10" t="s">
        <v>982</v>
      </c>
      <c r="C438" s="9" t="s">
        <v>983</v>
      </c>
      <c r="D438" s="9" t="s">
        <v>75</v>
      </c>
      <c r="E438" t="s">
        <v>75</v>
      </c>
    </row>
    <row r="439" spans="1:5" x14ac:dyDescent="0.25">
      <c r="A439" s="10" t="s">
        <v>984</v>
      </c>
      <c r="B439" s="10" t="s">
        <v>984</v>
      </c>
      <c r="C439" s="9" t="s">
        <v>985</v>
      </c>
      <c r="D439" s="9" t="s">
        <v>75</v>
      </c>
      <c r="E439" t="s">
        <v>75</v>
      </c>
    </row>
    <row r="440" spans="1:5" x14ac:dyDescent="0.25">
      <c r="A440" s="10" t="s">
        <v>986</v>
      </c>
      <c r="B440" s="10" t="s">
        <v>986</v>
      </c>
      <c r="C440" s="9" t="s">
        <v>987</v>
      </c>
      <c r="D440" s="9" t="s">
        <v>75</v>
      </c>
      <c r="E440" t="s">
        <v>75</v>
      </c>
    </row>
    <row r="441" spans="1:5" x14ac:dyDescent="0.25">
      <c r="A441" s="10" t="s">
        <v>988</v>
      </c>
      <c r="B441" s="10" t="s">
        <v>988</v>
      </c>
      <c r="C441" s="9" t="s">
        <v>989</v>
      </c>
      <c r="D441" s="9" t="s">
        <v>75</v>
      </c>
      <c r="E441" t="s">
        <v>75</v>
      </c>
    </row>
    <row r="442" spans="1:5" x14ac:dyDescent="0.25">
      <c r="A442" s="10" t="s">
        <v>990</v>
      </c>
      <c r="B442" s="10" t="s">
        <v>990</v>
      </c>
      <c r="C442" s="9" t="s">
        <v>991</v>
      </c>
      <c r="D442" s="9" t="s">
        <v>75</v>
      </c>
      <c r="E442" t="s">
        <v>75</v>
      </c>
    </row>
    <row r="443" spans="1:5" x14ac:dyDescent="0.25">
      <c r="A443" s="10" t="s">
        <v>992</v>
      </c>
      <c r="B443" s="10" t="s">
        <v>992</v>
      </c>
      <c r="C443" s="9" t="s">
        <v>993</v>
      </c>
      <c r="D443" s="9" t="s">
        <v>75</v>
      </c>
      <c r="E443" t="s">
        <v>75</v>
      </c>
    </row>
    <row r="444" spans="1:5" x14ac:dyDescent="0.25">
      <c r="A444" s="10" t="s">
        <v>994</v>
      </c>
      <c r="B444" s="10" t="s">
        <v>994</v>
      </c>
      <c r="C444" s="9" t="s">
        <v>995</v>
      </c>
      <c r="D444" s="9" t="s">
        <v>75</v>
      </c>
      <c r="E444" t="s">
        <v>75</v>
      </c>
    </row>
    <row r="445" spans="1:5" x14ac:dyDescent="0.25">
      <c r="A445" s="10" t="s">
        <v>996</v>
      </c>
      <c r="B445" s="10" t="s">
        <v>996</v>
      </c>
      <c r="C445" s="9" t="s">
        <v>997</v>
      </c>
      <c r="D445" s="9" t="s">
        <v>75</v>
      </c>
      <c r="E445" t="s">
        <v>75</v>
      </c>
    </row>
    <row r="446" spans="1:5" x14ac:dyDescent="0.25">
      <c r="A446" s="10" t="s">
        <v>1001</v>
      </c>
      <c r="B446" s="10" t="s">
        <v>1001</v>
      </c>
      <c r="C446" s="9" t="s">
        <v>1002</v>
      </c>
      <c r="D446" s="9" t="s">
        <v>75</v>
      </c>
      <c r="E446" t="s">
        <v>75</v>
      </c>
    </row>
    <row r="447" spans="1:5" x14ac:dyDescent="0.25">
      <c r="A447" s="10" t="s">
        <v>1003</v>
      </c>
      <c r="B447" s="10" t="s">
        <v>1003</v>
      </c>
      <c r="C447" s="9" t="s">
        <v>1004</v>
      </c>
      <c r="D447" s="9" t="s">
        <v>75</v>
      </c>
      <c r="E447" t="s">
        <v>75</v>
      </c>
    </row>
    <row r="448" spans="1:5" x14ac:dyDescent="0.25">
      <c r="A448" s="10" t="s">
        <v>1005</v>
      </c>
      <c r="B448" s="10" t="s">
        <v>1005</v>
      </c>
      <c r="C448" s="9" t="s">
        <v>1006</v>
      </c>
      <c r="D448" s="9" t="s">
        <v>75</v>
      </c>
      <c r="E448" t="s">
        <v>75</v>
      </c>
    </row>
    <row r="449" spans="1:5" x14ac:dyDescent="0.25">
      <c r="A449" s="10" t="s">
        <v>1007</v>
      </c>
      <c r="B449" s="10" t="s">
        <v>1007</v>
      </c>
      <c r="C449" s="9" t="s">
        <v>1008</v>
      </c>
      <c r="D449" s="9" t="s">
        <v>75</v>
      </c>
      <c r="E449" t="s">
        <v>75</v>
      </c>
    </row>
    <row r="450" spans="1:5" x14ac:dyDescent="0.25">
      <c r="A450" s="10" t="s">
        <v>1009</v>
      </c>
      <c r="B450" s="10" t="s">
        <v>1009</v>
      </c>
      <c r="C450" s="9" t="s">
        <v>1010</v>
      </c>
      <c r="D450" s="9" t="s">
        <v>75</v>
      </c>
      <c r="E450" t="s">
        <v>75</v>
      </c>
    </row>
    <row r="451" spans="1:5" x14ac:dyDescent="0.25">
      <c r="A451" s="10" t="s">
        <v>1011</v>
      </c>
      <c r="B451" s="10" t="s">
        <v>1011</v>
      </c>
      <c r="C451" s="9" t="s">
        <v>1012</v>
      </c>
      <c r="D451" s="9" t="s">
        <v>75</v>
      </c>
      <c r="E451" t="s">
        <v>75</v>
      </c>
    </row>
    <row r="452" spans="1:5" x14ac:dyDescent="0.25">
      <c r="A452" s="10" t="s">
        <v>1013</v>
      </c>
      <c r="B452" s="10" t="s">
        <v>1013</v>
      </c>
      <c r="C452" s="9" t="s">
        <v>1014</v>
      </c>
      <c r="D452" s="9" t="s">
        <v>75</v>
      </c>
      <c r="E452" t="s">
        <v>75</v>
      </c>
    </row>
    <row r="453" spans="1:5" x14ac:dyDescent="0.25">
      <c r="A453" s="10" t="s">
        <v>1015</v>
      </c>
      <c r="B453" s="10" t="s">
        <v>1015</v>
      </c>
      <c r="C453" s="9" t="s">
        <v>1016</v>
      </c>
      <c r="D453" s="9" t="s">
        <v>75</v>
      </c>
      <c r="E453" t="s">
        <v>75</v>
      </c>
    </row>
    <row r="454" spans="1:5" x14ac:dyDescent="0.25">
      <c r="A454" s="10" t="s">
        <v>1017</v>
      </c>
      <c r="B454" s="10" t="s">
        <v>1017</v>
      </c>
      <c r="C454" s="9" t="s">
        <v>1018</v>
      </c>
      <c r="D454" s="9" t="s">
        <v>75</v>
      </c>
      <c r="E454" t="s">
        <v>75</v>
      </c>
    </row>
    <row r="455" spans="1:5" x14ac:dyDescent="0.25">
      <c r="A455" s="10" t="s">
        <v>1019</v>
      </c>
      <c r="B455" s="10" t="s">
        <v>1019</v>
      </c>
      <c r="C455" s="9" t="s">
        <v>1020</v>
      </c>
      <c r="D455" s="9" t="s">
        <v>75</v>
      </c>
      <c r="E455" t="s">
        <v>75</v>
      </c>
    </row>
    <row r="456" spans="1:5" x14ac:dyDescent="0.25">
      <c r="A456" s="10" t="s">
        <v>1021</v>
      </c>
      <c r="B456" s="10" t="s">
        <v>1021</v>
      </c>
      <c r="C456" s="9" t="s">
        <v>1022</v>
      </c>
      <c r="D456" s="9" t="s">
        <v>75</v>
      </c>
      <c r="E456" t="s">
        <v>75</v>
      </c>
    </row>
    <row r="457" spans="1:5" x14ac:dyDescent="0.25">
      <c r="A457" s="10" t="s">
        <v>1023</v>
      </c>
      <c r="B457" s="10" t="s">
        <v>1023</v>
      </c>
      <c r="C457" s="9" t="s">
        <v>1024</v>
      </c>
      <c r="D457" s="9" t="s">
        <v>75</v>
      </c>
      <c r="E457" t="s">
        <v>75</v>
      </c>
    </row>
    <row r="458" spans="1:5" x14ac:dyDescent="0.25">
      <c r="A458" s="10" t="s">
        <v>1025</v>
      </c>
      <c r="B458" s="10" t="s">
        <v>1025</v>
      </c>
      <c r="C458" s="9" t="s">
        <v>1026</v>
      </c>
      <c r="D458" s="9" t="s">
        <v>75</v>
      </c>
      <c r="E458" t="s">
        <v>75</v>
      </c>
    </row>
    <row r="459" spans="1:5" x14ac:dyDescent="0.25">
      <c r="A459" s="10" t="s">
        <v>1027</v>
      </c>
      <c r="B459" s="10" t="s">
        <v>1027</v>
      </c>
      <c r="C459" s="9" t="s">
        <v>1028</v>
      </c>
      <c r="D459" s="9" t="s">
        <v>75</v>
      </c>
      <c r="E459" t="s">
        <v>75</v>
      </c>
    </row>
    <row r="460" spans="1:5" x14ac:dyDescent="0.25">
      <c r="A460" s="10" t="s">
        <v>1029</v>
      </c>
      <c r="B460" s="10" t="s">
        <v>1029</v>
      </c>
      <c r="C460" s="9" t="s">
        <v>1030</v>
      </c>
      <c r="D460" s="9" t="s">
        <v>75</v>
      </c>
      <c r="E460" t="s">
        <v>75</v>
      </c>
    </row>
    <row r="461" spans="1:5" x14ac:dyDescent="0.25">
      <c r="A461" s="10" t="s">
        <v>1031</v>
      </c>
      <c r="B461" s="10" t="s">
        <v>1031</v>
      </c>
      <c r="C461" s="9" t="s">
        <v>1032</v>
      </c>
      <c r="D461" s="9" t="s">
        <v>75</v>
      </c>
      <c r="E461" t="s">
        <v>75</v>
      </c>
    </row>
    <row r="462" spans="1:5" x14ac:dyDescent="0.25">
      <c r="A462" s="10" t="s">
        <v>1033</v>
      </c>
      <c r="B462" s="10" t="s">
        <v>1033</v>
      </c>
      <c r="C462" s="9" t="s">
        <v>1034</v>
      </c>
      <c r="D462" s="9" t="s">
        <v>75</v>
      </c>
      <c r="E462" t="s">
        <v>75</v>
      </c>
    </row>
    <row r="463" spans="1:5" x14ac:dyDescent="0.25">
      <c r="A463" s="10" t="s">
        <v>1038</v>
      </c>
      <c r="B463" s="10" t="s">
        <v>1038</v>
      </c>
      <c r="C463" s="9" t="s">
        <v>1039</v>
      </c>
      <c r="D463" s="9" t="s">
        <v>75</v>
      </c>
      <c r="E463" t="s">
        <v>75</v>
      </c>
    </row>
    <row r="464" spans="1:5" x14ac:dyDescent="0.25">
      <c r="A464" s="10" t="s">
        <v>1040</v>
      </c>
      <c r="B464" s="10" t="s">
        <v>1040</v>
      </c>
      <c r="C464" s="9" t="s">
        <v>1041</v>
      </c>
      <c r="D464" s="9" t="s">
        <v>75</v>
      </c>
      <c r="E464" t="s">
        <v>75</v>
      </c>
    </row>
    <row r="465" spans="1:5" x14ac:dyDescent="0.25">
      <c r="A465" s="10" t="s">
        <v>1042</v>
      </c>
      <c r="B465" s="10" t="s">
        <v>1042</v>
      </c>
      <c r="C465" s="9" t="s">
        <v>1043</v>
      </c>
      <c r="D465" s="9" t="s">
        <v>75</v>
      </c>
      <c r="E465" t="s">
        <v>75</v>
      </c>
    </row>
    <row r="466" spans="1:5" x14ac:dyDescent="0.25">
      <c r="A466" s="10" t="s">
        <v>1044</v>
      </c>
      <c r="B466" s="10" t="s">
        <v>1044</v>
      </c>
      <c r="C466" s="9" t="s">
        <v>1045</v>
      </c>
      <c r="D466" s="9" t="s">
        <v>75</v>
      </c>
      <c r="E466" t="s">
        <v>75</v>
      </c>
    </row>
    <row r="467" spans="1:5" x14ac:dyDescent="0.25">
      <c r="A467" s="10" t="s">
        <v>1046</v>
      </c>
      <c r="B467" s="10" t="s">
        <v>1046</v>
      </c>
      <c r="C467" s="9" t="s">
        <v>1047</v>
      </c>
      <c r="D467" s="9" t="s">
        <v>75</v>
      </c>
      <c r="E467" t="s">
        <v>75</v>
      </c>
    </row>
    <row r="468" spans="1:5" x14ac:dyDescent="0.25">
      <c r="A468" s="10" t="s">
        <v>1053</v>
      </c>
      <c r="B468" s="10" t="s">
        <v>1053</v>
      </c>
      <c r="C468" s="9" t="s">
        <v>1054</v>
      </c>
      <c r="D468" s="9" t="s">
        <v>75</v>
      </c>
      <c r="E468" t="s">
        <v>75</v>
      </c>
    </row>
    <row r="469" spans="1:5" x14ac:dyDescent="0.25">
      <c r="A469" s="10" t="s">
        <v>1055</v>
      </c>
      <c r="B469" s="10" t="s">
        <v>1055</v>
      </c>
      <c r="C469" s="9" t="s">
        <v>1056</v>
      </c>
      <c r="D469" s="9" t="s">
        <v>75</v>
      </c>
      <c r="E469" t="s">
        <v>75</v>
      </c>
    </row>
    <row r="470" spans="1:5" x14ac:dyDescent="0.25">
      <c r="A470" s="10" t="s">
        <v>1057</v>
      </c>
      <c r="B470" s="10" t="s">
        <v>1057</v>
      </c>
      <c r="C470" s="9" t="s">
        <v>1058</v>
      </c>
      <c r="D470" s="9" t="s">
        <v>75</v>
      </c>
      <c r="E470" t="s">
        <v>75</v>
      </c>
    </row>
    <row r="471" spans="1:5" x14ac:dyDescent="0.25">
      <c r="A471" s="10" t="s">
        <v>1059</v>
      </c>
      <c r="B471" s="10" t="s">
        <v>1059</v>
      </c>
      <c r="C471" s="9" t="s">
        <v>1060</v>
      </c>
      <c r="D471" s="9" t="s">
        <v>75</v>
      </c>
      <c r="E471" t="s">
        <v>75</v>
      </c>
    </row>
    <row r="472" spans="1:5" x14ac:dyDescent="0.25">
      <c r="A472" s="10" t="s">
        <v>1061</v>
      </c>
      <c r="B472" s="10" t="s">
        <v>1061</v>
      </c>
      <c r="C472" s="9" t="s">
        <v>1062</v>
      </c>
      <c r="D472" s="9" t="s">
        <v>75</v>
      </c>
      <c r="E472" t="s">
        <v>75</v>
      </c>
    </row>
    <row r="473" spans="1:5" x14ac:dyDescent="0.25">
      <c r="A473" s="10" t="s">
        <v>1063</v>
      </c>
      <c r="B473" s="10" t="s">
        <v>1063</v>
      </c>
      <c r="C473" s="9" t="s">
        <v>1064</v>
      </c>
      <c r="D473" s="9" t="s">
        <v>75</v>
      </c>
      <c r="E473" t="s">
        <v>75</v>
      </c>
    </row>
    <row r="474" spans="1:5" x14ac:dyDescent="0.25">
      <c r="A474" s="10" t="s">
        <v>1065</v>
      </c>
      <c r="B474" s="10" t="s">
        <v>1065</v>
      </c>
      <c r="C474" s="9" t="s">
        <v>1066</v>
      </c>
      <c r="D474" s="9" t="s">
        <v>75</v>
      </c>
      <c r="E474" t="s">
        <v>75</v>
      </c>
    </row>
    <row r="475" spans="1:5" x14ac:dyDescent="0.25">
      <c r="A475" s="10" t="s">
        <v>1067</v>
      </c>
      <c r="B475" s="10" t="s">
        <v>1067</v>
      </c>
      <c r="C475" s="9" t="s">
        <v>1068</v>
      </c>
      <c r="D475" s="9" t="s">
        <v>75</v>
      </c>
      <c r="E475" t="s">
        <v>75</v>
      </c>
    </row>
    <row r="476" spans="1:5" x14ac:dyDescent="0.25">
      <c r="A476" s="10" t="s">
        <v>1069</v>
      </c>
      <c r="B476" s="10" t="s">
        <v>1069</v>
      </c>
      <c r="C476" s="9" t="s">
        <v>1070</v>
      </c>
      <c r="D476" s="9" t="s">
        <v>75</v>
      </c>
      <c r="E476" t="s">
        <v>75</v>
      </c>
    </row>
    <row r="477" spans="1:5" x14ac:dyDescent="0.25">
      <c r="A477" s="10" t="s">
        <v>1071</v>
      </c>
      <c r="B477" s="10" t="s">
        <v>1071</v>
      </c>
      <c r="C477" s="9" t="s">
        <v>1072</v>
      </c>
      <c r="D477" s="9" t="s">
        <v>75</v>
      </c>
      <c r="E477" t="s">
        <v>75</v>
      </c>
    </row>
    <row r="478" spans="1:5" x14ac:dyDescent="0.25">
      <c r="A478" s="10" t="s">
        <v>1073</v>
      </c>
      <c r="B478" s="10" t="s">
        <v>1073</v>
      </c>
      <c r="C478" s="9" t="s">
        <v>1074</v>
      </c>
      <c r="D478" s="9" t="s">
        <v>75</v>
      </c>
      <c r="E478" t="s">
        <v>75</v>
      </c>
    </row>
    <row r="479" spans="1:5" x14ac:dyDescent="0.25">
      <c r="A479" s="10" t="s">
        <v>1075</v>
      </c>
      <c r="B479" s="10" t="s">
        <v>1075</v>
      </c>
      <c r="C479" s="9" t="s">
        <v>1076</v>
      </c>
      <c r="D479" s="9" t="s">
        <v>75</v>
      </c>
      <c r="E479" t="s">
        <v>75</v>
      </c>
    </row>
    <row r="480" spans="1:5" x14ac:dyDescent="0.25">
      <c r="A480" s="10" t="s">
        <v>1077</v>
      </c>
      <c r="B480" s="10" t="s">
        <v>1077</v>
      </c>
      <c r="C480" s="9" t="s">
        <v>1078</v>
      </c>
      <c r="D480" s="9" t="s">
        <v>75</v>
      </c>
      <c r="E480" t="s">
        <v>75</v>
      </c>
    </row>
    <row r="481" spans="1:5" x14ac:dyDescent="0.25">
      <c r="A481" s="10" t="s">
        <v>1079</v>
      </c>
      <c r="B481" s="10" t="s">
        <v>1079</v>
      </c>
      <c r="C481" s="9" t="s">
        <v>1080</v>
      </c>
      <c r="D481" s="9" t="s">
        <v>75</v>
      </c>
      <c r="E481" t="s">
        <v>75</v>
      </c>
    </row>
    <row r="482" spans="1:5" x14ac:dyDescent="0.25">
      <c r="A482" s="10" t="s">
        <v>1081</v>
      </c>
      <c r="B482" s="10" t="s">
        <v>1081</v>
      </c>
      <c r="C482" s="9" t="s">
        <v>1082</v>
      </c>
      <c r="D482" s="9" t="s">
        <v>75</v>
      </c>
      <c r="E482" t="s">
        <v>75</v>
      </c>
    </row>
    <row r="483" spans="1:5" x14ac:dyDescent="0.25">
      <c r="A483" s="10" t="s">
        <v>1083</v>
      </c>
      <c r="B483" s="10" t="s">
        <v>1083</v>
      </c>
      <c r="C483" s="9" t="s">
        <v>1084</v>
      </c>
      <c r="D483" s="9" t="s">
        <v>75</v>
      </c>
      <c r="E483" t="s">
        <v>75</v>
      </c>
    </row>
    <row r="484" spans="1:5" x14ac:dyDescent="0.25">
      <c r="A484" s="10" t="s">
        <v>1085</v>
      </c>
      <c r="B484" s="10" t="s">
        <v>1085</v>
      </c>
      <c r="C484" s="9" t="s">
        <v>1086</v>
      </c>
      <c r="D484" s="9" t="s">
        <v>75</v>
      </c>
      <c r="E484" t="s">
        <v>75</v>
      </c>
    </row>
    <row r="485" spans="1:5" x14ac:dyDescent="0.25">
      <c r="A485" s="10" t="s">
        <v>1090</v>
      </c>
      <c r="B485" s="10" t="s">
        <v>1090</v>
      </c>
      <c r="C485" s="9" t="s">
        <v>1091</v>
      </c>
      <c r="D485" s="9" t="s">
        <v>75</v>
      </c>
      <c r="E485" t="s">
        <v>75</v>
      </c>
    </row>
    <row r="486" spans="1:5" x14ac:dyDescent="0.25">
      <c r="A486" s="10" t="s">
        <v>1092</v>
      </c>
      <c r="B486" s="10" t="s">
        <v>1092</v>
      </c>
      <c r="C486" s="9" t="s">
        <v>1093</v>
      </c>
      <c r="D486" s="9" t="s">
        <v>75</v>
      </c>
      <c r="E486" t="s">
        <v>75</v>
      </c>
    </row>
    <row r="487" spans="1:5" x14ac:dyDescent="0.25">
      <c r="A487" s="10" t="s">
        <v>1094</v>
      </c>
      <c r="B487" s="10" t="s">
        <v>1094</v>
      </c>
      <c r="C487" s="9" t="s">
        <v>1095</v>
      </c>
      <c r="D487" s="9" t="s">
        <v>75</v>
      </c>
      <c r="E487" t="s">
        <v>75</v>
      </c>
    </row>
    <row r="488" spans="1:5" x14ac:dyDescent="0.25">
      <c r="A488" s="10" t="s">
        <v>1096</v>
      </c>
      <c r="B488" s="10" t="s">
        <v>1096</v>
      </c>
      <c r="C488" s="9" t="s">
        <v>1097</v>
      </c>
      <c r="D488" s="9" t="s">
        <v>75</v>
      </c>
      <c r="E488" t="s">
        <v>75</v>
      </c>
    </row>
    <row r="489" spans="1:5" x14ac:dyDescent="0.25">
      <c r="A489" s="10" t="s">
        <v>1098</v>
      </c>
      <c r="B489" s="10" t="s">
        <v>1098</v>
      </c>
      <c r="C489" s="9" t="s">
        <v>1099</v>
      </c>
      <c r="D489" s="9" t="s">
        <v>75</v>
      </c>
      <c r="E489" t="s">
        <v>75</v>
      </c>
    </row>
    <row r="490" spans="1:5" x14ac:dyDescent="0.25">
      <c r="A490" s="10" t="s">
        <v>1100</v>
      </c>
      <c r="B490" s="10" t="s">
        <v>1100</v>
      </c>
      <c r="C490" s="9" t="s">
        <v>1101</v>
      </c>
      <c r="D490" s="9" t="s">
        <v>75</v>
      </c>
      <c r="E490" t="s">
        <v>75</v>
      </c>
    </row>
    <row r="491" spans="1:5" x14ac:dyDescent="0.25">
      <c r="A491" s="10" t="s">
        <v>1102</v>
      </c>
      <c r="B491" s="10" t="s">
        <v>1102</v>
      </c>
      <c r="C491" s="9" t="s">
        <v>1103</v>
      </c>
      <c r="D491" s="9" t="s">
        <v>75</v>
      </c>
      <c r="E491" t="s">
        <v>75</v>
      </c>
    </row>
    <row r="492" spans="1:5" x14ac:dyDescent="0.25">
      <c r="A492" s="10" t="s">
        <v>1107</v>
      </c>
      <c r="B492" s="10" t="s">
        <v>1107</v>
      </c>
      <c r="C492" s="9" t="s">
        <v>1108</v>
      </c>
      <c r="D492" s="9" t="s">
        <v>75</v>
      </c>
      <c r="E492" t="s">
        <v>75</v>
      </c>
    </row>
    <row r="493" spans="1:5" x14ac:dyDescent="0.25">
      <c r="A493" s="10" t="s">
        <v>1109</v>
      </c>
      <c r="B493" s="10" t="s">
        <v>1109</v>
      </c>
      <c r="C493" s="9" t="s">
        <v>1110</v>
      </c>
      <c r="D493" s="9" t="s">
        <v>75</v>
      </c>
      <c r="E493" t="s">
        <v>75</v>
      </c>
    </row>
    <row r="494" spans="1:5" x14ac:dyDescent="0.25">
      <c r="A494" s="10" t="s">
        <v>1111</v>
      </c>
      <c r="B494" s="10" t="s">
        <v>1111</v>
      </c>
      <c r="C494" s="9" t="s">
        <v>1112</v>
      </c>
      <c r="D494" s="9" t="s">
        <v>75</v>
      </c>
      <c r="E494" t="s">
        <v>75</v>
      </c>
    </row>
    <row r="495" spans="1:5" x14ac:dyDescent="0.25">
      <c r="A495" s="10" t="s">
        <v>1113</v>
      </c>
      <c r="B495" s="10" t="s">
        <v>1113</v>
      </c>
      <c r="C495" s="9" t="s">
        <v>1114</v>
      </c>
      <c r="D495" s="9" t="s">
        <v>75</v>
      </c>
      <c r="E495" t="s">
        <v>75</v>
      </c>
    </row>
    <row r="496" spans="1:5" x14ac:dyDescent="0.25">
      <c r="A496" s="10" t="s">
        <v>1115</v>
      </c>
      <c r="B496" s="10" t="s">
        <v>1115</v>
      </c>
      <c r="C496" s="9" t="s">
        <v>1116</v>
      </c>
      <c r="D496" s="9" t="s">
        <v>75</v>
      </c>
      <c r="E496" t="s">
        <v>75</v>
      </c>
    </row>
    <row r="497" spans="1:5" x14ac:dyDescent="0.25">
      <c r="A497" s="10" t="s">
        <v>1117</v>
      </c>
      <c r="B497" s="10" t="s">
        <v>1117</v>
      </c>
      <c r="C497" s="9" t="s">
        <v>1118</v>
      </c>
      <c r="D497" s="9" t="s">
        <v>75</v>
      </c>
      <c r="E497" t="s">
        <v>75</v>
      </c>
    </row>
    <row r="498" spans="1:5" x14ac:dyDescent="0.25">
      <c r="A498" s="10" t="s">
        <v>1119</v>
      </c>
      <c r="B498" s="10" t="s">
        <v>1119</v>
      </c>
      <c r="C498" s="9" t="s">
        <v>1120</v>
      </c>
      <c r="D498" s="9" t="s">
        <v>75</v>
      </c>
      <c r="E498" t="s">
        <v>75</v>
      </c>
    </row>
    <row r="499" spans="1:5" x14ac:dyDescent="0.25">
      <c r="A499" s="10" t="s">
        <v>1121</v>
      </c>
      <c r="B499" s="10" t="s">
        <v>1121</v>
      </c>
      <c r="C499" s="9" t="s">
        <v>1122</v>
      </c>
      <c r="D499" s="9" t="s">
        <v>75</v>
      </c>
      <c r="E499" t="s">
        <v>75</v>
      </c>
    </row>
    <row r="500" spans="1:5" x14ac:dyDescent="0.25">
      <c r="A500" s="10" t="s">
        <v>1123</v>
      </c>
      <c r="B500" s="10" t="s">
        <v>1123</v>
      </c>
      <c r="C500" s="9" t="s">
        <v>1124</v>
      </c>
      <c r="D500" s="9" t="s">
        <v>75</v>
      </c>
      <c r="E500" t="s">
        <v>75</v>
      </c>
    </row>
    <row r="501" spans="1:5" x14ac:dyDescent="0.25">
      <c r="A501" s="10" t="s">
        <v>1125</v>
      </c>
      <c r="B501" s="10" t="s">
        <v>1125</v>
      </c>
      <c r="C501" s="9" t="s">
        <v>1126</v>
      </c>
      <c r="D501" s="9" t="s">
        <v>75</v>
      </c>
      <c r="E501" t="s">
        <v>75</v>
      </c>
    </row>
    <row r="502" spans="1:5" x14ac:dyDescent="0.25">
      <c r="A502" s="10" t="s">
        <v>1127</v>
      </c>
      <c r="B502" s="10" t="s">
        <v>1127</v>
      </c>
      <c r="C502" s="9" t="s">
        <v>1128</v>
      </c>
      <c r="D502" s="9" t="s">
        <v>75</v>
      </c>
      <c r="E502" t="s">
        <v>75</v>
      </c>
    </row>
    <row r="503" spans="1:5" x14ac:dyDescent="0.25">
      <c r="A503" s="10" t="s">
        <v>1129</v>
      </c>
      <c r="B503" s="10" t="s">
        <v>1129</v>
      </c>
      <c r="C503" s="9" t="s">
        <v>1130</v>
      </c>
      <c r="D503" s="9" t="s">
        <v>75</v>
      </c>
      <c r="E503" t="s">
        <v>75</v>
      </c>
    </row>
    <row r="504" spans="1:5" x14ac:dyDescent="0.25">
      <c r="A504" s="10" t="s">
        <v>1134</v>
      </c>
      <c r="B504" s="10" t="s">
        <v>1134</v>
      </c>
      <c r="C504" s="9" t="s">
        <v>1135</v>
      </c>
      <c r="D504" s="9" t="s">
        <v>75</v>
      </c>
      <c r="E504" t="s">
        <v>75</v>
      </c>
    </row>
    <row r="505" spans="1:5" x14ac:dyDescent="0.25">
      <c r="A505" s="10" t="s">
        <v>1136</v>
      </c>
      <c r="B505" s="10" t="s">
        <v>1136</v>
      </c>
      <c r="C505" s="9" t="s">
        <v>1137</v>
      </c>
      <c r="D505" s="9" t="s">
        <v>75</v>
      </c>
      <c r="E505" t="s">
        <v>75</v>
      </c>
    </row>
    <row r="506" spans="1:5" x14ac:dyDescent="0.25">
      <c r="A506" s="10" t="s">
        <v>1138</v>
      </c>
      <c r="B506" s="10" t="s">
        <v>1138</v>
      </c>
      <c r="C506" s="9" t="s">
        <v>1139</v>
      </c>
      <c r="D506" s="9" t="s">
        <v>75</v>
      </c>
      <c r="E506" t="s">
        <v>75</v>
      </c>
    </row>
    <row r="507" spans="1:5" x14ac:dyDescent="0.25">
      <c r="A507" s="10" t="s">
        <v>1140</v>
      </c>
      <c r="B507" s="10" t="s">
        <v>1140</v>
      </c>
      <c r="C507" s="9" t="s">
        <v>1141</v>
      </c>
      <c r="D507" s="9" t="s">
        <v>75</v>
      </c>
      <c r="E507" t="s">
        <v>75</v>
      </c>
    </row>
    <row r="508" spans="1:5" x14ac:dyDescent="0.25">
      <c r="A508" s="10" t="s">
        <v>1142</v>
      </c>
      <c r="B508" s="10" t="s">
        <v>1142</v>
      </c>
      <c r="C508" s="9" t="s">
        <v>1143</v>
      </c>
      <c r="D508" s="9" t="s">
        <v>75</v>
      </c>
      <c r="E508" t="s">
        <v>75</v>
      </c>
    </row>
    <row r="509" spans="1:5" x14ac:dyDescent="0.25">
      <c r="A509" s="10" t="s">
        <v>1144</v>
      </c>
      <c r="B509" s="10" t="s">
        <v>1144</v>
      </c>
      <c r="C509" s="9" t="s">
        <v>1145</v>
      </c>
      <c r="D509" s="9" t="s">
        <v>75</v>
      </c>
      <c r="E509" t="s">
        <v>75</v>
      </c>
    </row>
    <row r="510" spans="1:5" x14ac:dyDescent="0.25">
      <c r="A510" s="10" t="s">
        <v>1146</v>
      </c>
      <c r="B510" s="10" t="s">
        <v>1146</v>
      </c>
      <c r="C510" s="9" t="s">
        <v>1147</v>
      </c>
      <c r="D510" s="9" t="s">
        <v>75</v>
      </c>
      <c r="E510" t="s">
        <v>75</v>
      </c>
    </row>
    <row r="511" spans="1:5" x14ac:dyDescent="0.25">
      <c r="A511" s="10" t="s">
        <v>1148</v>
      </c>
      <c r="B511" s="10" t="s">
        <v>1148</v>
      </c>
      <c r="C511" s="9" t="s">
        <v>1149</v>
      </c>
      <c r="D511" s="9" t="s">
        <v>75</v>
      </c>
      <c r="E511" t="s">
        <v>75</v>
      </c>
    </row>
    <row r="512" spans="1:5" x14ac:dyDescent="0.25">
      <c r="A512" s="10" t="s">
        <v>1150</v>
      </c>
      <c r="B512" s="10" t="s">
        <v>1150</v>
      </c>
      <c r="C512" s="9" t="s">
        <v>1151</v>
      </c>
      <c r="D512" s="9" t="s">
        <v>75</v>
      </c>
      <c r="E512" t="s">
        <v>75</v>
      </c>
    </row>
    <row r="513" spans="1:5" x14ac:dyDescent="0.25">
      <c r="A513" s="10" t="s">
        <v>1152</v>
      </c>
      <c r="B513" s="10" t="s">
        <v>1152</v>
      </c>
      <c r="C513" s="9" t="s">
        <v>1153</v>
      </c>
      <c r="D513" s="9" t="s">
        <v>75</v>
      </c>
      <c r="E513" t="s">
        <v>75</v>
      </c>
    </row>
    <row r="514" spans="1:5" x14ac:dyDescent="0.25">
      <c r="A514" s="10" t="s">
        <v>1154</v>
      </c>
      <c r="B514" s="10" t="s">
        <v>1154</v>
      </c>
      <c r="C514" s="9" t="s">
        <v>1155</v>
      </c>
      <c r="D514" s="9" t="s">
        <v>75</v>
      </c>
      <c r="E514" t="s">
        <v>75</v>
      </c>
    </row>
    <row r="515" spans="1:5" x14ac:dyDescent="0.25">
      <c r="A515" s="10" t="s">
        <v>1156</v>
      </c>
      <c r="B515" s="10" t="s">
        <v>1156</v>
      </c>
      <c r="C515" s="9" t="s">
        <v>1157</v>
      </c>
      <c r="D515" s="9" t="s">
        <v>75</v>
      </c>
      <c r="E515" t="s">
        <v>75</v>
      </c>
    </row>
    <row r="516" spans="1:5" x14ac:dyDescent="0.25">
      <c r="A516" s="10" t="s">
        <v>1158</v>
      </c>
      <c r="B516" s="10" t="s">
        <v>1158</v>
      </c>
      <c r="C516" s="9" t="s">
        <v>1159</v>
      </c>
      <c r="D516" s="9" t="s">
        <v>75</v>
      </c>
      <c r="E516" t="s">
        <v>75</v>
      </c>
    </row>
    <row r="517" spans="1:5" x14ac:dyDescent="0.25">
      <c r="A517" s="10" t="s">
        <v>1160</v>
      </c>
      <c r="B517" s="10" t="s">
        <v>1160</v>
      </c>
      <c r="C517" s="9" t="s">
        <v>1161</v>
      </c>
      <c r="D517" s="9" t="s">
        <v>75</v>
      </c>
      <c r="E517" t="s">
        <v>75</v>
      </c>
    </row>
    <row r="518" spans="1:5" x14ac:dyDescent="0.25">
      <c r="A518" s="10" t="s">
        <v>1162</v>
      </c>
      <c r="B518" s="10" t="s">
        <v>1162</v>
      </c>
      <c r="C518" s="9" t="s">
        <v>1163</v>
      </c>
      <c r="D518" s="9" t="s">
        <v>75</v>
      </c>
      <c r="E518" t="s">
        <v>75</v>
      </c>
    </row>
    <row r="519" spans="1:5" x14ac:dyDescent="0.25">
      <c r="A519" s="10" t="s">
        <v>1164</v>
      </c>
      <c r="B519" s="10" t="s">
        <v>1164</v>
      </c>
      <c r="C519" s="9" t="s">
        <v>1165</v>
      </c>
      <c r="D519" s="9" t="s">
        <v>75</v>
      </c>
      <c r="E519" t="s">
        <v>75</v>
      </c>
    </row>
    <row r="520" spans="1:5" x14ac:dyDescent="0.25">
      <c r="A520" s="10" t="s">
        <v>1166</v>
      </c>
      <c r="B520" s="10" t="s">
        <v>1166</v>
      </c>
      <c r="C520" s="9" t="s">
        <v>1167</v>
      </c>
      <c r="D520" s="9" t="s">
        <v>75</v>
      </c>
      <c r="E520" t="s">
        <v>75</v>
      </c>
    </row>
    <row r="521" spans="1:5" x14ac:dyDescent="0.25">
      <c r="A521" s="10" t="s">
        <v>1168</v>
      </c>
      <c r="B521" s="10" t="s">
        <v>1168</v>
      </c>
      <c r="C521" s="9" t="s">
        <v>1169</v>
      </c>
      <c r="D521" s="9" t="s">
        <v>75</v>
      </c>
      <c r="E521" t="s">
        <v>75</v>
      </c>
    </row>
    <row r="522" spans="1:5" x14ac:dyDescent="0.25">
      <c r="A522" s="10" t="s">
        <v>1170</v>
      </c>
      <c r="B522" s="10" t="s">
        <v>1170</v>
      </c>
      <c r="C522" s="9" t="s">
        <v>1171</v>
      </c>
      <c r="D522" s="9" t="s">
        <v>75</v>
      </c>
      <c r="E522" t="s">
        <v>75</v>
      </c>
    </row>
    <row r="523" spans="1:5" x14ac:dyDescent="0.25">
      <c r="A523" s="10" t="s">
        <v>1172</v>
      </c>
      <c r="B523" s="10" t="s">
        <v>1172</v>
      </c>
      <c r="C523" s="9" t="s">
        <v>1173</v>
      </c>
      <c r="D523" s="9" t="s">
        <v>75</v>
      </c>
      <c r="E523" t="s">
        <v>75</v>
      </c>
    </row>
    <row r="524" spans="1:5" x14ac:dyDescent="0.25">
      <c r="A524" s="10" t="s">
        <v>1174</v>
      </c>
      <c r="B524" s="10" t="s">
        <v>1174</v>
      </c>
      <c r="C524" s="9" t="s">
        <v>1175</v>
      </c>
      <c r="D524" s="9" t="s">
        <v>75</v>
      </c>
      <c r="E524" t="s">
        <v>75</v>
      </c>
    </row>
    <row r="525" spans="1:5" x14ac:dyDescent="0.25">
      <c r="A525" s="10" t="s">
        <v>1176</v>
      </c>
      <c r="B525" s="10" t="s">
        <v>1176</v>
      </c>
      <c r="C525" s="9" t="s">
        <v>1177</v>
      </c>
      <c r="D525" s="9" t="s">
        <v>75</v>
      </c>
      <c r="E525" t="s">
        <v>75</v>
      </c>
    </row>
    <row r="526" spans="1:5" x14ac:dyDescent="0.25">
      <c r="A526" s="10" t="s">
        <v>1178</v>
      </c>
      <c r="B526" s="10" t="s">
        <v>1178</v>
      </c>
      <c r="C526" s="9" t="s">
        <v>1179</v>
      </c>
      <c r="D526" s="9" t="s">
        <v>75</v>
      </c>
      <c r="E526" t="s">
        <v>75</v>
      </c>
    </row>
    <row r="527" spans="1:5" x14ac:dyDescent="0.25">
      <c r="A527" s="10" t="s">
        <v>1180</v>
      </c>
      <c r="B527" s="10" t="s">
        <v>1180</v>
      </c>
      <c r="C527" s="9" t="s">
        <v>1181</v>
      </c>
      <c r="D527" s="9" t="s">
        <v>75</v>
      </c>
      <c r="E527" t="s">
        <v>75</v>
      </c>
    </row>
    <row r="528" spans="1:5" x14ac:dyDescent="0.25">
      <c r="A528" s="10" t="s">
        <v>1182</v>
      </c>
      <c r="B528" s="10" t="s">
        <v>1182</v>
      </c>
      <c r="C528" s="9" t="s">
        <v>1183</v>
      </c>
      <c r="D528" s="9" t="s">
        <v>75</v>
      </c>
      <c r="E528" t="s">
        <v>75</v>
      </c>
    </row>
    <row r="529" spans="1:5" x14ac:dyDescent="0.25">
      <c r="A529" s="10" t="s">
        <v>1184</v>
      </c>
      <c r="B529" s="10" t="s">
        <v>1184</v>
      </c>
      <c r="C529" s="9" t="s">
        <v>1185</v>
      </c>
      <c r="D529" s="9" t="s">
        <v>75</v>
      </c>
      <c r="E529" t="s">
        <v>75</v>
      </c>
    </row>
    <row r="530" spans="1:5" x14ac:dyDescent="0.25">
      <c r="A530" s="10" t="s">
        <v>1186</v>
      </c>
      <c r="B530" s="10" t="s">
        <v>1186</v>
      </c>
      <c r="C530" s="9" t="s">
        <v>1187</v>
      </c>
      <c r="D530" s="9" t="s">
        <v>75</v>
      </c>
      <c r="E530" t="s">
        <v>75</v>
      </c>
    </row>
    <row r="531" spans="1:5" x14ac:dyDescent="0.25">
      <c r="A531" s="10" t="s">
        <v>1188</v>
      </c>
      <c r="B531" s="10" t="s">
        <v>1188</v>
      </c>
      <c r="C531" s="9" t="s">
        <v>1189</v>
      </c>
      <c r="D531" s="9" t="s">
        <v>75</v>
      </c>
      <c r="E531" t="s">
        <v>75</v>
      </c>
    </row>
    <row r="532" spans="1:5" x14ac:dyDescent="0.25">
      <c r="A532" s="10" t="s">
        <v>1190</v>
      </c>
      <c r="B532" s="10" t="s">
        <v>1190</v>
      </c>
      <c r="C532" s="9" t="s">
        <v>1191</v>
      </c>
      <c r="D532" s="9" t="s">
        <v>75</v>
      </c>
      <c r="E532" t="s">
        <v>75</v>
      </c>
    </row>
    <row r="533" spans="1:5" x14ac:dyDescent="0.25">
      <c r="A533" s="10" t="s">
        <v>1192</v>
      </c>
      <c r="B533" s="10" t="s">
        <v>1192</v>
      </c>
      <c r="C533" s="9" t="s">
        <v>1193</v>
      </c>
      <c r="D533" s="9" t="s">
        <v>75</v>
      </c>
      <c r="E533" t="s">
        <v>75</v>
      </c>
    </row>
    <row r="534" spans="1:5" x14ac:dyDescent="0.25">
      <c r="A534" s="10" t="s">
        <v>1194</v>
      </c>
      <c r="B534" s="10" t="s">
        <v>1194</v>
      </c>
      <c r="C534" s="9" t="s">
        <v>1195</v>
      </c>
      <c r="D534" s="9" t="s">
        <v>75</v>
      </c>
      <c r="E534" t="s">
        <v>75</v>
      </c>
    </row>
    <row r="535" spans="1:5" x14ac:dyDescent="0.25">
      <c r="A535" s="10" t="s">
        <v>1196</v>
      </c>
      <c r="B535" s="10" t="s">
        <v>1196</v>
      </c>
      <c r="C535" s="9" t="s">
        <v>1197</v>
      </c>
      <c r="D535" s="9" t="s">
        <v>75</v>
      </c>
      <c r="E535" t="s">
        <v>75</v>
      </c>
    </row>
    <row r="536" spans="1:5" x14ac:dyDescent="0.25">
      <c r="A536" s="10" t="s">
        <v>1198</v>
      </c>
      <c r="B536" s="10" t="s">
        <v>1198</v>
      </c>
      <c r="C536" s="9" t="s">
        <v>1199</v>
      </c>
      <c r="D536" s="9" t="s">
        <v>75</v>
      </c>
      <c r="E536" t="s">
        <v>75</v>
      </c>
    </row>
    <row r="537" spans="1:5" x14ac:dyDescent="0.25">
      <c r="A537" s="10" t="s">
        <v>1200</v>
      </c>
      <c r="B537" s="10" t="s">
        <v>1200</v>
      </c>
      <c r="C537" s="9" t="s">
        <v>1201</v>
      </c>
      <c r="D537" s="9" t="s">
        <v>75</v>
      </c>
      <c r="E537" t="s">
        <v>75</v>
      </c>
    </row>
    <row r="538" spans="1:5" x14ac:dyDescent="0.25">
      <c r="A538" s="10" t="s">
        <v>1202</v>
      </c>
      <c r="B538" s="10" t="s">
        <v>1202</v>
      </c>
      <c r="C538" s="9" t="s">
        <v>1203</v>
      </c>
      <c r="D538" s="9" t="s">
        <v>75</v>
      </c>
      <c r="E538" t="s">
        <v>75</v>
      </c>
    </row>
    <row r="539" spans="1:5" x14ac:dyDescent="0.25">
      <c r="A539" s="10" t="s">
        <v>1204</v>
      </c>
      <c r="B539" s="10" t="s">
        <v>1204</v>
      </c>
      <c r="C539" s="9" t="s">
        <v>1205</v>
      </c>
      <c r="D539" s="9" t="s">
        <v>75</v>
      </c>
      <c r="E539" t="s">
        <v>75</v>
      </c>
    </row>
    <row r="540" spans="1:5" x14ac:dyDescent="0.25">
      <c r="A540" s="10" t="s">
        <v>1206</v>
      </c>
      <c r="B540" s="10" t="s">
        <v>1206</v>
      </c>
      <c r="C540" s="9" t="s">
        <v>1207</v>
      </c>
      <c r="D540" s="9" t="s">
        <v>75</v>
      </c>
      <c r="E540" t="s">
        <v>75</v>
      </c>
    </row>
    <row r="541" spans="1:5" x14ac:dyDescent="0.25">
      <c r="A541" s="10" t="s">
        <v>1208</v>
      </c>
      <c r="B541" s="10" t="s">
        <v>1208</v>
      </c>
      <c r="C541" s="9" t="s">
        <v>1209</v>
      </c>
      <c r="D541" s="9" t="s">
        <v>75</v>
      </c>
      <c r="E541" t="s">
        <v>75</v>
      </c>
    </row>
    <row r="542" spans="1:5" x14ac:dyDescent="0.25">
      <c r="A542" s="10" t="s">
        <v>1210</v>
      </c>
      <c r="B542" s="10" t="s">
        <v>1210</v>
      </c>
      <c r="C542" s="9" t="s">
        <v>1211</v>
      </c>
      <c r="D542" s="9" t="s">
        <v>75</v>
      </c>
      <c r="E542" t="s">
        <v>75</v>
      </c>
    </row>
    <row r="543" spans="1:5" x14ac:dyDescent="0.25">
      <c r="A543" s="10" t="s">
        <v>1212</v>
      </c>
      <c r="B543" s="10" t="s">
        <v>1212</v>
      </c>
      <c r="C543" s="9" t="s">
        <v>1213</v>
      </c>
      <c r="D543" s="9" t="s">
        <v>75</v>
      </c>
      <c r="E543" t="s">
        <v>75</v>
      </c>
    </row>
    <row r="544" spans="1:5" x14ac:dyDescent="0.25">
      <c r="A544" s="10" t="s">
        <v>1214</v>
      </c>
      <c r="B544" s="10" t="s">
        <v>1214</v>
      </c>
      <c r="C544" s="9" t="s">
        <v>1215</v>
      </c>
      <c r="D544" s="9" t="s">
        <v>75</v>
      </c>
      <c r="E544" t="s">
        <v>75</v>
      </c>
    </row>
    <row r="545" spans="1:5" x14ac:dyDescent="0.25">
      <c r="A545" s="10" t="s">
        <v>1216</v>
      </c>
      <c r="B545" s="10" t="s">
        <v>1216</v>
      </c>
      <c r="C545" s="9" t="s">
        <v>1217</v>
      </c>
      <c r="D545" s="9" t="s">
        <v>75</v>
      </c>
      <c r="E545" t="s">
        <v>75</v>
      </c>
    </row>
    <row r="546" spans="1:5" x14ac:dyDescent="0.25">
      <c r="A546" s="10" t="s">
        <v>1218</v>
      </c>
      <c r="B546" s="10" t="s">
        <v>1218</v>
      </c>
      <c r="C546" s="9" t="s">
        <v>1219</v>
      </c>
      <c r="D546" s="9" t="s">
        <v>75</v>
      </c>
      <c r="E546" t="s">
        <v>75</v>
      </c>
    </row>
    <row r="547" spans="1:5" x14ac:dyDescent="0.25">
      <c r="A547" s="10" t="s">
        <v>1220</v>
      </c>
      <c r="B547" s="10" t="s">
        <v>1220</v>
      </c>
      <c r="C547" s="9" t="s">
        <v>1221</v>
      </c>
      <c r="D547" s="9" t="s">
        <v>75</v>
      </c>
      <c r="E547" t="s">
        <v>75</v>
      </c>
    </row>
    <row r="548" spans="1:5" x14ac:dyDescent="0.25">
      <c r="A548" s="10" t="s">
        <v>1222</v>
      </c>
      <c r="B548" s="10" t="s">
        <v>1222</v>
      </c>
      <c r="C548" s="9" t="s">
        <v>1223</v>
      </c>
      <c r="D548" s="9" t="s">
        <v>75</v>
      </c>
      <c r="E548" t="s">
        <v>75</v>
      </c>
    </row>
    <row r="549" spans="1:5" x14ac:dyDescent="0.25">
      <c r="A549" s="10" t="s">
        <v>1224</v>
      </c>
      <c r="B549" s="10" t="s">
        <v>1224</v>
      </c>
      <c r="C549" s="9" t="s">
        <v>1225</v>
      </c>
      <c r="D549" s="9" t="s">
        <v>75</v>
      </c>
      <c r="E549" t="s">
        <v>75</v>
      </c>
    </row>
    <row r="550" spans="1:5" x14ac:dyDescent="0.25">
      <c r="A550" s="10" t="s">
        <v>1226</v>
      </c>
      <c r="B550" s="10" t="s">
        <v>1226</v>
      </c>
      <c r="C550" s="9" t="s">
        <v>1227</v>
      </c>
      <c r="D550" s="9" t="s">
        <v>75</v>
      </c>
      <c r="E550" t="s">
        <v>75</v>
      </c>
    </row>
    <row r="551" spans="1:5" x14ac:dyDescent="0.25">
      <c r="A551" s="10" t="s">
        <v>1228</v>
      </c>
      <c r="B551" s="10" t="s">
        <v>1228</v>
      </c>
      <c r="C551" s="9" t="s">
        <v>1229</v>
      </c>
      <c r="D551" s="9" t="s">
        <v>75</v>
      </c>
      <c r="E551" t="s">
        <v>75</v>
      </c>
    </row>
    <row r="552" spans="1:5" x14ac:dyDescent="0.25">
      <c r="A552" s="10" t="s">
        <v>1230</v>
      </c>
      <c r="B552" s="10" t="s">
        <v>1230</v>
      </c>
      <c r="C552" s="9" t="s">
        <v>1231</v>
      </c>
      <c r="D552" s="9" t="s">
        <v>75</v>
      </c>
      <c r="E552" t="s">
        <v>75</v>
      </c>
    </row>
    <row r="553" spans="1:5" x14ac:dyDescent="0.25">
      <c r="A553" s="10" t="s">
        <v>1238</v>
      </c>
      <c r="B553" s="10" t="s">
        <v>1238</v>
      </c>
      <c r="C553" s="9" t="s">
        <v>1239</v>
      </c>
      <c r="D553" s="9" t="s">
        <v>75</v>
      </c>
      <c r="E553" t="s">
        <v>75</v>
      </c>
    </row>
    <row r="554" spans="1:5" x14ac:dyDescent="0.25">
      <c r="A554" s="10" t="s">
        <v>1240</v>
      </c>
      <c r="B554" s="10" t="s">
        <v>1240</v>
      </c>
      <c r="C554" s="9" t="s">
        <v>1241</v>
      </c>
      <c r="D554" s="9" t="s">
        <v>75</v>
      </c>
      <c r="E554" t="s">
        <v>75</v>
      </c>
    </row>
    <row r="555" spans="1:5" x14ac:dyDescent="0.25">
      <c r="A555" s="10" t="s">
        <v>1242</v>
      </c>
      <c r="B555" s="10" t="s">
        <v>1242</v>
      </c>
      <c r="C555" s="9" t="s">
        <v>1243</v>
      </c>
      <c r="D555" s="9" t="s">
        <v>75</v>
      </c>
      <c r="E555" t="s">
        <v>75</v>
      </c>
    </row>
    <row r="556" spans="1:5" x14ac:dyDescent="0.25">
      <c r="A556" s="10" t="s">
        <v>1244</v>
      </c>
      <c r="B556" s="10" t="s">
        <v>1244</v>
      </c>
      <c r="C556" s="9" t="s">
        <v>1245</v>
      </c>
      <c r="D556" s="9" t="s">
        <v>75</v>
      </c>
      <c r="E556" t="s">
        <v>75</v>
      </c>
    </row>
    <row r="557" spans="1:5" x14ac:dyDescent="0.25">
      <c r="A557" s="10" t="s">
        <v>1246</v>
      </c>
      <c r="B557" s="10" t="s">
        <v>1246</v>
      </c>
      <c r="C557" s="9" t="s">
        <v>1247</v>
      </c>
      <c r="D557" s="9" t="s">
        <v>75</v>
      </c>
      <c r="E557" t="s">
        <v>75</v>
      </c>
    </row>
    <row r="558" spans="1:5" x14ac:dyDescent="0.25">
      <c r="A558" s="10" t="s">
        <v>1248</v>
      </c>
      <c r="B558" s="10" t="s">
        <v>1248</v>
      </c>
      <c r="C558" s="9" t="s">
        <v>1249</v>
      </c>
      <c r="D558" s="9" t="s">
        <v>75</v>
      </c>
      <c r="E558" t="s">
        <v>75</v>
      </c>
    </row>
    <row r="559" spans="1:5" x14ac:dyDescent="0.25">
      <c r="A559" s="10" t="s">
        <v>1250</v>
      </c>
      <c r="B559" s="10" t="s">
        <v>1250</v>
      </c>
      <c r="C559" s="9" t="s">
        <v>1251</v>
      </c>
      <c r="D559" s="9" t="s">
        <v>75</v>
      </c>
      <c r="E559" t="s">
        <v>75</v>
      </c>
    </row>
    <row r="560" spans="1:5" x14ac:dyDescent="0.25">
      <c r="A560" s="10" t="s">
        <v>1252</v>
      </c>
      <c r="B560" s="10" t="s">
        <v>1252</v>
      </c>
      <c r="C560" s="9" t="s">
        <v>1253</v>
      </c>
      <c r="D560" s="9" t="s">
        <v>75</v>
      </c>
      <c r="E560" t="s">
        <v>75</v>
      </c>
    </row>
    <row r="561" spans="1:5" x14ac:dyDescent="0.25">
      <c r="A561" s="10" t="s">
        <v>1254</v>
      </c>
      <c r="B561" s="10" t="s">
        <v>1254</v>
      </c>
      <c r="C561" s="9" t="s">
        <v>1255</v>
      </c>
      <c r="D561" s="9" t="s">
        <v>75</v>
      </c>
      <c r="E561" t="s">
        <v>75</v>
      </c>
    </row>
    <row r="562" spans="1:5" x14ac:dyDescent="0.25">
      <c r="A562" s="10" t="s">
        <v>1256</v>
      </c>
      <c r="B562" s="10" t="s">
        <v>1256</v>
      </c>
      <c r="C562" s="9" t="s">
        <v>1257</v>
      </c>
      <c r="D562" s="9" t="s">
        <v>75</v>
      </c>
      <c r="E562" t="s">
        <v>75</v>
      </c>
    </row>
    <row r="563" spans="1:5" x14ac:dyDescent="0.25">
      <c r="A563" s="10" t="s">
        <v>1258</v>
      </c>
      <c r="B563" s="10" t="s">
        <v>1258</v>
      </c>
      <c r="C563" s="9" t="s">
        <v>1259</v>
      </c>
      <c r="D563" s="9" t="s">
        <v>75</v>
      </c>
      <c r="E563" t="s">
        <v>75</v>
      </c>
    </row>
    <row r="564" spans="1:5" x14ac:dyDescent="0.25">
      <c r="A564" s="10" t="s">
        <v>1260</v>
      </c>
      <c r="B564" s="10" t="s">
        <v>1260</v>
      </c>
      <c r="C564" s="9" t="s">
        <v>1261</v>
      </c>
      <c r="D564" s="9" t="s">
        <v>75</v>
      </c>
      <c r="E564" t="s">
        <v>75</v>
      </c>
    </row>
    <row r="565" spans="1:5" x14ac:dyDescent="0.25">
      <c r="A565" s="10" t="s">
        <v>1262</v>
      </c>
      <c r="B565" s="10" t="s">
        <v>1262</v>
      </c>
      <c r="C565" s="9" t="s">
        <v>1263</v>
      </c>
      <c r="D565" s="9" t="s">
        <v>75</v>
      </c>
      <c r="E565" t="s">
        <v>75</v>
      </c>
    </row>
    <row r="566" spans="1:5" x14ac:dyDescent="0.25">
      <c r="A566" s="10" t="s">
        <v>1264</v>
      </c>
      <c r="B566" s="10" t="s">
        <v>1264</v>
      </c>
      <c r="C566" s="9" t="s">
        <v>1265</v>
      </c>
      <c r="D566" s="9" t="s">
        <v>75</v>
      </c>
      <c r="E566" t="s">
        <v>75</v>
      </c>
    </row>
    <row r="567" spans="1:5" x14ac:dyDescent="0.25">
      <c r="A567" s="10" t="s">
        <v>1266</v>
      </c>
      <c r="B567" s="10" t="s">
        <v>1266</v>
      </c>
      <c r="C567" s="9" t="s">
        <v>1267</v>
      </c>
      <c r="D567" s="9" t="s">
        <v>75</v>
      </c>
      <c r="E567" t="s">
        <v>75</v>
      </c>
    </row>
    <row r="568" spans="1:5" x14ac:dyDescent="0.25">
      <c r="A568" s="10" t="s">
        <v>1268</v>
      </c>
      <c r="B568" s="10" t="s">
        <v>1268</v>
      </c>
      <c r="C568" s="9" t="s">
        <v>1269</v>
      </c>
      <c r="D568" s="9" t="s">
        <v>75</v>
      </c>
      <c r="E568" t="s">
        <v>75</v>
      </c>
    </row>
    <row r="569" spans="1:5" x14ac:dyDescent="0.25">
      <c r="A569" s="10" t="s">
        <v>1270</v>
      </c>
      <c r="B569" s="10" t="s">
        <v>1270</v>
      </c>
      <c r="C569" s="9" t="s">
        <v>1271</v>
      </c>
      <c r="D569" s="9" t="s">
        <v>75</v>
      </c>
      <c r="E569" t="s">
        <v>75</v>
      </c>
    </row>
    <row r="570" spans="1:5" x14ac:dyDescent="0.25">
      <c r="A570" s="10" t="s">
        <v>1272</v>
      </c>
      <c r="B570" s="10" t="s">
        <v>1272</v>
      </c>
      <c r="C570" s="9" t="s">
        <v>1273</v>
      </c>
      <c r="D570" s="9" t="s">
        <v>75</v>
      </c>
      <c r="E570" t="s">
        <v>75</v>
      </c>
    </row>
    <row r="571" spans="1:5" x14ac:dyDescent="0.25">
      <c r="A571" s="10" t="s">
        <v>1274</v>
      </c>
      <c r="B571" s="10" t="s">
        <v>1274</v>
      </c>
      <c r="C571" s="9" t="s">
        <v>1275</v>
      </c>
      <c r="D571" s="9" t="s">
        <v>75</v>
      </c>
      <c r="E571" t="s">
        <v>75</v>
      </c>
    </row>
    <row r="572" spans="1:5" x14ac:dyDescent="0.25">
      <c r="A572" s="10" t="s">
        <v>1276</v>
      </c>
      <c r="B572" s="10" t="s">
        <v>1276</v>
      </c>
      <c r="C572" s="9" t="s">
        <v>1277</v>
      </c>
      <c r="D572" s="9" t="s">
        <v>75</v>
      </c>
      <c r="E572" t="s">
        <v>75</v>
      </c>
    </row>
    <row r="573" spans="1:5" x14ac:dyDescent="0.25">
      <c r="A573" s="10" t="s">
        <v>1278</v>
      </c>
      <c r="B573" s="10" t="s">
        <v>1278</v>
      </c>
      <c r="C573" s="9" t="s">
        <v>1279</v>
      </c>
      <c r="D573" s="9" t="s">
        <v>75</v>
      </c>
      <c r="E573" t="s">
        <v>75</v>
      </c>
    </row>
    <row r="574" spans="1:5" x14ac:dyDescent="0.25">
      <c r="A574" s="10" t="s">
        <v>1280</v>
      </c>
      <c r="B574" s="10" t="s">
        <v>1280</v>
      </c>
      <c r="C574" s="9" t="s">
        <v>1281</v>
      </c>
      <c r="D574" s="9" t="s">
        <v>75</v>
      </c>
      <c r="E574" t="s">
        <v>75</v>
      </c>
    </row>
    <row r="575" spans="1:5" x14ac:dyDescent="0.25">
      <c r="A575" s="10" t="s">
        <v>1282</v>
      </c>
      <c r="B575" s="10" t="s">
        <v>1282</v>
      </c>
      <c r="C575" s="9" t="s">
        <v>1283</v>
      </c>
      <c r="D575" s="9" t="s">
        <v>75</v>
      </c>
      <c r="E575" t="s">
        <v>75</v>
      </c>
    </row>
    <row r="576" spans="1:5" x14ac:dyDescent="0.25">
      <c r="A576" s="10" t="s">
        <v>1284</v>
      </c>
      <c r="B576" s="10" t="s">
        <v>1284</v>
      </c>
      <c r="C576" s="9" t="s">
        <v>1285</v>
      </c>
      <c r="D576" s="9" t="s">
        <v>75</v>
      </c>
      <c r="E576" t="s">
        <v>75</v>
      </c>
    </row>
    <row r="577" spans="1:5" x14ac:dyDescent="0.25">
      <c r="A577" s="10" t="s">
        <v>1286</v>
      </c>
      <c r="B577" s="10" t="s">
        <v>1286</v>
      </c>
      <c r="C577" s="9" t="s">
        <v>1287</v>
      </c>
      <c r="D577" s="9" t="s">
        <v>75</v>
      </c>
      <c r="E577" t="s">
        <v>75</v>
      </c>
    </row>
    <row r="578" spans="1:5" x14ac:dyDescent="0.25">
      <c r="A578" s="10" t="s">
        <v>1288</v>
      </c>
      <c r="B578" s="10" t="s">
        <v>1288</v>
      </c>
      <c r="C578" s="9" t="s">
        <v>1289</v>
      </c>
      <c r="D578" s="9" t="s">
        <v>75</v>
      </c>
      <c r="E578" t="s">
        <v>75</v>
      </c>
    </row>
    <row r="579" spans="1:5" x14ac:dyDescent="0.25">
      <c r="A579" s="10" t="s">
        <v>1290</v>
      </c>
      <c r="B579" s="10" t="s">
        <v>1290</v>
      </c>
      <c r="C579" s="9" t="s">
        <v>1291</v>
      </c>
      <c r="D579" s="9" t="s">
        <v>75</v>
      </c>
      <c r="E579" t="s">
        <v>75</v>
      </c>
    </row>
    <row r="580" spans="1:5" x14ac:dyDescent="0.25">
      <c r="A580" s="10" t="s">
        <v>1292</v>
      </c>
      <c r="B580" s="10" t="s">
        <v>1292</v>
      </c>
      <c r="C580" s="9" t="s">
        <v>1293</v>
      </c>
      <c r="D580" s="9" t="s">
        <v>75</v>
      </c>
      <c r="E580" t="s">
        <v>75</v>
      </c>
    </row>
    <row r="581" spans="1:5" x14ac:dyDescent="0.25">
      <c r="A581" s="10" t="s">
        <v>1294</v>
      </c>
      <c r="B581" s="10" t="s">
        <v>1294</v>
      </c>
      <c r="C581" s="9" t="s">
        <v>1295</v>
      </c>
      <c r="D581" s="9" t="s">
        <v>75</v>
      </c>
      <c r="E581" t="s">
        <v>75</v>
      </c>
    </row>
    <row r="582" spans="1:5" x14ac:dyDescent="0.25">
      <c r="A582" s="10" t="s">
        <v>1296</v>
      </c>
      <c r="B582" s="10" t="s">
        <v>1296</v>
      </c>
      <c r="C582" s="9" t="s">
        <v>1297</v>
      </c>
      <c r="D582" s="9" t="s">
        <v>75</v>
      </c>
      <c r="E582" t="s">
        <v>75</v>
      </c>
    </row>
    <row r="583" spans="1:5" x14ac:dyDescent="0.25">
      <c r="A583" s="10" t="s">
        <v>1298</v>
      </c>
      <c r="B583" s="10" t="s">
        <v>1298</v>
      </c>
      <c r="C583" s="9" t="s">
        <v>1299</v>
      </c>
      <c r="D583" s="9" t="s">
        <v>75</v>
      </c>
      <c r="E583" t="s">
        <v>75</v>
      </c>
    </row>
    <row r="584" spans="1:5" x14ac:dyDescent="0.25">
      <c r="A584" s="10" t="s">
        <v>1300</v>
      </c>
      <c r="B584" s="10" t="s">
        <v>1300</v>
      </c>
      <c r="C584" s="9" t="s">
        <v>1301</v>
      </c>
      <c r="D584" s="9" t="s">
        <v>75</v>
      </c>
      <c r="E584" t="s">
        <v>75</v>
      </c>
    </row>
    <row r="585" spans="1:5" x14ac:dyDescent="0.25">
      <c r="A585" s="10" t="s">
        <v>1302</v>
      </c>
      <c r="B585" s="10" t="s">
        <v>1302</v>
      </c>
      <c r="C585" s="9" t="s">
        <v>1303</v>
      </c>
      <c r="D585" s="9" t="s">
        <v>75</v>
      </c>
      <c r="E585" t="s">
        <v>75</v>
      </c>
    </row>
    <row r="586" spans="1:5" x14ac:dyDescent="0.25">
      <c r="A586" s="10" t="s">
        <v>1304</v>
      </c>
      <c r="B586" s="10" t="s">
        <v>1304</v>
      </c>
      <c r="C586" s="9" t="s">
        <v>1305</v>
      </c>
      <c r="D586" s="9" t="s">
        <v>75</v>
      </c>
      <c r="E586" t="s">
        <v>75</v>
      </c>
    </row>
    <row r="587" spans="1:5" x14ac:dyDescent="0.25">
      <c r="A587" s="10" t="s">
        <v>1306</v>
      </c>
      <c r="B587" s="10" t="s">
        <v>1306</v>
      </c>
      <c r="C587" s="9" t="s">
        <v>1307</v>
      </c>
      <c r="D587" s="9" t="s">
        <v>75</v>
      </c>
      <c r="E587" t="s">
        <v>75</v>
      </c>
    </row>
    <row r="588" spans="1:5" x14ac:dyDescent="0.25">
      <c r="A588" s="10" t="s">
        <v>1308</v>
      </c>
      <c r="B588" s="10" t="s">
        <v>1308</v>
      </c>
      <c r="C588" s="9" t="s">
        <v>1309</v>
      </c>
      <c r="D588" s="9" t="s">
        <v>75</v>
      </c>
      <c r="E588" t="s">
        <v>75</v>
      </c>
    </row>
    <row r="589" spans="1:5" x14ac:dyDescent="0.25">
      <c r="A589" s="10" t="s">
        <v>1310</v>
      </c>
      <c r="B589" s="10" t="s">
        <v>1310</v>
      </c>
      <c r="C589" s="9" t="s">
        <v>1311</v>
      </c>
      <c r="D589" s="9" t="s">
        <v>75</v>
      </c>
      <c r="E589" t="s">
        <v>75</v>
      </c>
    </row>
    <row r="590" spans="1:5" x14ac:dyDescent="0.25">
      <c r="A590" s="10" t="s">
        <v>1312</v>
      </c>
      <c r="B590" s="10" t="s">
        <v>1312</v>
      </c>
      <c r="C590" s="9" t="s">
        <v>1313</v>
      </c>
      <c r="D590" s="9" t="s">
        <v>75</v>
      </c>
      <c r="E590" t="s">
        <v>75</v>
      </c>
    </row>
    <row r="591" spans="1:5" x14ac:dyDescent="0.25">
      <c r="A591" s="10" t="s">
        <v>1314</v>
      </c>
      <c r="B591" s="10" t="s">
        <v>1314</v>
      </c>
      <c r="C591" s="9" t="s">
        <v>1315</v>
      </c>
      <c r="D591" s="9" t="s">
        <v>75</v>
      </c>
      <c r="E591" t="s">
        <v>75</v>
      </c>
    </row>
    <row r="592" spans="1:5" x14ac:dyDescent="0.25">
      <c r="A592" s="10" t="s">
        <v>1316</v>
      </c>
      <c r="B592" s="10" t="s">
        <v>1316</v>
      </c>
      <c r="C592" s="9" t="s">
        <v>1317</v>
      </c>
      <c r="D592" s="9" t="s">
        <v>75</v>
      </c>
      <c r="E592" t="s">
        <v>75</v>
      </c>
    </row>
    <row r="593" spans="1:5" x14ac:dyDescent="0.25">
      <c r="A593" s="10" t="s">
        <v>1318</v>
      </c>
      <c r="B593" s="10" t="s">
        <v>1318</v>
      </c>
      <c r="C593" s="9" t="s">
        <v>1319</v>
      </c>
      <c r="D593" s="9" t="s">
        <v>75</v>
      </c>
      <c r="E593" t="s">
        <v>75</v>
      </c>
    </row>
    <row r="594" spans="1:5" x14ac:dyDescent="0.25">
      <c r="A594" s="10" t="s">
        <v>1320</v>
      </c>
      <c r="B594" s="10" t="s">
        <v>1320</v>
      </c>
      <c r="C594" s="9" t="s">
        <v>1321</v>
      </c>
      <c r="D594" s="9" t="s">
        <v>75</v>
      </c>
      <c r="E594" t="s">
        <v>75</v>
      </c>
    </row>
    <row r="595" spans="1:5" x14ac:dyDescent="0.25">
      <c r="A595" s="10" t="s">
        <v>1322</v>
      </c>
      <c r="B595" s="10" t="s">
        <v>1322</v>
      </c>
      <c r="C595" s="9" t="s">
        <v>1323</v>
      </c>
      <c r="D595" s="9" t="s">
        <v>75</v>
      </c>
      <c r="E595" t="s">
        <v>75</v>
      </c>
    </row>
    <row r="596" spans="1:5" x14ac:dyDescent="0.25">
      <c r="A596" s="10" t="s">
        <v>1324</v>
      </c>
      <c r="B596" s="10" t="s">
        <v>1324</v>
      </c>
      <c r="C596" s="9" t="s">
        <v>1325</v>
      </c>
      <c r="D596" s="9" t="s">
        <v>75</v>
      </c>
      <c r="E596" t="s">
        <v>75</v>
      </c>
    </row>
    <row r="597" spans="1:5" x14ac:dyDescent="0.25">
      <c r="A597" s="10" t="s">
        <v>1326</v>
      </c>
      <c r="B597" s="10" t="s">
        <v>1326</v>
      </c>
      <c r="C597" s="9" t="s">
        <v>1327</v>
      </c>
      <c r="D597" s="9" t="s">
        <v>75</v>
      </c>
      <c r="E597" t="s">
        <v>75</v>
      </c>
    </row>
    <row r="598" spans="1:5" x14ac:dyDescent="0.25">
      <c r="A598" s="10" t="s">
        <v>1328</v>
      </c>
      <c r="B598" s="10" t="s">
        <v>1328</v>
      </c>
      <c r="C598" s="9" t="s">
        <v>1329</v>
      </c>
      <c r="D598" s="9" t="s">
        <v>75</v>
      </c>
      <c r="E598" t="s">
        <v>75</v>
      </c>
    </row>
    <row r="599" spans="1:5" x14ac:dyDescent="0.25">
      <c r="A599" s="10" t="s">
        <v>1330</v>
      </c>
      <c r="B599" s="10" t="s">
        <v>1330</v>
      </c>
      <c r="C599" s="9" t="s">
        <v>1331</v>
      </c>
      <c r="D599" s="9" t="s">
        <v>75</v>
      </c>
      <c r="E599" t="s">
        <v>75</v>
      </c>
    </row>
    <row r="600" spans="1:5" x14ac:dyDescent="0.25">
      <c r="A600" s="10" t="s">
        <v>1332</v>
      </c>
      <c r="B600" s="10" t="s">
        <v>1332</v>
      </c>
      <c r="C600" s="9" t="s">
        <v>1333</v>
      </c>
      <c r="D600" s="9" t="s">
        <v>75</v>
      </c>
      <c r="E600" t="s">
        <v>75</v>
      </c>
    </row>
    <row r="601" spans="1:5" x14ac:dyDescent="0.25">
      <c r="A601" s="10" t="s">
        <v>1334</v>
      </c>
      <c r="B601" s="10" t="s">
        <v>1334</v>
      </c>
      <c r="C601" s="9" t="s">
        <v>1335</v>
      </c>
      <c r="D601" s="9" t="s">
        <v>75</v>
      </c>
      <c r="E601" t="s">
        <v>75</v>
      </c>
    </row>
    <row r="602" spans="1:5" x14ac:dyDescent="0.25">
      <c r="A602" s="10" t="s">
        <v>1336</v>
      </c>
      <c r="B602" s="10" t="s">
        <v>1336</v>
      </c>
      <c r="C602" s="9" t="s">
        <v>1337</v>
      </c>
      <c r="D602" s="9" t="s">
        <v>75</v>
      </c>
      <c r="E602" t="s">
        <v>75</v>
      </c>
    </row>
    <row r="603" spans="1:5" x14ac:dyDescent="0.25">
      <c r="A603" s="10" t="s">
        <v>1338</v>
      </c>
      <c r="B603" s="10" t="s">
        <v>1338</v>
      </c>
      <c r="C603" s="9" t="s">
        <v>1339</v>
      </c>
      <c r="D603" s="9" t="s">
        <v>75</v>
      </c>
      <c r="E603" t="s">
        <v>75</v>
      </c>
    </row>
    <row r="604" spans="1:5" x14ac:dyDescent="0.25">
      <c r="A604" s="10" t="s">
        <v>1340</v>
      </c>
      <c r="B604" s="10" t="s">
        <v>1340</v>
      </c>
      <c r="C604" s="9" t="s">
        <v>1341</v>
      </c>
      <c r="D604" s="9" t="s">
        <v>75</v>
      </c>
      <c r="E604" t="s">
        <v>75</v>
      </c>
    </row>
    <row r="605" spans="1:5" x14ac:dyDescent="0.25">
      <c r="A605" s="10" t="s">
        <v>1342</v>
      </c>
      <c r="B605" s="10" t="s">
        <v>1342</v>
      </c>
      <c r="C605" s="9" t="s">
        <v>1343</v>
      </c>
      <c r="D605" s="9" t="s">
        <v>75</v>
      </c>
      <c r="E605" t="s">
        <v>75</v>
      </c>
    </row>
    <row r="606" spans="1:5" x14ac:dyDescent="0.25">
      <c r="A606" s="10" t="s">
        <v>1344</v>
      </c>
      <c r="B606" s="10" t="s">
        <v>1344</v>
      </c>
      <c r="C606" s="9" t="s">
        <v>1345</v>
      </c>
      <c r="D606" s="9" t="s">
        <v>75</v>
      </c>
      <c r="E606" t="s">
        <v>75</v>
      </c>
    </row>
    <row r="607" spans="1:5" x14ac:dyDescent="0.25">
      <c r="A607" s="10" t="s">
        <v>1346</v>
      </c>
      <c r="B607" s="10" t="s">
        <v>1346</v>
      </c>
      <c r="C607" s="9" t="s">
        <v>1347</v>
      </c>
      <c r="D607" s="9" t="s">
        <v>75</v>
      </c>
      <c r="E607" t="s">
        <v>75</v>
      </c>
    </row>
    <row r="608" spans="1:5" x14ac:dyDescent="0.25">
      <c r="A608" s="10" t="s">
        <v>1348</v>
      </c>
      <c r="B608" s="10" t="s">
        <v>1348</v>
      </c>
      <c r="C608" s="9" t="s">
        <v>1349</v>
      </c>
      <c r="D608" s="9" t="s">
        <v>75</v>
      </c>
      <c r="E608" t="s">
        <v>75</v>
      </c>
    </row>
    <row r="609" spans="1:5" x14ac:dyDescent="0.25">
      <c r="A609" s="10" t="s">
        <v>1350</v>
      </c>
      <c r="B609" s="10" t="s">
        <v>1350</v>
      </c>
      <c r="C609" s="9" t="s">
        <v>1351</v>
      </c>
      <c r="D609" s="9" t="s">
        <v>75</v>
      </c>
      <c r="E609" t="s">
        <v>75</v>
      </c>
    </row>
    <row r="610" spans="1:5" x14ac:dyDescent="0.25">
      <c r="A610" s="10" t="s">
        <v>1352</v>
      </c>
      <c r="B610" s="10" t="s">
        <v>1352</v>
      </c>
      <c r="C610" s="9" t="s">
        <v>1353</v>
      </c>
      <c r="D610" s="9" t="s">
        <v>75</v>
      </c>
      <c r="E610" t="s">
        <v>75</v>
      </c>
    </row>
    <row r="611" spans="1:5" x14ac:dyDescent="0.25">
      <c r="A611" s="10" t="s">
        <v>1354</v>
      </c>
      <c r="B611" s="10" t="s">
        <v>1354</v>
      </c>
      <c r="C611" s="9" t="s">
        <v>1355</v>
      </c>
      <c r="D611" s="9" t="s">
        <v>75</v>
      </c>
      <c r="E611" t="s">
        <v>75</v>
      </c>
    </row>
    <row r="612" spans="1:5" x14ac:dyDescent="0.25">
      <c r="A612" s="10" t="s">
        <v>1356</v>
      </c>
      <c r="B612" s="10" t="s">
        <v>1356</v>
      </c>
      <c r="C612" s="9" t="s">
        <v>1357</v>
      </c>
      <c r="D612" s="9" t="s">
        <v>75</v>
      </c>
      <c r="E612" t="s">
        <v>75</v>
      </c>
    </row>
    <row r="613" spans="1:5" x14ac:dyDescent="0.25">
      <c r="A613" s="10" t="s">
        <v>1358</v>
      </c>
      <c r="B613" s="10" t="s">
        <v>1358</v>
      </c>
      <c r="C613" s="9" t="s">
        <v>1359</v>
      </c>
      <c r="D613" s="9" t="s">
        <v>75</v>
      </c>
      <c r="E613" t="s">
        <v>75</v>
      </c>
    </row>
    <row r="614" spans="1:5" x14ac:dyDescent="0.25">
      <c r="A614" s="10" t="s">
        <v>1360</v>
      </c>
      <c r="B614" s="10" t="s">
        <v>1360</v>
      </c>
      <c r="C614" s="9" t="s">
        <v>1361</v>
      </c>
      <c r="D614" s="9" t="s">
        <v>75</v>
      </c>
      <c r="E614" t="s">
        <v>75</v>
      </c>
    </row>
    <row r="615" spans="1:5" x14ac:dyDescent="0.25">
      <c r="A615" s="10" t="s">
        <v>1362</v>
      </c>
      <c r="B615" s="10" t="s">
        <v>1362</v>
      </c>
      <c r="C615" s="9" t="s">
        <v>1363</v>
      </c>
      <c r="D615" s="9" t="s">
        <v>75</v>
      </c>
      <c r="E615" t="s">
        <v>75</v>
      </c>
    </row>
    <row r="616" spans="1:5" x14ac:dyDescent="0.25">
      <c r="A616" s="10" t="s">
        <v>1364</v>
      </c>
      <c r="B616" s="10" t="s">
        <v>1364</v>
      </c>
      <c r="C616" s="9" t="s">
        <v>1365</v>
      </c>
      <c r="D616" s="9" t="s">
        <v>75</v>
      </c>
      <c r="E616" t="s">
        <v>75</v>
      </c>
    </row>
    <row r="617" spans="1:5" x14ac:dyDescent="0.25">
      <c r="A617" s="10" t="s">
        <v>1366</v>
      </c>
      <c r="B617" s="10" t="s">
        <v>1366</v>
      </c>
      <c r="C617" s="9" t="s">
        <v>1367</v>
      </c>
      <c r="D617" s="9" t="s">
        <v>75</v>
      </c>
      <c r="E617" t="s">
        <v>75</v>
      </c>
    </row>
    <row r="618" spans="1:5" x14ac:dyDescent="0.25">
      <c r="A618" s="10" t="s">
        <v>1368</v>
      </c>
      <c r="B618" s="10" t="s">
        <v>1368</v>
      </c>
      <c r="C618" s="9" t="s">
        <v>1369</v>
      </c>
      <c r="D618" s="9" t="s">
        <v>75</v>
      </c>
      <c r="E618" t="s">
        <v>75</v>
      </c>
    </row>
    <row r="619" spans="1:5" x14ac:dyDescent="0.25">
      <c r="A619" s="10" t="s">
        <v>1370</v>
      </c>
      <c r="B619" s="10" t="s">
        <v>1370</v>
      </c>
      <c r="C619" s="9" t="s">
        <v>1371</v>
      </c>
      <c r="D619" s="9" t="s">
        <v>75</v>
      </c>
      <c r="E619" t="s">
        <v>75</v>
      </c>
    </row>
    <row r="620" spans="1:5" x14ac:dyDescent="0.25">
      <c r="A620" s="10" t="s">
        <v>1372</v>
      </c>
      <c r="B620" s="10" t="s">
        <v>1372</v>
      </c>
      <c r="C620" s="9" t="s">
        <v>1373</v>
      </c>
      <c r="D620" s="9" t="s">
        <v>75</v>
      </c>
      <c r="E620" t="s">
        <v>75</v>
      </c>
    </row>
    <row r="621" spans="1:5" x14ac:dyDescent="0.25">
      <c r="A621" s="10" t="s">
        <v>1374</v>
      </c>
      <c r="B621" s="10" t="s">
        <v>1374</v>
      </c>
      <c r="C621" s="9" t="s">
        <v>1375</v>
      </c>
      <c r="D621" s="9" t="s">
        <v>75</v>
      </c>
      <c r="E621" t="s">
        <v>75</v>
      </c>
    </row>
    <row r="622" spans="1:5" x14ac:dyDescent="0.25">
      <c r="A622" s="10" t="s">
        <v>1376</v>
      </c>
      <c r="B622" s="10" t="s">
        <v>1376</v>
      </c>
      <c r="C622" s="9" t="s">
        <v>1377</v>
      </c>
      <c r="D622" s="9" t="s">
        <v>75</v>
      </c>
      <c r="E622" t="s">
        <v>75</v>
      </c>
    </row>
    <row r="623" spans="1:5" x14ac:dyDescent="0.25">
      <c r="A623" s="10" t="s">
        <v>1378</v>
      </c>
      <c r="B623" s="10" t="s">
        <v>1378</v>
      </c>
      <c r="C623" s="9" t="s">
        <v>1379</v>
      </c>
      <c r="D623" s="9" t="s">
        <v>75</v>
      </c>
      <c r="E623" t="s">
        <v>75</v>
      </c>
    </row>
    <row r="624" spans="1:5" x14ac:dyDescent="0.25">
      <c r="A624" s="10" t="s">
        <v>1380</v>
      </c>
      <c r="B624" s="10" t="s">
        <v>1380</v>
      </c>
      <c r="C624" s="9" t="s">
        <v>1381</v>
      </c>
      <c r="D624" s="9" t="s">
        <v>75</v>
      </c>
      <c r="E624" t="s">
        <v>75</v>
      </c>
    </row>
    <row r="625" spans="1:5" x14ac:dyDescent="0.25">
      <c r="A625" s="10" t="s">
        <v>1382</v>
      </c>
      <c r="B625" s="10" t="s">
        <v>1382</v>
      </c>
      <c r="C625" s="9" t="s">
        <v>1383</v>
      </c>
      <c r="D625" s="9" t="s">
        <v>75</v>
      </c>
      <c r="E625" t="s">
        <v>75</v>
      </c>
    </row>
    <row r="626" spans="1:5" x14ac:dyDescent="0.25">
      <c r="A626" s="10" t="s">
        <v>1384</v>
      </c>
      <c r="B626" s="10" t="s">
        <v>1384</v>
      </c>
      <c r="C626" s="9" t="s">
        <v>1385</v>
      </c>
      <c r="D626" s="9" t="s">
        <v>75</v>
      </c>
      <c r="E626" t="s">
        <v>75</v>
      </c>
    </row>
    <row r="627" spans="1:5" x14ac:dyDescent="0.25">
      <c r="A627" s="10" t="s">
        <v>1386</v>
      </c>
      <c r="B627" s="10" t="s">
        <v>1386</v>
      </c>
      <c r="C627" s="9" t="s">
        <v>1387</v>
      </c>
      <c r="D627" s="9" t="s">
        <v>75</v>
      </c>
      <c r="E627" t="s">
        <v>75</v>
      </c>
    </row>
    <row r="628" spans="1:5" x14ac:dyDescent="0.25">
      <c r="A628" s="10" t="s">
        <v>1388</v>
      </c>
      <c r="B628" s="10" t="s">
        <v>1388</v>
      </c>
      <c r="C628" s="9" t="s">
        <v>1389</v>
      </c>
      <c r="D628" s="9" t="s">
        <v>75</v>
      </c>
      <c r="E628" t="s">
        <v>75</v>
      </c>
    </row>
    <row r="629" spans="1:5" x14ac:dyDescent="0.25">
      <c r="A629" s="10" t="s">
        <v>1390</v>
      </c>
      <c r="B629" s="10" t="s">
        <v>1390</v>
      </c>
      <c r="C629" s="9" t="s">
        <v>1391</v>
      </c>
      <c r="D629" s="9" t="s">
        <v>75</v>
      </c>
      <c r="E629" t="s">
        <v>75</v>
      </c>
    </row>
    <row r="630" spans="1:5" x14ac:dyDescent="0.25">
      <c r="A630" s="10" t="s">
        <v>1392</v>
      </c>
      <c r="B630" s="10" t="s">
        <v>1392</v>
      </c>
      <c r="C630" s="9" t="s">
        <v>1393</v>
      </c>
      <c r="D630" s="9" t="s">
        <v>75</v>
      </c>
      <c r="E630" t="s">
        <v>75</v>
      </c>
    </row>
    <row r="631" spans="1:5" x14ac:dyDescent="0.25">
      <c r="A631" s="10" t="s">
        <v>1394</v>
      </c>
      <c r="B631" s="10" t="s">
        <v>1394</v>
      </c>
      <c r="C631" s="9" t="s">
        <v>1395</v>
      </c>
      <c r="D631" s="9" t="s">
        <v>75</v>
      </c>
      <c r="E631" t="s">
        <v>75</v>
      </c>
    </row>
    <row r="632" spans="1:5" x14ac:dyDescent="0.25">
      <c r="A632" s="10" t="s">
        <v>1396</v>
      </c>
      <c r="B632" s="10" t="s">
        <v>1396</v>
      </c>
      <c r="C632" s="9" t="s">
        <v>1397</v>
      </c>
      <c r="D632" s="9" t="s">
        <v>75</v>
      </c>
      <c r="E632" t="s">
        <v>75</v>
      </c>
    </row>
    <row r="633" spans="1:5" x14ac:dyDescent="0.25">
      <c r="A633" s="10" t="s">
        <v>1398</v>
      </c>
      <c r="B633" s="10" t="s">
        <v>1398</v>
      </c>
      <c r="C633" s="9" t="s">
        <v>1399</v>
      </c>
      <c r="D633" s="9" t="s">
        <v>75</v>
      </c>
      <c r="E633" t="s">
        <v>75</v>
      </c>
    </row>
    <row r="634" spans="1:5" x14ac:dyDescent="0.25">
      <c r="A634" s="10" t="s">
        <v>1400</v>
      </c>
      <c r="B634" s="10" t="s">
        <v>1400</v>
      </c>
      <c r="C634" s="9" t="s">
        <v>1401</v>
      </c>
      <c r="D634" s="9" t="s">
        <v>75</v>
      </c>
      <c r="E634" t="s">
        <v>75</v>
      </c>
    </row>
    <row r="635" spans="1:5" x14ac:dyDescent="0.25">
      <c r="A635" s="10" t="s">
        <v>1402</v>
      </c>
      <c r="B635" s="10" t="s">
        <v>1402</v>
      </c>
      <c r="C635" s="9" t="s">
        <v>1403</v>
      </c>
      <c r="D635" s="9" t="s">
        <v>75</v>
      </c>
      <c r="E635" t="s">
        <v>75</v>
      </c>
    </row>
    <row r="636" spans="1:5" x14ac:dyDescent="0.25">
      <c r="A636" s="10" t="s">
        <v>1404</v>
      </c>
      <c r="B636" s="10" t="s">
        <v>1404</v>
      </c>
      <c r="C636" s="9" t="s">
        <v>1405</v>
      </c>
      <c r="D636" s="9" t="s">
        <v>75</v>
      </c>
      <c r="E636" t="s">
        <v>75</v>
      </c>
    </row>
    <row r="637" spans="1:5" x14ac:dyDescent="0.25">
      <c r="A637" s="10" t="s">
        <v>1406</v>
      </c>
      <c r="B637" s="10" t="s">
        <v>1406</v>
      </c>
      <c r="C637" s="9" t="s">
        <v>1407</v>
      </c>
      <c r="D637" s="9" t="s">
        <v>75</v>
      </c>
      <c r="E637" t="s">
        <v>75</v>
      </c>
    </row>
    <row r="638" spans="1:5" x14ac:dyDescent="0.25">
      <c r="A638" s="10" t="s">
        <v>1408</v>
      </c>
      <c r="B638" s="10" t="s">
        <v>1408</v>
      </c>
      <c r="C638" s="9" t="s">
        <v>1409</v>
      </c>
      <c r="D638" s="9" t="s">
        <v>75</v>
      </c>
      <c r="E638" t="s">
        <v>75</v>
      </c>
    </row>
    <row r="639" spans="1:5" x14ac:dyDescent="0.25">
      <c r="A639" s="10" t="s">
        <v>1410</v>
      </c>
      <c r="B639" s="10" t="s">
        <v>1410</v>
      </c>
      <c r="C639" s="9" t="s">
        <v>1411</v>
      </c>
      <c r="D639" s="9" t="s">
        <v>75</v>
      </c>
      <c r="E639" t="s">
        <v>75</v>
      </c>
    </row>
    <row r="640" spans="1:5" x14ac:dyDescent="0.25">
      <c r="A640" s="10" t="s">
        <v>1412</v>
      </c>
      <c r="B640" s="10" t="s">
        <v>1412</v>
      </c>
      <c r="C640" s="9" t="s">
        <v>1413</v>
      </c>
      <c r="D640" s="9" t="s">
        <v>75</v>
      </c>
      <c r="E640" t="s">
        <v>75</v>
      </c>
    </row>
    <row r="641" spans="1:5" x14ac:dyDescent="0.25">
      <c r="A641" s="10" t="s">
        <v>1414</v>
      </c>
      <c r="B641" s="10" t="s">
        <v>1414</v>
      </c>
      <c r="C641" s="9" t="s">
        <v>1415</v>
      </c>
      <c r="D641" s="9" t="s">
        <v>75</v>
      </c>
      <c r="E641" t="s">
        <v>75</v>
      </c>
    </row>
    <row r="642" spans="1:5" x14ac:dyDescent="0.25">
      <c r="A642" s="10" t="s">
        <v>1416</v>
      </c>
      <c r="B642" s="10" t="s">
        <v>1416</v>
      </c>
      <c r="C642" s="9" t="s">
        <v>1417</v>
      </c>
      <c r="D642" s="9" t="s">
        <v>75</v>
      </c>
      <c r="E642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6"/>
  <dimension ref="A1:D232"/>
  <sheetViews>
    <sheetView workbookViewId="0">
      <selection activeCell="B3" sqref="B3"/>
    </sheetView>
  </sheetViews>
  <sheetFormatPr defaultRowHeight="15" x14ac:dyDescent="0.25"/>
  <cols>
    <col min="1" max="1" width="15.875" style="10" customWidth="1"/>
    <col min="2" max="2" width="12.375" style="15" customWidth="1"/>
    <col min="3" max="3" width="38.125" style="15" customWidth="1"/>
  </cols>
  <sheetData>
    <row r="1" spans="1:4" ht="47.85" customHeight="1" x14ac:dyDescent="0.25">
      <c r="A1" s="26" t="s">
        <v>77</v>
      </c>
      <c r="B1" s="26"/>
      <c r="C1" s="27"/>
    </row>
    <row r="2" spans="1:4" ht="24" x14ac:dyDescent="0.25">
      <c r="A2" s="4" t="s">
        <v>79</v>
      </c>
      <c r="B2" s="14" t="str">
        <f>CONCATENATE("Valor pago no ano",CHAR(10),"TOTAL: ",ROUND(SUM(B3:B1048576),2))</f>
        <v>Valor pago no ano
TOTAL: 590637,28</v>
      </c>
      <c r="C2" s="4" t="s">
        <v>78</v>
      </c>
    </row>
    <row r="3" spans="1:4" x14ac:dyDescent="0.25">
      <c r="A3" s="10" t="s">
        <v>99</v>
      </c>
      <c r="B3" s="15">
        <v>5619.96</v>
      </c>
      <c r="C3" s="15" t="s">
        <v>101</v>
      </c>
      <c r="D3" t="s">
        <v>75</v>
      </c>
    </row>
    <row r="4" spans="1:4" x14ac:dyDescent="0.25">
      <c r="A4" s="10" t="s">
        <v>102</v>
      </c>
      <c r="B4" s="15">
        <v>1740.84</v>
      </c>
      <c r="C4" s="15" t="s">
        <v>101</v>
      </c>
      <c r="D4" t="s">
        <v>75</v>
      </c>
    </row>
    <row r="5" spans="1:4" x14ac:dyDescent="0.25">
      <c r="A5" s="10" t="s">
        <v>106</v>
      </c>
      <c r="B5" s="15">
        <v>1232.8499999999999</v>
      </c>
      <c r="C5" s="15" t="s">
        <v>101</v>
      </c>
      <c r="D5" t="s">
        <v>75</v>
      </c>
    </row>
    <row r="6" spans="1:4" x14ac:dyDescent="0.25">
      <c r="A6" s="10" t="s">
        <v>108</v>
      </c>
      <c r="B6" s="15">
        <v>29.16</v>
      </c>
      <c r="C6" s="15" t="s">
        <v>101</v>
      </c>
      <c r="D6" t="s">
        <v>75</v>
      </c>
    </row>
    <row r="7" spans="1:4" x14ac:dyDescent="0.25">
      <c r="A7" s="10" t="s">
        <v>114</v>
      </c>
      <c r="B7" s="15">
        <v>809.06</v>
      </c>
      <c r="C7" s="15" t="s">
        <v>101</v>
      </c>
      <c r="D7" t="s">
        <v>75</v>
      </c>
    </row>
    <row r="8" spans="1:4" x14ac:dyDescent="0.25">
      <c r="A8" s="10" t="s">
        <v>121</v>
      </c>
      <c r="B8" s="15">
        <v>8198.23</v>
      </c>
      <c r="C8" s="15" t="s">
        <v>101</v>
      </c>
      <c r="D8" t="s">
        <v>75</v>
      </c>
    </row>
    <row r="9" spans="1:4" x14ac:dyDescent="0.25">
      <c r="A9" s="10" t="s">
        <v>129</v>
      </c>
      <c r="B9" s="15">
        <v>5645.6</v>
      </c>
      <c r="C9" s="15" t="s">
        <v>101</v>
      </c>
      <c r="D9" t="s">
        <v>75</v>
      </c>
    </row>
    <row r="10" spans="1:4" x14ac:dyDescent="0.25">
      <c r="A10" s="10" t="s">
        <v>131</v>
      </c>
      <c r="B10" s="15">
        <v>2975.19</v>
      </c>
      <c r="C10" s="15" t="s">
        <v>101</v>
      </c>
      <c r="D10" t="s">
        <v>75</v>
      </c>
    </row>
    <row r="11" spans="1:4" x14ac:dyDescent="0.25">
      <c r="A11" s="10" t="s">
        <v>139</v>
      </c>
      <c r="B11" s="15">
        <v>1230.29</v>
      </c>
      <c r="C11" s="15" t="s">
        <v>101</v>
      </c>
      <c r="D11" t="s">
        <v>75</v>
      </c>
    </row>
    <row r="12" spans="1:4" x14ac:dyDescent="0.25">
      <c r="A12" s="10" t="s">
        <v>141</v>
      </c>
      <c r="B12" s="15">
        <v>1542.14</v>
      </c>
      <c r="C12" s="15" t="s">
        <v>101</v>
      </c>
      <c r="D12" t="s">
        <v>75</v>
      </c>
    </row>
    <row r="13" spans="1:4" x14ac:dyDescent="0.25">
      <c r="A13" s="10" t="s">
        <v>143</v>
      </c>
      <c r="B13" s="15">
        <v>11656.1</v>
      </c>
      <c r="C13" s="15" t="s">
        <v>101</v>
      </c>
      <c r="D13" t="s">
        <v>75</v>
      </c>
    </row>
    <row r="14" spans="1:4" x14ac:dyDescent="0.25">
      <c r="A14" s="10" t="s">
        <v>153</v>
      </c>
      <c r="B14" s="15">
        <v>158.01</v>
      </c>
      <c r="C14" s="15" t="s">
        <v>101</v>
      </c>
      <c r="D14" t="s">
        <v>75</v>
      </c>
    </row>
    <row r="15" spans="1:4" x14ac:dyDescent="0.25">
      <c r="A15" s="10" t="s">
        <v>165</v>
      </c>
      <c r="B15" s="15">
        <v>1144.68</v>
      </c>
      <c r="C15" s="15" t="s">
        <v>101</v>
      </c>
      <c r="D15" t="s">
        <v>75</v>
      </c>
    </row>
    <row r="16" spans="1:4" x14ac:dyDescent="0.25">
      <c r="A16" s="10" t="s">
        <v>167</v>
      </c>
      <c r="B16" s="15">
        <v>3355.66</v>
      </c>
      <c r="C16" s="15" t="s">
        <v>101</v>
      </c>
      <c r="D16" t="s">
        <v>75</v>
      </c>
    </row>
    <row r="17" spans="1:4" x14ac:dyDescent="0.25">
      <c r="A17" s="10" t="s">
        <v>169</v>
      </c>
      <c r="B17" s="15">
        <v>29.16</v>
      </c>
      <c r="C17" s="15" t="s">
        <v>101</v>
      </c>
      <c r="D17" t="s">
        <v>75</v>
      </c>
    </row>
    <row r="18" spans="1:4" x14ac:dyDescent="0.25">
      <c r="A18" s="10" t="s">
        <v>171</v>
      </c>
      <c r="B18" s="15">
        <v>1138.45</v>
      </c>
      <c r="C18" s="15" t="s">
        <v>101</v>
      </c>
      <c r="D18" t="s">
        <v>75</v>
      </c>
    </row>
    <row r="19" spans="1:4" x14ac:dyDescent="0.25">
      <c r="A19" s="10" t="s">
        <v>173</v>
      </c>
      <c r="B19" s="15">
        <v>1255.4000000000001</v>
      </c>
      <c r="C19" s="15" t="s">
        <v>101</v>
      </c>
      <c r="D19" t="s">
        <v>75</v>
      </c>
    </row>
    <row r="20" spans="1:4" x14ac:dyDescent="0.25">
      <c r="A20" s="10" t="s">
        <v>175</v>
      </c>
      <c r="B20" s="15">
        <v>3404.71</v>
      </c>
      <c r="C20" s="15" t="s">
        <v>101</v>
      </c>
      <c r="D20" t="s">
        <v>75</v>
      </c>
    </row>
    <row r="21" spans="1:4" x14ac:dyDescent="0.25">
      <c r="A21" s="10" t="s">
        <v>179</v>
      </c>
      <c r="B21" s="15">
        <v>1581.13</v>
      </c>
      <c r="C21" s="15" t="s">
        <v>101</v>
      </c>
      <c r="D21" t="s">
        <v>75</v>
      </c>
    </row>
    <row r="22" spans="1:4" x14ac:dyDescent="0.25">
      <c r="A22" s="10" t="s">
        <v>181</v>
      </c>
      <c r="B22" s="15">
        <v>1135.25</v>
      </c>
      <c r="C22" s="15" t="s">
        <v>101</v>
      </c>
      <c r="D22" t="s">
        <v>75</v>
      </c>
    </row>
    <row r="23" spans="1:4" x14ac:dyDescent="0.25">
      <c r="A23" s="10" t="s">
        <v>183</v>
      </c>
      <c r="B23" s="15">
        <v>3181.6</v>
      </c>
      <c r="C23" s="15" t="s">
        <v>101</v>
      </c>
      <c r="D23" t="s">
        <v>75</v>
      </c>
    </row>
    <row r="24" spans="1:4" x14ac:dyDescent="0.25">
      <c r="A24" s="10" t="s">
        <v>187</v>
      </c>
      <c r="B24" s="15">
        <v>1152.2</v>
      </c>
      <c r="C24" s="15" t="s">
        <v>101</v>
      </c>
      <c r="D24" t="s">
        <v>75</v>
      </c>
    </row>
    <row r="25" spans="1:4" x14ac:dyDescent="0.25">
      <c r="A25" s="10" t="s">
        <v>193</v>
      </c>
      <c r="B25" s="15">
        <v>2427.79</v>
      </c>
      <c r="C25" s="15" t="s">
        <v>101</v>
      </c>
      <c r="D25" t="s">
        <v>75</v>
      </c>
    </row>
    <row r="26" spans="1:4" x14ac:dyDescent="0.25">
      <c r="A26" s="10" t="s">
        <v>201</v>
      </c>
      <c r="B26" s="15">
        <v>3069.7</v>
      </c>
      <c r="C26" s="15" t="s">
        <v>101</v>
      </c>
      <c r="D26" t="s">
        <v>75</v>
      </c>
    </row>
    <row r="27" spans="1:4" x14ac:dyDescent="0.25">
      <c r="A27" s="10" t="s">
        <v>205</v>
      </c>
      <c r="B27" s="15">
        <v>5213.42</v>
      </c>
      <c r="C27" s="15" t="s">
        <v>101</v>
      </c>
      <c r="D27" t="s">
        <v>75</v>
      </c>
    </row>
    <row r="28" spans="1:4" x14ac:dyDescent="0.25">
      <c r="A28" s="10" t="s">
        <v>215</v>
      </c>
      <c r="B28" s="15">
        <v>1945.01</v>
      </c>
      <c r="C28" s="15" t="s">
        <v>101</v>
      </c>
      <c r="D28" t="s">
        <v>75</v>
      </c>
    </row>
    <row r="29" spans="1:4" x14ac:dyDescent="0.25">
      <c r="A29" s="10" t="s">
        <v>219</v>
      </c>
      <c r="B29" s="15">
        <v>1933.8</v>
      </c>
      <c r="C29" s="15" t="s">
        <v>101</v>
      </c>
      <c r="D29" t="s">
        <v>75</v>
      </c>
    </row>
    <row r="30" spans="1:4" x14ac:dyDescent="0.25">
      <c r="A30" s="10" t="s">
        <v>229</v>
      </c>
      <c r="B30" s="15">
        <v>1727.28</v>
      </c>
      <c r="C30" s="15" t="s">
        <v>101</v>
      </c>
      <c r="D30" t="s">
        <v>75</v>
      </c>
    </row>
    <row r="31" spans="1:4" x14ac:dyDescent="0.25">
      <c r="A31" s="10" t="s">
        <v>237</v>
      </c>
      <c r="B31" s="15">
        <v>2087.62</v>
      </c>
      <c r="C31" s="15" t="s">
        <v>101</v>
      </c>
      <c r="D31" t="s">
        <v>75</v>
      </c>
    </row>
    <row r="32" spans="1:4" x14ac:dyDescent="0.25">
      <c r="A32" s="10" t="s">
        <v>241</v>
      </c>
      <c r="B32" s="15">
        <v>1228.4100000000001</v>
      </c>
      <c r="C32" s="15" t="s">
        <v>101</v>
      </c>
      <c r="D32" t="s">
        <v>75</v>
      </c>
    </row>
    <row r="33" spans="1:4" x14ac:dyDescent="0.25">
      <c r="A33" s="10" t="s">
        <v>260</v>
      </c>
      <c r="B33" s="15">
        <v>940.45</v>
      </c>
      <c r="C33" s="15" t="s">
        <v>101</v>
      </c>
      <c r="D33" t="s">
        <v>75</v>
      </c>
    </row>
    <row r="34" spans="1:4" x14ac:dyDescent="0.25">
      <c r="A34" s="10" t="s">
        <v>268</v>
      </c>
      <c r="B34" s="15">
        <v>26.2</v>
      </c>
      <c r="C34" s="15" t="s">
        <v>101</v>
      </c>
      <c r="D34" t="s">
        <v>75</v>
      </c>
    </row>
    <row r="35" spans="1:4" x14ac:dyDescent="0.25">
      <c r="A35" s="10" t="s">
        <v>282</v>
      </c>
      <c r="B35" s="15">
        <v>1173.21</v>
      </c>
      <c r="C35" s="15" t="s">
        <v>101</v>
      </c>
      <c r="D35" t="s">
        <v>75</v>
      </c>
    </row>
    <row r="36" spans="1:4" x14ac:dyDescent="0.25">
      <c r="A36" s="10" t="s">
        <v>290</v>
      </c>
      <c r="B36" s="15">
        <v>5940.22</v>
      </c>
      <c r="C36" s="15" t="s">
        <v>101</v>
      </c>
      <c r="D36" t="s">
        <v>75</v>
      </c>
    </row>
    <row r="37" spans="1:4" x14ac:dyDescent="0.25">
      <c r="A37" s="10" t="s">
        <v>292</v>
      </c>
      <c r="B37" s="15">
        <v>1149.29</v>
      </c>
      <c r="C37" s="15" t="s">
        <v>101</v>
      </c>
      <c r="D37" t="s">
        <v>75</v>
      </c>
    </row>
    <row r="38" spans="1:4" x14ac:dyDescent="0.25">
      <c r="A38" s="10" t="s">
        <v>302</v>
      </c>
      <c r="B38" s="15">
        <v>8761.66</v>
      </c>
      <c r="C38" s="15" t="s">
        <v>101</v>
      </c>
      <c r="D38" t="s">
        <v>75</v>
      </c>
    </row>
    <row r="39" spans="1:4" x14ac:dyDescent="0.25">
      <c r="A39" s="10" t="s">
        <v>308</v>
      </c>
      <c r="B39" s="15">
        <v>3371.07</v>
      </c>
      <c r="C39" s="15" t="s">
        <v>101</v>
      </c>
      <c r="D39" t="s">
        <v>75</v>
      </c>
    </row>
    <row r="40" spans="1:4" x14ac:dyDescent="0.25">
      <c r="A40" s="10" t="s">
        <v>310</v>
      </c>
      <c r="B40" s="15">
        <v>1228.4100000000001</v>
      </c>
      <c r="C40" s="15" t="s">
        <v>101</v>
      </c>
      <c r="D40" t="s">
        <v>75</v>
      </c>
    </row>
    <row r="41" spans="1:4" x14ac:dyDescent="0.25">
      <c r="A41" s="10" t="s">
        <v>314</v>
      </c>
      <c r="B41" s="15">
        <v>2059.09</v>
      </c>
      <c r="C41" s="15" t="s">
        <v>101</v>
      </c>
      <c r="D41" t="s">
        <v>75</v>
      </c>
    </row>
    <row r="42" spans="1:4" x14ac:dyDescent="0.25">
      <c r="A42" s="10" t="s">
        <v>316</v>
      </c>
      <c r="B42" s="15">
        <v>2323.65</v>
      </c>
      <c r="C42" s="15" t="s">
        <v>101</v>
      </c>
      <c r="D42" t="s">
        <v>75</v>
      </c>
    </row>
    <row r="43" spans="1:4" x14ac:dyDescent="0.25">
      <c r="A43" s="10" t="s">
        <v>318</v>
      </c>
      <c r="B43" s="15">
        <v>3169.68</v>
      </c>
      <c r="C43" s="15" t="s">
        <v>101</v>
      </c>
      <c r="D43" t="s">
        <v>75</v>
      </c>
    </row>
    <row r="44" spans="1:4" x14ac:dyDescent="0.25">
      <c r="A44" s="10" t="s">
        <v>324</v>
      </c>
      <c r="B44" s="15">
        <v>1152.1500000000001</v>
      </c>
      <c r="C44" s="15" t="s">
        <v>101</v>
      </c>
      <c r="D44" t="s">
        <v>75</v>
      </c>
    </row>
    <row r="45" spans="1:4" x14ac:dyDescent="0.25">
      <c r="A45" s="10" t="s">
        <v>330</v>
      </c>
      <c r="B45" s="15">
        <v>3134.6</v>
      </c>
      <c r="C45" s="15" t="s">
        <v>101</v>
      </c>
      <c r="D45" t="s">
        <v>75</v>
      </c>
    </row>
    <row r="46" spans="1:4" x14ac:dyDescent="0.25">
      <c r="A46" s="10" t="s">
        <v>84</v>
      </c>
      <c r="B46" s="15">
        <v>3332.51</v>
      </c>
      <c r="C46" s="15" t="s">
        <v>101</v>
      </c>
      <c r="D46" t="s">
        <v>75</v>
      </c>
    </row>
    <row r="47" spans="1:4" x14ac:dyDescent="0.25">
      <c r="A47" s="10" t="s">
        <v>340</v>
      </c>
      <c r="B47" s="15">
        <v>1217.48</v>
      </c>
      <c r="C47" s="15" t="s">
        <v>101</v>
      </c>
      <c r="D47" t="s">
        <v>75</v>
      </c>
    </row>
    <row r="48" spans="1:4" x14ac:dyDescent="0.25">
      <c r="A48" s="10" t="s">
        <v>344</v>
      </c>
      <c r="B48" s="15">
        <v>1149.6400000000001</v>
      </c>
      <c r="C48" s="15" t="s">
        <v>101</v>
      </c>
      <c r="D48" t="s">
        <v>75</v>
      </c>
    </row>
    <row r="49" spans="1:4" x14ac:dyDescent="0.25">
      <c r="A49" s="10" t="s">
        <v>346</v>
      </c>
      <c r="B49" s="15">
        <v>1106.3599999999999</v>
      </c>
      <c r="C49" s="15" t="s">
        <v>101</v>
      </c>
      <c r="D49" t="s">
        <v>75</v>
      </c>
    </row>
    <row r="50" spans="1:4" x14ac:dyDescent="0.25">
      <c r="A50" s="10" t="s">
        <v>348</v>
      </c>
      <c r="B50" s="15">
        <v>41.37</v>
      </c>
      <c r="C50" s="15" t="s">
        <v>101</v>
      </c>
      <c r="D50" t="s">
        <v>75</v>
      </c>
    </row>
    <row r="51" spans="1:4" x14ac:dyDescent="0.25">
      <c r="A51" s="10" t="s">
        <v>354</v>
      </c>
      <c r="B51" s="15">
        <v>37.18</v>
      </c>
      <c r="C51" s="15" t="s">
        <v>101</v>
      </c>
      <c r="D51" t="s">
        <v>75</v>
      </c>
    </row>
    <row r="52" spans="1:4" x14ac:dyDescent="0.25">
      <c r="A52" s="10" t="s">
        <v>358</v>
      </c>
      <c r="B52" s="15">
        <v>1145.45</v>
      </c>
      <c r="C52" s="15" t="s">
        <v>101</v>
      </c>
      <c r="D52" t="s">
        <v>75</v>
      </c>
    </row>
    <row r="53" spans="1:4" x14ac:dyDescent="0.25">
      <c r="A53" s="10" t="s">
        <v>360</v>
      </c>
      <c r="B53" s="15">
        <v>1045.92</v>
      </c>
      <c r="C53" s="15" t="s">
        <v>101</v>
      </c>
      <c r="D53" t="s">
        <v>75</v>
      </c>
    </row>
    <row r="54" spans="1:4" x14ac:dyDescent="0.25">
      <c r="A54" s="10" t="s">
        <v>376</v>
      </c>
      <c r="B54" s="15">
        <v>2158.4299999999998</v>
      </c>
      <c r="C54" s="15" t="s">
        <v>101</v>
      </c>
      <c r="D54" t="s">
        <v>75</v>
      </c>
    </row>
    <row r="55" spans="1:4" x14ac:dyDescent="0.25">
      <c r="A55" s="10" t="s">
        <v>378</v>
      </c>
      <c r="B55" s="15">
        <v>29.16</v>
      </c>
      <c r="C55" s="15" t="s">
        <v>101</v>
      </c>
      <c r="D55" t="s">
        <v>75</v>
      </c>
    </row>
    <row r="56" spans="1:4" x14ac:dyDescent="0.25">
      <c r="A56" s="10" t="s">
        <v>382</v>
      </c>
      <c r="B56" s="15">
        <v>41.37</v>
      </c>
      <c r="C56" s="15" t="s">
        <v>101</v>
      </c>
      <c r="D56" t="s">
        <v>75</v>
      </c>
    </row>
    <row r="57" spans="1:4" x14ac:dyDescent="0.25">
      <c r="A57" s="10" t="s">
        <v>386</v>
      </c>
      <c r="B57" s="15">
        <v>2034.71</v>
      </c>
      <c r="C57" s="15" t="s">
        <v>101</v>
      </c>
      <c r="D57" t="s">
        <v>75</v>
      </c>
    </row>
    <row r="58" spans="1:4" x14ac:dyDescent="0.25">
      <c r="A58" s="10" t="s">
        <v>390</v>
      </c>
      <c r="B58" s="15">
        <v>1204.74</v>
      </c>
      <c r="C58" s="15" t="s">
        <v>101</v>
      </c>
      <c r="D58" t="s">
        <v>75</v>
      </c>
    </row>
    <row r="59" spans="1:4" x14ac:dyDescent="0.25">
      <c r="A59" s="10" t="s">
        <v>392</v>
      </c>
      <c r="B59" s="15">
        <v>41.37</v>
      </c>
      <c r="C59" s="15" t="s">
        <v>101</v>
      </c>
      <c r="D59" t="s">
        <v>75</v>
      </c>
    </row>
    <row r="60" spans="1:4" x14ac:dyDescent="0.25">
      <c r="A60" s="10" t="s">
        <v>394</v>
      </c>
      <c r="B60" s="15">
        <v>330.01</v>
      </c>
      <c r="C60" s="15" t="s">
        <v>101</v>
      </c>
      <c r="D60" t="s">
        <v>75</v>
      </c>
    </row>
    <row r="61" spans="1:4" x14ac:dyDescent="0.25">
      <c r="A61" s="10" t="s">
        <v>404</v>
      </c>
      <c r="B61" s="15">
        <v>41.37</v>
      </c>
      <c r="C61" s="15" t="s">
        <v>101</v>
      </c>
      <c r="D61" t="s">
        <v>75</v>
      </c>
    </row>
    <row r="62" spans="1:4" x14ac:dyDescent="0.25">
      <c r="A62" s="10" t="s">
        <v>406</v>
      </c>
      <c r="B62" s="15">
        <v>937.79</v>
      </c>
      <c r="C62" s="15" t="s">
        <v>101</v>
      </c>
      <c r="D62" t="s">
        <v>75</v>
      </c>
    </row>
    <row r="63" spans="1:4" x14ac:dyDescent="0.25">
      <c r="A63" s="10" t="s">
        <v>408</v>
      </c>
      <c r="B63" s="15">
        <v>41.37</v>
      </c>
      <c r="C63" s="15" t="s">
        <v>101</v>
      </c>
      <c r="D63" t="s">
        <v>75</v>
      </c>
    </row>
    <row r="64" spans="1:4" x14ac:dyDescent="0.25">
      <c r="A64" s="10" t="s">
        <v>418</v>
      </c>
      <c r="B64" s="15">
        <v>1202.02</v>
      </c>
      <c r="C64" s="15" t="s">
        <v>101</v>
      </c>
      <c r="D64" t="s">
        <v>75</v>
      </c>
    </row>
    <row r="65" spans="1:4" x14ac:dyDescent="0.25">
      <c r="A65" s="10" t="s">
        <v>436</v>
      </c>
      <c r="B65" s="15">
        <v>1204.3</v>
      </c>
      <c r="C65" s="15" t="s">
        <v>101</v>
      </c>
      <c r="D65" t="s">
        <v>75</v>
      </c>
    </row>
    <row r="66" spans="1:4" x14ac:dyDescent="0.25">
      <c r="A66" s="10" t="s">
        <v>446</v>
      </c>
      <c r="B66" s="15">
        <v>1162.3</v>
      </c>
      <c r="C66" s="15" t="s">
        <v>101</v>
      </c>
      <c r="D66" t="s">
        <v>75</v>
      </c>
    </row>
    <row r="67" spans="1:4" x14ac:dyDescent="0.25">
      <c r="A67" s="10" t="s">
        <v>471</v>
      </c>
      <c r="B67" s="15">
        <v>41.37</v>
      </c>
      <c r="C67" s="15" t="s">
        <v>101</v>
      </c>
      <c r="D67" t="s">
        <v>75</v>
      </c>
    </row>
    <row r="68" spans="1:4" x14ac:dyDescent="0.25">
      <c r="A68" s="10" t="s">
        <v>479</v>
      </c>
      <c r="B68" s="15">
        <v>58.32</v>
      </c>
      <c r="C68" s="15" t="s">
        <v>101</v>
      </c>
      <c r="D68" t="s">
        <v>75</v>
      </c>
    </row>
    <row r="69" spans="1:4" x14ac:dyDescent="0.25">
      <c r="A69" s="10" t="s">
        <v>483</v>
      </c>
      <c r="B69" s="15">
        <v>2936.75</v>
      </c>
      <c r="C69" s="15" t="s">
        <v>101</v>
      </c>
      <c r="D69" t="s">
        <v>75</v>
      </c>
    </row>
    <row r="70" spans="1:4" x14ac:dyDescent="0.25">
      <c r="A70" s="10" t="s">
        <v>485</v>
      </c>
      <c r="B70" s="15">
        <v>2567.7399999999998</v>
      </c>
      <c r="C70" s="15" t="s">
        <v>101</v>
      </c>
      <c r="D70" t="s">
        <v>75</v>
      </c>
    </row>
    <row r="71" spans="1:4" x14ac:dyDescent="0.25">
      <c r="A71" s="10" t="s">
        <v>489</v>
      </c>
      <c r="B71" s="15">
        <v>2582.0100000000002</v>
      </c>
      <c r="C71" s="15" t="s">
        <v>101</v>
      </c>
      <c r="D71" t="s">
        <v>75</v>
      </c>
    </row>
    <row r="72" spans="1:4" x14ac:dyDescent="0.25">
      <c r="A72" s="10" t="s">
        <v>495</v>
      </c>
      <c r="B72" s="15">
        <v>1518.99</v>
      </c>
      <c r="C72" s="15" t="s">
        <v>101</v>
      </c>
      <c r="D72" t="s">
        <v>75</v>
      </c>
    </row>
    <row r="73" spans="1:4" x14ac:dyDescent="0.25">
      <c r="A73" s="10" t="s">
        <v>501</v>
      </c>
      <c r="B73" s="15">
        <v>41.37</v>
      </c>
      <c r="C73" s="15" t="s">
        <v>101</v>
      </c>
      <c r="D73" t="s">
        <v>75</v>
      </c>
    </row>
    <row r="74" spans="1:4" x14ac:dyDescent="0.25">
      <c r="A74" s="10" t="s">
        <v>505</v>
      </c>
      <c r="B74" s="15">
        <v>4469.13</v>
      </c>
      <c r="C74" s="15" t="s">
        <v>101</v>
      </c>
      <c r="D74" t="s">
        <v>75</v>
      </c>
    </row>
    <row r="75" spans="1:4" x14ac:dyDescent="0.25">
      <c r="A75" s="10" t="s">
        <v>513</v>
      </c>
      <c r="B75" s="15">
        <v>474.58</v>
      </c>
      <c r="C75" s="15" t="s">
        <v>101</v>
      </c>
      <c r="D75" t="s">
        <v>75</v>
      </c>
    </row>
    <row r="76" spans="1:4" x14ac:dyDescent="0.25">
      <c r="A76" s="10" t="s">
        <v>520</v>
      </c>
      <c r="B76" s="15">
        <v>1107.53</v>
      </c>
      <c r="C76" s="15" t="s">
        <v>101</v>
      </c>
      <c r="D76" t="s">
        <v>75</v>
      </c>
    </row>
    <row r="77" spans="1:4" x14ac:dyDescent="0.25">
      <c r="A77" s="10" t="s">
        <v>530</v>
      </c>
      <c r="B77" s="15">
        <v>5067.91</v>
      </c>
      <c r="C77" s="15" t="s">
        <v>101</v>
      </c>
      <c r="D77" t="s">
        <v>75</v>
      </c>
    </row>
    <row r="78" spans="1:4" x14ac:dyDescent="0.25">
      <c r="A78" s="10" t="s">
        <v>536</v>
      </c>
      <c r="B78" s="15">
        <v>1248.72</v>
      </c>
      <c r="C78" s="15" t="s">
        <v>101</v>
      </c>
      <c r="D78" t="s">
        <v>75</v>
      </c>
    </row>
    <row r="79" spans="1:4" x14ac:dyDescent="0.25">
      <c r="A79" s="10" t="s">
        <v>544</v>
      </c>
      <c r="B79" s="15">
        <v>26.2</v>
      </c>
      <c r="C79" s="15" t="s">
        <v>101</v>
      </c>
      <c r="D79" t="s">
        <v>75</v>
      </c>
    </row>
    <row r="80" spans="1:4" x14ac:dyDescent="0.25">
      <c r="A80" s="10" t="s">
        <v>552</v>
      </c>
      <c r="B80" s="15">
        <v>1822.18</v>
      </c>
      <c r="C80" s="15" t="s">
        <v>101</v>
      </c>
      <c r="D80" t="s">
        <v>75</v>
      </c>
    </row>
    <row r="81" spans="1:4" x14ac:dyDescent="0.25">
      <c r="A81" s="10" t="s">
        <v>564</v>
      </c>
      <c r="B81" s="15">
        <v>1626.55</v>
      </c>
      <c r="C81" s="15" t="s">
        <v>101</v>
      </c>
      <c r="D81" t="s">
        <v>75</v>
      </c>
    </row>
    <row r="82" spans="1:4" x14ac:dyDescent="0.25">
      <c r="A82" s="10" t="s">
        <v>566</v>
      </c>
      <c r="B82" s="15">
        <v>1991.78</v>
      </c>
      <c r="C82" s="15" t="s">
        <v>101</v>
      </c>
      <c r="D82" t="s">
        <v>75</v>
      </c>
    </row>
    <row r="83" spans="1:4" x14ac:dyDescent="0.25">
      <c r="A83" s="10" t="s">
        <v>584</v>
      </c>
      <c r="B83" s="15">
        <v>4094.82</v>
      </c>
      <c r="C83" s="15" t="s">
        <v>101</v>
      </c>
      <c r="D83" t="s">
        <v>75</v>
      </c>
    </row>
    <row r="84" spans="1:4" x14ac:dyDescent="0.25">
      <c r="A84" s="10" t="s">
        <v>588</v>
      </c>
      <c r="B84" s="15">
        <v>3357.73</v>
      </c>
      <c r="C84" s="15" t="s">
        <v>101</v>
      </c>
      <c r="D84" t="s">
        <v>75</v>
      </c>
    </row>
    <row r="85" spans="1:4" x14ac:dyDescent="0.25">
      <c r="A85" s="10" t="s">
        <v>602</v>
      </c>
      <c r="B85" s="15">
        <v>1152.31</v>
      </c>
      <c r="C85" s="15" t="s">
        <v>101</v>
      </c>
      <c r="D85" t="s">
        <v>75</v>
      </c>
    </row>
    <row r="86" spans="1:4" x14ac:dyDescent="0.25">
      <c r="A86" s="10" t="s">
        <v>608</v>
      </c>
      <c r="B86" s="15">
        <v>554.04</v>
      </c>
      <c r="C86" s="15" t="s">
        <v>101</v>
      </c>
      <c r="D86" t="s">
        <v>75</v>
      </c>
    </row>
    <row r="87" spans="1:4" x14ac:dyDescent="0.25">
      <c r="A87" s="10" t="s">
        <v>626</v>
      </c>
      <c r="B87" s="15">
        <v>3260.93</v>
      </c>
      <c r="C87" s="15" t="s">
        <v>101</v>
      </c>
      <c r="D87" t="s">
        <v>75</v>
      </c>
    </row>
    <row r="88" spans="1:4" x14ac:dyDescent="0.25">
      <c r="A88" s="10" t="s">
        <v>628</v>
      </c>
      <c r="B88" s="15">
        <v>3954.93</v>
      </c>
      <c r="C88" s="15" t="s">
        <v>101</v>
      </c>
      <c r="D88" t="s">
        <v>75</v>
      </c>
    </row>
    <row r="89" spans="1:4" x14ac:dyDescent="0.25">
      <c r="A89" s="10" t="s">
        <v>630</v>
      </c>
      <c r="B89" s="15">
        <v>1231.05</v>
      </c>
      <c r="C89" s="15" t="s">
        <v>101</v>
      </c>
      <c r="D89" t="s">
        <v>75</v>
      </c>
    </row>
    <row r="90" spans="1:4" x14ac:dyDescent="0.25">
      <c r="A90" s="10" t="s">
        <v>636</v>
      </c>
      <c r="B90" s="15">
        <v>26.2</v>
      </c>
      <c r="C90" s="15" t="s">
        <v>101</v>
      </c>
      <c r="D90" t="s">
        <v>75</v>
      </c>
    </row>
    <row r="91" spans="1:4" x14ac:dyDescent="0.25">
      <c r="A91" s="10" t="s">
        <v>640</v>
      </c>
      <c r="B91" s="15">
        <v>3230.49</v>
      </c>
      <c r="C91" s="15" t="s">
        <v>101</v>
      </c>
      <c r="D91" t="s">
        <v>75</v>
      </c>
    </row>
    <row r="92" spans="1:4" x14ac:dyDescent="0.25">
      <c r="A92" s="10" t="s">
        <v>642</v>
      </c>
      <c r="B92" s="15">
        <v>938.39</v>
      </c>
      <c r="C92" s="15" t="s">
        <v>101</v>
      </c>
      <c r="D92" t="s">
        <v>75</v>
      </c>
    </row>
    <row r="93" spans="1:4" x14ac:dyDescent="0.25">
      <c r="A93" s="10" t="s">
        <v>644</v>
      </c>
      <c r="B93" s="15">
        <v>938.07</v>
      </c>
      <c r="C93" s="15" t="s">
        <v>101</v>
      </c>
      <c r="D93" t="s">
        <v>75</v>
      </c>
    </row>
    <row r="94" spans="1:4" x14ac:dyDescent="0.25">
      <c r="A94" s="10" t="s">
        <v>648</v>
      </c>
      <c r="B94" s="15">
        <v>1138.6500000000001</v>
      </c>
      <c r="C94" s="15" t="s">
        <v>101</v>
      </c>
      <c r="D94" t="s">
        <v>75</v>
      </c>
    </row>
    <row r="95" spans="1:4" x14ac:dyDescent="0.25">
      <c r="A95" s="10" t="s">
        <v>662</v>
      </c>
      <c r="B95" s="15">
        <v>1135.82</v>
      </c>
      <c r="C95" s="15" t="s">
        <v>101</v>
      </c>
      <c r="D95" t="s">
        <v>75</v>
      </c>
    </row>
    <row r="96" spans="1:4" x14ac:dyDescent="0.25">
      <c r="A96" s="10" t="s">
        <v>666</v>
      </c>
      <c r="B96" s="15">
        <v>2133.65</v>
      </c>
      <c r="C96" s="15" t="s">
        <v>101</v>
      </c>
      <c r="D96" t="s">
        <v>75</v>
      </c>
    </row>
    <row r="97" spans="1:4" x14ac:dyDescent="0.25">
      <c r="A97" s="10" t="s">
        <v>670</v>
      </c>
      <c r="B97" s="15">
        <v>5661.5</v>
      </c>
      <c r="C97" s="15" t="s">
        <v>101</v>
      </c>
      <c r="D97" t="s">
        <v>75</v>
      </c>
    </row>
    <row r="98" spans="1:4" x14ac:dyDescent="0.25">
      <c r="A98" s="10" t="s">
        <v>674</v>
      </c>
      <c r="B98" s="15">
        <v>1507.7</v>
      </c>
      <c r="C98" s="15" t="s">
        <v>101</v>
      </c>
      <c r="D98" t="s">
        <v>75</v>
      </c>
    </row>
    <row r="99" spans="1:4" x14ac:dyDescent="0.25">
      <c r="A99" s="10" t="s">
        <v>680</v>
      </c>
      <c r="B99" s="15">
        <v>29.16</v>
      </c>
      <c r="C99" s="15" t="s">
        <v>101</v>
      </c>
      <c r="D99" t="s">
        <v>75</v>
      </c>
    </row>
    <row r="100" spans="1:4" x14ac:dyDescent="0.25">
      <c r="A100" s="10" t="s">
        <v>682</v>
      </c>
      <c r="B100" s="15">
        <v>1137.18</v>
      </c>
      <c r="C100" s="15" t="s">
        <v>101</v>
      </c>
      <c r="D100" t="s">
        <v>75</v>
      </c>
    </row>
    <row r="101" spans="1:4" x14ac:dyDescent="0.25">
      <c r="A101" s="10" t="s">
        <v>684</v>
      </c>
      <c r="B101" s="15">
        <v>82.74</v>
      </c>
      <c r="C101" s="15" t="s">
        <v>101</v>
      </c>
      <c r="D101" t="s">
        <v>75</v>
      </c>
    </row>
    <row r="102" spans="1:4" x14ac:dyDescent="0.25">
      <c r="A102" s="10" t="s">
        <v>686</v>
      </c>
      <c r="B102" s="15">
        <v>601.65</v>
      </c>
      <c r="C102" s="15" t="s">
        <v>101</v>
      </c>
      <c r="D102" t="s">
        <v>75</v>
      </c>
    </row>
    <row r="103" spans="1:4" x14ac:dyDescent="0.25">
      <c r="A103" s="10" t="s">
        <v>696</v>
      </c>
      <c r="B103" s="15">
        <v>1136.9100000000001</v>
      </c>
      <c r="C103" s="15" t="s">
        <v>101</v>
      </c>
      <c r="D103" t="s">
        <v>75</v>
      </c>
    </row>
    <row r="104" spans="1:4" x14ac:dyDescent="0.25">
      <c r="A104" s="10" t="s">
        <v>700</v>
      </c>
      <c r="B104" s="15">
        <v>41.37</v>
      </c>
      <c r="C104" s="15" t="s">
        <v>101</v>
      </c>
      <c r="D104" t="s">
        <v>75</v>
      </c>
    </row>
    <row r="105" spans="1:4" x14ac:dyDescent="0.25">
      <c r="A105" s="10" t="s">
        <v>708</v>
      </c>
      <c r="B105" s="15">
        <v>29.16</v>
      </c>
      <c r="C105" s="15" t="s">
        <v>101</v>
      </c>
      <c r="D105" t="s">
        <v>75</v>
      </c>
    </row>
    <row r="106" spans="1:4" x14ac:dyDescent="0.25">
      <c r="A106" s="10" t="s">
        <v>710</v>
      </c>
      <c r="B106" s="15">
        <v>41.37</v>
      </c>
      <c r="C106" s="15" t="s">
        <v>101</v>
      </c>
      <c r="D106" t="s">
        <v>75</v>
      </c>
    </row>
    <row r="107" spans="1:4" x14ac:dyDescent="0.25">
      <c r="A107" s="10" t="s">
        <v>712</v>
      </c>
      <c r="B107" s="15">
        <v>4102.83</v>
      </c>
      <c r="C107" s="15" t="s">
        <v>101</v>
      </c>
      <c r="D107" t="s">
        <v>75</v>
      </c>
    </row>
    <row r="108" spans="1:4" x14ac:dyDescent="0.25">
      <c r="A108" s="10" t="s">
        <v>722</v>
      </c>
      <c r="B108" s="15">
        <v>37.18</v>
      </c>
      <c r="C108" s="15" t="s">
        <v>101</v>
      </c>
      <c r="D108" t="s">
        <v>75</v>
      </c>
    </row>
    <row r="109" spans="1:4" x14ac:dyDescent="0.25">
      <c r="A109" s="10" t="s">
        <v>738</v>
      </c>
      <c r="B109" s="15">
        <v>1993.7</v>
      </c>
      <c r="C109" s="15" t="s">
        <v>101</v>
      </c>
      <c r="D109" t="s">
        <v>75</v>
      </c>
    </row>
    <row r="110" spans="1:4" x14ac:dyDescent="0.25">
      <c r="A110" s="10" t="s">
        <v>740</v>
      </c>
      <c r="B110" s="15">
        <v>4095.89</v>
      </c>
      <c r="C110" s="15" t="s">
        <v>101</v>
      </c>
      <c r="D110" t="s">
        <v>75</v>
      </c>
    </row>
    <row r="111" spans="1:4" x14ac:dyDescent="0.25">
      <c r="A111" s="10" t="s">
        <v>744</v>
      </c>
      <c r="B111" s="15">
        <v>1144.72</v>
      </c>
      <c r="C111" s="15" t="s">
        <v>101</v>
      </c>
      <c r="D111" t="s">
        <v>75</v>
      </c>
    </row>
    <row r="112" spans="1:4" x14ac:dyDescent="0.25">
      <c r="A112" s="10" t="s">
        <v>746</v>
      </c>
      <c r="B112" s="15">
        <v>70.53</v>
      </c>
      <c r="C112" s="15" t="s">
        <v>101</v>
      </c>
      <c r="D112" t="s">
        <v>75</v>
      </c>
    </row>
    <row r="113" spans="1:4" x14ac:dyDescent="0.25">
      <c r="A113" s="10" t="s">
        <v>750</v>
      </c>
      <c r="B113" s="15">
        <v>1232.21</v>
      </c>
      <c r="C113" s="15" t="s">
        <v>101</v>
      </c>
      <c r="D113" t="s">
        <v>75</v>
      </c>
    </row>
    <row r="114" spans="1:4" x14ac:dyDescent="0.25">
      <c r="A114" s="10" t="s">
        <v>752</v>
      </c>
      <c r="B114" s="15">
        <v>861.17</v>
      </c>
      <c r="C114" s="15" t="s">
        <v>101</v>
      </c>
      <c r="D114" t="s">
        <v>75</v>
      </c>
    </row>
    <row r="115" spans="1:4" x14ac:dyDescent="0.25">
      <c r="A115" s="10" t="s">
        <v>774</v>
      </c>
      <c r="B115" s="15">
        <v>2133.65</v>
      </c>
      <c r="C115" s="15" t="s">
        <v>101</v>
      </c>
      <c r="D115" t="s">
        <v>75</v>
      </c>
    </row>
    <row r="116" spans="1:4" x14ac:dyDescent="0.25">
      <c r="A116" s="10" t="s">
        <v>790</v>
      </c>
      <c r="B116" s="15">
        <v>29.16</v>
      </c>
      <c r="C116" s="15" t="s">
        <v>101</v>
      </c>
      <c r="D116" t="s">
        <v>75</v>
      </c>
    </row>
    <row r="117" spans="1:4" x14ac:dyDescent="0.25">
      <c r="A117" s="10" t="s">
        <v>796</v>
      </c>
      <c r="B117" s="15">
        <v>1116.74</v>
      </c>
      <c r="C117" s="15" t="s">
        <v>101</v>
      </c>
      <c r="D117" t="s">
        <v>75</v>
      </c>
    </row>
    <row r="118" spans="1:4" x14ac:dyDescent="0.25">
      <c r="A118" s="10" t="s">
        <v>818</v>
      </c>
      <c r="B118" s="15">
        <v>1228.4100000000001</v>
      </c>
      <c r="C118" s="15" t="s">
        <v>101</v>
      </c>
      <c r="D118" t="s">
        <v>75</v>
      </c>
    </row>
    <row r="119" spans="1:4" x14ac:dyDescent="0.25">
      <c r="A119" s="10" t="s">
        <v>836</v>
      </c>
      <c r="B119" s="15">
        <v>602.89</v>
      </c>
      <c r="C119" s="15" t="s">
        <v>101</v>
      </c>
      <c r="D119" t="s">
        <v>75</v>
      </c>
    </row>
    <row r="120" spans="1:4" x14ac:dyDescent="0.25">
      <c r="A120" s="10" t="s">
        <v>846</v>
      </c>
      <c r="B120" s="15">
        <v>968.05</v>
      </c>
      <c r="C120" s="15" t="s">
        <v>101</v>
      </c>
      <c r="D120" t="s">
        <v>75</v>
      </c>
    </row>
    <row r="121" spans="1:4" x14ac:dyDescent="0.25">
      <c r="A121" s="10" t="s">
        <v>854</v>
      </c>
      <c r="B121" s="15">
        <v>1141.8599999999999</v>
      </c>
      <c r="C121" s="15" t="s">
        <v>101</v>
      </c>
      <c r="D121" t="s">
        <v>75</v>
      </c>
    </row>
    <row r="122" spans="1:4" x14ac:dyDescent="0.25">
      <c r="A122" s="10" t="s">
        <v>860</v>
      </c>
      <c r="B122" s="15">
        <v>973.36</v>
      </c>
      <c r="C122" s="15" t="s">
        <v>101</v>
      </c>
      <c r="D122" t="s">
        <v>75</v>
      </c>
    </row>
    <row r="123" spans="1:4" x14ac:dyDescent="0.25">
      <c r="A123" s="10" t="s">
        <v>866</v>
      </c>
      <c r="B123" s="15">
        <v>979.74</v>
      </c>
      <c r="C123" s="15" t="s">
        <v>101</v>
      </c>
      <c r="D123" t="s">
        <v>75</v>
      </c>
    </row>
    <row r="124" spans="1:4" x14ac:dyDescent="0.25">
      <c r="A124" s="10" t="s">
        <v>870</v>
      </c>
      <c r="B124" s="15">
        <v>957.01</v>
      </c>
      <c r="C124" s="15" t="s">
        <v>101</v>
      </c>
      <c r="D124" t="s">
        <v>75</v>
      </c>
    </row>
    <row r="125" spans="1:4" x14ac:dyDescent="0.25">
      <c r="A125" s="10" t="s">
        <v>878</v>
      </c>
      <c r="B125" s="15">
        <v>601.65</v>
      </c>
      <c r="C125" s="15" t="s">
        <v>101</v>
      </c>
      <c r="D125" t="s">
        <v>75</v>
      </c>
    </row>
    <row r="126" spans="1:4" x14ac:dyDescent="0.25">
      <c r="A126" s="10" t="s">
        <v>880</v>
      </c>
      <c r="B126" s="15">
        <v>1654.51</v>
      </c>
      <c r="C126" s="15" t="s">
        <v>101</v>
      </c>
      <c r="D126" t="s">
        <v>75</v>
      </c>
    </row>
    <row r="127" spans="1:4" x14ac:dyDescent="0.25">
      <c r="A127" s="10" t="s">
        <v>890</v>
      </c>
      <c r="B127" s="15">
        <v>601.82000000000005</v>
      </c>
      <c r="C127" s="15" t="s">
        <v>101</v>
      </c>
      <c r="D127" t="s">
        <v>75</v>
      </c>
    </row>
    <row r="128" spans="1:4" x14ac:dyDescent="0.25">
      <c r="A128" s="10" t="s">
        <v>896</v>
      </c>
      <c r="B128" s="15">
        <v>938.12</v>
      </c>
      <c r="C128" s="15" t="s">
        <v>101</v>
      </c>
      <c r="D128" t="s">
        <v>75</v>
      </c>
    </row>
    <row r="129" spans="1:4" x14ac:dyDescent="0.25">
      <c r="A129" s="10" t="s">
        <v>904</v>
      </c>
      <c r="B129" s="15">
        <v>1238.58</v>
      </c>
      <c r="C129" s="15" t="s">
        <v>101</v>
      </c>
      <c r="D129" t="s">
        <v>75</v>
      </c>
    </row>
    <row r="130" spans="1:4" x14ac:dyDescent="0.25">
      <c r="A130" s="10" t="s">
        <v>910</v>
      </c>
      <c r="B130" s="15">
        <v>603.17999999999995</v>
      </c>
      <c r="C130" s="15" t="s">
        <v>101</v>
      </c>
      <c r="D130" t="s">
        <v>75</v>
      </c>
    </row>
    <row r="131" spans="1:4" x14ac:dyDescent="0.25">
      <c r="A131" s="10" t="s">
        <v>912</v>
      </c>
      <c r="B131" s="15">
        <v>1898.22</v>
      </c>
      <c r="C131" s="15" t="s">
        <v>101</v>
      </c>
      <c r="D131" t="s">
        <v>75</v>
      </c>
    </row>
    <row r="132" spans="1:4" x14ac:dyDescent="0.25">
      <c r="A132" s="10" t="s">
        <v>934</v>
      </c>
      <c r="B132" s="15">
        <v>9713.43</v>
      </c>
      <c r="C132" s="15" t="s">
        <v>101</v>
      </c>
      <c r="D132" t="s">
        <v>75</v>
      </c>
    </row>
    <row r="133" spans="1:4" x14ac:dyDescent="0.25">
      <c r="A133" s="10" t="s">
        <v>958</v>
      </c>
      <c r="B133" s="15">
        <v>1322.1</v>
      </c>
      <c r="C133" s="15" t="s">
        <v>101</v>
      </c>
      <c r="D133" t="s">
        <v>75</v>
      </c>
    </row>
    <row r="134" spans="1:4" x14ac:dyDescent="0.25">
      <c r="A134" s="10" t="s">
        <v>962</v>
      </c>
      <c r="B134" s="15">
        <v>3884.84</v>
      </c>
      <c r="C134" s="15" t="s">
        <v>101</v>
      </c>
      <c r="D134" t="s">
        <v>75</v>
      </c>
    </row>
    <row r="135" spans="1:4" x14ac:dyDescent="0.25">
      <c r="A135" s="10" t="s">
        <v>966</v>
      </c>
      <c r="B135" s="15">
        <v>5234.13</v>
      </c>
      <c r="C135" s="15" t="s">
        <v>101</v>
      </c>
      <c r="D135" t="s">
        <v>75</v>
      </c>
    </row>
    <row r="136" spans="1:4" x14ac:dyDescent="0.25">
      <c r="A136" s="10" t="s">
        <v>974</v>
      </c>
      <c r="B136" s="15">
        <v>1654.69</v>
      </c>
      <c r="C136" s="15" t="s">
        <v>101</v>
      </c>
      <c r="D136" t="s">
        <v>75</v>
      </c>
    </row>
    <row r="137" spans="1:4" x14ac:dyDescent="0.25">
      <c r="A137" s="10" t="s">
        <v>976</v>
      </c>
      <c r="B137" s="15">
        <v>5109.45</v>
      </c>
      <c r="C137" s="15" t="s">
        <v>101</v>
      </c>
      <c r="D137" t="s">
        <v>75</v>
      </c>
    </row>
    <row r="138" spans="1:4" x14ac:dyDescent="0.25">
      <c r="A138" s="10" t="s">
        <v>988</v>
      </c>
      <c r="B138" s="15">
        <v>1832.66</v>
      </c>
      <c r="C138" s="15" t="s">
        <v>101</v>
      </c>
      <c r="D138" t="s">
        <v>75</v>
      </c>
    </row>
    <row r="139" spans="1:4" x14ac:dyDescent="0.25">
      <c r="A139" s="10" t="s">
        <v>990</v>
      </c>
      <c r="B139" s="15">
        <v>5279.4</v>
      </c>
      <c r="C139" s="15" t="s">
        <v>101</v>
      </c>
      <c r="D139" t="s">
        <v>75</v>
      </c>
    </row>
    <row r="140" spans="1:4" x14ac:dyDescent="0.25">
      <c r="A140" s="10" t="s">
        <v>992</v>
      </c>
      <c r="B140" s="15">
        <v>4670.26</v>
      </c>
      <c r="C140" s="15" t="s">
        <v>101</v>
      </c>
      <c r="D140" t="s">
        <v>75</v>
      </c>
    </row>
    <row r="141" spans="1:4" x14ac:dyDescent="0.25">
      <c r="A141" s="10" t="s">
        <v>1003</v>
      </c>
      <c r="B141" s="15">
        <v>1228.92</v>
      </c>
      <c r="C141" s="15" t="s">
        <v>101</v>
      </c>
      <c r="D141" t="s">
        <v>75</v>
      </c>
    </row>
    <row r="142" spans="1:4" x14ac:dyDescent="0.25">
      <c r="A142" s="10" t="s">
        <v>1007</v>
      </c>
      <c r="B142" s="15">
        <v>5649.55</v>
      </c>
      <c r="C142" s="15" t="s">
        <v>101</v>
      </c>
      <c r="D142" t="s">
        <v>75</v>
      </c>
    </row>
    <row r="143" spans="1:4" x14ac:dyDescent="0.25">
      <c r="A143" s="10" t="s">
        <v>1017</v>
      </c>
      <c r="B143" s="15">
        <v>3029.09</v>
      </c>
      <c r="C143" s="15" t="s">
        <v>101</v>
      </c>
      <c r="D143" t="s">
        <v>75</v>
      </c>
    </row>
    <row r="144" spans="1:4" x14ac:dyDescent="0.25">
      <c r="A144" s="10" t="s">
        <v>1019</v>
      </c>
      <c r="B144" s="15">
        <v>5185.3900000000003</v>
      </c>
      <c r="C144" s="15" t="s">
        <v>101</v>
      </c>
      <c r="D144" t="s">
        <v>75</v>
      </c>
    </row>
    <row r="145" spans="1:4" x14ac:dyDescent="0.25">
      <c r="A145" s="10" t="s">
        <v>1021</v>
      </c>
      <c r="B145" s="15">
        <v>2075.1</v>
      </c>
      <c r="C145" s="15" t="s">
        <v>101</v>
      </c>
      <c r="D145" t="s">
        <v>75</v>
      </c>
    </row>
    <row r="146" spans="1:4" x14ac:dyDescent="0.25">
      <c r="A146" s="10" t="s">
        <v>1025</v>
      </c>
      <c r="B146" s="15">
        <v>1432.56</v>
      </c>
      <c r="C146" s="15" t="s">
        <v>101</v>
      </c>
      <c r="D146" t="s">
        <v>75</v>
      </c>
    </row>
    <row r="147" spans="1:4" x14ac:dyDescent="0.25">
      <c r="A147" s="10" t="s">
        <v>1029</v>
      </c>
      <c r="B147" s="15">
        <v>1955.85</v>
      </c>
      <c r="C147" s="15" t="s">
        <v>101</v>
      </c>
      <c r="D147" t="s">
        <v>75</v>
      </c>
    </row>
    <row r="148" spans="1:4" x14ac:dyDescent="0.25">
      <c r="A148" s="10" t="s">
        <v>1031</v>
      </c>
      <c r="B148" s="15">
        <v>4524.93</v>
      </c>
      <c r="C148" s="15" t="s">
        <v>101</v>
      </c>
      <c r="D148" t="s">
        <v>75</v>
      </c>
    </row>
    <row r="149" spans="1:4" x14ac:dyDescent="0.25">
      <c r="A149" s="10" t="s">
        <v>1033</v>
      </c>
      <c r="B149" s="15">
        <v>1228.81</v>
      </c>
      <c r="C149" s="15" t="s">
        <v>101</v>
      </c>
      <c r="D149" t="s">
        <v>75</v>
      </c>
    </row>
    <row r="150" spans="1:4" x14ac:dyDescent="0.25">
      <c r="A150" s="10" t="s">
        <v>1044</v>
      </c>
      <c r="B150" s="15">
        <v>1654.5</v>
      </c>
      <c r="C150" s="15" t="s">
        <v>101</v>
      </c>
      <c r="D150" t="s">
        <v>75</v>
      </c>
    </row>
    <row r="151" spans="1:4" x14ac:dyDescent="0.25">
      <c r="A151" s="10" t="s">
        <v>1046</v>
      </c>
      <c r="B151" s="15">
        <v>5113.33</v>
      </c>
      <c r="C151" s="15" t="s">
        <v>101</v>
      </c>
      <c r="D151" t="s">
        <v>75</v>
      </c>
    </row>
    <row r="152" spans="1:4" x14ac:dyDescent="0.25">
      <c r="A152" s="10" t="s">
        <v>1059</v>
      </c>
      <c r="B152" s="15">
        <v>1229.24</v>
      </c>
      <c r="C152" s="15" t="s">
        <v>101</v>
      </c>
      <c r="D152" t="s">
        <v>75</v>
      </c>
    </row>
    <row r="153" spans="1:4" x14ac:dyDescent="0.25">
      <c r="A153" s="10" t="s">
        <v>1061</v>
      </c>
      <c r="B153" s="15">
        <v>1229.81</v>
      </c>
      <c r="C153" s="15" t="s">
        <v>101</v>
      </c>
      <c r="D153" t="s">
        <v>75</v>
      </c>
    </row>
    <row r="154" spans="1:4" x14ac:dyDescent="0.25">
      <c r="A154" s="10" t="s">
        <v>1065</v>
      </c>
      <c r="B154" s="15">
        <v>10219.34</v>
      </c>
      <c r="C154" s="15" t="s">
        <v>101</v>
      </c>
      <c r="D154" t="s">
        <v>75</v>
      </c>
    </row>
    <row r="155" spans="1:4" x14ac:dyDescent="0.25">
      <c r="A155" s="10" t="s">
        <v>1071</v>
      </c>
      <c r="B155" s="15">
        <v>1323.69</v>
      </c>
      <c r="C155" s="15" t="s">
        <v>101</v>
      </c>
      <c r="D155" t="s">
        <v>75</v>
      </c>
    </row>
    <row r="156" spans="1:4" x14ac:dyDescent="0.25">
      <c r="A156" s="10" t="s">
        <v>1073</v>
      </c>
      <c r="B156" s="15">
        <v>6674.92</v>
      </c>
      <c r="C156" s="15" t="s">
        <v>101</v>
      </c>
      <c r="D156" t="s">
        <v>75</v>
      </c>
    </row>
    <row r="157" spans="1:4" x14ac:dyDescent="0.25">
      <c r="A157" s="10" t="s">
        <v>1077</v>
      </c>
      <c r="B157" s="15">
        <v>2404.08</v>
      </c>
      <c r="C157" s="15" t="s">
        <v>101</v>
      </c>
      <c r="D157" t="s">
        <v>75</v>
      </c>
    </row>
    <row r="158" spans="1:4" x14ac:dyDescent="0.25">
      <c r="A158" s="10" t="s">
        <v>1079</v>
      </c>
      <c r="B158" s="15">
        <v>5315.49</v>
      </c>
      <c r="C158" s="15" t="s">
        <v>101</v>
      </c>
      <c r="D158" t="s">
        <v>75</v>
      </c>
    </row>
    <row r="159" spans="1:4" x14ac:dyDescent="0.25">
      <c r="A159" s="10" t="s">
        <v>1081</v>
      </c>
      <c r="B159" s="15">
        <v>10472.66</v>
      </c>
      <c r="C159" s="15" t="s">
        <v>101</v>
      </c>
      <c r="D159" t="s">
        <v>75</v>
      </c>
    </row>
    <row r="160" spans="1:4" x14ac:dyDescent="0.25">
      <c r="A160" s="10" t="s">
        <v>1085</v>
      </c>
      <c r="B160" s="15">
        <v>2230.14</v>
      </c>
      <c r="C160" s="15" t="s">
        <v>101</v>
      </c>
      <c r="D160" t="s">
        <v>75</v>
      </c>
    </row>
    <row r="161" spans="1:4" x14ac:dyDescent="0.25">
      <c r="A161" s="10" t="s">
        <v>1092</v>
      </c>
      <c r="B161" s="15">
        <v>1764.79</v>
      </c>
      <c r="C161" s="15" t="s">
        <v>101</v>
      </c>
      <c r="D161" t="s">
        <v>75</v>
      </c>
    </row>
    <row r="162" spans="1:4" x14ac:dyDescent="0.25">
      <c r="A162" s="10" t="s">
        <v>1094</v>
      </c>
      <c r="B162" s="15">
        <v>1873.83</v>
      </c>
      <c r="C162" s="15" t="s">
        <v>101</v>
      </c>
      <c r="D162" t="s">
        <v>75</v>
      </c>
    </row>
    <row r="163" spans="1:4" x14ac:dyDescent="0.25">
      <c r="A163" s="10" t="s">
        <v>1096</v>
      </c>
      <c r="B163" s="15">
        <v>1596.2</v>
      </c>
      <c r="C163" s="15" t="s">
        <v>101</v>
      </c>
      <c r="D163" t="s">
        <v>75</v>
      </c>
    </row>
    <row r="164" spans="1:4" x14ac:dyDescent="0.25">
      <c r="A164" s="10" t="s">
        <v>1098</v>
      </c>
      <c r="B164" s="15">
        <v>7291.27</v>
      </c>
      <c r="C164" s="15" t="s">
        <v>101</v>
      </c>
      <c r="D164" t="s">
        <v>75</v>
      </c>
    </row>
    <row r="165" spans="1:4" x14ac:dyDescent="0.25">
      <c r="A165" s="10" t="s">
        <v>1100</v>
      </c>
      <c r="B165" s="15">
        <v>5161.87</v>
      </c>
      <c r="C165" s="15" t="s">
        <v>101</v>
      </c>
      <c r="D165" t="s">
        <v>75</v>
      </c>
    </row>
    <row r="166" spans="1:4" x14ac:dyDescent="0.25">
      <c r="A166" s="10" t="s">
        <v>1102</v>
      </c>
      <c r="B166" s="15">
        <v>7235.39</v>
      </c>
      <c r="C166" s="15" t="s">
        <v>101</v>
      </c>
      <c r="D166" t="s">
        <v>75</v>
      </c>
    </row>
    <row r="167" spans="1:4" x14ac:dyDescent="0.25">
      <c r="A167" s="10" t="s">
        <v>1107</v>
      </c>
      <c r="B167" s="15">
        <v>1236.0899999999999</v>
      </c>
      <c r="C167" s="15" t="s">
        <v>101</v>
      </c>
      <c r="D167" t="s">
        <v>75</v>
      </c>
    </row>
    <row r="168" spans="1:4" x14ac:dyDescent="0.25">
      <c r="A168" s="10" t="s">
        <v>1117</v>
      </c>
      <c r="B168" s="15">
        <v>2127.7800000000002</v>
      </c>
      <c r="C168" s="15" t="s">
        <v>101</v>
      </c>
      <c r="D168" t="s">
        <v>75</v>
      </c>
    </row>
    <row r="169" spans="1:4" x14ac:dyDescent="0.25">
      <c r="A169" s="10" t="s">
        <v>1119</v>
      </c>
      <c r="B169" s="15">
        <v>7321.45</v>
      </c>
      <c r="C169" s="15" t="s">
        <v>101</v>
      </c>
      <c r="D169" t="s">
        <v>75</v>
      </c>
    </row>
    <row r="170" spans="1:4" x14ac:dyDescent="0.25">
      <c r="A170" s="10" t="s">
        <v>1121</v>
      </c>
      <c r="B170" s="15">
        <v>5238.05</v>
      </c>
      <c r="C170" s="15" t="s">
        <v>101</v>
      </c>
      <c r="D170" t="s">
        <v>75</v>
      </c>
    </row>
    <row r="171" spans="1:4" x14ac:dyDescent="0.25">
      <c r="A171" s="10" t="s">
        <v>1125</v>
      </c>
      <c r="B171" s="15">
        <v>11384.5</v>
      </c>
      <c r="C171" s="15" t="s">
        <v>101</v>
      </c>
      <c r="D171" t="s">
        <v>75</v>
      </c>
    </row>
    <row r="172" spans="1:4" x14ac:dyDescent="0.25">
      <c r="A172" s="10" t="s">
        <v>1129</v>
      </c>
      <c r="B172" s="15">
        <v>5090.6000000000004</v>
      </c>
      <c r="C172" s="15" t="s">
        <v>101</v>
      </c>
      <c r="D172" t="s">
        <v>75</v>
      </c>
    </row>
    <row r="173" spans="1:4" x14ac:dyDescent="0.25">
      <c r="A173" s="10" t="s">
        <v>1136</v>
      </c>
      <c r="B173" s="15">
        <v>1738.23</v>
      </c>
      <c r="C173" s="15" t="s">
        <v>101</v>
      </c>
      <c r="D173" t="s">
        <v>75</v>
      </c>
    </row>
    <row r="174" spans="1:4" x14ac:dyDescent="0.25">
      <c r="A174" s="10" t="s">
        <v>1138</v>
      </c>
      <c r="B174" s="15">
        <v>603.73</v>
      </c>
      <c r="C174" s="15" t="s">
        <v>101</v>
      </c>
      <c r="D174" t="s">
        <v>75</v>
      </c>
    </row>
    <row r="175" spans="1:4" x14ac:dyDescent="0.25">
      <c r="A175" s="10" t="s">
        <v>1140</v>
      </c>
      <c r="B175" s="15">
        <v>1228.4100000000001</v>
      </c>
      <c r="C175" s="15" t="s">
        <v>101</v>
      </c>
      <c r="D175" t="s">
        <v>75</v>
      </c>
    </row>
    <row r="176" spans="1:4" x14ac:dyDescent="0.25">
      <c r="A176" s="10" t="s">
        <v>1148</v>
      </c>
      <c r="B176" s="15">
        <v>4455.8</v>
      </c>
      <c r="C176" s="15" t="s">
        <v>101</v>
      </c>
      <c r="D176" t="s">
        <v>75</v>
      </c>
    </row>
    <row r="177" spans="1:4" x14ac:dyDescent="0.25">
      <c r="A177" s="10" t="s">
        <v>1150</v>
      </c>
      <c r="B177" s="15">
        <v>3351.45</v>
      </c>
      <c r="C177" s="15" t="s">
        <v>101</v>
      </c>
      <c r="D177" t="s">
        <v>75</v>
      </c>
    </row>
    <row r="178" spans="1:4" x14ac:dyDescent="0.25">
      <c r="A178" s="10" t="s">
        <v>1152</v>
      </c>
      <c r="B178" s="15">
        <v>1922.75</v>
      </c>
      <c r="C178" s="15" t="s">
        <v>101</v>
      </c>
      <c r="D178" t="s">
        <v>75</v>
      </c>
    </row>
    <row r="179" spans="1:4" x14ac:dyDescent="0.25">
      <c r="A179" s="10" t="s">
        <v>1160</v>
      </c>
      <c r="B179" s="15">
        <v>2091.73</v>
      </c>
      <c r="C179" s="15" t="s">
        <v>101</v>
      </c>
      <c r="D179" t="s">
        <v>75</v>
      </c>
    </row>
    <row r="180" spans="1:4" x14ac:dyDescent="0.25">
      <c r="A180" s="10" t="s">
        <v>1164</v>
      </c>
      <c r="B180" s="15">
        <v>1145.95</v>
      </c>
      <c r="C180" s="15" t="s">
        <v>101</v>
      </c>
      <c r="D180" t="s">
        <v>75</v>
      </c>
    </row>
    <row r="181" spans="1:4" x14ac:dyDescent="0.25">
      <c r="A181" s="10" t="s">
        <v>1168</v>
      </c>
      <c r="B181" s="15">
        <v>5873.72</v>
      </c>
      <c r="C181" s="15" t="s">
        <v>101</v>
      </c>
      <c r="D181" t="s">
        <v>75</v>
      </c>
    </row>
    <row r="182" spans="1:4" x14ac:dyDescent="0.25">
      <c r="A182" s="10" t="s">
        <v>1172</v>
      </c>
      <c r="B182" s="15">
        <v>1228.4100000000001</v>
      </c>
      <c r="C182" s="15" t="s">
        <v>101</v>
      </c>
      <c r="D182" t="s">
        <v>75</v>
      </c>
    </row>
    <row r="183" spans="1:4" x14ac:dyDescent="0.25">
      <c r="A183" s="10" t="s">
        <v>1180</v>
      </c>
      <c r="B183" s="15">
        <v>3159.6</v>
      </c>
      <c r="C183" s="15" t="s">
        <v>101</v>
      </c>
      <c r="D183" t="s">
        <v>75</v>
      </c>
    </row>
    <row r="184" spans="1:4" x14ac:dyDescent="0.25">
      <c r="A184" s="10" t="s">
        <v>1182</v>
      </c>
      <c r="B184" s="15">
        <v>3551.97</v>
      </c>
      <c r="C184" s="15" t="s">
        <v>101</v>
      </c>
      <c r="D184" t="s">
        <v>75</v>
      </c>
    </row>
    <row r="185" spans="1:4" x14ac:dyDescent="0.25">
      <c r="A185" s="10" t="s">
        <v>1184</v>
      </c>
      <c r="B185" s="15">
        <v>2924.48</v>
      </c>
      <c r="C185" s="15" t="s">
        <v>101</v>
      </c>
      <c r="D185" t="s">
        <v>75</v>
      </c>
    </row>
    <row r="186" spans="1:4" x14ac:dyDescent="0.25">
      <c r="A186" s="10" t="s">
        <v>1186</v>
      </c>
      <c r="B186" s="15">
        <v>3397.41</v>
      </c>
      <c r="C186" s="15" t="s">
        <v>101</v>
      </c>
      <c r="D186" t="s">
        <v>75</v>
      </c>
    </row>
    <row r="187" spans="1:4" x14ac:dyDescent="0.25">
      <c r="A187" s="10" t="s">
        <v>1188</v>
      </c>
      <c r="B187" s="15">
        <v>1269.78</v>
      </c>
      <c r="C187" s="15" t="s">
        <v>101</v>
      </c>
      <c r="D187" t="s">
        <v>75</v>
      </c>
    </row>
    <row r="188" spans="1:4" x14ac:dyDescent="0.25">
      <c r="A188" s="10" t="s">
        <v>1192</v>
      </c>
      <c r="B188" s="15">
        <v>1238.74</v>
      </c>
      <c r="C188" s="15" t="s">
        <v>101</v>
      </c>
      <c r="D188" t="s">
        <v>75</v>
      </c>
    </row>
    <row r="189" spans="1:4" x14ac:dyDescent="0.25">
      <c r="A189" s="10" t="s">
        <v>1194</v>
      </c>
      <c r="B189" s="15">
        <v>3523.25</v>
      </c>
      <c r="C189" s="15" t="s">
        <v>101</v>
      </c>
      <c r="D189" t="s">
        <v>75</v>
      </c>
    </row>
    <row r="190" spans="1:4" x14ac:dyDescent="0.25">
      <c r="A190" s="10" t="s">
        <v>1206</v>
      </c>
      <c r="B190" s="15">
        <v>3922.27</v>
      </c>
      <c r="C190" s="15" t="s">
        <v>101</v>
      </c>
      <c r="D190" t="s">
        <v>75</v>
      </c>
    </row>
    <row r="191" spans="1:4" x14ac:dyDescent="0.25">
      <c r="A191" s="10" t="s">
        <v>1210</v>
      </c>
      <c r="B191" s="15">
        <v>1603.27</v>
      </c>
      <c r="C191" s="15" t="s">
        <v>101</v>
      </c>
      <c r="D191" t="s">
        <v>75</v>
      </c>
    </row>
    <row r="192" spans="1:4" x14ac:dyDescent="0.25">
      <c r="A192" s="10" t="s">
        <v>1212</v>
      </c>
      <c r="B192" s="15">
        <v>1261.28</v>
      </c>
      <c r="C192" s="15" t="s">
        <v>101</v>
      </c>
      <c r="D192" t="s">
        <v>75</v>
      </c>
    </row>
    <row r="193" spans="1:4" x14ac:dyDescent="0.25">
      <c r="A193" s="10" t="s">
        <v>1214</v>
      </c>
      <c r="B193" s="15">
        <v>2126.31</v>
      </c>
      <c r="C193" s="15" t="s">
        <v>101</v>
      </c>
      <c r="D193" t="s">
        <v>75</v>
      </c>
    </row>
    <row r="194" spans="1:4" x14ac:dyDescent="0.25">
      <c r="A194" s="10" t="s">
        <v>1230</v>
      </c>
      <c r="B194" s="15">
        <v>7486.99</v>
      </c>
      <c r="C194" s="15" t="s">
        <v>101</v>
      </c>
      <c r="D194" t="s">
        <v>75</v>
      </c>
    </row>
    <row r="195" spans="1:4" x14ac:dyDescent="0.25">
      <c r="A195" s="10" t="s">
        <v>1238</v>
      </c>
      <c r="B195" s="15">
        <v>1137.3800000000001</v>
      </c>
      <c r="C195" s="15" t="s">
        <v>101</v>
      </c>
      <c r="D195" t="s">
        <v>75</v>
      </c>
    </row>
    <row r="196" spans="1:4" x14ac:dyDescent="0.25">
      <c r="A196" s="10" t="s">
        <v>1240</v>
      </c>
      <c r="B196" s="15">
        <v>5208.8900000000003</v>
      </c>
      <c r="C196" s="15" t="s">
        <v>101</v>
      </c>
      <c r="D196" t="s">
        <v>75</v>
      </c>
    </row>
    <row r="197" spans="1:4" x14ac:dyDescent="0.25">
      <c r="A197" s="10" t="s">
        <v>1242</v>
      </c>
      <c r="B197" s="15">
        <v>496.36</v>
      </c>
      <c r="C197" s="15" t="s">
        <v>101</v>
      </c>
      <c r="D197" t="s">
        <v>75</v>
      </c>
    </row>
    <row r="198" spans="1:4" x14ac:dyDescent="0.25">
      <c r="A198" s="10" t="s">
        <v>1244</v>
      </c>
      <c r="B198" s="15">
        <v>1142.05</v>
      </c>
      <c r="C198" s="15" t="s">
        <v>101</v>
      </c>
      <c r="D198" t="s">
        <v>75</v>
      </c>
    </row>
    <row r="199" spans="1:4" x14ac:dyDescent="0.25">
      <c r="A199" s="10" t="s">
        <v>1250</v>
      </c>
      <c r="B199" s="15">
        <v>29.16</v>
      </c>
      <c r="C199" s="15" t="s">
        <v>101</v>
      </c>
      <c r="D199" t="s">
        <v>75</v>
      </c>
    </row>
    <row r="200" spans="1:4" x14ac:dyDescent="0.25">
      <c r="A200" s="10" t="s">
        <v>1252</v>
      </c>
      <c r="B200" s="15">
        <v>1228.4100000000001</v>
      </c>
      <c r="C200" s="15" t="s">
        <v>101</v>
      </c>
      <c r="D200" t="s">
        <v>75</v>
      </c>
    </row>
    <row r="201" spans="1:4" x14ac:dyDescent="0.25">
      <c r="A201" s="10" t="s">
        <v>1258</v>
      </c>
      <c r="B201" s="15">
        <v>601.65</v>
      </c>
      <c r="C201" s="15" t="s">
        <v>101</v>
      </c>
      <c r="D201" t="s">
        <v>75</v>
      </c>
    </row>
    <row r="202" spans="1:4" x14ac:dyDescent="0.25">
      <c r="A202" s="10" t="s">
        <v>1260</v>
      </c>
      <c r="B202" s="15">
        <v>11681.36</v>
      </c>
      <c r="C202" s="15" t="s">
        <v>101</v>
      </c>
      <c r="D202" t="s">
        <v>75</v>
      </c>
    </row>
    <row r="203" spans="1:4" x14ac:dyDescent="0.25">
      <c r="A203" s="10" t="s">
        <v>1262</v>
      </c>
      <c r="B203" s="15">
        <v>2275.4699999999998</v>
      </c>
      <c r="C203" s="15" t="s">
        <v>101</v>
      </c>
      <c r="D203" t="s">
        <v>75</v>
      </c>
    </row>
    <row r="204" spans="1:4" x14ac:dyDescent="0.25">
      <c r="A204" s="10" t="s">
        <v>1266</v>
      </c>
      <c r="B204" s="15">
        <v>3128.55</v>
      </c>
      <c r="C204" s="15" t="s">
        <v>101</v>
      </c>
      <c r="D204" t="s">
        <v>75</v>
      </c>
    </row>
    <row r="205" spans="1:4" x14ac:dyDescent="0.25">
      <c r="A205" s="10" t="s">
        <v>1268</v>
      </c>
      <c r="B205" s="15">
        <v>2301.0100000000002</v>
      </c>
      <c r="C205" s="15" t="s">
        <v>101</v>
      </c>
      <c r="D205" t="s">
        <v>75</v>
      </c>
    </row>
    <row r="206" spans="1:4" x14ac:dyDescent="0.25">
      <c r="A206" s="10" t="s">
        <v>1284</v>
      </c>
      <c r="B206" s="15">
        <v>1228.97</v>
      </c>
      <c r="C206" s="15" t="s">
        <v>101</v>
      </c>
      <c r="D206" t="s">
        <v>75</v>
      </c>
    </row>
    <row r="207" spans="1:4" x14ac:dyDescent="0.25">
      <c r="A207" s="10" t="s">
        <v>1294</v>
      </c>
      <c r="B207" s="15">
        <v>678.27</v>
      </c>
      <c r="C207" s="15" t="s">
        <v>101</v>
      </c>
      <c r="D207" t="s">
        <v>75</v>
      </c>
    </row>
    <row r="208" spans="1:4" x14ac:dyDescent="0.25">
      <c r="A208" s="10" t="s">
        <v>1296</v>
      </c>
      <c r="B208" s="15">
        <v>8332.02</v>
      </c>
      <c r="C208" s="15" t="s">
        <v>101</v>
      </c>
      <c r="D208" t="s">
        <v>75</v>
      </c>
    </row>
    <row r="209" spans="1:4" x14ac:dyDescent="0.25">
      <c r="A209" s="10" t="s">
        <v>1300</v>
      </c>
      <c r="B209" s="15">
        <v>10307.299999999999</v>
      </c>
      <c r="C209" s="15" t="s">
        <v>101</v>
      </c>
      <c r="D209" t="s">
        <v>75</v>
      </c>
    </row>
    <row r="210" spans="1:4" x14ac:dyDescent="0.25">
      <c r="A210" s="10" t="s">
        <v>1304</v>
      </c>
      <c r="B210" s="15">
        <v>2936.9</v>
      </c>
      <c r="C210" s="15" t="s">
        <v>101</v>
      </c>
      <c r="D210" t="s">
        <v>75</v>
      </c>
    </row>
    <row r="211" spans="1:4" x14ac:dyDescent="0.25">
      <c r="A211" s="10" t="s">
        <v>1312</v>
      </c>
      <c r="B211" s="15">
        <v>1243.1400000000001</v>
      </c>
      <c r="C211" s="15" t="s">
        <v>101</v>
      </c>
      <c r="D211" t="s">
        <v>75</v>
      </c>
    </row>
    <row r="212" spans="1:4" x14ac:dyDescent="0.25">
      <c r="A212" s="10" t="s">
        <v>1322</v>
      </c>
      <c r="B212" s="15">
        <v>1142.93</v>
      </c>
      <c r="C212" s="15" t="s">
        <v>101</v>
      </c>
      <c r="D212" t="s">
        <v>75</v>
      </c>
    </row>
    <row r="213" spans="1:4" x14ac:dyDescent="0.25">
      <c r="A213" s="10" t="s">
        <v>1326</v>
      </c>
      <c r="B213" s="15">
        <v>1270.42</v>
      </c>
      <c r="C213" s="15" t="s">
        <v>101</v>
      </c>
      <c r="D213" t="s">
        <v>75</v>
      </c>
    </row>
    <row r="214" spans="1:4" x14ac:dyDescent="0.25">
      <c r="A214" s="10" t="s">
        <v>1332</v>
      </c>
      <c r="B214" s="15">
        <v>1544.77</v>
      </c>
      <c r="C214" s="15" t="s">
        <v>101</v>
      </c>
      <c r="D214" t="s">
        <v>75</v>
      </c>
    </row>
    <row r="215" spans="1:4" x14ac:dyDescent="0.25">
      <c r="A215" s="10" t="s">
        <v>1334</v>
      </c>
      <c r="B215" s="15">
        <v>6090.74</v>
      </c>
      <c r="C215" s="15" t="s">
        <v>101</v>
      </c>
      <c r="D215" t="s">
        <v>75</v>
      </c>
    </row>
    <row r="216" spans="1:4" x14ac:dyDescent="0.25">
      <c r="A216" s="10" t="s">
        <v>1336</v>
      </c>
      <c r="B216" s="15">
        <v>2182.0100000000002</v>
      </c>
      <c r="C216" s="15" t="s">
        <v>101</v>
      </c>
      <c r="D216" t="s">
        <v>75</v>
      </c>
    </row>
    <row r="217" spans="1:4" x14ac:dyDescent="0.25">
      <c r="A217" s="10" t="s">
        <v>1338</v>
      </c>
      <c r="B217" s="15">
        <v>3763.83</v>
      </c>
      <c r="C217" s="15" t="s">
        <v>101</v>
      </c>
      <c r="D217" t="s">
        <v>75</v>
      </c>
    </row>
    <row r="218" spans="1:4" x14ac:dyDescent="0.25">
      <c r="A218" s="10" t="s">
        <v>1342</v>
      </c>
      <c r="B218" s="15">
        <v>5067.91</v>
      </c>
      <c r="C218" s="15" t="s">
        <v>101</v>
      </c>
      <c r="D218" t="s">
        <v>75</v>
      </c>
    </row>
    <row r="219" spans="1:4" x14ac:dyDescent="0.25">
      <c r="A219" s="10" t="s">
        <v>1348</v>
      </c>
      <c r="B219" s="15">
        <v>3.38</v>
      </c>
      <c r="C219" s="15" t="s">
        <v>101</v>
      </c>
      <c r="D219" t="s">
        <v>75</v>
      </c>
    </row>
    <row r="220" spans="1:4" x14ac:dyDescent="0.25">
      <c r="A220" s="10" t="s">
        <v>1350</v>
      </c>
      <c r="B220" s="15">
        <v>5124.9399999999996</v>
      </c>
      <c r="C220" s="15" t="s">
        <v>101</v>
      </c>
      <c r="D220" t="s">
        <v>75</v>
      </c>
    </row>
    <row r="221" spans="1:4" x14ac:dyDescent="0.25">
      <c r="A221" s="10" t="s">
        <v>1368</v>
      </c>
      <c r="B221" s="15">
        <v>8535.4</v>
      </c>
      <c r="C221" s="15" t="s">
        <v>101</v>
      </c>
      <c r="D221" t="s">
        <v>75</v>
      </c>
    </row>
    <row r="222" spans="1:4" x14ac:dyDescent="0.25">
      <c r="A222" s="10" t="s">
        <v>1374</v>
      </c>
      <c r="B222" s="15">
        <v>1919.56</v>
      </c>
      <c r="C222" s="15" t="s">
        <v>101</v>
      </c>
      <c r="D222" t="s">
        <v>75</v>
      </c>
    </row>
    <row r="223" spans="1:4" x14ac:dyDescent="0.25">
      <c r="A223" s="10" t="s">
        <v>1378</v>
      </c>
      <c r="B223" s="15">
        <v>5070.18</v>
      </c>
      <c r="C223" s="15" t="s">
        <v>101</v>
      </c>
      <c r="D223" t="s">
        <v>75</v>
      </c>
    </row>
    <row r="224" spans="1:4" x14ac:dyDescent="0.25">
      <c r="A224" s="10" t="s">
        <v>1386</v>
      </c>
      <c r="B224" s="15">
        <v>12257.75</v>
      </c>
      <c r="C224" s="15" t="s">
        <v>101</v>
      </c>
      <c r="D224" t="s">
        <v>75</v>
      </c>
    </row>
    <row r="225" spans="1:4" x14ac:dyDescent="0.25">
      <c r="A225" s="10" t="s">
        <v>1390</v>
      </c>
      <c r="B225" s="15">
        <v>2115.33</v>
      </c>
      <c r="C225" s="15" t="s">
        <v>101</v>
      </c>
      <c r="D225" t="s">
        <v>75</v>
      </c>
    </row>
    <row r="226" spans="1:4" x14ac:dyDescent="0.25">
      <c r="A226" s="10" t="s">
        <v>1394</v>
      </c>
      <c r="B226" s="15">
        <v>6341.8</v>
      </c>
      <c r="C226" s="15" t="s">
        <v>101</v>
      </c>
      <c r="D226" t="s">
        <v>75</v>
      </c>
    </row>
    <row r="227" spans="1:4" x14ac:dyDescent="0.25">
      <c r="A227" s="10" t="s">
        <v>1396</v>
      </c>
      <c r="B227" s="15">
        <v>7921.95</v>
      </c>
      <c r="C227" s="15" t="s">
        <v>101</v>
      </c>
      <c r="D227" t="s">
        <v>75</v>
      </c>
    </row>
    <row r="228" spans="1:4" x14ac:dyDescent="0.25">
      <c r="A228" s="10" t="s">
        <v>1398</v>
      </c>
      <c r="B228" s="15">
        <v>1228.4100000000001</v>
      </c>
      <c r="C228" s="15" t="s">
        <v>101</v>
      </c>
      <c r="D228" t="s">
        <v>75</v>
      </c>
    </row>
    <row r="229" spans="1:4" x14ac:dyDescent="0.25">
      <c r="A229" s="10" t="s">
        <v>1400</v>
      </c>
      <c r="B229" s="15">
        <v>1159.3399999999999</v>
      </c>
      <c r="C229" s="15" t="s">
        <v>101</v>
      </c>
      <c r="D229" t="s">
        <v>75</v>
      </c>
    </row>
    <row r="230" spans="1:4" x14ac:dyDescent="0.25">
      <c r="A230" s="10" t="s">
        <v>1402</v>
      </c>
      <c r="B230" s="15">
        <v>4899.1400000000003</v>
      </c>
      <c r="C230" s="15" t="s">
        <v>101</v>
      </c>
      <c r="D230" t="s">
        <v>75</v>
      </c>
    </row>
    <row r="231" spans="1:4" x14ac:dyDescent="0.25">
      <c r="A231" s="10" t="s">
        <v>1408</v>
      </c>
      <c r="B231" s="15">
        <v>1228.4100000000001</v>
      </c>
      <c r="C231" s="15" t="s">
        <v>101</v>
      </c>
      <c r="D231" t="s">
        <v>75</v>
      </c>
    </row>
    <row r="232" spans="1:4" x14ac:dyDescent="0.25">
      <c r="A232" s="10" t="s">
        <v>1412</v>
      </c>
      <c r="B232" s="15">
        <v>521.12</v>
      </c>
      <c r="C232" s="15" t="s">
        <v>101</v>
      </c>
      <c r="D232" t="s">
        <v>75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5"/>
  <dimension ref="A1:O5"/>
  <sheetViews>
    <sheetView workbookViewId="0">
      <selection activeCell="A2" sqref="A2"/>
    </sheetView>
  </sheetViews>
  <sheetFormatPr defaultRowHeight="15" x14ac:dyDescent="0.25"/>
  <cols>
    <col min="1" max="1" width="12.625" style="10" customWidth="1"/>
    <col min="2" max="14" width="11.625" style="15" customWidth="1"/>
  </cols>
  <sheetData>
    <row r="1" spans="1:15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5718,54</v>
      </c>
      <c r="C2" s="14" t="str">
        <f>CONCATENATE("FEVEREIRO",CHAR(10),"TOTAL: ",ROUND(SUM(C3:C1048576),2))</f>
        <v>FEVEREIRO
TOTAL: 6230,63</v>
      </c>
      <c r="D2" s="14" t="str">
        <f>CONCATENATE("MARÇO",CHAR(10),"TOTAL: ",ROUND(SUM(D3:D1048576),2))</f>
        <v>MARÇO
TOTAL: 6230,63</v>
      </c>
      <c r="E2" s="14" t="str">
        <f>CONCATENATE("ABRIL",CHAR(10),"TOTAL: ",ROUND(SUM(E3:E1048576),2))</f>
        <v>ABRIL
TOTAL: 6230,63</v>
      </c>
      <c r="F2" s="14" t="str">
        <f>CONCATENATE("MAIO",CHAR(10),"TOTAL: ",ROUND(SUM(F3:F1048576),2))</f>
        <v>MAIO
TOTAL: 6230,63</v>
      </c>
      <c r="G2" s="14" t="str">
        <f>CONCATENATE("JUNHO",CHAR(10),"TOTAL: ",ROUND(SUM(G3:G1048576),2))</f>
        <v>JUNHO
TOTAL: 6230,63</v>
      </c>
      <c r="H2" s="14" t="str">
        <f>CONCATENATE("JULHO",CHAR(10),"TOTAL: ",ROUND(SUM(H3:H1048576),2))</f>
        <v>JULHO
TOTAL: 9573,68</v>
      </c>
      <c r="I2" s="14" t="str">
        <f>CONCATENATE("AGOSTO",CHAR(10),"TOTAL: ",ROUND(SUM(I3:I1048576),2))</f>
        <v>AGOSTO
TOTAL: 43355,4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93</v>
      </c>
      <c r="B3" s="15">
        <v>513.01</v>
      </c>
      <c r="C3" s="15">
        <v>570.88</v>
      </c>
      <c r="D3" s="15">
        <v>570.88</v>
      </c>
      <c r="E3" s="15">
        <v>570.88</v>
      </c>
      <c r="F3" s="15">
        <v>570.88</v>
      </c>
      <c r="G3" s="15">
        <v>570.88</v>
      </c>
      <c r="H3" s="15">
        <v>570.88</v>
      </c>
      <c r="I3" s="15">
        <v>570.88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t="s">
        <v>75</v>
      </c>
    </row>
    <row r="4" spans="1:15" x14ac:dyDescent="0.25">
      <c r="A4" s="10" t="s">
        <v>93</v>
      </c>
      <c r="B4" s="15">
        <v>5205.53</v>
      </c>
      <c r="C4" s="15">
        <v>5659.75</v>
      </c>
      <c r="D4" s="15">
        <v>5659.75</v>
      </c>
      <c r="E4" s="15">
        <v>5659.75</v>
      </c>
      <c r="F4" s="15">
        <v>5659.75</v>
      </c>
      <c r="G4" s="15">
        <v>5659.75</v>
      </c>
      <c r="H4" s="15">
        <v>9002.7999999999993</v>
      </c>
      <c r="I4" s="15">
        <v>7665.61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t="s">
        <v>75</v>
      </c>
    </row>
    <row r="5" spans="1:15" x14ac:dyDescent="0.25">
      <c r="A5" s="10" t="s">
        <v>93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35118.910000000003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4"/>
  <dimension ref="A1:O3"/>
  <sheetViews>
    <sheetView workbookViewId="0">
      <selection activeCell="A3" sqref="A3"/>
    </sheetView>
  </sheetViews>
  <sheetFormatPr defaultRowHeight="15" x14ac:dyDescent="0.25"/>
  <cols>
    <col min="1" max="1" width="11.875" style="10" customWidth="1"/>
    <col min="2" max="14" width="11.625" style="15" customWidth="1"/>
  </cols>
  <sheetData>
    <row r="1" spans="1:15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22603,52</v>
      </c>
      <c r="C2" s="14" t="str">
        <f>CONCATENATE("FEVEREIRO",CHAR(10),"TOTAL: ",ROUND(SUM(C3:C1048576),2))</f>
        <v>FEVEREIRO
TOTAL: 24313,09</v>
      </c>
      <c r="D2" s="14" t="str">
        <f>CONCATENATE("MARÇO",CHAR(10),"TOTAL: ",ROUND(SUM(D3:D1048576),2))</f>
        <v>MARÇO
TOTAL: 24313,09</v>
      </c>
      <c r="E2" s="14" t="str">
        <f>CONCATENATE("ABRIL",CHAR(10),"TOTAL: ",ROUND(SUM(E3:E1048576),2))</f>
        <v>ABRIL
TOTAL: 24313,09</v>
      </c>
      <c r="F2" s="14" t="str">
        <f>CONCATENATE("MAIO",CHAR(10),"TOTAL: ",ROUND(SUM(F3:F1048576),2))</f>
        <v>MAIO
TOTAL: 24313,09</v>
      </c>
      <c r="G2" s="14" t="str">
        <f>CONCATENATE("JUNHO",CHAR(10),"TOTAL: ",ROUND(SUM(G3:G1048576),2))</f>
        <v>JUNHO
TOTAL: 24313,09</v>
      </c>
      <c r="H2" s="14" t="str">
        <f>CONCATENATE("JULHO",CHAR(10),"TOTAL: ",ROUND(SUM(H3:H1048576),2))</f>
        <v>JULHO
TOTAL: 36469,64</v>
      </c>
      <c r="I2" s="14" t="str">
        <f>CONCATENATE("AGOSTO",CHAR(10),"TOTAL: ",ROUND(SUM(I3:I1048576),2))</f>
        <v>AGOSTO
TOTAL: 31607,12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93</v>
      </c>
      <c r="B3" s="15">
        <v>22603.52</v>
      </c>
      <c r="C3" s="15">
        <v>24313.09</v>
      </c>
      <c r="D3" s="15">
        <v>24313.09</v>
      </c>
      <c r="E3" s="15">
        <v>24313.09</v>
      </c>
      <c r="F3" s="15">
        <v>24313.09</v>
      </c>
      <c r="G3" s="15">
        <v>24313.09</v>
      </c>
      <c r="H3" s="15">
        <v>36469.64</v>
      </c>
      <c r="I3" s="15">
        <v>31607.119999999999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7"/>
  <dimension ref="A1:E3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93</v>
      </c>
      <c r="B3" s="10" t="s">
        <v>93</v>
      </c>
      <c r="C3" s="9" t="s">
        <v>1419</v>
      </c>
      <c r="D3" s="9" t="s">
        <v>75</v>
      </c>
      <c r="E3" t="s">
        <v>75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C4"/>
  <sheetViews>
    <sheetView topLeftCell="B1" workbookViewId="0">
      <selection activeCell="B4" sqref="B4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3" ht="47.85" customHeight="1" x14ac:dyDescent="0.25">
      <c r="A1" s="25" t="s">
        <v>28</v>
      </c>
      <c r="B1" s="25"/>
    </row>
    <row r="2" spans="1:3" x14ac:dyDescent="0.25">
      <c r="A2" s="6"/>
      <c r="B2" s="4" t="s">
        <v>50</v>
      </c>
    </row>
    <row r="3" spans="1:3" x14ac:dyDescent="0.25">
      <c r="B3" s="10" t="s">
        <v>94</v>
      </c>
      <c r="C3" t="s">
        <v>75</v>
      </c>
    </row>
    <row r="4" spans="1:3" x14ac:dyDescent="0.25">
      <c r="A4">
        <v>99912988353</v>
      </c>
      <c r="B4" s="10" t="s">
        <v>1418</v>
      </c>
      <c r="C4" t="s">
        <v>75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3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  <row r="3" spans="1:15" x14ac:dyDescent="0.25">
      <c r="B3" s="7" t="s">
        <v>90</v>
      </c>
      <c r="C3" s="7" t="s">
        <v>91</v>
      </c>
      <c r="D3" s="7" t="s">
        <v>92</v>
      </c>
      <c r="E3" s="7" t="s">
        <v>93</v>
      </c>
      <c r="F3" s="7" t="s">
        <v>82</v>
      </c>
      <c r="G3" s="7" t="s">
        <v>82</v>
      </c>
      <c r="H3" s="7" t="s">
        <v>82</v>
      </c>
      <c r="I3" s="7" t="s">
        <v>82</v>
      </c>
      <c r="J3" s="7" t="s">
        <v>82</v>
      </c>
      <c r="K3" s="7" t="s">
        <v>82</v>
      </c>
      <c r="L3" s="7" t="s">
        <v>82</v>
      </c>
      <c r="M3" s="7" t="s">
        <v>75</v>
      </c>
      <c r="N3" s="7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I3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9" ht="45.75" customHeight="1" x14ac:dyDescent="0.25">
      <c r="A1" s="33" t="s">
        <v>51</v>
      </c>
      <c r="B1" s="29"/>
      <c r="C1" s="29"/>
      <c r="D1" s="29"/>
      <c r="E1" s="29"/>
      <c r="F1" s="29"/>
      <c r="G1" s="29"/>
      <c r="H1" s="29"/>
    </row>
    <row r="2" spans="1:9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  <row r="3" spans="1:9" x14ac:dyDescent="0.25">
      <c r="B3" s="7" t="s">
        <v>84</v>
      </c>
      <c r="C3" s="7" t="s">
        <v>85</v>
      </c>
      <c r="D3" s="7" t="s">
        <v>86</v>
      </c>
      <c r="E3" s="7" t="s">
        <v>87</v>
      </c>
      <c r="F3" s="7" t="s">
        <v>88</v>
      </c>
      <c r="G3" s="7" t="s">
        <v>75</v>
      </c>
      <c r="H3" s="7" t="s">
        <v>89</v>
      </c>
      <c r="I3" s="2" t="s">
        <v>75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G3"/>
  <sheetViews>
    <sheetView topLeftCell="B1" workbookViewId="0">
      <selection activeCell="K5" sqref="K5:K6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7" ht="45.75" customHeight="1" x14ac:dyDescent="0.25">
      <c r="A1" s="11"/>
      <c r="B1" s="34" t="s">
        <v>71</v>
      </c>
      <c r="C1" s="35"/>
      <c r="D1" s="35"/>
      <c r="E1" s="35"/>
      <c r="F1" s="36"/>
    </row>
    <row r="2" spans="1:7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  <row r="3" spans="1:7" x14ac:dyDescent="0.25">
      <c r="B3" s="7" t="s">
        <v>80</v>
      </c>
      <c r="C3" s="7" t="s">
        <v>81</v>
      </c>
      <c r="D3" s="7" t="s">
        <v>82</v>
      </c>
      <c r="E3" s="7" t="s">
        <v>75</v>
      </c>
      <c r="F3" s="7" t="s">
        <v>83</v>
      </c>
      <c r="G3" s="1" t="s">
        <v>75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57</vt:i4>
      </vt:variant>
    </vt:vector>
  </HeadingPairs>
  <TitlesOfParts>
    <vt:vector size="57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INFPA</vt:lpstr>
      <vt:lpstr>RTDP_0561</vt:lpstr>
      <vt:lpstr>RTPP_0561</vt:lpstr>
      <vt:lpstr>RTPO_0561</vt:lpstr>
      <vt:lpstr>RTRT_0561</vt:lpstr>
      <vt:lpstr>BPJDEC</vt:lpstr>
      <vt:lpstr>BPFDEC_0561</vt:lpstr>
      <vt:lpstr>RIO</vt:lpstr>
      <vt:lpstr>RTPO_0588</vt:lpstr>
      <vt:lpstr>RTRT_0588</vt:lpstr>
      <vt:lpstr>BPFDEC_0588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2017-02-16T09:22:03Z</dcterms:modified>
</cp:coreProperties>
</file>