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47" activeTab="56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RIO" sheetId="85" r:id="rId49"/>
    <sheet name="RTPO_0588" sheetId="84" r:id="rId50"/>
    <sheet name="RTRT_0588" sheetId="83" r:id="rId51"/>
    <sheet name="BPFDEC_0588" sheetId="82" r:id="rId52"/>
    <sheet name="IDREC" sheetId="30" r:id="rId53"/>
    <sheet name="DECPJ" sheetId="31" r:id="rId54"/>
    <sheet name="DECPF" sheetId="34" state="hidden" r:id="rId55"/>
    <sheet name="RESPO" sheetId="32" r:id="rId56"/>
    <sheet name="DIRF" sheetId="33" r:id="rId57"/>
  </sheets>
  <definedNames>
    <definedName name="_xlnm._FilterDatabase" localSheetId="3" hidden="1">TPSE!$A$2:$D$983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85" l="1"/>
  <c r="N2" i="84" l="1"/>
  <c r="M2" i="84"/>
  <c r="L2" i="84"/>
  <c r="K2" i="84"/>
  <c r="J2" i="84"/>
  <c r="I2" i="84"/>
  <c r="H2" i="84"/>
  <c r="G2" i="84"/>
  <c r="F2" i="84"/>
  <c r="E2" i="84"/>
  <c r="D2" i="84"/>
  <c r="C2" i="84"/>
  <c r="B2" i="84"/>
  <c r="N2" i="83"/>
  <c r="M2" i="83"/>
  <c r="L2" i="83"/>
  <c r="K2" i="83"/>
  <c r="J2" i="83"/>
  <c r="I2" i="83"/>
  <c r="H2" i="83"/>
  <c r="G2" i="83"/>
  <c r="F2" i="83"/>
  <c r="E2" i="83"/>
  <c r="D2" i="83"/>
  <c r="C2" i="83"/>
  <c r="B2" i="83"/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Linhas em Vermelho indicam os dependentes com idade maior que 18 e não possui CPF cadastrado</t>
        </r>
      </text>
    </commen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3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<sst xmlns="http://schemas.openxmlformats.org/spreadsheetml/2006/main" count="195" uniqueCount="80">
  <si>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</si>
  <si>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</si>
  <si>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</si>
  <si>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</si>
  <si>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</si>
  <si>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</si>
  <si>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</si>
  <si>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</si>
  <si>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</si>
  <si>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</si>
  <si>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</si>
  <si>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</si>
  <si>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</si>
  <si>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</si>
  <si>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</si>
  <si>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</si>
  <si>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</si>
  <si>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</si>
  <si>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</si>
  <si>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</si>
  <si>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</si>
  <si>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</si>
  <si>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</si>
  <si>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</si>
  <si>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</si>
  <si>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</si>
  <si>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</si>
  <si>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</si>
  <si>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</si>
  <si>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</si>
  <si>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</si>
  <si>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</si>
  <si>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</si>
  <si>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</si>
  <si>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</si>
  <si>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</si>
  <si>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</si>
  <si>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</si>
  <si>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</si>
  <si>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</si>
  <si>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</si>
  <si>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</si>
  <si>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</si>
  <si>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</si>
  <si>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</si>
  <si>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</si>
  <si>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</si>
  <si>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</si>
  <si>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</si>
  <si>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</si>
  <si>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</si>
  <si>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</si>
  <si>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</si>
  <si>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</si>
  <si>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</si>
  <si>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</si>
  <si>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</si>
  <si>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</si>
  <si>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</si>
  <si>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</si>
  <si>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</si>
  <si>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</si>
  <si>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</si>
  <si>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</si>
  <si>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</si>
  <si>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</si>
  <si>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</si>
  <si>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</si>
  <si>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</si>
  <si>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</si>
  <si>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</si>
  <si>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</si>
  <si>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</si>
  <si>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12628618885</t>
  </si>
  <si>
    <t>20600629856</t>
  </si>
  <si>
    <t xml:space="preserve"> </t>
  </si>
  <si>
    <t>INFPA – Informações do beneficiário da pensão alimentícia(identificador INFPA)
Linha vermelha(Atenção)</t>
  </si>
  <si>
    <t>Registro de valores anuais de rendimentos isentos - outros (identificador RIO)</t>
  </si>
  <si>
    <t>Descrição dos rendimentos
isentos - outros</t>
  </si>
  <si>
    <t>CFP do funcionário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</si>
</sst>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24994659260841701"/>
      </left>
      <right/>
      <top/>
      <bottom style="thin">
        <color theme="2" tint="-0.24997711111789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 wrapText="1"/>
    </xf>
    <xf numFmtId="49" fontId="1" fillId="2" borderId="4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6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7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9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1" workbookViewId="0">
      <selection sqref="A1:G1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G2"/>
  <sheetViews>
    <sheetView workbookViewId="0">
      <selection sqref="A1:G1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7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7" ht="36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0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2"/>
  <sheetViews>
    <sheetView workbookViewId="0">
      <selection sqref="A1:D1"/>
    </sheetView>
  </sheetViews>
  <sheetFormatPr defaultRowHeight="15" x14ac:dyDescent="0.25"/>
  <cols>
    <col min="1" max="1" width="42.5" style="9" bestFit="1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2"/>
  <sheetViews>
    <sheetView topLeftCell="B1" workbookViewId="0">
      <selection sqref="A1:D1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4" ht="47.85" customHeight="1" x14ac:dyDescent="0.25">
      <c r="A1" s="23" t="s">
        <v>58</v>
      </c>
      <c r="B1" s="23"/>
      <c r="C1" s="23"/>
      <c r="D1" s="23"/>
    </row>
    <row r="2" spans="1:4" ht="60" x14ac:dyDescent="0.25">
      <c r="A2" s="12"/>
      <c r="B2" s="12" t="s">
        <v>59</v>
      </c>
      <c r="C2" s="12" t="s">
        <v>10</v>
      </c>
      <c r="D2" s="12" t="s">
        <v>60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B2"/>
  <sheetViews>
    <sheetView workbookViewId="0">
      <selection activeCell="B2" sqref="B2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5" t="s">
        <v>55</v>
      </c>
      <c r="B1" s="25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P1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6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6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403,32</v>
      </c>
      <c r="E2" s="14" t="str">
        <f>CONCATENATE("ABRIL",CHAR(10),"TOTAL: ",ROUND(SUM(E3:E1048576),2))</f>
        <v>ABRIL
TOTAL: 403,32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275</v>
      </c>
      <c r="I2" s="14" t="str">
        <f>CONCATENATE("AGOSTO",CHAR(10),"TOTAL: ",ROUND(SUM(I3:I1048576),2))</f>
        <v>AGOSTO
TOTAL: 275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6" x14ac:dyDescent="0.25">
      <c r="A3" s="10" t="s">
        <v>73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75</v>
      </c>
      <c r="O3" t="s">
        <v>75</v>
      </c>
    </row>
    <row r="4" spans="1:16" x14ac:dyDescent="0.25">
      <c r="A4" s="10" t="s">
        <v>74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75</v>
      </c>
      <c r="O4" t="s">
        <v>75</v>
      </c>
    </row>
    <row r="5" spans="1:16" x14ac:dyDescent="0.25">
      <c r="A5" s="10" t="s">
        <v>73</v>
      </c>
      <c r="C5" s="15">
        <v>0</v>
      </c>
      <c r="D5" s="15">
        <v>201.66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75</v>
      </c>
      <c r="O5" t="s">
        <v>75</v>
      </c>
    </row>
    <row r="6" spans="1:16" x14ac:dyDescent="0.25">
      <c r="A6" s="10" t="s">
        <v>74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137.5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75</v>
      </c>
      <c r="O6" t="s">
        <v>75</v>
      </c>
    </row>
    <row r="7" spans="1:16" x14ac:dyDescent="0.25">
      <c r="A7" s="10" t="s">
        <v>73</v>
      </c>
      <c r="C7" s="15">
        <v>0</v>
      </c>
      <c r="D7" s="15">
        <v>0</v>
      </c>
      <c r="E7" s="15">
        <v>201.66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t="s">
        <v>75</v>
      </c>
      <c r="P7" t="s">
        <v>75</v>
      </c>
    </row>
    <row r="8" spans="1:16" x14ac:dyDescent="0.25">
      <c r="A8" s="10" t="s">
        <v>74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137.5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t="s">
        <v>75</v>
      </c>
      <c r="P8" t="s">
        <v>75</v>
      </c>
    </row>
    <row r="9" spans="1:16" x14ac:dyDescent="0.25">
      <c r="A9" s="10" t="s">
        <v>73</v>
      </c>
      <c r="C9" s="15">
        <v>0</v>
      </c>
      <c r="D9" s="15">
        <v>0</v>
      </c>
      <c r="E9" s="15">
        <v>201.66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t="s">
        <v>75</v>
      </c>
      <c r="P9" t="s">
        <v>75</v>
      </c>
    </row>
    <row r="10" spans="1:16" x14ac:dyDescent="0.25">
      <c r="A10" s="10" t="s">
        <v>74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137.5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t="s">
        <v>75</v>
      </c>
      <c r="P10" t="s">
        <v>75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N2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4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D2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2" sqref="I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O2"/>
  <sheetViews>
    <sheetView workbookViewId="0">
      <selection activeCell="B8" sqref="B8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5" ht="47.85" customHeight="1" x14ac:dyDescent="0.25">
      <c r="A1" s="28" t="s">
        <v>34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0</v>
      </c>
      <c r="D2" s="14" t="str">
        <f>CONCATENATE("FEVEREIRO",CHAR(10),"TOTAL: ",ROUND(SUM(D3:D1048576),2))</f>
        <v>FEVEREIRO
TOTAL: 0</v>
      </c>
      <c r="E2" s="14" t="str">
        <f>CONCATENATE("MARÇO",CHAR(10),"TOTAL: ",ROUND(SUM(E3:E1048576),2))</f>
        <v>MARÇO
TOTAL: 0</v>
      </c>
      <c r="F2" s="14" t="str">
        <f>CONCATENATE("ABRIL",CHAR(10),"TOTAL: ",ROUND(SUM(F3:F1048576),2))</f>
        <v>ABRIL
TOTAL: 0</v>
      </c>
      <c r="G2" s="14" t="str">
        <f>CONCATENATE("MAIO",CHAR(10),"TOTAL: ",ROUND(SUM(G3:G1048576),2))</f>
        <v>MAIO
TOTAL: 0</v>
      </c>
      <c r="H2" s="14" t="str">
        <f>CONCATENATE("JUNHO",CHAR(10),"TOTAL: ",ROUND(SUM(H3:H1048576),2))</f>
        <v>JUNHO
TOTAL: 0</v>
      </c>
      <c r="I2" s="14" t="str">
        <f>CONCATENATE("JULHO",CHAR(10),"TOTAL: ",ROUND(SUM(I3:I1048576),2))</f>
        <v>JULHO
TOTAL: 0</v>
      </c>
      <c r="J2" s="14" t="str">
        <f>CONCATENATE("AGOSTO",CHAR(10),"TOTAL: ",ROUND(SUM(J3:J1048576),2))</f>
        <v>AGOSTO
TOTAL: 0</v>
      </c>
      <c r="K2" s="14" t="str">
        <f>CONCATENATE("SETEMBRO",CHAR(10),"TOTAL: ",ROUND(SUM(K3:K1048576),2))</f>
        <v>SETEMBRO
TOTAL: 0</v>
      </c>
      <c r="L2" s="14" t="str">
        <f>CONCATENATE("OUTUBRO",CHAR(10),"TOTAL: ",ROUND(SUM(L3:L1048576),2))</f>
        <v>OUTUBRO
TOTAL: 0</v>
      </c>
      <c r="M2" s="14" t="str">
        <f>CONCATENATE("NOVEMBRO",CHAR(10),"TOTAL: ",ROUND(SUM(M3:M1048576),2))</f>
        <v>NOVEMBRO
TOTAL: 0</v>
      </c>
      <c r="N2" s="14" t="str">
        <f>CONCATENATE("DEZEMBRO",CHAR(10),"TOTAL: ",ROUND(SUM(N3:N1048576),2))</f>
        <v>DEZEMBRO
TOTAL: 0</v>
      </c>
      <c r="O2" s="14" t="str">
        <f>CONCATENATE("DEC. TERCEIRO",CHAR(10),"TOTAL: ",ROUND(SUM(O3:O1048576),2))</f>
        <v>DEC. TERCEIRO
TOTAL: 0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E2"/>
  <sheetViews>
    <sheetView workbookViewId="0">
      <selection activeCell="A17" sqref="A17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5" ht="47.85" customHeight="1" x14ac:dyDescent="0.25">
      <c r="A1" s="30" t="s">
        <v>76</v>
      </c>
      <c r="B1" s="31"/>
      <c r="C1" s="31"/>
      <c r="D1" s="31"/>
      <c r="E1" s="31"/>
    </row>
    <row r="2" spans="1:5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</sheetData>
  <mergeCells count="1">
    <mergeCell ref="A1:E1"/>
  </mergeCells>
  <conditionalFormatting sqref="B7">
    <cfRule type="duplicateValues" dxfId="2" priority="2"/>
  </conditionalFormatting>
  <conditionalFormatting sqref="B1:B1048576">
    <cfRule type="duplicateValues" dxfId="1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66BF9830-EEC2-424E-8A31-517ED2B21BD4}">
            <xm:f>AND((VALUE(DIRF!$C$3)-VALUE(LEFT($C3,4)))&gt;=18,$B3="")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A3:E1048576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N2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4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N2"/>
  <sheetViews>
    <sheetView workbookViewId="0">
      <selection activeCell="B2" sqref="B2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D2"/>
  <sheetViews>
    <sheetView topLeftCell="B540" workbookViewId="0">
      <selection activeCell="C552" sqref="C552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6"/>
  <dimension ref="A1:C2"/>
  <sheetViews>
    <sheetView workbookViewId="0">
      <selection activeCell="B3" sqref="B3"/>
    </sheetView>
  </sheetViews>
  <sheetFormatPr defaultRowHeight="15" x14ac:dyDescent="0.25"/>
  <cols>
    <col min="1" max="1" width="15.875" style="10" customWidth="1"/>
    <col min="2" max="2" width="12.375" style="15" customWidth="1"/>
    <col min="3" max="3" width="38.125" style="15" customWidth="1"/>
  </cols>
  <sheetData>
    <row r="1" spans="1:3" ht="47.85" customHeight="1" x14ac:dyDescent="0.25">
      <c r="A1" s="26" t="s">
        <v>77</v>
      </c>
      <c r="B1" s="26"/>
      <c r="C1" s="27"/>
    </row>
    <row r="2" spans="1:3" ht="24" x14ac:dyDescent="0.25">
      <c r="A2" s="4" t="s">
        <v>79</v>
      </c>
      <c r="B2" s="14" t="str">
        <f>CONCATENATE("Valor pago no ano",CHAR(10),"TOTAL: ",ROUND(SUM(B3:B1048576),2))</f>
        <v>Valor pago no ano
TOTAL: 0</v>
      </c>
      <c r="C2" s="4" t="s">
        <v>78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5"/>
  <dimension ref="A1:N2"/>
  <sheetViews>
    <sheetView workbookViewId="0">
      <selection activeCell="A2" sqref="A2"/>
    </sheetView>
  </sheetViews>
  <sheetFormatPr defaultRowHeight="15" x14ac:dyDescent="0.25"/>
  <cols>
    <col min="1" max="1" width="12.625" style="10" customWidth="1"/>
    <col min="2" max="14" width="11.625" style="15" customWidth="1"/>
  </cols>
  <sheetData>
    <row r="1" spans="1:14" ht="47.85" customHeight="1" x14ac:dyDescent="0.25">
      <c r="A1" s="32" t="s">
        <v>31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4"/>
  <dimension ref="A1:N2"/>
  <sheetViews>
    <sheetView workbookViewId="0">
      <selection activeCell="A3" sqref="A3"/>
    </sheetView>
  </sheetViews>
  <sheetFormatPr defaultRowHeight="15" x14ac:dyDescent="0.25"/>
  <cols>
    <col min="1" max="1" width="11.875" style="10" customWidth="1"/>
    <col min="2" max="14" width="11.625" style="15" customWidth="1"/>
  </cols>
  <sheetData>
    <row r="1" spans="1:14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/>
  <dimension ref="A1:D2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4" ht="47.85" customHeight="1" x14ac:dyDescent="0.25">
      <c r="A1" s="26" t="s">
        <v>69</v>
      </c>
      <c r="B1" s="27"/>
      <c r="C1" s="27"/>
      <c r="D1" s="27"/>
    </row>
    <row r="2" spans="1:4" ht="60" x14ac:dyDescent="0.25">
      <c r="A2" s="4"/>
      <c r="B2" s="4" t="s">
        <v>0</v>
      </c>
      <c r="C2" s="4" t="s">
        <v>23</v>
      </c>
      <c r="D2" s="4" t="s">
        <v>29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B2"/>
  <sheetViews>
    <sheetView topLeftCell="B1" workbookViewId="0">
      <selection activeCell="B4" sqref="B4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2" ht="47.85" customHeight="1" x14ac:dyDescent="0.25">
      <c r="A1" s="25" t="s">
        <v>28</v>
      </c>
      <c r="B1" s="25"/>
    </row>
    <row r="2" spans="1:2" x14ac:dyDescent="0.25">
      <c r="A2" s="6"/>
      <c r="B2" s="4" t="s">
        <v>50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2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H2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8" ht="45.75" customHeight="1" x14ac:dyDescent="0.25">
      <c r="A1" s="33" t="s">
        <v>51</v>
      </c>
      <c r="B1" s="29"/>
      <c r="C1" s="29"/>
      <c r="D1" s="29"/>
      <c r="E1" s="29"/>
      <c r="F1" s="29"/>
      <c r="G1" s="29"/>
      <c r="H1" s="29"/>
    </row>
    <row r="2" spans="1:8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F2"/>
  <sheetViews>
    <sheetView tabSelected="1" topLeftCell="B1" workbookViewId="0">
      <selection activeCell="F3" sqref="F3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6" ht="45.75" customHeight="1" x14ac:dyDescent="0.25">
      <c r="A1" s="11"/>
      <c r="B1" s="34" t="s">
        <v>71</v>
      </c>
      <c r="C1" s="35"/>
      <c r="D1" s="35"/>
      <c r="E1" s="35"/>
      <c r="F1" s="36"/>
    </row>
    <row r="2" spans="1:6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57</vt:i4>
      </vt:variant>
    </vt:vector>
  </HeadingPairs>
  <TitlesOfParts>
    <vt:vector size="57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RIO</vt:lpstr>
      <vt:lpstr>RTPO_0588</vt:lpstr>
      <vt:lpstr>RTRT_0588</vt:lpstr>
      <vt:lpstr>BPFDEC_0588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2017-02-16T11:40:14Z</dcterms:modified>
</cp:coreProperties>
</file>