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37" activeTab="52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IDREC" sheetId="30" r:id="rId49"/>
    <sheet name="DECPJ" sheetId="31" r:id="rId50"/>
    <sheet name="DECPF" sheetId="34" state="hidden" r:id="rId51"/>
    <sheet name="RESPO" sheetId="32" r:id="rId52"/>
    <sheet name="DIRF" sheetId="33" r:id="rId53"/>
  </sheets>
  <definedNames>
    <definedName name="_xlnm._FilterDatabase" localSheetId="3" hidden="1">TPSE!$A$2:$D$983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Linhas em Vermelho indicam os dependentes com idade maior que 18 e não possui CPF cadastrado</t>
        </r>
      </text>
    </commen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<sst xmlns="http://schemas.openxmlformats.org/spreadsheetml/2006/main" count="4100" uniqueCount="1348">
  <si>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</si>
  <si>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</si>
  <si>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</si>
  <si>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</si>
  <si>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</si>
  <si>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</si>
  <si>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</si>
  <si>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</si>
  <si>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</si>
  <si>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</si>
  <si>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</si>
  <si>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</si>
  <si>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</si>
  <si>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</si>
  <si>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</si>
  <si>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</si>
  <si>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</si>
  <si>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</si>
  <si>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</si>
  <si>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</si>
  <si>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</si>
  <si>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</si>
  <si>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</si>
  <si>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</si>
  <si>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</si>
  <si>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</si>
  <si>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</si>
  <si>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</si>
  <si>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</si>
  <si>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</si>
  <si>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</si>
  <si>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</si>
  <si>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</si>
  <si>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</si>
  <si>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</si>
  <si>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</si>
  <si>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</si>
  <si>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</si>
  <si>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</si>
  <si>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</si>
  <si>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</si>
  <si>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</si>
  <si>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</si>
  <si>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</si>
  <si>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</si>
  <si>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</si>
  <si>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</si>
  <si>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</si>
  <si>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</si>
  <si>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</si>
  <si>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</si>
  <si>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</si>
  <si>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</si>
  <si>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</si>
  <si>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</si>
  <si>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</si>
  <si>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</si>
  <si>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</si>
  <si>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</si>
  <si>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</si>
  <si>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</si>
  <si>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</si>
  <si>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</si>
  <si>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</si>
  <si>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</si>
  <si>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</si>
  <si>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</si>
  <si>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</si>
  <si>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</si>
  <si>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</si>
  <si>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</si>
  <si>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</si>
  <si>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</si>
  <si>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21714954803</t>
  </si>
  <si>
    <t>GEISE FERREIRA DE ANDRADE</t>
  </si>
  <si>
    <t>00056694059</t>
  </si>
  <si>
    <t>DIOGO SILVA GUIMARAES</t>
  </si>
  <si>
    <t>01331153301</t>
  </si>
  <si>
    <t>RAIMUNDO NONATO DOS SANTOS</t>
  </si>
  <si>
    <t>01336136588</t>
  </si>
  <si>
    <t>ELIEL GUIMARAES CARVALHO</t>
  </si>
  <si>
    <t>01624874525</t>
  </si>
  <si>
    <t>JURACI FERREIRA LOPES</t>
  </si>
  <si>
    <t>01949345866</t>
  </si>
  <si>
    <t>JOEL LUCIO DO PRADO</t>
  </si>
  <si>
    <t>02355607311</t>
  </si>
  <si>
    <t>RONALDO ADRIANO DA SILVA PEREIRA</t>
  </si>
  <si>
    <t>02463683570</t>
  </si>
  <si>
    <t>ALBERLAN DE ANDRADE ARAGAO</t>
  </si>
  <si>
    <t>02695131402</t>
  </si>
  <si>
    <t>HERMES FELIPE DOS SANTOS</t>
  </si>
  <si>
    <t>02744850446</t>
  </si>
  <si>
    <t>SILVIA CRISTINA ALVES DE ALMEIDA</t>
  </si>
  <si>
    <t>02817514122</t>
  </si>
  <si>
    <t>ANTONIO CAMILO DE OLIVEIRA</t>
  </si>
  <si>
    <t>03009646410</t>
  </si>
  <si>
    <t>FRANCISCO JOSE FELISBERTO NETO</t>
  </si>
  <si>
    <t>03030427536</t>
  </si>
  <si>
    <t>BRUNO DE SOUZA GOMES</t>
  </si>
  <si>
    <t>03035044988</t>
  </si>
  <si>
    <t>ALMIR GUEDES</t>
  </si>
  <si>
    <t>03047624313</t>
  </si>
  <si>
    <t>JOSE ALMIR SOUZA DA SILVA</t>
  </si>
  <si>
    <t>03100411803</t>
  </si>
  <si>
    <t>EDSON INACIO DA SILVA</t>
  </si>
  <si>
    <t>03138791689</t>
  </si>
  <si>
    <t>ADEVAINE CRISTINA SOUZA DA SILVA NUNES</t>
  </si>
  <si>
    <t>03340781567</t>
  </si>
  <si>
    <t>MANOEL JULIO BARBOSA DOS SANTOS</t>
  </si>
  <si>
    <t>03382831376</t>
  </si>
  <si>
    <t>IGOR CARVALHO DA SILVA</t>
  </si>
  <si>
    <t>03388481504</t>
  </si>
  <si>
    <t>CRISTIANO ALMEIDA ALVES DE JESUS</t>
  </si>
  <si>
    <t>03536880452</t>
  </si>
  <si>
    <t>DENISE GOMES DE OLIVEIRA</t>
  </si>
  <si>
    <t>03751893431</t>
  </si>
  <si>
    <t>ANTONIO JUCIMARIO RODRIGUES CORREIA</t>
  </si>
  <si>
    <t>03761845740</t>
  </si>
  <si>
    <t>CARLOS HENRIQUE DOS SANTOS</t>
  </si>
  <si>
    <t>03819227822</t>
  </si>
  <si>
    <t>AUREA RODRIGUES DOS SANTOS</t>
  </si>
  <si>
    <t>04017347576</t>
  </si>
  <si>
    <t>AILTON DA SILVA RAMOS</t>
  </si>
  <si>
    <t>04029182402</t>
  </si>
  <si>
    <t>VANIA FERREIRA ACIOLI</t>
  </si>
  <si>
    <t>04223302990</t>
  </si>
  <si>
    <t>RILDO ALVES DE OLIVEIRA</t>
  </si>
  <si>
    <t>04224603462</t>
  </si>
  <si>
    <t>MARIO SALVINO SILVA</t>
  </si>
  <si>
    <t>04270435496</t>
  </si>
  <si>
    <t>SANDROALEX FERREIRA DA SILVA</t>
  </si>
  <si>
    <t>04306861457</t>
  </si>
  <si>
    <t>PAULO JOSE VIANA DA SILVA</t>
  </si>
  <si>
    <t>04411140837</t>
  </si>
  <si>
    <t>PAULO DOMINGOS ARANTES FERRAZ</t>
  </si>
  <si>
    <t>04457695564</t>
  </si>
  <si>
    <t>GENARIO PEREIRA DOS SANTOS</t>
  </si>
  <si>
    <t>04577813866</t>
  </si>
  <si>
    <t>MAURO DO CARMO BERNARDO</t>
  </si>
  <si>
    <t>04657109642</t>
  </si>
  <si>
    <t>IZAIAS NUNES SANTOS</t>
  </si>
  <si>
    <t>04683591413</t>
  </si>
  <si>
    <t>MARCONDES ALVES PEREIRA</t>
  </si>
  <si>
    <t>04702641875</t>
  </si>
  <si>
    <t>SERGIO RICARDO MERICI</t>
  </si>
  <si>
    <t>05011804518</t>
  </si>
  <si>
    <t>JOSE FERNANDO SILVA CARNEIRO</t>
  </si>
  <si>
    <t>05061278690</t>
  </si>
  <si>
    <t>OSVALDO PEREIRA MARTINS</t>
  </si>
  <si>
    <t>05064141670</t>
  </si>
  <si>
    <t>LUIZINHO MEDEIROS LEAL</t>
  </si>
  <si>
    <t>05125922412</t>
  </si>
  <si>
    <t>QUITERIA MARIA DA SILVA</t>
  </si>
  <si>
    <t>05218836605</t>
  </si>
  <si>
    <t>ALDINEY BOA DOS SANTOS</t>
  </si>
  <si>
    <t>05245200465</t>
  </si>
  <si>
    <t>ISAIAS CARIRI DE LIMA</t>
  </si>
  <si>
    <t>05309607889</t>
  </si>
  <si>
    <t>FRANCISCO PAULO DA SILVA</t>
  </si>
  <si>
    <t>05343915329</t>
  </si>
  <si>
    <t>EDELSON DA ROCHA DE CARVALHO</t>
  </si>
  <si>
    <t>05396249854</t>
  </si>
  <si>
    <t>ADAUTO JOSE DOS SANTOS</t>
  </si>
  <si>
    <t>05696926444</t>
  </si>
  <si>
    <t>FELIPE MARCEL PINHEIRO DA PAZ</t>
  </si>
  <si>
    <t>05833034477</t>
  </si>
  <si>
    <t>WELLINGTON MAGALHAES LINS</t>
  </si>
  <si>
    <t>05907823470</t>
  </si>
  <si>
    <t>JOSE DOMINGOS DOS SANTOS</t>
  </si>
  <si>
    <t>06019083845</t>
  </si>
  <si>
    <t>HANANE YOUSSEF MANSOUR</t>
  </si>
  <si>
    <t>06045646860</t>
  </si>
  <si>
    <t>CICERO MACIEL DOS SANTOS</t>
  </si>
  <si>
    <t>06054974432</t>
  </si>
  <si>
    <t>RONALDO GONCALO NELO</t>
  </si>
  <si>
    <t>06060960863</t>
  </si>
  <si>
    <t>GILBERTO JOSE FURTADO</t>
  </si>
  <si>
    <t>06162907481</t>
  </si>
  <si>
    <t>JOSE TARGINO HONORATO DA SILVA</t>
  </si>
  <si>
    <t>06189668895</t>
  </si>
  <si>
    <t>CLAUDEMIR APARECIDO DOS SANTOS</t>
  </si>
  <si>
    <t>06276739537</t>
  </si>
  <si>
    <t>JONHNATA MENDES REIS</t>
  </si>
  <si>
    <t>06299991470</t>
  </si>
  <si>
    <t>LAMARCK ANTONIO OLIVEIRA CAVALCANTI</t>
  </si>
  <si>
    <t>06324317684</t>
  </si>
  <si>
    <t>LUCAS FIORITO MENDES</t>
  </si>
  <si>
    <t>06377144407</t>
  </si>
  <si>
    <t>ANDERSON CARLOS DA SILVA</t>
  </si>
  <si>
    <t>06439264532</t>
  </si>
  <si>
    <t>EDIEMISSON SANTOS SILVA</t>
  </si>
  <si>
    <t>06565339600</t>
  </si>
  <si>
    <t>JOSE APARECIDO NOGUEIRA LISBOA</t>
  </si>
  <si>
    <t>06750551807</t>
  </si>
  <si>
    <t>SELMA FRANCISCA DA SILVA ALMEIDA</t>
  </si>
  <si>
    <t>06759188551</t>
  </si>
  <si>
    <t>JOABSON LOPES SILVA</t>
  </si>
  <si>
    <t>06824742821</t>
  </si>
  <si>
    <t>ELIAS DE JESUS SANTANA</t>
  </si>
  <si>
    <t>06833972494</t>
  </si>
  <si>
    <t>JESIVAL JOSE DE OLIVEIRA</t>
  </si>
  <si>
    <t>07103862818</t>
  </si>
  <si>
    <t>CARLOS EDUARDO DE AQUINO MUNHOZ</t>
  </si>
  <si>
    <t>07221785490</t>
  </si>
  <si>
    <t>JOSE ROBERTO MANOEL DE OLIVEIRA</t>
  </si>
  <si>
    <t>07416675413</t>
  </si>
  <si>
    <t>JAIRO SILVA DE LIMA</t>
  </si>
  <si>
    <t>07439915674</t>
  </si>
  <si>
    <t>RAFAEL MURAD DE AZEVEDO</t>
  </si>
  <si>
    <t>07480337850</t>
  </si>
  <si>
    <t>MARCOS KENJI ALVES</t>
  </si>
  <si>
    <t>07482429530</t>
  </si>
  <si>
    <t>DERENILSON ALVES BATISTA</t>
  </si>
  <si>
    <t>07602711432</t>
  </si>
  <si>
    <t>JOSE MAURICELIO DOS SANTOS</t>
  </si>
  <si>
    <t>07842834431</t>
  </si>
  <si>
    <t>VALDIR DE OLIVEIRA SILVA</t>
  </si>
  <si>
    <t>07914615803</t>
  </si>
  <si>
    <t>CONSTANTINO FELIZARDO</t>
  </si>
  <si>
    <t>07916545837</t>
  </si>
  <si>
    <t>JOSE ANTONIO BISPO ALVES DA SILVA</t>
  </si>
  <si>
    <t>07955638840</t>
  </si>
  <si>
    <t>LUCIANA GALDINO</t>
  </si>
  <si>
    <t>08001226662</t>
  </si>
  <si>
    <t>MARCELO CONCEICAO</t>
  </si>
  <si>
    <t>08217512477</t>
  </si>
  <si>
    <t>JOSE ROSEVALDO DOS SANTOS</t>
  </si>
  <si>
    <t>08248173623</t>
  </si>
  <si>
    <t>OSMAR FERREIRA DA CRUZ</t>
  </si>
  <si>
    <t>08330845699</t>
  </si>
  <si>
    <t>RAFAEL OLIVEIRA DA CRUZ</t>
  </si>
  <si>
    <t>08415019807</t>
  </si>
  <si>
    <t>MARCELO DE AVILA PARINI</t>
  </si>
  <si>
    <t>08682180812</t>
  </si>
  <si>
    <t>RENATA BELLUOMINI</t>
  </si>
  <si>
    <t>08953448824</t>
  </si>
  <si>
    <t>CARLOS OLIMPIO DOS SANTOS</t>
  </si>
  <si>
    <t>09249403879</t>
  </si>
  <si>
    <t>MARCELO APARECIDO GOMES BIANCHI</t>
  </si>
  <si>
    <t>09267213644</t>
  </si>
  <si>
    <t>ARLINDO GRESPAN BATISTA</t>
  </si>
  <si>
    <t>09385365835</t>
  </si>
  <si>
    <t>CELSO ANTONIO DOS SANTOS RIBEIRO</t>
  </si>
  <si>
    <t>09385813846</t>
  </si>
  <si>
    <t>SHEILA CHRISTINA KOMATSU DE MATTOS</t>
  </si>
  <si>
    <t>09386011808</t>
  </si>
  <si>
    <t>GERALDO EVANGELISTA FERREIRA</t>
  </si>
  <si>
    <t>09418895641</t>
  </si>
  <si>
    <t>GUILHERME HENRIQUE DE OLIVEIRA NATAL</t>
  </si>
  <si>
    <t>09458789664</t>
  </si>
  <si>
    <t>RICARDO NUNES MOTA</t>
  </si>
  <si>
    <t>09858509499</t>
  </si>
  <si>
    <t>LEANDRO LIRA DA SILVA</t>
  </si>
  <si>
    <t>10038046830</t>
  </si>
  <si>
    <t>EDSON DOS SANTOS MARTINS</t>
  </si>
  <si>
    <t>10223063835</t>
  </si>
  <si>
    <t>DONIZETE APARECIDO DOS SANTOS</t>
  </si>
  <si>
    <t>10242289835</t>
  </si>
  <si>
    <t>SANDRO ANTONIO DOS SANTOS SILVA</t>
  </si>
  <si>
    <t>10256713847</t>
  </si>
  <si>
    <t>MAURICIO RAMOS DE CAMARGO</t>
  </si>
  <si>
    <t>10483652806</t>
  </si>
  <si>
    <t>EDIVALDO SECATO</t>
  </si>
  <si>
    <t>10564902411</t>
  </si>
  <si>
    <t>JOSE MARIA DA SILVA DE ARAUJO</t>
  </si>
  <si>
    <t>10633272884</t>
  </si>
  <si>
    <t>CARLOS ROBERTO DOS SANTOS</t>
  </si>
  <si>
    <t>10673488837</t>
  </si>
  <si>
    <t>SEVERINO MARIANO</t>
  </si>
  <si>
    <t>11028502842</t>
  </si>
  <si>
    <t>RENATA ADRIANA HERNANDES RODRIGUES LEAO</t>
  </si>
  <si>
    <t>11231383895</t>
  </si>
  <si>
    <t>ANTONIO PEREIRA DOS REIS</t>
  </si>
  <si>
    <t>11537080431</t>
  </si>
  <si>
    <t>JOSE EUDES DE SOUZA DOS SANTOS</t>
  </si>
  <si>
    <t>11551816890</t>
  </si>
  <si>
    <t>MARCELO RIBEIRO DE SOUZA</t>
  </si>
  <si>
    <t>11613928823</t>
  </si>
  <si>
    <t>MARLIZE DE JESUS FERREIRA</t>
  </si>
  <si>
    <t>11705573843</t>
  </si>
  <si>
    <t>ANA LUCIA VINHA HEMKE</t>
  </si>
  <si>
    <t>11726004813</t>
  </si>
  <si>
    <t>RENIEIRE CELY CALDEIRA</t>
  </si>
  <si>
    <t>12080831631</t>
  </si>
  <si>
    <t>RANIERE PEREIRA DA SILVA</t>
  </si>
  <si>
    <t>12545487856</t>
  </si>
  <si>
    <t>ANA LUCIA RIBEIRO DA SILVA FERREIRA</t>
  </si>
  <si>
    <t>12593809809</t>
  </si>
  <si>
    <t>RILDO DE ARAUJO DA SILVA</t>
  </si>
  <si>
    <t>12628618885</t>
  </si>
  <si>
    <t>ROBEVAL ALVES DE BRITO</t>
  </si>
  <si>
    <t>12741932816</t>
  </si>
  <si>
    <t>LUCIANA DOS REIS COSTA DAS NEVES</t>
  </si>
  <si>
    <t>12747833801</t>
  </si>
  <si>
    <t>MARTA DA SILVA CARVALHO</t>
  </si>
  <si>
    <t>12775956823</t>
  </si>
  <si>
    <t>JOEL GONCALVES MARQUES</t>
  </si>
  <si>
    <t>12885337800</t>
  </si>
  <si>
    <t>HELCIO COSTA</t>
  </si>
  <si>
    <t>13288600862</t>
  </si>
  <si>
    <t>EDVALDO MANUEL DA SILVA</t>
  </si>
  <si>
    <t>13298249890</t>
  </si>
  <si>
    <t>PAULO ROGERIO BARBOSA</t>
  </si>
  <si>
    <t>13533696847</t>
  </si>
  <si>
    <t>JOICE DOS SANTOS SILVA</t>
  </si>
  <si>
    <t>13723029809</t>
  </si>
  <si>
    <t>MARCIA REGINA STEFANIO VIEIRA</t>
  </si>
  <si>
    <t>13733633806</t>
  </si>
  <si>
    <t>ABELARDO FERREIRA DE ALMEIDA</t>
  </si>
  <si>
    <t>13771961866</t>
  </si>
  <si>
    <t>CLAUDIO ROBERTO DA SILVA</t>
  </si>
  <si>
    <t>13787006869</t>
  </si>
  <si>
    <t>EDIVALDO APARECIDO FABRIANO DA SILVA</t>
  </si>
  <si>
    <t>13833027827</t>
  </si>
  <si>
    <t>GERSON DE SOUZA</t>
  </si>
  <si>
    <t>13877214614</t>
  </si>
  <si>
    <t>MARIA LOPO DA CRUZ FERREIRA</t>
  </si>
  <si>
    <t>14085988840</t>
  </si>
  <si>
    <t>JOSE HIGINO DOS SANTOS SILVA</t>
  </si>
  <si>
    <t>14511585806</t>
  </si>
  <si>
    <t>LUCINEIDE DE JESUS SILVA AMORIM</t>
  </si>
  <si>
    <t>14607870803</t>
  </si>
  <si>
    <t>JOSE CELSO SILVA GONCALVES</t>
  </si>
  <si>
    <t>14612922808</t>
  </si>
  <si>
    <t>RAIMUNDO RODRIGUES DIAS FILHO</t>
  </si>
  <si>
    <t>14863859821</t>
  </si>
  <si>
    <t>ALESSANDRO ANTONIO FERREIRA</t>
  </si>
  <si>
    <t>14874923836</t>
  </si>
  <si>
    <t>CRISTIANE DE FATIMA MENDES MACEDO</t>
  </si>
  <si>
    <t>14899071817</t>
  </si>
  <si>
    <t>JOSE JUNIOR VENANCIO PEREIRA</t>
  </si>
  <si>
    <t>14899084803</t>
  </si>
  <si>
    <t>FRANCISCO DE ASSIS PEREIRA</t>
  </si>
  <si>
    <t>14998059858</t>
  </si>
  <si>
    <t>ROGERIO PITORI</t>
  </si>
  <si>
    <t>15221040387</t>
  </si>
  <si>
    <t>JOSINA BARBOSA DE CARVALHO PIAUI</t>
  </si>
  <si>
    <t>15243645842</t>
  </si>
  <si>
    <t>JOABE MIGUEL DOS SANTOS</t>
  </si>
  <si>
    <t>15335572841</t>
  </si>
  <si>
    <t>ROGERIO LOPES DE OLIVEIRA</t>
  </si>
  <si>
    <t>15511370894</t>
  </si>
  <si>
    <t>MARCIO AURELIO BIGARDI</t>
  </si>
  <si>
    <t>16097332823</t>
  </si>
  <si>
    <t>GERSON DOMINGUES DA SILVA</t>
  </si>
  <si>
    <t>16103453801</t>
  </si>
  <si>
    <t>LUIZ PAULO MONTEIRO CHAVES</t>
  </si>
  <si>
    <t>16248781800</t>
  </si>
  <si>
    <t>MARCO ANTONIO RODRIGUES</t>
  </si>
  <si>
    <t>16319365811</t>
  </si>
  <si>
    <t>MARCELO LUIZ LOPES</t>
  </si>
  <si>
    <t>16368276835</t>
  </si>
  <si>
    <t>JAILTON LOPES DE ANDRADE</t>
  </si>
  <si>
    <t>16530757830</t>
  </si>
  <si>
    <t>ANTONIO CARLOS DA SILVA</t>
  </si>
  <si>
    <t>16575330851</t>
  </si>
  <si>
    <t>ENEZIO DAMAZIO</t>
  </si>
  <si>
    <t>16813292803</t>
  </si>
  <si>
    <t>FRANCISCO FERREIRA DOS ANJOS</t>
  </si>
  <si>
    <t>16853248864</t>
  </si>
  <si>
    <t>SERGIO AMARAL</t>
  </si>
  <si>
    <t>16868843895</t>
  </si>
  <si>
    <t>FRANCISCA IVONE ALMEIDA SOARES</t>
  </si>
  <si>
    <t>16896382813</t>
  </si>
  <si>
    <t>VALDINEI RODRIGUES PEREIRA</t>
  </si>
  <si>
    <t>16930008818</t>
  </si>
  <si>
    <t>ISRAEL LUIZ DE MOURA</t>
  </si>
  <si>
    <t>16930593800</t>
  </si>
  <si>
    <t>ANGELA DE FARIAS SILVA</t>
  </si>
  <si>
    <t>17038919881</t>
  </si>
  <si>
    <t>GISLENE GUEDES DOS SANTOS</t>
  </si>
  <si>
    <t>17112854806</t>
  </si>
  <si>
    <t>VALMIR ROGERIO TROVO</t>
  </si>
  <si>
    <t>17272574801</t>
  </si>
  <si>
    <t>APARECIDO CARDOSO DOS SANTOS</t>
  </si>
  <si>
    <t>17371879813</t>
  </si>
  <si>
    <t>JOSIMAR DAS CHAGAS</t>
  </si>
  <si>
    <t>17582803876</t>
  </si>
  <si>
    <t>RAIMUNDA MARIA DA CONCEICAO CARDOSO</t>
  </si>
  <si>
    <t>17614436822</t>
  </si>
  <si>
    <t>REGINALDO JOSE DE NOVAES</t>
  </si>
  <si>
    <t>17667994854</t>
  </si>
  <si>
    <t>ALEXANDRE LUIZ DOS REIS</t>
  </si>
  <si>
    <t>17706773809</t>
  </si>
  <si>
    <t>WILLIAN CASTRO ALVES</t>
  </si>
  <si>
    <t>17740234826</t>
  </si>
  <si>
    <t>ANDERSON BARBOSA</t>
  </si>
  <si>
    <t>17746836879</t>
  </si>
  <si>
    <t>SIRLENE MARIA DA COSTA OLIVEIRA</t>
  </si>
  <si>
    <t>17754083884</t>
  </si>
  <si>
    <t>ALESSANDRO DE VARGAS VIEIRA</t>
  </si>
  <si>
    <t>17953636816</t>
  </si>
  <si>
    <t>VALDIR CICERO DA SILVA</t>
  </si>
  <si>
    <t>17994706878</t>
  </si>
  <si>
    <t>ADRIANO LUDICSA</t>
  </si>
  <si>
    <t>17994709893</t>
  </si>
  <si>
    <t>VALERIA CARNEIRO DE SOUSA</t>
  </si>
  <si>
    <t>17994744885</t>
  </si>
  <si>
    <t>VALDINEI BORGES DOS SANTOS</t>
  </si>
  <si>
    <t>18079020809</t>
  </si>
  <si>
    <t>LUCIANO EVANGELISTA DE OLIVEIRA</t>
  </si>
  <si>
    <t>18176576824</t>
  </si>
  <si>
    <t>EVERSON ROMEU MARTINS DA SILVA</t>
  </si>
  <si>
    <t>18181206827</t>
  </si>
  <si>
    <t>FULVIO MANOEL TIMOTEO ROCHA</t>
  </si>
  <si>
    <t>18343690885</t>
  </si>
  <si>
    <t>LUCIMARIO ALVES MEIRA</t>
  </si>
  <si>
    <t>18488654812</t>
  </si>
  <si>
    <t>FLAVIO MARCOS RODRIGUES PUBLIO</t>
  </si>
  <si>
    <t>18556937802</t>
  </si>
  <si>
    <t>VALTER GONCALVES DA SILVA</t>
  </si>
  <si>
    <t>18620895826</t>
  </si>
  <si>
    <t>KELREI HONORATO DA SILVA</t>
  </si>
  <si>
    <t>18706147801</t>
  </si>
  <si>
    <t>JOSETE OLIVEIRA CRUZ DOS SANTOS</t>
  </si>
  <si>
    <t>18772309873</t>
  </si>
  <si>
    <t>GILSON JOSE BATISTA FREITAS</t>
  </si>
  <si>
    <t>19099020805</t>
  </si>
  <si>
    <t>MARCELO EDSON FRANCA</t>
  </si>
  <si>
    <t>19146110801</t>
  </si>
  <si>
    <t>LAERCIO DE SOUZA SILVA</t>
  </si>
  <si>
    <t>20012741817</t>
  </si>
  <si>
    <t>SEBASTIAO LUIS GOMES</t>
  </si>
  <si>
    <t>20023690895</t>
  </si>
  <si>
    <t>CARLOS ROCHA ANDRADE</t>
  </si>
  <si>
    <t>20507098897</t>
  </si>
  <si>
    <t>IVAIR ANTONIO FERNANDES</t>
  </si>
  <si>
    <t>20555336816</t>
  </si>
  <si>
    <t>ROGERIO ANACLETO DA SILVA</t>
  </si>
  <si>
    <t>20600629856</t>
  </si>
  <si>
    <t>NELIO PEREIRA DA SILVA</t>
  </si>
  <si>
    <t>21257561880</t>
  </si>
  <si>
    <t>ALEX DOUGLAS DUARTE FAVRIN</t>
  </si>
  <si>
    <t>21348112859</t>
  </si>
  <si>
    <t>CARLOS ROBERTO GOMES DA SILVA</t>
  </si>
  <si>
    <t>21626622809</t>
  </si>
  <si>
    <t>ADAO MARQUES GUIMARAES</t>
  </si>
  <si>
    <t>21701988810</t>
  </si>
  <si>
    <t>DANIEL TOME FERNANDES</t>
  </si>
  <si>
    <t>21744538867</t>
  </si>
  <si>
    <t>LUIS CESAR TREVIZAM</t>
  </si>
  <si>
    <t>21837173869</t>
  </si>
  <si>
    <t>RAFAEL PACIFICO DE LIMA</t>
  </si>
  <si>
    <t>21893211827</t>
  </si>
  <si>
    <t>TIAGO ALVES DE OLIVEIRA</t>
  </si>
  <si>
    <t>21906233837</t>
  </si>
  <si>
    <t>ANDERSON TEIXEIRA DE OLIVEIRA</t>
  </si>
  <si>
    <t>21992972842</t>
  </si>
  <si>
    <t>WALAS DE ANDRADE SANTOS</t>
  </si>
  <si>
    <t>22097710808</t>
  </si>
  <si>
    <t>REGIS CESAR COSTA</t>
  </si>
  <si>
    <t>22108055894</t>
  </si>
  <si>
    <t>PAULO CESAR DE SOUZA</t>
  </si>
  <si>
    <t>22246246890</t>
  </si>
  <si>
    <t>EVERTON DE MOURA FERNANDES</t>
  </si>
  <si>
    <t>22352548888</t>
  </si>
  <si>
    <t>CAROLINE TOZATTI ROSA BONANCA</t>
  </si>
  <si>
    <t>22375926838</t>
  </si>
  <si>
    <t>ANTONIO CLAUDINEUDO LEITE BEZERRA</t>
  </si>
  <si>
    <t>22383147842</t>
  </si>
  <si>
    <t>HAMILTON JOSE DE MELO PEREIRA</t>
  </si>
  <si>
    <t>22394607840</t>
  </si>
  <si>
    <t>RODRIGO FORNER RODRIGUES DO NASCIMENTO</t>
  </si>
  <si>
    <t>22408376831</t>
  </si>
  <si>
    <t>CESAR ALVES DE OLIVEIRA</t>
  </si>
  <si>
    <t>22478432803</t>
  </si>
  <si>
    <t>CRISTIAN PEREIRA LEAL</t>
  </si>
  <si>
    <t>22487752882</t>
  </si>
  <si>
    <t>ROGELIO FERREIRA VAZ</t>
  </si>
  <si>
    <t>22499505800</t>
  </si>
  <si>
    <t>CAROLINA DOS SANTOS</t>
  </si>
  <si>
    <t>22577127812</t>
  </si>
  <si>
    <t>ANDERSON ANTONIO PAGOTO</t>
  </si>
  <si>
    <t>22608911870</t>
  </si>
  <si>
    <t>ALESSANDRA CASTELANI TOLEDO</t>
  </si>
  <si>
    <t>22625053810</t>
  </si>
  <si>
    <t>MAGNO ARAUJO COSTA</t>
  </si>
  <si>
    <t>22781022810</t>
  </si>
  <si>
    <t>ANDERSON DA SILVA PASSOS</t>
  </si>
  <si>
    <t>22789042802</t>
  </si>
  <si>
    <t>LEANDRO DE JESUS FARIA</t>
  </si>
  <si>
    <t>22975227892</t>
  </si>
  <si>
    <t>JAIR DA SILVA LIANO</t>
  </si>
  <si>
    <t>22993278860</t>
  </si>
  <si>
    <t>FLAVIO VINICIUS ALFREDO DA LUZ</t>
  </si>
  <si>
    <t>22997608813</t>
  </si>
  <si>
    <t>MARCO ANTONIO FOGACA JUNIOR</t>
  </si>
  <si>
    <t>23045782841</t>
  </si>
  <si>
    <t>MAYARA RODRIGUES SILVEIRA</t>
  </si>
  <si>
    <t>23161129865</t>
  </si>
  <si>
    <t>ROBERT DE SOUSA SANTOS</t>
  </si>
  <si>
    <t>23177289808</t>
  </si>
  <si>
    <t>CECILIA SIYUAN WANG</t>
  </si>
  <si>
    <t>23401061844</t>
  </si>
  <si>
    <t>OSCAR PEDRO DEVOTTO SILVEIRA</t>
  </si>
  <si>
    <t>23471432809</t>
  </si>
  <si>
    <t>DOUGLAS RODRIGUES OLIVEIRA</t>
  </si>
  <si>
    <t>23715972874</t>
  </si>
  <si>
    <t>ADRIELLY CHRISTINA TOLEDO</t>
  </si>
  <si>
    <t>24542158888</t>
  </si>
  <si>
    <t>JULIO CEZAR REIS</t>
  </si>
  <si>
    <t>24581292859</t>
  </si>
  <si>
    <t>RODRIGO APARECIDO DAVID</t>
  </si>
  <si>
    <t>24653793808</t>
  </si>
  <si>
    <t>CIRLANIA FERREIRA COSTA QUEIROZ</t>
  </si>
  <si>
    <t>24922963855</t>
  </si>
  <si>
    <t>MAURO RODRIGO DEGRAF</t>
  </si>
  <si>
    <t>24966866847</t>
  </si>
  <si>
    <t>MILENA AFFONSO BOGGIO</t>
  </si>
  <si>
    <t>25011614832</t>
  </si>
  <si>
    <t>LEANDRO POCIDONI OLIVEIRA</t>
  </si>
  <si>
    <t>25049014883</t>
  </si>
  <si>
    <t>ELISABETH LIMA DA SILVA</t>
  </si>
  <si>
    <t>25213827870</t>
  </si>
  <si>
    <t>JOANITO DOS SANTOS SILVA</t>
  </si>
  <si>
    <t>25241312897</t>
  </si>
  <si>
    <t>SILVIA DE FATIMA DA SILVA</t>
  </si>
  <si>
    <t>25320842864</t>
  </si>
  <si>
    <t>MARCOS ANGELO SAKUNO</t>
  </si>
  <si>
    <t>25499026882</t>
  </si>
  <si>
    <t>FABIO LUIS PIO</t>
  </si>
  <si>
    <t>25619962806</t>
  </si>
  <si>
    <t>DANIELA ARAO SILVA</t>
  </si>
  <si>
    <t>25755037876</t>
  </si>
  <si>
    <t>CRISTIANE APARECIDA KOSHEVNIKOFF BAISSI</t>
  </si>
  <si>
    <t>25863552883</t>
  </si>
  <si>
    <t>ALEXANDRE COSTA ZANELLA</t>
  </si>
  <si>
    <t>25906533877</t>
  </si>
  <si>
    <t>ELIS REGINA NUNES DA GAMA SILVA</t>
  </si>
  <si>
    <t>25944722800</t>
  </si>
  <si>
    <t>AURINETE DO NASCIMENTO</t>
  </si>
  <si>
    <t>25966567875</t>
  </si>
  <si>
    <t>LUCIMAR RODRIGUES DA FONSECA</t>
  </si>
  <si>
    <t>25969360899</t>
  </si>
  <si>
    <t>MARCOS MANUEL DA SILVA</t>
  </si>
  <si>
    <t>25984998831</t>
  </si>
  <si>
    <t>TELMA REGINA DA PAZ</t>
  </si>
  <si>
    <t>26149190803</t>
  </si>
  <si>
    <t>SILVIO DUARTE SOARES</t>
  </si>
  <si>
    <t>26365595824</t>
  </si>
  <si>
    <t>PAULO HENRIQUE FERREIRA DA SILVA</t>
  </si>
  <si>
    <t>26379117865</t>
  </si>
  <si>
    <t>AMANDA FERREIRA UCHOA CANDIDO</t>
  </si>
  <si>
    <t>26383029886</t>
  </si>
  <si>
    <t>EDISON FERNANDES DINIZ</t>
  </si>
  <si>
    <t>26387398800</t>
  </si>
  <si>
    <t>JORGE LUIS GON</t>
  </si>
  <si>
    <t>26491812812</t>
  </si>
  <si>
    <t>ELVES CARLOS COELHO</t>
  </si>
  <si>
    <t>26534760886</t>
  </si>
  <si>
    <t>CLEONICE MESQUITA DOS SANTOS</t>
  </si>
  <si>
    <t>26536399803</t>
  </si>
  <si>
    <t>ELAINE SILVA DE BRITO</t>
  </si>
  <si>
    <t>26615857880</t>
  </si>
  <si>
    <t>SERGIO LUIZ MAGALHAES</t>
  </si>
  <si>
    <t>26638078852</t>
  </si>
  <si>
    <t>MILENE APARECIDA DUARTE COUTINHO</t>
  </si>
  <si>
    <t>26791571845</t>
  </si>
  <si>
    <t>SILVIO FERNANDO SOARES</t>
  </si>
  <si>
    <t>26864890813</t>
  </si>
  <si>
    <t>CLAYTON OLIVEIRA SANTOS LOPES</t>
  </si>
  <si>
    <t>26874834860</t>
  </si>
  <si>
    <t>CRISTIANE BALEN MENEGHEL</t>
  </si>
  <si>
    <t>26935133831</t>
  </si>
  <si>
    <t>ADILSON INGLEZ</t>
  </si>
  <si>
    <t>26995980891</t>
  </si>
  <si>
    <t>JACOB DALVANIL CREMASCO</t>
  </si>
  <si>
    <t>27017347897</t>
  </si>
  <si>
    <t>CICERO DE OLIVEIRA BARROS</t>
  </si>
  <si>
    <t>27117199873</t>
  </si>
  <si>
    <t>GISELA CRISTINA FERIAN SUTTO</t>
  </si>
  <si>
    <t>27132713809</t>
  </si>
  <si>
    <t>CLEBER JUNIOR BRABO</t>
  </si>
  <si>
    <t>27160632818</t>
  </si>
  <si>
    <t>RENATO KALAF COSSI</t>
  </si>
  <si>
    <t>27240905861</t>
  </si>
  <si>
    <t>RODNEY DOS SANTOS INACIO</t>
  </si>
  <si>
    <t>27343667890</t>
  </si>
  <si>
    <t>LUSINETE DOS SANTOS ANDRADE</t>
  </si>
  <si>
    <t>27459206857</t>
  </si>
  <si>
    <t>DAYANA CASARINI VIEIRA</t>
  </si>
  <si>
    <t>27466049818</t>
  </si>
  <si>
    <t>LUIS ARAUJO DE MIRANDA</t>
  </si>
  <si>
    <t>27483254866</t>
  </si>
  <si>
    <t>MARCIO FLORENTINO FERNANDES</t>
  </si>
  <si>
    <t>27486101807</t>
  </si>
  <si>
    <t>REGINALDO ROGERIO DA SILVA DE CAMARGO</t>
  </si>
  <si>
    <t>27622801844</t>
  </si>
  <si>
    <t>FABIO MANZATTO</t>
  </si>
  <si>
    <t>27641590802</t>
  </si>
  <si>
    <t>THIAGO GONZALEZ PIRES</t>
  </si>
  <si>
    <t>27765843850</t>
  </si>
  <si>
    <t>GILBERTO SANTOS DE OLIVEIRA</t>
  </si>
  <si>
    <t>27879661875</t>
  </si>
  <si>
    <t>FRANCISCO NOBERTO PEREIRA DA SILVA</t>
  </si>
  <si>
    <t>27936008810</t>
  </si>
  <si>
    <t>ROSANA SILVA ZANETONI</t>
  </si>
  <si>
    <t>27978914810</t>
  </si>
  <si>
    <t>SANDRO DARLAN SILVA CARDOSO</t>
  </si>
  <si>
    <t>28065066895</t>
  </si>
  <si>
    <t>KELLI CRISTINE SOLER PARRA</t>
  </si>
  <si>
    <t>28067147884</t>
  </si>
  <si>
    <t>MARIA MADALENA DA SILVA CARVALHO</t>
  </si>
  <si>
    <t>28118711870</t>
  </si>
  <si>
    <t>ROBERT MARQUES DOS SANTOS</t>
  </si>
  <si>
    <t>28124396884</t>
  </si>
  <si>
    <t>MARCELO KROCHMALNIK</t>
  </si>
  <si>
    <t>28192043843</t>
  </si>
  <si>
    <t>PAULA GALVANI SILVA</t>
  </si>
  <si>
    <t>28216362889</t>
  </si>
  <si>
    <t>ADEMIR BASILIO DOS SANTOS</t>
  </si>
  <si>
    <t>28226701880</t>
  </si>
  <si>
    <t>MARCOS AUGUSTO RODRIGUES CORREA</t>
  </si>
  <si>
    <t>28234261835</t>
  </si>
  <si>
    <t>ANTONIO DE FREITAS</t>
  </si>
  <si>
    <t>28254153833</t>
  </si>
  <si>
    <t>SILVANO IBIAPINO DOS SANTOS</t>
  </si>
  <si>
    <t>28257907880</t>
  </si>
  <si>
    <t>ANDRE NOGUEIRA DE MELO</t>
  </si>
  <si>
    <t>28305308880</t>
  </si>
  <si>
    <t>ADRIANO SANT ANA DE ABREU</t>
  </si>
  <si>
    <t>28305312801</t>
  </si>
  <si>
    <t>ADRIANO SOUZA SANTOS</t>
  </si>
  <si>
    <t>28359185824</t>
  </si>
  <si>
    <t>MARCO ANTONIO DE FREITAS</t>
  </si>
  <si>
    <t>28468850870</t>
  </si>
  <si>
    <t>RONIVON OLIVEIRA DE SENA</t>
  </si>
  <si>
    <t>28472368807</t>
  </si>
  <si>
    <t>CLEITON ARAUJO DA COSTA</t>
  </si>
  <si>
    <t>28509487804</t>
  </si>
  <si>
    <t>CLAUDIO ROBERTO BASSAN</t>
  </si>
  <si>
    <t>28541963845</t>
  </si>
  <si>
    <t>RODOLFO MARANGONI</t>
  </si>
  <si>
    <t>28547153810</t>
  </si>
  <si>
    <t>MARCIA FRANCA OLIVEIRA</t>
  </si>
  <si>
    <t>28559069895</t>
  </si>
  <si>
    <t>DANIELA MAGALHAES FERRANTE</t>
  </si>
  <si>
    <t>28561706848</t>
  </si>
  <si>
    <t>FABIO PERINA PRATA</t>
  </si>
  <si>
    <t>28579940877</t>
  </si>
  <si>
    <t>ALEX DE MORAIS PEDROSO</t>
  </si>
  <si>
    <t>28703551814</t>
  </si>
  <si>
    <t>JUCIELE RODRIGUES ALVES FRANCISCO</t>
  </si>
  <si>
    <t>28707456808</t>
  </si>
  <si>
    <t>SIRLANE SILVA DA COSTA</t>
  </si>
  <si>
    <t>28718596800</t>
  </si>
  <si>
    <t>FABIO CAMELO DE CARVALHO</t>
  </si>
  <si>
    <t>28736440876</t>
  </si>
  <si>
    <t>ANDERSON FERREIRA DA SILVA</t>
  </si>
  <si>
    <t>28870524892</t>
  </si>
  <si>
    <t>CARLOS MARQUES MORETAO</t>
  </si>
  <si>
    <t>28871903854</t>
  </si>
  <si>
    <t>ELAINE DA SILVA SOUSA</t>
  </si>
  <si>
    <t>28910115890</t>
  </si>
  <si>
    <t>ALEX MIRANDA DE OLIVEIRA</t>
  </si>
  <si>
    <t>28969076883</t>
  </si>
  <si>
    <t>ELENICE DE JESUS CORDEIRO</t>
  </si>
  <si>
    <t>28990839882</t>
  </si>
  <si>
    <t>ALESSANDRA MARCIA KOBAYASHI</t>
  </si>
  <si>
    <t>29009720861</t>
  </si>
  <si>
    <t>JOEL MARCOS DA SILVA</t>
  </si>
  <si>
    <t>29098427898</t>
  </si>
  <si>
    <t>VIRGINIO MARQUES DE MENESES</t>
  </si>
  <si>
    <t>29135692855</t>
  </si>
  <si>
    <t>CARLOS EDUARDO RIBEIRO DOS SANTOS</t>
  </si>
  <si>
    <t>29246929896</t>
  </si>
  <si>
    <t>ANDERSON RICARDO LIMA</t>
  </si>
  <si>
    <t>29251865809</t>
  </si>
  <si>
    <t>EDUARDO STANICHESCH</t>
  </si>
  <si>
    <t>29259537860</t>
  </si>
  <si>
    <t>LUCIVAL SILVA TRINDADE</t>
  </si>
  <si>
    <t>29299133808</t>
  </si>
  <si>
    <t>GILMAR DOS SANTOS</t>
  </si>
  <si>
    <t>29327955897</t>
  </si>
  <si>
    <t>CICERO GOMES CARDOSO</t>
  </si>
  <si>
    <t>29360933848</t>
  </si>
  <si>
    <t>NELSON MARTINS GALHARDO JUNIOR</t>
  </si>
  <si>
    <t>29368883874</t>
  </si>
  <si>
    <t>GILLIANO TOME FERREIRA</t>
  </si>
  <si>
    <t>29372408875</t>
  </si>
  <si>
    <t>NAZIEL JURADO DE SOUZA</t>
  </si>
  <si>
    <t>29525957802</t>
  </si>
  <si>
    <t>ROMILDO PEDRO DA SILVA</t>
  </si>
  <si>
    <t>29565350801</t>
  </si>
  <si>
    <t>MARCELO DOS SANTOS MACHADO MARTINS</t>
  </si>
  <si>
    <t>29567081808</t>
  </si>
  <si>
    <t>MAURICIO DE SOUZA ESTEVAO</t>
  </si>
  <si>
    <t>29598441814</t>
  </si>
  <si>
    <t>ALEX SANDRO DA SILVA FERREIRA</t>
  </si>
  <si>
    <t>29610456812</t>
  </si>
  <si>
    <t>RODRIGO SILVA MAMEDE</t>
  </si>
  <si>
    <t>29614036850</t>
  </si>
  <si>
    <t>RODRIGO SOARES DE SOUZA</t>
  </si>
  <si>
    <t>29642208830</t>
  </si>
  <si>
    <t>EDMILSON MARINHO SANTOS</t>
  </si>
  <si>
    <t>29658666809</t>
  </si>
  <si>
    <t>CARLOS GERALDO MENDES</t>
  </si>
  <si>
    <t>29692922898</t>
  </si>
  <si>
    <t>ERIBERTO DE FREITAS SILVA</t>
  </si>
  <si>
    <t>29772249120</t>
  </si>
  <si>
    <t>EUNICE REGINA BARREIROS POVEDA</t>
  </si>
  <si>
    <t>29782574821</t>
  </si>
  <si>
    <t>LIAN OLIVEIRA SIMAO</t>
  </si>
  <si>
    <t>29798181867</t>
  </si>
  <si>
    <t>EVERTON CORDEIRO GOMES</t>
  </si>
  <si>
    <t>29823371857</t>
  </si>
  <si>
    <t>MARLI GORETTI APARECIDO</t>
  </si>
  <si>
    <t>29889131889</t>
  </si>
  <si>
    <t>GEFERSON CARLOS DA SILVA MENEGUIM</t>
  </si>
  <si>
    <t>29981511838</t>
  </si>
  <si>
    <t>RENATO SOUSA DOURADO</t>
  </si>
  <si>
    <t>30030930880</t>
  </si>
  <si>
    <t>CLAYTON FERREIRA DA COSTA</t>
  </si>
  <si>
    <t>30051524805</t>
  </si>
  <si>
    <t>RAMIRO LIMA RABELO</t>
  </si>
  <si>
    <t>30118153803</t>
  </si>
  <si>
    <t>CLAUDINAR FIRMINO DE SOUSA</t>
  </si>
  <si>
    <t>30173903819</t>
  </si>
  <si>
    <t>FABIO JUNIOR DE LIMA</t>
  </si>
  <si>
    <t>30209752807</t>
  </si>
  <si>
    <t>RICARDO PINHEIRO DE CARVALHO</t>
  </si>
  <si>
    <t>30242075894</t>
  </si>
  <si>
    <t>MANOEL CHARLES DOS SANTOS</t>
  </si>
  <si>
    <t>30257924850</t>
  </si>
  <si>
    <t>VINICIUS JOSE ULIANA</t>
  </si>
  <si>
    <t>30260121819</t>
  </si>
  <si>
    <t>ALEXANDRE ROGERIO DOS SANTOS OLIVEIRA</t>
  </si>
  <si>
    <t>30281720894</t>
  </si>
  <si>
    <t>FABIO DE OLIVEIRA SILVA</t>
  </si>
  <si>
    <t>30293933804</t>
  </si>
  <si>
    <t>ROMULO ALVES DE AZEVEDO</t>
  </si>
  <si>
    <t>30305544810</t>
  </si>
  <si>
    <t>CLEBER AUGUSTO REIS SANTANA</t>
  </si>
  <si>
    <t>30327770899</t>
  </si>
  <si>
    <t>REINALDO DA FONSECA</t>
  </si>
  <si>
    <t>30335025803</t>
  </si>
  <si>
    <t>WILSON JOSE DUBAS DE CARVALHO</t>
  </si>
  <si>
    <t>30341438855</t>
  </si>
  <si>
    <t>CLAUDIO JOSE BRITO DA SILVA</t>
  </si>
  <si>
    <t>30350002800</t>
  </si>
  <si>
    <t>MARCIO VERISSIMO FEITOSA</t>
  </si>
  <si>
    <t>30367136899</t>
  </si>
  <si>
    <t>MARIA EUNICE GONZAGA DA SILVA</t>
  </si>
  <si>
    <t>30382627814</t>
  </si>
  <si>
    <t>HAYLTON DE SOUZA GUEDES VIANA</t>
  </si>
  <si>
    <t>30463843860</t>
  </si>
  <si>
    <t>CELIO ESTEVES LOURENCO</t>
  </si>
  <si>
    <t>30504021800</t>
  </si>
  <si>
    <t>JOAO PAULO MACEDO RODRIGUES</t>
  </si>
  <si>
    <t>30513402861</t>
  </si>
  <si>
    <t>EDUARDO VIEIRA ILACE JUNIOR</t>
  </si>
  <si>
    <t>30514246847</t>
  </si>
  <si>
    <t>FLAVIO DE SIQUEIRA</t>
  </si>
  <si>
    <t>30542329808</t>
  </si>
  <si>
    <t>JOSE APARECIDO DA SILVA</t>
  </si>
  <si>
    <t>30666374848</t>
  </si>
  <si>
    <t>JOANES DA SILVA OLIVEIRA</t>
  </si>
  <si>
    <t>30738697869</t>
  </si>
  <si>
    <t>JOSE APARECIDO PEREIRA LOPES</t>
  </si>
  <si>
    <t>30767374819</t>
  </si>
  <si>
    <t>ANA PAULA DE OLIVEIRA</t>
  </si>
  <si>
    <t>30815388829</t>
  </si>
  <si>
    <t>PAULO FELIPE FERREIRA DAMASCO</t>
  </si>
  <si>
    <t>30848693833</t>
  </si>
  <si>
    <t>WELLINGTON FERREIRA DA SILVA</t>
  </si>
  <si>
    <t>30859062821</t>
  </si>
  <si>
    <t>FABIO LUIS DA SILVA</t>
  </si>
  <si>
    <t>30892455829</t>
  </si>
  <si>
    <t>ELIAS MIRANDA COSTA</t>
  </si>
  <si>
    <t>30906955882</t>
  </si>
  <si>
    <t>MARIANA ALVES DE SOUZA</t>
  </si>
  <si>
    <t>30922479810</t>
  </si>
  <si>
    <t>JULIO CARLOS CRISTOVAL DE ALMEIDA</t>
  </si>
  <si>
    <t>30954869877</t>
  </si>
  <si>
    <t>VALDEMIR PINHEIRO DE SOUZA</t>
  </si>
  <si>
    <t>30970934866</t>
  </si>
  <si>
    <t>ELANIA COSTA ROSSI</t>
  </si>
  <si>
    <t>31064198813</t>
  </si>
  <si>
    <t>LEANDRO PEREIRA DE CASTRO</t>
  </si>
  <si>
    <t>31108514820</t>
  </si>
  <si>
    <t>JOEL SANTOS DE ANDRADE</t>
  </si>
  <si>
    <t>31121913822</t>
  </si>
  <si>
    <t>WAGNER TORRES DO NASCIMENTO</t>
  </si>
  <si>
    <t>31131501837</t>
  </si>
  <si>
    <t>MELQUIAS MORAIS MOREL</t>
  </si>
  <si>
    <t>31146674813</t>
  </si>
  <si>
    <t>CLEYTON SOARES DE NOVAES BARBOSA</t>
  </si>
  <si>
    <t>31150166894</t>
  </si>
  <si>
    <t>GEORGE DE SOUZA SANTOS</t>
  </si>
  <si>
    <t>31231271841</t>
  </si>
  <si>
    <t>DANIELI DA LUZ OLIVEIRA</t>
  </si>
  <si>
    <t>31235304850</t>
  </si>
  <si>
    <t>ANDERSON GOMES DA SILVA</t>
  </si>
  <si>
    <t>31244936804</t>
  </si>
  <si>
    <t>ALEXANDRE ARAUJO LIMA</t>
  </si>
  <si>
    <t>31291588809</t>
  </si>
  <si>
    <t>RAFAEL RIBEIRO</t>
  </si>
  <si>
    <t>31425302823</t>
  </si>
  <si>
    <t>JANICE DA CRUZ AMBROSIO</t>
  </si>
  <si>
    <t>31492124800</t>
  </si>
  <si>
    <t>AURELUCIO PEREIRA DA CRUZ</t>
  </si>
  <si>
    <t>31500860867</t>
  </si>
  <si>
    <t>CRISTOFER RISTER SANT ANNA</t>
  </si>
  <si>
    <t>31598698818</t>
  </si>
  <si>
    <t>PAMELA CRISTIAN DE ASSIS CASTRO</t>
  </si>
  <si>
    <t>31668889854</t>
  </si>
  <si>
    <t>ANTONIO DA SILVA SANTOS</t>
  </si>
  <si>
    <t>31799713806</t>
  </si>
  <si>
    <t>MILENE APARECIDA PADOIN PEREIRA</t>
  </si>
  <si>
    <t>31799918874</t>
  </si>
  <si>
    <t>ALBERTO DOS SANTOS FOSCHINE</t>
  </si>
  <si>
    <t>31849807825</t>
  </si>
  <si>
    <t>LEIDA OLIVEIRA DOS SANTOS</t>
  </si>
  <si>
    <t>31894027876</t>
  </si>
  <si>
    <t>ELTON DE CARVALHO MIRANDA</t>
  </si>
  <si>
    <t>31901236838</t>
  </si>
  <si>
    <t>RENATO CARDOSO DOS SANTOS</t>
  </si>
  <si>
    <t>31919694897</t>
  </si>
  <si>
    <t>RICARDO LIMA VIEIRA</t>
  </si>
  <si>
    <t>32098203845</t>
  </si>
  <si>
    <t>RODRIGO ALVES SILVA</t>
  </si>
  <si>
    <t>32121897895</t>
  </si>
  <si>
    <t>CAROLINE ALVES</t>
  </si>
  <si>
    <t>32157334807</t>
  </si>
  <si>
    <t>MANOEL NETO DA SILVA</t>
  </si>
  <si>
    <t>32166838855</t>
  </si>
  <si>
    <t>PAULO HENRIQUE AFONSO MENDES</t>
  </si>
  <si>
    <t>32184488836</t>
  </si>
  <si>
    <t>ANDERSON DOS SANTOS MARTINS</t>
  </si>
  <si>
    <t>32258315816</t>
  </si>
  <si>
    <t>JOSE TENIS DA SILVA SA</t>
  </si>
  <si>
    <t>32300349884</t>
  </si>
  <si>
    <t>LUCAS CATELANI FORTE</t>
  </si>
  <si>
    <t>32304028802</t>
  </si>
  <si>
    <t>PRISCILA FERREIRA CALEGIA</t>
  </si>
  <si>
    <t>32313724883</t>
  </si>
  <si>
    <t>ADRIELLE DE ALMEIDA CARVALHO</t>
  </si>
  <si>
    <t>32316064892</t>
  </si>
  <si>
    <t>RICARDO DAVID DOS SANTOS</t>
  </si>
  <si>
    <t>32442896818</t>
  </si>
  <si>
    <t>ERIVALDO JOAO DA SILVA</t>
  </si>
  <si>
    <t>32444134800</t>
  </si>
  <si>
    <t>LUIZ FERNANDES DA SILVA</t>
  </si>
  <si>
    <t>32489097814</t>
  </si>
  <si>
    <t>SIDNEI GOIS PEREIRA</t>
  </si>
  <si>
    <t>32559245884</t>
  </si>
  <si>
    <t>WEVERTON CAETANO DOS SANTOS</t>
  </si>
  <si>
    <t>32588009875</t>
  </si>
  <si>
    <t>PAULO SERGIO SANTOS SOUZA</t>
  </si>
  <si>
    <t>32730153810</t>
  </si>
  <si>
    <t>RAIMUNDO NONATO RIBEIRO ALVES</t>
  </si>
  <si>
    <t>32777222878</t>
  </si>
  <si>
    <t>PAULO SERGIO DE OLIVEIRA</t>
  </si>
  <si>
    <t>32804018873</t>
  </si>
  <si>
    <t>CAROLINE FRANCISCA TORRICHELLE</t>
  </si>
  <si>
    <t>32809159882</t>
  </si>
  <si>
    <t>NILTON CESAR CASTELO</t>
  </si>
  <si>
    <t>32849634808</t>
  </si>
  <si>
    <t>TIAGO CESAR DE CARVALHO</t>
  </si>
  <si>
    <t>32912770823</t>
  </si>
  <si>
    <t>GILBERTO BARBOSA DE LIMA</t>
  </si>
  <si>
    <t>32923013867</t>
  </si>
  <si>
    <t>FERNANDO DA SILVA CONSTANTINO</t>
  </si>
  <si>
    <t>33195663856</t>
  </si>
  <si>
    <t>OSIEL GOMES DOS SANTOS</t>
  </si>
  <si>
    <t>33199778810</t>
  </si>
  <si>
    <t>RUBERVAL FERREIRA LIMA</t>
  </si>
  <si>
    <t>33261280883</t>
  </si>
  <si>
    <t>DIEGO BRANDAO MOISES</t>
  </si>
  <si>
    <t>33280752833</t>
  </si>
  <si>
    <t>RODRIGO DE ANDREIS</t>
  </si>
  <si>
    <t>33330505877</t>
  </si>
  <si>
    <t>CESAR ALVES MOREIRA</t>
  </si>
  <si>
    <t>33405179831</t>
  </si>
  <si>
    <t>RODRIGO DO CARMO DE PAULA</t>
  </si>
  <si>
    <t>33419100850</t>
  </si>
  <si>
    <t>CAMILA BANDEIRA SCHIAVELLI MARQUES</t>
  </si>
  <si>
    <t>33424242810</t>
  </si>
  <si>
    <t>ALESSANDRO DOS SANTOS LIRA</t>
  </si>
  <si>
    <t>33510766814</t>
  </si>
  <si>
    <t>MARCIO ALVES DE LIMA</t>
  </si>
  <si>
    <t>33567408810</t>
  </si>
  <si>
    <t>RUDNEI ESTEVAM DO NASCIMENTO</t>
  </si>
  <si>
    <t>33583925890</t>
  </si>
  <si>
    <t>RONNY GALDINO RIBEIRO</t>
  </si>
  <si>
    <t>33586655851</t>
  </si>
  <si>
    <t>LUCIANO DE OLIVEIRA NASCIMENTO</t>
  </si>
  <si>
    <t>33589196840</t>
  </si>
  <si>
    <t>RERISON GOMES SILVA SANTOS</t>
  </si>
  <si>
    <t>33595654870</t>
  </si>
  <si>
    <t>MARCELO DE SOUZA ESTEVAO</t>
  </si>
  <si>
    <t>33621957847</t>
  </si>
  <si>
    <t>DIEGO DE OLIVEIRA SOUSA</t>
  </si>
  <si>
    <t>33647775860</t>
  </si>
  <si>
    <t>FLAVIA HELOISA CAPELLINI</t>
  </si>
  <si>
    <t>33696406864</t>
  </si>
  <si>
    <t>ADRIANA CASTELANI TOLEDO</t>
  </si>
  <si>
    <t>33756235858</t>
  </si>
  <si>
    <t>DANILO CASTRO DO NASCIMENTO</t>
  </si>
  <si>
    <t>33778244809</t>
  </si>
  <si>
    <t>EVERTON DE CARVALHO</t>
  </si>
  <si>
    <t>33781430880</t>
  </si>
  <si>
    <t>JORGE LUIS NOGUEIRA FERREIRA</t>
  </si>
  <si>
    <t>33786560854</t>
  </si>
  <si>
    <t>JEFERSON JESUS DAS NEVES</t>
  </si>
  <si>
    <t>33793731847</t>
  </si>
  <si>
    <t>RAUL RODRIGUES DE SOUZA</t>
  </si>
  <si>
    <t>33869607823</t>
  </si>
  <si>
    <t>VITOR CASSIMIRO PEREIRA</t>
  </si>
  <si>
    <t>33973207801</t>
  </si>
  <si>
    <t>THIAGO DA PAIXAO RAMOS</t>
  </si>
  <si>
    <t>33996861885</t>
  </si>
  <si>
    <t>ROBERTO TOLEDO PIZA</t>
  </si>
  <si>
    <t>34029581803</t>
  </si>
  <si>
    <t>DIEGO RIBEIRO DOS SANTOS</t>
  </si>
  <si>
    <t>34072874884</t>
  </si>
  <si>
    <t>NATALIA PILLON</t>
  </si>
  <si>
    <t>34099524892</t>
  </si>
  <si>
    <t>KLEBER DA SILVA PASSOS</t>
  </si>
  <si>
    <t>34148081880</t>
  </si>
  <si>
    <t>HERIK VINICIUS RODRIGUES SOUZA</t>
  </si>
  <si>
    <t>34161278896</t>
  </si>
  <si>
    <t>VANESSA ALVES PEREIRA</t>
  </si>
  <si>
    <t>34182319850</t>
  </si>
  <si>
    <t>DENIVALDO NABAS</t>
  </si>
  <si>
    <t>34260305867</t>
  </si>
  <si>
    <t>TIAGO APARECIDO SPORNRAFT</t>
  </si>
  <si>
    <t>34282735830</t>
  </si>
  <si>
    <t>WASHINGTON LUIZ BARBOSA</t>
  </si>
  <si>
    <t>34427768806</t>
  </si>
  <si>
    <t>ISAIAS CARVALHO DE ARAUJO</t>
  </si>
  <si>
    <t>34474317840</t>
  </si>
  <si>
    <t>THIAGO SANTOS NEPOMUCENO</t>
  </si>
  <si>
    <t>34510511841</t>
  </si>
  <si>
    <t>ELTON RIBEIRO DE ALMEIDA SOUZA</t>
  </si>
  <si>
    <t>34510894830</t>
  </si>
  <si>
    <t>TIAGO GOMES DA SILVA</t>
  </si>
  <si>
    <t>34521359850</t>
  </si>
  <si>
    <t>TIAGO DIONISIO MACHADO</t>
  </si>
  <si>
    <t>34566234886</t>
  </si>
  <si>
    <t>GLAUCIA DA SILVA MALTA SANTOS</t>
  </si>
  <si>
    <t>34686732808</t>
  </si>
  <si>
    <t>ANDERSON DE OLIVEIRA SANTOS</t>
  </si>
  <si>
    <t>34690283893</t>
  </si>
  <si>
    <t>ESTELA ROBERTA SILVA</t>
  </si>
  <si>
    <t>34713074861</t>
  </si>
  <si>
    <t>EDSON VIDAL DO PRADO</t>
  </si>
  <si>
    <t>34733860811</t>
  </si>
  <si>
    <t>DOUGLAS WILLIAN FERREIRA VITALINO</t>
  </si>
  <si>
    <t>34751499823</t>
  </si>
  <si>
    <t>DAVI ALVES DE OLIVEIRA</t>
  </si>
  <si>
    <t>34756753825</t>
  </si>
  <si>
    <t>EXPEDITO TADEU DE OLIVEIRA PINTO</t>
  </si>
  <si>
    <t>34782188889</t>
  </si>
  <si>
    <t>RUBENS REZENDE DE LIMA FILHO</t>
  </si>
  <si>
    <t>34787960830</t>
  </si>
  <si>
    <t>LUCIANA DA SILVA</t>
  </si>
  <si>
    <t>34814599803</t>
  </si>
  <si>
    <t>ANA CLAUDIA PIASSE DE AZEVEDO</t>
  </si>
  <si>
    <t>34824400856</t>
  </si>
  <si>
    <t>VANDERLEI ALVES FORTUNATO</t>
  </si>
  <si>
    <t>34956538804</t>
  </si>
  <si>
    <t>ALESSANDRA RIBEIRO SAADI</t>
  </si>
  <si>
    <t>34972671807</t>
  </si>
  <si>
    <t>FERNANDO ETORE EVANGELISTA</t>
  </si>
  <si>
    <t>35013134897</t>
  </si>
  <si>
    <t>JACKSON VIANA DA SILVA</t>
  </si>
  <si>
    <t>35025691850</t>
  </si>
  <si>
    <t>CAMILA AKEMI KURUMOTO</t>
  </si>
  <si>
    <t>35057158830</t>
  </si>
  <si>
    <t>DAIANE KAIP SEBASTIAO</t>
  </si>
  <si>
    <t>35079303824</t>
  </si>
  <si>
    <t>PAULO FERNANDO BARBOSA CAVALCANTE</t>
  </si>
  <si>
    <t>35167994802</t>
  </si>
  <si>
    <t>ADILSON DOS SANTOS SILVA</t>
  </si>
  <si>
    <t>35221789809</t>
  </si>
  <si>
    <t>REGINEI SOBRINHO DO NASCIMENTO</t>
  </si>
  <si>
    <t>35262518869</t>
  </si>
  <si>
    <t>RAFAEL NOGUEIRA</t>
  </si>
  <si>
    <t>35279609889</t>
  </si>
  <si>
    <t>RODOLFO DA SILVA PERBONI</t>
  </si>
  <si>
    <t>35287956894</t>
  </si>
  <si>
    <t>AMARILDO JOSE DA SILVA</t>
  </si>
  <si>
    <t>35342231876</t>
  </si>
  <si>
    <t>ANDRE NOGUEIRA DE SOUZA</t>
  </si>
  <si>
    <t>35363698803</t>
  </si>
  <si>
    <t>ANGELA MARIA MILANES DA SILVA</t>
  </si>
  <si>
    <t>35376138810</t>
  </si>
  <si>
    <t>PLINIO DOMINGOS DE SOUSA FILHO</t>
  </si>
  <si>
    <t>35468510804</t>
  </si>
  <si>
    <t>EDINEI SARAIVA</t>
  </si>
  <si>
    <t>35472968895</t>
  </si>
  <si>
    <t>DANIEL MIGUEL DE MENEZES</t>
  </si>
  <si>
    <t>35530428851</t>
  </si>
  <si>
    <t>MARIA ELSA FERREIRA DA SILVA BIGARDI</t>
  </si>
  <si>
    <t>35557637842</t>
  </si>
  <si>
    <t>TIAGO GALDINO BEZERRA</t>
  </si>
  <si>
    <t>35563779858</t>
  </si>
  <si>
    <t>DIOGO ANDRE DA SILVA</t>
  </si>
  <si>
    <t>35684260802</t>
  </si>
  <si>
    <t>FELIPE DE SOUZA FERREIRA</t>
  </si>
  <si>
    <t>35863871806</t>
  </si>
  <si>
    <t>GILDASIO PROENCA SANTOS DE OLIVEIRA</t>
  </si>
  <si>
    <t>35881713800</t>
  </si>
  <si>
    <t>FABIA BISPO DE ALMEIDA</t>
  </si>
  <si>
    <t>35917128847</t>
  </si>
  <si>
    <t>ROBSON DOS SANTOS BARBOSA</t>
  </si>
  <si>
    <t>35987062861</t>
  </si>
  <si>
    <t>VINICIUS SILVEIRA JESUATTO</t>
  </si>
  <si>
    <t>36014771816</t>
  </si>
  <si>
    <t>CARLOS ALBERTO RAMOS</t>
  </si>
  <si>
    <t>36085169809</t>
  </si>
  <si>
    <t>PAULO HENRIQUE DOS SANTOS ALMEIDA</t>
  </si>
  <si>
    <t>36216538802</t>
  </si>
  <si>
    <t>ROBSON COSTA SANTOS</t>
  </si>
  <si>
    <t>36378603847</t>
  </si>
  <si>
    <t>MARCOS PAULO DE ASSIS FIDENCIO</t>
  </si>
  <si>
    <t>36449254882</t>
  </si>
  <si>
    <t>FABIO NUNES MUNIZ</t>
  </si>
  <si>
    <t>36497190880</t>
  </si>
  <si>
    <t>JEFFERSON HENRIQUE DE SOUZA CAVERSAN</t>
  </si>
  <si>
    <t>36501448832</t>
  </si>
  <si>
    <t>PRISCILA DE SOUZA LIMEIRA</t>
  </si>
  <si>
    <t>36565417873</t>
  </si>
  <si>
    <t>MAICOL SALES GUIMARAES</t>
  </si>
  <si>
    <t>36577840806</t>
  </si>
  <si>
    <t>LAYZA JULIANA DE PAULA</t>
  </si>
  <si>
    <t>36583524856</t>
  </si>
  <si>
    <t>ERICK DE OLIVEIRA PEREIRA</t>
  </si>
  <si>
    <t>36588597843</t>
  </si>
  <si>
    <t>THAYNA DA SILVA MORAES FREITAS</t>
  </si>
  <si>
    <t>36597181816</t>
  </si>
  <si>
    <t>JAMES PERES DA SILVA SANTOS</t>
  </si>
  <si>
    <t>36604718875</t>
  </si>
  <si>
    <t>SAULO NASCIMENTO DE FREITAS</t>
  </si>
  <si>
    <t>36646046875</t>
  </si>
  <si>
    <t>LUIS MICHAEL DOS SANTOS</t>
  </si>
  <si>
    <t>36761529808</t>
  </si>
  <si>
    <t>DAVID GONCALVES CAMELO</t>
  </si>
  <si>
    <t>36761671809</t>
  </si>
  <si>
    <t>RENAN ZANFORLIN FIDENCIO</t>
  </si>
  <si>
    <t>36828966864</t>
  </si>
  <si>
    <t>SEBASTIAO MARQUES JUNIOR</t>
  </si>
  <si>
    <t>36849029851</t>
  </si>
  <si>
    <t>LUA GONCALVES TEIXEIRA</t>
  </si>
  <si>
    <t>36886924893</t>
  </si>
  <si>
    <t>STEFAN RICHARD SCHOLZEL BONTUS</t>
  </si>
  <si>
    <t>36904576880</t>
  </si>
  <si>
    <t>FERNANDA MARCHI DURIGON</t>
  </si>
  <si>
    <t>36920464802</t>
  </si>
  <si>
    <t>ANA CAROLINA AVILA DE CASTRO</t>
  </si>
  <si>
    <t>37295548831</t>
  </si>
  <si>
    <t>THIAGO ALCANTARA DA SILVA</t>
  </si>
  <si>
    <t>37388434852</t>
  </si>
  <si>
    <t>HERISON CLEIDMAN DA SILVA DE OLIVEIRA</t>
  </si>
  <si>
    <t>37404372860</t>
  </si>
  <si>
    <t>GUILHERME SORIA SOUZA</t>
  </si>
  <si>
    <t>37434889810</t>
  </si>
  <si>
    <t>FERNANDO ALVES CANDIDO</t>
  </si>
  <si>
    <t>37511526870</t>
  </si>
  <si>
    <t>ROSSELI NASCIMENTO DE ANDRADE</t>
  </si>
  <si>
    <t>37586984808</t>
  </si>
  <si>
    <t>DIEGO LIMA VIEIRA</t>
  </si>
  <si>
    <t>37588518820</t>
  </si>
  <si>
    <t>TIAGO ANDRE CORREA PINTO</t>
  </si>
  <si>
    <t>37699945824</t>
  </si>
  <si>
    <t>CASSIO VINICIO DO NASCIMENTO SILVA</t>
  </si>
  <si>
    <t>37728187813</t>
  </si>
  <si>
    <t>LUCIANA MAXIMO RICARDO</t>
  </si>
  <si>
    <t>37734549888</t>
  </si>
  <si>
    <t>CLEILDO SOUSA DOS ANJOS</t>
  </si>
  <si>
    <t>37760788800</t>
  </si>
  <si>
    <t>DOUGLAS MARIANO SAMPAIO DOS SANTOS</t>
  </si>
  <si>
    <t>37912211837</t>
  </si>
  <si>
    <t>PATRICIA LIMEIRA FERRAZ</t>
  </si>
  <si>
    <t>37938166804</t>
  </si>
  <si>
    <t>ROSILEIDE SIQUEIRA FERREIRA</t>
  </si>
  <si>
    <t>37945336825</t>
  </si>
  <si>
    <t>CAMILA DOS SANTOS PERPETUO</t>
  </si>
  <si>
    <t>37960111871</t>
  </si>
  <si>
    <t>ELANE MEDEIROS CIPRIANO</t>
  </si>
  <si>
    <t>38056698876</t>
  </si>
  <si>
    <t>JAILTON SOUSA MARTINS</t>
  </si>
  <si>
    <t>38092748870</t>
  </si>
  <si>
    <t>WESLLEY VIEIRA NUNES</t>
  </si>
  <si>
    <t>38158569811</t>
  </si>
  <si>
    <t>LEONARDO MORAES FRANCA</t>
  </si>
  <si>
    <t>38219845899</t>
  </si>
  <si>
    <t>JAIRO LAMARCA DE OLIVEIRA</t>
  </si>
  <si>
    <t>38259681897</t>
  </si>
  <si>
    <t>DOUGLAS ARNALDO DE LIMA SOUZA</t>
  </si>
  <si>
    <t>38262348800</t>
  </si>
  <si>
    <t>JAQUELINE DIAS MORENO</t>
  </si>
  <si>
    <t>38319407893</t>
  </si>
  <si>
    <t>LUIZ CRISTIANO VALERIO FERREIRA</t>
  </si>
  <si>
    <t>38387405809</t>
  </si>
  <si>
    <t>ALISSON BENTO DOUETTS</t>
  </si>
  <si>
    <t>38407316822</t>
  </si>
  <si>
    <t>FELIPE GONCALVES CAVICHIA</t>
  </si>
  <si>
    <t>38425576806</t>
  </si>
  <si>
    <t>BARBARA DE SOUZA FERREIRA SANTOS</t>
  </si>
  <si>
    <t>38516496805</t>
  </si>
  <si>
    <t>RENAN ALGARTE CREMONESI</t>
  </si>
  <si>
    <t>38527403803</t>
  </si>
  <si>
    <t>RONILDO DE ALMEIDA SOUSA</t>
  </si>
  <si>
    <t>38614061870</t>
  </si>
  <si>
    <t>MATEUS WURZBACHER ANSELMO</t>
  </si>
  <si>
    <t>38635962850</t>
  </si>
  <si>
    <t>FELIPE CAMILO MENDES</t>
  </si>
  <si>
    <t>38707636806</t>
  </si>
  <si>
    <t>ALAN FERREIRA DA SILVA</t>
  </si>
  <si>
    <t>38782362807</t>
  </si>
  <si>
    <t>LEONARDO FERREIRA DE CARVALHO</t>
  </si>
  <si>
    <t>38782656894</t>
  </si>
  <si>
    <t>JHONEE SOARES DOS SANTOS</t>
  </si>
  <si>
    <t>38786872818</t>
  </si>
  <si>
    <t>HERBERT CHRISTOFEER FEDEL SOARES</t>
  </si>
  <si>
    <t>38786889893</t>
  </si>
  <si>
    <t>DUARTI ROSA COSTA</t>
  </si>
  <si>
    <t>38797611832</t>
  </si>
  <si>
    <t>RICARDO DE OLIVEIRA REIS</t>
  </si>
  <si>
    <t>38864998802</t>
  </si>
  <si>
    <t>ALINE SCARTON</t>
  </si>
  <si>
    <t>38934030860</t>
  </si>
  <si>
    <t>VANILDO ALVES DOS SANTOS</t>
  </si>
  <si>
    <t>38957696814</t>
  </si>
  <si>
    <t>GUILHERME GUEDES</t>
  </si>
  <si>
    <t>38975636810</t>
  </si>
  <si>
    <t>JULIANA DA SILVA DOS SANTOS MARTINS</t>
  </si>
  <si>
    <t>39049237819</t>
  </si>
  <si>
    <t>DANIEL THOMAZ DA SILVA</t>
  </si>
  <si>
    <t>39082715848</t>
  </si>
  <si>
    <t>CASSIO EVANGELISTA DE ALMEIDA</t>
  </si>
  <si>
    <t>39102172810</t>
  </si>
  <si>
    <t>ROBSON LOPES BARBOSA</t>
  </si>
  <si>
    <t>39130552826</t>
  </si>
  <si>
    <t>GABRIEL VITOR ARAUJO SANTOS</t>
  </si>
  <si>
    <t>39146581855</t>
  </si>
  <si>
    <t>WILLIAM GONCALVES</t>
  </si>
  <si>
    <t>39157123888</t>
  </si>
  <si>
    <t>VINICIUS SALDANHA ROSA</t>
  </si>
  <si>
    <t>39195021833</t>
  </si>
  <si>
    <t>HENRIQUE VENANCIO NEVES</t>
  </si>
  <si>
    <t>39202166870</t>
  </si>
  <si>
    <t>DIEGO MODESTO CAMARGO FARIAS</t>
  </si>
  <si>
    <t>39311353817</t>
  </si>
  <si>
    <t>WILLIAN FERREIRA DA SILVA</t>
  </si>
  <si>
    <t>39379148895</t>
  </si>
  <si>
    <t>LUCAS DOS SANTOS SILVA</t>
  </si>
  <si>
    <t>39400023804</t>
  </si>
  <si>
    <t>GENIVALDO RODRIGUES CAMPOS</t>
  </si>
  <si>
    <t>39568584846</t>
  </si>
  <si>
    <t>GABRIEL RIBEIRO</t>
  </si>
  <si>
    <t>39630850885</t>
  </si>
  <si>
    <t>ADAILTON ALVES DOS SANTOS</t>
  </si>
  <si>
    <t>39640128821</t>
  </si>
  <si>
    <t>KLEBER VIEIRA DOS SANTOS</t>
  </si>
  <si>
    <t>39731621822</t>
  </si>
  <si>
    <t>RENATO RODRIGUES ANTONIO DOS SANTOS</t>
  </si>
  <si>
    <t>39799842816</t>
  </si>
  <si>
    <t>CARLOS FERNANDO DOS SANTOS</t>
  </si>
  <si>
    <t>40076543870</t>
  </si>
  <si>
    <t>DANIEL JAPECANGA SANTANA</t>
  </si>
  <si>
    <t>40519909828</t>
  </si>
  <si>
    <t>RHANIEL HERMANO BARBOSA</t>
  </si>
  <si>
    <t>40553117882</t>
  </si>
  <si>
    <t>RHUAN VIEIRA SILVA</t>
  </si>
  <si>
    <t>40729348873</t>
  </si>
  <si>
    <t>DAVID ALVES CAVALCANTI DOS SANTOS</t>
  </si>
  <si>
    <t>40750060425</t>
  </si>
  <si>
    <t>MARIA DO SOCORRO LOPES</t>
  </si>
  <si>
    <t>40889638810</t>
  </si>
  <si>
    <t>JOAO DE SOUSA FERREIRA</t>
  </si>
  <si>
    <t>40936675861</t>
  </si>
  <si>
    <t>BRUNA BISPO DOS SANTOS</t>
  </si>
  <si>
    <t>40968349803</t>
  </si>
  <si>
    <t>JANAINA DE SOUZA PINA</t>
  </si>
  <si>
    <t>41147199892</t>
  </si>
  <si>
    <t>LUI ANDER RODRIGUES DE SOUZA</t>
  </si>
  <si>
    <t>41169250807</t>
  </si>
  <si>
    <t>CLEITON DE PAULA RODRIGUES</t>
  </si>
  <si>
    <t>41319056806</t>
  </si>
  <si>
    <t>MAYCON SANTOS DA SILVA</t>
  </si>
  <si>
    <t>41344783830</t>
  </si>
  <si>
    <t>LILIAN APARECIDA SILVA</t>
  </si>
  <si>
    <t>41555641814</t>
  </si>
  <si>
    <t>MARCOS MORAIS PEDROSO</t>
  </si>
  <si>
    <t>41585822884</t>
  </si>
  <si>
    <t>ANA BEATRIZ RITO GALAFACI</t>
  </si>
  <si>
    <t>41623980895</t>
  </si>
  <si>
    <t>BEATRIZ MENDES SILVA</t>
  </si>
  <si>
    <t>41781219877</t>
  </si>
  <si>
    <t>ROGERIO PEREIRA DOS SANTOS</t>
  </si>
  <si>
    <t>41876276851</t>
  </si>
  <si>
    <t>ALINE MOMESSO MORENO</t>
  </si>
  <si>
    <t>41879938863</t>
  </si>
  <si>
    <t>FELIPE WEBER GARCIA</t>
  </si>
  <si>
    <t>41995361836</t>
  </si>
  <si>
    <t>GIOVANI IERVOLINO BOVENZO</t>
  </si>
  <si>
    <t>42016617845</t>
  </si>
  <si>
    <t>LUIZ ANTONIO DA SILVA</t>
  </si>
  <si>
    <t>42066709867</t>
  </si>
  <si>
    <t>GUILHERME DE SOUSA DA SILVA</t>
  </si>
  <si>
    <t>42248824858</t>
  </si>
  <si>
    <t>ROMERSON DA SILVA FELIZARDO</t>
  </si>
  <si>
    <t>42439910813</t>
  </si>
  <si>
    <t>JONATHAN CARVALHO AMORIM</t>
  </si>
  <si>
    <t>42521385824</t>
  </si>
  <si>
    <t>ALEXANDRE SEVERINO DA SILVA</t>
  </si>
  <si>
    <t>42538313899</t>
  </si>
  <si>
    <t>GEOVANI DE JESUS SILVA</t>
  </si>
  <si>
    <t>42576535828</t>
  </si>
  <si>
    <t>JEFFERSON FRANCA GUIMARAES</t>
  </si>
  <si>
    <t>42582414824</t>
  </si>
  <si>
    <t>GLEISSON GOMES MENDES</t>
  </si>
  <si>
    <t>42600662855</t>
  </si>
  <si>
    <t>CLEITON TELES SANTOS OLIVEIRA</t>
  </si>
  <si>
    <t>42608661840</t>
  </si>
  <si>
    <t>NAIANE BISPO DOS SANTOS</t>
  </si>
  <si>
    <t>42610752881</t>
  </si>
  <si>
    <t>NATHAN ALVES DO NASCIMENTO BITHENCOURT</t>
  </si>
  <si>
    <t>42615113801</t>
  </si>
  <si>
    <t>FRANKLIN SILVA SOUSA</t>
  </si>
  <si>
    <t>42698722843</t>
  </si>
  <si>
    <t>MAYCON DOS SANTOS RIBEIRO</t>
  </si>
  <si>
    <t>42952553866</t>
  </si>
  <si>
    <t>MILENA CARDOSO MELO</t>
  </si>
  <si>
    <t>42956268805</t>
  </si>
  <si>
    <t>LEONARDO DOS SANTOS CASTRO</t>
  </si>
  <si>
    <t>43122399830</t>
  </si>
  <si>
    <t>ROSEANE SANTIAGO DE SOUSA</t>
  </si>
  <si>
    <t>43166430881</t>
  </si>
  <si>
    <t>DEISYANE DOS SANTOS COSTA</t>
  </si>
  <si>
    <t>43187060870</t>
  </si>
  <si>
    <t>GEAM MESSIAS ALVES DA SILVA</t>
  </si>
  <si>
    <t>43251610821</t>
  </si>
  <si>
    <t>ALEX MONTEIRO DE LIMA</t>
  </si>
  <si>
    <t>43291873882</t>
  </si>
  <si>
    <t>CAIQUE PEREIRA ALVES</t>
  </si>
  <si>
    <t>43300097819</t>
  </si>
  <si>
    <t>EVERTON BATISTA DA SILVA</t>
  </si>
  <si>
    <t>43301962807</t>
  </si>
  <si>
    <t>MAIKE PEREIRA ALECRIM</t>
  </si>
  <si>
    <t>43495298886</t>
  </si>
  <si>
    <t>WILLIAN DIAS MARTINS</t>
  </si>
  <si>
    <t>43662195810</t>
  </si>
  <si>
    <t>TIAGO CARVALHO SILVA</t>
  </si>
  <si>
    <t>43726904875</t>
  </si>
  <si>
    <t>PEDRO HENRIQUE DE OLIVEIRA</t>
  </si>
  <si>
    <t>43730465813</t>
  </si>
  <si>
    <t>FELIPPE MORENO FIGUEIREDO DOS SANTOS</t>
  </si>
  <si>
    <t>43740737875</t>
  </si>
  <si>
    <t>ERICA DO AMPARO SANTOS</t>
  </si>
  <si>
    <t>43803165806</t>
  </si>
  <si>
    <t>VICTOR GARCIA</t>
  </si>
  <si>
    <t>43964308846</t>
  </si>
  <si>
    <t>AMANDA SANTOS MENEZES</t>
  </si>
  <si>
    <t>44042641865</t>
  </si>
  <si>
    <t>KAROLINE LOISE FORMIGA DE MORAES</t>
  </si>
  <si>
    <t>44376329827</t>
  </si>
  <si>
    <t>ARIANE CRISTINA SILVA MELO</t>
  </si>
  <si>
    <t>44694071866</t>
  </si>
  <si>
    <t>LEONARDO HENRIQUE DA SILVA COSTA</t>
  </si>
  <si>
    <t>44749806897</t>
  </si>
  <si>
    <t>FABIO VIEIRA DIAS</t>
  </si>
  <si>
    <t>44875162855</t>
  </si>
  <si>
    <t>NAILSON SILVA DA PAIXAO</t>
  </si>
  <si>
    <t>44898764835</t>
  </si>
  <si>
    <t>EDEMILSON DE ASSIS DA SILVA</t>
  </si>
  <si>
    <t>45214001835</t>
  </si>
  <si>
    <t>WELLINGTON LIMA DE ALMEIDA</t>
  </si>
  <si>
    <t>45914037859</t>
  </si>
  <si>
    <t>LUIZ GUSTAVO REIS DA SILVA</t>
  </si>
  <si>
    <t>49082968800</t>
  </si>
  <si>
    <t>TAINARA RODRIGUES DE OLIVEIRA</t>
  </si>
  <si>
    <t>54436869768</t>
  </si>
  <si>
    <t>ETIENE LISBOA DA COSTA</t>
  </si>
  <si>
    <t>56915756353</t>
  </si>
  <si>
    <t>ANTONIO MARCOS GOMES</t>
  </si>
  <si>
    <t>60005688949</t>
  </si>
  <si>
    <t>MAURO NATO</t>
  </si>
  <si>
    <t>60387335668</t>
  </si>
  <si>
    <t>MARCOS SAMPAIO FIALHO</t>
  </si>
  <si>
    <t>61204404291</t>
  </si>
  <si>
    <t>FRANCISCO FERREIRA DE SOUSA</t>
  </si>
  <si>
    <t>63318687987</t>
  </si>
  <si>
    <t>MARILIZI PIVATTO</t>
  </si>
  <si>
    <t>63619466068</t>
  </si>
  <si>
    <t>ALOISIO LUCAS DOS SANTOS</t>
  </si>
  <si>
    <t>67816983468</t>
  </si>
  <si>
    <t>JOSE CICERO SILVA DE OLIVEIRA</t>
  </si>
  <si>
    <t>69394016104</t>
  </si>
  <si>
    <t>JAILSON FIRMINO ABADE</t>
  </si>
  <si>
    <t>69509042404</t>
  </si>
  <si>
    <t>JOSE ALVES DE LIMA</t>
  </si>
  <si>
    <t>74172018491</t>
  </si>
  <si>
    <t>JAIRO XAVIER DE LIMA</t>
  </si>
  <si>
    <t>75513714515</t>
  </si>
  <si>
    <t>EDIVALDO GONCALVES SILVA</t>
  </si>
  <si>
    <t>76424359834</t>
  </si>
  <si>
    <t>VIVALDO ALVELINO DA SILVA</t>
  </si>
  <si>
    <t>79516548334</t>
  </si>
  <si>
    <t>EGBERTO ALVES DE SOUSA</t>
  </si>
  <si>
    <t>80111386420</t>
  </si>
  <si>
    <t>JOSE PERGENTINO DA SILVA FILHO</t>
  </si>
  <si>
    <t>80292119453</t>
  </si>
  <si>
    <t>GIZOBERTO ALVES DE OLIVEIRA</t>
  </si>
  <si>
    <t>81782276491</t>
  </si>
  <si>
    <t>MARCELO SEVERINO DA SILVA</t>
  </si>
  <si>
    <t>82026700478</t>
  </si>
  <si>
    <t>JOSE VICENTE DA SILVA FILHO</t>
  </si>
  <si>
    <t>85392286534</t>
  </si>
  <si>
    <t>NIELSON DOS SANTOS ROSA</t>
  </si>
  <si>
    <t>88112551472</t>
  </si>
  <si>
    <t>GILVAM FERREIRA DA SILVA</t>
  </si>
  <si>
    <t>88434206587</t>
  </si>
  <si>
    <t>JUSCELINO SODRE ARAUJO</t>
  </si>
  <si>
    <t>90429729634</t>
  </si>
  <si>
    <t>VALDIVO PEREIRA MARTINS</t>
  </si>
  <si>
    <t>92361048868</t>
  </si>
  <si>
    <t>CESAR DE SOUSA LIMA</t>
  </si>
  <si>
    <t>92699723991</t>
  </si>
  <si>
    <t>CRESPIM KLOUCK</t>
  </si>
  <si>
    <t>92902855249</t>
  </si>
  <si>
    <t>LEANDRO LIMA DA SILVA</t>
  </si>
  <si>
    <t>93186533520</t>
  </si>
  <si>
    <t>MANACEIS DOS SANTOS BARBOSA</t>
  </si>
  <si>
    <t>94594562434</t>
  </si>
  <si>
    <t>EVILANDIO FRANCELINO FERREIRA</t>
  </si>
  <si>
    <t>95868852672</t>
  </si>
  <si>
    <t>ISMAIR GONCALVES VIANA FILHO</t>
  </si>
  <si>
    <t>96071036534</t>
  </si>
  <si>
    <t>JOVENTINO DE SOUZA NEVES</t>
  </si>
  <si>
    <t>98620363620</t>
  </si>
  <si>
    <t>EDER JACKS OLIVEIRA</t>
  </si>
  <si>
    <t>12385126826</t>
  </si>
  <si>
    <t>RAIMUNDO FERREIRA DO NASCIMENTO</t>
  </si>
  <si>
    <t>18274434803</t>
  </si>
  <si>
    <t>GILMAR BARBOSA DA SILVA</t>
  </si>
  <si>
    <t>28647269802</t>
  </si>
  <si>
    <t>EMERSON GOMES DE JESUS</t>
  </si>
  <si>
    <t>SUL AMERICA COMPANHIA DE SEGURO SAUDE SA</t>
  </si>
  <si>
    <t>UNIMED PAULISTANA SOC COOP DE TRABALHO MEDICO</t>
  </si>
  <si>
    <t>INTERMEDICA SISTEMA DE SAUDE SA</t>
  </si>
  <si>
    <t>ASSISTENCIA MEDICO HOSPITALAR SAO LUCAS SA</t>
  </si>
  <si>
    <t>ODONTOPREV SA</t>
  </si>
  <si>
    <t xml:space="preserve"> </t>
  </si>
  <si>
    <t>INFPA – Informações do beneficiário da pensão alimentícia(identificador INFPA)
Linha vermelha(Atenção)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</si>
</sst>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24994659260841701"/>
      </left>
      <right/>
      <top/>
      <bottom style="thin">
        <color theme="2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 wrapText="1"/>
    </xf>
    <xf numFmtId="49" fontId="1" fillId="2" borderId="4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2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3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4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7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1346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topLeftCell="H1" workbookViewId="0">
      <selection activeCell="B2" sqref="B2:F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36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 filterMode="1"/>
  <dimension ref="A1:E983"/>
  <sheetViews>
    <sheetView topLeftCell="A2" workbookViewId="0">
      <selection activeCell="D835" sqref="D835"/>
    </sheetView>
  </sheetViews>
  <sheetFormatPr defaultRowHeight="15" x14ac:dyDescent="0.25"/>
  <cols>
    <col min="1" max="1" width="42.5" style="9" bestFit="1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229096,65</v>
      </c>
    </row>
    <row r="3" spans="1:5" hidden="1" x14ac:dyDescent="0.25">
      <c r="A3" s="9" t="s">
        <v>1341</v>
      </c>
      <c r="B3" s="10" t="s">
        <v>91</v>
      </c>
      <c r="C3" s="9" t="s">
        <v>92</v>
      </c>
      <c r="D3" s="15">
        <v>131.49</v>
      </c>
      <c r="E3" s="13" t="s">
        <v>1346</v>
      </c>
    </row>
    <row r="4" spans="1:5" hidden="1" x14ac:dyDescent="0.25">
      <c r="A4" s="9" t="s">
        <v>1341</v>
      </c>
      <c r="B4" s="10" t="s">
        <v>97</v>
      </c>
      <c r="C4" s="9" t="s">
        <v>98</v>
      </c>
      <c r="D4" s="15">
        <v>418.02</v>
      </c>
      <c r="E4" s="13" t="s">
        <v>1346</v>
      </c>
    </row>
    <row r="5" spans="1:5" hidden="1" x14ac:dyDescent="0.25">
      <c r="A5" s="9" t="s">
        <v>1341</v>
      </c>
      <c r="B5" s="10" t="s">
        <v>105</v>
      </c>
      <c r="C5" s="9" t="s">
        <v>106</v>
      </c>
      <c r="D5" s="15">
        <v>487.69</v>
      </c>
      <c r="E5" s="13" t="s">
        <v>1346</v>
      </c>
    </row>
    <row r="6" spans="1:5" hidden="1" x14ac:dyDescent="0.25">
      <c r="A6" s="9" t="s">
        <v>1341</v>
      </c>
      <c r="B6" s="10" t="s">
        <v>117</v>
      </c>
      <c r="C6" s="9" t="s">
        <v>118</v>
      </c>
      <c r="D6" s="15">
        <v>836.04</v>
      </c>
      <c r="E6" s="13" t="s">
        <v>1346</v>
      </c>
    </row>
    <row r="7" spans="1:5" hidden="1" x14ac:dyDescent="0.25">
      <c r="A7" s="9" t="s">
        <v>1341</v>
      </c>
      <c r="B7" s="10" t="s">
        <v>133</v>
      </c>
      <c r="C7" s="9" t="s">
        <v>134</v>
      </c>
      <c r="D7" s="15">
        <v>315.06</v>
      </c>
      <c r="E7" s="13" t="s">
        <v>1346</v>
      </c>
    </row>
    <row r="8" spans="1:5" hidden="1" x14ac:dyDescent="0.25">
      <c r="A8" s="9" t="s">
        <v>1341</v>
      </c>
      <c r="B8" s="10" t="s">
        <v>143</v>
      </c>
      <c r="C8" s="9" t="s">
        <v>144</v>
      </c>
      <c r="D8" s="15">
        <v>348.35</v>
      </c>
      <c r="E8" s="13" t="s">
        <v>1346</v>
      </c>
    </row>
    <row r="9" spans="1:5" hidden="1" x14ac:dyDescent="0.25">
      <c r="A9" s="9" t="s">
        <v>1341</v>
      </c>
      <c r="B9" s="10" t="s">
        <v>155</v>
      </c>
      <c r="C9" s="9" t="s">
        <v>156</v>
      </c>
      <c r="D9" s="15">
        <v>836.04</v>
      </c>
      <c r="E9" s="13" t="s">
        <v>1346</v>
      </c>
    </row>
    <row r="10" spans="1:5" hidden="1" x14ac:dyDescent="0.25">
      <c r="A10" s="9" t="s">
        <v>1341</v>
      </c>
      <c r="B10" s="10" t="s">
        <v>175</v>
      </c>
      <c r="C10" s="9" t="s">
        <v>176</v>
      </c>
      <c r="D10" s="15">
        <v>557.36</v>
      </c>
      <c r="E10" s="13" t="s">
        <v>1346</v>
      </c>
    </row>
    <row r="11" spans="1:5" hidden="1" x14ac:dyDescent="0.25">
      <c r="A11" s="9" t="s">
        <v>1341</v>
      </c>
      <c r="B11" s="10" t="s">
        <v>193</v>
      </c>
      <c r="C11" s="9" t="s">
        <v>194</v>
      </c>
      <c r="D11" s="15">
        <v>836.04</v>
      </c>
      <c r="E11" s="13" t="s">
        <v>1346</v>
      </c>
    </row>
    <row r="12" spans="1:5" hidden="1" x14ac:dyDescent="0.25">
      <c r="A12" s="9" t="s">
        <v>1341</v>
      </c>
      <c r="B12" s="10" t="s">
        <v>201</v>
      </c>
      <c r="C12" s="9" t="s">
        <v>202</v>
      </c>
      <c r="D12" s="15">
        <v>836.04</v>
      </c>
      <c r="E12" s="13" t="s">
        <v>1346</v>
      </c>
    </row>
    <row r="13" spans="1:5" hidden="1" x14ac:dyDescent="0.25">
      <c r="A13" s="9" t="s">
        <v>1341</v>
      </c>
      <c r="B13" s="10" t="s">
        <v>209</v>
      </c>
      <c r="C13" s="9" t="s">
        <v>210</v>
      </c>
      <c r="D13" s="15">
        <v>836.04</v>
      </c>
      <c r="E13" s="13" t="s">
        <v>1346</v>
      </c>
    </row>
    <row r="14" spans="1:5" hidden="1" x14ac:dyDescent="0.25">
      <c r="A14" s="9" t="s">
        <v>1341</v>
      </c>
      <c r="B14" s="10" t="s">
        <v>221</v>
      </c>
      <c r="C14" s="9" t="s">
        <v>222</v>
      </c>
      <c r="D14" s="15">
        <v>278.68</v>
      </c>
      <c r="E14" s="13" t="s">
        <v>1346</v>
      </c>
    </row>
    <row r="15" spans="1:5" hidden="1" x14ac:dyDescent="0.25">
      <c r="A15" s="9" t="s">
        <v>1341</v>
      </c>
      <c r="B15" s="10" t="s">
        <v>231</v>
      </c>
      <c r="C15" s="9" t="s">
        <v>232</v>
      </c>
      <c r="D15" s="15">
        <v>836.04</v>
      </c>
      <c r="E15" s="13" t="s">
        <v>1346</v>
      </c>
    </row>
    <row r="16" spans="1:5" hidden="1" x14ac:dyDescent="0.25">
      <c r="A16" s="9" t="s">
        <v>1341</v>
      </c>
      <c r="B16" s="10" t="s">
        <v>233</v>
      </c>
      <c r="C16" s="9" t="s">
        <v>234</v>
      </c>
      <c r="D16" s="15">
        <v>836.04</v>
      </c>
      <c r="E16" s="13" t="s">
        <v>1346</v>
      </c>
    </row>
    <row r="17" spans="1:5" hidden="1" x14ac:dyDescent="0.25">
      <c r="A17" s="9" t="s">
        <v>1341</v>
      </c>
      <c r="B17" s="10" t="s">
        <v>237</v>
      </c>
      <c r="C17" s="9" t="s">
        <v>238</v>
      </c>
      <c r="D17" s="15">
        <v>836.04</v>
      </c>
      <c r="E17" s="13" t="s">
        <v>1346</v>
      </c>
    </row>
    <row r="18" spans="1:5" hidden="1" x14ac:dyDescent="0.25">
      <c r="A18" s="9" t="s">
        <v>1341</v>
      </c>
      <c r="B18" s="10" t="s">
        <v>243</v>
      </c>
      <c r="C18" s="9" t="s">
        <v>244</v>
      </c>
      <c r="D18" s="15">
        <v>836.04</v>
      </c>
      <c r="E18" s="13" t="s">
        <v>1346</v>
      </c>
    </row>
    <row r="19" spans="1:5" hidden="1" x14ac:dyDescent="0.25">
      <c r="A19" s="9" t="s">
        <v>1341</v>
      </c>
      <c r="B19" s="10" t="s">
        <v>259</v>
      </c>
      <c r="C19" s="9" t="s">
        <v>260</v>
      </c>
      <c r="D19" s="15">
        <v>836.04</v>
      </c>
      <c r="E19" s="13" t="s">
        <v>1346</v>
      </c>
    </row>
    <row r="20" spans="1:5" hidden="1" x14ac:dyDescent="0.25">
      <c r="A20" s="9" t="s">
        <v>1341</v>
      </c>
      <c r="B20" s="10" t="s">
        <v>269</v>
      </c>
      <c r="C20" s="9" t="s">
        <v>270</v>
      </c>
      <c r="D20" s="15">
        <v>836.04</v>
      </c>
      <c r="E20" s="13" t="s">
        <v>1346</v>
      </c>
    </row>
    <row r="21" spans="1:5" hidden="1" x14ac:dyDescent="0.25">
      <c r="A21" s="9" t="s">
        <v>1341</v>
      </c>
      <c r="B21" s="10" t="s">
        <v>279</v>
      </c>
      <c r="C21" s="9" t="s">
        <v>280</v>
      </c>
      <c r="D21" s="15">
        <v>836.04</v>
      </c>
      <c r="E21" s="13" t="s">
        <v>1346</v>
      </c>
    </row>
    <row r="22" spans="1:5" hidden="1" x14ac:dyDescent="0.25">
      <c r="A22" s="9" t="s">
        <v>1341</v>
      </c>
      <c r="B22" s="10" t="s">
        <v>281</v>
      </c>
      <c r="C22" s="9" t="s">
        <v>282</v>
      </c>
      <c r="D22" s="15">
        <v>147.97</v>
      </c>
      <c r="E22" s="13" t="s">
        <v>1346</v>
      </c>
    </row>
    <row r="23" spans="1:5" hidden="1" x14ac:dyDescent="0.25">
      <c r="A23" s="9" t="s">
        <v>1341</v>
      </c>
      <c r="B23" s="10" t="s">
        <v>291</v>
      </c>
      <c r="C23" s="9" t="s">
        <v>292</v>
      </c>
      <c r="D23" s="15">
        <v>836.04</v>
      </c>
      <c r="E23" s="13" t="s">
        <v>1346</v>
      </c>
    </row>
    <row r="24" spans="1:5" hidden="1" x14ac:dyDescent="0.25">
      <c r="A24" s="9" t="s">
        <v>1341</v>
      </c>
      <c r="B24" s="10" t="s">
        <v>301</v>
      </c>
      <c r="C24" s="9" t="s">
        <v>302</v>
      </c>
      <c r="D24" s="15">
        <v>836.04</v>
      </c>
      <c r="E24" s="13" t="s">
        <v>1346</v>
      </c>
    </row>
    <row r="25" spans="1:5" hidden="1" x14ac:dyDescent="0.25">
      <c r="A25" s="9" t="s">
        <v>1341</v>
      </c>
      <c r="B25" s="10" t="s">
        <v>349</v>
      </c>
      <c r="C25" s="9" t="s">
        <v>350</v>
      </c>
      <c r="D25" s="15">
        <v>836.04</v>
      </c>
      <c r="E25" s="13" t="s">
        <v>1346</v>
      </c>
    </row>
    <row r="26" spans="1:5" hidden="1" x14ac:dyDescent="0.25">
      <c r="A26" s="9" t="s">
        <v>1341</v>
      </c>
      <c r="B26" s="10" t="s">
        <v>371</v>
      </c>
      <c r="C26" s="9" t="s">
        <v>372</v>
      </c>
      <c r="D26" s="15">
        <v>836.04</v>
      </c>
      <c r="E26" s="13" t="s">
        <v>1346</v>
      </c>
    </row>
    <row r="27" spans="1:5" hidden="1" x14ac:dyDescent="0.25">
      <c r="A27" s="9" t="s">
        <v>1341</v>
      </c>
      <c r="B27" s="10" t="s">
        <v>381</v>
      </c>
      <c r="C27" s="9" t="s">
        <v>382</v>
      </c>
      <c r="D27" s="15">
        <v>836.04</v>
      </c>
      <c r="E27" s="13" t="s">
        <v>1346</v>
      </c>
    </row>
    <row r="28" spans="1:5" hidden="1" x14ac:dyDescent="0.25">
      <c r="A28" s="9" t="s">
        <v>1341</v>
      </c>
      <c r="B28" s="10" t="s">
        <v>409</v>
      </c>
      <c r="C28" s="9" t="s">
        <v>410</v>
      </c>
      <c r="D28" s="15">
        <v>836.04</v>
      </c>
      <c r="E28" s="13" t="s">
        <v>1346</v>
      </c>
    </row>
    <row r="29" spans="1:5" hidden="1" x14ac:dyDescent="0.25">
      <c r="A29" s="9" t="s">
        <v>1341</v>
      </c>
      <c r="B29" s="10" t="s">
        <v>415</v>
      </c>
      <c r="C29" s="9" t="s">
        <v>416</v>
      </c>
      <c r="D29" s="15">
        <v>69.67</v>
      </c>
      <c r="E29" s="13" t="s">
        <v>1346</v>
      </c>
    </row>
    <row r="30" spans="1:5" hidden="1" x14ac:dyDescent="0.25">
      <c r="A30" s="9" t="s">
        <v>1341</v>
      </c>
      <c r="B30" s="10" t="s">
        <v>425</v>
      </c>
      <c r="C30" s="9" t="s">
        <v>426</v>
      </c>
      <c r="D30" s="15">
        <v>836.04</v>
      </c>
      <c r="E30" s="13" t="s">
        <v>1346</v>
      </c>
    </row>
    <row r="31" spans="1:5" hidden="1" x14ac:dyDescent="0.25">
      <c r="A31" s="9" t="s">
        <v>1341</v>
      </c>
      <c r="B31" s="10" t="s">
        <v>427</v>
      </c>
      <c r="C31" s="9" t="s">
        <v>428</v>
      </c>
      <c r="D31" s="15">
        <v>836.04</v>
      </c>
      <c r="E31" s="13" t="s">
        <v>1346</v>
      </c>
    </row>
    <row r="32" spans="1:5" hidden="1" x14ac:dyDescent="0.25">
      <c r="A32" s="9" t="s">
        <v>1341</v>
      </c>
      <c r="B32" s="10" t="s">
        <v>73</v>
      </c>
      <c r="C32" s="9" t="s">
        <v>74</v>
      </c>
      <c r="D32" s="15">
        <v>836.04</v>
      </c>
      <c r="E32" s="13" t="s">
        <v>1346</v>
      </c>
    </row>
    <row r="33" spans="1:5" hidden="1" x14ac:dyDescent="0.25">
      <c r="A33" s="9" t="s">
        <v>1341</v>
      </c>
      <c r="B33" s="10" t="s">
        <v>439</v>
      </c>
      <c r="C33" s="9" t="s">
        <v>440</v>
      </c>
      <c r="D33" s="15">
        <v>836.04</v>
      </c>
      <c r="E33" s="13" t="s">
        <v>1346</v>
      </c>
    </row>
    <row r="34" spans="1:5" hidden="1" x14ac:dyDescent="0.25">
      <c r="A34" s="9" t="s">
        <v>1341</v>
      </c>
      <c r="B34" s="10" t="s">
        <v>455</v>
      </c>
      <c r="C34" s="9" t="s">
        <v>456</v>
      </c>
      <c r="D34" s="15">
        <v>1045.05</v>
      </c>
      <c r="E34" s="13" t="s">
        <v>1346</v>
      </c>
    </row>
    <row r="35" spans="1:5" hidden="1" x14ac:dyDescent="0.25">
      <c r="A35" s="9" t="s">
        <v>1341</v>
      </c>
      <c r="B35" s="10" t="s">
        <v>485</v>
      </c>
      <c r="C35" s="9" t="s">
        <v>486</v>
      </c>
      <c r="D35" s="15">
        <v>836.04</v>
      </c>
      <c r="E35" s="13" t="s">
        <v>1346</v>
      </c>
    </row>
    <row r="36" spans="1:5" hidden="1" x14ac:dyDescent="0.25">
      <c r="A36" s="9" t="s">
        <v>1341</v>
      </c>
      <c r="B36" s="10" t="s">
        <v>493</v>
      </c>
      <c r="C36" s="9" t="s">
        <v>494</v>
      </c>
      <c r="D36" s="15">
        <v>191.31</v>
      </c>
      <c r="E36" s="13" t="s">
        <v>1346</v>
      </c>
    </row>
    <row r="37" spans="1:5" hidden="1" x14ac:dyDescent="0.25">
      <c r="A37" s="9" t="s">
        <v>1341</v>
      </c>
      <c r="B37" s="10" t="s">
        <v>501</v>
      </c>
      <c r="C37" s="9" t="s">
        <v>502</v>
      </c>
      <c r="D37" s="15">
        <v>836.04</v>
      </c>
      <c r="E37" s="13" t="s">
        <v>1346</v>
      </c>
    </row>
    <row r="38" spans="1:5" hidden="1" x14ac:dyDescent="0.25">
      <c r="A38" s="9" t="s">
        <v>1341</v>
      </c>
      <c r="B38" s="10" t="s">
        <v>505</v>
      </c>
      <c r="C38" s="9" t="s">
        <v>506</v>
      </c>
      <c r="D38" s="15">
        <v>836.04</v>
      </c>
      <c r="E38" s="13" t="s">
        <v>1346</v>
      </c>
    </row>
    <row r="39" spans="1:5" hidden="1" x14ac:dyDescent="0.25">
      <c r="A39" s="9" t="s">
        <v>1341</v>
      </c>
      <c r="B39" s="10" t="s">
        <v>507</v>
      </c>
      <c r="C39" s="9" t="s">
        <v>508</v>
      </c>
      <c r="D39" s="15">
        <v>836.04</v>
      </c>
      <c r="E39" s="13" t="s">
        <v>1346</v>
      </c>
    </row>
    <row r="40" spans="1:5" hidden="1" x14ac:dyDescent="0.25">
      <c r="A40" s="9" t="s">
        <v>1341</v>
      </c>
      <c r="B40" s="10" t="s">
        <v>525</v>
      </c>
      <c r="C40" s="9" t="s">
        <v>526</v>
      </c>
      <c r="D40" s="15">
        <v>557.36</v>
      </c>
      <c r="E40" s="13" t="s">
        <v>1346</v>
      </c>
    </row>
    <row r="41" spans="1:5" hidden="1" x14ac:dyDescent="0.25">
      <c r="A41" s="9" t="s">
        <v>1341</v>
      </c>
      <c r="B41" s="10" t="s">
        <v>561</v>
      </c>
      <c r="C41" s="9" t="s">
        <v>562</v>
      </c>
      <c r="D41" s="15">
        <v>836.04</v>
      </c>
      <c r="E41" s="13" t="s">
        <v>1346</v>
      </c>
    </row>
    <row r="42" spans="1:5" hidden="1" x14ac:dyDescent="0.25">
      <c r="A42" s="9" t="s">
        <v>1341</v>
      </c>
      <c r="B42" s="10" t="s">
        <v>565</v>
      </c>
      <c r="C42" s="9" t="s">
        <v>566</v>
      </c>
      <c r="D42" s="15">
        <v>2295.7199999999998</v>
      </c>
      <c r="E42" s="13" t="s">
        <v>1346</v>
      </c>
    </row>
    <row r="43" spans="1:5" hidden="1" x14ac:dyDescent="0.25">
      <c r="A43" s="9" t="s">
        <v>1341</v>
      </c>
      <c r="B43" s="10" t="s">
        <v>569</v>
      </c>
      <c r="C43" s="9" t="s">
        <v>570</v>
      </c>
      <c r="D43" s="15">
        <v>209.01</v>
      </c>
      <c r="E43" s="13" t="s">
        <v>1346</v>
      </c>
    </row>
    <row r="44" spans="1:5" hidden="1" x14ac:dyDescent="0.25">
      <c r="A44" s="9" t="s">
        <v>1341</v>
      </c>
      <c r="B44" s="10" t="s">
        <v>573</v>
      </c>
      <c r="C44" s="9" t="s">
        <v>574</v>
      </c>
      <c r="D44" s="15">
        <v>696.7</v>
      </c>
      <c r="E44" s="13" t="s">
        <v>1346</v>
      </c>
    </row>
    <row r="45" spans="1:5" hidden="1" x14ac:dyDescent="0.25">
      <c r="A45" s="9" t="s">
        <v>1341</v>
      </c>
      <c r="B45" s="10" t="s">
        <v>575</v>
      </c>
      <c r="C45" s="9" t="s">
        <v>576</v>
      </c>
      <c r="D45" s="15">
        <v>117.93</v>
      </c>
      <c r="E45" s="13" t="s">
        <v>1346</v>
      </c>
    </row>
    <row r="46" spans="1:5" hidden="1" x14ac:dyDescent="0.25">
      <c r="A46" s="9" t="s">
        <v>1341</v>
      </c>
      <c r="B46" s="10" t="s">
        <v>583</v>
      </c>
      <c r="C46" s="9" t="s">
        <v>584</v>
      </c>
      <c r="D46" s="15">
        <v>836.04</v>
      </c>
      <c r="E46" s="13" t="s">
        <v>1346</v>
      </c>
    </row>
    <row r="47" spans="1:5" hidden="1" x14ac:dyDescent="0.25">
      <c r="A47" s="9" t="s">
        <v>1341</v>
      </c>
      <c r="B47" s="10" t="s">
        <v>599</v>
      </c>
      <c r="C47" s="9" t="s">
        <v>600</v>
      </c>
      <c r="D47" s="15">
        <v>836.04</v>
      </c>
      <c r="E47" s="13" t="s">
        <v>1346</v>
      </c>
    </row>
    <row r="48" spans="1:5" hidden="1" x14ac:dyDescent="0.25">
      <c r="A48" s="9" t="s">
        <v>1341</v>
      </c>
      <c r="B48" s="10" t="s">
        <v>605</v>
      </c>
      <c r="C48" s="9" t="s">
        <v>606</v>
      </c>
      <c r="D48" s="15">
        <v>836.04</v>
      </c>
      <c r="E48" s="13" t="s">
        <v>1346</v>
      </c>
    </row>
    <row r="49" spans="1:5" hidden="1" x14ac:dyDescent="0.25">
      <c r="A49" s="9" t="s">
        <v>1341</v>
      </c>
      <c r="B49" s="10" t="s">
        <v>629</v>
      </c>
      <c r="C49" s="9" t="s">
        <v>630</v>
      </c>
      <c r="D49" s="15">
        <v>836.04</v>
      </c>
      <c r="E49" s="13" t="s">
        <v>1346</v>
      </c>
    </row>
    <row r="50" spans="1:5" hidden="1" x14ac:dyDescent="0.25">
      <c r="A50" s="9" t="s">
        <v>1341</v>
      </c>
      <c r="B50" s="10" t="s">
        <v>657</v>
      </c>
      <c r="C50" s="9" t="s">
        <v>658</v>
      </c>
      <c r="D50" s="15">
        <v>87.14</v>
      </c>
      <c r="E50" s="13" t="s">
        <v>1346</v>
      </c>
    </row>
    <row r="51" spans="1:5" hidden="1" x14ac:dyDescent="0.25">
      <c r="A51" s="9" t="s">
        <v>1341</v>
      </c>
      <c r="B51" s="10" t="s">
        <v>675</v>
      </c>
      <c r="C51" s="9" t="s">
        <v>676</v>
      </c>
      <c r="D51" s="15">
        <v>836.04</v>
      </c>
      <c r="E51" s="13" t="s">
        <v>1346</v>
      </c>
    </row>
    <row r="52" spans="1:5" hidden="1" x14ac:dyDescent="0.25">
      <c r="A52" s="9" t="s">
        <v>1341</v>
      </c>
      <c r="B52" s="10" t="s">
        <v>695</v>
      </c>
      <c r="C52" s="9" t="s">
        <v>696</v>
      </c>
      <c r="D52" s="15">
        <v>627.03</v>
      </c>
      <c r="E52" s="13" t="s">
        <v>1346</v>
      </c>
    </row>
    <row r="53" spans="1:5" hidden="1" x14ac:dyDescent="0.25">
      <c r="A53" s="9" t="s">
        <v>1341</v>
      </c>
      <c r="B53" s="10" t="s">
        <v>703</v>
      </c>
      <c r="C53" s="9" t="s">
        <v>704</v>
      </c>
      <c r="D53" s="15">
        <v>836.04</v>
      </c>
      <c r="E53" s="13" t="s">
        <v>1346</v>
      </c>
    </row>
    <row r="54" spans="1:5" hidden="1" x14ac:dyDescent="0.25">
      <c r="A54" s="9" t="s">
        <v>1341</v>
      </c>
      <c r="B54" s="10" t="s">
        <v>717</v>
      </c>
      <c r="C54" s="9" t="s">
        <v>718</v>
      </c>
      <c r="D54" s="15">
        <v>836.04</v>
      </c>
      <c r="E54" s="13" t="s">
        <v>1346</v>
      </c>
    </row>
    <row r="55" spans="1:5" hidden="1" x14ac:dyDescent="0.25">
      <c r="A55" s="9" t="s">
        <v>1341</v>
      </c>
      <c r="B55" s="10" t="s">
        <v>731</v>
      </c>
      <c r="C55" s="9" t="s">
        <v>732</v>
      </c>
      <c r="D55" s="15">
        <v>278.68</v>
      </c>
      <c r="E55" s="13" t="s">
        <v>1346</v>
      </c>
    </row>
    <row r="56" spans="1:5" hidden="1" x14ac:dyDescent="0.25">
      <c r="A56" s="9" t="s">
        <v>1341</v>
      </c>
      <c r="B56" s="10" t="s">
        <v>831</v>
      </c>
      <c r="C56" s="9" t="s">
        <v>832</v>
      </c>
      <c r="D56" s="15">
        <v>836.04</v>
      </c>
      <c r="E56" s="13" t="s">
        <v>1346</v>
      </c>
    </row>
    <row r="57" spans="1:5" hidden="1" x14ac:dyDescent="0.25">
      <c r="A57" s="9" t="s">
        <v>1341</v>
      </c>
      <c r="B57" s="10" t="s">
        <v>875</v>
      </c>
      <c r="C57" s="9" t="s">
        <v>876</v>
      </c>
      <c r="D57" s="15">
        <v>766.37</v>
      </c>
      <c r="E57" s="13" t="s">
        <v>1346</v>
      </c>
    </row>
    <row r="58" spans="1:5" hidden="1" x14ac:dyDescent="0.25">
      <c r="A58" s="9" t="s">
        <v>1341</v>
      </c>
      <c r="B58" s="10" t="s">
        <v>935</v>
      </c>
      <c r="C58" s="9" t="s">
        <v>936</v>
      </c>
      <c r="D58" s="15">
        <v>836.04</v>
      </c>
      <c r="E58" s="13" t="s">
        <v>1346</v>
      </c>
    </row>
    <row r="59" spans="1:5" hidden="1" x14ac:dyDescent="0.25">
      <c r="A59" s="9" t="s">
        <v>1341</v>
      </c>
      <c r="B59" s="10" t="s">
        <v>961</v>
      </c>
      <c r="C59" s="9" t="s">
        <v>962</v>
      </c>
      <c r="D59" s="15">
        <v>836.04</v>
      </c>
      <c r="E59" s="13" t="s">
        <v>1346</v>
      </c>
    </row>
    <row r="60" spans="1:5" hidden="1" x14ac:dyDescent="0.25">
      <c r="A60" s="9" t="s">
        <v>1341</v>
      </c>
      <c r="B60" s="10" t="s">
        <v>1007</v>
      </c>
      <c r="C60" s="9" t="s">
        <v>1008</v>
      </c>
      <c r="D60" s="15">
        <v>836.04</v>
      </c>
      <c r="E60" s="13" t="s">
        <v>1346</v>
      </c>
    </row>
    <row r="61" spans="1:5" hidden="1" x14ac:dyDescent="0.25">
      <c r="A61" s="9" t="s">
        <v>1341</v>
      </c>
      <c r="B61" s="10" t="s">
        <v>1049</v>
      </c>
      <c r="C61" s="9" t="s">
        <v>1050</v>
      </c>
      <c r="D61" s="15">
        <v>60</v>
      </c>
      <c r="E61" s="13" t="s">
        <v>1346</v>
      </c>
    </row>
    <row r="62" spans="1:5" hidden="1" x14ac:dyDescent="0.25">
      <c r="A62" s="9" t="s">
        <v>1341</v>
      </c>
      <c r="B62" s="10" t="s">
        <v>1089</v>
      </c>
      <c r="C62" s="9" t="s">
        <v>1090</v>
      </c>
      <c r="D62" s="15">
        <v>836.04</v>
      </c>
      <c r="E62" s="13" t="s">
        <v>1346</v>
      </c>
    </row>
    <row r="63" spans="1:5" hidden="1" x14ac:dyDescent="0.25">
      <c r="A63" s="9" t="s">
        <v>1341</v>
      </c>
      <c r="B63" s="10" t="s">
        <v>1101</v>
      </c>
      <c r="C63" s="9" t="s">
        <v>1102</v>
      </c>
      <c r="D63" s="15">
        <v>69.67</v>
      </c>
      <c r="E63" s="13" t="s">
        <v>1346</v>
      </c>
    </row>
    <row r="64" spans="1:5" hidden="1" x14ac:dyDescent="0.25">
      <c r="A64" s="9" t="s">
        <v>1341</v>
      </c>
      <c r="B64" s="10" t="s">
        <v>1275</v>
      </c>
      <c r="C64" s="9" t="s">
        <v>1276</v>
      </c>
      <c r="D64" s="15">
        <v>344.19</v>
      </c>
      <c r="E64" s="13" t="s">
        <v>1346</v>
      </c>
    </row>
    <row r="65" spans="1:5" hidden="1" x14ac:dyDescent="0.25">
      <c r="A65" s="9" t="s">
        <v>1341</v>
      </c>
      <c r="B65" s="10" t="s">
        <v>1281</v>
      </c>
      <c r="C65" s="9" t="s">
        <v>1282</v>
      </c>
      <c r="D65" s="15">
        <v>627.03</v>
      </c>
      <c r="E65" s="13" t="s">
        <v>1346</v>
      </c>
    </row>
    <row r="66" spans="1:5" hidden="1" x14ac:dyDescent="0.25">
      <c r="A66" s="9" t="s">
        <v>1341</v>
      </c>
      <c r="B66" s="10" t="s">
        <v>1285</v>
      </c>
      <c r="C66" s="9" t="s">
        <v>1286</v>
      </c>
      <c r="D66" s="15">
        <v>108.82</v>
      </c>
      <c r="E66" s="13" t="s">
        <v>1346</v>
      </c>
    </row>
    <row r="67" spans="1:5" hidden="1" x14ac:dyDescent="0.25">
      <c r="A67" s="9" t="s">
        <v>1341</v>
      </c>
      <c r="B67" s="10" t="s">
        <v>1287</v>
      </c>
      <c r="C67" s="9" t="s">
        <v>1288</v>
      </c>
      <c r="D67" s="15">
        <v>2295.7199999999998</v>
      </c>
      <c r="E67" s="13" t="s">
        <v>1346</v>
      </c>
    </row>
    <row r="68" spans="1:5" hidden="1" x14ac:dyDescent="0.25">
      <c r="A68" s="9" t="s">
        <v>1341</v>
      </c>
      <c r="B68" s="10" t="s">
        <v>1319</v>
      </c>
      <c r="C68" s="9" t="s">
        <v>1320</v>
      </c>
      <c r="D68" s="15">
        <v>836.04</v>
      </c>
      <c r="E68" s="13" t="s">
        <v>1346</v>
      </c>
    </row>
    <row r="69" spans="1:5" hidden="1" x14ac:dyDescent="0.25">
      <c r="A69" s="9" t="s">
        <v>1342</v>
      </c>
      <c r="B69" s="10" t="s">
        <v>75</v>
      </c>
      <c r="C69" s="9" t="s">
        <v>76</v>
      </c>
      <c r="D69" s="15">
        <v>1199.46</v>
      </c>
      <c r="E69" s="13" t="s">
        <v>1346</v>
      </c>
    </row>
    <row r="70" spans="1:5" hidden="1" x14ac:dyDescent="0.25">
      <c r="A70" s="9" t="s">
        <v>1342</v>
      </c>
      <c r="B70" s="10" t="s">
        <v>77</v>
      </c>
      <c r="C70" s="9" t="s">
        <v>78</v>
      </c>
      <c r="D70" s="15">
        <v>98</v>
      </c>
      <c r="E70" s="13" t="s">
        <v>1346</v>
      </c>
    </row>
    <row r="71" spans="1:5" hidden="1" x14ac:dyDescent="0.25">
      <c r="A71" s="9" t="s">
        <v>1342</v>
      </c>
      <c r="B71" s="10" t="s">
        <v>185</v>
      </c>
      <c r="C71" s="9" t="s">
        <v>186</v>
      </c>
      <c r="D71" s="15">
        <v>156</v>
      </c>
      <c r="E71" s="13" t="s">
        <v>1346</v>
      </c>
    </row>
    <row r="72" spans="1:5" hidden="1" x14ac:dyDescent="0.25">
      <c r="A72" s="9" t="s">
        <v>1342</v>
      </c>
      <c r="B72" s="10" t="s">
        <v>287</v>
      </c>
      <c r="C72" s="9" t="s">
        <v>288</v>
      </c>
      <c r="D72" s="15">
        <v>50</v>
      </c>
      <c r="E72" s="13" t="s">
        <v>1346</v>
      </c>
    </row>
    <row r="73" spans="1:5" hidden="1" x14ac:dyDescent="0.25">
      <c r="A73" s="9" t="s">
        <v>1342</v>
      </c>
      <c r="B73" s="10" t="s">
        <v>303</v>
      </c>
      <c r="C73" s="9" t="s">
        <v>304</v>
      </c>
      <c r="D73" s="15">
        <v>25</v>
      </c>
      <c r="E73" s="13" t="s">
        <v>1346</v>
      </c>
    </row>
    <row r="74" spans="1:5" hidden="1" x14ac:dyDescent="0.25">
      <c r="A74" s="9" t="s">
        <v>1342</v>
      </c>
      <c r="B74" s="10" t="s">
        <v>487</v>
      </c>
      <c r="C74" s="9" t="s">
        <v>488</v>
      </c>
      <c r="D74" s="15">
        <v>125.91</v>
      </c>
      <c r="E74" s="13" t="s">
        <v>1346</v>
      </c>
    </row>
    <row r="75" spans="1:5" hidden="1" x14ac:dyDescent="0.25">
      <c r="A75" s="9" t="s">
        <v>1342</v>
      </c>
      <c r="B75" s="10" t="s">
        <v>499</v>
      </c>
      <c r="C75" s="9" t="s">
        <v>500</v>
      </c>
      <c r="D75" s="15">
        <v>35</v>
      </c>
      <c r="E75" s="13" t="s">
        <v>1346</v>
      </c>
    </row>
    <row r="76" spans="1:5" hidden="1" x14ac:dyDescent="0.25">
      <c r="A76" s="9" t="s">
        <v>1342</v>
      </c>
      <c r="B76" s="10" t="s">
        <v>557</v>
      </c>
      <c r="C76" s="9" t="s">
        <v>558</v>
      </c>
      <c r="D76" s="15">
        <v>837.07</v>
      </c>
      <c r="E76" s="13" t="s">
        <v>1346</v>
      </c>
    </row>
    <row r="77" spans="1:5" hidden="1" x14ac:dyDescent="0.25">
      <c r="A77" s="9" t="s">
        <v>1342</v>
      </c>
      <c r="B77" s="10" t="s">
        <v>823</v>
      </c>
      <c r="C77" s="9" t="s">
        <v>824</v>
      </c>
      <c r="D77" s="15">
        <v>839.88</v>
      </c>
      <c r="E77" s="13" t="s">
        <v>1346</v>
      </c>
    </row>
    <row r="78" spans="1:5" hidden="1" x14ac:dyDescent="0.25">
      <c r="A78" s="9" t="s">
        <v>1342</v>
      </c>
      <c r="B78" s="10" t="s">
        <v>833</v>
      </c>
      <c r="C78" s="9" t="s">
        <v>834</v>
      </c>
      <c r="D78" s="15">
        <v>480.47</v>
      </c>
      <c r="E78" s="13" t="s">
        <v>1346</v>
      </c>
    </row>
    <row r="79" spans="1:5" hidden="1" x14ac:dyDescent="0.25">
      <c r="A79" s="9" t="s">
        <v>1342</v>
      </c>
      <c r="B79" s="10" t="s">
        <v>977</v>
      </c>
      <c r="C79" s="9" t="s">
        <v>978</v>
      </c>
      <c r="D79" s="15">
        <v>449.83</v>
      </c>
      <c r="E79" s="13" t="s">
        <v>1346</v>
      </c>
    </row>
    <row r="80" spans="1:5" hidden="1" x14ac:dyDescent="0.25">
      <c r="A80" s="9" t="s">
        <v>1343</v>
      </c>
      <c r="B80" s="10" t="s">
        <v>79</v>
      </c>
      <c r="C80" s="9" t="s">
        <v>80</v>
      </c>
      <c r="D80" s="15">
        <v>206.2</v>
      </c>
      <c r="E80" s="13" t="s">
        <v>1346</v>
      </c>
    </row>
    <row r="81" spans="1:5" hidden="1" x14ac:dyDescent="0.25">
      <c r="A81" s="9" t="s">
        <v>1343</v>
      </c>
      <c r="B81" s="10" t="s">
        <v>81</v>
      </c>
      <c r="C81" s="9" t="s">
        <v>82</v>
      </c>
      <c r="D81" s="15">
        <v>125.7</v>
      </c>
      <c r="E81" s="13" t="s">
        <v>1346</v>
      </c>
    </row>
    <row r="82" spans="1:5" hidden="1" x14ac:dyDescent="0.25">
      <c r="A82" s="9" t="s">
        <v>1343</v>
      </c>
      <c r="B82" s="10" t="s">
        <v>83</v>
      </c>
      <c r="C82" s="9" t="s">
        <v>84</v>
      </c>
      <c r="D82" s="15">
        <v>33.6</v>
      </c>
      <c r="E82" s="13" t="s">
        <v>1346</v>
      </c>
    </row>
    <row r="83" spans="1:5" hidden="1" x14ac:dyDescent="0.25">
      <c r="A83" s="9" t="s">
        <v>1343</v>
      </c>
      <c r="B83" s="10" t="s">
        <v>85</v>
      </c>
      <c r="C83" s="9" t="s">
        <v>86</v>
      </c>
      <c r="D83" s="15">
        <v>69.7</v>
      </c>
      <c r="E83" s="13" t="s">
        <v>1346</v>
      </c>
    </row>
    <row r="84" spans="1:5" hidden="1" x14ac:dyDescent="0.25">
      <c r="A84" s="9" t="s">
        <v>1343</v>
      </c>
      <c r="B84" s="10" t="s">
        <v>87</v>
      </c>
      <c r="C84" s="9" t="s">
        <v>88</v>
      </c>
      <c r="D84" s="15">
        <v>518.38</v>
      </c>
      <c r="E84" s="13" t="s">
        <v>1346</v>
      </c>
    </row>
    <row r="85" spans="1:5" hidden="1" x14ac:dyDescent="0.25">
      <c r="A85" s="9" t="s">
        <v>1343</v>
      </c>
      <c r="B85" s="10" t="s">
        <v>93</v>
      </c>
      <c r="C85" s="9" t="s">
        <v>94</v>
      </c>
      <c r="D85" s="15">
        <v>95.2</v>
      </c>
      <c r="E85" s="13" t="s">
        <v>1346</v>
      </c>
    </row>
    <row r="86" spans="1:5" hidden="1" x14ac:dyDescent="0.25">
      <c r="A86" s="9" t="s">
        <v>1343</v>
      </c>
      <c r="B86" s="10" t="s">
        <v>95</v>
      </c>
      <c r="C86" s="9" t="s">
        <v>96</v>
      </c>
      <c r="D86" s="15">
        <v>187.3</v>
      </c>
      <c r="E86" s="13" t="s">
        <v>1346</v>
      </c>
    </row>
    <row r="87" spans="1:5" hidden="1" x14ac:dyDescent="0.25">
      <c r="A87" s="9" t="s">
        <v>1343</v>
      </c>
      <c r="B87" s="10" t="s">
        <v>99</v>
      </c>
      <c r="C87" s="9" t="s">
        <v>100</v>
      </c>
      <c r="D87" s="15">
        <v>402.6</v>
      </c>
      <c r="E87" s="13" t="s">
        <v>1346</v>
      </c>
    </row>
    <row r="88" spans="1:5" hidden="1" x14ac:dyDescent="0.25">
      <c r="A88" s="9" t="s">
        <v>1343</v>
      </c>
      <c r="B88" s="10" t="s">
        <v>101</v>
      </c>
      <c r="C88" s="9" t="s">
        <v>102</v>
      </c>
      <c r="D88" s="15">
        <v>321.93</v>
      </c>
      <c r="E88" s="13" t="s">
        <v>1346</v>
      </c>
    </row>
    <row r="89" spans="1:5" hidden="1" x14ac:dyDescent="0.25">
      <c r="A89" s="9" t="s">
        <v>1343</v>
      </c>
      <c r="B89" s="10" t="s">
        <v>103</v>
      </c>
      <c r="C89" s="9" t="s">
        <v>104</v>
      </c>
      <c r="D89" s="15">
        <v>210.75</v>
      </c>
      <c r="E89" s="13" t="s">
        <v>1346</v>
      </c>
    </row>
    <row r="90" spans="1:5" hidden="1" x14ac:dyDescent="0.25">
      <c r="A90" s="9" t="s">
        <v>1343</v>
      </c>
      <c r="B90" s="10" t="s">
        <v>107</v>
      </c>
      <c r="C90" s="9" t="s">
        <v>108</v>
      </c>
      <c r="D90" s="15">
        <v>269.02999999999997</v>
      </c>
      <c r="E90" s="13" t="s">
        <v>1346</v>
      </c>
    </row>
    <row r="91" spans="1:5" hidden="1" x14ac:dyDescent="0.25">
      <c r="A91" s="9" t="s">
        <v>1343</v>
      </c>
      <c r="B91" s="10" t="s">
        <v>109</v>
      </c>
      <c r="C91" s="9" t="s">
        <v>110</v>
      </c>
      <c r="D91" s="15">
        <v>232.54</v>
      </c>
      <c r="E91" s="13" t="s">
        <v>1346</v>
      </c>
    </row>
    <row r="92" spans="1:5" hidden="1" x14ac:dyDescent="0.25">
      <c r="A92" s="9" t="s">
        <v>1343</v>
      </c>
      <c r="B92" s="10" t="s">
        <v>111</v>
      </c>
      <c r="C92" s="9" t="s">
        <v>112</v>
      </c>
      <c r="D92" s="15">
        <v>130.69</v>
      </c>
      <c r="E92" s="13" t="s">
        <v>1346</v>
      </c>
    </row>
    <row r="93" spans="1:5" hidden="1" x14ac:dyDescent="0.25">
      <c r="A93" s="9" t="s">
        <v>1343</v>
      </c>
      <c r="B93" s="10" t="s">
        <v>113</v>
      </c>
      <c r="C93" s="9" t="s">
        <v>114</v>
      </c>
      <c r="D93" s="15">
        <v>95.2</v>
      </c>
      <c r="E93" s="13" t="s">
        <v>1346</v>
      </c>
    </row>
    <row r="94" spans="1:5" hidden="1" x14ac:dyDescent="0.25">
      <c r="A94" s="9" t="s">
        <v>1343</v>
      </c>
      <c r="B94" s="10" t="s">
        <v>119</v>
      </c>
      <c r="C94" s="9" t="s">
        <v>120</v>
      </c>
      <c r="D94" s="15">
        <v>313.60000000000002</v>
      </c>
      <c r="E94" s="13" t="s">
        <v>1346</v>
      </c>
    </row>
    <row r="95" spans="1:5" hidden="1" x14ac:dyDescent="0.25">
      <c r="A95" s="9" t="s">
        <v>1343</v>
      </c>
      <c r="B95" s="10" t="s">
        <v>121</v>
      </c>
      <c r="C95" s="9" t="s">
        <v>122</v>
      </c>
      <c r="D95" s="15">
        <v>5.6</v>
      </c>
      <c r="E95" s="13" t="s">
        <v>1346</v>
      </c>
    </row>
    <row r="96" spans="1:5" hidden="1" x14ac:dyDescent="0.25">
      <c r="A96" s="9" t="s">
        <v>1343</v>
      </c>
      <c r="B96" s="10" t="s">
        <v>123</v>
      </c>
      <c r="C96" s="9" t="s">
        <v>124</v>
      </c>
      <c r="D96" s="15">
        <v>306.77</v>
      </c>
      <c r="E96" s="13" t="s">
        <v>1346</v>
      </c>
    </row>
    <row r="97" spans="1:5" hidden="1" x14ac:dyDescent="0.25">
      <c r="A97" s="9" t="s">
        <v>1343</v>
      </c>
      <c r="B97" s="10" t="s">
        <v>125</v>
      </c>
      <c r="C97" s="9" t="s">
        <v>126</v>
      </c>
      <c r="D97" s="15">
        <v>435.36</v>
      </c>
      <c r="E97" s="13" t="s">
        <v>1346</v>
      </c>
    </row>
    <row r="98" spans="1:5" hidden="1" x14ac:dyDescent="0.25">
      <c r="A98" s="9" t="s">
        <v>1343</v>
      </c>
      <c r="B98" s="10" t="s">
        <v>127</v>
      </c>
      <c r="C98" s="9" t="s">
        <v>128</v>
      </c>
      <c r="D98" s="15">
        <v>117.83</v>
      </c>
      <c r="E98" s="13" t="s">
        <v>1346</v>
      </c>
    </row>
    <row r="99" spans="1:5" hidden="1" x14ac:dyDescent="0.25">
      <c r="A99" s="9" t="s">
        <v>1343</v>
      </c>
      <c r="B99" s="10" t="s">
        <v>129</v>
      </c>
      <c r="C99" s="9" t="s">
        <v>130</v>
      </c>
      <c r="D99" s="15">
        <v>651.16999999999996</v>
      </c>
      <c r="E99" s="13" t="s">
        <v>1346</v>
      </c>
    </row>
    <row r="100" spans="1:5" hidden="1" x14ac:dyDescent="0.25">
      <c r="A100" s="9" t="s">
        <v>1343</v>
      </c>
      <c r="B100" s="10" t="s">
        <v>131</v>
      </c>
      <c r="C100" s="9" t="s">
        <v>132</v>
      </c>
      <c r="D100" s="15">
        <v>190</v>
      </c>
      <c r="E100" s="13" t="s">
        <v>1346</v>
      </c>
    </row>
    <row r="101" spans="1:5" hidden="1" x14ac:dyDescent="0.25">
      <c r="A101" s="9" t="s">
        <v>1343</v>
      </c>
      <c r="B101" s="10" t="s">
        <v>135</v>
      </c>
      <c r="C101" s="9" t="s">
        <v>136</v>
      </c>
      <c r="D101" s="15">
        <v>89.6</v>
      </c>
      <c r="E101" s="13" t="s">
        <v>1346</v>
      </c>
    </row>
    <row r="102" spans="1:5" hidden="1" x14ac:dyDescent="0.25">
      <c r="A102" s="9" t="s">
        <v>1343</v>
      </c>
      <c r="B102" s="10" t="s">
        <v>137</v>
      </c>
      <c r="C102" s="9" t="s">
        <v>138</v>
      </c>
      <c r="D102" s="15">
        <v>1049.6099999999999</v>
      </c>
      <c r="E102" s="13" t="s">
        <v>1346</v>
      </c>
    </row>
    <row r="103" spans="1:5" hidden="1" x14ac:dyDescent="0.25">
      <c r="A103" s="9" t="s">
        <v>1343</v>
      </c>
      <c r="B103" s="10" t="s">
        <v>139</v>
      </c>
      <c r="C103" s="9" t="s">
        <v>140</v>
      </c>
      <c r="D103" s="15">
        <v>563.33000000000004</v>
      </c>
      <c r="E103" s="13" t="s">
        <v>1346</v>
      </c>
    </row>
    <row r="104" spans="1:5" hidden="1" x14ac:dyDescent="0.25">
      <c r="A104" s="9" t="s">
        <v>1343</v>
      </c>
      <c r="B104" s="10" t="s">
        <v>141</v>
      </c>
      <c r="C104" s="9" t="s">
        <v>142</v>
      </c>
      <c r="D104" s="15">
        <v>16.8</v>
      </c>
      <c r="E104" s="13" t="s">
        <v>1346</v>
      </c>
    </row>
    <row r="105" spans="1:5" hidden="1" x14ac:dyDescent="0.25">
      <c r="A105" s="9" t="s">
        <v>1343</v>
      </c>
      <c r="B105" s="10" t="s">
        <v>145</v>
      </c>
      <c r="C105" s="9" t="s">
        <v>146</v>
      </c>
      <c r="D105" s="15">
        <v>189.42</v>
      </c>
      <c r="E105" s="13" t="s">
        <v>1346</v>
      </c>
    </row>
    <row r="106" spans="1:5" hidden="1" x14ac:dyDescent="0.25">
      <c r="A106" s="9" t="s">
        <v>1343</v>
      </c>
      <c r="B106" s="10" t="s">
        <v>147</v>
      </c>
      <c r="C106" s="9" t="s">
        <v>148</v>
      </c>
      <c r="D106" s="15">
        <v>327.58</v>
      </c>
      <c r="E106" s="13" t="s">
        <v>1346</v>
      </c>
    </row>
    <row r="107" spans="1:5" hidden="1" x14ac:dyDescent="0.25">
      <c r="A107" s="9" t="s">
        <v>1343</v>
      </c>
      <c r="B107" s="10" t="s">
        <v>149</v>
      </c>
      <c r="C107" s="9" t="s">
        <v>150</v>
      </c>
      <c r="D107" s="15">
        <v>422.5</v>
      </c>
      <c r="E107" s="13" t="s">
        <v>1346</v>
      </c>
    </row>
    <row r="108" spans="1:5" hidden="1" x14ac:dyDescent="0.25">
      <c r="A108" s="9" t="s">
        <v>1343</v>
      </c>
      <c r="B108" s="10" t="s">
        <v>151</v>
      </c>
      <c r="C108" s="9" t="s">
        <v>152</v>
      </c>
      <c r="D108" s="15">
        <v>16.8</v>
      </c>
      <c r="E108" s="13" t="s">
        <v>1346</v>
      </c>
    </row>
    <row r="109" spans="1:5" hidden="1" x14ac:dyDescent="0.25">
      <c r="A109" s="9" t="s">
        <v>1343</v>
      </c>
      <c r="B109" s="10" t="s">
        <v>153</v>
      </c>
      <c r="C109" s="9" t="s">
        <v>154</v>
      </c>
      <c r="D109" s="15">
        <v>362.79</v>
      </c>
      <c r="E109" s="13" t="s">
        <v>1346</v>
      </c>
    </row>
    <row r="110" spans="1:5" hidden="1" x14ac:dyDescent="0.25">
      <c r="A110" s="9" t="s">
        <v>1343</v>
      </c>
      <c r="B110" s="10" t="s">
        <v>157</v>
      </c>
      <c r="C110" s="9" t="s">
        <v>158</v>
      </c>
      <c r="D110" s="15">
        <v>766.45</v>
      </c>
      <c r="E110" s="13" t="s">
        <v>1346</v>
      </c>
    </row>
    <row r="111" spans="1:5" hidden="1" x14ac:dyDescent="0.25">
      <c r="A111" s="9" t="s">
        <v>1343</v>
      </c>
      <c r="B111" s="10" t="s">
        <v>159</v>
      </c>
      <c r="C111" s="9" t="s">
        <v>160</v>
      </c>
      <c r="D111" s="15">
        <v>348.26</v>
      </c>
      <c r="E111" s="13" t="s">
        <v>1346</v>
      </c>
    </row>
    <row r="112" spans="1:5" hidden="1" x14ac:dyDescent="0.25">
      <c r="A112" s="9" t="s">
        <v>1343</v>
      </c>
      <c r="B112" s="10" t="s">
        <v>161</v>
      </c>
      <c r="C112" s="9" t="s">
        <v>162</v>
      </c>
      <c r="D112" s="15">
        <v>782.9</v>
      </c>
      <c r="E112" s="13" t="s">
        <v>1346</v>
      </c>
    </row>
    <row r="113" spans="1:5" hidden="1" x14ac:dyDescent="0.25">
      <c r="A113" s="9" t="s">
        <v>1343</v>
      </c>
      <c r="B113" s="10" t="s">
        <v>163</v>
      </c>
      <c r="C113" s="9" t="s">
        <v>164</v>
      </c>
      <c r="D113" s="15">
        <v>164.51</v>
      </c>
      <c r="E113" s="13" t="s">
        <v>1346</v>
      </c>
    </row>
    <row r="114" spans="1:5" hidden="1" x14ac:dyDescent="0.25">
      <c r="A114" s="9" t="s">
        <v>1343</v>
      </c>
      <c r="B114" s="10" t="s">
        <v>167</v>
      </c>
      <c r="C114" s="9" t="s">
        <v>168</v>
      </c>
      <c r="D114" s="15">
        <v>16.8</v>
      </c>
      <c r="E114" s="13" t="s">
        <v>1346</v>
      </c>
    </row>
    <row r="115" spans="1:5" hidden="1" x14ac:dyDescent="0.25">
      <c r="A115" s="9" t="s">
        <v>1343</v>
      </c>
      <c r="B115" s="10" t="s">
        <v>169</v>
      </c>
      <c r="C115" s="9" t="s">
        <v>170</v>
      </c>
      <c r="D115" s="15">
        <v>386</v>
      </c>
      <c r="E115" s="13" t="s">
        <v>1346</v>
      </c>
    </row>
    <row r="116" spans="1:5" hidden="1" x14ac:dyDescent="0.25">
      <c r="A116" s="9" t="s">
        <v>1343</v>
      </c>
      <c r="B116" s="10" t="s">
        <v>173</v>
      </c>
      <c r="C116" s="9" t="s">
        <v>174</v>
      </c>
      <c r="D116" s="15">
        <v>356.79</v>
      </c>
      <c r="E116" s="13" t="s">
        <v>1346</v>
      </c>
    </row>
    <row r="117" spans="1:5" hidden="1" x14ac:dyDescent="0.25">
      <c r="A117" s="9" t="s">
        <v>1343</v>
      </c>
      <c r="B117" s="10" t="s">
        <v>177</v>
      </c>
      <c r="C117" s="9" t="s">
        <v>178</v>
      </c>
      <c r="D117" s="15">
        <v>100.8</v>
      </c>
      <c r="E117" s="13" t="s">
        <v>1346</v>
      </c>
    </row>
    <row r="118" spans="1:5" hidden="1" x14ac:dyDescent="0.25">
      <c r="A118" s="9" t="s">
        <v>1343</v>
      </c>
      <c r="B118" s="10" t="s">
        <v>179</v>
      </c>
      <c r="C118" s="9" t="s">
        <v>180</v>
      </c>
      <c r="D118" s="15">
        <v>461.09</v>
      </c>
      <c r="E118" s="13" t="s">
        <v>1346</v>
      </c>
    </row>
    <row r="119" spans="1:5" hidden="1" x14ac:dyDescent="0.25">
      <c r="A119" s="9" t="s">
        <v>1343</v>
      </c>
      <c r="B119" s="10" t="s">
        <v>183</v>
      </c>
      <c r="C119" s="9" t="s">
        <v>184</v>
      </c>
      <c r="D119" s="15">
        <v>236.26</v>
      </c>
      <c r="E119" s="13" t="s">
        <v>1346</v>
      </c>
    </row>
    <row r="120" spans="1:5" hidden="1" x14ac:dyDescent="0.25">
      <c r="A120" s="9" t="s">
        <v>1343</v>
      </c>
      <c r="B120" s="10" t="s">
        <v>187</v>
      </c>
      <c r="C120" s="9" t="s">
        <v>188</v>
      </c>
      <c r="D120" s="15">
        <v>45.03</v>
      </c>
      <c r="E120" s="13" t="s">
        <v>1346</v>
      </c>
    </row>
    <row r="121" spans="1:5" hidden="1" x14ac:dyDescent="0.25">
      <c r="A121" s="9" t="s">
        <v>1343</v>
      </c>
      <c r="B121" s="10" t="s">
        <v>189</v>
      </c>
      <c r="C121" s="9" t="s">
        <v>190</v>
      </c>
      <c r="D121" s="15">
        <v>324.19</v>
      </c>
      <c r="E121" s="13" t="s">
        <v>1346</v>
      </c>
    </row>
    <row r="122" spans="1:5" hidden="1" x14ac:dyDescent="0.25">
      <c r="A122" s="9" t="s">
        <v>1343</v>
      </c>
      <c r="B122" s="10" t="s">
        <v>191</v>
      </c>
      <c r="C122" s="9" t="s">
        <v>192</v>
      </c>
      <c r="D122" s="15">
        <v>285.60000000000002</v>
      </c>
      <c r="E122" s="13" t="s">
        <v>1346</v>
      </c>
    </row>
    <row r="123" spans="1:5" hidden="1" x14ac:dyDescent="0.25">
      <c r="A123" s="9" t="s">
        <v>1343</v>
      </c>
      <c r="B123" s="10" t="s">
        <v>195</v>
      </c>
      <c r="C123" s="9" t="s">
        <v>196</v>
      </c>
      <c r="D123" s="15">
        <v>80.900000000000006</v>
      </c>
      <c r="E123" s="13" t="s">
        <v>1346</v>
      </c>
    </row>
    <row r="124" spans="1:5" hidden="1" x14ac:dyDescent="0.25">
      <c r="A124" s="9" t="s">
        <v>1343</v>
      </c>
      <c r="B124" s="10" t="s">
        <v>197</v>
      </c>
      <c r="C124" s="9" t="s">
        <v>198</v>
      </c>
      <c r="D124" s="15">
        <v>528.35</v>
      </c>
      <c r="E124" s="13" t="s">
        <v>1346</v>
      </c>
    </row>
    <row r="125" spans="1:5" hidden="1" x14ac:dyDescent="0.25">
      <c r="A125" s="9" t="s">
        <v>1343</v>
      </c>
      <c r="B125" s="10" t="s">
        <v>199</v>
      </c>
      <c r="C125" s="9" t="s">
        <v>200</v>
      </c>
      <c r="D125" s="15">
        <v>420.7</v>
      </c>
      <c r="E125" s="13" t="s">
        <v>1346</v>
      </c>
    </row>
    <row r="126" spans="1:5" hidden="1" x14ac:dyDescent="0.25">
      <c r="A126" s="9" t="s">
        <v>1343</v>
      </c>
      <c r="B126" s="10" t="s">
        <v>203</v>
      </c>
      <c r="C126" s="9" t="s">
        <v>204</v>
      </c>
      <c r="D126" s="15">
        <v>134.63</v>
      </c>
      <c r="E126" s="13" t="s">
        <v>1346</v>
      </c>
    </row>
    <row r="127" spans="1:5" hidden="1" x14ac:dyDescent="0.25">
      <c r="A127" s="9" t="s">
        <v>1343</v>
      </c>
      <c r="B127" s="10" t="s">
        <v>207</v>
      </c>
      <c r="C127" s="9" t="s">
        <v>208</v>
      </c>
      <c r="D127" s="15">
        <v>103.29</v>
      </c>
      <c r="E127" s="13" t="s">
        <v>1346</v>
      </c>
    </row>
    <row r="128" spans="1:5" hidden="1" x14ac:dyDescent="0.25">
      <c r="A128" s="9" t="s">
        <v>1343</v>
      </c>
      <c r="B128" s="10" t="s">
        <v>211</v>
      </c>
      <c r="C128" s="9" t="s">
        <v>212</v>
      </c>
      <c r="D128" s="15">
        <v>16.8</v>
      </c>
      <c r="E128" s="13" t="s">
        <v>1346</v>
      </c>
    </row>
    <row r="129" spans="1:5" hidden="1" x14ac:dyDescent="0.25">
      <c r="A129" s="9" t="s">
        <v>1343</v>
      </c>
      <c r="B129" s="10" t="s">
        <v>213</v>
      </c>
      <c r="C129" s="9" t="s">
        <v>214</v>
      </c>
      <c r="D129" s="15">
        <v>58.5</v>
      </c>
      <c r="E129" s="13" t="s">
        <v>1346</v>
      </c>
    </row>
    <row r="130" spans="1:5" hidden="1" x14ac:dyDescent="0.25">
      <c r="A130" s="9" t="s">
        <v>1343</v>
      </c>
      <c r="B130" s="10" t="s">
        <v>215</v>
      </c>
      <c r="C130" s="9" t="s">
        <v>216</v>
      </c>
      <c r="D130" s="15">
        <v>487.9</v>
      </c>
      <c r="E130" s="13" t="s">
        <v>1346</v>
      </c>
    </row>
    <row r="131" spans="1:5" hidden="1" x14ac:dyDescent="0.25">
      <c r="A131" s="9" t="s">
        <v>1343</v>
      </c>
      <c r="B131" s="10" t="s">
        <v>217</v>
      </c>
      <c r="C131" s="9" t="s">
        <v>218</v>
      </c>
      <c r="D131" s="15">
        <v>661.92</v>
      </c>
      <c r="E131" s="13" t="s">
        <v>1346</v>
      </c>
    </row>
    <row r="132" spans="1:5" hidden="1" x14ac:dyDescent="0.25">
      <c r="A132" s="9" t="s">
        <v>1343</v>
      </c>
      <c r="B132" s="10" t="s">
        <v>219</v>
      </c>
      <c r="C132" s="9" t="s">
        <v>220</v>
      </c>
      <c r="D132" s="15">
        <v>66.599999999999994</v>
      </c>
      <c r="E132" s="13" t="s">
        <v>1346</v>
      </c>
    </row>
    <row r="133" spans="1:5" hidden="1" x14ac:dyDescent="0.25">
      <c r="A133" s="9" t="s">
        <v>1343</v>
      </c>
      <c r="B133" s="10" t="s">
        <v>223</v>
      </c>
      <c r="C133" s="9" t="s">
        <v>224</v>
      </c>
      <c r="D133" s="15">
        <v>584.9</v>
      </c>
      <c r="E133" s="13" t="s">
        <v>1346</v>
      </c>
    </row>
    <row r="134" spans="1:5" hidden="1" x14ac:dyDescent="0.25">
      <c r="A134" s="9" t="s">
        <v>1343</v>
      </c>
      <c r="B134" s="10" t="s">
        <v>227</v>
      </c>
      <c r="C134" s="9" t="s">
        <v>228</v>
      </c>
      <c r="D134" s="15">
        <v>266.52999999999997</v>
      </c>
      <c r="E134" s="13" t="s">
        <v>1346</v>
      </c>
    </row>
    <row r="135" spans="1:5" hidden="1" x14ac:dyDescent="0.25">
      <c r="A135" s="9" t="s">
        <v>1343</v>
      </c>
      <c r="B135" s="10" t="s">
        <v>229</v>
      </c>
      <c r="C135" s="9" t="s">
        <v>230</v>
      </c>
      <c r="D135" s="15">
        <v>73.86</v>
      </c>
      <c r="E135" s="13" t="s">
        <v>1346</v>
      </c>
    </row>
    <row r="136" spans="1:5" hidden="1" x14ac:dyDescent="0.25">
      <c r="A136" s="9" t="s">
        <v>1343</v>
      </c>
      <c r="B136" s="10" t="s">
        <v>239</v>
      </c>
      <c r="C136" s="9" t="s">
        <v>240</v>
      </c>
      <c r="D136" s="15">
        <v>69.7</v>
      </c>
      <c r="E136" s="13" t="s">
        <v>1346</v>
      </c>
    </row>
    <row r="137" spans="1:5" hidden="1" x14ac:dyDescent="0.25">
      <c r="A137" s="9" t="s">
        <v>1343</v>
      </c>
      <c r="B137" s="10" t="s">
        <v>241</v>
      </c>
      <c r="C137" s="9" t="s">
        <v>242</v>
      </c>
      <c r="D137" s="15">
        <v>105.8</v>
      </c>
      <c r="E137" s="13" t="s">
        <v>1346</v>
      </c>
    </row>
    <row r="138" spans="1:5" hidden="1" x14ac:dyDescent="0.25">
      <c r="A138" s="9" t="s">
        <v>1343</v>
      </c>
      <c r="B138" s="10" t="s">
        <v>245</v>
      </c>
      <c r="C138" s="9" t="s">
        <v>246</v>
      </c>
      <c r="D138" s="15">
        <v>67.2</v>
      </c>
      <c r="E138" s="13" t="s">
        <v>1346</v>
      </c>
    </row>
    <row r="139" spans="1:5" hidden="1" x14ac:dyDescent="0.25">
      <c r="A139" s="9" t="s">
        <v>1343</v>
      </c>
      <c r="B139" s="10" t="s">
        <v>247</v>
      </c>
      <c r="C139" s="9" t="s">
        <v>248</v>
      </c>
      <c r="D139" s="15">
        <v>106.4</v>
      </c>
      <c r="E139" s="13" t="s">
        <v>1346</v>
      </c>
    </row>
    <row r="140" spans="1:5" hidden="1" x14ac:dyDescent="0.25">
      <c r="A140" s="9" t="s">
        <v>1343</v>
      </c>
      <c r="B140" s="10" t="s">
        <v>249</v>
      </c>
      <c r="C140" s="9" t="s">
        <v>250</v>
      </c>
      <c r="D140" s="15">
        <v>190.4</v>
      </c>
      <c r="E140" s="13" t="s">
        <v>1346</v>
      </c>
    </row>
    <row r="141" spans="1:5" hidden="1" x14ac:dyDescent="0.25">
      <c r="A141" s="9" t="s">
        <v>1343</v>
      </c>
      <c r="B141" s="10" t="s">
        <v>251</v>
      </c>
      <c r="C141" s="9" t="s">
        <v>252</v>
      </c>
      <c r="D141" s="15">
        <v>16.8</v>
      </c>
      <c r="E141" s="13" t="s">
        <v>1346</v>
      </c>
    </row>
    <row r="142" spans="1:5" hidden="1" x14ac:dyDescent="0.25">
      <c r="A142" s="9" t="s">
        <v>1343</v>
      </c>
      <c r="B142" s="10" t="s">
        <v>253</v>
      </c>
      <c r="C142" s="9" t="s">
        <v>254</v>
      </c>
      <c r="D142" s="15">
        <v>144.99</v>
      </c>
      <c r="E142" s="13" t="s">
        <v>1346</v>
      </c>
    </row>
    <row r="143" spans="1:5" hidden="1" x14ac:dyDescent="0.25">
      <c r="A143" s="9" t="s">
        <v>1343</v>
      </c>
      <c r="B143" s="10" t="s">
        <v>257</v>
      </c>
      <c r="C143" s="9" t="s">
        <v>258</v>
      </c>
      <c r="D143" s="15">
        <v>61.6</v>
      </c>
      <c r="E143" s="13" t="s">
        <v>1346</v>
      </c>
    </row>
    <row r="144" spans="1:5" hidden="1" x14ac:dyDescent="0.25">
      <c r="A144" s="9" t="s">
        <v>1343</v>
      </c>
      <c r="B144" s="10" t="s">
        <v>261</v>
      </c>
      <c r="C144" s="9" t="s">
        <v>262</v>
      </c>
      <c r="D144" s="15">
        <v>145.6</v>
      </c>
      <c r="E144" s="13" t="s">
        <v>1346</v>
      </c>
    </row>
    <row r="145" spans="1:5" hidden="1" x14ac:dyDescent="0.25">
      <c r="A145" s="9" t="s">
        <v>1343</v>
      </c>
      <c r="B145" s="10" t="s">
        <v>263</v>
      </c>
      <c r="C145" s="9" t="s">
        <v>264</v>
      </c>
      <c r="D145" s="15">
        <v>33.6</v>
      </c>
      <c r="E145" s="13" t="s">
        <v>1346</v>
      </c>
    </row>
    <row r="146" spans="1:5" hidden="1" x14ac:dyDescent="0.25">
      <c r="A146" s="9" t="s">
        <v>1343</v>
      </c>
      <c r="B146" s="10" t="s">
        <v>267</v>
      </c>
      <c r="C146" s="9" t="s">
        <v>268</v>
      </c>
      <c r="D146" s="15">
        <v>595.72</v>
      </c>
      <c r="E146" s="13" t="s">
        <v>1346</v>
      </c>
    </row>
    <row r="147" spans="1:5" hidden="1" x14ac:dyDescent="0.25">
      <c r="A147" s="9" t="s">
        <v>1343</v>
      </c>
      <c r="B147" s="10" t="s">
        <v>271</v>
      </c>
      <c r="C147" s="9" t="s">
        <v>272</v>
      </c>
      <c r="D147" s="15">
        <v>259.5</v>
      </c>
      <c r="E147" s="13" t="s">
        <v>1346</v>
      </c>
    </row>
    <row r="148" spans="1:5" hidden="1" x14ac:dyDescent="0.25">
      <c r="A148" s="9" t="s">
        <v>1343</v>
      </c>
      <c r="B148" s="10" t="s">
        <v>275</v>
      </c>
      <c r="C148" s="9" t="s">
        <v>276</v>
      </c>
      <c r="D148" s="15">
        <v>61.6</v>
      </c>
      <c r="E148" s="13" t="s">
        <v>1346</v>
      </c>
    </row>
    <row r="149" spans="1:5" hidden="1" x14ac:dyDescent="0.25">
      <c r="A149" s="9" t="s">
        <v>1343</v>
      </c>
      <c r="B149" s="10" t="s">
        <v>277</v>
      </c>
      <c r="C149" s="9" t="s">
        <v>278</v>
      </c>
      <c r="D149" s="15">
        <v>398.66</v>
      </c>
      <c r="E149" s="13" t="s">
        <v>1346</v>
      </c>
    </row>
    <row r="150" spans="1:5" hidden="1" x14ac:dyDescent="0.25">
      <c r="A150" s="9" t="s">
        <v>1343</v>
      </c>
      <c r="B150" s="10" t="s">
        <v>283</v>
      </c>
      <c r="C150" s="9" t="s">
        <v>284</v>
      </c>
      <c r="D150" s="15">
        <v>72.8</v>
      </c>
      <c r="E150" s="13" t="s">
        <v>1346</v>
      </c>
    </row>
    <row r="151" spans="1:5" hidden="1" x14ac:dyDescent="0.25">
      <c r="A151" s="9" t="s">
        <v>1343</v>
      </c>
      <c r="B151" s="10" t="s">
        <v>1335</v>
      </c>
      <c r="C151" s="9" t="s">
        <v>1336</v>
      </c>
      <c r="D151" s="15">
        <v>391.01</v>
      </c>
      <c r="E151" s="13" t="s">
        <v>1346</v>
      </c>
    </row>
    <row r="152" spans="1:5" hidden="1" x14ac:dyDescent="0.25">
      <c r="A152" s="9" t="s">
        <v>1343</v>
      </c>
      <c r="B152" s="10" t="s">
        <v>285</v>
      </c>
      <c r="C152" s="9" t="s">
        <v>286</v>
      </c>
      <c r="D152" s="15">
        <v>32.159999999999997</v>
      </c>
      <c r="E152" s="13" t="s">
        <v>1346</v>
      </c>
    </row>
    <row r="153" spans="1:5" hidden="1" x14ac:dyDescent="0.25">
      <c r="A153" s="9" t="s">
        <v>1343</v>
      </c>
      <c r="B153" s="10" t="s">
        <v>289</v>
      </c>
      <c r="C153" s="9" t="s">
        <v>290</v>
      </c>
      <c r="D153" s="15">
        <v>44.8</v>
      </c>
      <c r="E153" s="13" t="s">
        <v>1346</v>
      </c>
    </row>
    <row r="154" spans="1:5" hidden="1" x14ac:dyDescent="0.25">
      <c r="A154" s="9" t="s">
        <v>1343</v>
      </c>
      <c r="B154" s="10" t="s">
        <v>293</v>
      </c>
      <c r="C154" s="9" t="s">
        <v>294</v>
      </c>
      <c r="D154" s="15">
        <v>78.400000000000006</v>
      </c>
      <c r="E154" s="13" t="s">
        <v>1346</v>
      </c>
    </row>
    <row r="155" spans="1:5" hidden="1" x14ac:dyDescent="0.25">
      <c r="A155" s="9" t="s">
        <v>1343</v>
      </c>
      <c r="B155" s="10" t="s">
        <v>295</v>
      </c>
      <c r="C155" s="9" t="s">
        <v>296</v>
      </c>
      <c r="D155" s="15">
        <v>671.86</v>
      </c>
      <c r="E155" s="13" t="s">
        <v>1346</v>
      </c>
    </row>
    <row r="156" spans="1:5" hidden="1" x14ac:dyDescent="0.25">
      <c r="A156" s="9" t="s">
        <v>1343</v>
      </c>
      <c r="B156" s="10" t="s">
        <v>297</v>
      </c>
      <c r="C156" s="9" t="s">
        <v>298</v>
      </c>
      <c r="D156" s="15">
        <v>412.59</v>
      </c>
      <c r="E156" s="13" t="s">
        <v>1346</v>
      </c>
    </row>
    <row r="157" spans="1:5" hidden="1" x14ac:dyDescent="0.25">
      <c r="A157" s="9" t="s">
        <v>1343</v>
      </c>
      <c r="B157" s="10" t="s">
        <v>299</v>
      </c>
      <c r="C157" s="9" t="s">
        <v>300</v>
      </c>
      <c r="D157" s="15">
        <v>268.64999999999998</v>
      </c>
      <c r="E157" s="13" t="s">
        <v>1346</v>
      </c>
    </row>
    <row r="158" spans="1:5" hidden="1" x14ac:dyDescent="0.25">
      <c r="A158" s="9" t="s">
        <v>1343</v>
      </c>
      <c r="B158" s="10" t="s">
        <v>307</v>
      </c>
      <c r="C158" s="9" t="s">
        <v>308</v>
      </c>
      <c r="D158" s="15">
        <v>173.6</v>
      </c>
      <c r="E158" s="13" t="s">
        <v>1346</v>
      </c>
    </row>
    <row r="159" spans="1:5" hidden="1" x14ac:dyDescent="0.25">
      <c r="A159" s="9" t="s">
        <v>1343</v>
      </c>
      <c r="B159" s="10" t="s">
        <v>309</v>
      </c>
      <c r="C159" s="9" t="s">
        <v>310</v>
      </c>
      <c r="D159" s="15">
        <v>786.96</v>
      </c>
      <c r="E159" s="13" t="s">
        <v>1346</v>
      </c>
    </row>
    <row r="160" spans="1:5" hidden="1" x14ac:dyDescent="0.25">
      <c r="A160" s="9" t="s">
        <v>1343</v>
      </c>
      <c r="B160" s="10" t="s">
        <v>311</v>
      </c>
      <c r="C160" s="9" t="s">
        <v>312</v>
      </c>
      <c r="D160" s="15">
        <v>201.6</v>
      </c>
      <c r="E160" s="13" t="s">
        <v>1346</v>
      </c>
    </row>
    <row r="161" spans="1:5" hidden="1" x14ac:dyDescent="0.25">
      <c r="A161" s="9" t="s">
        <v>1343</v>
      </c>
      <c r="B161" s="10" t="s">
        <v>313</v>
      </c>
      <c r="C161" s="9" t="s">
        <v>314</v>
      </c>
      <c r="D161" s="15">
        <v>89</v>
      </c>
      <c r="E161" s="13" t="s">
        <v>1346</v>
      </c>
    </row>
    <row r="162" spans="1:5" hidden="1" x14ac:dyDescent="0.25">
      <c r="A162" s="9" t="s">
        <v>1343</v>
      </c>
      <c r="B162" s="10" t="s">
        <v>315</v>
      </c>
      <c r="C162" s="9" t="s">
        <v>316</v>
      </c>
      <c r="D162" s="15">
        <v>5.6</v>
      </c>
      <c r="E162" s="13" t="s">
        <v>1346</v>
      </c>
    </row>
    <row r="163" spans="1:5" hidden="1" x14ac:dyDescent="0.25">
      <c r="A163" s="9" t="s">
        <v>1343</v>
      </c>
      <c r="B163" s="10" t="s">
        <v>317</v>
      </c>
      <c r="C163" s="9" t="s">
        <v>318</v>
      </c>
      <c r="D163" s="15">
        <v>308.45999999999998</v>
      </c>
      <c r="E163" s="13" t="s">
        <v>1346</v>
      </c>
    </row>
    <row r="164" spans="1:5" hidden="1" x14ac:dyDescent="0.25">
      <c r="A164" s="9" t="s">
        <v>1343</v>
      </c>
      <c r="B164" s="10" t="s">
        <v>319</v>
      </c>
      <c r="C164" s="9" t="s">
        <v>320</v>
      </c>
      <c r="D164" s="15">
        <v>529.13</v>
      </c>
      <c r="E164" s="13" t="s">
        <v>1346</v>
      </c>
    </row>
    <row r="165" spans="1:5" hidden="1" x14ac:dyDescent="0.25">
      <c r="A165" s="9" t="s">
        <v>1343</v>
      </c>
      <c r="B165" s="10" t="s">
        <v>321</v>
      </c>
      <c r="C165" s="9" t="s">
        <v>322</v>
      </c>
      <c r="D165" s="15">
        <v>16.8</v>
      </c>
      <c r="E165" s="13" t="s">
        <v>1346</v>
      </c>
    </row>
    <row r="166" spans="1:5" hidden="1" x14ac:dyDescent="0.25">
      <c r="A166" s="9" t="s">
        <v>1343</v>
      </c>
      <c r="B166" s="10" t="s">
        <v>323</v>
      </c>
      <c r="C166" s="9" t="s">
        <v>324</v>
      </c>
      <c r="D166" s="15">
        <v>433.32</v>
      </c>
      <c r="E166" s="13" t="s">
        <v>1346</v>
      </c>
    </row>
    <row r="167" spans="1:5" hidden="1" x14ac:dyDescent="0.25">
      <c r="A167" s="9" t="s">
        <v>1343</v>
      </c>
      <c r="B167" s="10" t="s">
        <v>325</v>
      </c>
      <c r="C167" s="9" t="s">
        <v>326</v>
      </c>
      <c r="D167" s="15">
        <v>153.6</v>
      </c>
      <c r="E167" s="13" t="s">
        <v>1346</v>
      </c>
    </row>
    <row r="168" spans="1:5" hidden="1" x14ac:dyDescent="0.25">
      <c r="A168" s="9" t="s">
        <v>1343</v>
      </c>
      <c r="B168" s="10" t="s">
        <v>329</v>
      </c>
      <c r="C168" s="9" t="s">
        <v>330</v>
      </c>
      <c r="D168" s="15">
        <v>367.99</v>
      </c>
      <c r="E168" s="13" t="s">
        <v>1346</v>
      </c>
    </row>
    <row r="169" spans="1:5" hidden="1" x14ac:dyDescent="0.25">
      <c r="A169" s="9" t="s">
        <v>1343</v>
      </c>
      <c r="B169" s="10" t="s">
        <v>331</v>
      </c>
      <c r="C169" s="9" t="s">
        <v>332</v>
      </c>
      <c r="D169" s="15">
        <v>666.25</v>
      </c>
      <c r="E169" s="13" t="s">
        <v>1346</v>
      </c>
    </row>
    <row r="170" spans="1:5" hidden="1" x14ac:dyDescent="0.25">
      <c r="A170" s="9" t="s">
        <v>1343</v>
      </c>
      <c r="B170" s="10" t="s">
        <v>333</v>
      </c>
      <c r="C170" s="9" t="s">
        <v>334</v>
      </c>
      <c r="D170" s="15">
        <v>19.3</v>
      </c>
      <c r="E170" s="13" t="s">
        <v>1346</v>
      </c>
    </row>
    <row r="171" spans="1:5" hidden="1" x14ac:dyDescent="0.25">
      <c r="A171" s="9" t="s">
        <v>1343</v>
      </c>
      <c r="B171" s="10" t="s">
        <v>335</v>
      </c>
      <c r="C171" s="9" t="s">
        <v>336</v>
      </c>
      <c r="D171" s="15">
        <v>819.71</v>
      </c>
      <c r="E171" s="13" t="s">
        <v>1346</v>
      </c>
    </row>
    <row r="172" spans="1:5" hidden="1" x14ac:dyDescent="0.25">
      <c r="A172" s="9" t="s">
        <v>1343</v>
      </c>
      <c r="B172" s="10" t="s">
        <v>337</v>
      </c>
      <c r="C172" s="9" t="s">
        <v>338</v>
      </c>
      <c r="D172" s="15">
        <v>243.3</v>
      </c>
      <c r="E172" s="13" t="s">
        <v>1346</v>
      </c>
    </row>
    <row r="173" spans="1:5" hidden="1" x14ac:dyDescent="0.25">
      <c r="A173" s="9" t="s">
        <v>1343</v>
      </c>
      <c r="B173" s="10" t="s">
        <v>339</v>
      </c>
      <c r="C173" s="9" t="s">
        <v>340</v>
      </c>
      <c r="D173" s="15">
        <v>608.17999999999995</v>
      </c>
      <c r="E173" s="13" t="s">
        <v>1346</v>
      </c>
    </row>
    <row r="174" spans="1:5" hidden="1" x14ac:dyDescent="0.25">
      <c r="A174" s="9" t="s">
        <v>1343</v>
      </c>
      <c r="B174" s="10" t="s">
        <v>341</v>
      </c>
      <c r="C174" s="9" t="s">
        <v>342</v>
      </c>
      <c r="D174" s="15">
        <v>16.8</v>
      </c>
      <c r="E174" s="13" t="s">
        <v>1346</v>
      </c>
    </row>
    <row r="175" spans="1:5" hidden="1" x14ac:dyDescent="0.25">
      <c r="A175" s="9" t="s">
        <v>1343</v>
      </c>
      <c r="B175" s="10" t="s">
        <v>343</v>
      </c>
      <c r="C175" s="9" t="s">
        <v>344</v>
      </c>
      <c r="D175" s="15">
        <v>112.44</v>
      </c>
      <c r="E175" s="13" t="s">
        <v>1346</v>
      </c>
    </row>
    <row r="176" spans="1:5" hidden="1" x14ac:dyDescent="0.25">
      <c r="A176" s="9" t="s">
        <v>1343</v>
      </c>
      <c r="B176" s="10" t="s">
        <v>345</v>
      </c>
      <c r="C176" s="9" t="s">
        <v>346</v>
      </c>
      <c r="D176" s="15">
        <v>426.43</v>
      </c>
      <c r="E176" s="13" t="s">
        <v>1346</v>
      </c>
    </row>
    <row r="177" spans="1:5" hidden="1" x14ac:dyDescent="0.25">
      <c r="A177" s="9" t="s">
        <v>1343</v>
      </c>
      <c r="B177" s="10" t="s">
        <v>351</v>
      </c>
      <c r="C177" s="9" t="s">
        <v>352</v>
      </c>
      <c r="D177" s="15">
        <v>555.28</v>
      </c>
      <c r="E177" s="13" t="s">
        <v>1346</v>
      </c>
    </row>
    <row r="178" spans="1:5" hidden="1" x14ac:dyDescent="0.25">
      <c r="A178" s="9" t="s">
        <v>1343</v>
      </c>
      <c r="B178" s="10" t="s">
        <v>353</v>
      </c>
      <c r="C178" s="9" t="s">
        <v>354</v>
      </c>
      <c r="D178" s="15">
        <v>112</v>
      </c>
      <c r="E178" s="13" t="s">
        <v>1346</v>
      </c>
    </row>
    <row r="179" spans="1:5" hidden="1" x14ac:dyDescent="0.25">
      <c r="A179" s="9" t="s">
        <v>1343</v>
      </c>
      <c r="B179" s="10" t="s">
        <v>355</v>
      </c>
      <c r="C179" s="9" t="s">
        <v>356</v>
      </c>
      <c r="D179" s="15">
        <v>405.55</v>
      </c>
      <c r="E179" s="13" t="s">
        <v>1346</v>
      </c>
    </row>
    <row r="180" spans="1:5" hidden="1" x14ac:dyDescent="0.25">
      <c r="A180" s="9" t="s">
        <v>1343</v>
      </c>
      <c r="B180" s="10" t="s">
        <v>357</v>
      </c>
      <c r="C180" s="9" t="s">
        <v>358</v>
      </c>
      <c r="D180" s="15">
        <v>117.6</v>
      </c>
      <c r="E180" s="13" t="s">
        <v>1346</v>
      </c>
    </row>
    <row r="181" spans="1:5" hidden="1" x14ac:dyDescent="0.25">
      <c r="A181" s="9" t="s">
        <v>1343</v>
      </c>
      <c r="B181" s="10" t="s">
        <v>359</v>
      </c>
      <c r="C181" s="9" t="s">
        <v>360</v>
      </c>
      <c r="D181" s="15">
        <v>1001.19</v>
      </c>
      <c r="E181" s="13" t="s">
        <v>1346</v>
      </c>
    </row>
    <row r="182" spans="1:5" hidden="1" x14ac:dyDescent="0.25">
      <c r="A182" s="9" t="s">
        <v>1343</v>
      </c>
      <c r="B182" s="10" t="s">
        <v>361</v>
      </c>
      <c r="C182" s="9" t="s">
        <v>362</v>
      </c>
      <c r="D182" s="15">
        <v>984.37</v>
      </c>
      <c r="E182" s="13" t="s">
        <v>1346</v>
      </c>
    </row>
    <row r="183" spans="1:5" hidden="1" x14ac:dyDescent="0.25">
      <c r="A183" s="9" t="s">
        <v>1343</v>
      </c>
      <c r="B183" s="10" t="s">
        <v>363</v>
      </c>
      <c r="C183" s="9" t="s">
        <v>364</v>
      </c>
      <c r="D183" s="15">
        <v>310.73</v>
      </c>
      <c r="E183" s="13" t="s">
        <v>1346</v>
      </c>
    </row>
    <row r="184" spans="1:5" hidden="1" x14ac:dyDescent="0.25">
      <c r="A184" s="9" t="s">
        <v>1343</v>
      </c>
      <c r="B184" s="10" t="s">
        <v>365</v>
      </c>
      <c r="C184" s="9" t="s">
        <v>366</v>
      </c>
      <c r="D184" s="15">
        <v>153.09</v>
      </c>
      <c r="E184" s="13" t="s">
        <v>1346</v>
      </c>
    </row>
    <row r="185" spans="1:5" hidden="1" x14ac:dyDescent="0.25">
      <c r="A185" s="9" t="s">
        <v>1343</v>
      </c>
      <c r="B185" s="10" t="s">
        <v>367</v>
      </c>
      <c r="C185" s="9" t="s">
        <v>368</v>
      </c>
      <c r="D185" s="15">
        <v>146.66</v>
      </c>
      <c r="E185" s="13" t="s">
        <v>1346</v>
      </c>
    </row>
    <row r="186" spans="1:5" hidden="1" x14ac:dyDescent="0.25">
      <c r="A186" s="9" t="s">
        <v>1343</v>
      </c>
      <c r="B186" s="10" t="s">
        <v>373</v>
      </c>
      <c r="C186" s="9" t="s">
        <v>374</v>
      </c>
      <c r="D186" s="15">
        <v>527.09</v>
      </c>
      <c r="E186" s="13" t="s">
        <v>1346</v>
      </c>
    </row>
    <row r="187" spans="1:5" hidden="1" x14ac:dyDescent="0.25">
      <c r="A187" s="9" t="s">
        <v>1343</v>
      </c>
      <c r="B187" s="10" t="s">
        <v>375</v>
      </c>
      <c r="C187" s="9" t="s">
        <v>376</v>
      </c>
      <c r="D187" s="15">
        <v>358.46</v>
      </c>
      <c r="E187" s="13" t="s">
        <v>1346</v>
      </c>
    </row>
    <row r="188" spans="1:5" hidden="1" x14ac:dyDescent="0.25">
      <c r="A188" s="9" t="s">
        <v>1343</v>
      </c>
      <c r="B188" s="10" t="s">
        <v>377</v>
      </c>
      <c r="C188" s="9" t="s">
        <v>378</v>
      </c>
      <c r="D188" s="15">
        <v>156.80000000000001</v>
      </c>
      <c r="E188" s="13" t="s">
        <v>1346</v>
      </c>
    </row>
    <row r="189" spans="1:5" hidden="1" x14ac:dyDescent="0.25">
      <c r="A189" s="9" t="s">
        <v>1343</v>
      </c>
      <c r="B189" s="10" t="s">
        <v>383</v>
      </c>
      <c r="C189" s="9" t="s">
        <v>384</v>
      </c>
      <c r="D189" s="15">
        <v>97.92</v>
      </c>
      <c r="E189" s="13" t="s">
        <v>1346</v>
      </c>
    </row>
    <row r="190" spans="1:5" hidden="1" x14ac:dyDescent="0.25">
      <c r="A190" s="9" t="s">
        <v>1343</v>
      </c>
      <c r="B190" s="10" t="s">
        <v>385</v>
      </c>
      <c r="C190" s="9" t="s">
        <v>386</v>
      </c>
      <c r="D190" s="15">
        <v>328.57</v>
      </c>
      <c r="E190" s="13" t="s">
        <v>1346</v>
      </c>
    </row>
    <row r="191" spans="1:5" hidden="1" x14ac:dyDescent="0.25">
      <c r="A191" s="9" t="s">
        <v>1343</v>
      </c>
      <c r="B191" s="10" t="s">
        <v>387</v>
      </c>
      <c r="C191" s="9" t="s">
        <v>388</v>
      </c>
      <c r="D191" s="15">
        <v>95.2</v>
      </c>
      <c r="E191" s="13" t="s">
        <v>1346</v>
      </c>
    </row>
    <row r="192" spans="1:5" hidden="1" x14ac:dyDescent="0.25">
      <c r="A192" s="9" t="s">
        <v>1343</v>
      </c>
      <c r="B192" s="10" t="s">
        <v>389</v>
      </c>
      <c r="C192" s="9" t="s">
        <v>390</v>
      </c>
      <c r="D192" s="15">
        <v>248.37</v>
      </c>
      <c r="E192" s="13" t="s">
        <v>1346</v>
      </c>
    </row>
    <row r="193" spans="1:5" hidden="1" x14ac:dyDescent="0.25">
      <c r="A193" s="9" t="s">
        <v>1343</v>
      </c>
      <c r="B193" s="10" t="s">
        <v>391</v>
      </c>
      <c r="C193" s="9" t="s">
        <v>392</v>
      </c>
      <c r="D193" s="15">
        <v>139.02000000000001</v>
      </c>
      <c r="E193" s="13" t="s">
        <v>1346</v>
      </c>
    </row>
    <row r="194" spans="1:5" hidden="1" x14ac:dyDescent="0.25">
      <c r="A194" s="9" t="s">
        <v>1343</v>
      </c>
      <c r="B194" s="10" t="s">
        <v>393</v>
      </c>
      <c r="C194" s="9" t="s">
        <v>394</v>
      </c>
      <c r="D194" s="15">
        <v>112</v>
      </c>
      <c r="E194" s="13" t="s">
        <v>1346</v>
      </c>
    </row>
    <row r="195" spans="1:5" hidden="1" x14ac:dyDescent="0.25">
      <c r="A195" s="9" t="s">
        <v>1343</v>
      </c>
      <c r="B195" s="10" t="s">
        <v>395</v>
      </c>
      <c r="C195" s="9" t="s">
        <v>396</v>
      </c>
      <c r="D195" s="15">
        <v>519.64</v>
      </c>
      <c r="E195" s="13" t="s">
        <v>1346</v>
      </c>
    </row>
    <row r="196" spans="1:5" hidden="1" x14ac:dyDescent="0.25">
      <c r="A196" s="9" t="s">
        <v>1343</v>
      </c>
      <c r="B196" s="10" t="s">
        <v>397</v>
      </c>
      <c r="C196" s="9" t="s">
        <v>398</v>
      </c>
      <c r="D196" s="15">
        <v>106.4</v>
      </c>
      <c r="E196" s="13" t="s">
        <v>1346</v>
      </c>
    </row>
    <row r="197" spans="1:5" hidden="1" x14ac:dyDescent="0.25">
      <c r="A197" s="9" t="s">
        <v>1343</v>
      </c>
      <c r="B197" s="10" t="s">
        <v>401</v>
      </c>
      <c r="C197" s="9" t="s">
        <v>402</v>
      </c>
      <c r="D197" s="15">
        <v>425</v>
      </c>
      <c r="E197" s="13" t="s">
        <v>1346</v>
      </c>
    </row>
    <row r="198" spans="1:5" hidden="1" x14ac:dyDescent="0.25">
      <c r="A198" s="9" t="s">
        <v>1343</v>
      </c>
      <c r="B198" s="10" t="s">
        <v>403</v>
      </c>
      <c r="C198" s="9" t="s">
        <v>404</v>
      </c>
      <c r="D198" s="15">
        <v>72.8</v>
      </c>
      <c r="E198" s="13" t="s">
        <v>1346</v>
      </c>
    </row>
    <row r="199" spans="1:5" hidden="1" x14ac:dyDescent="0.25">
      <c r="A199" s="9" t="s">
        <v>1343</v>
      </c>
      <c r="B199" s="10" t="s">
        <v>1337</v>
      </c>
      <c r="C199" s="9" t="s">
        <v>1338</v>
      </c>
      <c r="D199" s="15">
        <v>918.53</v>
      </c>
      <c r="E199" s="13" t="s">
        <v>1346</v>
      </c>
    </row>
    <row r="200" spans="1:5" hidden="1" x14ac:dyDescent="0.25">
      <c r="A200" s="9" t="s">
        <v>1343</v>
      </c>
      <c r="B200" s="10" t="s">
        <v>405</v>
      </c>
      <c r="C200" s="9" t="s">
        <v>406</v>
      </c>
      <c r="D200" s="15">
        <v>399.56</v>
      </c>
      <c r="E200" s="13" t="s">
        <v>1346</v>
      </c>
    </row>
    <row r="201" spans="1:5" hidden="1" x14ac:dyDescent="0.25">
      <c r="A201" s="9" t="s">
        <v>1343</v>
      </c>
      <c r="B201" s="10" t="s">
        <v>407</v>
      </c>
      <c r="C201" s="9" t="s">
        <v>408</v>
      </c>
      <c r="D201" s="15">
        <v>322.14999999999998</v>
      </c>
      <c r="E201" s="13" t="s">
        <v>1346</v>
      </c>
    </row>
    <row r="202" spans="1:5" hidden="1" x14ac:dyDescent="0.25">
      <c r="A202" s="9" t="s">
        <v>1343</v>
      </c>
      <c r="B202" s="10" t="s">
        <v>411</v>
      </c>
      <c r="C202" s="9" t="s">
        <v>412</v>
      </c>
      <c r="D202" s="15">
        <v>291.64999999999998</v>
      </c>
      <c r="E202" s="13" t="s">
        <v>1346</v>
      </c>
    </row>
    <row r="203" spans="1:5" hidden="1" x14ac:dyDescent="0.25">
      <c r="A203" s="9" t="s">
        <v>1343</v>
      </c>
      <c r="B203" s="10" t="s">
        <v>413</v>
      </c>
      <c r="C203" s="9" t="s">
        <v>414</v>
      </c>
      <c r="D203" s="15">
        <v>265.7</v>
      </c>
      <c r="E203" s="13" t="s">
        <v>1346</v>
      </c>
    </row>
    <row r="204" spans="1:5" hidden="1" x14ac:dyDescent="0.25">
      <c r="A204" s="9" t="s">
        <v>1343</v>
      </c>
      <c r="B204" s="10" t="s">
        <v>429</v>
      </c>
      <c r="C204" s="9" t="s">
        <v>430</v>
      </c>
      <c r="D204" s="15">
        <v>39.200000000000003</v>
      </c>
      <c r="E204" s="13" t="s">
        <v>1346</v>
      </c>
    </row>
    <row r="205" spans="1:5" hidden="1" x14ac:dyDescent="0.25">
      <c r="A205" s="9" t="s">
        <v>1343</v>
      </c>
      <c r="B205" s="10" t="s">
        <v>435</v>
      </c>
      <c r="C205" s="9" t="s">
        <v>436</v>
      </c>
      <c r="D205" s="15">
        <v>166.8</v>
      </c>
      <c r="E205" s="13" t="s">
        <v>1346</v>
      </c>
    </row>
    <row r="206" spans="1:5" hidden="1" x14ac:dyDescent="0.25">
      <c r="A206" s="9" t="s">
        <v>1343</v>
      </c>
      <c r="B206" s="10" t="s">
        <v>437</v>
      </c>
      <c r="C206" s="9" t="s">
        <v>438</v>
      </c>
      <c r="D206" s="15">
        <v>725.96</v>
      </c>
      <c r="E206" s="13" t="s">
        <v>1346</v>
      </c>
    </row>
    <row r="207" spans="1:5" hidden="1" x14ac:dyDescent="0.25">
      <c r="A207" s="9" t="s">
        <v>1343</v>
      </c>
      <c r="B207" s="10" t="s">
        <v>441</v>
      </c>
      <c r="C207" s="9" t="s">
        <v>442</v>
      </c>
      <c r="D207" s="15">
        <v>515.04999999999995</v>
      </c>
      <c r="E207" s="13" t="s">
        <v>1346</v>
      </c>
    </row>
    <row r="208" spans="1:5" hidden="1" x14ac:dyDescent="0.25">
      <c r="A208" s="9" t="s">
        <v>1343</v>
      </c>
      <c r="B208" s="10" t="s">
        <v>443</v>
      </c>
      <c r="C208" s="9" t="s">
        <v>444</v>
      </c>
      <c r="D208" s="15">
        <v>31.8</v>
      </c>
      <c r="E208" s="13" t="s">
        <v>1346</v>
      </c>
    </row>
    <row r="209" spans="1:5" hidden="1" x14ac:dyDescent="0.25">
      <c r="A209" s="9" t="s">
        <v>1343</v>
      </c>
      <c r="B209" s="10" t="s">
        <v>445</v>
      </c>
      <c r="C209" s="9" t="s">
        <v>446</v>
      </c>
      <c r="D209" s="15">
        <v>465.25</v>
      </c>
      <c r="E209" s="13" t="s">
        <v>1346</v>
      </c>
    </row>
    <row r="210" spans="1:5" hidden="1" x14ac:dyDescent="0.25">
      <c r="A210" s="9" t="s">
        <v>1343</v>
      </c>
      <c r="B210" s="10" t="s">
        <v>447</v>
      </c>
      <c r="C210" s="9" t="s">
        <v>448</v>
      </c>
      <c r="D210" s="15">
        <v>431.03</v>
      </c>
      <c r="E210" s="13" t="s">
        <v>1346</v>
      </c>
    </row>
    <row r="211" spans="1:5" hidden="1" x14ac:dyDescent="0.25">
      <c r="A211" s="9" t="s">
        <v>1343</v>
      </c>
      <c r="B211" s="10" t="s">
        <v>451</v>
      </c>
      <c r="C211" s="9" t="s">
        <v>452</v>
      </c>
      <c r="D211" s="15">
        <v>52.9</v>
      </c>
      <c r="E211" s="13" t="s">
        <v>1346</v>
      </c>
    </row>
    <row r="212" spans="1:5" hidden="1" x14ac:dyDescent="0.25">
      <c r="A212" s="9" t="s">
        <v>1343</v>
      </c>
      <c r="B212" s="10" t="s">
        <v>457</v>
      </c>
      <c r="C212" s="9" t="s">
        <v>458</v>
      </c>
      <c r="D212" s="15">
        <v>132.57</v>
      </c>
      <c r="E212" s="13" t="s">
        <v>1346</v>
      </c>
    </row>
    <row r="213" spans="1:5" hidden="1" x14ac:dyDescent="0.25">
      <c r="A213" s="9" t="s">
        <v>1343</v>
      </c>
      <c r="B213" s="10" t="s">
        <v>459</v>
      </c>
      <c r="C213" s="9" t="s">
        <v>460</v>
      </c>
      <c r="D213" s="15">
        <v>72.2</v>
      </c>
      <c r="E213" s="13" t="s">
        <v>1346</v>
      </c>
    </row>
    <row r="214" spans="1:5" hidden="1" x14ac:dyDescent="0.25">
      <c r="A214" s="9" t="s">
        <v>1343</v>
      </c>
      <c r="B214" s="10" t="s">
        <v>461</v>
      </c>
      <c r="C214" s="9" t="s">
        <v>462</v>
      </c>
      <c r="D214" s="15">
        <v>358.86</v>
      </c>
      <c r="E214" s="13" t="s">
        <v>1346</v>
      </c>
    </row>
    <row r="215" spans="1:5" hidden="1" x14ac:dyDescent="0.25">
      <c r="A215" s="9" t="s">
        <v>1343</v>
      </c>
      <c r="B215" s="10" t="s">
        <v>463</v>
      </c>
      <c r="C215" s="9" t="s">
        <v>464</v>
      </c>
      <c r="D215" s="15">
        <v>137</v>
      </c>
      <c r="E215" s="13" t="s">
        <v>1346</v>
      </c>
    </row>
    <row r="216" spans="1:5" hidden="1" x14ac:dyDescent="0.25">
      <c r="A216" s="9" t="s">
        <v>1343</v>
      </c>
      <c r="B216" s="10" t="s">
        <v>467</v>
      </c>
      <c r="C216" s="9" t="s">
        <v>468</v>
      </c>
      <c r="D216" s="15">
        <v>97.7</v>
      </c>
      <c r="E216" s="13" t="s">
        <v>1346</v>
      </c>
    </row>
    <row r="217" spans="1:5" hidden="1" x14ac:dyDescent="0.25">
      <c r="A217" s="9" t="s">
        <v>1343</v>
      </c>
      <c r="B217" s="10" t="s">
        <v>469</v>
      </c>
      <c r="C217" s="9" t="s">
        <v>470</v>
      </c>
      <c r="D217" s="15">
        <v>285.20999999999998</v>
      </c>
      <c r="E217" s="13" t="s">
        <v>1346</v>
      </c>
    </row>
    <row r="218" spans="1:5" hidden="1" x14ac:dyDescent="0.25">
      <c r="A218" s="9" t="s">
        <v>1343</v>
      </c>
      <c r="B218" s="10" t="s">
        <v>471</v>
      </c>
      <c r="C218" s="9" t="s">
        <v>472</v>
      </c>
      <c r="D218" s="15">
        <v>141.26</v>
      </c>
      <c r="E218" s="13" t="s">
        <v>1346</v>
      </c>
    </row>
    <row r="219" spans="1:5" hidden="1" x14ac:dyDescent="0.25">
      <c r="A219" s="9" t="s">
        <v>1343</v>
      </c>
      <c r="B219" s="10" t="s">
        <v>473</v>
      </c>
      <c r="C219" s="9" t="s">
        <v>474</v>
      </c>
      <c r="D219" s="15">
        <v>179.2</v>
      </c>
      <c r="E219" s="13" t="s">
        <v>1346</v>
      </c>
    </row>
    <row r="220" spans="1:5" hidden="1" x14ac:dyDescent="0.25">
      <c r="A220" s="9" t="s">
        <v>1343</v>
      </c>
      <c r="B220" s="10" t="s">
        <v>475</v>
      </c>
      <c r="C220" s="9" t="s">
        <v>476</v>
      </c>
      <c r="D220" s="15">
        <v>171.56</v>
      </c>
      <c r="E220" s="13" t="s">
        <v>1346</v>
      </c>
    </row>
    <row r="221" spans="1:5" hidden="1" x14ac:dyDescent="0.25">
      <c r="A221" s="9" t="s">
        <v>1343</v>
      </c>
      <c r="B221" s="10" t="s">
        <v>477</v>
      </c>
      <c r="C221" s="9" t="s">
        <v>478</v>
      </c>
      <c r="D221" s="15">
        <v>676.88</v>
      </c>
      <c r="E221" s="13" t="s">
        <v>1346</v>
      </c>
    </row>
    <row r="222" spans="1:5" hidden="1" x14ac:dyDescent="0.25">
      <c r="A222" s="9" t="s">
        <v>1343</v>
      </c>
      <c r="B222" s="10" t="s">
        <v>479</v>
      </c>
      <c r="C222" s="9" t="s">
        <v>480</v>
      </c>
      <c r="D222" s="15">
        <v>22.4</v>
      </c>
      <c r="E222" s="13" t="s">
        <v>1346</v>
      </c>
    </row>
    <row r="223" spans="1:5" hidden="1" x14ac:dyDescent="0.25">
      <c r="A223" s="9" t="s">
        <v>1343</v>
      </c>
      <c r="B223" s="10" t="s">
        <v>481</v>
      </c>
      <c r="C223" s="9" t="s">
        <v>482</v>
      </c>
      <c r="D223" s="15">
        <v>691.75</v>
      </c>
      <c r="E223" s="13" t="s">
        <v>1346</v>
      </c>
    </row>
    <row r="224" spans="1:5" hidden="1" x14ac:dyDescent="0.25">
      <c r="A224" s="9" t="s">
        <v>1343</v>
      </c>
      <c r="B224" s="10" t="s">
        <v>489</v>
      </c>
      <c r="C224" s="9" t="s">
        <v>490</v>
      </c>
      <c r="D224" s="15">
        <v>55.4</v>
      </c>
      <c r="E224" s="13" t="s">
        <v>1346</v>
      </c>
    </row>
    <row r="225" spans="1:5" hidden="1" x14ac:dyDescent="0.25">
      <c r="A225" s="9" t="s">
        <v>1343</v>
      </c>
      <c r="B225" s="10" t="s">
        <v>497</v>
      </c>
      <c r="C225" s="9" t="s">
        <v>498</v>
      </c>
      <c r="D225" s="15">
        <v>207.2</v>
      </c>
      <c r="E225" s="13" t="s">
        <v>1346</v>
      </c>
    </row>
    <row r="226" spans="1:5" hidden="1" x14ac:dyDescent="0.25">
      <c r="A226" s="9" t="s">
        <v>1343</v>
      </c>
      <c r="B226" s="10" t="s">
        <v>503</v>
      </c>
      <c r="C226" s="9" t="s">
        <v>504</v>
      </c>
      <c r="D226" s="15">
        <v>291.64</v>
      </c>
      <c r="E226" s="13" t="s">
        <v>1346</v>
      </c>
    </row>
    <row r="227" spans="1:5" hidden="1" x14ac:dyDescent="0.25">
      <c r="A227" s="9" t="s">
        <v>1343</v>
      </c>
      <c r="B227" s="10" t="s">
        <v>509</v>
      </c>
      <c r="C227" s="9" t="s">
        <v>510</v>
      </c>
      <c r="D227" s="15">
        <v>263.64</v>
      </c>
      <c r="E227" s="13" t="s">
        <v>1346</v>
      </c>
    </row>
    <row r="228" spans="1:5" hidden="1" x14ac:dyDescent="0.25">
      <c r="A228" s="9" t="s">
        <v>1343</v>
      </c>
      <c r="B228" s="10" t="s">
        <v>511</v>
      </c>
      <c r="C228" s="9" t="s">
        <v>512</v>
      </c>
      <c r="D228" s="15">
        <v>438.91</v>
      </c>
      <c r="E228" s="13" t="s">
        <v>1346</v>
      </c>
    </row>
    <row r="229" spans="1:5" hidden="1" x14ac:dyDescent="0.25">
      <c r="A229" s="9" t="s">
        <v>1343</v>
      </c>
      <c r="B229" s="10" t="s">
        <v>513</v>
      </c>
      <c r="C229" s="9" t="s">
        <v>514</v>
      </c>
      <c r="D229" s="15">
        <v>5.6</v>
      </c>
      <c r="E229" s="13" t="s">
        <v>1346</v>
      </c>
    </row>
    <row r="230" spans="1:5" hidden="1" x14ac:dyDescent="0.25">
      <c r="A230" s="9" t="s">
        <v>1343</v>
      </c>
      <c r="B230" s="10" t="s">
        <v>519</v>
      </c>
      <c r="C230" s="9" t="s">
        <v>520</v>
      </c>
      <c r="D230" s="15">
        <v>213.86</v>
      </c>
      <c r="E230" s="13" t="s">
        <v>1346</v>
      </c>
    </row>
    <row r="231" spans="1:5" hidden="1" x14ac:dyDescent="0.25">
      <c r="A231" s="9" t="s">
        <v>1343</v>
      </c>
      <c r="B231" s="10" t="s">
        <v>521</v>
      </c>
      <c r="C231" s="9" t="s">
        <v>522</v>
      </c>
      <c r="D231" s="15">
        <v>784.07</v>
      </c>
      <c r="E231" s="13" t="s">
        <v>1346</v>
      </c>
    </row>
    <row r="232" spans="1:5" hidden="1" x14ac:dyDescent="0.25">
      <c r="A232" s="9" t="s">
        <v>1343</v>
      </c>
      <c r="B232" s="10" t="s">
        <v>523</v>
      </c>
      <c r="C232" s="9" t="s">
        <v>524</v>
      </c>
      <c r="D232" s="15">
        <v>297.25</v>
      </c>
      <c r="E232" s="13" t="s">
        <v>1346</v>
      </c>
    </row>
    <row r="233" spans="1:5" hidden="1" x14ac:dyDescent="0.25">
      <c r="A233" s="9" t="s">
        <v>1343</v>
      </c>
      <c r="B233" s="10" t="s">
        <v>527</v>
      </c>
      <c r="C233" s="9" t="s">
        <v>528</v>
      </c>
      <c r="D233" s="15">
        <v>365.06</v>
      </c>
      <c r="E233" s="13" t="s">
        <v>1346</v>
      </c>
    </row>
    <row r="234" spans="1:5" hidden="1" x14ac:dyDescent="0.25">
      <c r="A234" s="9" t="s">
        <v>1343</v>
      </c>
      <c r="B234" s="10" t="s">
        <v>529</v>
      </c>
      <c r="C234" s="9" t="s">
        <v>530</v>
      </c>
      <c r="D234" s="15">
        <v>570.59</v>
      </c>
      <c r="E234" s="13" t="s">
        <v>1346</v>
      </c>
    </row>
    <row r="235" spans="1:5" hidden="1" x14ac:dyDescent="0.25">
      <c r="A235" s="9" t="s">
        <v>1343</v>
      </c>
      <c r="B235" s="10" t="s">
        <v>531</v>
      </c>
      <c r="C235" s="9" t="s">
        <v>532</v>
      </c>
      <c r="D235" s="15">
        <v>156.19999999999999</v>
      </c>
      <c r="E235" s="13" t="s">
        <v>1346</v>
      </c>
    </row>
    <row r="236" spans="1:5" hidden="1" x14ac:dyDescent="0.25">
      <c r="A236" s="9" t="s">
        <v>1343</v>
      </c>
      <c r="B236" s="10" t="s">
        <v>533</v>
      </c>
      <c r="C236" s="9" t="s">
        <v>534</v>
      </c>
      <c r="D236" s="15">
        <v>50.4</v>
      </c>
      <c r="E236" s="13" t="s">
        <v>1346</v>
      </c>
    </row>
    <row r="237" spans="1:5" hidden="1" x14ac:dyDescent="0.25">
      <c r="A237" s="9" t="s">
        <v>1343</v>
      </c>
      <c r="B237" s="10" t="s">
        <v>535</v>
      </c>
      <c r="C237" s="9" t="s">
        <v>536</v>
      </c>
      <c r="D237" s="15">
        <v>95.2</v>
      </c>
      <c r="E237" s="13" t="s">
        <v>1346</v>
      </c>
    </row>
    <row r="238" spans="1:5" hidden="1" x14ac:dyDescent="0.25">
      <c r="A238" s="9" t="s">
        <v>1343</v>
      </c>
      <c r="B238" s="10" t="s">
        <v>539</v>
      </c>
      <c r="C238" s="9" t="s">
        <v>540</v>
      </c>
      <c r="D238" s="15">
        <v>160.78</v>
      </c>
      <c r="E238" s="13" t="s">
        <v>1346</v>
      </c>
    </row>
    <row r="239" spans="1:5" hidden="1" x14ac:dyDescent="0.25">
      <c r="A239" s="9" t="s">
        <v>1343</v>
      </c>
      <c r="B239" s="10" t="s">
        <v>541</v>
      </c>
      <c r="C239" s="9" t="s">
        <v>542</v>
      </c>
      <c r="D239" s="15">
        <v>148.93</v>
      </c>
      <c r="E239" s="13" t="s">
        <v>1346</v>
      </c>
    </row>
    <row r="240" spans="1:5" hidden="1" x14ac:dyDescent="0.25">
      <c r="A240" s="9" t="s">
        <v>1343</v>
      </c>
      <c r="B240" s="10" t="s">
        <v>543</v>
      </c>
      <c r="C240" s="9" t="s">
        <v>544</v>
      </c>
      <c r="D240" s="15">
        <v>465.07</v>
      </c>
      <c r="E240" s="13" t="s">
        <v>1346</v>
      </c>
    </row>
    <row r="241" spans="1:5" hidden="1" x14ac:dyDescent="0.25">
      <c r="A241" s="9" t="s">
        <v>1343</v>
      </c>
      <c r="B241" s="10" t="s">
        <v>545</v>
      </c>
      <c r="C241" s="9" t="s">
        <v>546</v>
      </c>
      <c r="D241" s="15">
        <v>150.6</v>
      </c>
      <c r="E241" s="13" t="s">
        <v>1346</v>
      </c>
    </row>
    <row r="242" spans="1:5" hidden="1" x14ac:dyDescent="0.25">
      <c r="A242" s="9" t="s">
        <v>1343</v>
      </c>
      <c r="B242" s="10" t="s">
        <v>549</v>
      </c>
      <c r="C242" s="9" t="s">
        <v>550</v>
      </c>
      <c r="D242" s="15">
        <v>724.18</v>
      </c>
      <c r="E242" s="13" t="s">
        <v>1346</v>
      </c>
    </row>
    <row r="243" spans="1:5" hidden="1" x14ac:dyDescent="0.25">
      <c r="A243" s="9" t="s">
        <v>1343</v>
      </c>
      <c r="B243" s="10" t="s">
        <v>551</v>
      </c>
      <c r="C243" s="9" t="s">
        <v>552</v>
      </c>
      <c r="D243" s="15">
        <v>685.53</v>
      </c>
      <c r="E243" s="13" t="s">
        <v>1346</v>
      </c>
    </row>
    <row r="244" spans="1:5" hidden="1" x14ac:dyDescent="0.25">
      <c r="A244" s="9" t="s">
        <v>1343</v>
      </c>
      <c r="B244" s="10" t="s">
        <v>553</v>
      </c>
      <c r="C244" s="9" t="s">
        <v>554</v>
      </c>
      <c r="D244" s="15">
        <v>635.76</v>
      </c>
      <c r="E244" s="13" t="s">
        <v>1346</v>
      </c>
    </row>
    <row r="245" spans="1:5" hidden="1" x14ac:dyDescent="0.25">
      <c r="A245" s="9" t="s">
        <v>1343</v>
      </c>
      <c r="B245" s="10" t="s">
        <v>559</v>
      </c>
      <c r="C245" s="9" t="s">
        <v>560</v>
      </c>
      <c r="D245" s="15">
        <v>654.21</v>
      </c>
      <c r="E245" s="13" t="s">
        <v>1346</v>
      </c>
    </row>
    <row r="246" spans="1:5" hidden="1" x14ac:dyDescent="0.25">
      <c r="A246" s="9" t="s">
        <v>1343</v>
      </c>
      <c r="B246" s="10" t="s">
        <v>563</v>
      </c>
      <c r="C246" s="9" t="s">
        <v>564</v>
      </c>
      <c r="D246" s="15">
        <v>353.03</v>
      </c>
      <c r="E246" s="13" t="s">
        <v>1346</v>
      </c>
    </row>
    <row r="247" spans="1:5" hidden="1" x14ac:dyDescent="0.25">
      <c r="A247" s="9" t="s">
        <v>1343</v>
      </c>
      <c r="B247" s="10" t="s">
        <v>567</v>
      </c>
      <c r="C247" s="9" t="s">
        <v>568</v>
      </c>
      <c r="D247" s="15">
        <v>587.20000000000005</v>
      </c>
      <c r="E247" s="13" t="s">
        <v>1346</v>
      </c>
    </row>
    <row r="248" spans="1:5" hidden="1" x14ac:dyDescent="0.25">
      <c r="A248" s="9" t="s">
        <v>1343</v>
      </c>
      <c r="B248" s="10" t="s">
        <v>581</v>
      </c>
      <c r="C248" s="9" t="s">
        <v>582</v>
      </c>
      <c r="D248" s="15">
        <v>1233.4000000000001</v>
      </c>
      <c r="E248" s="13" t="s">
        <v>1346</v>
      </c>
    </row>
    <row r="249" spans="1:5" hidden="1" x14ac:dyDescent="0.25">
      <c r="A249" s="9" t="s">
        <v>1343</v>
      </c>
      <c r="B249" s="10" t="s">
        <v>585</v>
      </c>
      <c r="C249" s="9" t="s">
        <v>586</v>
      </c>
      <c r="D249" s="15">
        <v>614.6</v>
      </c>
      <c r="E249" s="13" t="s">
        <v>1346</v>
      </c>
    </row>
    <row r="250" spans="1:5" hidden="1" x14ac:dyDescent="0.25">
      <c r="A250" s="9" t="s">
        <v>1343</v>
      </c>
      <c r="B250" s="10" t="s">
        <v>587</v>
      </c>
      <c r="C250" s="9" t="s">
        <v>588</v>
      </c>
      <c r="D250" s="15">
        <v>1015.54</v>
      </c>
      <c r="E250" s="13" t="s">
        <v>1346</v>
      </c>
    </row>
    <row r="251" spans="1:5" hidden="1" x14ac:dyDescent="0.25">
      <c r="A251" s="9" t="s">
        <v>1343</v>
      </c>
      <c r="B251" s="10" t="s">
        <v>591</v>
      </c>
      <c r="C251" s="9" t="s">
        <v>592</v>
      </c>
      <c r="D251" s="15">
        <v>99.36</v>
      </c>
      <c r="E251" s="13" t="s">
        <v>1346</v>
      </c>
    </row>
    <row r="252" spans="1:5" hidden="1" x14ac:dyDescent="0.25">
      <c r="A252" s="9" t="s">
        <v>1343</v>
      </c>
      <c r="B252" s="10" t="s">
        <v>593</v>
      </c>
      <c r="C252" s="9" t="s">
        <v>594</v>
      </c>
      <c r="D252" s="15">
        <v>303.68</v>
      </c>
      <c r="E252" s="13" t="s">
        <v>1346</v>
      </c>
    </row>
    <row r="253" spans="1:5" hidden="1" x14ac:dyDescent="0.25">
      <c r="A253" s="9" t="s">
        <v>1343</v>
      </c>
      <c r="B253" s="10" t="s">
        <v>595</v>
      </c>
      <c r="C253" s="9" t="s">
        <v>596</v>
      </c>
      <c r="D253" s="15">
        <v>613.38</v>
      </c>
      <c r="E253" s="13" t="s">
        <v>1346</v>
      </c>
    </row>
    <row r="254" spans="1:5" hidden="1" x14ac:dyDescent="0.25">
      <c r="A254" s="9" t="s">
        <v>1343</v>
      </c>
      <c r="B254" s="10" t="s">
        <v>597</v>
      </c>
      <c r="C254" s="9" t="s">
        <v>598</v>
      </c>
      <c r="D254" s="15">
        <v>106.8</v>
      </c>
      <c r="E254" s="13" t="s">
        <v>1346</v>
      </c>
    </row>
    <row r="255" spans="1:5" hidden="1" x14ac:dyDescent="0.25">
      <c r="A255" s="9" t="s">
        <v>1343</v>
      </c>
      <c r="B255" s="10" t="s">
        <v>601</v>
      </c>
      <c r="C255" s="9" t="s">
        <v>602</v>
      </c>
      <c r="D255" s="15">
        <v>1337.06</v>
      </c>
      <c r="E255" s="13" t="s">
        <v>1346</v>
      </c>
    </row>
    <row r="256" spans="1:5" hidden="1" x14ac:dyDescent="0.25">
      <c r="A256" s="9" t="s">
        <v>1343</v>
      </c>
      <c r="B256" s="10" t="s">
        <v>603</v>
      </c>
      <c r="C256" s="9" t="s">
        <v>604</v>
      </c>
      <c r="D256" s="15">
        <v>158.80000000000001</v>
      </c>
      <c r="E256" s="13" t="s">
        <v>1346</v>
      </c>
    </row>
    <row r="257" spans="1:5" hidden="1" x14ac:dyDescent="0.25">
      <c r="A257" s="9" t="s">
        <v>1343</v>
      </c>
      <c r="B257" s="10" t="s">
        <v>609</v>
      </c>
      <c r="C257" s="9" t="s">
        <v>610</v>
      </c>
      <c r="D257" s="15">
        <v>476</v>
      </c>
      <c r="E257" s="13" t="s">
        <v>1346</v>
      </c>
    </row>
    <row r="258" spans="1:5" hidden="1" x14ac:dyDescent="0.25">
      <c r="A258" s="9" t="s">
        <v>1343</v>
      </c>
      <c r="B258" s="10" t="s">
        <v>613</v>
      </c>
      <c r="C258" s="9" t="s">
        <v>614</v>
      </c>
      <c r="D258" s="15">
        <v>196.68</v>
      </c>
      <c r="E258" s="13" t="s">
        <v>1346</v>
      </c>
    </row>
    <row r="259" spans="1:5" hidden="1" x14ac:dyDescent="0.25">
      <c r="A259" s="9" t="s">
        <v>1343</v>
      </c>
      <c r="B259" s="10" t="s">
        <v>615</v>
      </c>
      <c r="C259" s="9" t="s">
        <v>616</v>
      </c>
      <c r="D259" s="15">
        <v>362.17</v>
      </c>
      <c r="E259" s="13" t="s">
        <v>1346</v>
      </c>
    </row>
    <row r="260" spans="1:5" hidden="1" x14ac:dyDescent="0.25">
      <c r="A260" s="9" t="s">
        <v>1343</v>
      </c>
      <c r="B260" s="10" t="s">
        <v>617</v>
      </c>
      <c r="C260" s="9" t="s">
        <v>618</v>
      </c>
      <c r="D260" s="15">
        <v>153.69999999999999</v>
      </c>
      <c r="E260" s="13" t="s">
        <v>1346</v>
      </c>
    </row>
    <row r="261" spans="1:5" hidden="1" x14ac:dyDescent="0.25">
      <c r="A261" s="9" t="s">
        <v>1343</v>
      </c>
      <c r="B261" s="10" t="s">
        <v>621</v>
      </c>
      <c r="C261" s="9" t="s">
        <v>622</v>
      </c>
      <c r="D261" s="15">
        <v>438.7</v>
      </c>
      <c r="E261" s="13" t="s">
        <v>1346</v>
      </c>
    </row>
    <row r="262" spans="1:5" hidden="1" x14ac:dyDescent="0.25">
      <c r="A262" s="9" t="s">
        <v>1343</v>
      </c>
      <c r="B262" s="10" t="s">
        <v>623</v>
      </c>
      <c r="C262" s="9" t="s">
        <v>624</v>
      </c>
      <c r="D262" s="15">
        <v>723.51</v>
      </c>
      <c r="E262" s="13" t="s">
        <v>1346</v>
      </c>
    </row>
    <row r="263" spans="1:5" hidden="1" x14ac:dyDescent="0.25">
      <c r="A263" s="9" t="s">
        <v>1343</v>
      </c>
      <c r="B263" s="10" t="s">
        <v>625</v>
      </c>
      <c r="C263" s="9" t="s">
        <v>626</v>
      </c>
      <c r="D263" s="15">
        <v>142.5</v>
      </c>
      <c r="E263" s="13" t="s">
        <v>1346</v>
      </c>
    </row>
    <row r="264" spans="1:5" hidden="1" x14ac:dyDescent="0.25">
      <c r="A264" s="9" t="s">
        <v>1343</v>
      </c>
      <c r="B264" s="10" t="s">
        <v>627</v>
      </c>
      <c r="C264" s="9" t="s">
        <v>628</v>
      </c>
      <c r="D264" s="15">
        <v>330.63</v>
      </c>
      <c r="E264" s="13" t="s">
        <v>1346</v>
      </c>
    </row>
    <row r="265" spans="1:5" hidden="1" x14ac:dyDescent="0.25">
      <c r="A265" s="9" t="s">
        <v>1343</v>
      </c>
      <c r="B265" s="10" t="s">
        <v>631</v>
      </c>
      <c r="C265" s="9" t="s">
        <v>632</v>
      </c>
      <c r="D265" s="15">
        <v>89.6</v>
      </c>
      <c r="E265" s="13" t="s">
        <v>1346</v>
      </c>
    </row>
    <row r="266" spans="1:5" hidden="1" x14ac:dyDescent="0.25">
      <c r="A266" s="9" t="s">
        <v>1343</v>
      </c>
      <c r="B266" s="10" t="s">
        <v>633</v>
      </c>
      <c r="C266" s="9" t="s">
        <v>634</v>
      </c>
      <c r="D266" s="15">
        <v>331.9</v>
      </c>
      <c r="E266" s="13" t="s">
        <v>1346</v>
      </c>
    </row>
    <row r="267" spans="1:5" hidden="1" x14ac:dyDescent="0.25">
      <c r="A267" s="9" t="s">
        <v>1343</v>
      </c>
      <c r="B267" s="10" t="s">
        <v>635</v>
      </c>
      <c r="C267" s="9" t="s">
        <v>636</v>
      </c>
      <c r="D267" s="15">
        <v>472.9</v>
      </c>
      <c r="E267" s="13" t="s">
        <v>1346</v>
      </c>
    </row>
    <row r="268" spans="1:5" hidden="1" x14ac:dyDescent="0.25">
      <c r="A268" s="9" t="s">
        <v>1343</v>
      </c>
      <c r="B268" s="10" t="s">
        <v>639</v>
      </c>
      <c r="C268" s="9" t="s">
        <v>640</v>
      </c>
      <c r="D268" s="15">
        <v>288.10000000000002</v>
      </c>
      <c r="E268" s="13" t="s">
        <v>1346</v>
      </c>
    </row>
    <row r="269" spans="1:5" hidden="1" x14ac:dyDescent="0.25">
      <c r="A269" s="9" t="s">
        <v>1343</v>
      </c>
      <c r="B269" s="10" t="s">
        <v>1339</v>
      </c>
      <c r="C269" s="9" t="s">
        <v>1340</v>
      </c>
      <c r="D269" s="15">
        <v>1800.86</v>
      </c>
      <c r="E269" s="13" t="s">
        <v>1346</v>
      </c>
    </row>
    <row r="270" spans="1:5" hidden="1" x14ac:dyDescent="0.25">
      <c r="A270" s="9" t="s">
        <v>1343</v>
      </c>
      <c r="B270" s="10" t="s">
        <v>643</v>
      </c>
      <c r="C270" s="9" t="s">
        <v>644</v>
      </c>
      <c r="D270" s="15">
        <v>830.54</v>
      </c>
      <c r="E270" s="13" t="s">
        <v>1346</v>
      </c>
    </row>
    <row r="271" spans="1:5" hidden="1" x14ac:dyDescent="0.25">
      <c r="A271" s="9" t="s">
        <v>1343</v>
      </c>
      <c r="B271" s="10" t="s">
        <v>645</v>
      </c>
      <c r="C271" s="9" t="s">
        <v>646</v>
      </c>
      <c r="D271" s="15">
        <v>134.4</v>
      </c>
      <c r="E271" s="13" t="s">
        <v>1346</v>
      </c>
    </row>
    <row r="272" spans="1:5" hidden="1" x14ac:dyDescent="0.25">
      <c r="A272" s="9" t="s">
        <v>1343</v>
      </c>
      <c r="B272" s="10" t="s">
        <v>647</v>
      </c>
      <c r="C272" s="9" t="s">
        <v>648</v>
      </c>
      <c r="D272" s="15">
        <v>317.14</v>
      </c>
      <c r="E272" s="13" t="s">
        <v>1346</v>
      </c>
    </row>
    <row r="273" spans="1:5" hidden="1" x14ac:dyDescent="0.25">
      <c r="A273" s="9" t="s">
        <v>1343</v>
      </c>
      <c r="B273" s="10" t="s">
        <v>653</v>
      </c>
      <c r="C273" s="9" t="s">
        <v>654</v>
      </c>
      <c r="D273" s="15">
        <v>70.760000000000005</v>
      </c>
      <c r="E273" s="13" t="s">
        <v>1346</v>
      </c>
    </row>
    <row r="274" spans="1:5" hidden="1" x14ac:dyDescent="0.25">
      <c r="A274" s="9" t="s">
        <v>1343</v>
      </c>
      <c r="B274" s="10" t="s">
        <v>655</v>
      </c>
      <c r="C274" s="9" t="s">
        <v>656</v>
      </c>
      <c r="D274" s="15">
        <v>971.57</v>
      </c>
      <c r="E274" s="13" t="s">
        <v>1346</v>
      </c>
    </row>
    <row r="275" spans="1:5" hidden="1" x14ac:dyDescent="0.25">
      <c r="A275" s="9" t="s">
        <v>1343</v>
      </c>
      <c r="B275" s="10" t="s">
        <v>659</v>
      </c>
      <c r="C275" s="9" t="s">
        <v>660</v>
      </c>
      <c r="D275" s="15">
        <v>304.49</v>
      </c>
      <c r="E275" s="13" t="s">
        <v>1346</v>
      </c>
    </row>
    <row r="276" spans="1:5" hidden="1" x14ac:dyDescent="0.25">
      <c r="A276" s="9" t="s">
        <v>1343</v>
      </c>
      <c r="B276" s="10" t="s">
        <v>661</v>
      </c>
      <c r="C276" s="9" t="s">
        <v>662</v>
      </c>
      <c r="D276" s="15">
        <v>86.5</v>
      </c>
      <c r="E276" s="13" t="s">
        <v>1346</v>
      </c>
    </row>
    <row r="277" spans="1:5" hidden="1" x14ac:dyDescent="0.25">
      <c r="A277" s="9" t="s">
        <v>1343</v>
      </c>
      <c r="B277" s="10" t="s">
        <v>663</v>
      </c>
      <c r="C277" s="9" t="s">
        <v>664</v>
      </c>
      <c r="D277" s="15">
        <v>270.3</v>
      </c>
      <c r="E277" s="13" t="s">
        <v>1346</v>
      </c>
    </row>
    <row r="278" spans="1:5" hidden="1" x14ac:dyDescent="0.25">
      <c r="A278" s="9" t="s">
        <v>1343</v>
      </c>
      <c r="B278" s="10" t="s">
        <v>667</v>
      </c>
      <c r="C278" s="9" t="s">
        <v>668</v>
      </c>
      <c r="D278" s="15">
        <v>82.56</v>
      </c>
      <c r="E278" s="13" t="s">
        <v>1346</v>
      </c>
    </row>
    <row r="279" spans="1:5" hidden="1" x14ac:dyDescent="0.25">
      <c r="A279" s="9" t="s">
        <v>1343</v>
      </c>
      <c r="B279" s="10" t="s">
        <v>669</v>
      </c>
      <c r="C279" s="9" t="s">
        <v>670</v>
      </c>
      <c r="D279" s="15">
        <v>44.8</v>
      </c>
      <c r="E279" s="13" t="s">
        <v>1346</v>
      </c>
    </row>
    <row r="280" spans="1:5" hidden="1" x14ac:dyDescent="0.25">
      <c r="A280" s="9" t="s">
        <v>1343</v>
      </c>
      <c r="B280" s="10" t="s">
        <v>671</v>
      </c>
      <c r="C280" s="9" t="s">
        <v>672</v>
      </c>
      <c r="D280" s="15">
        <v>272.35000000000002</v>
      </c>
      <c r="E280" s="13" t="s">
        <v>1346</v>
      </c>
    </row>
    <row r="281" spans="1:5" hidden="1" x14ac:dyDescent="0.25">
      <c r="A281" s="9" t="s">
        <v>1343</v>
      </c>
      <c r="B281" s="10" t="s">
        <v>673</v>
      </c>
      <c r="C281" s="9" t="s">
        <v>674</v>
      </c>
      <c r="D281" s="15">
        <v>263.7</v>
      </c>
      <c r="E281" s="13" t="s">
        <v>1346</v>
      </c>
    </row>
    <row r="282" spans="1:5" hidden="1" x14ac:dyDescent="0.25">
      <c r="A282" s="9" t="s">
        <v>1343</v>
      </c>
      <c r="B282" s="10" t="s">
        <v>679</v>
      </c>
      <c r="C282" s="9" t="s">
        <v>680</v>
      </c>
      <c r="D282" s="15">
        <v>120.93</v>
      </c>
      <c r="E282" s="13" t="s">
        <v>1346</v>
      </c>
    </row>
    <row r="283" spans="1:5" hidden="1" x14ac:dyDescent="0.25">
      <c r="A283" s="9" t="s">
        <v>1343</v>
      </c>
      <c r="B283" s="10" t="s">
        <v>681</v>
      </c>
      <c r="C283" s="9" t="s">
        <v>682</v>
      </c>
      <c r="D283" s="15">
        <v>160.57</v>
      </c>
      <c r="E283" s="13" t="s">
        <v>1346</v>
      </c>
    </row>
    <row r="284" spans="1:5" hidden="1" x14ac:dyDescent="0.25">
      <c r="A284" s="9" t="s">
        <v>1343</v>
      </c>
      <c r="B284" s="10" t="s">
        <v>683</v>
      </c>
      <c r="C284" s="9" t="s">
        <v>684</v>
      </c>
      <c r="D284" s="15">
        <v>84</v>
      </c>
      <c r="E284" s="13" t="s">
        <v>1346</v>
      </c>
    </row>
    <row r="285" spans="1:5" hidden="1" x14ac:dyDescent="0.25">
      <c r="A285" s="9" t="s">
        <v>1343</v>
      </c>
      <c r="B285" s="10" t="s">
        <v>685</v>
      </c>
      <c r="C285" s="9" t="s">
        <v>686</v>
      </c>
      <c r="D285" s="15">
        <v>69.7</v>
      </c>
      <c r="E285" s="13" t="s">
        <v>1346</v>
      </c>
    </row>
    <row r="286" spans="1:5" hidden="1" x14ac:dyDescent="0.25">
      <c r="A286" s="9" t="s">
        <v>1343</v>
      </c>
      <c r="B286" s="10" t="s">
        <v>687</v>
      </c>
      <c r="C286" s="9" t="s">
        <v>688</v>
      </c>
      <c r="D286" s="15">
        <v>67.2</v>
      </c>
      <c r="E286" s="13" t="s">
        <v>1346</v>
      </c>
    </row>
    <row r="287" spans="1:5" hidden="1" x14ac:dyDescent="0.25">
      <c r="A287" s="9" t="s">
        <v>1343</v>
      </c>
      <c r="B287" s="10" t="s">
        <v>689</v>
      </c>
      <c r="C287" s="9" t="s">
        <v>690</v>
      </c>
      <c r="D287" s="15">
        <v>85.06</v>
      </c>
      <c r="E287" s="13" t="s">
        <v>1346</v>
      </c>
    </row>
    <row r="288" spans="1:5" hidden="1" x14ac:dyDescent="0.25">
      <c r="A288" s="9" t="s">
        <v>1343</v>
      </c>
      <c r="B288" s="10" t="s">
        <v>691</v>
      </c>
      <c r="C288" s="9" t="s">
        <v>692</v>
      </c>
      <c r="D288" s="15">
        <v>554.4</v>
      </c>
      <c r="E288" s="13" t="s">
        <v>1346</v>
      </c>
    </row>
    <row r="289" spans="1:5" hidden="1" x14ac:dyDescent="0.25">
      <c r="A289" s="9" t="s">
        <v>1343</v>
      </c>
      <c r="B289" s="10" t="s">
        <v>693</v>
      </c>
      <c r="C289" s="9" t="s">
        <v>694</v>
      </c>
      <c r="D289" s="15">
        <v>1025.29</v>
      </c>
      <c r="E289" s="13" t="s">
        <v>1346</v>
      </c>
    </row>
    <row r="290" spans="1:5" hidden="1" x14ac:dyDescent="0.25">
      <c r="A290" s="9" t="s">
        <v>1343</v>
      </c>
      <c r="B290" s="10" t="s">
        <v>697</v>
      </c>
      <c r="C290" s="9" t="s">
        <v>698</v>
      </c>
      <c r="D290" s="15">
        <v>33.6</v>
      </c>
      <c r="E290" s="13" t="s">
        <v>1346</v>
      </c>
    </row>
    <row r="291" spans="1:5" hidden="1" x14ac:dyDescent="0.25">
      <c r="A291" s="9" t="s">
        <v>1343</v>
      </c>
      <c r="B291" s="10" t="s">
        <v>699</v>
      </c>
      <c r="C291" s="9" t="s">
        <v>700</v>
      </c>
      <c r="D291" s="15">
        <v>557.41</v>
      </c>
      <c r="E291" s="13" t="s">
        <v>1346</v>
      </c>
    </row>
    <row r="292" spans="1:5" hidden="1" x14ac:dyDescent="0.25">
      <c r="A292" s="9" t="s">
        <v>1343</v>
      </c>
      <c r="B292" s="10" t="s">
        <v>701</v>
      </c>
      <c r="C292" s="9" t="s">
        <v>702</v>
      </c>
      <c r="D292" s="15">
        <v>251.39</v>
      </c>
      <c r="E292" s="13" t="s">
        <v>1346</v>
      </c>
    </row>
    <row r="293" spans="1:5" hidden="1" x14ac:dyDescent="0.25">
      <c r="A293" s="9" t="s">
        <v>1343</v>
      </c>
      <c r="B293" s="10" t="s">
        <v>707</v>
      </c>
      <c r="C293" s="9" t="s">
        <v>708</v>
      </c>
      <c r="D293" s="15">
        <v>146.88</v>
      </c>
      <c r="E293" s="13" t="s">
        <v>1346</v>
      </c>
    </row>
    <row r="294" spans="1:5" hidden="1" x14ac:dyDescent="0.25">
      <c r="A294" s="9" t="s">
        <v>1343</v>
      </c>
      <c r="B294" s="10" t="s">
        <v>709</v>
      </c>
      <c r="C294" s="9" t="s">
        <v>710</v>
      </c>
      <c r="D294" s="15">
        <v>639.09</v>
      </c>
      <c r="E294" s="13" t="s">
        <v>1346</v>
      </c>
    </row>
    <row r="295" spans="1:5" hidden="1" x14ac:dyDescent="0.25">
      <c r="A295" s="9" t="s">
        <v>1343</v>
      </c>
      <c r="B295" s="10" t="s">
        <v>711</v>
      </c>
      <c r="C295" s="9" t="s">
        <v>712</v>
      </c>
      <c r="D295" s="15">
        <v>355.3</v>
      </c>
      <c r="E295" s="13" t="s">
        <v>1346</v>
      </c>
    </row>
    <row r="296" spans="1:5" hidden="1" x14ac:dyDescent="0.25">
      <c r="A296" s="9" t="s">
        <v>1343</v>
      </c>
      <c r="B296" s="10" t="s">
        <v>713</v>
      </c>
      <c r="C296" s="9" t="s">
        <v>714</v>
      </c>
      <c r="D296" s="15">
        <v>1351.61</v>
      </c>
      <c r="E296" s="13" t="s">
        <v>1346</v>
      </c>
    </row>
    <row r="297" spans="1:5" hidden="1" x14ac:dyDescent="0.25">
      <c r="A297" s="9" t="s">
        <v>1343</v>
      </c>
      <c r="B297" s="10" t="s">
        <v>715</v>
      </c>
      <c r="C297" s="9" t="s">
        <v>716</v>
      </c>
      <c r="D297" s="15">
        <v>50.4</v>
      </c>
      <c r="E297" s="13" t="s">
        <v>1346</v>
      </c>
    </row>
    <row r="298" spans="1:5" hidden="1" x14ac:dyDescent="0.25">
      <c r="A298" s="9" t="s">
        <v>1343</v>
      </c>
      <c r="B298" s="10" t="s">
        <v>721</v>
      </c>
      <c r="C298" s="9" t="s">
        <v>722</v>
      </c>
      <c r="D298" s="15">
        <v>509</v>
      </c>
      <c r="E298" s="13" t="s">
        <v>1346</v>
      </c>
    </row>
    <row r="299" spans="1:5" hidden="1" x14ac:dyDescent="0.25">
      <c r="A299" s="9" t="s">
        <v>1343</v>
      </c>
      <c r="B299" s="10" t="s">
        <v>723</v>
      </c>
      <c r="C299" s="9" t="s">
        <v>724</v>
      </c>
      <c r="D299" s="15">
        <v>929.9</v>
      </c>
      <c r="E299" s="13" t="s">
        <v>1346</v>
      </c>
    </row>
    <row r="300" spans="1:5" hidden="1" x14ac:dyDescent="0.25">
      <c r="A300" s="9" t="s">
        <v>1343</v>
      </c>
      <c r="B300" s="10" t="s">
        <v>725</v>
      </c>
      <c r="C300" s="9" t="s">
        <v>726</v>
      </c>
      <c r="D300" s="15">
        <v>504</v>
      </c>
      <c r="E300" s="13" t="s">
        <v>1346</v>
      </c>
    </row>
    <row r="301" spans="1:5" hidden="1" x14ac:dyDescent="0.25">
      <c r="A301" s="9" t="s">
        <v>1343</v>
      </c>
      <c r="B301" s="10" t="s">
        <v>727</v>
      </c>
      <c r="C301" s="9" t="s">
        <v>728</v>
      </c>
      <c r="D301" s="15">
        <v>16.8</v>
      </c>
      <c r="E301" s="13" t="s">
        <v>1346</v>
      </c>
    </row>
    <row r="302" spans="1:5" hidden="1" x14ac:dyDescent="0.25">
      <c r="A302" s="9" t="s">
        <v>1343</v>
      </c>
      <c r="B302" s="10" t="s">
        <v>733</v>
      </c>
      <c r="C302" s="9" t="s">
        <v>734</v>
      </c>
      <c r="D302" s="15">
        <v>168</v>
      </c>
      <c r="E302" s="13" t="s">
        <v>1346</v>
      </c>
    </row>
    <row r="303" spans="1:5" hidden="1" x14ac:dyDescent="0.25">
      <c r="A303" s="9" t="s">
        <v>1343</v>
      </c>
      <c r="B303" s="10" t="s">
        <v>735</v>
      </c>
      <c r="C303" s="9" t="s">
        <v>736</v>
      </c>
      <c r="D303" s="15">
        <v>756.3</v>
      </c>
      <c r="E303" s="13" t="s">
        <v>1346</v>
      </c>
    </row>
    <row r="304" spans="1:5" hidden="1" x14ac:dyDescent="0.25">
      <c r="A304" s="9" t="s">
        <v>1343</v>
      </c>
      <c r="B304" s="10" t="s">
        <v>737</v>
      </c>
      <c r="C304" s="9" t="s">
        <v>738</v>
      </c>
      <c r="D304" s="15">
        <v>55.4</v>
      </c>
      <c r="E304" s="13" t="s">
        <v>1346</v>
      </c>
    </row>
    <row r="305" spans="1:5" hidden="1" x14ac:dyDescent="0.25">
      <c r="A305" s="9" t="s">
        <v>1343</v>
      </c>
      <c r="B305" s="10" t="s">
        <v>739</v>
      </c>
      <c r="C305" s="9" t="s">
        <v>740</v>
      </c>
      <c r="D305" s="15">
        <v>501.95</v>
      </c>
      <c r="E305" s="13" t="s">
        <v>1346</v>
      </c>
    </row>
    <row r="306" spans="1:5" hidden="1" x14ac:dyDescent="0.25">
      <c r="A306" s="9" t="s">
        <v>1343</v>
      </c>
      <c r="B306" s="10" t="s">
        <v>741</v>
      </c>
      <c r="C306" s="9" t="s">
        <v>742</v>
      </c>
      <c r="D306" s="15">
        <v>123.2</v>
      </c>
      <c r="E306" s="13" t="s">
        <v>1346</v>
      </c>
    </row>
    <row r="307" spans="1:5" hidden="1" x14ac:dyDescent="0.25">
      <c r="A307" s="9" t="s">
        <v>1343</v>
      </c>
      <c r="B307" s="10" t="s">
        <v>743</v>
      </c>
      <c r="C307" s="9" t="s">
        <v>744</v>
      </c>
      <c r="D307" s="15">
        <v>657.53</v>
      </c>
      <c r="E307" s="13" t="s">
        <v>1346</v>
      </c>
    </row>
    <row r="308" spans="1:5" hidden="1" x14ac:dyDescent="0.25">
      <c r="A308" s="9" t="s">
        <v>1343</v>
      </c>
      <c r="B308" s="10" t="s">
        <v>745</v>
      </c>
      <c r="C308" s="9" t="s">
        <v>746</v>
      </c>
      <c r="D308" s="15">
        <v>229</v>
      </c>
      <c r="E308" s="13" t="s">
        <v>1346</v>
      </c>
    </row>
    <row r="309" spans="1:5" hidden="1" x14ac:dyDescent="0.25">
      <c r="A309" s="9" t="s">
        <v>1343</v>
      </c>
      <c r="B309" s="10" t="s">
        <v>747</v>
      </c>
      <c r="C309" s="9" t="s">
        <v>748</v>
      </c>
      <c r="D309" s="15">
        <v>304.13</v>
      </c>
      <c r="E309" s="13" t="s">
        <v>1346</v>
      </c>
    </row>
    <row r="310" spans="1:5" hidden="1" x14ac:dyDescent="0.25">
      <c r="A310" s="9" t="s">
        <v>1343</v>
      </c>
      <c r="B310" s="10" t="s">
        <v>749</v>
      </c>
      <c r="C310" s="9" t="s">
        <v>750</v>
      </c>
      <c r="D310" s="15">
        <v>265.10000000000002</v>
      </c>
      <c r="E310" s="13" t="s">
        <v>1346</v>
      </c>
    </row>
    <row r="311" spans="1:5" hidden="1" x14ac:dyDescent="0.25">
      <c r="A311" s="9" t="s">
        <v>1343</v>
      </c>
      <c r="B311" s="10" t="s">
        <v>751</v>
      </c>
      <c r="C311" s="9" t="s">
        <v>752</v>
      </c>
      <c r="D311" s="15">
        <v>220.9</v>
      </c>
      <c r="E311" s="13" t="s">
        <v>1346</v>
      </c>
    </row>
    <row r="312" spans="1:5" hidden="1" x14ac:dyDescent="0.25">
      <c r="A312" s="9" t="s">
        <v>1343</v>
      </c>
      <c r="B312" s="10" t="s">
        <v>753</v>
      </c>
      <c r="C312" s="9" t="s">
        <v>754</v>
      </c>
      <c r="D312" s="15">
        <v>261.98</v>
      </c>
      <c r="E312" s="13" t="s">
        <v>1346</v>
      </c>
    </row>
    <row r="313" spans="1:5" hidden="1" x14ac:dyDescent="0.25">
      <c r="A313" s="9" t="s">
        <v>1343</v>
      </c>
      <c r="B313" s="10" t="s">
        <v>755</v>
      </c>
      <c r="C313" s="9" t="s">
        <v>756</v>
      </c>
      <c r="D313" s="15">
        <v>32.159999999999997</v>
      </c>
      <c r="E313" s="13" t="s">
        <v>1346</v>
      </c>
    </row>
    <row r="314" spans="1:5" hidden="1" x14ac:dyDescent="0.25">
      <c r="A314" s="9" t="s">
        <v>1343</v>
      </c>
      <c r="B314" s="10" t="s">
        <v>757</v>
      </c>
      <c r="C314" s="9" t="s">
        <v>758</v>
      </c>
      <c r="D314" s="15">
        <v>321.08999999999997</v>
      </c>
      <c r="E314" s="13" t="s">
        <v>1346</v>
      </c>
    </row>
    <row r="315" spans="1:5" hidden="1" x14ac:dyDescent="0.25">
      <c r="A315" s="9" t="s">
        <v>1343</v>
      </c>
      <c r="B315" s="10" t="s">
        <v>761</v>
      </c>
      <c r="C315" s="9" t="s">
        <v>762</v>
      </c>
      <c r="D315" s="15">
        <v>33.6</v>
      </c>
      <c r="E315" s="13" t="s">
        <v>1346</v>
      </c>
    </row>
    <row r="316" spans="1:5" hidden="1" x14ac:dyDescent="0.25">
      <c r="A316" s="9" t="s">
        <v>1343</v>
      </c>
      <c r="B316" s="10" t="s">
        <v>763</v>
      </c>
      <c r="C316" s="9" t="s">
        <v>764</v>
      </c>
      <c r="D316" s="15">
        <v>128.19999999999999</v>
      </c>
      <c r="E316" s="13" t="s">
        <v>1346</v>
      </c>
    </row>
    <row r="317" spans="1:5" hidden="1" x14ac:dyDescent="0.25">
      <c r="A317" s="9" t="s">
        <v>1343</v>
      </c>
      <c r="B317" s="10" t="s">
        <v>765</v>
      </c>
      <c r="C317" s="9" t="s">
        <v>766</v>
      </c>
      <c r="D317" s="15">
        <v>92.32</v>
      </c>
      <c r="E317" s="13" t="s">
        <v>1346</v>
      </c>
    </row>
    <row r="318" spans="1:5" hidden="1" x14ac:dyDescent="0.25">
      <c r="A318" s="9" t="s">
        <v>1343</v>
      </c>
      <c r="B318" s="10" t="s">
        <v>767</v>
      </c>
      <c r="C318" s="9" t="s">
        <v>768</v>
      </c>
      <c r="D318" s="15">
        <v>58.5</v>
      </c>
      <c r="E318" s="13" t="s">
        <v>1346</v>
      </c>
    </row>
    <row r="319" spans="1:5" hidden="1" x14ac:dyDescent="0.25">
      <c r="A319" s="9" t="s">
        <v>1343</v>
      </c>
      <c r="B319" s="10" t="s">
        <v>771</v>
      </c>
      <c r="C319" s="9" t="s">
        <v>772</v>
      </c>
      <c r="D319" s="15">
        <v>874.71</v>
      </c>
      <c r="E319" s="13" t="s">
        <v>1346</v>
      </c>
    </row>
    <row r="320" spans="1:5" hidden="1" x14ac:dyDescent="0.25">
      <c r="A320" s="9" t="s">
        <v>1343</v>
      </c>
      <c r="B320" s="10" t="s">
        <v>773</v>
      </c>
      <c r="C320" s="9" t="s">
        <v>774</v>
      </c>
      <c r="D320" s="15">
        <v>48.96</v>
      </c>
      <c r="E320" s="13" t="s">
        <v>1346</v>
      </c>
    </row>
    <row r="321" spans="1:5" hidden="1" x14ac:dyDescent="0.25">
      <c r="A321" s="9" t="s">
        <v>1343</v>
      </c>
      <c r="B321" s="10" t="s">
        <v>775</v>
      </c>
      <c r="C321" s="9" t="s">
        <v>776</v>
      </c>
      <c r="D321" s="15">
        <v>1064.06</v>
      </c>
      <c r="E321" s="13" t="s">
        <v>1346</v>
      </c>
    </row>
    <row r="322" spans="1:5" hidden="1" x14ac:dyDescent="0.25">
      <c r="A322" s="9" t="s">
        <v>1343</v>
      </c>
      <c r="B322" s="10" t="s">
        <v>777</v>
      </c>
      <c r="C322" s="9" t="s">
        <v>778</v>
      </c>
      <c r="D322" s="15">
        <v>182.96</v>
      </c>
      <c r="E322" s="13" t="s">
        <v>1346</v>
      </c>
    </row>
    <row r="323" spans="1:5" hidden="1" x14ac:dyDescent="0.25">
      <c r="A323" s="9" t="s">
        <v>1343</v>
      </c>
      <c r="B323" s="10" t="s">
        <v>779</v>
      </c>
      <c r="C323" s="9" t="s">
        <v>780</v>
      </c>
      <c r="D323" s="15">
        <v>77.8</v>
      </c>
      <c r="E323" s="13" t="s">
        <v>1346</v>
      </c>
    </row>
    <row r="324" spans="1:5" hidden="1" x14ac:dyDescent="0.25">
      <c r="A324" s="9" t="s">
        <v>1343</v>
      </c>
      <c r="B324" s="10" t="s">
        <v>781</v>
      </c>
      <c r="C324" s="9" t="s">
        <v>782</v>
      </c>
      <c r="D324" s="15">
        <v>289.60000000000002</v>
      </c>
      <c r="E324" s="13" t="s">
        <v>1346</v>
      </c>
    </row>
    <row r="325" spans="1:5" hidden="1" x14ac:dyDescent="0.25">
      <c r="A325" s="9" t="s">
        <v>1343</v>
      </c>
      <c r="B325" s="10" t="s">
        <v>783</v>
      </c>
      <c r="C325" s="9" t="s">
        <v>784</v>
      </c>
      <c r="D325" s="15">
        <v>494.32</v>
      </c>
      <c r="E325" s="13" t="s">
        <v>1346</v>
      </c>
    </row>
    <row r="326" spans="1:5" hidden="1" x14ac:dyDescent="0.25">
      <c r="A326" s="9" t="s">
        <v>1343</v>
      </c>
      <c r="B326" s="10" t="s">
        <v>785</v>
      </c>
      <c r="C326" s="9" t="s">
        <v>786</v>
      </c>
      <c r="D326" s="15">
        <v>104.96</v>
      </c>
      <c r="E326" s="13" t="s">
        <v>1346</v>
      </c>
    </row>
    <row r="327" spans="1:5" hidden="1" x14ac:dyDescent="0.25">
      <c r="A327" s="9" t="s">
        <v>1343</v>
      </c>
      <c r="B327" s="10" t="s">
        <v>787</v>
      </c>
      <c r="C327" s="9" t="s">
        <v>788</v>
      </c>
      <c r="D327" s="15">
        <v>33.6</v>
      </c>
      <c r="E327" s="13" t="s">
        <v>1346</v>
      </c>
    </row>
    <row r="328" spans="1:5" hidden="1" x14ac:dyDescent="0.25">
      <c r="A328" s="9" t="s">
        <v>1343</v>
      </c>
      <c r="B328" s="10" t="s">
        <v>789</v>
      </c>
      <c r="C328" s="9" t="s">
        <v>790</v>
      </c>
      <c r="D328" s="15">
        <v>198.72</v>
      </c>
      <c r="E328" s="13" t="s">
        <v>1346</v>
      </c>
    </row>
    <row r="329" spans="1:5" hidden="1" x14ac:dyDescent="0.25">
      <c r="A329" s="9" t="s">
        <v>1343</v>
      </c>
      <c r="B329" s="10" t="s">
        <v>793</v>
      </c>
      <c r="C329" s="9" t="s">
        <v>794</v>
      </c>
      <c r="D329" s="15">
        <v>19.3</v>
      </c>
      <c r="E329" s="13" t="s">
        <v>1346</v>
      </c>
    </row>
    <row r="330" spans="1:5" hidden="1" x14ac:dyDescent="0.25">
      <c r="A330" s="9" t="s">
        <v>1343</v>
      </c>
      <c r="B330" s="10" t="s">
        <v>799</v>
      </c>
      <c r="C330" s="9" t="s">
        <v>800</v>
      </c>
      <c r="D330" s="15">
        <v>84</v>
      </c>
      <c r="E330" s="13" t="s">
        <v>1346</v>
      </c>
    </row>
    <row r="331" spans="1:5" hidden="1" x14ac:dyDescent="0.25">
      <c r="A331" s="9" t="s">
        <v>1343</v>
      </c>
      <c r="B331" s="10" t="s">
        <v>801</v>
      </c>
      <c r="C331" s="9" t="s">
        <v>802</v>
      </c>
      <c r="D331" s="15">
        <v>50.4</v>
      </c>
      <c r="E331" s="13" t="s">
        <v>1346</v>
      </c>
    </row>
    <row r="332" spans="1:5" hidden="1" x14ac:dyDescent="0.25">
      <c r="A332" s="9" t="s">
        <v>1343</v>
      </c>
      <c r="B332" s="10" t="s">
        <v>803</v>
      </c>
      <c r="C332" s="9" t="s">
        <v>804</v>
      </c>
      <c r="D332" s="15">
        <v>923.01</v>
      </c>
      <c r="E332" s="13" t="s">
        <v>1346</v>
      </c>
    </row>
    <row r="333" spans="1:5" hidden="1" x14ac:dyDescent="0.25">
      <c r="A333" s="9" t="s">
        <v>1343</v>
      </c>
      <c r="B333" s="10" t="s">
        <v>805</v>
      </c>
      <c r="C333" s="9" t="s">
        <v>806</v>
      </c>
      <c r="D333" s="15">
        <v>385.8</v>
      </c>
      <c r="E333" s="13" t="s">
        <v>1346</v>
      </c>
    </row>
    <row r="334" spans="1:5" hidden="1" x14ac:dyDescent="0.25">
      <c r="A334" s="9" t="s">
        <v>1343</v>
      </c>
      <c r="B334" s="10" t="s">
        <v>807</v>
      </c>
      <c r="C334" s="9" t="s">
        <v>808</v>
      </c>
      <c r="D334" s="15">
        <v>729.5</v>
      </c>
      <c r="E334" s="13" t="s">
        <v>1346</v>
      </c>
    </row>
    <row r="335" spans="1:5" hidden="1" x14ac:dyDescent="0.25">
      <c r="A335" s="9" t="s">
        <v>1343</v>
      </c>
      <c r="B335" s="10" t="s">
        <v>809</v>
      </c>
      <c r="C335" s="9" t="s">
        <v>810</v>
      </c>
      <c r="D335" s="15">
        <v>259.49</v>
      </c>
      <c r="E335" s="13" t="s">
        <v>1346</v>
      </c>
    </row>
    <row r="336" spans="1:5" hidden="1" x14ac:dyDescent="0.25">
      <c r="A336" s="9" t="s">
        <v>1343</v>
      </c>
      <c r="B336" s="10" t="s">
        <v>811</v>
      </c>
      <c r="C336" s="9" t="s">
        <v>812</v>
      </c>
      <c r="D336" s="15">
        <v>651.12</v>
      </c>
      <c r="E336" s="13" t="s">
        <v>1346</v>
      </c>
    </row>
    <row r="337" spans="1:5" hidden="1" x14ac:dyDescent="0.25">
      <c r="A337" s="9" t="s">
        <v>1343</v>
      </c>
      <c r="B337" s="10" t="s">
        <v>813</v>
      </c>
      <c r="C337" s="9" t="s">
        <v>814</v>
      </c>
      <c r="D337" s="15">
        <v>307.62</v>
      </c>
      <c r="E337" s="13" t="s">
        <v>1346</v>
      </c>
    </row>
    <row r="338" spans="1:5" hidden="1" x14ac:dyDescent="0.25">
      <c r="A338" s="9" t="s">
        <v>1343</v>
      </c>
      <c r="B338" s="10" t="s">
        <v>815</v>
      </c>
      <c r="C338" s="9" t="s">
        <v>816</v>
      </c>
      <c r="D338" s="15">
        <v>222.39</v>
      </c>
      <c r="E338" s="13" t="s">
        <v>1346</v>
      </c>
    </row>
    <row r="339" spans="1:5" hidden="1" x14ac:dyDescent="0.25">
      <c r="A339" s="9" t="s">
        <v>1343</v>
      </c>
      <c r="B339" s="10" t="s">
        <v>819</v>
      </c>
      <c r="C339" s="9" t="s">
        <v>820</v>
      </c>
      <c r="D339" s="15">
        <v>134.4</v>
      </c>
      <c r="E339" s="13" t="s">
        <v>1346</v>
      </c>
    </row>
    <row r="340" spans="1:5" hidden="1" x14ac:dyDescent="0.25">
      <c r="A340" s="9" t="s">
        <v>1343</v>
      </c>
      <c r="B340" s="10" t="s">
        <v>825</v>
      </c>
      <c r="C340" s="9" t="s">
        <v>826</v>
      </c>
      <c r="D340" s="15">
        <v>955.39</v>
      </c>
      <c r="E340" s="13" t="s">
        <v>1346</v>
      </c>
    </row>
    <row r="341" spans="1:5" hidden="1" x14ac:dyDescent="0.25">
      <c r="A341" s="9" t="s">
        <v>1343</v>
      </c>
      <c r="B341" s="10" t="s">
        <v>827</v>
      </c>
      <c r="C341" s="9" t="s">
        <v>828</v>
      </c>
      <c r="D341" s="15">
        <v>19.3</v>
      </c>
      <c r="E341" s="13" t="s">
        <v>1346</v>
      </c>
    </row>
    <row r="342" spans="1:5" hidden="1" x14ac:dyDescent="0.25">
      <c r="A342" s="9" t="s">
        <v>1343</v>
      </c>
      <c r="B342" s="10" t="s">
        <v>829</v>
      </c>
      <c r="C342" s="9" t="s">
        <v>830</v>
      </c>
      <c r="D342" s="15">
        <v>141.9</v>
      </c>
      <c r="E342" s="13" t="s">
        <v>1346</v>
      </c>
    </row>
    <row r="343" spans="1:5" hidden="1" x14ac:dyDescent="0.25">
      <c r="A343" s="9" t="s">
        <v>1343</v>
      </c>
      <c r="B343" s="10" t="s">
        <v>835</v>
      </c>
      <c r="C343" s="9" t="s">
        <v>836</v>
      </c>
      <c r="D343" s="15">
        <v>271.3</v>
      </c>
      <c r="E343" s="13" t="s">
        <v>1346</v>
      </c>
    </row>
    <row r="344" spans="1:5" hidden="1" x14ac:dyDescent="0.25">
      <c r="A344" s="9" t="s">
        <v>1343</v>
      </c>
      <c r="B344" s="10" t="s">
        <v>837</v>
      </c>
      <c r="C344" s="9" t="s">
        <v>838</v>
      </c>
      <c r="D344" s="15">
        <v>33.6</v>
      </c>
      <c r="E344" s="13" t="s">
        <v>1346</v>
      </c>
    </row>
    <row r="345" spans="1:5" hidden="1" x14ac:dyDescent="0.25">
      <c r="A345" s="9" t="s">
        <v>1343</v>
      </c>
      <c r="B345" s="10" t="s">
        <v>841</v>
      </c>
      <c r="C345" s="9" t="s">
        <v>842</v>
      </c>
      <c r="D345" s="15">
        <v>33.6</v>
      </c>
      <c r="E345" s="13" t="s">
        <v>1346</v>
      </c>
    </row>
    <row r="346" spans="1:5" hidden="1" x14ac:dyDescent="0.25">
      <c r="A346" s="9" t="s">
        <v>1343</v>
      </c>
      <c r="B346" s="10" t="s">
        <v>843</v>
      </c>
      <c r="C346" s="9" t="s">
        <v>844</v>
      </c>
      <c r="D346" s="15">
        <v>77.8</v>
      </c>
      <c r="E346" s="13" t="s">
        <v>1346</v>
      </c>
    </row>
    <row r="347" spans="1:5" hidden="1" x14ac:dyDescent="0.25">
      <c r="A347" s="9" t="s">
        <v>1343</v>
      </c>
      <c r="B347" s="10" t="s">
        <v>847</v>
      </c>
      <c r="C347" s="9" t="s">
        <v>848</v>
      </c>
      <c r="D347" s="15">
        <v>81</v>
      </c>
      <c r="E347" s="13" t="s">
        <v>1346</v>
      </c>
    </row>
    <row r="348" spans="1:5" hidden="1" x14ac:dyDescent="0.25">
      <c r="A348" s="9" t="s">
        <v>1343</v>
      </c>
      <c r="B348" s="10" t="s">
        <v>849</v>
      </c>
      <c r="C348" s="9" t="s">
        <v>850</v>
      </c>
      <c r="D348" s="15">
        <v>184.8</v>
      </c>
      <c r="E348" s="13" t="s">
        <v>1346</v>
      </c>
    </row>
    <row r="349" spans="1:5" hidden="1" x14ac:dyDescent="0.25">
      <c r="A349" s="9" t="s">
        <v>1343</v>
      </c>
      <c r="B349" s="10" t="s">
        <v>851</v>
      </c>
      <c r="C349" s="9" t="s">
        <v>852</v>
      </c>
      <c r="D349" s="15">
        <v>342.04</v>
      </c>
      <c r="E349" s="13" t="s">
        <v>1346</v>
      </c>
    </row>
    <row r="350" spans="1:5" hidden="1" x14ac:dyDescent="0.25">
      <c r="A350" s="9" t="s">
        <v>1343</v>
      </c>
      <c r="B350" s="10" t="s">
        <v>853</v>
      </c>
      <c r="C350" s="9" t="s">
        <v>854</v>
      </c>
      <c r="D350" s="15">
        <v>941.09</v>
      </c>
      <c r="E350" s="13" t="s">
        <v>1346</v>
      </c>
    </row>
    <row r="351" spans="1:5" hidden="1" x14ac:dyDescent="0.25">
      <c r="A351" s="9" t="s">
        <v>1343</v>
      </c>
      <c r="B351" s="10" t="s">
        <v>855</v>
      </c>
      <c r="C351" s="9" t="s">
        <v>856</v>
      </c>
      <c r="D351" s="15">
        <v>33.6</v>
      </c>
      <c r="E351" s="13" t="s">
        <v>1346</v>
      </c>
    </row>
    <row r="352" spans="1:5" hidden="1" x14ac:dyDescent="0.25">
      <c r="A352" s="9" t="s">
        <v>1343</v>
      </c>
      <c r="B352" s="10" t="s">
        <v>857</v>
      </c>
      <c r="C352" s="9" t="s">
        <v>858</v>
      </c>
      <c r="D352" s="15">
        <v>39.200000000000003</v>
      </c>
      <c r="E352" s="13" t="s">
        <v>1346</v>
      </c>
    </row>
    <row r="353" spans="1:5" hidden="1" x14ac:dyDescent="0.25">
      <c r="A353" s="9" t="s">
        <v>1343</v>
      </c>
      <c r="B353" s="10" t="s">
        <v>859</v>
      </c>
      <c r="C353" s="9" t="s">
        <v>860</v>
      </c>
      <c r="D353" s="15">
        <v>614.41</v>
      </c>
      <c r="E353" s="13" t="s">
        <v>1346</v>
      </c>
    </row>
    <row r="354" spans="1:5" hidden="1" x14ac:dyDescent="0.25">
      <c r="A354" s="9" t="s">
        <v>1343</v>
      </c>
      <c r="B354" s="10" t="s">
        <v>861</v>
      </c>
      <c r="C354" s="9" t="s">
        <v>862</v>
      </c>
      <c r="D354" s="15">
        <v>93.76</v>
      </c>
      <c r="E354" s="13" t="s">
        <v>1346</v>
      </c>
    </row>
    <row r="355" spans="1:5" hidden="1" x14ac:dyDescent="0.25">
      <c r="A355" s="9" t="s">
        <v>1343</v>
      </c>
      <c r="B355" s="10" t="s">
        <v>863</v>
      </c>
      <c r="C355" s="9" t="s">
        <v>864</v>
      </c>
      <c r="D355" s="15">
        <v>374.6</v>
      </c>
      <c r="E355" s="13" t="s">
        <v>1346</v>
      </c>
    </row>
    <row r="356" spans="1:5" hidden="1" x14ac:dyDescent="0.25">
      <c r="A356" s="9" t="s">
        <v>1343</v>
      </c>
      <c r="B356" s="10" t="s">
        <v>865</v>
      </c>
      <c r="C356" s="9" t="s">
        <v>866</v>
      </c>
      <c r="D356" s="15">
        <v>233.18</v>
      </c>
      <c r="E356" s="13" t="s">
        <v>1346</v>
      </c>
    </row>
    <row r="357" spans="1:5" hidden="1" x14ac:dyDescent="0.25">
      <c r="A357" s="9" t="s">
        <v>1343</v>
      </c>
      <c r="B357" s="10" t="s">
        <v>867</v>
      </c>
      <c r="C357" s="9" t="s">
        <v>868</v>
      </c>
      <c r="D357" s="15">
        <v>268.8</v>
      </c>
      <c r="E357" s="13" t="s">
        <v>1346</v>
      </c>
    </row>
    <row r="358" spans="1:5" hidden="1" x14ac:dyDescent="0.25">
      <c r="A358" s="9" t="s">
        <v>1343</v>
      </c>
      <c r="B358" s="10" t="s">
        <v>869</v>
      </c>
      <c r="C358" s="9" t="s">
        <v>870</v>
      </c>
      <c r="D358" s="15">
        <v>19.3</v>
      </c>
      <c r="E358" s="13" t="s">
        <v>1346</v>
      </c>
    </row>
    <row r="359" spans="1:5" hidden="1" x14ac:dyDescent="0.25">
      <c r="A359" s="9" t="s">
        <v>1343</v>
      </c>
      <c r="B359" s="10" t="s">
        <v>871</v>
      </c>
      <c r="C359" s="9" t="s">
        <v>872</v>
      </c>
      <c r="D359" s="15">
        <v>64.319999999999993</v>
      </c>
      <c r="E359" s="13" t="s">
        <v>1346</v>
      </c>
    </row>
    <row r="360" spans="1:5" hidden="1" x14ac:dyDescent="0.25">
      <c r="A360" s="9" t="s">
        <v>1343</v>
      </c>
      <c r="B360" s="10" t="s">
        <v>873</v>
      </c>
      <c r="C360" s="9" t="s">
        <v>874</v>
      </c>
      <c r="D360" s="15">
        <v>106.4</v>
      </c>
      <c r="E360" s="13" t="s">
        <v>1346</v>
      </c>
    </row>
    <row r="361" spans="1:5" hidden="1" x14ac:dyDescent="0.25">
      <c r="A361" s="9" t="s">
        <v>1343</v>
      </c>
      <c r="B361" s="10" t="s">
        <v>879</v>
      </c>
      <c r="C361" s="9" t="s">
        <v>880</v>
      </c>
      <c r="D361" s="15">
        <v>16.8</v>
      </c>
      <c r="E361" s="13" t="s">
        <v>1346</v>
      </c>
    </row>
    <row r="362" spans="1:5" hidden="1" x14ac:dyDescent="0.25">
      <c r="A362" s="9" t="s">
        <v>1343</v>
      </c>
      <c r="B362" s="10" t="s">
        <v>881</v>
      </c>
      <c r="C362" s="9" t="s">
        <v>882</v>
      </c>
      <c r="D362" s="15">
        <v>44.8</v>
      </c>
      <c r="E362" s="13" t="s">
        <v>1346</v>
      </c>
    </row>
    <row r="363" spans="1:5" hidden="1" x14ac:dyDescent="0.25">
      <c r="A363" s="9" t="s">
        <v>1343</v>
      </c>
      <c r="B363" s="10" t="s">
        <v>883</v>
      </c>
      <c r="C363" s="9" t="s">
        <v>884</v>
      </c>
      <c r="D363" s="15">
        <v>389.13</v>
      </c>
      <c r="E363" s="13" t="s">
        <v>1346</v>
      </c>
    </row>
    <row r="364" spans="1:5" hidden="1" x14ac:dyDescent="0.25">
      <c r="A364" s="9" t="s">
        <v>1343</v>
      </c>
      <c r="B364" s="10" t="s">
        <v>885</v>
      </c>
      <c r="C364" s="9" t="s">
        <v>886</v>
      </c>
      <c r="D364" s="15">
        <v>142.5</v>
      </c>
      <c r="E364" s="13" t="s">
        <v>1346</v>
      </c>
    </row>
    <row r="365" spans="1:5" hidden="1" x14ac:dyDescent="0.25">
      <c r="A365" s="9" t="s">
        <v>1343</v>
      </c>
      <c r="B365" s="10" t="s">
        <v>887</v>
      </c>
      <c r="C365" s="9" t="s">
        <v>888</v>
      </c>
      <c r="D365" s="15">
        <v>427.49</v>
      </c>
      <c r="E365" s="13" t="s">
        <v>1346</v>
      </c>
    </row>
    <row r="366" spans="1:5" hidden="1" x14ac:dyDescent="0.25">
      <c r="A366" s="9" t="s">
        <v>1343</v>
      </c>
      <c r="B366" s="10" t="s">
        <v>889</v>
      </c>
      <c r="C366" s="9" t="s">
        <v>890</v>
      </c>
      <c r="D366" s="15">
        <v>733.88</v>
      </c>
      <c r="E366" s="13" t="s">
        <v>1346</v>
      </c>
    </row>
    <row r="367" spans="1:5" hidden="1" x14ac:dyDescent="0.25">
      <c r="A367" s="9" t="s">
        <v>1343</v>
      </c>
      <c r="B367" s="10" t="s">
        <v>891</v>
      </c>
      <c r="C367" s="9" t="s">
        <v>892</v>
      </c>
      <c r="D367" s="15">
        <v>44.8</v>
      </c>
      <c r="E367" s="13" t="s">
        <v>1346</v>
      </c>
    </row>
    <row r="368" spans="1:5" hidden="1" x14ac:dyDescent="0.25">
      <c r="A368" s="9" t="s">
        <v>1343</v>
      </c>
      <c r="B368" s="10" t="s">
        <v>895</v>
      </c>
      <c r="C368" s="9" t="s">
        <v>896</v>
      </c>
      <c r="D368" s="15">
        <v>150.82</v>
      </c>
      <c r="E368" s="13" t="s">
        <v>1346</v>
      </c>
    </row>
    <row r="369" spans="1:5" hidden="1" x14ac:dyDescent="0.25">
      <c r="A369" s="9" t="s">
        <v>1343</v>
      </c>
      <c r="B369" s="10" t="s">
        <v>897</v>
      </c>
      <c r="C369" s="9" t="s">
        <v>898</v>
      </c>
      <c r="D369" s="15">
        <v>136.9</v>
      </c>
      <c r="E369" s="13" t="s">
        <v>1346</v>
      </c>
    </row>
    <row r="370" spans="1:5" hidden="1" x14ac:dyDescent="0.25">
      <c r="A370" s="9" t="s">
        <v>1343</v>
      </c>
      <c r="B370" s="10" t="s">
        <v>899</v>
      </c>
      <c r="C370" s="9" t="s">
        <v>900</v>
      </c>
      <c r="D370" s="15">
        <v>206.6</v>
      </c>
      <c r="E370" s="13" t="s">
        <v>1346</v>
      </c>
    </row>
    <row r="371" spans="1:5" hidden="1" x14ac:dyDescent="0.25">
      <c r="A371" s="9" t="s">
        <v>1343</v>
      </c>
      <c r="B371" s="10" t="s">
        <v>903</v>
      </c>
      <c r="C371" s="9" t="s">
        <v>904</v>
      </c>
      <c r="D371" s="15">
        <v>50.4</v>
      </c>
      <c r="E371" s="13" t="s">
        <v>1346</v>
      </c>
    </row>
    <row r="372" spans="1:5" hidden="1" x14ac:dyDescent="0.25">
      <c r="A372" s="9" t="s">
        <v>1343</v>
      </c>
      <c r="B372" s="10" t="s">
        <v>907</v>
      </c>
      <c r="C372" s="9" t="s">
        <v>908</v>
      </c>
      <c r="D372" s="15">
        <v>40</v>
      </c>
      <c r="E372" s="13" t="s">
        <v>1346</v>
      </c>
    </row>
    <row r="373" spans="1:5" hidden="1" x14ac:dyDescent="0.25">
      <c r="A373" s="9" t="s">
        <v>1343</v>
      </c>
      <c r="B373" s="10" t="s">
        <v>909</v>
      </c>
      <c r="C373" s="9" t="s">
        <v>910</v>
      </c>
      <c r="D373" s="15">
        <v>565.66</v>
      </c>
      <c r="E373" s="13" t="s">
        <v>1346</v>
      </c>
    </row>
    <row r="374" spans="1:5" hidden="1" x14ac:dyDescent="0.25">
      <c r="A374" s="9" t="s">
        <v>1343</v>
      </c>
      <c r="B374" s="10" t="s">
        <v>911</v>
      </c>
      <c r="C374" s="9" t="s">
        <v>912</v>
      </c>
      <c r="D374" s="15">
        <v>93.97</v>
      </c>
      <c r="E374" s="13" t="s">
        <v>1346</v>
      </c>
    </row>
    <row r="375" spans="1:5" hidden="1" x14ac:dyDescent="0.25">
      <c r="A375" s="9" t="s">
        <v>1343</v>
      </c>
      <c r="B375" s="10" t="s">
        <v>913</v>
      </c>
      <c r="C375" s="9" t="s">
        <v>914</v>
      </c>
      <c r="D375" s="15">
        <v>498.62</v>
      </c>
      <c r="E375" s="13" t="s">
        <v>1346</v>
      </c>
    </row>
    <row r="376" spans="1:5" hidden="1" x14ac:dyDescent="0.25">
      <c r="A376" s="9" t="s">
        <v>1343</v>
      </c>
      <c r="B376" s="10" t="s">
        <v>917</v>
      </c>
      <c r="C376" s="9" t="s">
        <v>918</v>
      </c>
      <c r="D376" s="15">
        <v>254.5</v>
      </c>
      <c r="E376" s="13" t="s">
        <v>1346</v>
      </c>
    </row>
    <row r="377" spans="1:5" hidden="1" x14ac:dyDescent="0.25">
      <c r="A377" s="9" t="s">
        <v>1343</v>
      </c>
      <c r="B377" s="10" t="s">
        <v>927</v>
      </c>
      <c r="C377" s="9" t="s">
        <v>928</v>
      </c>
      <c r="D377" s="15">
        <v>270.08999999999997</v>
      </c>
      <c r="E377" s="13" t="s">
        <v>1346</v>
      </c>
    </row>
    <row r="378" spans="1:5" hidden="1" x14ac:dyDescent="0.25">
      <c r="A378" s="9" t="s">
        <v>1343</v>
      </c>
      <c r="B378" s="10" t="s">
        <v>929</v>
      </c>
      <c r="C378" s="9" t="s">
        <v>930</v>
      </c>
      <c r="D378" s="15">
        <v>518.15</v>
      </c>
      <c r="E378" s="13" t="s">
        <v>1346</v>
      </c>
    </row>
    <row r="379" spans="1:5" hidden="1" x14ac:dyDescent="0.25">
      <c r="A379" s="9" t="s">
        <v>1343</v>
      </c>
      <c r="B379" s="10" t="s">
        <v>931</v>
      </c>
      <c r="C379" s="9" t="s">
        <v>932</v>
      </c>
      <c r="D379" s="15">
        <v>668.53</v>
      </c>
      <c r="E379" s="13" t="s">
        <v>1346</v>
      </c>
    </row>
    <row r="380" spans="1:5" hidden="1" x14ac:dyDescent="0.25">
      <c r="A380" s="9" t="s">
        <v>1343</v>
      </c>
      <c r="B380" s="10" t="s">
        <v>933</v>
      </c>
      <c r="C380" s="9" t="s">
        <v>934</v>
      </c>
      <c r="D380" s="15">
        <v>33.6</v>
      </c>
      <c r="E380" s="13" t="s">
        <v>1346</v>
      </c>
    </row>
    <row r="381" spans="1:5" hidden="1" x14ac:dyDescent="0.25">
      <c r="A381" s="9" t="s">
        <v>1343</v>
      </c>
      <c r="B381" s="10" t="s">
        <v>939</v>
      </c>
      <c r="C381" s="9" t="s">
        <v>940</v>
      </c>
      <c r="D381" s="15">
        <v>186.7</v>
      </c>
      <c r="E381" s="13" t="s">
        <v>1346</v>
      </c>
    </row>
    <row r="382" spans="1:5" hidden="1" x14ac:dyDescent="0.25">
      <c r="A382" s="9" t="s">
        <v>1343</v>
      </c>
      <c r="B382" s="10" t="s">
        <v>945</v>
      </c>
      <c r="C382" s="9" t="s">
        <v>946</v>
      </c>
      <c r="D382" s="15">
        <v>156.80000000000001</v>
      </c>
      <c r="E382" s="13" t="s">
        <v>1346</v>
      </c>
    </row>
    <row r="383" spans="1:5" hidden="1" x14ac:dyDescent="0.25">
      <c r="A383" s="9" t="s">
        <v>1343</v>
      </c>
      <c r="B383" s="10" t="s">
        <v>947</v>
      </c>
      <c r="C383" s="9" t="s">
        <v>948</v>
      </c>
      <c r="D383" s="15">
        <v>15</v>
      </c>
      <c r="E383" s="13" t="s">
        <v>1346</v>
      </c>
    </row>
    <row r="384" spans="1:5" hidden="1" x14ac:dyDescent="0.25">
      <c r="A384" s="9" t="s">
        <v>1343</v>
      </c>
      <c r="B384" s="10" t="s">
        <v>949</v>
      </c>
      <c r="C384" s="9" t="s">
        <v>950</v>
      </c>
      <c r="D384" s="15">
        <v>123.2</v>
      </c>
      <c r="E384" s="13" t="s">
        <v>1346</v>
      </c>
    </row>
    <row r="385" spans="1:5" hidden="1" x14ac:dyDescent="0.25">
      <c r="A385" s="9" t="s">
        <v>1343</v>
      </c>
      <c r="B385" s="10" t="s">
        <v>951</v>
      </c>
      <c r="C385" s="9" t="s">
        <v>952</v>
      </c>
      <c r="D385" s="15">
        <v>89.6</v>
      </c>
      <c r="E385" s="13" t="s">
        <v>1346</v>
      </c>
    </row>
    <row r="386" spans="1:5" hidden="1" x14ac:dyDescent="0.25">
      <c r="A386" s="9" t="s">
        <v>1343</v>
      </c>
      <c r="B386" s="10" t="s">
        <v>957</v>
      </c>
      <c r="C386" s="9" t="s">
        <v>958</v>
      </c>
      <c r="D386" s="15">
        <v>120.1</v>
      </c>
      <c r="E386" s="13" t="s">
        <v>1346</v>
      </c>
    </row>
    <row r="387" spans="1:5" hidden="1" x14ac:dyDescent="0.25">
      <c r="A387" s="9" t="s">
        <v>1343</v>
      </c>
      <c r="B387" s="10" t="s">
        <v>959</v>
      </c>
      <c r="C387" s="9" t="s">
        <v>960</v>
      </c>
      <c r="D387" s="15">
        <v>197.9</v>
      </c>
      <c r="E387" s="13" t="s">
        <v>1346</v>
      </c>
    </row>
    <row r="388" spans="1:5" hidden="1" x14ac:dyDescent="0.25">
      <c r="A388" s="9" t="s">
        <v>1343</v>
      </c>
      <c r="B388" s="10" t="s">
        <v>963</v>
      </c>
      <c r="C388" s="9" t="s">
        <v>964</v>
      </c>
      <c r="D388" s="15">
        <v>450.1</v>
      </c>
      <c r="E388" s="13" t="s">
        <v>1346</v>
      </c>
    </row>
    <row r="389" spans="1:5" hidden="1" x14ac:dyDescent="0.25">
      <c r="A389" s="9" t="s">
        <v>1343</v>
      </c>
      <c r="B389" s="10" t="s">
        <v>965</v>
      </c>
      <c r="C389" s="9" t="s">
        <v>966</v>
      </c>
      <c r="D389" s="15">
        <v>16.8</v>
      </c>
      <c r="E389" s="13" t="s">
        <v>1346</v>
      </c>
    </row>
    <row r="390" spans="1:5" hidden="1" x14ac:dyDescent="0.25">
      <c r="A390" s="9" t="s">
        <v>1343</v>
      </c>
      <c r="B390" s="10" t="s">
        <v>969</v>
      </c>
      <c r="C390" s="9" t="s">
        <v>970</v>
      </c>
      <c r="D390" s="15">
        <v>135.06</v>
      </c>
      <c r="E390" s="13" t="s">
        <v>1346</v>
      </c>
    </row>
    <row r="391" spans="1:5" hidden="1" x14ac:dyDescent="0.25">
      <c r="A391" s="9" t="s">
        <v>1343</v>
      </c>
      <c r="B391" s="10" t="s">
        <v>971</v>
      </c>
      <c r="C391" s="9" t="s">
        <v>972</v>
      </c>
      <c r="D391" s="15">
        <v>33.6</v>
      </c>
      <c r="E391" s="13" t="s">
        <v>1346</v>
      </c>
    </row>
    <row r="392" spans="1:5" hidden="1" x14ac:dyDescent="0.25">
      <c r="A392" s="9" t="s">
        <v>1343</v>
      </c>
      <c r="B392" s="10" t="s">
        <v>973</v>
      </c>
      <c r="C392" s="9" t="s">
        <v>974</v>
      </c>
      <c r="D392" s="15">
        <v>36.1</v>
      </c>
      <c r="E392" s="13" t="s">
        <v>1346</v>
      </c>
    </row>
    <row r="393" spans="1:5" hidden="1" x14ac:dyDescent="0.25">
      <c r="A393" s="9" t="s">
        <v>1343</v>
      </c>
      <c r="B393" s="10" t="s">
        <v>975</v>
      </c>
      <c r="C393" s="9" t="s">
        <v>976</v>
      </c>
      <c r="D393" s="15">
        <v>97.08</v>
      </c>
      <c r="E393" s="13" t="s">
        <v>1346</v>
      </c>
    </row>
    <row r="394" spans="1:5" hidden="1" x14ac:dyDescent="0.25">
      <c r="A394" s="9" t="s">
        <v>1343</v>
      </c>
      <c r="B394" s="10" t="s">
        <v>979</v>
      </c>
      <c r="C394" s="9" t="s">
        <v>980</v>
      </c>
      <c r="D394" s="15">
        <v>388.9</v>
      </c>
      <c r="E394" s="13" t="s">
        <v>1346</v>
      </c>
    </row>
    <row r="395" spans="1:5" hidden="1" x14ac:dyDescent="0.25">
      <c r="A395" s="9" t="s">
        <v>1343</v>
      </c>
      <c r="B395" s="10" t="s">
        <v>981</v>
      </c>
      <c r="C395" s="9" t="s">
        <v>982</v>
      </c>
      <c r="D395" s="15">
        <v>257.60000000000002</v>
      </c>
      <c r="E395" s="13" t="s">
        <v>1346</v>
      </c>
    </row>
    <row r="396" spans="1:5" hidden="1" x14ac:dyDescent="0.25">
      <c r="A396" s="9" t="s">
        <v>1343</v>
      </c>
      <c r="B396" s="10" t="s">
        <v>983</v>
      </c>
      <c r="C396" s="9" t="s">
        <v>984</v>
      </c>
      <c r="D396" s="15">
        <v>959.97</v>
      </c>
      <c r="E396" s="13" t="s">
        <v>1346</v>
      </c>
    </row>
    <row r="397" spans="1:5" hidden="1" x14ac:dyDescent="0.25">
      <c r="A397" s="9" t="s">
        <v>1343</v>
      </c>
      <c r="B397" s="10" t="s">
        <v>985</v>
      </c>
      <c r="C397" s="9" t="s">
        <v>986</v>
      </c>
      <c r="D397" s="15">
        <v>16.8</v>
      </c>
      <c r="E397" s="13" t="s">
        <v>1346</v>
      </c>
    </row>
    <row r="398" spans="1:5" hidden="1" x14ac:dyDescent="0.25">
      <c r="A398" s="9" t="s">
        <v>1343</v>
      </c>
      <c r="B398" s="10" t="s">
        <v>987</v>
      </c>
      <c r="C398" s="9" t="s">
        <v>988</v>
      </c>
      <c r="D398" s="15">
        <v>547.66</v>
      </c>
      <c r="E398" s="13" t="s">
        <v>1346</v>
      </c>
    </row>
    <row r="399" spans="1:5" hidden="1" x14ac:dyDescent="0.25">
      <c r="A399" s="9" t="s">
        <v>1343</v>
      </c>
      <c r="B399" s="10" t="s">
        <v>989</v>
      </c>
      <c r="C399" s="9" t="s">
        <v>990</v>
      </c>
      <c r="D399" s="15">
        <v>488.49</v>
      </c>
      <c r="E399" s="13" t="s">
        <v>1346</v>
      </c>
    </row>
    <row r="400" spans="1:5" hidden="1" x14ac:dyDescent="0.25">
      <c r="A400" s="9" t="s">
        <v>1343</v>
      </c>
      <c r="B400" s="10" t="s">
        <v>991</v>
      </c>
      <c r="C400" s="9" t="s">
        <v>992</v>
      </c>
      <c r="D400" s="15">
        <v>19.3</v>
      </c>
      <c r="E400" s="13" t="s">
        <v>1346</v>
      </c>
    </row>
    <row r="401" spans="1:5" hidden="1" x14ac:dyDescent="0.25">
      <c r="A401" s="9" t="s">
        <v>1343</v>
      </c>
      <c r="B401" s="10" t="s">
        <v>993</v>
      </c>
      <c r="C401" s="9" t="s">
        <v>994</v>
      </c>
      <c r="D401" s="15">
        <v>392</v>
      </c>
      <c r="E401" s="13" t="s">
        <v>1346</v>
      </c>
    </row>
    <row r="402" spans="1:5" hidden="1" x14ac:dyDescent="0.25">
      <c r="A402" s="9" t="s">
        <v>1343</v>
      </c>
      <c r="B402" s="10" t="s">
        <v>995</v>
      </c>
      <c r="C402" s="9" t="s">
        <v>996</v>
      </c>
      <c r="D402" s="15">
        <v>719.98</v>
      </c>
      <c r="E402" s="13" t="s">
        <v>1346</v>
      </c>
    </row>
    <row r="403" spans="1:5" hidden="1" x14ac:dyDescent="0.25">
      <c r="A403" s="9" t="s">
        <v>1343</v>
      </c>
      <c r="B403" s="10" t="s">
        <v>997</v>
      </c>
      <c r="C403" s="9" t="s">
        <v>998</v>
      </c>
      <c r="D403" s="15">
        <v>276.89999999999998</v>
      </c>
      <c r="E403" s="13" t="s">
        <v>1346</v>
      </c>
    </row>
    <row r="404" spans="1:5" hidden="1" x14ac:dyDescent="0.25">
      <c r="A404" s="9" t="s">
        <v>1343</v>
      </c>
      <c r="B404" s="10" t="s">
        <v>999</v>
      </c>
      <c r="C404" s="9" t="s">
        <v>1000</v>
      </c>
      <c r="D404" s="15">
        <v>55.4</v>
      </c>
      <c r="E404" s="13" t="s">
        <v>1346</v>
      </c>
    </row>
    <row r="405" spans="1:5" hidden="1" x14ac:dyDescent="0.25">
      <c r="A405" s="9" t="s">
        <v>1343</v>
      </c>
      <c r="B405" s="10" t="s">
        <v>1001</v>
      </c>
      <c r="C405" s="9" t="s">
        <v>1002</v>
      </c>
      <c r="D405" s="15">
        <v>671.85</v>
      </c>
      <c r="E405" s="13" t="s">
        <v>1346</v>
      </c>
    </row>
    <row r="406" spans="1:5" hidden="1" x14ac:dyDescent="0.25">
      <c r="A406" s="9" t="s">
        <v>1343</v>
      </c>
      <c r="B406" s="10" t="s">
        <v>1003</v>
      </c>
      <c r="C406" s="9" t="s">
        <v>1004</v>
      </c>
      <c r="D406" s="15">
        <v>192.48</v>
      </c>
      <c r="E406" s="13" t="s">
        <v>1346</v>
      </c>
    </row>
    <row r="407" spans="1:5" hidden="1" x14ac:dyDescent="0.25">
      <c r="A407" s="9" t="s">
        <v>1343</v>
      </c>
      <c r="B407" s="10" t="s">
        <v>1011</v>
      </c>
      <c r="C407" s="9" t="s">
        <v>1012</v>
      </c>
      <c r="D407" s="15">
        <v>44.8</v>
      </c>
      <c r="E407" s="13" t="s">
        <v>1346</v>
      </c>
    </row>
    <row r="408" spans="1:5" hidden="1" x14ac:dyDescent="0.25">
      <c r="A408" s="9" t="s">
        <v>1343</v>
      </c>
      <c r="B408" s="10" t="s">
        <v>1013</v>
      </c>
      <c r="C408" s="9" t="s">
        <v>1014</v>
      </c>
      <c r="D408" s="15">
        <v>108.9</v>
      </c>
      <c r="E408" s="13" t="s">
        <v>1346</v>
      </c>
    </row>
    <row r="409" spans="1:5" hidden="1" x14ac:dyDescent="0.25">
      <c r="A409" s="9" t="s">
        <v>1343</v>
      </c>
      <c r="B409" s="10" t="s">
        <v>1015</v>
      </c>
      <c r="C409" s="9" t="s">
        <v>1016</v>
      </c>
      <c r="D409" s="15">
        <v>61.6</v>
      </c>
      <c r="E409" s="13" t="s">
        <v>1346</v>
      </c>
    </row>
    <row r="410" spans="1:5" hidden="1" x14ac:dyDescent="0.25">
      <c r="A410" s="9" t="s">
        <v>1343</v>
      </c>
      <c r="B410" s="10" t="s">
        <v>1017</v>
      </c>
      <c r="C410" s="9" t="s">
        <v>1018</v>
      </c>
      <c r="D410" s="15">
        <v>291.2</v>
      </c>
      <c r="E410" s="13" t="s">
        <v>1346</v>
      </c>
    </row>
    <row r="411" spans="1:5" hidden="1" x14ac:dyDescent="0.25">
      <c r="A411" s="9" t="s">
        <v>1343</v>
      </c>
      <c r="B411" s="10" t="s">
        <v>1021</v>
      </c>
      <c r="C411" s="9" t="s">
        <v>1022</v>
      </c>
      <c r="D411" s="15">
        <v>16.8</v>
      </c>
      <c r="E411" s="13" t="s">
        <v>1346</v>
      </c>
    </row>
    <row r="412" spans="1:5" hidden="1" x14ac:dyDescent="0.25">
      <c r="A412" s="9" t="s">
        <v>1343</v>
      </c>
      <c r="B412" s="10" t="s">
        <v>1027</v>
      </c>
      <c r="C412" s="9" t="s">
        <v>1028</v>
      </c>
      <c r="D412" s="15">
        <v>72.8</v>
      </c>
      <c r="E412" s="13" t="s">
        <v>1346</v>
      </c>
    </row>
    <row r="413" spans="1:5" hidden="1" x14ac:dyDescent="0.25">
      <c r="A413" s="9" t="s">
        <v>1343</v>
      </c>
      <c r="B413" s="10" t="s">
        <v>1029</v>
      </c>
      <c r="C413" s="9" t="s">
        <v>1030</v>
      </c>
      <c r="D413" s="15">
        <v>1091.68</v>
      </c>
      <c r="E413" s="13" t="s">
        <v>1346</v>
      </c>
    </row>
    <row r="414" spans="1:5" hidden="1" x14ac:dyDescent="0.25">
      <c r="A414" s="9" t="s">
        <v>1343</v>
      </c>
      <c r="B414" s="10" t="s">
        <v>1031</v>
      </c>
      <c r="C414" s="9" t="s">
        <v>1032</v>
      </c>
      <c r="D414" s="15">
        <v>338.5</v>
      </c>
      <c r="E414" s="13" t="s">
        <v>1346</v>
      </c>
    </row>
    <row r="415" spans="1:5" hidden="1" x14ac:dyDescent="0.25">
      <c r="A415" s="9" t="s">
        <v>1343</v>
      </c>
      <c r="B415" s="10" t="s">
        <v>1035</v>
      </c>
      <c r="C415" s="9" t="s">
        <v>1036</v>
      </c>
      <c r="D415" s="15">
        <v>120.1</v>
      </c>
      <c r="E415" s="13" t="s">
        <v>1346</v>
      </c>
    </row>
    <row r="416" spans="1:5" hidden="1" x14ac:dyDescent="0.25">
      <c r="A416" s="9" t="s">
        <v>1343</v>
      </c>
      <c r="B416" s="10" t="s">
        <v>1037</v>
      </c>
      <c r="C416" s="9" t="s">
        <v>1038</v>
      </c>
      <c r="D416" s="15">
        <v>162.63</v>
      </c>
      <c r="E416" s="13" t="s">
        <v>1346</v>
      </c>
    </row>
    <row r="417" spans="1:5" hidden="1" x14ac:dyDescent="0.25">
      <c r="A417" s="9" t="s">
        <v>1343</v>
      </c>
      <c r="B417" s="10" t="s">
        <v>1039</v>
      </c>
      <c r="C417" s="9" t="s">
        <v>1040</v>
      </c>
      <c r="D417" s="15">
        <v>41.7</v>
      </c>
      <c r="E417" s="13" t="s">
        <v>1346</v>
      </c>
    </row>
    <row r="418" spans="1:5" hidden="1" x14ac:dyDescent="0.25">
      <c r="A418" s="9" t="s">
        <v>1343</v>
      </c>
      <c r="B418" s="10" t="s">
        <v>1041</v>
      </c>
      <c r="C418" s="9" t="s">
        <v>1042</v>
      </c>
      <c r="D418" s="15">
        <v>16.8</v>
      </c>
      <c r="E418" s="13" t="s">
        <v>1346</v>
      </c>
    </row>
    <row r="419" spans="1:5" hidden="1" x14ac:dyDescent="0.25">
      <c r="A419" s="9" t="s">
        <v>1343</v>
      </c>
      <c r="B419" s="10" t="s">
        <v>1047</v>
      </c>
      <c r="C419" s="9" t="s">
        <v>1048</v>
      </c>
      <c r="D419" s="15">
        <v>69.7</v>
      </c>
      <c r="E419" s="13" t="s">
        <v>1346</v>
      </c>
    </row>
    <row r="420" spans="1:5" hidden="1" x14ac:dyDescent="0.25">
      <c r="A420" s="9" t="s">
        <v>1343</v>
      </c>
      <c r="B420" s="10" t="s">
        <v>1051</v>
      </c>
      <c r="C420" s="9" t="s">
        <v>1052</v>
      </c>
      <c r="D420" s="15">
        <v>170.5</v>
      </c>
      <c r="E420" s="13" t="s">
        <v>1346</v>
      </c>
    </row>
    <row r="421" spans="1:5" hidden="1" x14ac:dyDescent="0.25">
      <c r="A421" s="9" t="s">
        <v>1343</v>
      </c>
      <c r="B421" s="10" t="s">
        <v>1053</v>
      </c>
      <c r="C421" s="9" t="s">
        <v>1054</v>
      </c>
      <c r="D421" s="15">
        <v>33.6</v>
      </c>
      <c r="E421" s="13" t="s">
        <v>1346</v>
      </c>
    </row>
    <row r="422" spans="1:5" hidden="1" x14ac:dyDescent="0.25">
      <c r="A422" s="9" t="s">
        <v>1343</v>
      </c>
      <c r="B422" s="10" t="s">
        <v>1055</v>
      </c>
      <c r="C422" s="9" t="s">
        <v>1056</v>
      </c>
      <c r="D422" s="15">
        <v>84.22</v>
      </c>
      <c r="E422" s="13" t="s">
        <v>1346</v>
      </c>
    </row>
    <row r="423" spans="1:5" hidden="1" x14ac:dyDescent="0.25">
      <c r="A423" s="9" t="s">
        <v>1343</v>
      </c>
      <c r="B423" s="10" t="s">
        <v>1057</v>
      </c>
      <c r="C423" s="9" t="s">
        <v>1058</v>
      </c>
      <c r="D423" s="15">
        <v>122.6</v>
      </c>
      <c r="E423" s="13" t="s">
        <v>1346</v>
      </c>
    </row>
    <row r="424" spans="1:5" hidden="1" x14ac:dyDescent="0.25">
      <c r="A424" s="9" t="s">
        <v>1343</v>
      </c>
      <c r="B424" s="10" t="s">
        <v>1059</v>
      </c>
      <c r="C424" s="9" t="s">
        <v>1060</v>
      </c>
      <c r="D424" s="15">
        <v>343.31</v>
      </c>
      <c r="E424" s="13" t="s">
        <v>1346</v>
      </c>
    </row>
    <row r="425" spans="1:5" hidden="1" x14ac:dyDescent="0.25">
      <c r="A425" s="9" t="s">
        <v>1343</v>
      </c>
      <c r="B425" s="10" t="s">
        <v>1061</v>
      </c>
      <c r="C425" s="9" t="s">
        <v>1062</v>
      </c>
      <c r="D425" s="15">
        <v>103.3</v>
      </c>
      <c r="E425" s="13" t="s">
        <v>1346</v>
      </c>
    </row>
    <row r="426" spans="1:5" hidden="1" x14ac:dyDescent="0.25">
      <c r="A426" s="9" t="s">
        <v>1343</v>
      </c>
      <c r="B426" s="10" t="s">
        <v>1065</v>
      </c>
      <c r="C426" s="9" t="s">
        <v>1066</v>
      </c>
      <c r="D426" s="15">
        <v>50.4</v>
      </c>
      <c r="E426" s="13" t="s">
        <v>1346</v>
      </c>
    </row>
    <row r="427" spans="1:5" hidden="1" x14ac:dyDescent="0.25">
      <c r="A427" s="9" t="s">
        <v>1343</v>
      </c>
      <c r="B427" s="10" t="s">
        <v>1069</v>
      </c>
      <c r="C427" s="9" t="s">
        <v>1070</v>
      </c>
      <c r="D427" s="15">
        <v>209.3</v>
      </c>
      <c r="E427" s="13" t="s">
        <v>1346</v>
      </c>
    </row>
    <row r="428" spans="1:5" hidden="1" x14ac:dyDescent="0.25">
      <c r="A428" s="9" t="s">
        <v>1343</v>
      </c>
      <c r="B428" s="10" t="s">
        <v>1073</v>
      </c>
      <c r="C428" s="9" t="s">
        <v>1074</v>
      </c>
      <c r="D428" s="15">
        <v>249.33</v>
      </c>
      <c r="E428" s="13" t="s">
        <v>1346</v>
      </c>
    </row>
    <row r="429" spans="1:5" hidden="1" x14ac:dyDescent="0.25">
      <c r="A429" s="9" t="s">
        <v>1343</v>
      </c>
      <c r="B429" s="10" t="s">
        <v>1075</v>
      </c>
      <c r="C429" s="9" t="s">
        <v>1076</v>
      </c>
      <c r="D429" s="15">
        <v>184.8</v>
      </c>
      <c r="E429" s="13" t="s">
        <v>1346</v>
      </c>
    </row>
    <row r="430" spans="1:5" hidden="1" x14ac:dyDescent="0.25">
      <c r="A430" s="9" t="s">
        <v>1343</v>
      </c>
      <c r="B430" s="10" t="s">
        <v>1077</v>
      </c>
      <c r="C430" s="9" t="s">
        <v>1078</v>
      </c>
      <c r="D430" s="15">
        <v>384.13</v>
      </c>
      <c r="E430" s="13" t="s">
        <v>1346</v>
      </c>
    </row>
    <row r="431" spans="1:5" hidden="1" x14ac:dyDescent="0.25">
      <c r="A431" s="9" t="s">
        <v>1343</v>
      </c>
      <c r="B431" s="10" t="s">
        <v>1079</v>
      </c>
      <c r="C431" s="9" t="s">
        <v>1080</v>
      </c>
      <c r="D431" s="15">
        <v>988.82</v>
      </c>
      <c r="E431" s="13" t="s">
        <v>1346</v>
      </c>
    </row>
    <row r="432" spans="1:5" hidden="1" x14ac:dyDescent="0.25">
      <c r="A432" s="9" t="s">
        <v>1343</v>
      </c>
      <c r="B432" s="10" t="s">
        <v>1081</v>
      </c>
      <c r="C432" s="9" t="s">
        <v>1082</v>
      </c>
      <c r="D432" s="15">
        <v>16.8</v>
      </c>
      <c r="E432" s="13" t="s">
        <v>1346</v>
      </c>
    </row>
    <row r="433" spans="1:5" hidden="1" x14ac:dyDescent="0.25">
      <c r="A433" s="9" t="s">
        <v>1343</v>
      </c>
      <c r="B433" s="10" t="s">
        <v>1083</v>
      </c>
      <c r="C433" s="9" t="s">
        <v>1084</v>
      </c>
      <c r="D433" s="15">
        <v>437.94</v>
      </c>
      <c r="E433" s="13" t="s">
        <v>1346</v>
      </c>
    </row>
    <row r="434" spans="1:5" hidden="1" x14ac:dyDescent="0.25">
      <c r="A434" s="9" t="s">
        <v>1343</v>
      </c>
      <c r="B434" s="10" t="s">
        <v>1085</v>
      </c>
      <c r="C434" s="9" t="s">
        <v>1086</v>
      </c>
      <c r="D434" s="15">
        <v>141.06</v>
      </c>
      <c r="E434" s="13" t="s">
        <v>1346</v>
      </c>
    </row>
    <row r="435" spans="1:5" hidden="1" x14ac:dyDescent="0.25">
      <c r="A435" s="9" t="s">
        <v>1343</v>
      </c>
      <c r="B435" s="10" t="s">
        <v>1087</v>
      </c>
      <c r="C435" s="9" t="s">
        <v>1088</v>
      </c>
      <c r="D435" s="15">
        <v>475.63</v>
      </c>
      <c r="E435" s="13" t="s">
        <v>1346</v>
      </c>
    </row>
    <row r="436" spans="1:5" hidden="1" x14ac:dyDescent="0.25">
      <c r="A436" s="9" t="s">
        <v>1343</v>
      </c>
      <c r="B436" s="10" t="s">
        <v>1091</v>
      </c>
      <c r="C436" s="9" t="s">
        <v>1092</v>
      </c>
      <c r="D436" s="15">
        <v>384.34</v>
      </c>
      <c r="E436" s="13" t="s">
        <v>1346</v>
      </c>
    </row>
    <row r="437" spans="1:5" hidden="1" x14ac:dyDescent="0.25">
      <c r="A437" s="9" t="s">
        <v>1343</v>
      </c>
      <c r="B437" s="10" t="s">
        <v>1093</v>
      </c>
      <c r="C437" s="9" t="s">
        <v>1094</v>
      </c>
      <c r="D437" s="15">
        <v>61.6</v>
      </c>
      <c r="E437" s="13" t="s">
        <v>1346</v>
      </c>
    </row>
    <row r="438" spans="1:5" hidden="1" x14ac:dyDescent="0.25">
      <c r="A438" s="9" t="s">
        <v>1343</v>
      </c>
      <c r="B438" s="10" t="s">
        <v>1095</v>
      </c>
      <c r="C438" s="9" t="s">
        <v>1096</v>
      </c>
      <c r="D438" s="15">
        <v>259.49</v>
      </c>
      <c r="E438" s="13" t="s">
        <v>1346</v>
      </c>
    </row>
    <row r="439" spans="1:5" hidden="1" x14ac:dyDescent="0.25">
      <c r="A439" s="9" t="s">
        <v>1343</v>
      </c>
      <c r="B439" s="10" t="s">
        <v>1097</v>
      </c>
      <c r="C439" s="9" t="s">
        <v>1098</v>
      </c>
      <c r="D439" s="15">
        <v>895.23</v>
      </c>
      <c r="E439" s="13" t="s">
        <v>1346</v>
      </c>
    </row>
    <row r="440" spans="1:5" hidden="1" x14ac:dyDescent="0.25">
      <c r="A440" s="9" t="s">
        <v>1343</v>
      </c>
      <c r="B440" s="10" t="s">
        <v>1103</v>
      </c>
      <c r="C440" s="9" t="s">
        <v>1104</v>
      </c>
      <c r="D440" s="15">
        <v>16.8</v>
      </c>
      <c r="E440" s="13" t="s">
        <v>1346</v>
      </c>
    </row>
    <row r="441" spans="1:5" hidden="1" x14ac:dyDescent="0.25">
      <c r="A441" s="9" t="s">
        <v>1343</v>
      </c>
      <c r="B441" s="10" t="s">
        <v>1105</v>
      </c>
      <c r="C441" s="9" t="s">
        <v>1106</v>
      </c>
      <c r="D441" s="15">
        <v>64.319999999999993</v>
      </c>
      <c r="E441" s="13" t="s">
        <v>1346</v>
      </c>
    </row>
    <row r="442" spans="1:5" hidden="1" x14ac:dyDescent="0.25">
      <c r="A442" s="9" t="s">
        <v>1343</v>
      </c>
      <c r="B442" s="10" t="s">
        <v>1107</v>
      </c>
      <c r="C442" s="9" t="s">
        <v>1108</v>
      </c>
      <c r="D442" s="15">
        <v>223.4</v>
      </c>
      <c r="E442" s="13" t="s">
        <v>1346</v>
      </c>
    </row>
    <row r="443" spans="1:5" hidden="1" x14ac:dyDescent="0.25">
      <c r="A443" s="9" t="s">
        <v>1343</v>
      </c>
      <c r="B443" s="10" t="s">
        <v>1109</v>
      </c>
      <c r="C443" s="9" t="s">
        <v>1110</v>
      </c>
      <c r="D443" s="15">
        <v>19.3</v>
      </c>
      <c r="E443" s="13" t="s">
        <v>1346</v>
      </c>
    </row>
    <row r="444" spans="1:5" hidden="1" x14ac:dyDescent="0.25">
      <c r="A444" s="9" t="s">
        <v>1343</v>
      </c>
      <c r="B444" s="10" t="s">
        <v>1111</v>
      </c>
      <c r="C444" s="9" t="s">
        <v>1112</v>
      </c>
      <c r="D444" s="15">
        <v>153.1</v>
      </c>
      <c r="E444" s="13" t="s">
        <v>1346</v>
      </c>
    </row>
    <row r="445" spans="1:5" hidden="1" x14ac:dyDescent="0.25">
      <c r="A445" s="9" t="s">
        <v>1343</v>
      </c>
      <c r="B445" s="10" t="s">
        <v>1113</v>
      </c>
      <c r="C445" s="9" t="s">
        <v>1114</v>
      </c>
      <c r="D445" s="15">
        <v>193.13</v>
      </c>
      <c r="E445" s="13" t="s">
        <v>1346</v>
      </c>
    </row>
    <row r="446" spans="1:5" hidden="1" x14ac:dyDescent="0.25">
      <c r="A446" s="9" t="s">
        <v>1343</v>
      </c>
      <c r="B446" s="10" t="s">
        <v>1115</v>
      </c>
      <c r="C446" s="9" t="s">
        <v>1116</v>
      </c>
      <c r="D446" s="15">
        <v>308.45</v>
      </c>
      <c r="E446" s="13" t="s">
        <v>1346</v>
      </c>
    </row>
    <row r="447" spans="1:5" hidden="1" x14ac:dyDescent="0.25">
      <c r="A447" s="9" t="s">
        <v>1343</v>
      </c>
      <c r="B447" s="10" t="s">
        <v>1117</v>
      </c>
      <c r="C447" s="9" t="s">
        <v>1118</v>
      </c>
      <c r="D447" s="15">
        <v>926.77</v>
      </c>
      <c r="E447" s="13" t="s">
        <v>1346</v>
      </c>
    </row>
    <row r="448" spans="1:5" hidden="1" x14ac:dyDescent="0.25">
      <c r="A448" s="9" t="s">
        <v>1343</v>
      </c>
      <c r="B448" s="10" t="s">
        <v>1119</v>
      </c>
      <c r="C448" s="9" t="s">
        <v>1120</v>
      </c>
      <c r="D448" s="15">
        <v>16.8</v>
      </c>
      <c r="E448" s="13" t="s">
        <v>1346</v>
      </c>
    </row>
    <row r="449" spans="1:5" hidden="1" x14ac:dyDescent="0.25">
      <c r="A449" s="9" t="s">
        <v>1343</v>
      </c>
      <c r="B449" s="10" t="s">
        <v>1121</v>
      </c>
      <c r="C449" s="9" t="s">
        <v>1122</v>
      </c>
      <c r="D449" s="15">
        <v>69.7</v>
      </c>
      <c r="E449" s="13" t="s">
        <v>1346</v>
      </c>
    </row>
    <row r="450" spans="1:5" hidden="1" x14ac:dyDescent="0.25">
      <c r="A450" s="9" t="s">
        <v>1343</v>
      </c>
      <c r="B450" s="10" t="s">
        <v>1123</v>
      </c>
      <c r="C450" s="9" t="s">
        <v>1124</v>
      </c>
      <c r="D450" s="15">
        <v>123.2</v>
      </c>
      <c r="E450" s="13" t="s">
        <v>1346</v>
      </c>
    </row>
    <row r="451" spans="1:5" hidden="1" x14ac:dyDescent="0.25">
      <c r="A451" s="9" t="s">
        <v>1343</v>
      </c>
      <c r="B451" s="10" t="s">
        <v>1127</v>
      </c>
      <c r="C451" s="9" t="s">
        <v>1128</v>
      </c>
      <c r="D451" s="15">
        <v>376.98</v>
      </c>
      <c r="E451" s="13" t="s">
        <v>1346</v>
      </c>
    </row>
    <row r="452" spans="1:5" hidden="1" x14ac:dyDescent="0.25">
      <c r="A452" s="9" t="s">
        <v>1343</v>
      </c>
      <c r="B452" s="10" t="s">
        <v>1129</v>
      </c>
      <c r="C452" s="9" t="s">
        <v>1130</v>
      </c>
      <c r="D452" s="15">
        <v>108.9</v>
      </c>
      <c r="E452" s="13" t="s">
        <v>1346</v>
      </c>
    </row>
    <row r="453" spans="1:5" hidden="1" x14ac:dyDescent="0.25">
      <c r="A453" s="9" t="s">
        <v>1343</v>
      </c>
      <c r="B453" s="10" t="s">
        <v>1131</v>
      </c>
      <c r="C453" s="9" t="s">
        <v>1132</v>
      </c>
      <c r="D453" s="15">
        <v>428.74</v>
      </c>
      <c r="E453" s="13" t="s">
        <v>1346</v>
      </c>
    </row>
    <row r="454" spans="1:5" hidden="1" x14ac:dyDescent="0.25">
      <c r="A454" s="9" t="s">
        <v>1343</v>
      </c>
      <c r="B454" s="10" t="s">
        <v>1133</v>
      </c>
      <c r="C454" s="9" t="s">
        <v>1134</v>
      </c>
      <c r="D454" s="15">
        <v>5.6</v>
      </c>
      <c r="E454" s="13" t="s">
        <v>1346</v>
      </c>
    </row>
    <row r="455" spans="1:5" hidden="1" x14ac:dyDescent="0.25">
      <c r="A455" s="9" t="s">
        <v>1343</v>
      </c>
      <c r="B455" s="10" t="s">
        <v>1135</v>
      </c>
      <c r="C455" s="9" t="s">
        <v>1136</v>
      </c>
      <c r="D455" s="15">
        <v>67.430000000000007</v>
      </c>
      <c r="E455" s="13" t="s">
        <v>1346</v>
      </c>
    </row>
    <row r="456" spans="1:5" hidden="1" x14ac:dyDescent="0.25">
      <c r="A456" s="9" t="s">
        <v>1343</v>
      </c>
      <c r="B456" s="10" t="s">
        <v>1137</v>
      </c>
      <c r="C456" s="9" t="s">
        <v>1138</v>
      </c>
      <c r="D456" s="15">
        <v>45.03</v>
      </c>
      <c r="E456" s="13" t="s">
        <v>1346</v>
      </c>
    </row>
    <row r="457" spans="1:5" hidden="1" x14ac:dyDescent="0.25">
      <c r="A457" s="9" t="s">
        <v>1343</v>
      </c>
      <c r="B457" s="10" t="s">
        <v>1139</v>
      </c>
      <c r="C457" s="9" t="s">
        <v>1140</v>
      </c>
      <c r="D457" s="15">
        <v>90.06</v>
      </c>
      <c r="E457" s="13" t="s">
        <v>1346</v>
      </c>
    </row>
    <row r="458" spans="1:5" hidden="1" x14ac:dyDescent="0.25">
      <c r="A458" s="9" t="s">
        <v>1343</v>
      </c>
      <c r="B458" s="10" t="s">
        <v>1141</v>
      </c>
      <c r="C458" s="9" t="s">
        <v>1142</v>
      </c>
      <c r="D458" s="15">
        <v>84.23</v>
      </c>
      <c r="E458" s="13" t="s">
        <v>1346</v>
      </c>
    </row>
    <row r="459" spans="1:5" hidden="1" x14ac:dyDescent="0.25">
      <c r="A459" s="9" t="s">
        <v>1343</v>
      </c>
      <c r="B459" s="10" t="s">
        <v>1143</v>
      </c>
      <c r="C459" s="9" t="s">
        <v>1144</v>
      </c>
      <c r="D459" s="15">
        <v>237.7</v>
      </c>
      <c r="E459" s="13" t="s">
        <v>1346</v>
      </c>
    </row>
    <row r="460" spans="1:5" hidden="1" x14ac:dyDescent="0.25">
      <c r="A460" s="9" t="s">
        <v>1343</v>
      </c>
      <c r="B460" s="10" t="s">
        <v>1145</v>
      </c>
      <c r="C460" s="9" t="s">
        <v>1146</v>
      </c>
      <c r="D460" s="15">
        <v>198.5</v>
      </c>
      <c r="E460" s="13" t="s">
        <v>1346</v>
      </c>
    </row>
    <row r="461" spans="1:5" hidden="1" x14ac:dyDescent="0.25">
      <c r="A461" s="9" t="s">
        <v>1343</v>
      </c>
      <c r="B461" s="10" t="s">
        <v>1147</v>
      </c>
      <c r="C461" s="9" t="s">
        <v>1148</v>
      </c>
      <c r="D461" s="15">
        <v>303.08</v>
      </c>
      <c r="E461" s="13" t="s">
        <v>1346</v>
      </c>
    </row>
    <row r="462" spans="1:5" hidden="1" x14ac:dyDescent="0.25">
      <c r="A462" s="9" t="s">
        <v>1343</v>
      </c>
      <c r="B462" s="10" t="s">
        <v>1149</v>
      </c>
      <c r="C462" s="9" t="s">
        <v>1150</v>
      </c>
      <c r="D462" s="15">
        <v>207.04</v>
      </c>
      <c r="E462" s="13" t="s">
        <v>1346</v>
      </c>
    </row>
    <row r="463" spans="1:5" hidden="1" x14ac:dyDescent="0.25">
      <c r="A463" s="9" t="s">
        <v>1343</v>
      </c>
      <c r="B463" s="10" t="s">
        <v>1151</v>
      </c>
      <c r="C463" s="9" t="s">
        <v>1152</v>
      </c>
      <c r="D463" s="15">
        <v>320.69</v>
      </c>
      <c r="E463" s="13" t="s">
        <v>1346</v>
      </c>
    </row>
    <row r="464" spans="1:5" hidden="1" x14ac:dyDescent="0.25">
      <c r="A464" s="9" t="s">
        <v>1343</v>
      </c>
      <c r="B464" s="10" t="s">
        <v>1153</v>
      </c>
      <c r="C464" s="9" t="s">
        <v>1154</v>
      </c>
      <c r="D464" s="15">
        <v>233.76</v>
      </c>
      <c r="E464" s="13" t="s">
        <v>1346</v>
      </c>
    </row>
    <row r="465" spans="1:5" hidden="1" x14ac:dyDescent="0.25">
      <c r="A465" s="9" t="s">
        <v>1343</v>
      </c>
      <c r="B465" s="10" t="s">
        <v>1155</v>
      </c>
      <c r="C465" s="9" t="s">
        <v>1156</v>
      </c>
      <c r="D465" s="15">
        <v>365.52</v>
      </c>
      <c r="E465" s="13" t="s">
        <v>1346</v>
      </c>
    </row>
    <row r="466" spans="1:5" hidden="1" x14ac:dyDescent="0.25">
      <c r="A466" s="9" t="s">
        <v>1343</v>
      </c>
      <c r="B466" s="10" t="s">
        <v>1159</v>
      </c>
      <c r="C466" s="9" t="s">
        <v>1160</v>
      </c>
      <c r="D466" s="15">
        <v>39.200000000000003</v>
      </c>
      <c r="E466" s="13" t="s">
        <v>1346</v>
      </c>
    </row>
    <row r="467" spans="1:5" hidden="1" x14ac:dyDescent="0.25">
      <c r="A467" s="9" t="s">
        <v>1343</v>
      </c>
      <c r="B467" s="10" t="s">
        <v>1163</v>
      </c>
      <c r="C467" s="9" t="s">
        <v>1164</v>
      </c>
      <c r="D467" s="15">
        <v>102.92</v>
      </c>
      <c r="E467" s="13" t="s">
        <v>1346</v>
      </c>
    </row>
    <row r="468" spans="1:5" hidden="1" x14ac:dyDescent="0.25">
      <c r="A468" s="9" t="s">
        <v>1343</v>
      </c>
      <c r="B468" s="10" t="s">
        <v>1165</v>
      </c>
      <c r="C468" s="9" t="s">
        <v>1166</v>
      </c>
      <c r="D468" s="15">
        <v>39.200000000000003</v>
      </c>
      <c r="E468" s="13" t="s">
        <v>1346</v>
      </c>
    </row>
    <row r="469" spans="1:5" hidden="1" x14ac:dyDescent="0.25">
      <c r="A469" s="9" t="s">
        <v>1343</v>
      </c>
      <c r="B469" s="10" t="s">
        <v>1167</v>
      </c>
      <c r="C469" s="9" t="s">
        <v>1168</v>
      </c>
      <c r="D469" s="15">
        <v>16.8</v>
      </c>
      <c r="E469" s="13" t="s">
        <v>1346</v>
      </c>
    </row>
    <row r="470" spans="1:5" hidden="1" x14ac:dyDescent="0.25">
      <c r="A470" s="9" t="s">
        <v>1343</v>
      </c>
      <c r="B470" s="10" t="s">
        <v>1169</v>
      </c>
      <c r="C470" s="9" t="s">
        <v>1170</v>
      </c>
      <c r="D470" s="15">
        <v>22.4</v>
      </c>
      <c r="E470" s="13" t="s">
        <v>1346</v>
      </c>
    </row>
    <row r="471" spans="1:5" hidden="1" x14ac:dyDescent="0.25">
      <c r="A471" s="9" t="s">
        <v>1343</v>
      </c>
      <c r="B471" s="10" t="s">
        <v>1171</v>
      </c>
      <c r="C471" s="9" t="s">
        <v>1172</v>
      </c>
      <c r="D471" s="15">
        <v>192.9</v>
      </c>
      <c r="E471" s="13" t="s">
        <v>1346</v>
      </c>
    </row>
    <row r="472" spans="1:5" hidden="1" x14ac:dyDescent="0.25">
      <c r="A472" s="9" t="s">
        <v>1343</v>
      </c>
      <c r="B472" s="10" t="s">
        <v>1173</v>
      </c>
      <c r="C472" s="9" t="s">
        <v>1174</v>
      </c>
      <c r="D472" s="15">
        <v>126.74</v>
      </c>
      <c r="E472" s="13" t="s">
        <v>1346</v>
      </c>
    </row>
    <row r="473" spans="1:5" hidden="1" x14ac:dyDescent="0.25">
      <c r="A473" s="9" t="s">
        <v>1343</v>
      </c>
      <c r="B473" s="10" t="s">
        <v>1175</v>
      </c>
      <c r="C473" s="9" t="s">
        <v>1176</v>
      </c>
      <c r="D473" s="15">
        <v>822.25</v>
      </c>
      <c r="E473" s="13" t="s">
        <v>1346</v>
      </c>
    </row>
    <row r="474" spans="1:5" hidden="1" x14ac:dyDescent="0.25">
      <c r="A474" s="9" t="s">
        <v>1343</v>
      </c>
      <c r="B474" s="10" t="s">
        <v>1177</v>
      </c>
      <c r="C474" s="9" t="s">
        <v>1178</v>
      </c>
      <c r="D474" s="15">
        <v>400.4</v>
      </c>
      <c r="E474" s="13" t="s">
        <v>1346</v>
      </c>
    </row>
    <row r="475" spans="1:5" hidden="1" x14ac:dyDescent="0.25">
      <c r="A475" s="9" t="s">
        <v>1343</v>
      </c>
      <c r="B475" s="10" t="s">
        <v>1179</v>
      </c>
      <c r="C475" s="9" t="s">
        <v>1180</v>
      </c>
      <c r="D475" s="15">
        <v>16.8</v>
      </c>
      <c r="E475" s="13" t="s">
        <v>1346</v>
      </c>
    </row>
    <row r="476" spans="1:5" hidden="1" x14ac:dyDescent="0.25">
      <c r="A476" s="9" t="s">
        <v>1343</v>
      </c>
      <c r="B476" s="10" t="s">
        <v>1181</v>
      </c>
      <c r="C476" s="9" t="s">
        <v>1182</v>
      </c>
      <c r="D476" s="15">
        <v>69.7</v>
      </c>
      <c r="E476" s="13" t="s">
        <v>1346</v>
      </c>
    </row>
    <row r="477" spans="1:5" hidden="1" x14ac:dyDescent="0.25">
      <c r="A477" s="9" t="s">
        <v>1343</v>
      </c>
      <c r="B477" s="10" t="s">
        <v>1183</v>
      </c>
      <c r="C477" s="9" t="s">
        <v>1184</v>
      </c>
      <c r="D477" s="15">
        <v>224.23</v>
      </c>
      <c r="E477" s="13" t="s">
        <v>1346</v>
      </c>
    </row>
    <row r="478" spans="1:5" hidden="1" x14ac:dyDescent="0.25">
      <c r="A478" s="9" t="s">
        <v>1343</v>
      </c>
      <c r="B478" s="10" t="s">
        <v>1187</v>
      </c>
      <c r="C478" s="9" t="s">
        <v>1188</v>
      </c>
      <c r="D478" s="15">
        <v>70.75</v>
      </c>
      <c r="E478" s="13" t="s">
        <v>1346</v>
      </c>
    </row>
    <row r="479" spans="1:5" hidden="1" x14ac:dyDescent="0.25">
      <c r="A479" s="9" t="s">
        <v>1343</v>
      </c>
      <c r="B479" s="10" t="s">
        <v>1189</v>
      </c>
      <c r="C479" s="9" t="s">
        <v>1190</v>
      </c>
      <c r="D479" s="15">
        <v>36.1</v>
      </c>
      <c r="E479" s="13" t="s">
        <v>1346</v>
      </c>
    </row>
    <row r="480" spans="1:5" hidden="1" x14ac:dyDescent="0.25">
      <c r="A480" s="9" t="s">
        <v>1343</v>
      </c>
      <c r="B480" s="10" t="s">
        <v>1191</v>
      </c>
      <c r="C480" s="9" t="s">
        <v>1192</v>
      </c>
      <c r="D480" s="15">
        <v>33.6</v>
      </c>
      <c r="E480" s="13" t="s">
        <v>1346</v>
      </c>
    </row>
    <row r="481" spans="1:5" hidden="1" x14ac:dyDescent="0.25">
      <c r="A481" s="9" t="s">
        <v>1343</v>
      </c>
      <c r="B481" s="10" t="s">
        <v>1195</v>
      </c>
      <c r="C481" s="9" t="s">
        <v>1196</v>
      </c>
      <c r="D481" s="15">
        <v>100.8</v>
      </c>
      <c r="E481" s="13" t="s">
        <v>1346</v>
      </c>
    </row>
    <row r="482" spans="1:5" hidden="1" x14ac:dyDescent="0.25">
      <c r="A482" s="9" t="s">
        <v>1343</v>
      </c>
      <c r="B482" s="10" t="s">
        <v>1197</v>
      </c>
      <c r="C482" s="9" t="s">
        <v>1198</v>
      </c>
      <c r="D482" s="15">
        <v>122.59</v>
      </c>
      <c r="E482" s="13" t="s">
        <v>1346</v>
      </c>
    </row>
    <row r="483" spans="1:5" hidden="1" x14ac:dyDescent="0.25">
      <c r="A483" s="9" t="s">
        <v>1343</v>
      </c>
      <c r="B483" s="10" t="s">
        <v>1201</v>
      </c>
      <c r="C483" s="9" t="s">
        <v>1202</v>
      </c>
      <c r="D483" s="15">
        <v>28</v>
      </c>
      <c r="E483" s="13" t="s">
        <v>1346</v>
      </c>
    </row>
    <row r="484" spans="1:5" hidden="1" x14ac:dyDescent="0.25">
      <c r="A484" s="9" t="s">
        <v>1343</v>
      </c>
      <c r="B484" s="10" t="s">
        <v>1203</v>
      </c>
      <c r="C484" s="9" t="s">
        <v>1204</v>
      </c>
      <c r="D484" s="15">
        <v>16.8</v>
      </c>
      <c r="E484" s="13" t="s">
        <v>1346</v>
      </c>
    </row>
    <row r="485" spans="1:5" hidden="1" x14ac:dyDescent="0.25">
      <c r="A485" s="9" t="s">
        <v>1343</v>
      </c>
      <c r="B485" s="10" t="s">
        <v>1205</v>
      </c>
      <c r="C485" s="9" t="s">
        <v>1206</v>
      </c>
      <c r="D485" s="15">
        <v>16.8</v>
      </c>
      <c r="E485" s="13" t="s">
        <v>1346</v>
      </c>
    </row>
    <row r="486" spans="1:5" hidden="1" x14ac:dyDescent="0.25">
      <c r="A486" s="9" t="s">
        <v>1343</v>
      </c>
      <c r="B486" s="10" t="s">
        <v>1207</v>
      </c>
      <c r="C486" s="9" t="s">
        <v>1208</v>
      </c>
      <c r="D486" s="15">
        <v>120.1</v>
      </c>
      <c r="E486" s="13" t="s">
        <v>1346</v>
      </c>
    </row>
    <row r="487" spans="1:5" hidden="1" x14ac:dyDescent="0.25">
      <c r="A487" s="9" t="s">
        <v>1343</v>
      </c>
      <c r="B487" s="10" t="s">
        <v>1209</v>
      </c>
      <c r="C487" s="9" t="s">
        <v>1210</v>
      </c>
      <c r="D487" s="15">
        <v>28</v>
      </c>
      <c r="E487" s="13" t="s">
        <v>1346</v>
      </c>
    </row>
    <row r="488" spans="1:5" hidden="1" x14ac:dyDescent="0.25">
      <c r="A488" s="9" t="s">
        <v>1343</v>
      </c>
      <c r="B488" s="10" t="s">
        <v>1211</v>
      </c>
      <c r="C488" s="9" t="s">
        <v>1212</v>
      </c>
      <c r="D488" s="15">
        <v>110.8</v>
      </c>
      <c r="E488" s="13" t="s">
        <v>1346</v>
      </c>
    </row>
    <row r="489" spans="1:5" hidden="1" x14ac:dyDescent="0.25">
      <c r="A489" s="9" t="s">
        <v>1343</v>
      </c>
      <c r="B489" s="10" t="s">
        <v>1213</v>
      </c>
      <c r="C489" s="9" t="s">
        <v>1214</v>
      </c>
      <c r="D489" s="15">
        <v>91.8</v>
      </c>
      <c r="E489" s="13" t="s">
        <v>1346</v>
      </c>
    </row>
    <row r="490" spans="1:5" hidden="1" x14ac:dyDescent="0.25">
      <c r="A490" s="9" t="s">
        <v>1343</v>
      </c>
      <c r="B490" s="10" t="s">
        <v>1215</v>
      </c>
      <c r="C490" s="9" t="s">
        <v>1216</v>
      </c>
      <c r="D490" s="15">
        <v>148.1</v>
      </c>
      <c r="E490" s="13" t="s">
        <v>1346</v>
      </c>
    </row>
    <row r="491" spans="1:5" hidden="1" x14ac:dyDescent="0.25">
      <c r="A491" s="9" t="s">
        <v>1343</v>
      </c>
      <c r="B491" s="10" t="s">
        <v>1217</v>
      </c>
      <c r="C491" s="9" t="s">
        <v>1218</v>
      </c>
      <c r="D491" s="15">
        <v>224</v>
      </c>
      <c r="E491" s="13" t="s">
        <v>1346</v>
      </c>
    </row>
    <row r="492" spans="1:5" hidden="1" x14ac:dyDescent="0.25">
      <c r="A492" s="9" t="s">
        <v>1343</v>
      </c>
      <c r="B492" s="10" t="s">
        <v>1219</v>
      </c>
      <c r="C492" s="9" t="s">
        <v>1220</v>
      </c>
      <c r="D492" s="15">
        <v>16.8</v>
      </c>
      <c r="E492" s="13" t="s">
        <v>1346</v>
      </c>
    </row>
    <row r="493" spans="1:5" hidden="1" x14ac:dyDescent="0.25">
      <c r="A493" s="9" t="s">
        <v>1343</v>
      </c>
      <c r="B493" s="10" t="s">
        <v>1223</v>
      </c>
      <c r="C493" s="9" t="s">
        <v>1224</v>
      </c>
      <c r="D493" s="15">
        <v>33.6</v>
      </c>
      <c r="E493" s="13" t="s">
        <v>1346</v>
      </c>
    </row>
    <row r="494" spans="1:5" hidden="1" x14ac:dyDescent="0.25">
      <c r="A494" s="9" t="s">
        <v>1343</v>
      </c>
      <c r="B494" s="10" t="s">
        <v>1225</v>
      </c>
      <c r="C494" s="9" t="s">
        <v>1226</v>
      </c>
      <c r="D494" s="15">
        <v>106.02</v>
      </c>
      <c r="E494" s="13" t="s">
        <v>1346</v>
      </c>
    </row>
    <row r="495" spans="1:5" hidden="1" x14ac:dyDescent="0.25">
      <c r="A495" s="9" t="s">
        <v>1343</v>
      </c>
      <c r="B495" s="10" t="s">
        <v>1227</v>
      </c>
      <c r="C495" s="9" t="s">
        <v>1228</v>
      </c>
      <c r="D495" s="15">
        <v>68.260000000000005</v>
      </c>
      <c r="E495" s="13" t="s">
        <v>1346</v>
      </c>
    </row>
    <row r="496" spans="1:5" hidden="1" x14ac:dyDescent="0.25">
      <c r="A496" s="9" t="s">
        <v>1343</v>
      </c>
      <c r="B496" s="10" t="s">
        <v>1229</v>
      </c>
      <c r="C496" s="9" t="s">
        <v>1230</v>
      </c>
      <c r="D496" s="15">
        <v>240.8</v>
      </c>
      <c r="E496" s="13" t="s">
        <v>1346</v>
      </c>
    </row>
    <row r="497" spans="1:5" hidden="1" x14ac:dyDescent="0.25">
      <c r="A497" s="9" t="s">
        <v>1343</v>
      </c>
      <c r="B497" s="10" t="s">
        <v>1231</v>
      </c>
      <c r="C497" s="9" t="s">
        <v>1232</v>
      </c>
      <c r="D497" s="15">
        <v>61.6</v>
      </c>
      <c r="E497" s="13" t="s">
        <v>1346</v>
      </c>
    </row>
    <row r="498" spans="1:5" hidden="1" x14ac:dyDescent="0.25">
      <c r="A498" s="9" t="s">
        <v>1343</v>
      </c>
      <c r="B498" s="10" t="s">
        <v>1233</v>
      </c>
      <c r="C498" s="9" t="s">
        <v>1234</v>
      </c>
      <c r="D498" s="15">
        <v>44.8</v>
      </c>
      <c r="E498" s="13" t="s">
        <v>1346</v>
      </c>
    </row>
    <row r="499" spans="1:5" hidden="1" x14ac:dyDescent="0.25">
      <c r="A499" s="9" t="s">
        <v>1343</v>
      </c>
      <c r="B499" s="10" t="s">
        <v>1235</v>
      </c>
      <c r="C499" s="9" t="s">
        <v>1236</v>
      </c>
      <c r="D499" s="15">
        <v>76.13</v>
      </c>
      <c r="E499" s="13" t="s">
        <v>1346</v>
      </c>
    </row>
    <row r="500" spans="1:5" hidden="1" x14ac:dyDescent="0.25">
      <c r="A500" s="9" t="s">
        <v>1343</v>
      </c>
      <c r="B500" s="10" t="s">
        <v>1237</v>
      </c>
      <c r="C500" s="9" t="s">
        <v>1238</v>
      </c>
      <c r="D500" s="15">
        <v>25.73</v>
      </c>
      <c r="E500" s="13" t="s">
        <v>1346</v>
      </c>
    </row>
    <row r="501" spans="1:5" hidden="1" x14ac:dyDescent="0.25">
      <c r="A501" s="9" t="s">
        <v>1343</v>
      </c>
      <c r="B501" s="10" t="s">
        <v>1239</v>
      </c>
      <c r="C501" s="9" t="s">
        <v>1240</v>
      </c>
      <c r="D501" s="15">
        <v>93.16</v>
      </c>
      <c r="E501" s="13" t="s">
        <v>1346</v>
      </c>
    </row>
    <row r="502" spans="1:5" hidden="1" x14ac:dyDescent="0.25">
      <c r="A502" s="9" t="s">
        <v>1343</v>
      </c>
      <c r="B502" s="10" t="s">
        <v>1243</v>
      </c>
      <c r="C502" s="9" t="s">
        <v>1244</v>
      </c>
      <c r="D502" s="15">
        <v>104.96</v>
      </c>
      <c r="E502" s="13" t="s">
        <v>1346</v>
      </c>
    </row>
    <row r="503" spans="1:5" hidden="1" x14ac:dyDescent="0.25">
      <c r="A503" s="9" t="s">
        <v>1343</v>
      </c>
      <c r="B503" s="10" t="s">
        <v>1245</v>
      </c>
      <c r="C503" s="9" t="s">
        <v>1246</v>
      </c>
      <c r="D503" s="15">
        <v>70.760000000000005</v>
      </c>
      <c r="E503" s="13" t="s">
        <v>1346</v>
      </c>
    </row>
    <row r="504" spans="1:5" hidden="1" x14ac:dyDescent="0.25">
      <c r="A504" s="9" t="s">
        <v>1343</v>
      </c>
      <c r="B504" s="10" t="s">
        <v>1249</v>
      </c>
      <c r="C504" s="9" t="s">
        <v>1250</v>
      </c>
      <c r="D504" s="15">
        <v>69.7</v>
      </c>
      <c r="E504" s="13" t="s">
        <v>1346</v>
      </c>
    </row>
    <row r="505" spans="1:5" hidden="1" x14ac:dyDescent="0.25">
      <c r="A505" s="9" t="s">
        <v>1343</v>
      </c>
      <c r="B505" s="10" t="s">
        <v>1251</v>
      </c>
      <c r="C505" s="9" t="s">
        <v>1252</v>
      </c>
      <c r="D505" s="15">
        <v>322.52999999999997</v>
      </c>
      <c r="E505" s="13" t="s">
        <v>1346</v>
      </c>
    </row>
    <row r="506" spans="1:5" hidden="1" x14ac:dyDescent="0.25">
      <c r="A506" s="9" t="s">
        <v>1343</v>
      </c>
      <c r="B506" s="10" t="s">
        <v>1253</v>
      </c>
      <c r="C506" s="9" t="s">
        <v>1254</v>
      </c>
      <c r="D506" s="15">
        <v>28</v>
      </c>
      <c r="E506" s="13" t="s">
        <v>1346</v>
      </c>
    </row>
    <row r="507" spans="1:5" hidden="1" x14ac:dyDescent="0.25">
      <c r="A507" s="9" t="s">
        <v>1343</v>
      </c>
      <c r="B507" s="10" t="s">
        <v>1255</v>
      </c>
      <c r="C507" s="9" t="s">
        <v>1256</v>
      </c>
      <c r="D507" s="15">
        <v>108.9</v>
      </c>
      <c r="E507" s="13" t="s">
        <v>1346</v>
      </c>
    </row>
    <row r="508" spans="1:5" hidden="1" x14ac:dyDescent="0.25">
      <c r="A508" s="9" t="s">
        <v>1343</v>
      </c>
      <c r="B508" s="10" t="s">
        <v>1257</v>
      </c>
      <c r="C508" s="9" t="s">
        <v>1258</v>
      </c>
      <c r="D508" s="15">
        <v>145.83000000000001</v>
      </c>
      <c r="E508" s="13" t="s">
        <v>1346</v>
      </c>
    </row>
    <row r="509" spans="1:5" hidden="1" x14ac:dyDescent="0.25">
      <c r="A509" s="9" t="s">
        <v>1343</v>
      </c>
      <c r="B509" s="10" t="s">
        <v>1259</v>
      </c>
      <c r="C509" s="9" t="s">
        <v>1260</v>
      </c>
      <c r="D509" s="15">
        <v>220.09</v>
      </c>
      <c r="E509" s="13" t="s">
        <v>1346</v>
      </c>
    </row>
    <row r="510" spans="1:5" hidden="1" x14ac:dyDescent="0.25">
      <c r="A510" s="9" t="s">
        <v>1343</v>
      </c>
      <c r="B510" s="10" t="s">
        <v>1263</v>
      </c>
      <c r="C510" s="9" t="s">
        <v>1264</v>
      </c>
      <c r="D510" s="15">
        <v>89.6</v>
      </c>
      <c r="E510" s="13" t="s">
        <v>1346</v>
      </c>
    </row>
    <row r="511" spans="1:5" hidden="1" x14ac:dyDescent="0.25">
      <c r="A511" s="9" t="s">
        <v>1343</v>
      </c>
      <c r="B511" s="10" t="s">
        <v>1265</v>
      </c>
      <c r="C511" s="9" t="s">
        <v>1266</v>
      </c>
      <c r="D511" s="15">
        <v>197.9</v>
      </c>
      <c r="E511" s="13" t="s">
        <v>1346</v>
      </c>
    </row>
    <row r="512" spans="1:5" hidden="1" x14ac:dyDescent="0.25">
      <c r="A512" s="9" t="s">
        <v>1343</v>
      </c>
      <c r="B512" s="10" t="s">
        <v>1267</v>
      </c>
      <c r="C512" s="9" t="s">
        <v>1268</v>
      </c>
      <c r="D512" s="15">
        <v>5.6</v>
      </c>
      <c r="E512" s="13" t="s">
        <v>1346</v>
      </c>
    </row>
    <row r="513" spans="1:5" hidden="1" x14ac:dyDescent="0.25">
      <c r="A513" s="9" t="s">
        <v>1343</v>
      </c>
      <c r="B513" s="10" t="s">
        <v>1269</v>
      </c>
      <c r="C513" s="9" t="s">
        <v>1270</v>
      </c>
      <c r="D513" s="15">
        <v>25.73</v>
      </c>
      <c r="E513" s="13" t="s">
        <v>1346</v>
      </c>
    </row>
    <row r="514" spans="1:5" hidden="1" x14ac:dyDescent="0.25">
      <c r="A514" s="9" t="s">
        <v>1343</v>
      </c>
      <c r="B514" s="10" t="s">
        <v>1271</v>
      </c>
      <c r="C514" s="9" t="s">
        <v>1272</v>
      </c>
      <c r="D514" s="15">
        <v>36.1</v>
      </c>
      <c r="E514" s="13" t="s">
        <v>1346</v>
      </c>
    </row>
    <row r="515" spans="1:5" hidden="1" x14ac:dyDescent="0.25">
      <c r="A515" s="9" t="s">
        <v>1343</v>
      </c>
      <c r="B515" s="10" t="s">
        <v>1277</v>
      </c>
      <c r="C515" s="9" t="s">
        <v>1278</v>
      </c>
      <c r="D515" s="15">
        <v>395.55</v>
      </c>
      <c r="E515" s="13" t="s">
        <v>1346</v>
      </c>
    </row>
    <row r="516" spans="1:5" hidden="1" x14ac:dyDescent="0.25">
      <c r="A516" s="9" t="s">
        <v>1343</v>
      </c>
      <c r="B516" s="10" t="s">
        <v>1283</v>
      </c>
      <c r="C516" s="9" t="s">
        <v>1284</v>
      </c>
      <c r="D516" s="15">
        <v>92.1</v>
      </c>
      <c r="E516" s="13" t="s">
        <v>1346</v>
      </c>
    </row>
    <row r="517" spans="1:5" hidden="1" x14ac:dyDescent="0.25">
      <c r="A517" s="9" t="s">
        <v>1343</v>
      </c>
      <c r="B517" s="10" t="s">
        <v>1289</v>
      </c>
      <c r="C517" s="9" t="s">
        <v>1290</v>
      </c>
      <c r="D517" s="15">
        <v>546.34</v>
      </c>
      <c r="E517" s="13" t="s">
        <v>1346</v>
      </c>
    </row>
    <row r="518" spans="1:5" hidden="1" x14ac:dyDescent="0.25">
      <c r="A518" s="9" t="s">
        <v>1343</v>
      </c>
      <c r="B518" s="10" t="s">
        <v>1291</v>
      </c>
      <c r="C518" s="9" t="s">
        <v>1292</v>
      </c>
      <c r="D518" s="15">
        <v>423.99</v>
      </c>
      <c r="E518" s="13" t="s">
        <v>1346</v>
      </c>
    </row>
    <row r="519" spans="1:5" hidden="1" x14ac:dyDescent="0.25">
      <c r="A519" s="9" t="s">
        <v>1343</v>
      </c>
      <c r="B519" s="10" t="s">
        <v>1293</v>
      </c>
      <c r="C519" s="9" t="s">
        <v>1294</v>
      </c>
      <c r="D519" s="15">
        <v>346.2</v>
      </c>
      <c r="E519" s="13" t="s">
        <v>1346</v>
      </c>
    </row>
    <row r="520" spans="1:5" hidden="1" x14ac:dyDescent="0.25">
      <c r="A520" s="9" t="s">
        <v>1343</v>
      </c>
      <c r="B520" s="10" t="s">
        <v>1295</v>
      </c>
      <c r="C520" s="9" t="s">
        <v>1296</v>
      </c>
      <c r="D520" s="15">
        <v>149.36000000000001</v>
      </c>
      <c r="E520" s="13" t="s">
        <v>1346</v>
      </c>
    </row>
    <row r="521" spans="1:5" hidden="1" x14ac:dyDescent="0.25">
      <c r="A521" s="9" t="s">
        <v>1343</v>
      </c>
      <c r="B521" s="10" t="s">
        <v>1299</v>
      </c>
      <c r="C521" s="9" t="s">
        <v>1300</v>
      </c>
      <c r="D521" s="15">
        <v>176.1</v>
      </c>
      <c r="E521" s="13" t="s">
        <v>1346</v>
      </c>
    </row>
    <row r="522" spans="1:5" hidden="1" x14ac:dyDescent="0.25">
      <c r="A522" s="9" t="s">
        <v>1343</v>
      </c>
      <c r="B522" s="10" t="s">
        <v>1301</v>
      </c>
      <c r="C522" s="9" t="s">
        <v>1302</v>
      </c>
      <c r="D522" s="15">
        <v>687.88</v>
      </c>
      <c r="E522" s="13" t="s">
        <v>1346</v>
      </c>
    </row>
    <row r="523" spans="1:5" hidden="1" x14ac:dyDescent="0.25">
      <c r="A523" s="9" t="s">
        <v>1343</v>
      </c>
      <c r="B523" s="10" t="s">
        <v>1303</v>
      </c>
      <c r="C523" s="9" t="s">
        <v>1304</v>
      </c>
      <c r="D523" s="15">
        <v>77.8</v>
      </c>
      <c r="E523" s="13" t="s">
        <v>1346</v>
      </c>
    </row>
    <row r="524" spans="1:5" hidden="1" x14ac:dyDescent="0.25">
      <c r="A524" s="9" t="s">
        <v>1343</v>
      </c>
      <c r="B524" s="10" t="s">
        <v>1305</v>
      </c>
      <c r="C524" s="9" t="s">
        <v>1306</v>
      </c>
      <c r="D524" s="15">
        <v>336</v>
      </c>
      <c r="E524" s="13" t="s">
        <v>1346</v>
      </c>
    </row>
    <row r="525" spans="1:5" hidden="1" x14ac:dyDescent="0.25">
      <c r="A525" s="9" t="s">
        <v>1343</v>
      </c>
      <c r="B525" s="10" t="s">
        <v>1307</v>
      </c>
      <c r="C525" s="9" t="s">
        <v>1308</v>
      </c>
      <c r="D525" s="15">
        <v>15</v>
      </c>
      <c r="E525" s="13" t="s">
        <v>1346</v>
      </c>
    </row>
    <row r="526" spans="1:5" hidden="1" x14ac:dyDescent="0.25">
      <c r="A526" s="9" t="s">
        <v>1343</v>
      </c>
      <c r="B526" s="10" t="s">
        <v>1309</v>
      </c>
      <c r="C526" s="9" t="s">
        <v>1310</v>
      </c>
      <c r="D526" s="15">
        <v>145.83000000000001</v>
      </c>
      <c r="E526" s="13" t="s">
        <v>1346</v>
      </c>
    </row>
    <row r="527" spans="1:5" hidden="1" x14ac:dyDescent="0.25">
      <c r="A527" s="9" t="s">
        <v>1343</v>
      </c>
      <c r="B527" s="10" t="s">
        <v>1311</v>
      </c>
      <c r="C527" s="9" t="s">
        <v>1312</v>
      </c>
      <c r="D527" s="15">
        <v>140</v>
      </c>
      <c r="E527" s="13" t="s">
        <v>1346</v>
      </c>
    </row>
    <row r="528" spans="1:5" hidden="1" x14ac:dyDescent="0.25">
      <c r="A528" s="9" t="s">
        <v>1343</v>
      </c>
      <c r="B528" s="10" t="s">
        <v>1313</v>
      </c>
      <c r="C528" s="9" t="s">
        <v>1314</v>
      </c>
      <c r="D528" s="15">
        <v>140</v>
      </c>
      <c r="E528" s="13" t="s">
        <v>1346</v>
      </c>
    </row>
    <row r="529" spans="1:5" hidden="1" x14ac:dyDescent="0.25">
      <c r="A529" s="9" t="s">
        <v>1343</v>
      </c>
      <c r="B529" s="10" t="s">
        <v>1315</v>
      </c>
      <c r="C529" s="9" t="s">
        <v>1316</v>
      </c>
      <c r="D529" s="15">
        <v>772.29</v>
      </c>
      <c r="E529" s="13" t="s">
        <v>1346</v>
      </c>
    </row>
    <row r="530" spans="1:5" hidden="1" x14ac:dyDescent="0.25">
      <c r="A530" s="9" t="s">
        <v>1343</v>
      </c>
      <c r="B530" s="10" t="s">
        <v>1317</v>
      </c>
      <c r="C530" s="9" t="s">
        <v>1318</v>
      </c>
      <c r="D530" s="15">
        <v>324.43</v>
      </c>
      <c r="E530" s="13" t="s">
        <v>1346</v>
      </c>
    </row>
    <row r="531" spans="1:5" hidden="1" x14ac:dyDescent="0.25">
      <c r="A531" s="9" t="s">
        <v>1343</v>
      </c>
      <c r="B531" s="10" t="s">
        <v>1321</v>
      </c>
      <c r="C531" s="9" t="s">
        <v>1322</v>
      </c>
      <c r="D531" s="15">
        <v>220.9</v>
      </c>
      <c r="E531" s="13" t="s">
        <v>1346</v>
      </c>
    </row>
    <row r="532" spans="1:5" hidden="1" x14ac:dyDescent="0.25">
      <c r="A532" s="9" t="s">
        <v>1343</v>
      </c>
      <c r="B532" s="10" t="s">
        <v>1323</v>
      </c>
      <c r="C532" s="9" t="s">
        <v>1324</v>
      </c>
      <c r="D532" s="15">
        <v>332.9</v>
      </c>
      <c r="E532" s="13" t="s">
        <v>1346</v>
      </c>
    </row>
    <row r="533" spans="1:5" hidden="1" x14ac:dyDescent="0.25">
      <c r="A533" s="9" t="s">
        <v>1343</v>
      </c>
      <c r="B533" s="10" t="s">
        <v>1325</v>
      </c>
      <c r="C533" s="9" t="s">
        <v>1326</v>
      </c>
      <c r="D533" s="15">
        <v>901</v>
      </c>
      <c r="E533" s="13" t="s">
        <v>1346</v>
      </c>
    </row>
    <row r="534" spans="1:5" hidden="1" x14ac:dyDescent="0.25">
      <c r="A534" s="9" t="s">
        <v>1343</v>
      </c>
      <c r="B534" s="10" t="s">
        <v>1327</v>
      </c>
      <c r="C534" s="9" t="s">
        <v>1328</v>
      </c>
      <c r="D534" s="15">
        <v>156.80000000000001</v>
      </c>
      <c r="E534" s="13" t="s">
        <v>1346</v>
      </c>
    </row>
    <row r="535" spans="1:5" hidden="1" x14ac:dyDescent="0.25">
      <c r="A535" s="9" t="s">
        <v>1343</v>
      </c>
      <c r="B535" s="10" t="s">
        <v>1329</v>
      </c>
      <c r="C535" s="9" t="s">
        <v>1330</v>
      </c>
      <c r="D535" s="15">
        <v>430.19</v>
      </c>
      <c r="E535" s="13" t="s">
        <v>1346</v>
      </c>
    </row>
    <row r="536" spans="1:5" hidden="1" x14ac:dyDescent="0.25">
      <c r="A536" s="9" t="s">
        <v>1343</v>
      </c>
      <c r="B536" s="10" t="s">
        <v>1331</v>
      </c>
      <c r="C536" s="9" t="s">
        <v>1332</v>
      </c>
      <c r="D536" s="15">
        <v>111.4</v>
      </c>
      <c r="E536" s="13" t="s">
        <v>1346</v>
      </c>
    </row>
    <row r="537" spans="1:5" hidden="1" x14ac:dyDescent="0.25">
      <c r="A537" s="9" t="s">
        <v>1343</v>
      </c>
      <c r="B537" s="10" t="s">
        <v>1333</v>
      </c>
      <c r="C537" s="9" t="s">
        <v>1334</v>
      </c>
      <c r="D537" s="15">
        <v>33.6</v>
      </c>
      <c r="E537" s="13" t="s">
        <v>1346</v>
      </c>
    </row>
    <row r="538" spans="1:5" hidden="1" x14ac:dyDescent="0.25">
      <c r="A538" s="9" t="s">
        <v>1344</v>
      </c>
      <c r="B538" s="10" t="s">
        <v>265</v>
      </c>
      <c r="C538" s="9" t="s">
        <v>266</v>
      </c>
      <c r="D538" s="15">
        <v>226.05</v>
      </c>
      <c r="E538" s="13" t="s">
        <v>1346</v>
      </c>
    </row>
    <row r="539" spans="1:5" hidden="1" x14ac:dyDescent="0.25">
      <c r="A539" s="9" t="s">
        <v>1344</v>
      </c>
      <c r="B539" s="10" t="s">
        <v>305</v>
      </c>
      <c r="C539" s="9" t="s">
        <v>306</v>
      </c>
      <c r="D539" s="15">
        <v>162.75</v>
      </c>
      <c r="E539" s="13" t="s">
        <v>1346</v>
      </c>
    </row>
    <row r="540" spans="1:5" hidden="1" x14ac:dyDescent="0.25">
      <c r="A540" s="9" t="s">
        <v>1344</v>
      </c>
      <c r="B540" s="10" t="s">
        <v>327</v>
      </c>
      <c r="C540" s="9" t="s">
        <v>328</v>
      </c>
      <c r="D540" s="15">
        <v>127.14</v>
      </c>
      <c r="E540" s="13" t="s">
        <v>1346</v>
      </c>
    </row>
    <row r="541" spans="1:5" hidden="1" x14ac:dyDescent="0.25">
      <c r="A541" s="9" t="s">
        <v>1344</v>
      </c>
      <c r="B541" s="10" t="s">
        <v>369</v>
      </c>
      <c r="C541" s="9" t="s">
        <v>370</v>
      </c>
      <c r="D541" s="15">
        <v>74.900000000000006</v>
      </c>
      <c r="E541" s="13" t="s">
        <v>1346</v>
      </c>
    </row>
    <row r="542" spans="1:5" hidden="1" x14ac:dyDescent="0.25">
      <c r="A542" s="9" t="s">
        <v>1344</v>
      </c>
      <c r="B542" s="10" t="s">
        <v>399</v>
      </c>
      <c r="C542" s="9" t="s">
        <v>400</v>
      </c>
      <c r="D542" s="15">
        <v>226.3</v>
      </c>
      <c r="E542" s="13" t="s">
        <v>1346</v>
      </c>
    </row>
    <row r="543" spans="1:5" hidden="1" x14ac:dyDescent="0.25">
      <c r="A543" s="9" t="s">
        <v>1344</v>
      </c>
      <c r="B543" s="10" t="s">
        <v>421</v>
      </c>
      <c r="C543" s="9" t="s">
        <v>422</v>
      </c>
      <c r="D543" s="15">
        <v>43.3</v>
      </c>
      <c r="E543" s="13" t="s">
        <v>1346</v>
      </c>
    </row>
    <row r="544" spans="1:5" hidden="1" x14ac:dyDescent="0.25">
      <c r="A544" s="9" t="s">
        <v>1344</v>
      </c>
      <c r="B544" s="10" t="s">
        <v>453</v>
      </c>
      <c r="C544" s="9" t="s">
        <v>454</v>
      </c>
      <c r="D544" s="15">
        <v>185.76</v>
      </c>
      <c r="E544" s="13" t="s">
        <v>1346</v>
      </c>
    </row>
    <row r="545" spans="1:5" hidden="1" x14ac:dyDescent="0.25">
      <c r="A545" s="9" t="s">
        <v>1344</v>
      </c>
      <c r="B545" s="10" t="s">
        <v>465</v>
      </c>
      <c r="C545" s="9" t="s">
        <v>466</v>
      </c>
      <c r="D545" s="15">
        <v>138.74</v>
      </c>
      <c r="E545" s="13" t="s">
        <v>1346</v>
      </c>
    </row>
    <row r="546" spans="1:5" hidden="1" x14ac:dyDescent="0.25">
      <c r="A546" s="9" t="s">
        <v>1344</v>
      </c>
      <c r="B546" s="10" t="s">
        <v>483</v>
      </c>
      <c r="C546" s="9" t="s">
        <v>484</v>
      </c>
      <c r="D546" s="15">
        <v>136.41</v>
      </c>
      <c r="E546" s="13" t="s">
        <v>1346</v>
      </c>
    </row>
    <row r="547" spans="1:5" hidden="1" x14ac:dyDescent="0.25">
      <c r="A547" s="9" t="s">
        <v>1344</v>
      </c>
      <c r="B547" s="10" t="s">
        <v>515</v>
      </c>
      <c r="C547" s="9" t="s">
        <v>516</v>
      </c>
      <c r="D547" s="15">
        <v>60</v>
      </c>
      <c r="E547" s="13" t="s">
        <v>1346</v>
      </c>
    </row>
    <row r="548" spans="1:5" hidden="1" x14ac:dyDescent="0.25">
      <c r="A548" s="9" t="s">
        <v>1344</v>
      </c>
      <c r="B548" s="10" t="s">
        <v>547</v>
      </c>
      <c r="C548" s="9" t="s">
        <v>548</v>
      </c>
      <c r="D548" s="15">
        <v>14.6</v>
      </c>
      <c r="E548" s="13" t="s">
        <v>1346</v>
      </c>
    </row>
    <row r="549" spans="1:5" hidden="1" x14ac:dyDescent="0.25">
      <c r="A549" s="9" t="s">
        <v>1344</v>
      </c>
      <c r="B549" s="10" t="s">
        <v>571</v>
      </c>
      <c r="C549" s="9" t="s">
        <v>572</v>
      </c>
      <c r="D549" s="15">
        <v>58.12</v>
      </c>
      <c r="E549" s="13" t="s">
        <v>1346</v>
      </c>
    </row>
    <row r="550" spans="1:5" hidden="1" x14ac:dyDescent="0.25">
      <c r="A550" s="9" t="s">
        <v>1344</v>
      </c>
      <c r="B550" s="10" t="s">
        <v>619</v>
      </c>
      <c r="C550" s="9" t="s">
        <v>620</v>
      </c>
      <c r="D550" s="15">
        <v>70</v>
      </c>
      <c r="E550" s="13" t="s">
        <v>1346</v>
      </c>
    </row>
    <row r="551" spans="1:5" hidden="1" x14ac:dyDescent="0.25">
      <c r="A551" s="9" t="s">
        <v>1344</v>
      </c>
      <c r="B551" s="10" t="s">
        <v>649</v>
      </c>
      <c r="C551" s="9" t="s">
        <v>650</v>
      </c>
      <c r="D551" s="15">
        <v>133.43</v>
      </c>
      <c r="E551" s="13" t="s">
        <v>1346</v>
      </c>
    </row>
    <row r="552" spans="1:5" hidden="1" x14ac:dyDescent="0.25">
      <c r="A552" s="9" t="s">
        <v>1344</v>
      </c>
      <c r="B552" s="10" t="s">
        <v>677</v>
      </c>
      <c r="C552" s="9" t="s">
        <v>678</v>
      </c>
      <c r="D552" s="15">
        <v>78.819999999999993</v>
      </c>
      <c r="E552" s="13" t="s">
        <v>1346</v>
      </c>
    </row>
    <row r="553" spans="1:5" hidden="1" x14ac:dyDescent="0.25">
      <c r="A553" s="9" t="s">
        <v>1344</v>
      </c>
      <c r="B553" s="10" t="s">
        <v>719</v>
      </c>
      <c r="C553" s="9" t="s">
        <v>720</v>
      </c>
      <c r="D553" s="15">
        <v>45</v>
      </c>
      <c r="E553" s="13" t="s">
        <v>1346</v>
      </c>
    </row>
    <row r="554" spans="1:5" hidden="1" x14ac:dyDescent="0.25">
      <c r="A554" s="9" t="s">
        <v>1344</v>
      </c>
      <c r="B554" s="10" t="s">
        <v>893</v>
      </c>
      <c r="C554" s="9" t="s">
        <v>894</v>
      </c>
      <c r="D554" s="15">
        <v>25</v>
      </c>
      <c r="E554" s="13" t="s">
        <v>1346</v>
      </c>
    </row>
    <row r="555" spans="1:5" hidden="1" x14ac:dyDescent="0.25">
      <c r="A555" s="9" t="s">
        <v>1344</v>
      </c>
      <c r="B555" s="10" t="s">
        <v>901</v>
      </c>
      <c r="C555" s="9" t="s">
        <v>902</v>
      </c>
      <c r="D555" s="15">
        <v>50</v>
      </c>
      <c r="E555" s="13" t="s">
        <v>1346</v>
      </c>
    </row>
    <row r="556" spans="1:5" hidden="1" x14ac:dyDescent="0.25">
      <c r="A556" s="9" t="s">
        <v>1344</v>
      </c>
      <c r="B556" s="10" t="s">
        <v>915</v>
      </c>
      <c r="C556" s="9" t="s">
        <v>916</v>
      </c>
      <c r="D556" s="15">
        <v>15</v>
      </c>
      <c r="E556" s="13" t="s">
        <v>1346</v>
      </c>
    </row>
    <row r="557" spans="1:5" hidden="1" x14ac:dyDescent="0.25">
      <c r="A557" s="9" t="s">
        <v>1344</v>
      </c>
      <c r="B557" s="10" t="s">
        <v>921</v>
      </c>
      <c r="C557" s="9" t="s">
        <v>922</v>
      </c>
      <c r="D557" s="15">
        <v>242.29</v>
      </c>
      <c r="E557" s="13" t="s">
        <v>1346</v>
      </c>
    </row>
    <row r="558" spans="1:5" hidden="1" x14ac:dyDescent="0.25">
      <c r="A558" s="9" t="s">
        <v>1344</v>
      </c>
      <c r="B558" s="10" t="s">
        <v>925</v>
      </c>
      <c r="C558" s="9" t="s">
        <v>926</v>
      </c>
      <c r="D558" s="15">
        <v>164.3</v>
      </c>
      <c r="E558" s="13" t="s">
        <v>1346</v>
      </c>
    </row>
    <row r="559" spans="1:5" hidden="1" x14ac:dyDescent="0.25">
      <c r="A559" s="9" t="s">
        <v>1344</v>
      </c>
      <c r="B559" s="10" t="s">
        <v>941</v>
      </c>
      <c r="C559" s="9" t="s">
        <v>942</v>
      </c>
      <c r="D559" s="15">
        <v>347.04</v>
      </c>
      <c r="E559" s="13" t="s">
        <v>1346</v>
      </c>
    </row>
    <row r="560" spans="1:5" hidden="1" x14ac:dyDescent="0.25">
      <c r="A560" s="9" t="s">
        <v>1344</v>
      </c>
      <c r="B560" s="10" t="s">
        <v>943</v>
      </c>
      <c r="C560" s="9" t="s">
        <v>944</v>
      </c>
      <c r="D560" s="15">
        <v>50.29</v>
      </c>
      <c r="E560" s="13" t="s">
        <v>1346</v>
      </c>
    </row>
    <row r="561" spans="1:5" hidden="1" x14ac:dyDescent="0.25">
      <c r="A561" s="9" t="s">
        <v>1344</v>
      </c>
      <c r="B561" s="10" t="s">
        <v>955</v>
      </c>
      <c r="C561" s="9" t="s">
        <v>956</v>
      </c>
      <c r="D561" s="15">
        <v>124</v>
      </c>
      <c r="E561" s="13" t="s">
        <v>1346</v>
      </c>
    </row>
    <row r="562" spans="1:5" hidden="1" x14ac:dyDescent="0.25">
      <c r="A562" s="9" t="s">
        <v>1344</v>
      </c>
      <c r="B562" s="10" t="s">
        <v>1043</v>
      </c>
      <c r="C562" s="9" t="s">
        <v>1044</v>
      </c>
      <c r="D562" s="15">
        <v>76.8</v>
      </c>
      <c r="E562" s="13" t="s">
        <v>1346</v>
      </c>
    </row>
    <row r="563" spans="1:5" hidden="1" x14ac:dyDescent="0.25">
      <c r="A563" s="9" t="s">
        <v>1344</v>
      </c>
      <c r="B563" s="10" t="s">
        <v>1063</v>
      </c>
      <c r="C563" s="9" t="s">
        <v>1064</v>
      </c>
      <c r="D563" s="15">
        <v>213.99</v>
      </c>
      <c r="E563" s="13" t="s">
        <v>1346</v>
      </c>
    </row>
    <row r="564" spans="1:5" hidden="1" x14ac:dyDescent="0.25">
      <c r="A564" s="9" t="s">
        <v>1344</v>
      </c>
      <c r="B564" s="10" t="s">
        <v>1157</v>
      </c>
      <c r="C564" s="9" t="s">
        <v>1158</v>
      </c>
      <c r="D564" s="15">
        <v>25</v>
      </c>
      <c r="E564" s="13" t="s">
        <v>1346</v>
      </c>
    </row>
    <row r="565" spans="1:5" hidden="1" x14ac:dyDescent="0.25">
      <c r="A565" s="9" t="s">
        <v>1344</v>
      </c>
      <c r="B565" s="10" t="s">
        <v>1161</v>
      </c>
      <c r="C565" s="9" t="s">
        <v>1162</v>
      </c>
      <c r="D565" s="15">
        <v>24.47</v>
      </c>
      <c r="E565" s="13" t="s">
        <v>1346</v>
      </c>
    </row>
    <row r="566" spans="1:5" hidden="1" x14ac:dyDescent="0.25">
      <c r="A566" s="9" t="s">
        <v>1344</v>
      </c>
      <c r="B566" s="10" t="s">
        <v>1193</v>
      </c>
      <c r="C566" s="9" t="s">
        <v>1194</v>
      </c>
      <c r="D566" s="15">
        <v>76.540000000000006</v>
      </c>
      <c r="E566" s="13" t="s">
        <v>1346</v>
      </c>
    </row>
    <row r="567" spans="1:5" hidden="1" x14ac:dyDescent="0.25">
      <c r="A567" s="9" t="s">
        <v>1344</v>
      </c>
      <c r="B567" s="10" t="s">
        <v>1279</v>
      </c>
      <c r="C567" s="9" t="s">
        <v>1280</v>
      </c>
      <c r="D567" s="15">
        <v>63.7</v>
      </c>
      <c r="E567" s="13" t="s">
        <v>1346</v>
      </c>
    </row>
    <row r="568" spans="1:5" hidden="1" x14ac:dyDescent="0.25">
      <c r="A568" s="9" t="s">
        <v>1345</v>
      </c>
      <c r="B568" s="10" t="s">
        <v>75</v>
      </c>
      <c r="C568" s="9" t="s">
        <v>76</v>
      </c>
      <c r="D568" s="15">
        <v>75.510000000000005</v>
      </c>
      <c r="E568" s="13" t="s">
        <v>1346</v>
      </c>
    </row>
    <row r="569" spans="1:5" hidden="1" x14ac:dyDescent="0.25">
      <c r="A569" s="9" t="s">
        <v>1345</v>
      </c>
      <c r="B569" s="10" t="s">
        <v>77</v>
      </c>
      <c r="C569" s="9" t="s">
        <v>78</v>
      </c>
      <c r="D569" s="15">
        <v>90.66</v>
      </c>
      <c r="E569" s="13" t="s">
        <v>1346</v>
      </c>
    </row>
    <row r="570" spans="1:5" hidden="1" x14ac:dyDescent="0.25">
      <c r="A570" s="9" t="s">
        <v>1345</v>
      </c>
      <c r="B570" s="10" t="s">
        <v>79</v>
      </c>
      <c r="C570" s="9" t="s">
        <v>80</v>
      </c>
      <c r="D570" s="15">
        <v>98.17</v>
      </c>
      <c r="E570" s="13" t="s">
        <v>1346</v>
      </c>
    </row>
    <row r="571" spans="1:5" hidden="1" x14ac:dyDescent="0.25">
      <c r="A571" s="9" t="s">
        <v>1345</v>
      </c>
      <c r="B571" s="10" t="s">
        <v>81</v>
      </c>
      <c r="C571" s="9" t="s">
        <v>82</v>
      </c>
      <c r="D571" s="15">
        <v>75.510000000000005</v>
      </c>
      <c r="E571" s="13" t="s">
        <v>1346</v>
      </c>
    </row>
    <row r="572" spans="1:5" hidden="1" x14ac:dyDescent="0.25">
      <c r="A572" s="9" t="s">
        <v>1345</v>
      </c>
      <c r="B572" s="10" t="s">
        <v>83</v>
      </c>
      <c r="C572" s="9" t="s">
        <v>84</v>
      </c>
      <c r="D572" s="15">
        <v>79.23</v>
      </c>
      <c r="E572" s="13" t="s">
        <v>1346</v>
      </c>
    </row>
    <row r="573" spans="1:5" hidden="1" x14ac:dyDescent="0.25">
      <c r="A573" s="9" t="s">
        <v>1345</v>
      </c>
      <c r="B573" s="10" t="s">
        <v>85</v>
      </c>
      <c r="C573" s="9" t="s">
        <v>86</v>
      </c>
      <c r="D573" s="15">
        <v>81.09</v>
      </c>
      <c r="E573" s="13" t="s">
        <v>1346</v>
      </c>
    </row>
    <row r="574" spans="1:5" hidden="1" x14ac:dyDescent="0.25">
      <c r="A574" s="9" t="s">
        <v>1345</v>
      </c>
      <c r="B574" s="10" t="s">
        <v>87</v>
      </c>
      <c r="C574" s="9" t="s">
        <v>88</v>
      </c>
      <c r="D574" s="15">
        <v>77.37</v>
      </c>
      <c r="E574" s="13" t="s">
        <v>1346</v>
      </c>
    </row>
    <row r="575" spans="1:5" hidden="1" x14ac:dyDescent="0.25">
      <c r="A575" s="9" t="s">
        <v>1345</v>
      </c>
      <c r="B575" s="10" t="s">
        <v>89</v>
      </c>
      <c r="C575" s="9" t="s">
        <v>90</v>
      </c>
      <c r="D575" s="15">
        <v>13.07</v>
      </c>
      <c r="E575" s="13" t="s">
        <v>1346</v>
      </c>
    </row>
    <row r="576" spans="1:5" hidden="1" x14ac:dyDescent="0.25">
      <c r="A576" s="9" t="s">
        <v>1345</v>
      </c>
      <c r="B576" s="10" t="s">
        <v>99</v>
      </c>
      <c r="C576" s="9" t="s">
        <v>100</v>
      </c>
      <c r="D576" s="15">
        <v>36.86</v>
      </c>
      <c r="E576" s="13" t="s">
        <v>1346</v>
      </c>
    </row>
    <row r="577" spans="1:5" hidden="1" x14ac:dyDescent="0.25">
      <c r="A577" s="9" t="s">
        <v>1345</v>
      </c>
      <c r="B577" s="10" t="s">
        <v>101</v>
      </c>
      <c r="C577" s="9" t="s">
        <v>102</v>
      </c>
      <c r="D577" s="15">
        <v>45.26</v>
      </c>
      <c r="E577" s="13" t="s">
        <v>1346</v>
      </c>
    </row>
    <row r="578" spans="1:5" hidden="1" x14ac:dyDescent="0.25">
      <c r="A578" s="9" t="s">
        <v>1345</v>
      </c>
      <c r="B578" s="10" t="s">
        <v>107</v>
      </c>
      <c r="C578" s="9" t="s">
        <v>108</v>
      </c>
      <c r="D578" s="15">
        <v>80.16</v>
      </c>
      <c r="E578" s="13" t="s">
        <v>1346</v>
      </c>
    </row>
    <row r="579" spans="1:5" hidden="1" x14ac:dyDescent="0.25">
      <c r="A579" s="9" t="s">
        <v>1345</v>
      </c>
      <c r="B579" s="10" t="s">
        <v>109</v>
      </c>
      <c r="C579" s="9" t="s">
        <v>110</v>
      </c>
      <c r="D579" s="15">
        <v>473.21</v>
      </c>
      <c r="E579" s="13" t="s">
        <v>1346</v>
      </c>
    </row>
    <row r="580" spans="1:5" hidden="1" x14ac:dyDescent="0.25">
      <c r="A580" s="9" t="s">
        <v>1345</v>
      </c>
      <c r="B580" s="10" t="s">
        <v>111</v>
      </c>
      <c r="C580" s="9" t="s">
        <v>112</v>
      </c>
      <c r="D580" s="15">
        <v>48.98</v>
      </c>
      <c r="E580" s="13" t="s">
        <v>1346</v>
      </c>
    </row>
    <row r="581" spans="1:5" hidden="1" x14ac:dyDescent="0.25">
      <c r="A581" s="9" t="s">
        <v>1345</v>
      </c>
      <c r="B581" s="10" t="s">
        <v>115</v>
      </c>
      <c r="C581" s="9" t="s">
        <v>116</v>
      </c>
      <c r="D581" s="15">
        <v>79.23</v>
      </c>
      <c r="E581" s="13" t="s">
        <v>1346</v>
      </c>
    </row>
    <row r="582" spans="1:5" hidden="1" x14ac:dyDescent="0.25">
      <c r="A582" s="9" t="s">
        <v>1345</v>
      </c>
      <c r="B582" s="10" t="s">
        <v>117</v>
      </c>
      <c r="C582" s="9" t="s">
        <v>118</v>
      </c>
      <c r="D582" s="15">
        <v>47.12</v>
      </c>
      <c r="E582" s="13" t="s">
        <v>1346</v>
      </c>
    </row>
    <row r="583" spans="1:5" hidden="1" x14ac:dyDescent="0.25">
      <c r="A583" s="9" t="s">
        <v>1345</v>
      </c>
      <c r="B583" s="10" t="s">
        <v>121</v>
      </c>
      <c r="C583" s="9" t="s">
        <v>122</v>
      </c>
      <c r="D583" s="15">
        <v>79.23</v>
      </c>
      <c r="E583" s="13" t="s">
        <v>1346</v>
      </c>
    </row>
    <row r="584" spans="1:5" hidden="1" x14ac:dyDescent="0.25">
      <c r="A584" s="9" t="s">
        <v>1345</v>
      </c>
      <c r="B584" s="10" t="s">
        <v>123</v>
      </c>
      <c r="C584" s="9" t="s">
        <v>124</v>
      </c>
      <c r="D584" s="15">
        <v>82.95</v>
      </c>
      <c r="E584" s="13" t="s">
        <v>1346</v>
      </c>
    </row>
    <row r="585" spans="1:5" hidden="1" x14ac:dyDescent="0.25">
      <c r="A585" s="9" t="s">
        <v>1345</v>
      </c>
      <c r="B585" s="10" t="s">
        <v>125</v>
      </c>
      <c r="C585" s="9" t="s">
        <v>126</v>
      </c>
      <c r="D585" s="15">
        <v>79.23</v>
      </c>
      <c r="E585" s="13" t="s">
        <v>1346</v>
      </c>
    </row>
    <row r="586" spans="1:5" hidden="1" x14ac:dyDescent="0.25">
      <c r="A586" s="9" t="s">
        <v>1345</v>
      </c>
      <c r="B586" s="10" t="s">
        <v>129</v>
      </c>
      <c r="C586" s="9" t="s">
        <v>130</v>
      </c>
      <c r="D586" s="15">
        <v>76.44</v>
      </c>
      <c r="E586" s="13" t="s">
        <v>1346</v>
      </c>
    </row>
    <row r="587" spans="1:5" hidden="1" x14ac:dyDescent="0.25">
      <c r="A587" s="9" t="s">
        <v>1345</v>
      </c>
      <c r="B587" s="10" t="s">
        <v>131</v>
      </c>
      <c r="C587" s="9" t="s">
        <v>132</v>
      </c>
      <c r="D587" s="15">
        <v>75.510000000000005</v>
      </c>
      <c r="E587" s="13" t="s">
        <v>1346</v>
      </c>
    </row>
    <row r="588" spans="1:5" hidden="1" x14ac:dyDescent="0.25">
      <c r="A588" s="9" t="s">
        <v>1345</v>
      </c>
      <c r="B588" s="10" t="s">
        <v>135</v>
      </c>
      <c r="C588" s="9" t="s">
        <v>136</v>
      </c>
      <c r="D588" s="15">
        <v>75.510000000000005</v>
      </c>
      <c r="E588" s="13" t="s">
        <v>1346</v>
      </c>
    </row>
    <row r="589" spans="1:5" hidden="1" x14ac:dyDescent="0.25">
      <c r="A589" s="9" t="s">
        <v>1345</v>
      </c>
      <c r="B589" s="10" t="s">
        <v>137</v>
      </c>
      <c r="C589" s="9" t="s">
        <v>138</v>
      </c>
      <c r="D589" s="15">
        <v>75.510000000000005</v>
      </c>
      <c r="E589" s="13" t="s">
        <v>1346</v>
      </c>
    </row>
    <row r="590" spans="1:5" hidden="1" x14ac:dyDescent="0.25">
      <c r="A590" s="9" t="s">
        <v>1345</v>
      </c>
      <c r="B590" s="10" t="s">
        <v>139</v>
      </c>
      <c r="C590" s="9" t="s">
        <v>140</v>
      </c>
      <c r="D590" s="15">
        <v>79.23</v>
      </c>
      <c r="E590" s="13" t="s">
        <v>1346</v>
      </c>
    </row>
    <row r="591" spans="1:5" hidden="1" x14ac:dyDescent="0.25">
      <c r="A591" s="9" t="s">
        <v>1345</v>
      </c>
      <c r="B591" s="10" t="s">
        <v>143</v>
      </c>
      <c r="C591" s="9" t="s">
        <v>144</v>
      </c>
      <c r="D591" s="15">
        <v>22.86</v>
      </c>
      <c r="E591" s="13" t="s">
        <v>1346</v>
      </c>
    </row>
    <row r="592" spans="1:5" hidden="1" x14ac:dyDescent="0.25">
      <c r="A592" s="9" t="s">
        <v>1345</v>
      </c>
      <c r="B592" s="10" t="s">
        <v>147</v>
      </c>
      <c r="C592" s="9" t="s">
        <v>148</v>
      </c>
      <c r="D592" s="15">
        <v>75.510000000000005</v>
      </c>
      <c r="E592" s="13" t="s">
        <v>1346</v>
      </c>
    </row>
    <row r="593" spans="1:5" hidden="1" x14ac:dyDescent="0.25">
      <c r="A593" s="9" t="s">
        <v>1345</v>
      </c>
      <c r="B593" s="10" t="s">
        <v>149</v>
      </c>
      <c r="C593" s="9" t="s">
        <v>150</v>
      </c>
      <c r="D593" s="15">
        <v>78.3</v>
      </c>
      <c r="E593" s="13" t="s">
        <v>1346</v>
      </c>
    </row>
    <row r="594" spans="1:5" hidden="1" x14ac:dyDescent="0.25">
      <c r="A594" s="9" t="s">
        <v>1345</v>
      </c>
      <c r="B594" s="10" t="s">
        <v>151</v>
      </c>
      <c r="C594" s="9" t="s">
        <v>152</v>
      </c>
      <c r="D594" s="15">
        <v>24.2</v>
      </c>
      <c r="E594" s="13" t="s">
        <v>1346</v>
      </c>
    </row>
    <row r="595" spans="1:5" hidden="1" x14ac:dyDescent="0.25">
      <c r="A595" s="9" t="s">
        <v>1345</v>
      </c>
      <c r="B595" s="10" t="s">
        <v>155</v>
      </c>
      <c r="C595" s="9" t="s">
        <v>156</v>
      </c>
      <c r="D595" s="15">
        <v>75.510000000000005</v>
      </c>
      <c r="E595" s="13" t="s">
        <v>1346</v>
      </c>
    </row>
    <row r="596" spans="1:5" hidden="1" x14ac:dyDescent="0.25">
      <c r="A596" s="9" t="s">
        <v>1345</v>
      </c>
      <c r="B596" s="10" t="s">
        <v>157</v>
      </c>
      <c r="C596" s="9" t="s">
        <v>158</v>
      </c>
      <c r="D596" s="15">
        <v>84.99</v>
      </c>
      <c r="E596" s="13" t="s">
        <v>1346</v>
      </c>
    </row>
    <row r="597" spans="1:5" hidden="1" x14ac:dyDescent="0.25">
      <c r="A597" s="9" t="s">
        <v>1345</v>
      </c>
      <c r="B597" s="10" t="s">
        <v>159</v>
      </c>
      <c r="C597" s="9" t="s">
        <v>160</v>
      </c>
      <c r="D597" s="15">
        <v>75.510000000000005</v>
      </c>
      <c r="E597" s="13" t="s">
        <v>1346</v>
      </c>
    </row>
    <row r="598" spans="1:5" hidden="1" x14ac:dyDescent="0.25">
      <c r="A598" s="9" t="s">
        <v>1345</v>
      </c>
      <c r="B598" s="10" t="s">
        <v>165</v>
      </c>
      <c r="C598" s="9" t="s">
        <v>166</v>
      </c>
      <c r="D598" s="15">
        <v>21</v>
      </c>
      <c r="E598" s="13" t="s">
        <v>1346</v>
      </c>
    </row>
    <row r="599" spans="1:5" hidden="1" x14ac:dyDescent="0.25">
      <c r="A599" s="9" t="s">
        <v>1345</v>
      </c>
      <c r="B599" s="10" t="s">
        <v>167</v>
      </c>
      <c r="C599" s="9" t="s">
        <v>168</v>
      </c>
      <c r="D599" s="15">
        <v>81.09</v>
      </c>
      <c r="E599" s="13" t="s">
        <v>1346</v>
      </c>
    </row>
    <row r="600" spans="1:5" hidden="1" x14ac:dyDescent="0.25">
      <c r="A600" s="9" t="s">
        <v>1345</v>
      </c>
      <c r="B600" s="10" t="s">
        <v>169</v>
      </c>
      <c r="C600" s="9" t="s">
        <v>170</v>
      </c>
      <c r="D600" s="15">
        <v>81.09</v>
      </c>
      <c r="E600" s="13" t="s">
        <v>1346</v>
      </c>
    </row>
    <row r="601" spans="1:5" hidden="1" x14ac:dyDescent="0.25">
      <c r="A601" s="9" t="s">
        <v>1345</v>
      </c>
      <c r="B601" s="10" t="s">
        <v>171</v>
      </c>
      <c r="C601" s="9" t="s">
        <v>172</v>
      </c>
      <c r="D601" s="15">
        <v>75.510000000000005</v>
      </c>
      <c r="E601" s="13" t="s">
        <v>1346</v>
      </c>
    </row>
    <row r="602" spans="1:5" hidden="1" x14ac:dyDescent="0.25">
      <c r="A602" s="9" t="s">
        <v>1345</v>
      </c>
      <c r="B602" s="10" t="s">
        <v>173</v>
      </c>
      <c r="C602" s="9" t="s">
        <v>174</v>
      </c>
      <c r="D602" s="15">
        <v>75.510000000000005</v>
      </c>
      <c r="E602" s="13" t="s">
        <v>1346</v>
      </c>
    </row>
    <row r="603" spans="1:5" hidden="1" x14ac:dyDescent="0.25">
      <c r="A603" s="9" t="s">
        <v>1345</v>
      </c>
      <c r="B603" s="10" t="s">
        <v>175</v>
      </c>
      <c r="C603" s="9" t="s">
        <v>176</v>
      </c>
      <c r="D603" s="15">
        <v>56.89</v>
      </c>
      <c r="E603" s="13" t="s">
        <v>1346</v>
      </c>
    </row>
    <row r="604" spans="1:5" hidden="1" x14ac:dyDescent="0.25">
      <c r="A604" s="9" t="s">
        <v>1345</v>
      </c>
      <c r="B604" s="10" t="s">
        <v>179</v>
      </c>
      <c r="C604" s="9" t="s">
        <v>180</v>
      </c>
      <c r="D604" s="15">
        <v>79.23</v>
      </c>
      <c r="E604" s="13" t="s">
        <v>1346</v>
      </c>
    </row>
    <row r="605" spans="1:5" hidden="1" x14ac:dyDescent="0.25">
      <c r="A605" s="9" t="s">
        <v>1345</v>
      </c>
      <c r="B605" s="10" t="s">
        <v>181</v>
      </c>
      <c r="C605" s="9" t="s">
        <v>182</v>
      </c>
      <c r="D605" s="15">
        <v>45.26</v>
      </c>
      <c r="E605" s="13" t="s">
        <v>1346</v>
      </c>
    </row>
    <row r="606" spans="1:5" hidden="1" x14ac:dyDescent="0.25">
      <c r="A606" s="9" t="s">
        <v>1345</v>
      </c>
      <c r="B606" s="10" t="s">
        <v>183</v>
      </c>
      <c r="C606" s="9" t="s">
        <v>184</v>
      </c>
      <c r="D606" s="15">
        <v>75.510000000000005</v>
      </c>
      <c r="E606" s="13" t="s">
        <v>1346</v>
      </c>
    </row>
    <row r="607" spans="1:5" hidden="1" x14ac:dyDescent="0.25">
      <c r="A607" s="9" t="s">
        <v>1345</v>
      </c>
      <c r="B607" s="10" t="s">
        <v>185</v>
      </c>
      <c r="C607" s="9" t="s">
        <v>186</v>
      </c>
      <c r="D607" s="15">
        <v>30.25</v>
      </c>
      <c r="E607" s="13" t="s">
        <v>1346</v>
      </c>
    </row>
    <row r="608" spans="1:5" hidden="1" x14ac:dyDescent="0.25">
      <c r="A608" s="9" t="s">
        <v>1345</v>
      </c>
      <c r="B608" s="10" t="s">
        <v>187</v>
      </c>
      <c r="C608" s="9" t="s">
        <v>188</v>
      </c>
      <c r="D608" s="15">
        <v>315.91000000000003</v>
      </c>
      <c r="E608" s="13" t="s">
        <v>1346</v>
      </c>
    </row>
    <row r="609" spans="1:5" hidden="1" x14ac:dyDescent="0.25">
      <c r="A609" s="9" t="s">
        <v>1345</v>
      </c>
      <c r="B609" s="10" t="s">
        <v>189</v>
      </c>
      <c r="C609" s="9" t="s">
        <v>190</v>
      </c>
      <c r="D609" s="15">
        <v>79.23</v>
      </c>
      <c r="E609" s="13" t="s">
        <v>1346</v>
      </c>
    </row>
    <row r="610" spans="1:5" hidden="1" x14ac:dyDescent="0.25">
      <c r="A610" s="9" t="s">
        <v>1345</v>
      </c>
      <c r="B610" s="10" t="s">
        <v>195</v>
      </c>
      <c r="C610" s="9" t="s">
        <v>196</v>
      </c>
      <c r="D610" s="15">
        <v>246.46</v>
      </c>
      <c r="E610" s="13" t="s">
        <v>1346</v>
      </c>
    </row>
    <row r="611" spans="1:5" hidden="1" x14ac:dyDescent="0.25">
      <c r="A611" s="9" t="s">
        <v>1345</v>
      </c>
      <c r="B611" s="10" t="s">
        <v>199</v>
      </c>
      <c r="C611" s="9" t="s">
        <v>200</v>
      </c>
      <c r="D611" s="15">
        <v>81.09</v>
      </c>
      <c r="E611" s="13" t="s">
        <v>1346</v>
      </c>
    </row>
    <row r="612" spans="1:5" hidden="1" x14ac:dyDescent="0.25">
      <c r="A612" s="9" t="s">
        <v>1345</v>
      </c>
      <c r="B612" s="10" t="s">
        <v>201</v>
      </c>
      <c r="C612" s="9" t="s">
        <v>202</v>
      </c>
      <c r="D612" s="15">
        <v>81.09</v>
      </c>
      <c r="E612" s="13" t="s">
        <v>1346</v>
      </c>
    </row>
    <row r="613" spans="1:5" hidden="1" x14ac:dyDescent="0.25">
      <c r="A613" s="9" t="s">
        <v>1345</v>
      </c>
      <c r="B613" s="10" t="s">
        <v>205</v>
      </c>
      <c r="C613" s="9" t="s">
        <v>206</v>
      </c>
      <c r="D613" s="15">
        <v>18.149999999999999</v>
      </c>
      <c r="E613" s="13" t="s">
        <v>1346</v>
      </c>
    </row>
    <row r="614" spans="1:5" hidden="1" x14ac:dyDescent="0.25">
      <c r="A614" s="9" t="s">
        <v>1345</v>
      </c>
      <c r="B614" s="10" t="s">
        <v>207</v>
      </c>
      <c r="C614" s="9" t="s">
        <v>208</v>
      </c>
      <c r="D614" s="15">
        <v>81.09</v>
      </c>
      <c r="E614" s="13" t="s">
        <v>1346</v>
      </c>
    </row>
    <row r="615" spans="1:5" hidden="1" x14ac:dyDescent="0.25">
      <c r="A615" s="9" t="s">
        <v>1345</v>
      </c>
      <c r="B615" s="10" t="s">
        <v>209</v>
      </c>
      <c r="C615" s="9" t="s">
        <v>210</v>
      </c>
      <c r="D615" s="15">
        <v>75.510000000000005</v>
      </c>
      <c r="E615" s="13" t="s">
        <v>1346</v>
      </c>
    </row>
    <row r="616" spans="1:5" hidden="1" x14ac:dyDescent="0.25">
      <c r="A616" s="9" t="s">
        <v>1345</v>
      </c>
      <c r="B616" s="10" t="s">
        <v>211</v>
      </c>
      <c r="C616" s="9" t="s">
        <v>212</v>
      </c>
      <c r="D616" s="15">
        <v>66.650000000000006</v>
      </c>
      <c r="E616" s="13" t="s">
        <v>1346</v>
      </c>
    </row>
    <row r="617" spans="1:5" hidden="1" x14ac:dyDescent="0.25">
      <c r="A617" s="9" t="s">
        <v>1345</v>
      </c>
      <c r="B617" s="10" t="s">
        <v>213</v>
      </c>
      <c r="C617" s="9" t="s">
        <v>214</v>
      </c>
      <c r="D617" s="15">
        <v>36.299999999999997</v>
      </c>
      <c r="E617" s="13" t="s">
        <v>1346</v>
      </c>
    </row>
    <row r="618" spans="1:5" hidden="1" x14ac:dyDescent="0.25">
      <c r="A618" s="9" t="s">
        <v>1345</v>
      </c>
      <c r="B618" s="10" t="s">
        <v>215</v>
      </c>
      <c r="C618" s="9" t="s">
        <v>216</v>
      </c>
      <c r="D618" s="15">
        <v>130.07</v>
      </c>
      <c r="E618" s="13" t="s">
        <v>1346</v>
      </c>
    </row>
    <row r="619" spans="1:5" hidden="1" x14ac:dyDescent="0.25">
      <c r="A619" s="9" t="s">
        <v>1345</v>
      </c>
      <c r="B619" s="10" t="s">
        <v>217</v>
      </c>
      <c r="C619" s="9" t="s">
        <v>218</v>
      </c>
      <c r="D619" s="15">
        <v>75.510000000000005</v>
      </c>
      <c r="E619" s="13" t="s">
        <v>1346</v>
      </c>
    </row>
    <row r="620" spans="1:5" hidden="1" x14ac:dyDescent="0.25">
      <c r="A620" s="9" t="s">
        <v>1345</v>
      </c>
      <c r="B620" s="10" t="s">
        <v>219</v>
      </c>
      <c r="C620" s="9" t="s">
        <v>220</v>
      </c>
      <c r="D620" s="15">
        <v>42.45</v>
      </c>
      <c r="E620" s="13" t="s">
        <v>1346</v>
      </c>
    </row>
    <row r="621" spans="1:5" hidden="1" x14ac:dyDescent="0.25">
      <c r="A621" s="9" t="s">
        <v>1345</v>
      </c>
      <c r="B621" s="10" t="s">
        <v>223</v>
      </c>
      <c r="C621" s="9" t="s">
        <v>224</v>
      </c>
      <c r="D621" s="15">
        <v>77.37</v>
      </c>
      <c r="E621" s="13" t="s">
        <v>1346</v>
      </c>
    </row>
    <row r="622" spans="1:5" hidden="1" x14ac:dyDescent="0.25">
      <c r="A622" s="9" t="s">
        <v>1345</v>
      </c>
      <c r="B622" s="10" t="s">
        <v>225</v>
      </c>
      <c r="C622" s="9" t="s">
        <v>226</v>
      </c>
      <c r="D622" s="15">
        <v>75.510000000000005</v>
      </c>
      <c r="E622" s="13" t="s">
        <v>1346</v>
      </c>
    </row>
    <row r="623" spans="1:5" hidden="1" x14ac:dyDescent="0.25">
      <c r="A623" s="9" t="s">
        <v>1345</v>
      </c>
      <c r="B623" s="10" t="s">
        <v>229</v>
      </c>
      <c r="C623" s="9" t="s">
        <v>230</v>
      </c>
      <c r="D623" s="15">
        <v>42.37</v>
      </c>
      <c r="E623" s="13" t="s">
        <v>1346</v>
      </c>
    </row>
    <row r="624" spans="1:5" hidden="1" x14ac:dyDescent="0.25">
      <c r="A624" s="9" t="s">
        <v>1345</v>
      </c>
      <c r="B624" s="10" t="s">
        <v>233</v>
      </c>
      <c r="C624" s="9" t="s">
        <v>234</v>
      </c>
      <c r="D624" s="15">
        <v>490.77</v>
      </c>
      <c r="E624" s="13" t="s">
        <v>1346</v>
      </c>
    </row>
    <row r="625" spans="1:5" hidden="1" x14ac:dyDescent="0.25">
      <c r="A625" s="9" t="s">
        <v>1345</v>
      </c>
      <c r="B625" s="10" t="s">
        <v>235</v>
      </c>
      <c r="C625" s="9" t="s">
        <v>236</v>
      </c>
      <c r="D625" s="15">
        <v>75.510000000000005</v>
      </c>
      <c r="E625" s="13" t="s">
        <v>1346</v>
      </c>
    </row>
    <row r="626" spans="1:5" hidden="1" x14ac:dyDescent="0.25">
      <c r="A626" s="9" t="s">
        <v>1345</v>
      </c>
      <c r="B626" s="10" t="s">
        <v>239</v>
      </c>
      <c r="C626" s="9" t="s">
        <v>240</v>
      </c>
      <c r="D626" s="15">
        <v>91.08</v>
      </c>
      <c r="E626" s="13" t="s">
        <v>1346</v>
      </c>
    </row>
    <row r="627" spans="1:5" hidden="1" x14ac:dyDescent="0.25">
      <c r="A627" s="9" t="s">
        <v>1345</v>
      </c>
      <c r="B627" s="10" t="s">
        <v>247</v>
      </c>
      <c r="C627" s="9" t="s">
        <v>248</v>
      </c>
      <c r="D627" s="15">
        <v>75.510000000000005</v>
      </c>
      <c r="E627" s="13" t="s">
        <v>1346</v>
      </c>
    </row>
    <row r="628" spans="1:5" hidden="1" x14ac:dyDescent="0.25">
      <c r="A628" s="9" t="s">
        <v>1345</v>
      </c>
      <c r="B628" s="10" t="s">
        <v>249</v>
      </c>
      <c r="C628" s="9" t="s">
        <v>250</v>
      </c>
      <c r="D628" s="15">
        <v>42.33</v>
      </c>
      <c r="E628" s="13" t="s">
        <v>1346</v>
      </c>
    </row>
    <row r="629" spans="1:5" hidden="1" x14ac:dyDescent="0.25">
      <c r="A629" s="9" t="s">
        <v>1345</v>
      </c>
      <c r="B629" s="10" t="s">
        <v>251</v>
      </c>
      <c r="C629" s="9" t="s">
        <v>252</v>
      </c>
      <c r="D629" s="15">
        <v>79.23</v>
      </c>
      <c r="E629" s="13" t="s">
        <v>1346</v>
      </c>
    </row>
    <row r="630" spans="1:5" hidden="1" x14ac:dyDescent="0.25">
      <c r="A630" s="9" t="s">
        <v>1345</v>
      </c>
      <c r="B630" s="10" t="s">
        <v>255</v>
      </c>
      <c r="C630" s="9" t="s">
        <v>256</v>
      </c>
      <c r="D630" s="15">
        <v>18.149999999999999</v>
      </c>
      <c r="E630" s="13" t="s">
        <v>1346</v>
      </c>
    </row>
    <row r="631" spans="1:5" hidden="1" x14ac:dyDescent="0.25">
      <c r="A631" s="9" t="s">
        <v>1345</v>
      </c>
      <c r="B631" s="10" t="s">
        <v>257</v>
      </c>
      <c r="C631" s="9" t="s">
        <v>258</v>
      </c>
      <c r="D631" s="15">
        <v>79.23</v>
      </c>
      <c r="E631" s="13" t="s">
        <v>1346</v>
      </c>
    </row>
    <row r="632" spans="1:5" hidden="1" x14ac:dyDescent="0.25">
      <c r="A632" s="9" t="s">
        <v>1345</v>
      </c>
      <c r="B632" s="10" t="s">
        <v>263</v>
      </c>
      <c r="C632" s="9" t="s">
        <v>264</v>
      </c>
      <c r="D632" s="15">
        <v>75.510000000000005</v>
      </c>
      <c r="E632" s="13" t="s">
        <v>1346</v>
      </c>
    </row>
    <row r="633" spans="1:5" hidden="1" x14ac:dyDescent="0.25">
      <c r="A633" s="9" t="s">
        <v>1345</v>
      </c>
      <c r="B633" s="10" t="s">
        <v>267</v>
      </c>
      <c r="C633" s="9" t="s">
        <v>268</v>
      </c>
      <c r="D633" s="15">
        <v>79.23</v>
      </c>
      <c r="E633" s="13" t="s">
        <v>1346</v>
      </c>
    </row>
    <row r="634" spans="1:5" hidden="1" x14ac:dyDescent="0.25">
      <c r="A634" s="9" t="s">
        <v>1345</v>
      </c>
      <c r="B634" s="10" t="s">
        <v>269</v>
      </c>
      <c r="C634" s="9" t="s">
        <v>270</v>
      </c>
      <c r="D634" s="15">
        <v>77.37</v>
      </c>
      <c r="E634" s="13" t="s">
        <v>1346</v>
      </c>
    </row>
    <row r="635" spans="1:5" hidden="1" x14ac:dyDescent="0.25">
      <c r="A635" s="9" t="s">
        <v>1345</v>
      </c>
      <c r="B635" s="10" t="s">
        <v>271</v>
      </c>
      <c r="C635" s="9" t="s">
        <v>272</v>
      </c>
      <c r="D635" s="15">
        <v>96.33</v>
      </c>
      <c r="E635" s="13" t="s">
        <v>1346</v>
      </c>
    </row>
    <row r="636" spans="1:5" hidden="1" x14ac:dyDescent="0.25">
      <c r="A636" s="9" t="s">
        <v>1345</v>
      </c>
      <c r="B636" s="10" t="s">
        <v>273</v>
      </c>
      <c r="C636" s="9" t="s">
        <v>274</v>
      </c>
      <c r="D636" s="15">
        <v>79.23</v>
      </c>
      <c r="E636" s="13" t="s">
        <v>1346</v>
      </c>
    </row>
    <row r="637" spans="1:5" hidden="1" x14ac:dyDescent="0.25">
      <c r="A637" s="9" t="s">
        <v>1345</v>
      </c>
      <c r="B637" s="10" t="s">
        <v>275</v>
      </c>
      <c r="C637" s="9" t="s">
        <v>276</v>
      </c>
      <c r="D637" s="15">
        <v>36.36</v>
      </c>
      <c r="E637" s="13" t="s">
        <v>1346</v>
      </c>
    </row>
    <row r="638" spans="1:5" hidden="1" x14ac:dyDescent="0.25">
      <c r="A638" s="9" t="s">
        <v>1345</v>
      </c>
      <c r="B638" s="10" t="s">
        <v>281</v>
      </c>
      <c r="C638" s="9" t="s">
        <v>282</v>
      </c>
      <c r="D638" s="15">
        <v>79.23</v>
      </c>
      <c r="E638" s="13" t="s">
        <v>1346</v>
      </c>
    </row>
    <row r="639" spans="1:5" hidden="1" x14ac:dyDescent="0.25">
      <c r="A639" s="9" t="s">
        <v>1345</v>
      </c>
      <c r="B639" s="10" t="s">
        <v>285</v>
      </c>
      <c r="C639" s="9" t="s">
        <v>286</v>
      </c>
      <c r="D639" s="15">
        <v>98.65</v>
      </c>
      <c r="E639" s="13" t="s">
        <v>1346</v>
      </c>
    </row>
    <row r="640" spans="1:5" hidden="1" x14ac:dyDescent="0.25">
      <c r="A640" s="9" t="s">
        <v>1345</v>
      </c>
      <c r="B640" s="10" t="s">
        <v>297</v>
      </c>
      <c r="C640" s="9" t="s">
        <v>298</v>
      </c>
      <c r="D640" s="15">
        <v>98.65</v>
      </c>
      <c r="E640" s="13" t="s">
        <v>1346</v>
      </c>
    </row>
    <row r="641" spans="1:5" hidden="1" x14ac:dyDescent="0.25">
      <c r="A641" s="9" t="s">
        <v>1345</v>
      </c>
      <c r="B641" s="10" t="s">
        <v>299</v>
      </c>
      <c r="C641" s="9" t="s">
        <v>300</v>
      </c>
      <c r="D641" s="15">
        <v>75.510000000000005</v>
      </c>
      <c r="E641" s="13" t="s">
        <v>1346</v>
      </c>
    </row>
    <row r="642" spans="1:5" hidden="1" x14ac:dyDescent="0.25">
      <c r="A642" s="9" t="s">
        <v>1345</v>
      </c>
      <c r="B642" s="10" t="s">
        <v>301</v>
      </c>
      <c r="C642" s="9" t="s">
        <v>302</v>
      </c>
      <c r="D642" s="15">
        <v>75.510000000000005</v>
      </c>
      <c r="E642" s="13" t="s">
        <v>1346</v>
      </c>
    </row>
    <row r="643" spans="1:5" hidden="1" x14ac:dyDescent="0.25">
      <c r="A643" s="9" t="s">
        <v>1345</v>
      </c>
      <c r="B643" s="10" t="s">
        <v>305</v>
      </c>
      <c r="C643" s="9" t="s">
        <v>306</v>
      </c>
      <c r="D643" s="15">
        <v>42.31</v>
      </c>
      <c r="E643" s="13" t="s">
        <v>1346</v>
      </c>
    </row>
    <row r="644" spans="1:5" hidden="1" x14ac:dyDescent="0.25">
      <c r="A644" s="9" t="s">
        <v>1345</v>
      </c>
      <c r="B644" s="10" t="s">
        <v>311</v>
      </c>
      <c r="C644" s="9" t="s">
        <v>312</v>
      </c>
      <c r="D644" s="15">
        <v>42.35</v>
      </c>
      <c r="E644" s="13" t="s">
        <v>1346</v>
      </c>
    </row>
    <row r="645" spans="1:5" hidden="1" x14ac:dyDescent="0.25">
      <c r="A645" s="9" t="s">
        <v>1345</v>
      </c>
      <c r="B645" s="10" t="s">
        <v>317</v>
      </c>
      <c r="C645" s="9" t="s">
        <v>318</v>
      </c>
      <c r="D645" s="15">
        <v>77.37</v>
      </c>
      <c r="E645" s="13" t="s">
        <v>1346</v>
      </c>
    </row>
    <row r="646" spans="1:5" hidden="1" x14ac:dyDescent="0.25">
      <c r="A646" s="9" t="s">
        <v>1345</v>
      </c>
      <c r="B646" s="10" t="s">
        <v>321</v>
      </c>
      <c r="C646" s="9" t="s">
        <v>322</v>
      </c>
      <c r="D646" s="15">
        <v>81.09</v>
      </c>
      <c r="E646" s="13" t="s">
        <v>1346</v>
      </c>
    </row>
    <row r="647" spans="1:5" hidden="1" x14ac:dyDescent="0.25">
      <c r="A647" s="9" t="s">
        <v>1345</v>
      </c>
      <c r="B647" s="10" t="s">
        <v>323</v>
      </c>
      <c r="C647" s="9" t="s">
        <v>324</v>
      </c>
      <c r="D647" s="15">
        <v>97.01</v>
      </c>
      <c r="E647" s="13" t="s">
        <v>1346</v>
      </c>
    </row>
    <row r="648" spans="1:5" hidden="1" x14ac:dyDescent="0.25">
      <c r="A648" s="9" t="s">
        <v>1345</v>
      </c>
      <c r="B648" s="10" t="s">
        <v>325</v>
      </c>
      <c r="C648" s="9" t="s">
        <v>326</v>
      </c>
      <c r="D648" s="15">
        <v>250.35</v>
      </c>
      <c r="E648" s="13" t="s">
        <v>1346</v>
      </c>
    </row>
    <row r="649" spans="1:5" hidden="1" x14ac:dyDescent="0.25">
      <c r="A649" s="9" t="s">
        <v>1345</v>
      </c>
      <c r="B649" s="10" t="s">
        <v>327</v>
      </c>
      <c r="C649" s="9" t="s">
        <v>328</v>
      </c>
      <c r="D649" s="15">
        <v>75.510000000000005</v>
      </c>
      <c r="E649" s="13" t="s">
        <v>1346</v>
      </c>
    </row>
    <row r="650" spans="1:5" hidden="1" x14ac:dyDescent="0.25">
      <c r="A650" s="9" t="s">
        <v>1345</v>
      </c>
      <c r="B650" s="10" t="s">
        <v>333</v>
      </c>
      <c r="C650" s="9" t="s">
        <v>334</v>
      </c>
      <c r="D650" s="15">
        <v>77.37</v>
      </c>
      <c r="E650" s="13" t="s">
        <v>1346</v>
      </c>
    </row>
    <row r="651" spans="1:5" hidden="1" x14ac:dyDescent="0.25">
      <c r="A651" s="9" t="s">
        <v>1345</v>
      </c>
      <c r="B651" s="10" t="s">
        <v>335</v>
      </c>
      <c r="C651" s="9" t="s">
        <v>336</v>
      </c>
      <c r="D651" s="15">
        <v>75.510000000000005</v>
      </c>
      <c r="E651" s="13" t="s">
        <v>1346</v>
      </c>
    </row>
    <row r="652" spans="1:5" hidden="1" x14ac:dyDescent="0.25">
      <c r="A652" s="9" t="s">
        <v>1345</v>
      </c>
      <c r="B652" s="10" t="s">
        <v>337</v>
      </c>
      <c r="C652" s="9" t="s">
        <v>338</v>
      </c>
      <c r="D652" s="15">
        <v>81.09</v>
      </c>
      <c r="E652" s="13" t="s">
        <v>1346</v>
      </c>
    </row>
    <row r="653" spans="1:5" hidden="1" x14ac:dyDescent="0.25">
      <c r="A653" s="9" t="s">
        <v>1345</v>
      </c>
      <c r="B653" s="10" t="s">
        <v>341</v>
      </c>
      <c r="C653" s="9" t="s">
        <v>342</v>
      </c>
      <c r="D653" s="15">
        <v>77.37</v>
      </c>
      <c r="E653" s="13" t="s">
        <v>1346</v>
      </c>
    </row>
    <row r="654" spans="1:5" hidden="1" x14ac:dyDescent="0.25">
      <c r="A654" s="9" t="s">
        <v>1345</v>
      </c>
      <c r="B654" s="10" t="s">
        <v>343</v>
      </c>
      <c r="C654" s="9" t="s">
        <v>344</v>
      </c>
      <c r="D654" s="15">
        <v>77.37</v>
      </c>
      <c r="E654" s="13" t="s">
        <v>1346</v>
      </c>
    </row>
    <row r="655" spans="1:5" hidden="1" x14ac:dyDescent="0.25">
      <c r="A655" s="9" t="s">
        <v>1345</v>
      </c>
      <c r="B655" s="10" t="s">
        <v>345</v>
      </c>
      <c r="C655" s="9" t="s">
        <v>346</v>
      </c>
      <c r="D655" s="15">
        <v>75.510000000000005</v>
      </c>
      <c r="E655" s="13" t="s">
        <v>1346</v>
      </c>
    </row>
    <row r="656" spans="1:5" hidden="1" x14ac:dyDescent="0.25">
      <c r="A656" s="9" t="s">
        <v>1345</v>
      </c>
      <c r="B656" s="10" t="s">
        <v>347</v>
      </c>
      <c r="C656" s="9" t="s">
        <v>348</v>
      </c>
      <c r="D656" s="15">
        <v>12.1</v>
      </c>
      <c r="E656" s="13" t="s">
        <v>1346</v>
      </c>
    </row>
    <row r="657" spans="1:5" hidden="1" x14ac:dyDescent="0.25">
      <c r="A657" s="9" t="s">
        <v>1345</v>
      </c>
      <c r="B657" s="10" t="s">
        <v>359</v>
      </c>
      <c r="C657" s="9" t="s">
        <v>360</v>
      </c>
      <c r="D657" s="15">
        <v>75.510000000000005</v>
      </c>
      <c r="E657" s="13" t="s">
        <v>1346</v>
      </c>
    </row>
    <row r="658" spans="1:5" hidden="1" x14ac:dyDescent="0.25">
      <c r="A658" s="9" t="s">
        <v>1345</v>
      </c>
      <c r="B658" s="10" t="s">
        <v>363</v>
      </c>
      <c r="C658" s="9" t="s">
        <v>364</v>
      </c>
      <c r="D658" s="15">
        <v>477.11</v>
      </c>
      <c r="E658" s="13" t="s">
        <v>1346</v>
      </c>
    </row>
    <row r="659" spans="1:5" hidden="1" x14ac:dyDescent="0.25">
      <c r="A659" s="9" t="s">
        <v>1345</v>
      </c>
      <c r="B659" s="10" t="s">
        <v>365</v>
      </c>
      <c r="C659" s="9" t="s">
        <v>366</v>
      </c>
      <c r="D659" s="15">
        <v>849.1</v>
      </c>
      <c r="E659" s="13" t="s">
        <v>1346</v>
      </c>
    </row>
    <row r="660" spans="1:5" hidden="1" x14ac:dyDescent="0.25">
      <c r="A660" s="9" t="s">
        <v>1345</v>
      </c>
      <c r="B660" s="10" t="s">
        <v>369</v>
      </c>
      <c r="C660" s="9" t="s">
        <v>370</v>
      </c>
      <c r="D660" s="15">
        <v>45.26</v>
      </c>
      <c r="E660" s="13" t="s">
        <v>1346</v>
      </c>
    </row>
    <row r="661" spans="1:5" hidden="1" x14ac:dyDescent="0.25">
      <c r="A661" s="9" t="s">
        <v>1345</v>
      </c>
      <c r="B661" s="10" t="s">
        <v>371</v>
      </c>
      <c r="C661" s="9" t="s">
        <v>372</v>
      </c>
      <c r="D661" s="15">
        <v>75.510000000000005</v>
      </c>
      <c r="E661" s="13" t="s">
        <v>1346</v>
      </c>
    </row>
    <row r="662" spans="1:5" hidden="1" x14ac:dyDescent="0.25">
      <c r="A662" s="9" t="s">
        <v>1345</v>
      </c>
      <c r="B662" s="10" t="s">
        <v>373</v>
      </c>
      <c r="C662" s="9" t="s">
        <v>374</v>
      </c>
      <c r="D662" s="15">
        <v>79.23</v>
      </c>
      <c r="E662" s="13" t="s">
        <v>1346</v>
      </c>
    </row>
    <row r="663" spans="1:5" hidden="1" x14ac:dyDescent="0.25">
      <c r="A663" s="9" t="s">
        <v>1345</v>
      </c>
      <c r="B663" s="10" t="s">
        <v>375</v>
      </c>
      <c r="C663" s="9" t="s">
        <v>376</v>
      </c>
      <c r="D663" s="15">
        <v>98.65</v>
      </c>
      <c r="E663" s="13" t="s">
        <v>1346</v>
      </c>
    </row>
    <row r="664" spans="1:5" hidden="1" x14ac:dyDescent="0.25">
      <c r="A664" s="9" t="s">
        <v>1345</v>
      </c>
      <c r="B664" s="10" t="s">
        <v>377</v>
      </c>
      <c r="C664" s="9" t="s">
        <v>378</v>
      </c>
      <c r="D664" s="15">
        <v>77.37</v>
      </c>
      <c r="E664" s="13" t="s">
        <v>1346</v>
      </c>
    </row>
    <row r="665" spans="1:5" hidden="1" x14ac:dyDescent="0.25">
      <c r="A665" s="9" t="s">
        <v>1345</v>
      </c>
      <c r="B665" s="10" t="s">
        <v>379</v>
      </c>
      <c r="C665" s="9" t="s">
        <v>380</v>
      </c>
      <c r="D665" s="15">
        <v>79.23</v>
      </c>
      <c r="E665" s="13" t="s">
        <v>1346</v>
      </c>
    </row>
    <row r="666" spans="1:5" hidden="1" x14ac:dyDescent="0.25">
      <c r="A666" s="9" t="s">
        <v>1345</v>
      </c>
      <c r="B666" s="10" t="s">
        <v>383</v>
      </c>
      <c r="C666" s="9" t="s">
        <v>384</v>
      </c>
      <c r="D666" s="15">
        <v>123.65</v>
      </c>
      <c r="E666" s="13" t="s">
        <v>1346</v>
      </c>
    </row>
    <row r="667" spans="1:5" hidden="1" x14ac:dyDescent="0.25">
      <c r="A667" s="9" t="s">
        <v>1345</v>
      </c>
      <c r="B667" s="10" t="s">
        <v>385</v>
      </c>
      <c r="C667" s="9" t="s">
        <v>386</v>
      </c>
      <c r="D667" s="15">
        <v>77.37</v>
      </c>
      <c r="E667" s="13" t="s">
        <v>1346</v>
      </c>
    </row>
    <row r="668" spans="1:5" hidden="1" x14ac:dyDescent="0.25">
      <c r="A668" s="9" t="s">
        <v>1345</v>
      </c>
      <c r="B668" s="10" t="s">
        <v>387</v>
      </c>
      <c r="C668" s="9" t="s">
        <v>388</v>
      </c>
      <c r="D668" s="15">
        <v>74.58</v>
      </c>
      <c r="E668" s="13" t="s">
        <v>1346</v>
      </c>
    </row>
    <row r="669" spans="1:5" hidden="1" x14ac:dyDescent="0.25">
      <c r="A669" s="9" t="s">
        <v>1345</v>
      </c>
      <c r="B669" s="10" t="s">
        <v>389</v>
      </c>
      <c r="C669" s="9" t="s">
        <v>390</v>
      </c>
      <c r="D669" s="15">
        <v>39.19</v>
      </c>
      <c r="E669" s="13" t="s">
        <v>1346</v>
      </c>
    </row>
    <row r="670" spans="1:5" hidden="1" x14ac:dyDescent="0.25">
      <c r="A670" s="9" t="s">
        <v>1345</v>
      </c>
      <c r="B670" s="10" t="s">
        <v>391</v>
      </c>
      <c r="C670" s="9" t="s">
        <v>392</v>
      </c>
      <c r="D670" s="15">
        <v>75.510000000000005</v>
      </c>
      <c r="E670" s="13" t="s">
        <v>1346</v>
      </c>
    </row>
    <row r="671" spans="1:5" hidden="1" x14ac:dyDescent="0.25">
      <c r="A671" s="9" t="s">
        <v>1345</v>
      </c>
      <c r="B671" s="10" t="s">
        <v>395</v>
      </c>
      <c r="C671" s="9" t="s">
        <v>396</v>
      </c>
      <c r="D671" s="15">
        <v>79.23</v>
      </c>
      <c r="E671" s="13" t="s">
        <v>1346</v>
      </c>
    </row>
    <row r="672" spans="1:5" hidden="1" x14ac:dyDescent="0.25">
      <c r="A672" s="9" t="s">
        <v>1345</v>
      </c>
      <c r="B672" s="10" t="s">
        <v>397</v>
      </c>
      <c r="C672" s="9" t="s">
        <v>398</v>
      </c>
      <c r="D672" s="15">
        <v>75.510000000000005</v>
      </c>
      <c r="E672" s="13" t="s">
        <v>1346</v>
      </c>
    </row>
    <row r="673" spans="1:5" hidden="1" x14ac:dyDescent="0.25">
      <c r="A673" s="9" t="s">
        <v>1345</v>
      </c>
      <c r="B673" s="10" t="s">
        <v>399</v>
      </c>
      <c r="C673" s="9" t="s">
        <v>400</v>
      </c>
      <c r="D673" s="15">
        <v>95.58</v>
      </c>
      <c r="E673" s="13" t="s">
        <v>1346</v>
      </c>
    </row>
    <row r="674" spans="1:5" hidden="1" x14ac:dyDescent="0.25">
      <c r="A674" s="9" t="s">
        <v>1345</v>
      </c>
      <c r="B674" s="10" t="s">
        <v>405</v>
      </c>
      <c r="C674" s="9" t="s">
        <v>406</v>
      </c>
      <c r="D674" s="15">
        <v>79.23</v>
      </c>
      <c r="E674" s="13" t="s">
        <v>1346</v>
      </c>
    </row>
    <row r="675" spans="1:5" hidden="1" x14ac:dyDescent="0.25">
      <c r="A675" s="9" t="s">
        <v>1345</v>
      </c>
      <c r="B675" s="10" t="s">
        <v>407</v>
      </c>
      <c r="C675" s="9" t="s">
        <v>408</v>
      </c>
      <c r="D675" s="15">
        <v>79.23</v>
      </c>
      <c r="E675" s="13" t="s">
        <v>1346</v>
      </c>
    </row>
    <row r="676" spans="1:5" hidden="1" x14ac:dyDescent="0.25">
      <c r="A676" s="9" t="s">
        <v>1345</v>
      </c>
      <c r="B676" s="10" t="s">
        <v>411</v>
      </c>
      <c r="C676" s="9" t="s">
        <v>412</v>
      </c>
      <c r="D676" s="15">
        <v>77.37</v>
      </c>
      <c r="E676" s="13" t="s">
        <v>1346</v>
      </c>
    </row>
    <row r="677" spans="1:5" hidden="1" x14ac:dyDescent="0.25">
      <c r="A677" s="9" t="s">
        <v>1345</v>
      </c>
      <c r="B677" s="10" t="s">
        <v>413</v>
      </c>
      <c r="C677" s="9" t="s">
        <v>414</v>
      </c>
      <c r="D677" s="15">
        <v>77.37</v>
      </c>
      <c r="E677" s="13" t="s">
        <v>1346</v>
      </c>
    </row>
    <row r="678" spans="1:5" hidden="1" x14ac:dyDescent="0.25">
      <c r="A678" s="9" t="s">
        <v>1345</v>
      </c>
      <c r="B678" s="10" t="s">
        <v>415</v>
      </c>
      <c r="C678" s="9" t="s">
        <v>416</v>
      </c>
      <c r="D678" s="15">
        <v>61.14</v>
      </c>
      <c r="E678" s="13" t="s">
        <v>1346</v>
      </c>
    </row>
    <row r="679" spans="1:5" hidden="1" x14ac:dyDescent="0.25">
      <c r="A679" s="9" t="s">
        <v>1345</v>
      </c>
      <c r="B679" s="10" t="s">
        <v>417</v>
      </c>
      <c r="C679" s="9" t="s">
        <v>418</v>
      </c>
      <c r="D679" s="15">
        <v>12.1</v>
      </c>
      <c r="E679" s="13" t="s">
        <v>1346</v>
      </c>
    </row>
    <row r="680" spans="1:5" hidden="1" x14ac:dyDescent="0.25">
      <c r="A680" s="9" t="s">
        <v>1345</v>
      </c>
      <c r="B680" s="10" t="s">
        <v>419</v>
      </c>
      <c r="C680" s="9" t="s">
        <v>420</v>
      </c>
      <c r="D680" s="15">
        <v>75.510000000000005</v>
      </c>
      <c r="E680" s="13" t="s">
        <v>1346</v>
      </c>
    </row>
    <row r="681" spans="1:5" hidden="1" x14ac:dyDescent="0.25">
      <c r="A681" s="9" t="s">
        <v>1345</v>
      </c>
      <c r="B681" s="10" t="s">
        <v>421</v>
      </c>
      <c r="C681" s="9" t="s">
        <v>422</v>
      </c>
      <c r="D681" s="15">
        <v>77.37</v>
      </c>
      <c r="E681" s="13" t="s">
        <v>1346</v>
      </c>
    </row>
    <row r="682" spans="1:5" hidden="1" x14ac:dyDescent="0.25">
      <c r="A682" s="9" t="s">
        <v>1345</v>
      </c>
      <c r="B682" s="10" t="s">
        <v>423</v>
      </c>
      <c r="C682" s="9" t="s">
        <v>424</v>
      </c>
      <c r="D682" s="15">
        <v>14.93</v>
      </c>
      <c r="E682" s="13" t="s">
        <v>1346</v>
      </c>
    </row>
    <row r="683" spans="1:5" hidden="1" x14ac:dyDescent="0.25">
      <c r="A683" s="9" t="s">
        <v>1345</v>
      </c>
      <c r="B683" s="10" t="s">
        <v>425</v>
      </c>
      <c r="C683" s="9" t="s">
        <v>426</v>
      </c>
      <c r="D683" s="15">
        <v>75.510000000000005</v>
      </c>
      <c r="E683" s="13" t="s">
        <v>1346</v>
      </c>
    </row>
    <row r="684" spans="1:5" hidden="1" x14ac:dyDescent="0.25">
      <c r="A684" s="9" t="s">
        <v>1345</v>
      </c>
      <c r="B684" s="10" t="s">
        <v>427</v>
      </c>
      <c r="C684" s="9" t="s">
        <v>428</v>
      </c>
      <c r="D684" s="15">
        <v>77.37</v>
      </c>
      <c r="E684" s="13" t="s">
        <v>1346</v>
      </c>
    </row>
    <row r="685" spans="1:5" hidden="1" x14ac:dyDescent="0.25">
      <c r="A685" s="9" t="s">
        <v>1345</v>
      </c>
      <c r="B685" s="10" t="s">
        <v>429</v>
      </c>
      <c r="C685" s="9" t="s">
        <v>430</v>
      </c>
      <c r="D685" s="15">
        <v>42.31</v>
      </c>
      <c r="E685" s="13" t="s">
        <v>1346</v>
      </c>
    </row>
    <row r="686" spans="1:5" hidden="1" x14ac:dyDescent="0.25">
      <c r="A686" s="9" t="s">
        <v>1345</v>
      </c>
      <c r="B686" s="10" t="s">
        <v>431</v>
      </c>
      <c r="C686" s="9" t="s">
        <v>432</v>
      </c>
      <c r="D686" s="15">
        <v>18.149999999999999</v>
      </c>
      <c r="E686" s="13" t="s">
        <v>1346</v>
      </c>
    </row>
    <row r="687" spans="1:5" hidden="1" x14ac:dyDescent="0.25">
      <c r="A687" s="9" t="s">
        <v>1345</v>
      </c>
      <c r="B687" s="10" t="s">
        <v>433</v>
      </c>
      <c r="C687" s="9" t="s">
        <v>434</v>
      </c>
      <c r="D687" s="15">
        <v>14.93</v>
      </c>
      <c r="E687" s="13" t="s">
        <v>1346</v>
      </c>
    </row>
    <row r="688" spans="1:5" hidden="1" x14ac:dyDescent="0.25">
      <c r="A688" s="9" t="s">
        <v>1345</v>
      </c>
      <c r="B688" s="10" t="s">
        <v>435</v>
      </c>
      <c r="C688" s="9" t="s">
        <v>436</v>
      </c>
      <c r="D688" s="15">
        <v>75.510000000000005</v>
      </c>
      <c r="E688" s="13" t="s">
        <v>1346</v>
      </c>
    </row>
    <row r="689" spans="1:5" hidden="1" x14ac:dyDescent="0.25">
      <c r="A689" s="9" t="s">
        <v>1345</v>
      </c>
      <c r="B689" s="10" t="s">
        <v>437</v>
      </c>
      <c r="C689" s="9" t="s">
        <v>438</v>
      </c>
      <c r="D689" s="15">
        <v>77.37</v>
      </c>
      <c r="E689" s="13" t="s">
        <v>1346</v>
      </c>
    </row>
    <row r="690" spans="1:5" hidden="1" x14ac:dyDescent="0.25">
      <c r="A690" s="9" t="s">
        <v>1345</v>
      </c>
      <c r="B690" s="10" t="s">
        <v>439</v>
      </c>
      <c r="C690" s="9" t="s">
        <v>440</v>
      </c>
      <c r="D690" s="15">
        <v>79.23</v>
      </c>
      <c r="E690" s="13" t="s">
        <v>1346</v>
      </c>
    </row>
    <row r="691" spans="1:5" hidden="1" x14ac:dyDescent="0.25">
      <c r="A691" s="9" t="s">
        <v>1345</v>
      </c>
      <c r="B691" s="10" t="s">
        <v>441</v>
      </c>
      <c r="C691" s="9" t="s">
        <v>442</v>
      </c>
      <c r="D691" s="15">
        <v>79.23</v>
      </c>
      <c r="E691" s="13" t="s">
        <v>1346</v>
      </c>
    </row>
    <row r="692" spans="1:5" hidden="1" x14ac:dyDescent="0.25">
      <c r="A692" s="9" t="s">
        <v>1345</v>
      </c>
      <c r="B692" s="10" t="s">
        <v>443</v>
      </c>
      <c r="C692" s="9" t="s">
        <v>444</v>
      </c>
      <c r="D692" s="15">
        <v>18.149999999999999</v>
      </c>
      <c r="E692" s="13" t="s">
        <v>1346</v>
      </c>
    </row>
    <row r="693" spans="1:5" hidden="1" x14ac:dyDescent="0.25">
      <c r="A693" s="9" t="s">
        <v>1345</v>
      </c>
      <c r="B693" s="10" t="s">
        <v>449</v>
      </c>
      <c r="C693" s="9" t="s">
        <v>450</v>
      </c>
      <c r="D693" s="15">
        <v>12.14</v>
      </c>
      <c r="E693" s="13" t="s">
        <v>1346</v>
      </c>
    </row>
    <row r="694" spans="1:5" hidden="1" x14ac:dyDescent="0.25">
      <c r="A694" s="9" t="s">
        <v>1345</v>
      </c>
      <c r="B694" s="10" t="s">
        <v>451</v>
      </c>
      <c r="C694" s="9" t="s">
        <v>452</v>
      </c>
      <c r="D694" s="15">
        <v>250.35</v>
      </c>
      <c r="E694" s="13" t="s">
        <v>1346</v>
      </c>
    </row>
    <row r="695" spans="1:5" hidden="1" x14ac:dyDescent="0.25">
      <c r="A695" s="9" t="s">
        <v>1345</v>
      </c>
      <c r="B695" s="10" t="s">
        <v>453</v>
      </c>
      <c r="C695" s="9" t="s">
        <v>454</v>
      </c>
      <c r="D695" s="15">
        <v>77.37</v>
      </c>
      <c r="E695" s="13" t="s">
        <v>1346</v>
      </c>
    </row>
    <row r="696" spans="1:5" hidden="1" x14ac:dyDescent="0.25">
      <c r="A696" s="9" t="s">
        <v>1345</v>
      </c>
      <c r="B696" s="10" t="s">
        <v>459</v>
      </c>
      <c r="C696" s="9" t="s">
        <v>460</v>
      </c>
      <c r="D696" s="15">
        <v>96.33</v>
      </c>
      <c r="E696" s="13" t="s">
        <v>1346</v>
      </c>
    </row>
    <row r="697" spans="1:5" hidden="1" x14ac:dyDescent="0.25">
      <c r="A697" s="9" t="s">
        <v>1345</v>
      </c>
      <c r="B697" s="10" t="s">
        <v>461</v>
      </c>
      <c r="C697" s="9" t="s">
        <v>462</v>
      </c>
      <c r="D697" s="15">
        <v>471.35</v>
      </c>
      <c r="E697" s="13" t="s">
        <v>1346</v>
      </c>
    </row>
    <row r="698" spans="1:5" hidden="1" x14ac:dyDescent="0.25">
      <c r="A698" s="9" t="s">
        <v>1345</v>
      </c>
      <c r="B698" s="10" t="s">
        <v>465</v>
      </c>
      <c r="C698" s="9" t="s">
        <v>466</v>
      </c>
      <c r="D698" s="15">
        <v>18.149999999999999</v>
      </c>
      <c r="E698" s="13" t="s">
        <v>1346</v>
      </c>
    </row>
    <row r="699" spans="1:5" hidden="1" x14ac:dyDescent="0.25">
      <c r="A699" s="9" t="s">
        <v>1345</v>
      </c>
      <c r="B699" s="10" t="s">
        <v>469</v>
      </c>
      <c r="C699" s="9" t="s">
        <v>470</v>
      </c>
      <c r="D699" s="15">
        <v>77.37</v>
      </c>
      <c r="E699" s="13" t="s">
        <v>1346</v>
      </c>
    </row>
    <row r="700" spans="1:5" hidden="1" x14ac:dyDescent="0.25">
      <c r="A700" s="9" t="s">
        <v>1345</v>
      </c>
      <c r="B700" s="10" t="s">
        <v>471</v>
      </c>
      <c r="C700" s="9" t="s">
        <v>472</v>
      </c>
      <c r="D700" s="15">
        <v>81.09</v>
      </c>
      <c r="E700" s="13" t="s">
        <v>1346</v>
      </c>
    </row>
    <row r="701" spans="1:5" hidden="1" x14ac:dyDescent="0.25">
      <c r="A701" s="9" t="s">
        <v>1345</v>
      </c>
      <c r="B701" s="10" t="s">
        <v>473</v>
      </c>
      <c r="C701" s="9" t="s">
        <v>474</v>
      </c>
      <c r="D701" s="15">
        <v>36.299999999999997</v>
      </c>
      <c r="E701" s="13" t="s">
        <v>1346</v>
      </c>
    </row>
    <row r="702" spans="1:5" hidden="1" x14ac:dyDescent="0.25">
      <c r="A702" s="9" t="s">
        <v>1345</v>
      </c>
      <c r="B702" s="10" t="s">
        <v>475</v>
      </c>
      <c r="C702" s="9" t="s">
        <v>476</v>
      </c>
      <c r="D702" s="15">
        <v>180.87</v>
      </c>
      <c r="E702" s="13" t="s">
        <v>1346</v>
      </c>
    </row>
    <row r="703" spans="1:5" hidden="1" x14ac:dyDescent="0.25">
      <c r="A703" s="9" t="s">
        <v>1345</v>
      </c>
      <c r="B703" s="10" t="s">
        <v>477</v>
      </c>
      <c r="C703" s="9" t="s">
        <v>478</v>
      </c>
      <c r="D703" s="15">
        <v>1021.58</v>
      </c>
      <c r="E703" s="13" t="s">
        <v>1346</v>
      </c>
    </row>
    <row r="704" spans="1:5" hidden="1" x14ac:dyDescent="0.25">
      <c r="A704" s="9" t="s">
        <v>1345</v>
      </c>
      <c r="B704" s="10" t="s">
        <v>483</v>
      </c>
      <c r="C704" s="9" t="s">
        <v>484</v>
      </c>
      <c r="D704" s="15">
        <v>75.510000000000005</v>
      </c>
      <c r="E704" s="13" t="s">
        <v>1346</v>
      </c>
    </row>
    <row r="705" spans="1:5" hidden="1" x14ac:dyDescent="0.25">
      <c r="A705" s="9" t="s">
        <v>1345</v>
      </c>
      <c r="B705" s="10" t="s">
        <v>485</v>
      </c>
      <c r="C705" s="9" t="s">
        <v>486</v>
      </c>
      <c r="D705" s="15">
        <v>79.23</v>
      </c>
      <c r="E705" s="13" t="s">
        <v>1346</v>
      </c>
    </row>
    <row r="706" spans="1:5" hidden="1" x14ac:dyDescent="0.25">
      <c r="A706" s="9" t="s">
        <v>1345</v>
      </c>
      <c r="B706" s="10" t="s">
        <v>487</v>
      </c>
      <c r="C706" s="9" t="s">
        <v>488</v>
      </c>
      <c r="D706" s="15">
        <v>79.23</v>
      </c>
      <c r="E706" s="13" t="s">
        <v>1346</v>
      </c>
    </row>
    <row r="707" spans="1:5" hidden="1" x14ac:dyDescent="0.25">
      <c r="A707" s="9" t="s">
        <v>1345</v>
      </c>
      <c r="B707" s="10" t="s">
        <v>489</v>
      </c>
      <c r="C707" s="9" t="s">
        <v>490</v>
      </c>
      <c r="D707" s="15">
        <v>98.65</v>
      </c>
      <c r="E707" s="13" t="s">
        <v>1346</v>
      </c>
    </row>
    <row r="708" spans="1:5" hidden="1" x14ac:dyDescent="0.25">
      <c r="A708" s="9" t="s">
        <v>1345</v>
      </c>
      <c r="B708" s="10" t="s">
        <v>491</v>
      </c>
      <c r="C708" s="9" t="s">
        <v>492</v>
      </c>
      <c r="D708" s="15">
        <v>6.05</v>
      </c>
      <c r="E708" s="13" t="s">
        <v>1346</v>
      </c>
    </row>
    <row r="709" spans="1:5" hidden="1" x14ac:dyDescent="0.25">
      <c r="A709" s="9" t="s">
        <v>1345</v>
      </c>
      <c r="B709" s="10" t="s">
        <v>493</v>
      </c>
      <c r="C709" s="9" t="s">
        <v>494</v>
      </c>
      <c r="D709" s="15">
        <v>24.72</v>
      </c>
      <c r="E709" s="13" t="s">
        <v>1346</v>
      </c>
    </row>
    <row r="710" spans="1:5" hidden="1" x14ac:dyDescent="0.25">
      <c r="A710" s="9" t="s">
        <v>1345</v>
      </c>
      <c r="B710" s="10" t="s">
        <v>495</v>
      </c>
      <c r="C710" s="9" t="s">
        <v>496</v>
      </c>
      <c r="D710" s="15">
        <v>77.37</v>
      </c>
      <c r="E710" s="13" t="s">
        <v>1346</v>
      </c>
    </row>
    <row r="711" spans="1:5" hidden="1" x14ac:dyDescent="0.25">
      <c r="A711" s="9" t="s">
        <v>1345</v>
      </c>
      <c r="B711" s="10" t="s">
        <v>497</v>
      </c>
      <c r="C711" s="9" t="s">
        <v>498</v>
      </c>
      <c r="D711" s="15">
        <v>1019.72</v>
      </c>
      <c r="E711" s="13" t="s">
        <v>1346</v>
      </c>
    </row>
    <row r="712" spans="1:5" hidden="1" x14ac:dyDescent="0.25">
      <c r="A712" s="9" t="s">
        <v>1345</v>
      </c>
      <c r="B712" s="10" t="s">
        <v>499</v>
      </c>
      <c r="C712" s="9" t="s">
        <v>500</v>
      </c>
      <c r="D712" s="15">
        <v>57.36</v>
      </c>
      <c r="E712" s="13" t="s">
        <v>1346</v>
      </c>
    </row>
    <row r="713" spans="1:5" hidden="1" x14ac:dyDescent="0.25">
      <c r="A713" s="9" t="s">
        <v>1345</v>
      </c>
      <c r="B713" s="10" t="s">
        <v>501</v>
      </c>
      <c r="C713" s="9" t="s">
        <v>502</v>
      </c>
      <c r="D713" s="15">
        <v>77.37</v>
      </c>
      <c r="E713" s="13" t="s">
        <v>1346</v>
      </c>
    </row>
    <row r="714" spans="1:5" hidden="1" x14ac:dyDescent="0.25">
      <c r="A714" s="9" t="s">
        <v>1345</v>
      </c>
      <c r="B714" s="10" t="s">
        <v>505</v>
      </c>
      <c r="C714" s="9" t="s">
        <v>506</v>
      </c>
      <c r="D714" s="15">
        <v>79.23</v>
      </c>
      <c r="E714" s="13" t="s">
        <v>1346</v>
      </c>
    </row>
    <row r="715" spans="1:5" hidden="1" x14ac:dyDescent="0.25">
      <c r="A715" s="9" t="s">
        <v>1345</v>
      </c>
      <c r="B715" s="10" t="s">
        <v>515</v>
      </c>
      <c r="C715" s="9" t="s">
        <v>516</v>
      </c>
      <c r="D715" s="15">
        <v>79.23</v>
      </c>
      <c r="E715" s="13" t="s">
        <v>1346</v>
      </c>
    </row>
    <row r="716" spans="1:5" hidden="1" x14ac:dyDescent="0.25">
      <c r="A716" s="9" t="s">
        <v>1345</v>
      </c>
      <c r="B716" s="10" t="s">
        <v>517</v>
      </c>
      <c r="C716" s="9" t="s">
        <v>518</v>
      </c>
      <c r="D716" s="15">
        <v>248.06</v>
      </c>
      <c r="E716" s="13" t="s">
        <v>1346</v>
      </c>
    </row>
    <row r="717" spans="1:5" hidden="1" x14ac:dyDescent="0.25">
      <c r="A717" s="9" t="s">
        <v>1345</v>
      </c>
      <c r="B717" s="10" t="s">
        <v>519</v>
      </c>
      <c r="C717" s="9" t="s">
        <v>520</v>
      </c>
      <c r="D717" s="15">
        <v>61.08</v>
      </c>
      <c r="E717" s="13" t="s">
        <v>1346</v>
      </c>
    </row>
    <row r="718" spans="1:5" hidden="1" x14ac:dyDescent="0.25">
      <c r="A718" s="9" t="s">
        <v>1345</v>
      </c>
      <c r="B718" s="10" t="s">
        <v>521</v>
      </c>
      <c r="C718" s="9" t="s">
        <v>522</v>
      </c>
      <c r="D718" s="15">
        <v>53.17</v>
      </c>
      <c r="E718" s="13" t="s">
        <v>1346</v>
      </c>
    </row>
    <row r="719" spans="1:5" hidden="1" x14ac:dyDescent="0.25">
      <c r="A719" s="9" t="s">
        <v>1345</v>
      </c>
      <c r="B719" s="10" t="s">
        <v>523</v>
      </c>
      <c r="C719" s="9" t="s">
        <v>524</v>
      </c>
      <c r="D719" s="15">
        <v>75.510000000000005</v>
      </c>
      <c r="E719" s="13" t="s">
        <v>1346</v>
      </c>
    </row>
    <row r="720" spans="1:5" hidden="1" x14ac:dyDescent="0.25">
      <c r="A720" s="9" t="s">
        <v>1345</v>
      </c>
      <c r="B720" s="10" t="s">
        <v>525</v>
      </c>
      <c r="C720" s="9" t="s">
        <v>526</v>
      </c>
      <c r="D720" s="15">
        <v>48.44</v>
      </c>
      <c r="E720" s="13" t="s">
        <v>1346</v>
      </c>
    </row>
    <row r="721" spans="1:5" hidden="1" x14ac:dyDescent="0.25">
      <c r="A721" s="9" t="s">
        <v>1345</v>
      </c>
      <c r="B721" s="10" t="s">
        <v>529</v>
      </c>
      <c r="C721" s="9" t="s">
        <v>530</v>
      </c>
      <c r="D721" s="15">
        <v>22.86</v>
      </c>
      <c r="E721" s="13" t="s">
        <v>1346</v>
      </c>
    </row>
    <row r="722" spans="1:5" hidden="1" x14ac:dyDescent="0.25">
      <c r="A722" s="9" t="s">
        <v>1345</v>
      </c>
      <c r="B722" s="10" t="s">
        <v>531</v>
      </c>
      <c r="C722" s="9" t="s">
        <v>532</v>
      </c>
      <c r="D722" s="15">
        <v>161.15</v>
      </c>
      <c r="E722" s="13" t="s">
        <v>1346</v>
      </c>
    </row>
    <row r="723" spans="1:5" hidden="1" x14ac:dyDescent="0.25">
      <c r="A723" s="9" t="s">
        <v>1345</v>
      </c>
      <c r="B723" s="10" t="s">
        <v>533</v>
      </c>
      <c r="C723" s="9" t="s">
        <v>534</v>
      </c>
      <c r="D723" s="15">
        <v>12.1</v>
      </c>
      <c r="E723" s="13" t="s">
        <v>1346</v>
      </c>
    </row>
    <row r="724" spans="1:5" hidden="1" x14ac:dyDescent="0.25">
      <c r="A724" s="9" t="s">
        <v>1345</v>
      </c>
      <c r="B724" s="10" t="s">
        <v>535</v>
      </c>
      <c r="C724" s="9" t="s">
        <v>536</v>
      </c>
      <c r="D724" s="15">
        <v>24.2</v>
      </c>
      <c r="E724" s="13" t="s">
        <v>1346</v>
      </c>
    </row>
    <row r="725" spans="1:5" hidden="1" x14ac:dyDescent="0.25">
      <c r="A725" s="9" t="s">
        <v>1345</v>
      </c>
      <c r="B725" s="10" t="s">
        <v>537</v>
      </c>
      <c r="C725" s="9" t="s">
        <v>538</v>
      </c>
      <c r="D725" s="15">
        <v>54.51</v>
      </c>
      <c r="E725" s="13" t="s">
        <v>1346</v>
      </c>
    </row>
    <row r="726" spans="1:5" hidden="1" x14ac:dyDescent="0.25">
      <c r="A726" s="9" t="s">
        <v>1345</v>
      </c>
      <c r="B726" s="10" t="s">
        <v>539</v>
      </c>
      <c r="C726" s="9" t="s">
        <v>540</v>
      </c>
      <c r="D726" s="15">
        <v>99.71</v>
      </c>
      <c r="E726" s="13" t="s">
        <v>1346</v>
      </c>
    </row>
    <row r="727" spans="1:5" hidden="1" x14ac:dyDescent="0.25">
      <c r="A727" s="9" t="s">
        <v>1345</v>
      </c>
      <c r="B727" s="10" t="s">
        <v>541</v>
      </c>
      <c r="C727" s="9" t="s">
        <v>542</v>
      </c>
      <c r="D727" s="15">
        <v>1023.44</v>
      </c>
      <c r="E727" s="13" t="s">
        <v>1346</v>
      </c>
    </row>
    <row r="728" spans="1:5" hidden="1" x14ac:dyDescent="0.25">
      <c r="A728" s="9" t="s">
        <v>1345</v>
      </c>
      <c r="B728" s="10" t="s">
        <v>547</v>
      </c>
      <c r="C728" s="9" t="s">
        <v>548</v>
      </c>
      <c r="D728" s="15">
        <v>123.65</v>
      </c>
      <c r="E728" s="13" t="s">
        <v>1346</v>
      </c>
    </row>
    <row r="729" spans="1:5" hidden="1" x14ac:dyDescent="0.25">
      <c r="A729" s="9" t="s">
        <v>1345</v>
      </c>
      <c r="B729" s="10" t="s">
        <v>549</v>
      </c>
      <c r="C729" s="9" t="s">
        <v>550</v>
      </c>
      <c r="D729" s="15">
        <v>75.510000000000005</v>
      </c>
      <c r="E729" s="13" t="s">
        <v>1346</v>
      </c>
    </row>
    <row r="730" spans="1:5" hidden="1" x14ac:dyDescent="0.25">
      <c r="A730" s="9" t="s">
        <v>1345</v>
      </c>
      <c r="B730" s="10" t="s">
        <v>551</v>
      </c>
      <c r="C730" s="9" t="s">
        <v>552</v>
      </c>
      <c r="D730" s="15">
        <v>77.37</v>
      </c>
      <c r="E730" s="13" t="s">
        <v>1346</v>
      </c>
    </row>
    <row r="731" spans="1:5" hidden="1" x14ac:dyDescent="0.25">
      <c r="A731" s="9" t="s">
        <v>1345</v>
      </c>
      <c r="B731" s="10" t="s">
        <v>553</v>
      </c>
      <c r="C731" s="9" t="s">
        <v>554</v>
      </c>
      <c r="D731" s="15">
        <v>75.510000000000005</v>
      </c>
      <c r="E731" s="13" t="s">
        <v>1346</v>
      </c>
    </row>
    <row r="732" spans="1:5" hidden="1" x14ac:dyDescent="0.25">
      <c r="A732" s="9" t="s">
        <v>1345</v>
      </c>
      <c r="B732" s="10" t="s">
        <v>555</v>
      </c>
      <c r="C732" s="9" t="s">
        <v>556</v>
      </c>
      <c r="D732" s="15">
        <v>6.05</v>
      </c>
      <c r="E732" s="13" t="s">
        <v>1346</v>
      </c>
    </row>
    <row r="733" spans="1:5" hidden="1" x14ac:dyDescent="0.25">
      <c r="A733" s="9" t="s">
        <v>1345</v>
      </c>
      <c r="B733" s="10" t="s">
        <v>557</v>
      </c>
      <c r="C733" s="9" t="s">
        <v>558</v>
      </c>
      <c r="D733" s="15">
        <v>79.23</v>
      </c>
      <c r="E733" s="13" t="s">
        <v>1346</v>
      </c>
    </row>
    <row r="734" spans="1:5" hidden="1" x14ac:dyDescent="0.25">
      <c r="A734" s="9" t="s">
        <v>1345</v>
      </c>
      <c r="B734" s="10" t="s">
        <v>559</v>
      </c>
      <c r="C734" s="9" t="s">
        <v>560</v>
      </c>
      <c r="D734" s="15">
        <v>77.37</v>
      </c>
      <c r="E734" s="13" t="s">
        <v>1346</v>
      </c>
    </row>
    <row r="735" spans="1:5" hidden="1" x14ac:dyDescent="0.25">
      <c r="A735" s="9" t="s">
        <v>1345</v>
      </c>
      <c r="B735" s="10" t="s">
        <v>571</v>
      </c>
      <c r="C735" s="9" t="s">
        <v>572</v>
      </c>
      <c r="D735" s="15">
        <v>77.37</v>
      </c>
      <c r="E735" s="13" t="s">
        <v>1346</v>
      </c>
    </row>
    <row r="736" spans="1:5" hidden="1" x14ac:dyDescent="0.25">
      <c r="A736" s="9" t="s">
        <v>1345</v>
      </c>
      <c r="B736" s="10" t="s">
        <v>575</v>
      </c>
      <c r="C736" s="9" t="s">
        <v>576</v>
      </c>
      <c r="D736" s="15">
        <v>82.02</v>
      </c>
      <c r="E736" s="13" t="s">
        <v>1346</v>
      </c>
    </row>
    <row r="737" spans="1:5" hidden="1" x14ac:dyDescent="0.25">
      <c r="A737" s="9" t="s">
        <v>1345</v>
      </c>
      <c r="B737" s="10" t="s">
        <v>577</v>
      </c>
      <c r="C737" s="9" t="s">
        <v>578</v>
      </c>
      <c r="D737" s="15">
        <v>75.510000000000005</v>
      </c>
      <c r="E737" s="13" t="s">
        <v>1346</v>
      </c>
    </row>
    <row r="738" spans="1:5" hidden="1" x14ac:dyDescent="0.25">
      <c r="A738" s="9" t="s">
        <v>1345</v>
      </c>
      <c r="B738" s="10" t="s">
        <v>579</v>
      </c>
      <c r="C738" s="9" t="s">
        <v>580</v>
      </c>
      <c r="D738" s="15">
        <v>26.58</v>
      </c>
      <c r="E738" s="13" t="s">
        <v>1346</v>
      </c>
    </row>
    <row r="739" spans="1:5" hidden="1" x14ac:dyDescent="0.25">
      <c r="A739" s="9" t="s">
        <v>1345</v>
      </c>
      <c r="B739" s="10" t="s">
        <v>583</v>
      </c>
      <c r="C739" s="9" t="s">
        <v>584</v>
      </c>
      <c r="D739" s="15">
        <v>103.16</v>
      </c>
      <c r="E739" s="13" t="s">
        <v>1346</v>
      </c>
    </row>
    <row r="740" spans="1:5" hidden="1" x14ac:dyDescent="0.25">
      <c r="A740" s="9" t="s">
        <v>1345</v>
      </c>
      <c r="B740" s="10" t="s">
        <v>585</v>
      </c>
      <c r="C740" s="9" t="s">
        <v>586</v>
      </c>
      <c r="D740" s="15">
        <v>75.510000000000005</v>
      </c>
      <c r="E740" s="13" t="s">
        <v>1346</v>
      </c>
    </row>
    <row r="741" spans="1:5" hidden="1" x14ac:dyDescent="0.25">
      <c r="A741" s="9" t="s">
        <v>1345</v>
      </c>
      <c r="B741" s="10" t="s">
        <v>587</v>
      </c>
      <c r="C741" s="9" t="s">
        <v>588</v>
      </c>
      <c r="D741" s="15">
        <v>75.510000000000005</v>
      </c>
      <c r="E741" s="13" t="s">
        <v>1346</v>
      </c>
    </row>
    <row r="742" spans="1:5" hidden="1" x14ac:dyDescent="0.25">
      <c r="A742" s="9" t="s">
        <v>1345</v>
      </c>
      <c r="B742" s="10" t="s">
        <v>589</v>
      </c>
      <c r="C742" s="9" t="s">
        <v>590</v>
      </c>
      <c r="D742" s="15">
        <v>75.510000000000005</v>
      </c>
      <c r="E742" s="13" t="s">
        <v>1346</v>
      </c>
    </row>
    <row r="743" spans="1:5" hidden="1" x14ac:dyDescent="0.25">
      <c r="A743" s="9" t="s">
        <v>1345</v>
      </c>
      <c r="B743" s="10" t="s">
        <v>593</v>
      </c>
      <c r="C743" s="9" t="s">
        <v>594</v>
      </c>
      <c r="D743" s="15">
        <v>75.510000000000005</v>
      </c>
      <c r="E743" s="13" t="s">
        <v>1346</v>
      </c>
    </row>
    <row r="744" spans="1:5" hidden="1" x14ac:dyDescent="0.25">
      <c r="A744" s="9" t="s">
        <v>1345</v>
      </c>
      <c r="B744" s="10" t="s">
        <v>597</v>
      </c>
      <c r="C744" s="9" t="s">
        <v>598</v>
      </c>
      <c r="D744" s="15">
        <v>12.1</v>
      </c>
      <c r="E744" s="13" t="s">
        <v>1346</v>
      </c>
    </row>
    <row r="745" spans="1:5" hidden="1" x14ac:dyDescent="0.25">
      <c r="A745" s="9" t="s">
        <v>1345</v>
      </c>
      <c r="B745" s="10" t="s">
        <v>601</v>
      </c>
      <c r="C745" s="9" t="s">
        <v>602</v>
      </c>
      <c r="D745" s="15">
        <v>81.09</v>
      </c>
      <c r="E745" s="13" t="s">
        <v>1346</v>
      </c>
    </row>
    <row r="746" spans="1:5" hidden="1" x14ac:dyDescent="0.25">
      <c r="A746" s="9" t="s">
        <v>1345</v>
      </c>
      <c r="B746" s="10" t="s">
        <v>603</v>
      </c>
      <c r="C746" s="9" t="s">
        <v>604</v>
      </c>
      <c r="D746" s="15">
        <v>18.149999999999999</v>
      </c>
      <c r="E746" s="13" t="s">
        <v>1346</v>
      </c>
    </row>
    <row r="747" spans="1:5" hidden="1" x14ac:dyDescent="0.25">
      <c r="A747" s="9" t="s">
        <v>1345</v>
      </c>
      <c r="B747" s="10" t="s">
        <v>607</v>
      </c>
      <c r="C747" s="9" t="s">
        <v>608</v>
      </c>
      <c r="D747" s="15">
        <v>6.05</v>
      </c>
      <c r="E747" s="13" t="s">
        <v>1346</v>
      </c>
    </row>
    <row r="748" spans="1:5" hidden="1" x14ac:dyDescent="0.25">
      <c r="A748" s="9" t="s">
        <v>1345</v>
      </c>
      <c r="B748" s="10" t="s">
        <v>609</v>
      </c>
      <c r="C748" s="9" t="s">
        <v>610</v>
      </c>
      <c r="D748" s="15">
        <v>66.650000000000006</v>
      </c>
      <c r="E748" s="13" t="s">
        <v>1346</v>
      </c>
    </row>
    <row r="749" spans="1:5" hidden="1" x14ac:dyDescent="0.25">
      <c r="A749" s="9" t="s">
        <v>1345</v>
      </c>
      <c r="B749" s="10" t="s">
        <v>611</v>
      </c>
      <c r="C749" s="9" t="s">
        <v>612</v>
      </c>
      <c r="D749" s="15">
        <v>21</v>
      </c>
      <c r="E749" s="13" t="s">
        <v>1346</v>
      </c>
    </row>
    <row r="750" spans="1:5" hidden="1" x14ac:dyDescent="0.25">
      <c r="A750" s="9" t="s">
        <v>1345</v>
      </c>
      <c r="B750" s="10" t="s">
        <v>615</v>
      </c>
      <c r="C750" s="9" t="s">
        <v>616</v>
      </c>
      <c r="D750" s="15">
        <v>81.09</v>
      </c>
      <c r="E750" s="13" t="s">
        <v>1346</v>
      </c>
    </row>
    <row r="751" spans="1:5" hidden="1" x14ac:dyDescent="0.25">
      <c r="A751" s="9" t="s">
        <v>1345</v>
      </c>
      <c r="B751" s="10" t="s">
        <v>619</v>
      </c>
      <c r="C751" s="9" t="s">
        <v>620</v>
      </c>
      <c r="D751" s="15">
        <v>48.98</v>
      </c>
      <c r="E751" s="13" t="s">
        <v>1346</v>
      </c>
    </row>
    <row r="752" spans="1:5" hidden="1" x14ac:dyDescent="0.25">
      <c r="A752" s="9" t="s">
        <v>1345</v>
      </c>
      <c r="B752" s="10" t="s">
        <v>621</v>
      </c>
      <c r="C752" s="9" t="s">
        <v>622</v>
      </c>
      <c r="D752" s="15">
        <v>79.23</v>
      </c>
      <c r="E752" s="13" t="s">
        <v>1346</v>
      </c>
    </row>
    <row r="753" spans="1:5" hidden="1" x14ac:dyDescent="0.25">
      <c r="A753" s="9" t="s">
        <v>1345</v>
      </c>
      <c r="B753" s="10" t="s">
        <v>625</v>
      </c>
      <c r="C753" s="9" t="s">
        <v>626</v>
      </c>
      <c r="D753" s="15">
        <v>24.2</v>
      </c>
      <c r="E753" s="13" t="s">
        <v>1346</v>
      </c>
    </row>
    <row r="754" spans="1:5" hidden="1" x14ac:dyDescent="0.25">
      <c r="A754" s="9" t="s">
        <v>1345</v>
      </c>
      <c r="B754" s="10" t="s">
        <v>627</v>
      </c>
      <c r="C754" s="9" t="s">
        <v>628</v>
      </c>
      <c r="D754" s="15">
        <v>77.37</v>
      </c>
      <c r="E754" s="13" t="s">
        <v>1346</v>
      </c>
    </row>
    <row r="755" spans="1:5" hidden="1" x14ac:dyDescent="0.25">
      <c r="A755" s="9" t="s">
        <v>1345</v>
      </c>
      <c r="B755" s="10" t="s">
        <v>629</v>
      </c>
      <c r="C755" s="9" t="s">
        <v>630</v>
      </c>
      <c r="D755" s="15">
        <v>81.09</v>
      </c>
      <c r="E755" s="13" t="s">
        <v>1346</v>
      </c>
    </row>
    <row r="756" spans="1:5" hidden="1" x14ac:dyDescent="0.25">
      <c r="A756" s="9" t="s">
        <v>1345</v>
      </c>
      <c r="B756" s="10" t="s">
        <v>631</v>
      </c>
      <c r="C756" s="9" t="s">
        <v>632</v>
      </c>
      <c r="D756" s="15">
        <v>75.510000000000005</v>
      </c>
      <c r="E756" s="13" t="s">
        <v>1346</v>
      </c>
    </row>
    <row r="757" spans="1:5" hidden="1" x14ac:dyDescent="0.25">
      <c r="A757" s="9" t="s">
        <v>1345</v>
      </c>
      <c r="B757" s="10" t="s">
        <v>637</v>
      </c>
      <c r="C757" s="9" t="s">
        <v>638</v>
      </c>
      <c r="D757" s="15">
        <v>44.33</v>
      </c>
      <c r="E757" s="13" t="s">
        <v>1346</v>
      </c>
    </row>
    <row r="758" spans="1:5" hidden="1" x14ac:dyDescent="0.25">
      <c r="A758" s="9" t="s">
        <v>1345</v>
      </c>
      <c r="B758" s="10" t="s">
        <v>639</v>
      </c>
      <c r="C758" s="9" t="s">
        <v>640</v>
      </c>
      <c r="D758" s="15">
        <v>18.149999999999999</v>
      </c>
      <c r="E758" s="13" t="s">
        <v>1346</v>
      </c>
    </row>
    <row r="759" spans="1:5" hidden="1" x14ac:dyDescent="0.25">
      <c r="A759" s="9" t="s">
        <v>1345</v>
      </c>
      <c r="B759" s="10" t="s">
        <v>641</v>
      </c>
      <c r="C759" s="9" t="s">
        <v>642</v>
      </c>
      <c r="D759" s="15">
        <v>75.510000000000005</v>
      </c>
      <c r="E759" s="13" t="s">
        <v>1346</v>
      </c>
    </row>
    <row r="760" spans="1:5" hidden="1" x14ac:dyDescent="0.25">
      <c r="A760" s="9" t="s">
        <v>1345</v>
      </c>
      <c r="B760" s="10" t="s">
        <v>643</v>
      </c>
      <c r="C760" s="9" t="s">
        <v>644</v>
      </c>
      <c r="D760" s="15">
        <v>75.510000000000005</v>
      </c>
      <c r="E760" s="13" t="s">
        <v>1346</v>
      </c>
    </row>
    <row r="761" spans="1:5" hidden="1" x14ac:dyDescent="0.25">
      <c r="A761" s="9" t="s">
        <v>1345</v>
      </c>
      <c r="B761" s="10" t="s">
        <v>645</v>
      </c>
      <c r="C761" s="9" t="s">
        <v>646</v>
      </c>
      <c r="D761" s="15">
        <v>75.510000000000005</v>
      </c>
      <c r="E761" s="13" t="s">
        <v>1346</v>
      </c>
    </row>
    <row r="762" spans="1:5" hidden="1" x14ac:dyDescent="0.25">
      <c r="A762" s="9" t="s">
        <v>1345</v>
      </c>
      <c r="B762" s="10" t="s">
        <v>647</v>
      </c>
      <c r="C762" s="9" t="s">
        <v>648</v>
      </c>
      <c r="D762" s="15">
        <v>77.37</v>
      </c>
      <c r="E762" s="13" t="s">
        <v>1346</v>
      </c>
    </row>
    <row r="763" spans="1:5" hidden="1" x14ac:dyDescent="0.25">
      <c r="A763" s="9" t="s">
        <v>1345</v>
      </c>
      <c r="B763" s="10" t="s">
        <v>649</v>
      </c>
      <c r="C763" s="9" t="s">
        <v>650</v>
      </c>
      <c r="D763" s="15">
        <v>30.25</v>
      </c>
      <c r="E763" s="13" t="s">
        <v>1346</v>
      </c>
    </row>
    <row r="764" spans="1:5" hidden="1" x14ac:dyDescent="0.25">
      <c r="A764" s="9" t="s">
        <v>1345</v>
      </c>
      <c r="B764" s="10" t="s">
        <v>651</v>
      </c>
      <c r="C764" s="9" t="s">
        <v>652</v>
      </c>
      <c r="D764" s="15">
        <v>79.23</v>
      </c>
      <c r="E764" s="13" t="s">
        <v>1346</v>
      </c>
    </row>
    <row r="765" spans="1:5" hidden="1" x14ac:dyDescent="0.25">
      <c r="A765" s="9" t="s">
        <v>1345</v>
      </c>
      <c r="B765" s="10" t="s">
        <v>655</v>
      </c>
      <c r="C765" s="9" t="s">
        <v>656</v>
      </c>
      <c r="D765" s="15">
        <v>75.510000000000005</v>
      </c>
      <c r="E765" s="13" t="s">
        <v>1346</v>
      </c>
    </row>
    <row r="766" spans="1:5" hidden="1" x14ac:dyDescent="0.25">
      <c r="A766" s="9" t="s">
        <v>1345</v>
      </c>
      <c r="B766" s="10" t="s">
        <v>657</v>
      </c>
      <c r="C766" s="9" t="s">
        <v>658</v>
      </c>
      <c r="D766" s="15">
        <v>75.510000000000005</v>
      </c>
      <c r="E766" s="13" t="s">
        <v>1346</v>
      </c>
    </row>
    <row r="767" spans="1:5" hidden="1" x14ac:dyDescent="0.25">
      <c r="A767" s="9" t="s">
        <v>1345</v>
      </c>
      <c r="B767" s="10" t="s">
        <v>659</v>
      </c>
      <c r="C767" s="9" t="s">
        <v>660</v>
      </c>
      <c r="D767" s="15">
        <v>515.77</v>
      </c>
      <c r="E767" s="13" t="s">
        <v>1346</v>
      </c>
    </row>
    <row r="768" spans="1:5" hidden="1" x14ac:dyDescent="0.25">
      <c r="A768" s="9" t="s">
        <v>1345</v>
      </c>
      <c r="B768" s="10" t="s">
        <v>661</v>
      </c>
      <c r="C768" s="9" t="s">
        <v>662</v>
      </c>
      <c r="D768" s="15">
        <v>66.650000000000006</v>
      </c>
      <c r="E768" s="13" t="s">
        <v>1346</v>
      </c>
    </row>
    <row r="769" spans="1:5" hidden="1" x14ac:dyDescent="0.25">
      <c r="A769" s="9" t="s">
        <v>1345</v>
      </c>
      <c r="B769" s="10" t="s">
        <v>665</v>
      </c>
      <c r="C769" s="9" t="s">
        <v>666</v>
      </c>
      <c r="D769" s="15">
        <v>47.12</v>
      </c>
      <c r="E769" s="13" t="s">
        <v>1346</v>
      </c>
    </row>
    <row r="770" spans="1:5" hidden="1" x14ac:dyDescent="0.25">
      <c r="A770" s="9" t="s">
        <v>1345</v>
      </c>
      <c r="B770" s="10" t="s">
        <v>667</v>
      </c>
      <c r="C770" s="9" t="s">
        <v>668</v>
      </c>
      <c r="D770" s="15">
        <v>75.510000000000005</v>
      </c>
      <c r="E770" s="13" t="s">
        <v>1346</v>
      </c>
    </row>
    <row r="771" spans="1:5" hidden="1" x14ac:dyDescent="0.25">
      <c r="A771" s="9" t="s">
        <v>1345</v>
      </c>
      <c r="B771" s="10" t="s">
        <v>669</v>
      </c>
      <c r="C771" s="9" t="s">
        <v>670</v>
      </c>
      <c r="D771" s="15">
        <v>84.99</v>
      </c>
      <c r="E771" s="13" t="s">
        <v>1346</v>
      </c>
    </row>
    <row r="772" spans="1:5" hidden="1" x14ac:dyDescent="0.25">
      <c r="A772" s="9" t="s">
        <v>1345</v>
      </c>
      <c r="B772" s="10" t="s">
        <v>671</v>
      </c>
      <c r="C772" s="9" t="s">
        <v>672</v>
      </c>
      <c r="D772" s="15">
        <v>75.510000000000005</v>
      </c>
      <c r="E772" s="13" t="s">
        <v>1346</v>
      </c>
    </row>
    <row r="773" spans="1:5" hidden="1" x14ac:dyDescent="0.25">
      <c r="A773" s="9" t="s">
        <v>1345</v>
      </c>
      <c r="B773" s="10" t="s">
        <v>675</v>
      </c>
      <c r="C773" s="9" t="s">
        <v>676</v>
      </c>
      <c r="D773" s="15">
        <v>81.09</v>
      </c>
      <c r="E773" s="13" t="s">
        <v>1346</v>
      </c>
    </row>
    <row r="774" spans="1:5" hidden="1" x14ac:dyDescent="0.25">
      <c r="A774" s="9" t="s">
        <v>1345</v>
      </c>
      <c r="B774" s="10" t="s">
        <v>679</v>
      </c>
      <c r="C774" s="9" t="s">
        <v>680</v>
      </c>
      <c r="D774" s="15">
        <v>62.35</v>
      </c>
      <c r="E774" s="13" t="s">
        <v>1346</v>
      </c>
    </row>
    <row r="775" spans="1:5" hidden="1" x14ac:dyDescent="0.25">
      <c r="A775" s="9" t="s">
        <v>1345</v>
      </c>
      <c r="B775" s="10" t="s">
        <v>683</v>
      </c>
      <c r="C775" s="9" t="s">
        <v>684</v>
      </c>
      <c r="D775" s="15">
        <v>66.650000000000006</v>
      </c>
      <c r="E775" s="13" t="s">
        <v>1346</v>
      </c>
    </row>
    <row r="776" spans="1:5" hidden="1" x14ac:dyDescent="0.25">
      <c r="A776" s="9" t="s">
        <v>1345</v>
      </c>
      <c r="B776" s="10" t="s">
        <v>685</v>
      </c>
      <c r="C776" s="9" t="s">
        <v>686</v>
      </c>
      <c r="D776" s="15">
        <v>123.65</v>
      </c>
      <c r="E776" s="13" t="s">
        <v>1346</v>
      </c>
    </row>
    <row r="777" spans="1:5" hidden="1" x14ac:dyDescent="0.25">
      <c r="A777" s="9" t="s">
        <v>1345</v>
      </c>
      <c r="B777" s="10" t="s">
        <v>689</v>
      </c>
      <c r="C777" s="9" t="s">
        <v>690</v>
      </c>
      <c r="D777" s="15">
        <v>81.09</v>
      </c>
      <c r="E777" s="13" t="s">
        <v>1346</v>
      </c>
    </row>
    <row r="778" spans="1:5" hidden="1" x14ac:dyDescent="0.25">
      <c r="A778" s="9" t="s">
        <v>1345</v>
      </c>
      <c r="B778" s="10" t="s">
        <v>691</v>
      </c>
      <c r="C778" s="9" t="s">
        <v>692</v>
      </c>
      <c r="D778" s="15">
        <v>48.44</v>
      </c>
      <c r="E778" s="13" t="s">
        <v>1346</v>
      </c>
    </row>
    <row r="779" spans="1:5" hidden="1" x14ac:dyDescent="0.25">
      <c r="A779" s="9" t="s">
        <v>1345</v>
      </c>
      <c r="B779" s="10" t="s">
        <v>693</v>
      </c>
      <c r="C779" s="9" t="s">
        <v>694</v>
      </c>
      <c r="D779" s="15">
        <v>79.23</v>
      </c>
      <c r="E779" s="13" t="s">
        <v>1346</v>
      </c>
    </row>
    <row r="780" spans="1:5" hidden="1" x14ac:dyDescent="0.25">
      <c r="A780" s="9" t="s">
        <v>1345</v>
      </c>
      <c r="B780" s="10" t="s">
        <v>695</v>
      </c>
      <c r="C780" s="9" t="s">
        <v>696</v>
      </c>
      <c r="D780" s="15">
        <v>126.35</v>
      </c>
      <c r="E780" s="13" t="s">
        <v>1346</v>
      </c>
    </row>
    <row r="781" spans="1:5" hidden="1" x14ac:dyDescent="0.25">
      <c r="A781" s="9" t="s">
        <v>1345</v>
      </c>
      <c r="B781" s="10" t="s">
        <v>697</v>
      </c>
      <c r="C781" s="9" t="s">
        <v>698</v>
      </c>
      <c r="D781" s="15">
        <v>83.97</v>
      </c>
      <c r="E781" s="13" t="s">
        <v>1346</v>
      </c>
    </row>
    <row r="782" spans="1:5" hidden="1" x14ac:dyDescent="0.25">
      <c r="A782" s="9" t="s">
        <v>1345</v>
      </c>
      <c r="B782" s="10" t="s">
        <v>699</v>
      </c>
      <c r="C782" s="9" t="s">
        <v>700</v>
      </c>
      <c r="D782" s="15">
        <v>75.510000000000005</v>
      </c>
      <c r="E782" s="13" t="s">
        <v>1346</v>
      </c>
    </row>
    <row r="783" spans="1:5" hidden="1" x14ac:dyDescent="0.25">
      <c r="A783" s="9" t="s">
        <v>1345</v>
      </c>
      <c r="B783" s="10" t="s">
        <v>703</v>
      </c>
      <c r="C783" s="9" t="s">
        <v>704</v>
      </c>
      <c r="D783" s="15">
        <v>75.510000000000005</v>
      </c>
      <c r="E783" s="13" t="s">
        <v>1346</v>
      </c>
    </row>
    <row r="784" spans="1:5" hidden="1" x14ac:dyDescent="0.25">
      <c r="A784" s="9" t="s">
        <v>1345</v>
      </c>
      <c r="B784" s="10" t="s">
        <v>705</v>
      </c>
      <c r="C784" s="9" t="s">
        <v>706</v>
      </c>
      <c r="D784" s="15">
        <v>75.510000000000005</v>
      </c>
      <c r="E784" s="13" t="s">
        <v>1346</v>
      </c>
    </row>
    <row r="785" spans="1:5" hidden="1" x14ac:dyDescent="0.25">
      <c r="A785" s="9" t="s">
        <v>1345</v>
      </c>
      <c r="B785" s="10" t="s">
        <v>709</v>
      </c>
      <c r="C785" s="9" t="s">
        <v>710</v>
      </c>
      <c r="D785" s="15">
        <v>75.510000000000005</v>
      </c>
      <c r="E785" s="13" t="s">
        <v>1346</v>
      </c>
    </row>
    <row r="786" spans="1:5" hidden="1" x14ac:dyDescent="0.25">
      <c r="A786" s="9" t="s">
        <v>1345</v>
      </c>
      <c r="B786" s="10" t="s">
        <v>711</v>
      </c>
      <c r="C786" s="9" t="s">
        <v>712</v>
      </c>
      <c r="D786" s="15">
        <v>81.09</v>
      </c>
      <c r="E786" s="13" t="s">
        <v>1346</v>
      </c>
    </row>
    <row r="787" spans="1:5" hidden="1" x14ac:dyDescent="0.25">
      <c r="A787" s="9" t="s">
        <v>1345</v>
      </c>
      <c r="B787" s="10" t="s">
        <v>713</v>
      </c>
      <c r="C787" s="9" t="s">
        <v>714</v>
      </c>
      <c r="D787" s="15">
        <v>75.510000000000005</v>
      </c>
      <c r="E787" s="13" t="s">
        <v>1346</v>
      </c>
    </row>
    <row r="788" spans="1:5" hidden="1" x14ac:dyDescent="0.25">
      <c r="A788" s="9" t="s">
        <v>1345</v>
      </c>
      <c r="B788" s="10" t="s">
        <v>715</v>
      </c>
      <c r="C788" s="9" t="s">
        <v>716</v>
      </c>
      <c r="D788" s="15">
        <v>75.510000000000005</v>
      </c>
      <c r="E788" s="13" t="s">
        <v>1346</v>
      </c>
    </row>
    <row r="790" spans="1:5" hidden="1" x14ac:dyDescent="0.25">
      <c r="A790" s="9" t="s">
        <v>1345</v>
      </c>
      <c r="B790" s="10" t="s">
        <v>729</v>
      </c>
      <c r="C790" s="9" t="s">
        <v>730</v>
      </c>
      <c r="D790" s="15">
        <v>63.41</v>
      </c>
      <c r="E790" s="13" t="s">
        <v>1346</v>
      </c>
    </row>
    <row r="791" spans="1:5" hidden="1" x14ac:dyDescent="0.25">
      <c r="A791" s="9" t="s">
        <v>1345</v>
      </c>
      <c r="B791" s="10" t="s">
        <v>731</v>
      </c>
      <c r="C791" s="9" t="s">
        <v>732</v>
      </c>
      <c r="D791" s="15">
        <v>24.2</v>
      </c>
      <c r="E791" s="13" t="s">
        <v>1346</v>
      </c>
    </row>
    <row r="792" spans="1:5" hidden="1" x14ac:dyDescent="0.25">
      <c r="A792" s="9" t="s">
        <v>1345</v>
      </c>
      <c r="B792" s="10" t="s">
        <v>733</v>
      </c>
      <c r="C792" s="9" t="s">
        <v>734</v>
      </c>
      <c r="D792" s="15">
        <v>84.99</v>
      </c>
      <c r="E792" s="13" t="s">
        <v>1346</v>
      </c>
    </row>
    <row r="793" spans="1:5" hidden="1" x14ac:dyDescent="0.25">
      <c r="A793" s="9" t="s">
        <v>1345</v>
      </c>
      <c r="B793" s="10" t="s">
        <v>735</v>
      </c>
      <c r="C793" s="9" t="s">
        <v>736</v>
      </c>
      <c r="D793" s="15">
        <v>467.63</v>
      </c>
      <c r="E793" s="13" t="s">
        <v>1346</v>
      </c>
    </row>
    <row r="794" spans="1:5" hidden="1" x14ac:dyDescent="0.25">
      <c r="A794" s="9" t="s">
        <v>1345</v>
      </c>
      <c r="B794" s="10" t="s">
        <v>737</v>
      </c>
      <c r="C794" s="9" t="s">
        <v>738</v>
      </c>
      <c r="D794" s="15">
        <v>18.149999999999999</v>
      </c>
      <c r="E794" s="13" t="s">
        <v>1346</v>
      </c>
    </row>
    <row r="795" spans="1:5" hidden="1" x14ac:dyDescent="0.25">
      <c r="A795" s="9" t="s">
        <v>1345</v>
      </c>
      <c r="B795" s="10" t="s">
        <v>739</v>
      </c>
      <c r="C795" s="9" t="s">
        <v>740</v>
      </c>
      <c r="D795" s="15">
        <v>75.510000000000005</v>
      </c>
      <c r="E795" s="13" t="s">
        <v>1346</v>
      </c>
    </row>
    <row r="796" spans="1:5" hidden="1" x14ac:dyDescent="0.25">
      <c r="A796" s="9" t="s">
        <v>1345</v>
      </c>
      <c r="B796" s="10" t="s">
        <v>741</v>
      </c>
      <c r="C796" s="9" t="s">
        <v>742</v>
      </c>
      <c r="D796" s="15">
        <v>18.149999999999999</v>
      </c>
      <c r="E796" s="13" t="s">
        <v>1346</v>
      </c>
    </row>
    <row r="797" spans="1:5" hidden="1" x14ac:dyDescent="0.25">
      <c r="A797" s="9" t="s">
        <v>1345</v>
      </c>
      <c r="B797" s="10" t="s">
        <v>745</v>
      </c>
      <c r="C797" s="9" t="s">
        <v>746</v>
      </c>
      <c r="D797" s="15">
        <v>71.319999999999993</v>
      </c>
      <c r="E797" s="13" t="s">
        <v>1346</v>
      </c>
    </row>
    <row r="798" spans="1:5" hidden="1" x14ac:dyDescent="0.25">
      <c r="A798" s="9" t="s">
        <v>1345</v>
      </c>
      <c r="B798" s="10" t="s">
        <v>749</v>
      </c>
      <c r="C798" s="9" t="s">
        <v>750</v>
      </c>
      <c r="D798" s="15">
        <v>123.65</v>
      </c>
      <c r="E798" s="13" t="s">
        <v>1346</v>
      </c>
    </row>
    <row r="799" spans="1:5" hidden="1" x14ac:dyDescent="0.25">
      <c r="A799" s="9" t="s">
        <v>1345</v>
      </c>
      <c r="B799" s="10" t="s">
        <v>751</v>
      </c>
      <c r="C799" s="9" t="s">
        <v>752</v>
      </c>
      <c r="D799" s="15">
        <v>75.510000000000005</v>
      </c>
      <c r="E799" s="13" t="s">
        <v>1346</v>
      </c>
    </row>
    <row r="800" spans="1:5" hidden="1" x14ac:dyDescent="0.25">
      <c r="A800" s="9" t="s">
        <v>1345</v>
      </c>
      <c r="B800" s="10" t="s">
        <v>753</v>
      </c>
      <c r="C800" s="9" t="s">
        <v>754</v>
      </c>
      <c r="D800" s="15">
        <v>429.72</v>
      </c>
      <c r="E800" s="13" t="s">
        <v>1346</v>
      </c>
    </row>
    <row r="801" spans="1:5" hidden="1" x14ac:dyDescent="0.25">
      <c r="A801" s="9" t="s">
        <v>1345</v>
      </c>
      <c r="B801" s="10" t="s">
        <v>757</v>
      </c>
      <c r="C801" s="9" t="s">
        <v>758</v>
      </c>
      <c r="D801" s="15">
        <v>112.37</v>
      </c>
      <c r="E801" s="13" t="s">
        <v>1346</v>
      </c>
    </row>
    <row r="802" spans="1:5" hidden="1" x14ac:dyDescent="0.25">
      <c r="A802" s="9" t="s">
        <v>1345</v>
      </c>
      <c r="B802" s="10" t="s">
        <v>759</v>
      </c>
      <c r="C802" s="9" t="s">
        <v>760</v>
      </c>
      <c r="D802" s="15">
        <v>79.23</v>
      </c>
      <c r="E802" s="13" t="s">
        <v>1346</v>
      </c>
    </row>
    <row r="803" spans="1:5" hidden="1" x14ac:dyDescent="0.25">
      <c r="A803" s="9" t="s">
        <v>1345</v>
      </c>
      <c r="B803" s="10" t="s">
        <v>763</v>
      </c>
      <c r="C803" s="9" t="s">
        <v>764</v>
      </c>
      <c r="D803" s="15">
        <v>79.23</v>
      </c>
      <c r="E803" s="13" t="s">
        <v>1346</v>
      </c>
    </row>
    <row r="804" spans="1:5" hidden="1" x14ac:dyDescent="0.25">
      <c r="A804" s="9" t="s">
        <v>1345</v>
      </c>
      <c r="B804" s="10" t="s">
        <v>765</v>
      </c>
      <c r="C804" s="9" t="s">
        <v>766</v>
      </c>
      <c r="D804" s="15">
        <v>75.510000000000005</v>
      </c>
      <c r="E804" s="13" t="s">
        <v>1346</v>
      </c>
    </row>
    <row r="805" spans="1:5" hidden="1" x14ac:dyDescent="0.25">
      <c r="A805" s="9" t="s">
        <v>1345</v>
      </c>
      <c r="B805" s="10" t="s">
        <v>769</v>
      </c>
      <c r="C805" s="9" t="s">
        <v>770</v>
      </c>
      <c r="D805" s="15">
        <v>130.07</v>
      </c>
      <c r="E805" s="13" t="s">
        <v>1346</v>
      </c>
    </row>
    <row r="806" spans="1:5" hidden="1" x14ac:dyDescent="0.25">
      <c r="A806" s="9" t="s">
        <v>1345</v>
      </c>
      <c r="B806" s="10" t="s">
        <v>771</v>
      </c>
      <c r="C806" s="9" t="s">
        <v>772</v>
      </c>
      <c r="D806" s="15">
        <v>12.04</v>
      </c>
      <c r="E806" s="13" t="s">
        <v>1346</v>
      </c>
    </row>
    <row r="807" spans="1:5" hidden="1" x14ac:dyDescent="0.25">
      <c r="A807" s="9" t="s">
        <v>1345</v>
      </c>
      <c r="B807" s="10" t="s">
        <v>773</v>
      </c>
      <c r="C807" s="9" t="s">
        <v>774</v>
      </c>
      <c r="D807" s="15">
        <v>511.13</v>
      </c>
      <c r="E807" s="13" t="s">
        <v>1346</v>
      </c>
    </row>
    <row r="808" spans="1:5" hidden="1" x14ac:dyDescent="0.25">
      <c r="A808" s="9" t="s">
        <v>1345</v>
      </c>
      <c r="B808" s="10" t="s">
        <v>775</v>
      </c>
      <c r="C808" s="9" t="s">
        <v>776</v>
      </c>
      <c r="D808" s="15">
        <v>1021.58</v>
      </c>
      <c r="E808" s="13" t="s">
        <v>1346</v>
      </c>
    </row>
    <row r="809" spans="1:5" hidden="1" x14ac:dyDescent="0.25">
      <c r="A809" s="9" t="s">
        <v>1345</v>
      </c>
      <c r="B809" s="10" t="s">
        <v>781</v>
      </c>
      <c r="C809" s="9" t="s">
        <v>782</v>
      </c>
      <c r="D809" s="15">
        <v>65.27</v>
      </c>
      <c r="E809" s="13" t="s">
        <v>1346</v>
      </c>
    </row>
    <row r="810" spans="1:5" hidden="1" x14ac:dyDescent="0.25">
      <c r="A810" s="9" t="s">
        <v>1345</v>
      </c>
      <c r="B810" s="10" t="s">
        <v>785</v>
      </c>
      <c r="C810" s="9" t="s">
        <v>786</v>
      </c>
      <c r="D810" s="15">
        <v>75.510000000000005</v>
      </c>
      <c r="E810" s="13" t="s">
        <v>1346</v>
      </c>
    </row>
    <row r="811" spans="1:5" hidden="1" x14ac:dyDescent="0.25">
      <c r="A811" s="9" t="s">
        <v>1345</v>
      </c>
      <c r="B811" s="10" t="s">
        <v>789</v>
      </c>
      <c r="C811" s="9" t="s">
        <v>790</v>
      </c>
      <c r="D811" s="15">
        <v>166.9</v>
      </c>
      <c r="E811" s="13" t="s">
        <v>1346</v>
      </c>
    </row>
    <row r="812" spans="1:5" hidden="1" x14ac:dyDescent="0.25">
      <c r="A812" s="9" t="s">
        <v>1345</v>
      </c>
      <c r="B812" s="10" t="s">
        <v>791</v>
      </c>
      <c r="C812" s="9" t="s">
        <v>792</v>
      </c>
      <c r="D812" s="15">
        <v>72.89</v>
      </c>
      <c r="E812" s="13" t="s">
        <v>1346</v>
      </c>
    </row>
    <row r="813" spans="1:5" hidden="1" x14ac:dyDescent="0.25">
      <c r="A813" s="9" t="s">
        <v>1345</v>
      </c>
      <c r="B813" s="10" t="s">
        <v>793</v>
      </c>
      <c r="C813" s="9" t="s">
        <v>794</v>
      </c>
      <c r="D813" s="15">
        <v>81.09</v>
      </c>
      <c r="E813" s="13" t="s">
        <v>1346</v>
      </c>
    </row>
    <row r="814" spans="1:5" hidden="1" x14ac:dyDescent="0.25">
      <c r="A814" s="9" t="s">
        <v>1345</v>
      </c>
      <c r="B814" s="10" t="s">
        <v>795</v>
      </c>
      <c r="C814" s="9" t="s">
        <v>796</v>
      </c>
      <c r="D814" s="15">
        <v>6.05</v>
      </c>
      <c r="E814" s="13" t="s">
        <v>1346</v>
      </c>
    </row>
    <row r="815" spans="1:5" hidden="1" x14ac:dyDescent="0.25">
      <c r="A815" s="9" t="s">
        <v>1345</v>
      </c>
      <c r="B815" s="10" t="s">
        <v>797</v>
      </c>
      <c r="C815" s="9" t="s">
        <v>798</v>
      </c>
      <c r="D815" s="15">
        <v>18.149999999999999</v>
      </c>
      <c r="E815" s="13" t="s">
        <v>1346</v>
      </c>
    </row>
    <row r="816" spans="1:5" hidden="1" x14ac:dyDescent="0.25">
      <c r="A816" s="9" t="s">
        <v>1345</v>
      </c>
      <c r="B816" s="10" t="s">
        <v>801</v>
      </c>
      <c r="C816" s="9" t="s">
        <v>802</v>
      </c>
      <c r="D816" s="15">
        <v>584.19000000000005</v>
      </c>
      <c r="E816" s="13" t="s">
        <v>1346</v>
      </c>
    </row>
    <row r="817" spans="1:5" hidden="1" x14ac:dyDescent="0.25">
      <c r="A817" s="9" t="s">
        <v>1345</v>
      </c>
      <c r="B817" s="10" t="s">
        <v>803</v>
      </c>
      <c r="C817" s="9" t="s">
        <v>804</v>
      </c>
      <c r="D817" s="15">
        <v>75.510000000000005</v>
      </c>
      <c r="E817" s="13" t="s">
        <v>1346</v>
      </c>
    </row>
    <row r="818" spans="1:5" hidden="1" x14ac:dyDescent="0.25">
      <c r="A818" s="9" t="s">
        <v>1345</v>
      </c>
      <c r="B818" s="10" t="s">
        <v>805</v>
      </c>
      <c r="C818" s="9" t="s">
        <v>806</v>
      </c>
      <c r="D818" s="15">
        <v>181.34</v>
      </c>
      <c r="E818" s="13" t="s">
        <v>1346</v>
      </c>
    </row>
    <row r="819" spans="1:5" hidden="1" x14ac:dyDescent="0.25">
      <c r="A819" s="9" t="s">
        <v>1345</v>
      </c>
      <c r="B819" s="10" t="s">
        <v>809</v>
      </c>
      <c r="C819" s="9" t="s">
        <v>810</v>
      </c>
      <c r="D819" s="15">
        <v>476.04</v>
      </c>
      <c r="E819" s="13" t="s">
        <v>1346</v>
      </c>
    </row>
    <row r="820" spans="1:5" hidden="1" x14ac:dyDescent="0.25">
      <c r="A820" s="9" t="s">
        <v>1345</v>
      </c>
      <c r="B820" s="10" t="s">
        <v>813</v>
      </c>
      <c r="C820" s="9" t="s">
        <v>814</v>
      </c>
      <c r="D820" s="15">
        <v>81.09</v>
      </c>
      <c r="E820" s="13" t="s">
        <v>1346</v>
      </c>
    </row>
    <row r="821" spans="1:5" hidden="1" x14ac:dyDescent="0.25">
      <c r="A821" s="9" t="s">
        <v>1345</v>
      </c>
      <c r="B821" s="10" t="s">
        <v>815</v>
      </c>
      <c r="C821" s="9" t="s">
        <v>816</v>
      </c>
      <c r="D821" s="15">
        <v>77.37</v>
      </c>
      <c r="E821" s="13" t="s">
        <v>1346</v>
      </c>
    </row>
    <row r="822" spans="1:5" hidden="1" x14ac:dyDescent="0.25">
      <c r="A822" s="9" t="s">
        <v>1345</v>
      </c>
      <c r="B822" s="10" t="s">
        <v>817</v>
      </c>
      <c r="C822" s="9" t="s">
        <v>818</v>
      </c>
      <c r="D822" s="15">
        <v>12.14</v>
      </c>
      <c r="E822" s="13" t="s">
        <v>1346</v>
      </c>
    </row>
    <row r="823" spans="1:5" hidden="1" x14ac:dyDescent="0.25">
      <c r="A823" s="9" t="s">
        <v>1345</v>
      </c>
      <c r="B823" s="10" t="s">
        <v>821</v>
      </c>
      <c r="C823" s="9" t="s">
        <v>822</v>
      </c>
      <c r="D823" s="15">
        <v>18.149999999999999</v>
      </c>
      <c r="E823" s="13" t="s">
        <v>1346</v>
      </c>
    </row>
    <row r="824" spans="1:5" hidden="1" x14ac:dyDescent="0.25">
      <c r="A824" s="9" t="s">
        <v>1345</v>
      </c>
      <c r="B824" s="10" t="s">
        <v>823</v>
      </c>
      <c r="C824" s="9" t="s">
        <v>824</v>
      </c>
      <c r="D824" s="15">
        <v>98.65</v>
      </c>
      <c r="E824" s="13" t="s">
        <v>1346</v>
      </c>
    </row>
    <row r="825" spans="1:5" hidden="1" x14ac:dyDescent="0.25">
      <c r="A825" s="9" t="s">
        <v>1345</v>
      </c>
      <c r="B825" s="10" t="s">
        <v>825</v>
      </c>
      <c r="C825" s="9" t="s">
        <v>826</v>
      </c>
      <c r="D825" s="15">
        <v>77.37</v>
      </c>
      <c r="E825" s="13" t="s">
        <v>1346</v>
      </c>
    </row>
    <row r="826" spans="1:5" hidden="1" x14ac:dyDescent="0.25">
      <c r="A826" s="9" t="s">
        <v>1345</v>
      </c>
      <c r="B826" s="10" t="s">
        <v>827</v>
      </c>
      <c r="C826" s="9" t="s">
        <v>828</v>
      </c>
      <c r="D826" s="15">
        <v>118</v>
      </c>
      <c r="E826" s="13" t="s">
        <v>1346</v>
      </c>
    </row>
    <row r="827" spans="1:5" hidden="1" x14ac:dyDescent="0.25">
      <c r="A827" s="9" t="s">
        <v>1345</v>
      </c>
      <c r="B827" s="10" t="s">
        <v>833</v>
      </c>
      <c r="C827" s="9" t="s">
        <v>834</v>
      </c>
      <c r="D827" s="15">
        <v>79.23</v>
      </c>
      <c r="E827" s="13" t="s">
        <v>1346</v>
      </c>
    </row>
    <row r="828" spans="1:5" hidden="1" x14ac:dyDescent="0.25">
      <c r="A828" s="9" t="s">
        <v>1345</v>
      </c>
      <c r="B828" s="10" t="s">
        <v>835</v>
      </c>
      <c r="C828" s="9" t="s">
        <v>836</v>
      </c>
      <c r="D828" s="15">
        <v>849.06</v>
      </c>
      <c r="E828" s="13" t="s">
        <v>1346</v>
      </c>
    </row>
    <row r="829" spans="1:5" hidden="1" x14ac:dyDescent="0.25">
      <c r="A829" s="9" t="s">
        <v>1345</v>
      </c>
      <c r="B829" s="10" t="s">
        <v>837</v>
      </c>
      <c r="C829" s="9" t="s">
        <v>838</v>
      </c>
      <c r="D829" s="15">
        <v>18.149999999999999</v>
      </c>
      <c r="E829" s="13" t="s">
        <v>1346</v>
      </c>
    </row>
    <row r="830" spans="1:5" hidden="1" x14ac:dyDescent="0.25">
      <c r="A830" s="9" t="s">
        <v>1345</v>
      </c>
      <c r="B830" s="10" t="s">
        <v>839</v>
      </c>
      <c r="C830" s="9" t="s">
        <v>840</v>
      </c>
      <c r="D830" s="15">
        <v>18.149999999999999</v>
      </c>
      <c r="E830" s="13" t="s">
        <v>1346</v>
      </c>
    </row>
    <row r="831" spans="1:5" hidden="1" x14ac:dyDescent="0.25">
      <c r="A831" s="9" t="s">
        <v>1345</v>
      </c>
      <c r="B831" s="10" t="s">
        <v>841</v>
      </c>
      <c r="C831" s="9" t="s">
        <v>842</v>
      </c>
      <c r="D831" s="15">
        <v>75.510000000000005</v>
      </c>
      <c r="E831" s="13" t="s">
        <v>1346</v>
      </c>
    </row>
    <row r="832" spans="1:5" hidden="1" x14ac:dyDescent="0.25">
      <c r="A832" s="9" t="s">
        <v>1345</v>
      </c>
      <c r="B832" s="10" t="s">
        <v>845</v>
      </c>
      <c r="C832" s="9" t="s">
        <v>846</v>
      </c>
      <c r="D832" s="15">
        <v>22.86</v>
      </c>
      <c r="E832" s="13" t="s">
        <v>1346</v>
      </c>
    </row>
    <row r="833" spans="1:5" hidden="1" x14ac:dyDescent="0.25">
      <c r="A833" s="9" t="s">
        <v>1345</v>
      </c>
      <c r="B833" s="10" t="s">
        <v>847</v>
      </c>
      <c r="C833" s="9" t="s">
        <v>848</v>
      </c>
      <c r="D833" s="15">
        <v>18.149999999999999</v>
      </c>
      <c r="E833" s="13" t="s">
        <v>1346</v>
      </c>
    </row>
    <row r="834" spans="1:5" hidden="1" x14ac:dyDescent="0.25">
      <c r="A834" s="9" t="s">
        <v>1345</v>
      </c>
      <c r="B834" s="10" t="s">
        <v>849</v>
      </c>
      <c r="C834" s="9" t="s">
        <v>850</v>
      </c>
      <c r="D834" s="15">
        <v>319.33999999999997</v>
      </c>
      <c r="E834" s="13" t="s">
        <v>1346</v>
      </c>
    </row>
    <row r="836" spans="1:5" hidden="1" x14ac:dyDescent="0.25">
      <c r="A836" s="9" t="s">
        <v>1345</v>
      </c>
      <c r="B836" s="10" t="s">
        <v>859</v>
      </c>
      <c r="C836" s="9" t="s">
        <v>860</v>
      </c>
      <c r="D836" s="15">
        <v>83.45</v>
      </c>
      <c r="E836" s="13" t="s">
        <v>1346</v>
      </c>
    </row>
    <row r="837" spans="1:5" hidden="1" x14ac:dyDescent="0.25">
      <c r="A837" s="9" t="s">
        <v>1345</v>
      </c>
      <c r="B837" s="10" t="s">
        <v>863</v>
      </c>
      <c r="C837" s="9" t="s">
        <v>864</v>
      </c>
      <c r="D837" s="15">
        <v>75.510000000000005</v>
      </c>
      <c r="E837" s="13" t="s">
        <v>1346</v>
      </c>
    </row>
    <row r="838" spans="1:5" hidden="1" x14ac:dyDescent="0.25">
      <c r="A838" s="9" t="s">
        <v>1345</v>
      </c>
      <c r="B838" s="10" t="s">
        <v>865</v>
      </c>
      <c r="C838" s="9" t="s">
        <v>866</v>
      </c>
      <c r="D838" s="15">
        <v>66.650000000000006</v>
      </c>
      <c r="E838" s="13" t="s">
        <v>1346</v>
      </c>
    </row>
    <row r="839" spans="1:5" hidden="1" x14ac:dyDescent="0.25">
      <c r="A839" s="9" t="s">
        <v>1345</v>
      </c>
      <c r="B839" s="10" t="s">
        <v>867</v>
      </c>
      <c r="C839" s="9" t="s">
        <v>868</v>
      </c>
      <c r="D839" s="15">
        <v>75.510000000000005</v>
      </c>
      <c r="E839" s="13" t="s">
        <v>1346</v>
      </c>
    </row>
    <row r="840" spans="1:5" hidden="1" x14ac:dyDescent="0.25">
      <c r="A840" s="9" t="s">
        <v>1345</v>
      </c>
      <c r="B840" s="10" t="s">
        <v>871</v>
      </c>
      <c r="C840" s="9" t="s">
        <v>872</v>
      </c>
      <c r="D840" s="15">
        <v>81.09</v>
      </c>
      <c r="E840" s="13" t="s">
        <v>1346</v>
      </c>
    </row>
    <row r="841" spans="1:5" hidden="1" x14ac:dyDescent="0.25">
      <c r="A841" s="9" t="s">
        <v>1345</v>
      </c>
      <c r="B841" s="10" t="s">
        <v>873</v>
      </c>
      <c r="C841" s="9" t="s">
        <v>874</v>
      </c>
      <c r="D841" s="15">
        <v>79.23</v>
      </c>
      <c r="E841" s="13" t="s">
        <v>1346</v>
      </c>
    </row>
    <row r="842" spans="1:5" hidden="1" x14ac:dyDescent="0.25">
      <c r="A842" s="9" t="s">
        <v>1345</v>
      </c>
      <c r="B842" s="10" t="s">
        <v>875</v>
      </c>
      <c r="C842" s="9" t="s">
        <v>876</v>
      </c>
      <c r="D842" s="15">
        <v>73.180000000000007</v>
      </c>
      <c r="E842" s="13" t="s">
        <v>1346</v>
      </c>
    </row>
    <row r="843" spans="1:5" hidden="1" x14ac:dyDescent="0.25">
      <c r="A843" s="9" t="s">
        <v>1345</v>
      </c>
      <c r="B843" s="10" t="s">
        <v>877</v>
      </c>
      <c r="C843" s="9" t="s">
        <v>878</v>
      </c>
      <c r="D843" s="15">
        <v>81.09</v>
      </c>
      <c r="E843" s="13" t="s">
        <v>1346</v>
      </c>
    </row>
    <row r="844" spans="1:5" hidden="1" x14ac:dyDescent="0.25">
      <c r="A844" s="9" t="s">
        <v>1345</v>
      </c>
      <c r="B844" s="10" t="s">
        <v>881</v>
      </c>
      <c r="C844" s="9" t="s">
        <v>882</v>
      </c>
      <c r="D844" s="15">
        <v>81.09</v>
      </c>
      <c r="E844" s="13" t="s">
        <v>1346</v>
      </c>
    </row>
    <row r="845" spans="1:5" hidden="1" x14ac:dyDescent="0.25">
      <c r="A845" s="9" t="s">
        <v>1345</v>
      </c>
      <c r="B845" s="10" t="s">
        <v>883</v>
      </c>
      <c r="C845" s="9" t="s">
        <v>884</v>
      </c>
      <c r="D845" s="15">
        <v>75.510000000000005</v>
      </c>
      <c r="E845" s="13" t="s">
        <v>1346</v>
      </c>
    </row>
    <row r="846" spans="1:5" hidden="1" x14ac:dyDescent="0.25">
      <c r="A846" s="9" t="s">
        <v>1345</v>
      </c>
      <c r="B846" s="10" t="s">
        <v>885</v>
      </c>
      <c r="C846" s="9" t="s">
        <v>886</v>
      </c>
      <c r="D846" s="15">
        <v>75.510000000000005</v>
      </c>
      <c r="E846" s="13" t="s">
        <v>1346</v>
      </c>
    </row>
    <row r="847" spans="1:5" hidden="1" x14ac:dyDescent="0.25">
      <c r="A847" s="9" t="s">
        <v>1345</v>
      </c>
      <c r="B847" s="10" t="s">
        <v>887</v>
      </c>
      <c r="C847" s="9" t="s">
        <v>888</v>
      </c>
      <c r="D847" s="15">
        <v>1016</v>
      </c>
      <c r="E847" s="13" t="s">
        <v>1346</v>
      </c>
    </row>
    <row r="848" spans="1:5" hidden="1" x14ac:dyDescent="0.25">
      <c r="A848" s="9" t="s">
        <v>1345</v>
      </c>
      <c r="B848" s="10" t="s">
        <v>889</v>
      </c>
      <c r="C848" s="9" t="s">
        <v>890</v>
      </c>
      <c r="D848" s="15">
        <v>81.09</v>
      </c>
      <c r="E848" s="13" t="s">
        <v>1346</v>
      </c>
    </row>
    <row r="849" spans="1:5" hidden="1" x14ac:dyDescent="0.25">
      <c r="A849" s="9" t="s">
        <v>1345</v>
      </c>
      <c r="B849" s="10" t="s">
        <v>891</v>
      </c>
      <c r="C849" s="9" t="s">
        <v>892</v>
      </c>
      <c r="D849" s="15">
        <v>81.09</v>
      </c>
      <c r="E849" s="13" t="s">
        <v>1346</v>
      </c>
    </row>
    <row r="850" spans="1:5" hidden="1" x14ac:dyDescent="0.25">
      <c r="A850" s="9" t="s">
        <v>1345</v>
      </c>
      <c r="B850" s="10" t="s">
        <v>895</v>
      </c>
      <c r="C850" s="9" t="s">
        <v>896</v>
      </c>
      <c r="D850" s="15">
        <v>77.37</v>
      </c>
      <c r="E850" s="13" t="s">
        <v>1346</v>
      </c>
    </row>
    <row r="851" spans="1:5" hidden="1" x14ac:dyDescent="0.25">
      <c r="A851" s="9" t="s">
        <v>1345</v>
      </c>
      <c r="B851" s="10" t="s">
        <v>901</v>
      </c>
      <c r="C851" s="9" t="s">
        <v>902</v>
      </c>
      <c r="D851" s="15">
        <v>54.51</v>
      </c>
      <c r="E851" s="13" t="s">
        <v>1346</v>
      </c>
    </row>
    <row r="852" spans="1:5" hidden="1" x14ac:dyDescent="0.25">
      <c r="A852" s="9" t="s">
        <v>1345</v>
      </c>
      <c r="B852" s="10" t="s">
        <v>905</v>
      </c>
      <c r="C852" s="9" t="s">
        <v>906</v>
      </c>
      <c r="D852" s="15">
        <v>31.64</v>
      </c>
      <c r="E852" s="13" t="s">
        <v>1346</v>
      </c>
    </row>
    <row r="853" spans="1:5" hidden="1" x14ac:dyDescent="0.25">
      <c r="A853" s="9" t="s">
        <v>1345</v>
      </c>
      <c r="B853" s="10" t="s">
        <v>907</v>
      </c>
      <c r="C853" s="9" t="s">
        <v>908</v>
      </c>
      <c r="D853" s="15">
        <v>18.149999999999999</v>
      </c>
      <c r="E853" s="13" t="s">
        <v>1346</v>
      </c>
    </row>
    <row r="854" spans="1:5" hidden="1" x14ac:dyDescent="0.25">
      <c r="A854" s="9" t="s">
        <v>1345</v>
      </c>
      <c r="B854" s="10" t="s">
        <v>917</v>
      </c>
      <c r="C854" s="9" t="s">
        <v>918</v>
      </c>
      <c r="D854" s="15">
        <v>75.510000000000005</v>
      </c>
      <c r="E854" s="13" t="s">
        <v>1346</v>
      </c>
    </row>
    <row r="855" spans="1:5" hidden="1" x14ac:dyDescent="0.25">
      <c r="A855" s="9" t="s">
        <v>1345</v>
      </c>
      <c r="B855" s="10" t="s">
        <v>919</v>
      </c>
      <c r="C855" s="9" t="s">
        <v>920</v>
      </c>
      <c r="D855" s="15">
        <v>81.09</v>
      </c>
      <c r="E855" s="13" t="s">
        <v>1346</v>
      </c>
    </row>
    <row r="856" spans="1:5" hidden="1" x14ac:dyDescent="0.25">
      <c r="A856" s="9" t="s">
        <v>1345</v>
      </c>
      <c r="B856" s="10" t="s">
        <v>921</v>
      </c>
      <c r="C856" s="9" t="s">
        <v>922</v>
      </c>
      <c r="D856" s="15">
        <v>61.95</v>
      </c>
      <c r="E856" s="13" t="s">
        <v>1346</v>
      </c>
    </row>
    <row r="857" spans="1:5" hidden="1" x14ac:dyDescent="0.25">
      <c r="A857" s="9" t="s">
        <v>1345</v>
      </c>
      <c r="B857" s="10" t="s">
        <v>923</v>
      </c>
      <c r="C857" s="9" t="s">
        <v>924</v>
      </c>
      <c r="D857" s="15">
        <v>150.85</v>
      </c>
      <c r="E857" s="13" t="s">
        <v>1346</v>
      </c>
    </row>
    <row r="858" spans="1:5" hidden="1" x14ac:dyDescent="0.25">
      <c r="A858" s="9" t="s">
        <v>1345</v>
      </c>
      <c r="B858" s="10" t="s">
        <v>925</v>
      </c>
      <c r="C858" s="9" t="s">
        <v>926</v>
      </c>
      <c r="D858" s="15">
        <v>30.25</v>
      </c>
      <c r="E858" s="13" t="s">
        <v>1346</v>
      </c>
    </row>
    <row r="859" spans="1:5" hidden="1" x14ac:dyDescent="0.25">
      <c r="A859" s="9" t="s">
        <v>1345</v>
      </c>
      <c r="B859" s="10" t="s">
        <v>931</v>
      </c>
      <c r="C859" s="9" t="s">
        <v>932</v>
      </c>
      <c r="D859" s="15">
        <v>79.23</v>
      </c>
      <c r="E859" s="13" t="s">
        <v>1346</v>
      </c>
    </row>
    <row r="860" spans="1:5" hidden="1" x14ac:dyDescent="0.25">
      <c r="A860" s="9" t="s">
        <v>1345</v>
      </c>
      <c r="B860" s="10" t="s">
        <v>935</v>
      </c>
      <c r="C860" s="9" t="s">
        <v>936</v>
      </c>
      <c r="D860" s="15">
        <v>79.23</v>
      </c>
      <c r="E860" s="13" t="s">
        <v>1346</v>
      </c>
    </row>
    <row r="861" spans="1:5" hidden="1" x14ac:dyDescent="0.25">
      <c r="A861" s="9" t="s">
        <v>1345</v>
      </c>
      <c r="B861" s="10" t="s">
        <v>937</v>
      </c>
      <c r="C861" s="9" t="s">
        <v>938</v>
      </c>
      <c r="D861" s="15">
        <v>84.99</v>
      </c>
      <c r="E861" s="13" t="s">
        <v>1346</v>
      </c>
    </row>
    <row r="862" spans="1:5" hidden="1" x14ac:dyDescent="0.25">
      <c r="A862" s="9" t="s">
        <v>1345</v>
      </c>
      <c r="B862" s="10" t="s">
        <v>939</v>
      </c>
      <c r="C862" s="9" t="s">
        <v>940</v>
      </c>
      <c r="D862" s="15">
        <v>77.37</v>
      </c>
      <c r="E862" s="13" t="s">
        <v>1346</v>
      </c>
    </row>
    <row r="863" spans="1:5" hidden="1" x14ac:dyDescent="0.25">
      <c r="A863" s="9" t="s">
        <v>1345</v>
      </c>
      <c r="B863" s="10" t="s">
        <v>941</v>
      </c>
      <c r="C863" s="9" t="s">
        <v>942</v>
      </c>
      <c r="D863" s="15">
        <v>74.58</v>
      </c>
      <c r="E863" s="13" t="s">
        <v>1346</v>
      </c>
    </row>
    <row r="864" spans="1:5" hidden="1" x14ac:dyDescent="0.25">
      <c r="A864" s="9" t="s">
        <v>1345</v>
      </c>
      <c r="B864" s="10" t="s">
        <v>943</v>
      </c>
      <c r="C864" s="9" t="s">
        <v>944</v>
      </c>
      <c r="D864" s="15">
        <v>75.510000000000005</v>
      </c>
      <c r="E864" s="13" t="s">
        <v>1346</v>
      </c>
    </row>
    <row r="865" spans="1:5" hidden="1" x14ac:dyDescent="0.25">
      <c r="A865" s="9" t="s">
        <v>1345</v>
      </c>
      <c r="B865" s="10" t="s">
        <v>945</v>
      </c>
      <c r="C865" s="9" t="s">
        <v>946</v>
      </c>
      <c r="D865" s="15">
        <v>18.149999999999999</v>
      </c>
      <c r="E865" s="13" t="s">
        <v>1346</v>
      </c>
    </row>
    <row r="866" spans="1:5" hidden="1" x14ac:dyDescent="0.25">
      <c r="A866" s="9" t="s">
        <v>1345</v>
      </c>
      <c r="B866" s="10" t="s">
        <v>947</v>
      </c>
      <c r="C866" s="9" t="s">
        <v>948</v>
      </c>
      <c r="D866" s="15">
        <v>12.1</v>
      </c>
      <c r="E866" s="13" t="s">
        <v>1346</v>
      </c>
    </row>
    <row r="867" spans="1:5" hidden="1" x14ac:dyDescent="0.25">
      <c r="A867" s="9" t="s">
        <v>1345</v>
      </c>
      <c r="B867" s="10" t="s">
        <v>951</v>
      </c>
      <c r="C867" s="9" t="s">
        <v>952</v>
      </c>
      <c r="D867" s="15">
        <v>77.37</v>
      </c>
      <c r="E867" s="13" t="s">
        <v>1346</v>
      </c>
    </row>
    <row r="868" spans="1:5" hidden="1" x14ac:dyDescent="0.25">
      <c r="A868" s="9" t="s">
        <v>1345</v>
      </c>
      <c r="B868" s="10" t="s">
        <v>953</v>
      </c>
      <c r="C868" s="9" t="s">
        <v>954</v>
      </c>
      <c r="D868" s="15">
        <v>75.510000000000005</v>
      </c>
      <c r="E868" s="13" t="s">
        <v>1346</v>
      </c>
    </row>
    <row r="869" spans="1:5" hidden="1" x14ac:dyDescent="0.25">
      <c r="A869" s="9" t="s">
        <v>1345</v>
      </c>
      <c r="B869" s="10" t="s">
        <v>955</v>
      </c>
      <c r="C869" s="9" t="s">
        <v>956</v>
      </c>
      <c r="D869" s="15">
        <v>762.51</v>
      </c>
      <c r="E869" s="13" t="s">
        <v>1346</v>
      </c>
    </row>
    <row r="870" spans="1:5" hidden="1" x14ac:dyDescent="0.25">
      <c r="A870" s="9" t="s">
        <v>1345</v>
      </c>
      <c r="B870" s="10" t="s">
        <v>957</v>
      </c>
      <c r="C870" s="9" t="s">
        <v>958</v>
      </c>
      <c r="D870" s="15">
        <v>79.23</v>
      </c>
      <c r="E870" s="13" t="s">
        <v>1346</v>
      </c>
    </row>
    <row r="871" spans="1:5" hidden="1" x14ac:dyDescent="0.25">
      <c r="A871" s="9" t="s">
        <v>1345</v>
      </c>
      <c r="B871" s="10" t="s">
        <v>959</v>
      </c>
      <c r="C871" s="9" t="s">
        <v>960</v>
      </c>
      <c r="D871" s="15">
        <v>235.89</v>
      </c>
      <c r="E871" s="13" t="s">
        <v>1346</v>
      </c>
    </row>
    <row r="872" spans="1:5" hidden="1" x14ac:dyDescent="0.25">
      <c r="A872" s="9" t="s">
        <v>1345</v>
      </c>
      <c r="B872" s="10" t="s">
        <v>961</v>
      </c>
      <c r="C872" s="9" t="s">
        <v>962</v>
      </c>
      <c r="D872" s="15">
        <v>75.510000000000005</v>
      </c>
      <c r="E872" s="13" t="s">
        <v>1346</v>
      </c>
    </row>
    <row r="873" spans="1:5" hidden="1" x14ac:dyDescent="0.25">
      <c r="A873" s="9" t="s">
        <v>1345</v>
      </c>
      <c r="B873" s="10" t="s">
        <v>963</v>
      </c>
      <c r="C873" s="9" t="s">
        <v>964</v>
      </c>
      <c r="D873" s="15">
        <v>471.35</v>
      </c>
      <c r="E873" s="13" t="s">
        <v>1346</v>
      </c>
    </row>
    <row r="874" spans="1:5" hidden="1" x14ac:dyDescent="0.25">
      <c r="A874" s="9" t="s">
        <v>1345</v>
      </c>
      <c r="B874" s="10" t="s">
        <v>967</v>
      </c>
      <c r="C874" s="9" t="s">
        <v>968</v>
      </c>
      <c r="D874" s="15">
        <v>77.37</v>
      </c>
      <c r="E874" s="13" t="s">
        <v>1346</v>
      </c>
    </row>
    <row r="875" spans="1:5" hidden="1" x14ac:dyDescent="0.25">
      <c r="A875" s="9" t="s">
        <v>1345</v>
      </c>
      <c r="B875" s="10" t="s">
        <v>975</v>
      </c>
      <c r="C875" s="9" t="s">
        <v>976</v>
      </c>
      <c r="D875" s="15">
        <v>469.49</v>
      </c>
      <c r="E875" s="13" t="s">
        <v>1346</v>
      </c>
    </row>
    <row r="876" spans="1:5" hidden="1" x14ac:dyDescent="0.25">
      <c r="A876" s="9" t="s">
        <v>1345</v>
      </c>
      <c r="B876" s="10" t="s">
        <v>979</v>
      </c>
      <c r="C876" s="9" t="s">
        <v>980</v>
      </c>
      <c r="D876" s="15">
        <v>75.510000000000005</v>
      </c>
      <c r="E876" s="13" t="s">
        <v>1346</v>
      </c>
    </row>
    <row r="877" spans="1:5" hidden="1" x14ac:dyDescent="0.25">
      <c r="A877" s="9" t="s">
        <v>1345</v>
      </c>
      <c r="B877" s="10" t="s">
        <v>983</v>
      </c>
      <c r="C877" s="9" t="s">
        <v>984</v>
      </c>
      <c r="D877" s="15">
        <v>850.96</v>
      </c>
      <c r="E877" s="13" t="s">
        <v>1346</v>
      </c>
    </row>
    <row r="878" spans="1:5" hidden="1" x14ac:dyDescent="0.25">
      <c r="A878" s="9" t="s">
        <v>1345</v>
      </c>
      <c r="B878" s="10" t="s">
        <v>987</v>
      </c>
      <c r="C878" s="9" t="s">
        <v>988</v>
      </c>
      <c r="D878" s="15">
        <v>75.510000000000005</v>
      </c>
      <c r="E878" s="13" t="s">
        <v>1346</v>
      </c>
    </row>
    <row r="879" spans="1:5" hidden="1" x14ac:dyDescent="0.25">
      <c r="A879" s="9" t="s">
        <v>1345</v>
      </c>
      <c r="B879" s="10" t="s">
        <v>989</v>
      </c>
      <c r="C879" s="9" t="s">
        <v>990</v>
      </c>
      <c r="D879" s="15">
        <v>77.37</v>
      </c>
      <c r="E879" s="13" t="s">
        <v>1346</v>
      </c>
    </row>
    <row r="880" spans="1:5" hidden="1" x14ac:dyDescent="0.25">
      <c r="A880" s="9" t="s">
        <v>1345</v>
      </c>
      <c r="B880" s="10" t="s">
        <v>991</v>
      </c>
      <c r="C880" s="9" t="s">
        <v>992</v>
      </c>
      <c r="D880" s="15">
        <v>41.82</v>
      </c>
      <c r="E880" s="13" t="s">
        <v>1346</v>
      </c>
    </row>
    <row r="881" spans="1:5" hidden="1" x14ac:dyDescent="0.25">
      <c r="A881" s="9" t="s">
        <v>1345</v>
      </c>
      <c r="B881" s="10" t="s">
        <v>999</v>
      </c>
      <c r="C881" s="9" t="s">
        <v>1000</v>
      </c>
      <c r="D881" s="15">
        <v>81.09</v>
      </c>
      <c r="E881" s="13" t="s">
        <v>1346</v>
      </c>
    </row>
    <row r="882" spans="1:5" hidden="1" x14ac:dyDescent="0.25">
      <c r="A882" s="9" t="s">
        <v>1345</v>
      </c>
      <c r="B882" s="10" t="s">
        <v>1005</v>
      </c>
      <c r="C882" s="9" t="s">
        <v>1006</v>
      </c>
      <c r="D882" s="15">
        <v>75.510000000000005</v>
      </c>
      <c r="E882" s="13" t="s">
        <v>1346</v>
      </c>
    </row>
    <row r="883" spans="1:5" hidden="1" x14ac:dyDescent="0.25">
      <c r="A883" s="9" t="s">
        <v>1345</v>
      </c>
      <c r="B883" s="10" t="s">
        <v>1007</v>
      </c>
      <c r="C883" s="9" t="s">
        <v>1008</v>
      </c>
      <c r="D883" s="15">
        <v>48.98</v>
      </c>
      <c r="E883" s="13" t="s">
        <v>1346</v>
      </c>
    </row>
    <row r="884" spans="1:5" hidden="1" x14ac:dyDescent="0.25">
      <c r="A884" s="9" t="s">
        <v>1345</v>
      </c>
      <c r="B884" s="10" t="s">
        <v>1009</v>
      </c>
      <c r="C884" s="9" t="s">
        <v>1010</v>
      </c>
      <c r="D884" s="15">
        <v>83.45</v>
      </c>
      <c r="E884" s="13" t="s">
        <v>1346</v>
      </c>
    </row>
    <row r="885" spans="1:5" hidden="1" x14ac:dyDescent="0.25">
      <c r="A885" s="9" t="s">
        <v>1345</v>
      </c>
      <c r="B885" s="10" t="s">
        <v>1011</v>
      </c>
      <c r="C885" s="9" t="s">
        <v>1012</v>
      </c>
      <c r="D885" s="15">
        <v>77.37</v>
      </c>
      <c r="E885" s="13" t="s">
        <v>1346</v>
      </c>
    </row>
    <row r="886" spans="1:5" hidden="1" x14ac:dyDescent="0.25">
      <c r="A886" s="9" t="s">
        <v>1345</v>
      </c>
      <c r="B886" s="10" t="s">
        <v>1015</v>
      </c>
      <c r="C886" s="9" t="s">
        <v>1016</v>
      </c>
      <c r="D886" s="15">
        <v>75.510000000000005</v>
      </c>
      <c r="E886" s="13" t="s">
        <v>1346</v>
      </c>
    </row>
    <row r="887" spans="1:5" hidden="1" x14ac:dyDescent="0.25">
      <c r="A887" s="9" t="s">
        <v>1345</v>
      </c>
      <c r="B887" s="10" t="s">
        <v>1017</v>
      </c>
      <c r="C887" s="9" t="s">
        <v>1018</v>
      </c>
      <c r="D887" s="15">
        <v>54.51</v>
      </c>
      <c r="E887" s="13" t="s">
        <v>1346</v>
      </c>
    </row>
    <row r="888" spans="1:5" hidden="1" x14ac:dyDescent="0.25">
      <c r="A888" s="9" t="s">
        <v>1345</v>
      </c>
      <c r="B888" s="10" t="s">
        <v>1019</v>
      </c>
      <c r="C888" s="9" t="s">
        <v>1020</v>
      </c>
      <c r="D888" s="15">
        <v>77.37</v>
      </c>
      <c r="E888" s="13" t="s">
        <v>1346</v>
      </c>
    </row>
    <row r="889" spans="1:5" hidden="1" x14ac:dyDescent="0.25">
      <c r="A889" s="9" t="s">
        <v>1345</v>
      </c>
      <c r="B889" s="10" t="s">
        <v>1021</v>
      </c>
      <c r="C889" s="9" t="s">
        <v>1022</v>
      </c>
      <c r="D889" s="15">
        <v>81.09</v>
      </c>
      <c r="E889" s="13" t="s">
        <v>1346</v>
      </c>
    </row>
    <row r="890" spans="1:5" hidden="1" x14ac:dyDescent="0.25">
      <c r="A890" s="9" t="s">
        <v>1345</v>
      </c>
      <c r="B890" s="10" t="s">
        <v>1023</v>
      </c>
      <c r="C890" s="9" t="s">
        <v>1024</v>
      </c>
      <c r="D890" s="15">
        <v>264.83</v>
      </c>
      <c r="E890" s="13" t="s">
        <v>1346</v>
      </c>
    </row>
    <row r="891" spans="1:5" hidden="1" x14ac:dyDescent="0.25">
      <c r="A891" s="9" t="s">
        <v>1345</v>
      </c>
      <c r="B891" s="10" t="s">
        <v>1025</v>
      </c>
      <c r="C891" s="9" t="s">
        <v>1026</v>
      </c>
      <c r="D891" s="15">
        <v>28.44</v>
      </c>
      <c r="E891" s="13" t="s">
        <v>1346</v>
      </c>
    </row>
    <row r="892" spans="1:5" hidden="1" x14ac:dyDescent="0.25">
      <c r="A892" s="9" t="s">
        <v>1345</v>
      </c>
      <c r="B892" s="10" t="s">
        <v>1027</v>
      </c>
      <c r="C892" s="9" t="s">
        <v>1028</v>
      </c>
      <c r="D892" s="15">
        <v>79.23</v>
      </c>
      <c r="E892" s="13" t="s">
        <v>1346</v>
      </c>
    </row>
    <row r="893" spans="1:5" hidden="1" x14ac:dyDescent="0.25">
      <c r="A893" s="9" t="s">
        <v>1345</v>
      </c>
      <c r="B893" s="10" t="s">
        <v>1029</v>
      </c>
      <c r="C893" s="9" t="s">
        <v>1030</v>
      </c>
      <c r="D893" s="15">
        <v>1016</v>
      </c>
      <c r="E893" s="13" t="s">
        <v>1346</v>
      </c>
    </row>
    <row r="894" spans="1:5" hidden="1" x14ac:dyDescent="0.25">
      <c r="A894" s="9" t="s">
        <v>1345</v>
      </c>
      <c r="B894" s="10" t="s">
        <v>1033</v>
      </c>
      <c r="C894" s="9" t="s">
        <v>1034</v>
      </c>
      <c r="D894" s="15">
        <v>682.2</v>
      </c>
      <c r="E894" s="13" t="s">
        <v>1346</v>
      </c>
    </row>
    <row r="895" spans="1:5" hidden="1" x14ac:dyDescent="0.25">
      <c r="A895" s="9" t="s">
        <v>1345</v>
      </c>
      <c r="B895" s="10" t="s">
        <v>1037</v>
      </c>
      <c r="C895" s="9" t="s">
        <v>1038</v>
      </c>
      <c r="D895" s="15">
        <v>77.37</v>
      </c>
      <c r="E895" s="13" t="s">
        <v>1346</v>
      </c>
    </row>
    <row r="896" spans="1:5" hidden="1" x14ac:dyDescent="0.25">
      <c r="A896" s="9" t="s">
        <v>1345</v>
      </c>
      <c r="B896" s="10" t="s">
        <v>1039</v>
      </c>
      <c r="C896" s="9" t="s">
        <v>1040</v>
      </c>
      <c r="D896" s="15">
        <v>75.510000000000005</v>
      </c>
      <c r="E896" s="13" t="s">
        <v>1346</v>
      </c>
    </row>
    <row r="897" spans="1:5" hidden="1" x14ac:dyDescent="0.25">
      <c r="A897" s="9" t="s">
        <v>1345</v>
      </c>
      <c r="B897" s="10" t="s">
        <v>1041</v>
      </c>
      <c r="C897" s="9" t="s">
        <v>1042</v>
      </c>
      <c r="D897" s="15">
        <v>81.09</v>
      </c>
      <c r="E897" s="13" t="s">
        <v>1346</v>
      </c>
    </row>
    <row r="898" spans="1:5" hidden="1" x14ac:dyDescent="0.25">
      <c r="A898" s="9" t="s">
        <v>1345</v>
      </c>
      <c r="B898" s="10" t="s">
        <v>1043</v>
      </c>
      <c r="C898" s="9" t="s">
        <v>1044</v>
      </c>
      <c r="D898" s="15">
        <v>229.48</v>
      </c>
      <c r="E898" s="13" t="s">
        <v>1346</v>
      </c>
    </row>
    <row r="899" spans="1:5" hidden="1" x14ac:dyDescent="0.25">
      <c r="A899" s="9" t="s">
        <v>1345</v>
      </c>
      <c r="B899" s="10" t="s">
        <v>1045</v>
      </c>
      <c r="C899" s="9" t="s">
        <v>1046</v>
      </c>
      <c r="D899" s="15">
        <v>79.23</v>
      </c>
      <c r="E899" s="13" t="s">
        <v>1346</v>
      </c>
    </row>
    <row r="900" spans="1:5" hidden="1" x14ac:dyDescent="0.25">
      <c r="A900" s="9" t="s">
        <v>1345</v>
      </c>
      <c r="B900" s="10" t="s">
        <v>1049</v>
      </c>
      <c r="C900" s="9" t="s">
        <v>1050</v>
      </c>
      <c r="D900" s="15">
        <v>68.989999999999995</v>
      </c>
      <c r="E900" s="13" t="s">
        <v>1346</v>
      </c>
    </row>
    <row r="901" spans="1:5" hidden="1" x14ac:dyDescent="0.25">
      <c r="A901" s="9" t="s">
        <v>1345</v>
      </c>
      <c r="B901" s="10" t="s">
        <v>1051</v>
      </c>
      <c r="C901" s="9" t="s">
        <v>1052</v>
      </c>
      <c r="D901" s="15">
        <v>48.48</v>
      </c>
      <c r="E901" s="13" t="s">
        <v>1346</v>
      </c>
    </row>
    <row r="902" spans="1:5" hidden="1" x14ac:dyDescent="0.25">
      <c r="A902" s="9" t="s">
        <v>1345</v>
      </c>
      <c r="B902" s="10" t="s">
        <v>1053</v>
      </c>
      <c r="C902" s="9" t="s">
        <v>1054</v>
      </c>
      <c r="D902" s="15">
        <v>98.65</v>
      </c>
      <c r="E902" s="13" t="s">
        <v>1346</v>
      </c>
    </row>
    <row r="903" spans="1:5" hidden="1" x14ac:dyDescent="0.25">
      <c r="A903" s="9" t="s">
        <v>1345</v>
      </c>
      <c r="B903" s="10" t="s">
        <v>1055</v>
      </c>
      <c r="C903" s="9" t="s">
        <v>1056</v>
      </c>
      <c r="D903" s="15">
        <v>79.23</v>
      </c>
      <c r="E903" s="13" t="s">
        <v>1346</v>
      </c>
    </row>
    <row r="904" spans="1:5" hidden="1" x14ac:dyDescent="0.25">
      <c r="A904" s="9" t="s">
        <v>1345</v>
      </c>
      <c r="B904" s="10" t="s">
        <v>1059</v>
      </c>
      <c r="C904" s="9" t="s">
        <v>1060</v>
      </c>
      <c r="D904" s="15">
        <v>75.510000000000005</v>
      </c>
      <c r="E904" s="13" t="s">
        <v>1346</v>
      </c>
    </row>
    <row r="905" spans="1:5" hidden="1" x14ac:dyDescent="0.25">
      <c r="A905" s="9" t="s">
        <v>1345</v>
      </c>
      <c r="B905" s="10" t="s">
        <v>1061</v>
      </c>
      <c r="C905" s="9" t="s">
        <v>1062</v>
      </c>
      <c r="D905" s="15">
        <v>77.37</v>
      </c>
      <c r="E905" s="13" t="s">
        <v>1346</v>
      </c>
    </row>
    <row r="906" spans="1:5" hidden="1" x14ac:dyDescent="0.25">
      <c r="A906" s="9" t="s">
        <v>1345</v>
      </c>
      <c r="B906" s="10" t="s">
        <v>1063</v>
      </c>
      <c r="C906" s="9" t="s">
        <v>1064</v>
      </c>
      <c r="D906" s="15">
        <v>83.45</v>
      </c>
      <c r="E906" s="13" t="s">
        <v>1346</v>
      </c>
    </row>
    <row r="907" spans="1:5" hidden="1" x14ac:dyDescent="0.25">
      <c r="A907" s="9" t="s">
        <v>1345</v>
      </c>
      <c r="B907" s="10" t="s">
        <v>1067</v>
      </c>
      <c r="C907" s="9" t="s">
        <v>1068</v>
      </c>
      <c r="D907" s="15">
        <v>24.72</v>
      </c>
      <c r="E907" s="13" t="s">
        <v>1346</v>
      </c>
    </row>
    <row r="908" spans="1:5" hidden="1" x14ac:dyDescent="0.25">
      <c r="A908" s="9" t="s">
        <v>1345</v>
      </c>
      <c r="B908" s="10" t="s">
        <v>1071</v>
      </c>
      <c r="C908" s="9" t="s">
        <v>1072</v>
      </c>
      <c r="D908" s="15">
        <v>69.459999999999994</v>
      </c>
      <c r="E908" s="13" t="s">
        <v>1346</v>
      </c>
    </row>
    <row r="909" spans="1:5" hidden="1" x14ac:dyDescent="0.25">
      <c r="A909" s="9" t="s">
        <v>1345</v>
      </c>
      <c r="B909" s="10" t="s">
        <v>1073</v>
      </c>
      <c r="C909" s="9" t="s">
        <v>1074</v>
      </c>
      <c r="D909" s="15">
        <v>79.23</v>
      </c>
      <c r="E909" s="13" t="s">
        <v>1346</v>
      </c>
    </row>
    <row r="910" spans="1:5" hidden="1" x14ac:dyDescent="0.25">
      <c r="A910" s="9" t="s">
        <v>1345</v>
      </c>
      <c r="B910" s="10" t="s">
        <v>1075</v>
      </c>
      <c r="C910" s="9" t="s">
        <v>1076</v>
      </c>
      <c r="D910" s="15">
        <v>79.23</v>
      </c>
      <c r="E910" s="13" t="s">
        <v>1346</v>
      </c>
    </row>
    <row r="911" spans="1:5" hidden="1" x14ac:dyDescent="0.25">
      <c r="A911" s="9" t="s">
        <v>1345</v>
      </c>
      <c r="B911" s="10" t="s">
        <v>1077</v>
      </c>
      <c r="C911" s="9" t="s">
        <v>1078</v>
      </c>
      <c r="D911" s="15">
        <v>359.48</v>
      </c>
      <c r="E911" s="13" t="s">
        <v>1346</v>
      </c>
    </row>
    <row r="912" spans="1:5" hidden="1" x14ac:dyDescent="0.25">
      <c r="A912" s="9" t="s">
        <v>1345</v>
      </c>
      <c r="B912" s="10" t="s">
        <v>1079</v>
      </c>
      <c r="C912" s="9" t="s">
        <v>1080</v>
      </c>
      <c r="D912" s="15">
        <v>98.65</v>
      </c>
      <c r="E912" s="13" t="s">
        <v>1346</v>
      </c>
    </row>
    <row r="913" spans="1:5" hidden="1" x14ac:dyDescent="0.25">
      <c r="A913" s="9" t="s">
        <v>1345</v>
      </c>
      <c r="B913" s="10" t="s">
        <v>1081</v>
      </c>
      <c r="C913" s="9" t="s">
        <v>1082</v>
      </c>
      <c r="D913" s="15">
        <v>75.510000000000005</v>
      </c>
      <c r="E913" s="13" t="s">
        <v>1346</v>
      </c>
    </row>
    <row r="914" spans="1:5" hidden="1" x14ac:dyDescent="0.25">
      <c r="A914" s="9" t="s">
        <v>1345</v>
      </c>
      <c r="B914" s="10" t="s">
        <v>1083</v>
      </c>
      <c r="C914" s="9" t="s">
        <v>1084</v>
      </c>
      <c r="D914" s="15">
        <v>75.510000000000005</v>
      </c>
      <c r="E914" s="13" t="s">
        <v>1346</v>
      </c>
    </row>
    <row r="915" spans="1:5" hidden="1" x14ac:dyDescent="0.25">
      <c r="A915" s="9" t="s">
        <v>1345</v>
      </c>
      <c r="B915" s="10" t="s">
        <v>1087</v>
      </c>
      <c r="C915" s="9" t="s">
        <v>1088</v>
      </c>
      <c r="D915" s="15">
        <v>75.510000000000005</v>
      </c>
      <c r="E915" s="13" t="s">
        <v>1346</v>
      </c>
    </row>
    <row r="916" spans="1:5" hidden="1" x14ac:dyDescent="0.25">
      <c r="A916" s="9" t="s">
        <v>1345</v>
      </c>
      <c r="B916" s="10" t="s">
        <v>1091</v>
      </c>
      <c r="C916" s="9" t="s">
        <v>1092</v>
      </c>
      <c r="D916" s="15">
        <v>30.25</v>
      </c>
      <c r="E916" s="13" t="s">
        <v>1346</v>
      </c>
    </row>
    <row r="917" spans="1:5" hidden="1" x14ac:dyDescent="0.25">
      <c r="A917" s="9" t="s">
        <v>1345</v>
      </c>
      <c r="B917" s="10" t="s">
        <v>1093</v>
      </c>
      <c r="C917" s="9" t="s">
        <v>1094</v>
      </c>
      <c r="D917" s="15">
        <v>42.33</v>
      </c>
      <c r="E917" s="13" t="s">
        <v>1346</v>
      </c>
    </row>
    <row r="918" spans="1:5" hidden="1" x14ac:dyDescent="0.25">
      <c r="A918" s="9" t="s">
        <v>1345</v>
      </c>
      <c r="B918" s="10" t="s">
        <v>1097</v>
      </c>
      <c r="C918" s="9" t="s">
        <v>1098</v>
      </c>
      <c r="D918" s="15">
        <v>75.510000000000005</v>
      </c>
      <c r="E918" s="13" t="s">
        <v>1346</v>
      </c>
    </row>
    <row r="919" spans="1:5" hidden="1" x14ac:dyDescent="0.25">
      <c r="A919" s="9" t="s">
        <v>1345</v>
      </c>
      <c r="B919" s="10" t="s">
        <v>1099</v>
      </c>
      <c r="C919" s="9" t="s">
        <v>1100</v>
      </c>
      <c r="D919" s="15">
        <v>30.25</v>
      </c>
      <c r="E919" s="13" t="s">
        <v>1346</v>
      </c>
    </row>
    <row r="920" spans="1:5" hidden="1" x14ac:dyDescent="0.25">
      <c r="A920" s="9" t="s">
        <v>1345</v>
      </c>
      <c r="B920" s="10" t="s">
        <v>1109</v>
      </c>
      <c r="C920" s="9" t="s">
        <v>1110</v>
      </c>
      <c r="D920" s="15">
        <v>22.86</v>
      </c>
      <c r="E920" s="13" t="s">
        <v>1346</v>
      </c>
    </row>
    <row r="921" spans="1:5" hidden="1" x14ac:dyDescent="0.25">
      <c r="A921" s="9" t="s">
        <v>1345</v>
      </c>
      <c r="B921" s="10" t="s">
        <v>1115</v>
      </c>
      <c r="C921" s="9" t="s">
        <v>1116</v>
      </c>
      <c r="D921" s="15">
        <v>75.510000000000005</v>
      </c>
      <c r="E921" s="13" t="s">
        <v>1346</v>
      </c>
    </row>
    <row r="922" spans="1:5" hidden="1" x14ac:dyDescent="0.25">
      <c r="A922" s="9" t="s">
        <v>1345</v>
      </c>
      <c r="B922" s="10" t="s">
        <v>1117</v>
      </c>
      <c r="C922" s="9" t="s">
        <v>1118</v>
      </c>
      <c r="D922" s="15">
        <v>98.65</v>
      </c>
      <c r="E922" s="13" t="s">
        <v>1346</v>
      </c>
    </row>
    <row r="923" spans="1:5" hidden="1" x14ac:dyDescent="0.25">
      <c r="A923" s="9" t="s">
        <v>1345</v>
      </c>
      <c r="B923" s="10" t="s">
        <v>1119</v>
      </c>
      <c r="C923" s="9" t="s">
        <v>1120</v>
      </c>
      <c r="D923" s="15">
        <v>61.08</v>
      </c>
      <c r="E923" s="13" t="s">
        <v>1346</v>
      </c>
    </row>
    <row r="924" spans="1:5" hidden="1" x14ac:dyDescent="0.25">
      <c r="A924" s="9" t="s">
        <v>1345</v>
      </c>
      <c r="B924" s="10" t="s">
        <v>1125</v>
      </c>
      <c r="C924" s="9" t="s">
        <v>1126</v>
      </c>
      <c r="D924" s="15">
        <v>21</v>
      </c>
      <c r="E924" s="13" t="s">
        <v>1346</v>
      </c>
    </row>
    <row r="925" spans="1:5" hidden="1" x14ac:dyDescent="0.25">
      <c r="A925" s="9" t="s">
        <v>1345</v>
      </c>
      <c r="B925" s="10" t="s">
        <v>1133</v>
      </c>
      <c r="C925" s="9" t="s">
        <v>1134</v>
      </c>
      <c r="D925" s="15">
        <v>77.37</v>
      </c>
      <c r="E925" s="13" t="s">
        <v>1346</v>
      </c>
    </row>
    <row r="926" spans="1:5" hidden="1" x14ac:dyDescent="0.25">
      <c r="A926" s="9" t="s">
        <v>1345</v>
      </c>
      <c r="B926" s="10" t="s">
        <v>1135</v>
      </c>
      <c r="C926" s="9" t="s">
        <v>1136</v>
      </c>
      <c r="D926" s="15">
        <v>57.36</v>
      </c>
      <c r="E926" s="13" t="s">
        <v>1346</v>
      </c>
    </row>
    <row r="927" spans="1:5" hidden="1" x14ac:dyDescent="0.25">
      <c r="A927" s="9" t="s">
        <v>1345</v>
      </c>
      <c r="B927" s="10" t="s">
        <v>1137</v>
      </c>
      <c r="C927" s="9" t="s">
        <v>1138</v>
      </c>
      <c r="D927" s="15">
        <v>30.48</v>
      </c>
      <c r="E927" s="13" t="s">
        <v>1346</v>
      </c>
    </row>
    <row r="928" spans="1:5" hidden="1" x14ac:dyDescent="0.25">
      <c r="A928" s="9" t="s">
        <v>1345</v>
      </c>
      <c r="B928" s="10" t="s">
        <v>1141</v>
      </c>
      <c r="C928" s="9" t="s">
        <v>1142</v>
      </c>
      <c r="D928" s="15">
        <v>75.510000000000005</v>
      </c>
      <c r="E928" s="13" t="s">
        <v>1346</v>
      </c>
    </row>
    <row r="929" spans="1:5" hidden="1" x14ac:dyDescent="0.25">
      <c r="A929" s="9" t="s">
        <v>1345</v>
      </c>
      <c r="B929" s="10" t="s">
        <v>1143</v>
      </c>
      <c r="C929" s="9" t="s">
        <v>1144</v>
      </c>
      <c r="D929" s="15">
        <v>930.65</v>
      </c>
      <c r="E929" s="13" t="s">
        <v>1346</v>
      </c>
    </row>
    <row r="930" spans="1:5" hidden="1" x14ac:dyDescent="0.25">
      <c r="A930" s="9" t="s">
        <v>1345</v>
      </c>
      <c r="B930" s="10" t="s">
        <v>1147</v>
      </c>
      <c r="C930" s="9" t="s">
        <v>1148</v>
      </c>
      <c r="D930" s="15">
        <v>75.510000000000005</v>
      </c>
      <c r="E930" s="13" t="s">
        <v>1346</v>
      </c>
    </row>
    <row r="931" spans="1:5" hidden="1" x14ac:dyDescent="0.25">
      <c r="A931" s="9" t="s">
        <v>1345</v>
      </c>
      <c r="B931" s="10" t="s">
        <v>1151</v>
      </c>
      <c r="C931" s="9" t="s">
        <v>1152</v>
      </c>
      <c r="D931" s="15">
        <v>1025.48</v>
      </c>
      <c r="E931" s="13" t="s">
        <v>1346</v>
      </c>
    </row>
    <row r="932" spans="1:5" hidden="1" x14ac:dyDescent="0.25">
      <c r="A932" s="9" t="s">
        <v>1345</v>
      </c>
      <c r="B932" s="10" t="s">
        <v>1155</v>
      </c>
      <c r="C932" s="9" t="s">
        <v>1156</v>
      </c>
      <c r="D932" s="15">
        <v>75.510000000000005</v>
      </c>
      <c r="E932" s="13" t="s">
        <v>1346</v>
      </c>
    </row>
    <row r="933" spans="1:5" hidden="1" x14ac:dyDescent="0.25">
      <c r="A933" s="9" t="s">
        <v>1345</v>
      </c>
      <c r="B933" s="10" t="s">
        <v>1157</v>
      </c>
      <c r="C933" s="9" t="s">
        <v>1158</v>
      </c>
      <c r="D933" s="15">
        <v>24.2</v>
      </c>
      <c r="E933" s="13" t="s">
        <v>1346</v>
      </c>
    </row>
    <row r="934" spans="1:5" hidden="1" x14ac:dyDescent="0.25">
      <c r="A934" s="9" t="s">
        <v>1345</v>
      </c>
      <c r="B934" s="10" t="s">
        <v>1161</v>
      </c>
      <c r="C934" s="9" t="s">
        <v>1162</v>
      </c>
      <c r="D934" s="15">
        <v>78.3</v>
      </c>
      <c r="E934" s="13" t="s">
        <v>1346</v>
      </c>
    </row>
    <row r="935" spans="1:5" hidden="1" x14ac:dyDescent="0.25">
      <c r="A935" s="9" t="s">
        <v>1345</v>
      </c>
      <c r="B935" s="10" t="s">
        <v>1175</v>
      </c>
      <c r="C935" s="9" t="s">
        <v>1176</v>
      </c>
      <c r="D935" s="15">
        <v>77.37</v>
      </c>
      <c r="E935" s="13" t="s">
        <v>1346</v>
      </c>
    </row>
    <row r="936" spans="1:5" hidden="1" x14ac:dyDescent="0.25">
      <c r="A936" s="9" t="s">
        <v>1345</v>
      </c>
      <c r="B936" s="10" t="s">
        <v>1177</v>
      </c>
      <c r="C936" s="9" t="s">
        <v>1178</v>
      </c>
      <c r="D936" s="15">
        <v>60.58</v>
      </c>
      <c r="E936" s="13" t="s">
        <v>1346</v>
      </c>
    </row>
    <row r="937" spans="1:5" hidden="1" x14ac:dyDescent="0.25">
      <c r="A937" s="9" t="s">
        <v>1345</v>
      </c>
      <c r="B937" s="10" t="s">
        <v>1179</v>
      </c>
      <c r="C937" s="9" t="s">
        <v>1180</v>
      </c>
      <c r="D937" s="15">
        <v>79.23</v>
      </c>
      <c r="E937" s="13" t="s">
        <v>1346</v>
      </c>
    </row>
    <row r="938" spans="1:5" hidden="1" x14ac:dyDescent="0.25">
      <c r="A938" s="9" t="s">
        <v>1345</v>
      </c>
      <c r="B938" s="10" t="s">
        <v>1181</v>
      </c>
      <c r="C938" s="9" t="s">
        <v>1182</v>
      </c>
      <c r="D938" s="15">
        <v>36.32</v>
      </c>
      <c r="E938" s="13" t="s">
        <v>1346</v>
      </c>
    </row>
    <row r="939" spans="1:5" hidden="1" x14ac:dyDescent="0.25">
      <c r="A939" s="9" t="s">
        <v>1345</v>
      </c>
      <c r="B939" s="10" t="s">
        <v>1183</v>
      </c>
      <c r="C939" s="9" t="s">
        <v>1184</v>
      </c>
      <c r="D939" s="15">
        <v>77.37</v>
      </c>
      <c r="E939" s="13" t="s">
        <v>1346</v>
      </c>
    </row>
    <row r="940" spans="1:5" hidden="1" x14ac:dyDescent="0.25">
      <c r="A940" s="9" t="s">
        <v>1345</v>
      </c>
      <c r="B940" s="10" t="s">
        <v>1185</v>
      </c>
      <c r="C940" s="9" t="s">
        <v>1186</v>
      </c>
      <c r="D940" s="15">
        <v>81.09</v>
      </c>
      <c r="E940" s="13" t="s">
        <v>1346</v>
      </c>
    </row>
    <row r="941" spans="1:5" hidden="1" x14ac:dyDescent="0.25">
      <c r="A941" s="9" t="s">
        <v>1345</v>
      </c>
      <c r="B941" s="10" t="s">
        <v>1187</v>
      </c>
      <c r="C941" s="9" t="s">
        <v>1188</v>
      </c>
      <c r="D941" s="15">
        <v>12.1</v>
      </c>
      <c r="E941" s="13" t="s">
        <v>1346</v>
      </c>
    </row>
    <row r="942" spans="1:5" hidden="1" x14ac:dyDescent="0.25">
      <c r="A942" s="9" t="s">
        <v>1345</v>
      </c>
      <c r="B942" s="10" t="s">
        <v>1189</v>
      </c>
      <c r="C942" s="9" t="s">
        <v>1190</v>
      </c>
      <c r="D942" s="15">
        <v>81.09</v>
      </c>
      <c r="E942" s="13" t="s">
        <v>1346</v>
      </c>
    </row>
    <row r="943" spans="1:5" hidden="1" x14ac:dyDescent="0.25">
      <c r="A943" s="9" t="s">
        <v>1345</v>
      </c>
      <c r="B943" s="10" t="s">
        <v>1191</v>
      </c>
      <c r="C943" s="9" t="s">
        <v>1192</v>
      </c>
      <c r="D943" s="15">
        <v>75.510000000000005</v>
      </c>
      <c r="E943" s="13" t="s">
        <v>1346</v>
      </c>
    </row>
    <row r="944" spans="1:5" hidden="1" x14ac:dyDescent="0.25">
      <c r="A944" s="9" t="s">
        <v>1345</v>
      </c>
      <c r="B944" s="10" t="s">
        <v>1195</v>
      </c>
      <c r="C944" s="9" t="s">
        <v>1196</v>
      </c>
      <c r="D944" s="15">
        <v>79.23</v>
      </c>
      <c r="E944" s="13" t="s">
        <v>1346</v>
      </c>
    </row>
    <row r="945" spans="1:5" hidden="1" x14ac:dyDescent="0.25">
      <c r="A945" s="9" t="s">
        <v>1345</v>
      </c>
      <c r="B945" s="10" t="s">
        <v>1199</v>
      </c>
      <c r="C945" s="9" t="s">
        <v>1200</v>
      </c>
      <c r="D945" s="15">
        <v>77.37</v>
      </c>
      <c r="E945" s="13" t="s">
        <v>1346</v>
      </c>
    </row>
    <row r="946" spans="1:5" hidden="1" x14ac:dyDescent="0.25">
      <c r="A946" s="9" t="s">
        <v>1345</v>
      </c>
      <c r="B946" s="10" t="s">
        <v>1211</v>
      </c>
      <c r="C946" s="9" t="s">
        <v>1212</v>
      </c>
      <c r="D946" s="15">
        <v>68.989999999999995</v>
      </c>
      <c r="E946" s="13" t="s">
        <v>1346</v>
      </c>
    </row>
    <row r="947" spans="1:5" hidden="1" x14ac:dyDescent="0.25">
      <c r="A947" s="9" t="s">
        <v>1345</v>
      </c>
      <c r="B947" s="10" t="s">
        <v>1215</v>
      </c>
      <c r="C947" s="9" t="s">
        <v>1216</v>
      </c>
      <c r="D947" s="15">
        <v>1016</v>
      </c>
      <c r="E947" s="13" t="s">
        <v>1346</v>
      </c>
    </row>
    <row r="948" spans="1:5" hidden="1" x14ac:dyDescent="0.25">
      <c r="A948" s="9" t="s">
        <v>1345</v>
      </c>
      <c r="B948" s="10" t="s">
        <v>1217</v>
      </c>
      <c r="C948" s="9" t="s">
        <v>1218</v>
      </c>
      <c r="D948" s="15">
        <v>82.95</v>
      </c>
      <c r="E948" s="13" t="s">
        <v>1346</v>
      </c>
    </row>
    <row r="949" spans="1:5" hidden="1" x14ac:dyDescent="0.25">
      <c r="A949" s="9" t="s">
        <v>1345</v>
      </c>
      <c r="B949" s="10" t="s">
        <v>1221</v>
      </c>
      <c r="C949" s="9" t="s">
        <v>1222</v>
      </c>
      <c r="D949" s="15">
        <v>48.98</v>
      </c>
      <c r="E949" s="13" t="s">
        <v>1346</v>
      </c>
    </row>
    <row r="950" spans="1:5" hidden="1" x14ac:dyDescent="0.25">
      <c r="A950" s="9" t="s">
        <v>1345</v>
      </c>
      <c r="B950" s="10" t="s">
        <v>1223</v>
      </c>
      <c r="C950" s="9" t="s">
        <v>1224</v>
      </c>
      <c r="D950" s="15">
        <v>24.2</v>
      </c>
      <c r="E950" s="13" t="s">
        <v>1346</v>
      </c>
    </row>
    <row r="951" spans="1:5" hidden="1" x14ac:dyDescent="0.25">
      <c r="A951" s="9" t="s">
        <v>1345</v>
      </c>
      <c r="B951" s="10" t="s">
        <v>1225</v>
      </c>
      <c r="C951" s="9" t="s">
        <v>1226</v>
      </c>
      <c r="D951" s="15">
        <v>62.94</v>
      </c>
      <c r="E951" s="13" t="s">
        <v>1346</v>
      </c>
    </row>
    <row r="952" spans="1:5" hidden="1" x14ac:dyDescent="0.25">
      <c r="A952" s="9" t="s">
        <v>1345</v>
      </c>
      <c r="B952" s="10" t="s">
        <v>1227</v>
      </c>
      <c r="C952" s="9" t="s">
        <v>1228</v>
      </c>
      <c r="D952" s="15">
        <v>1017.86</v>
      </c>
      <c r="E952" s="13" t="s">
        <v>1346</v>
      </c>
    </row>
    <row r="953" spans="1:5" hidden="1" x14ac:dyDescent="0.25">
      <c r="A953" s="9" t="s">
        <v>1345</v>
      </c>
      <c r="B953" s="10" t="s">
        <v>1229</v>
      </c>
      <c r="C953" s="9" t="s">
        <v>1230</v>
      </c>
      <c r="D953" s="15">
        <v>84.99</v>
      </c>
      <c r="E953" s="13" t="s">
        <v>1346</v>
      </c>
    </row>
    <row r="954" spans="1:5" hidden="1" x14ac:dyDescent="0.25">
      <c r="A954" s="9" t="s">
        <v>1345</v>
      </c>
      <c r="B954" s="10" t="s">
        <v>1235</v>
      </c>
      <c r="C954" s="9" t="s">
        <v>1236</v>
      </c>
      <c r="D954" s="15">
        <v>75.510000000000005</v>
      </c>
      <c r="E954" s="13" t="s">
        <v>1346</v>
      </c>
    </row>
    <row r="955" spans="1:5" hidden="1" x14ac:dyDescent="0.25">
      <c r="A955" s="9" t="s">
        <v>1345</v>
      </c>
      <c r="B955" s="10" t="s">
        <v>1239</v>
      </c>
      <c r="C955" s="9" t="s">
        <v>1240</v>
      </c>
      <c r="D955" s="15">
        <v>467.63</v>
      </c>
      <c r="E955" s="13" t="s">
        <v>1346</v>
      </c>
    </row>
    <row r="956" spans="1:5" hidden="1" x14ac:dyDescent="0.25">
      <c r="A956" s="9" t="s">
        <v>1345</v>
      </c>
      <c r="B956" s="10" t="s">
        <v>1241</v>
      </c>
      <c r="C956" s="9" t="s">
        <v>1242</v>
      </c>
      <c r="D956" s="15">
        <v>57.36</v>
      </c>
      <c r="E956" s="13" t="s">
        <v>1346</v>
      </c>
    </row>
    <row r="957" spans="1:5" hidden="1" x14ac:dyDescent="0.25">
      <c r="A957" s="9" t="s">
        <v>1345</v>
      </c>
      <c r="B957" s="10" t="s">
        <v>1243</v>
      </c>
      <c r="C957" s="9" t="s">
        <v>1244</v>
      </c>
      <c r="D957" s="15">
        <v>82.95</v>
      </c>
      <c r="E957" s="13" t="s">
        <v>1346</v>
      </c>
    </row>
    <row r="958" spans="1:5" hidden="1" x14ac:dyDescent="0.25">
      <c r="A958" s="9" t="s">
        <v>1345</v>
      </c>
      <c r="B958" s="10" t="s">
        <v>1247</v>
      </c>
      <c r="C958" s="9" t="s">
        <v>1248</v>
      </c>
      <c r="D958" s="15">
        <v>82.95</v>
      </c>
      <c r="E958" s="13" t="s">
        <v>1346</v>
      </c>
    </row>
    <row r="959" spans="1:5" hidden="1" x14ac:dyDescent="0.25">
      <c r="A959" s="9" t="s">
        <v>1345</v>
      </c>
      <c r="B959" s="10" t="s">
        <v>1249</v>
      </c>
      <c r="C959" s="9" t="s">
        <v>1250</v>
      </c>
      <c r="D959" s="15">
        <v>81.09</v>
      </c>
      <c r="E959" s="13" t="s">
        <v>1346</v>
      </c>
    </row>
    <row r="960" spans="1:5" hidden="1" x14ac:dyDescent="0.25">
      <c r="A960" s="9" t="s">
        <v>1345</v>
      </c>
      <c r="B960" s="10" t="s">
        <v>1251</v>
      </c>
      <c r="C960" s="9" t="s">
        <v>1252</v>
      </c>
      <c r="D960" s="15">
        <v>79.23</v>
      </c>
      <c r="E960" s="13" t="s">
        <v>1346</v>
      </c>
    </row>
    <row r="961" spans="1:5" hidden="1" x14ac:dyDescent="0.25">
      <c r="A961" s="9" t="s">
        <v>1345</v>
      </c>
      <c r="B961" s="10" t="s">
        <v>1257</v>
      </c>
      <c r="C961" s="9" t="s">
        <v>1258</v>
      </c>
      <c r="D961" s="15">
        <v>48.98</v>
      </c>
      <c r="E961" s="13" t="s">
        <v>1346</v>
      </c>
    </row>
    <row r="962" spans="1:5" hidden="1" x14ac:dyDescent="0.25">
      <c r="A962" s="9" t="s">
        <v>1345</v>
      </c>
      <c r="B962" s="10" t="s">
        <v>1259</v>
      </c>
      <c r="C962" s="9" t="s">
        <v>1260</v>
      </c>
      <c r="D962" s="15">
        <v>48.98</v>
      </c>
      <c r="E962" s="13" t="s">
        <v>1346</v>
      </c>
    </row>
    <row r="963" spans="1:5" hidden="1" x14ac:dyDescent="0.25">
      <c r="A963" s="9" t="s">
        <v>1345</v>
      </c>
      <c r="B963" s="10" t="s">
        <v>1261</v>
      </c>
      <c r="C963" s="9" t="s">
        <v>1262</v>
      </c>
      <c r="D963" s="15">
        <v>75.510000000000005</v>
      </c>
      <c r="E963" s="13" t="s">
        <v>1346</v>
      </c>
    </row>
    <row r="964" spans="1:5" hidden="1" x14ac:dyDescent="0.25">
      <c r="A964" s="9" t="s">
        <v>1345</v>
      </c>
      <c r="B964" s="10" t="s">
        <v>1263</v>
      </c>
      <c r="C964" s="9" t="s">
        <v>1264</v>
      </c>
      <c r="D964" s="15">
        <v>266.69</v>
      </c>
      <c r="E964" s="13" t="s">
        <v>1346</v>
      </c>
    </row>
    <row r="965" spans="1:5" hidden="1" x14ac:dyDescent="0.25">
      <c r="A965" s="9" t="s">
        <v>1345</v>
      </c>
      <c r="B965" s="10" t="s">
        <v>1271</v>
      </c>
      <c r="C965" s="9" t="s">
        <v>1272</v>
      </c>
      <c r="D965" s="15">
        <v>41.82</v>
      </c>
      <c r="E965" s="13" t="s">
        <v>1346</v>
      </c>
    </row>
    <row r="966" spans="1:5" hidden="1" x14ac:dyDescent="0.25">
      <c r="A966" s="9" t="s">
        <v>1345</v>
      </c>
      <c r="B966" s="10" t="s">
        <v>1273</v>
      </c>
      <c r="C966" s="9" t="s">
        <v>1274</v>
      </c>
      <c r="D966" s="15">
        <v>24.72</v>
      </c>
      <c r="E966" s="13" t="s">
        <v>1346</v>
      </c>
    </row>
    <row r="967" spans="1:5" hidden="1" x14ac:dyDescent="0.25">
      <c r="A967" s="9" t="s">
        <v>1345</v>
      </c>
      <c r="B967" s="10" t="s">
        <v>1281</v>
      </c>
      <c r="C967" s="9" t="s">
        <v>1282</v>
      </c>
      <c r="D967" s="15">
        <v>54.51</v>
      </c>
      <c r="E967" s="13" t="s">
        <v>1346</v>
      </c>
    </row>
    <row r="968" spans="1:5" hidden="1" x14ac:dyDescent="0.25">
      <c r="A968" s="9" t="s">
        <v>1345</v>
      </c>
      <c r="B968" s="10" t="s">
        <v>1285</v>
      </c>
      <c r="C968" s="9" t="s">
        <v>1286</v>
      </c>
      <c r="D968" s="15">
        <v>565.77</v>
      </c>
      <c r="E968" s="13" t="s">
        <v>1346</v>
      </c>
    </row>
    <row r="969" spans="1:5" hidden="1" x14ac:dyDescent="0.25">
      <c r="A969" s="9" t="s">
        <v>1345</v>
      </c>
      <c r="B969" s="10" t="s">
        <v>1287</v>
      </c>
      <c r="C969" s="9" t="s">
        <v>1288</v>
      </c>
      <c r="D969" s="15">
        <v>79.23</v>
      </c>
      <c r="E969" s="13" t="s">
        <v>1346</v>
      </c>
    </row>
    <row r="970" spans="1:5" hidden="1" x14ac:dyDescent="0.25">
      <c r="A970" s="9" t="s">
        <v>1345</v>
      </c>
      <c r="B970" s="10" t="s">
        <v>1289</v>
      </c>
      <c r="C970" s="9" t="s">
        <v>1290</v>
      </c>
      <c r="D970" s="15">
        <v>75.510000000000005</v>
      </c>
      <c r="E970" s="13" t="s">
        <v>1346</v>
      </c>
    </row>
    <row r="971" spans="1:5" hidden="1" x14ac:dyDescent="0.25">
      <c r="A971" s="9" t="s">
        <v>1345</v>
      </c>
      <c r="B971" s="10" t="s">
        <v>1297</v>
      </c>
      <c r="C971" s="9" t="s">
        <v>1298</v>
      </c>
      <c r="D971" s="15">
        <v>67.11</v>
      </c>
      <c r="E971" s="13" t="s">
        <v>1346</v>
      </c>
    </row>
    <row r="972" spans="1:5" hidden="1" x14ac:dyDescent="0.25">
      <c r="A972" s="9" t="s">
        <v>1345</v>
      </c>
      <c r="B972" s="10" t="s">
        <v>1299</v>
      </c>
      <c r="C972" s="9" t="s">
        <v>1300</v>
      </c>
      <c r="D972" s="15">
        <v>96.33</v>
      </c>
      <c r="E972" s="13" t="s">
        <v>1346</v>
      </c>
    </row>
    <row r="973" spans="1:5" hidden="1" x14ac:dyDescent="0.25">
      <c r="A973" s="9" t="s">
        <v>1345</v>
      </c>
      <c r="B973" s="10" t="s">
        <v>1301</v>
      </c>
      <c r="C973" s="9" t="s">
        <v>1302</v>
      </c>
      <c r="D973" s="15">
        <v>77.37</v>
      </c>
      <c r="E973" s="13" t="s">
        <v>1346</v>
      </c>
    </row>
    <row r="974" spans="1:5" hidden="1" x14ac:dyDescent="0.25">
      <c r="A974" s="9" t="s">
        <v>1345</v>
      </c>
      <c r="B974" s="10" t="s">
        <v>1305</v>
      </c>
      <c r="C974" s="9" t="s">
        <v>1306</v>
      </c>
      <c r="D974" s="15">
        <v>79.23</v>
      </c>
      <c r="E974" s="13" t="s">
        <v>1346</v>
      </c>
    </row>
    <row r="975" spans="1:5" hidden="1" x14ac:dyDescent="0.25">
      <c r="A975" s="9" t="s">
        <v>1345</v>
      </c>
      <c r="B975" s="10" t="s">
        <v>1309</v>
      </c>
      <c r="C975" s="9" t="s">
        <v>1310</v>
      </c>
      <c r="D975" s="15">
        <v>79.23</v>
      </c>
      <c r="E975" s="13" t="s">
        <v>1346</v>
      </c>
    </row>
    <row r="976" spans="1:5" hidden="1" x14ac:dyDescent="0.25">
      <c r="A976" s="9" t="s">
        <v>1345</v>
      </c>
      <c r="B976" s="10" t="s">
        <v>1313</v>
      </c>
      <c r="C976" s="9" t="s">
        <v>1314</v>
      </c>
      <c r="D976" s="15">
        <v>18.149999999999999</v>
      </c>
      <c r="E976" s="13" t="s">
        <v>1346</v>
      </c>
    </row>
    <row r="977" spans="1:5" hidden="1" x14ac:dyDescent="0.25">
      <c r="A977" s="9" t="s">
        <v>1345</v>
      </c>
      <c r="B977" s="10" t="s">
        <v>1315</v>
      </c>
      <c r="C977" s="9" t="s">
        <v>1316</v>
      </c>
      <c r="D977" s="15">
        <v>75.510000000000005</v>
      </c>
      <c r="E977" s="13" t="s">
        <v>1346</v>
      </c>
    </row>
    <row r="978" spans="1:5" hidden="1" x14ac:dyDescent="0.25">
      <c r="A978" s="9" t="s">
        <v>1345</v>
      </c>
      <c r="B978" s="10" t="s">
        <v>1317</v>
      </c>
      <c r="C978" s="9" t="s">
        <v>1318</v>
      </c>
      <c r="D978" s="15">
        <v>79.23</v>
      </c>
      <c r="E978" s="13" t="s">
        <v>1346</v>
      </c>
    </row>
    <row r="979" spans="1:5" hidden="1" x14ac:dyDescent="0.25">
      <c r="A979" s="9" t="s">
        <v>1345</v>
      </c>
      <c r="B979" s="10" t="s">
        <v>1323</v>
      </c>
      <c r="C979" s="9" t="s">
        <v>1324</v>
      </c>
      <c r="D979" s="15">
        <v>79.23</v>
      </c>
      <c r="E979" s="13" t="s">
        <v>1346</v>
      </c>
    </row>
    <row r="980" spans="1:5" hidden="1" x14ac:dyDescent="0.25">
      <c r="A980" s="9" t="s">
        <v>1345</v>
      </c>
      <c r="B980" s="10" t="s">
        <v>1325</v>
      </c>
      <c r="C980" s="9" t="s">
        <v>1326</v>
      </c>
      <c r="D980" s="15">
        <v>75.510000000000005</v>
      </c>
      <c r="E980" s="13" t="s">
        <v>1346</v>
      </c>
    </row>
    <row r="981" spans="1:5" hidden="1" x14ac:dyDescent="0.25">
      <c r="A981" s="9" t="s">
        <v>1345</v>
      </c>
      <c r="B981" s="10" t="s">
        <v>1329</v>
      </c>
      <c r="C981" s="9" t="s">
        <v>1330</v>
      </c>
      <c r="D981" s="15">
        <v>467.63</v>
      </c>
      <c r="E981" s="13" t="s">
        <v>1346</v>
      </c>
    </row>
    <row r="982" spans="1:5" hidden="1" x14ac:dyDescent="0.25">
      <c r="A982" s="9" t="s">
        <v>1345</v>
      </c>
      <c r="B982" s="10" t="s">
        <v>1331</v>
      </c>
      <c r="C982" s="9" t="s">
        <v>1332</v>
      </c>
      <c r="D982" s="15">
        <v>75.510000000000005</v>
      </c>
      <c r="E982" s="13" t="s">
        <v>1346</v>
      </c>
    </row>
    <row r="983" spans="1:5" hidden="1" x14ac:dyDescent="0.25">
      <c r="A983" s="9" t="s">
        <v>1345</v>
      </c>
      <c r="B983" s="10" t="s">
        <v>1333</v>
      </c>
      <c r="C983" s="9" t="s">
        <v>1334</v>
      </c>
      <c r="D983" s="15">
        <v>84.99</v>
      </c>
      <c r="E983" s="13" t="s">
        <v>1346</v>
      </c>
    </row>
  </sheetData>
  <autoFilter ref="A2:D983">
    <filterColumn colId="3">
      <filters>
        <filter val="0,00"/>
      </filters>
    </filterColumn>
  </autoFilter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2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P1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6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6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403,32</v>
      </c>
      <c r="E2" s="14" t="str">
        <f>CONCATENATE("ABRIL",CHAR(10),"TOTAL: ",ROUND(SUM(E3:E1048576),2))</f>
        <v>ABRIL
TOTAL: 403,32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275</v>
      </c>
      <c r="I2" s="14" t="str">
        <f>CONCATENATE("AGOSTO",CHAR(10),"TOTAL: ",ROUND(SUM(I3:I1048576),2))</f>
        <v>AGOSTO
TOTAL: 275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6" x14ac:dyDescent="0.25">
      <c r="A3" s="10" t="s">
        <v>289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1346</v>
      </c>
      <c r="O3" t="s">
        <v>1346</v>
      </c>
    </row>
    <row r="4" spans="1:16" x14ac:dyDescent="0.25">
      <c r="A4" s="10" t="s">
        <v>429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1346</v>
      </c>
      <c r="O4" t="s">
        <v>1346</v>
      </c>
    </row>
    <row r="5" spans="1:16" x14ac:dyDescent="0.25">
      <c r="A5" s="10" t="s">
        <v>289</v>
      </c>
      <c r="C5" s="15">
        <v>0</v>
      </c>
      <c r="D5" s="15">
        <v>201.66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1346</v>
      </c>
      <c r="O5" t="s">
        <v>1346</v>
      </c>
    </row>
    <row r="6" spans="1:16" x14ac:dyDescent="0.25">
      <c r="A6" s="10" t="s">
        <v>429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137.5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1346</v>
      </c>
      <c r="O6" t="s">
        <v>1346</v>
      </c>
    </row>
    <row r="7" spans="1:16" x14ac:dyDescent="0.25">
      <c r="A7" s="10" t="s">
        <v>289</v>
      </c>
      <c r="C7" s="15">
        <v>0</v>
      </c>
      <c r="D7" s="15">
        <v>0</v>
      </c>
      <c r="E7" s="15">
        <v>201.66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1346</v>
      </c>
      <c r="P7" t="s">
        <v>1346</v>
      </c>
    </row>
    <row r="8" spans="1:16" x14ac:dyDescent="0.25">
      <c r="A8" s="10" t="s">
        <v>429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137.5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1346</v>
      </c>
      <c r="P8" t="s">
        <v>1346</v>
      </c>
    </row>
    <row r="9" spans="1:16" x14ac:dyDescent="0.25">
      <c r="A9" s="10" t="s">
        <v>289</v>
      </c>
      <c r="C9" s="15">
        <v>0</v>
      </c>
      <c r="D9" s="15">
        <v>0</v>
      </c>
      <c r="E9" s="15">
        <v>201.66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1346</v>
      </c>
      <c r="P9" t="s">
        <v>1346</v>
      </c>
    </row>
    <row r="10" spans="1:16" x14ac:dyDescent="0.25">
      <c r="A10" s="10" t="s">
        <v>429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137.5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1346</v>
      </c>
      <c r="P10" t="s">
        <v>1346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2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2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8" sqref="I8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O2"/>
  <sheetViews>
    <sheetView workbookViewId="0">
      <selection activeCell="C14" sqref="C14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5" ht="47.85" customHeight="1" x14ac:dyDescent="0.25">
      <c r="A1" s="28" t="s">
        <v>34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0</v>
      </c>
      <c r="D2" s="14" t="str">
        <f>CONCATENATE("FEVEREIRO",CHAR(10),"TOTAL: ",ROUND(SUM(D3:D1048576),2))</f>
        <v>FEVEREIRO
TOTAL: 0</v>
      </c>
      <c r="E2" s="14" t="str">
        <f>CONCATENATE("MARÇO",CHAR(10),"TOTAL: ",ROUND(SUM(E3:E1048576),2))</f>
        <v>MARÇO
TOTAL: 0</v>
      </c>
      <c r="F2" s="14" t="str">
        <f>CONCATENATE("ABRIL",CHAR(10),"TOTAL: ",ROUND(SUM(F3:F1048576),2))</f>
        <v>ABRIL
TOTAL: 0</v>
      </c>
      <c r="G2" s="14" t="str">
        <f>CONCATENATE("MAIO",CHAR(10),"TOTAL: ",ROUND(SUM(G3:G1048576),2))</f>
        <v>MAIO
TOTAL: 0</v>
      </c>
      <c r="H2" s="14" t="str">
        <f>CONCATENATE("JUNHO",CHAR(10),"TOTAL: ",ROUND(SUM(H3:H1048576),2))</f>
        <v>JUNHO
TOTAL: 0</v>
      </c>
      <c r="I2" s="14" t="str">
        <f>CONCATENATE("JULHO",CHAR(10),"TOTAL: ",ROUND(SUM(I3:I1048576),2))</f>
        <v>JULHO
TOTAL: 0</v>
      </c>
      <c r="J2" s="14" t="str">
        <f>CONCATENATE("AGOSTO",CHAR(10),"TOTAL: ",ROUND(SUM(J3:J1048576),2))</f>
        <v>AGOSTO
TOTAL: 0</v>
      </c>
      <c r="K2" s="14" t="str">
        <f>CONCATENATE("SETEMBRO",CHAR(10),"TOTAL: ",ROUND(SUM(K3:K1048576),2))</f>
        <v>SETEMBRO
TOTAL: 0</v>
      </c>
      <c r="L2" s="14" t="str">
        <f>CONCATENATE("OUTUBRO",CHAR(10),"TOTAL: ",ROUND(SUM(L3:L1048576),2))</f>
        <v>OUTUBRO
TOTAL: 0</v>
      </c>
      <c r="M2" s="14" t="str">
        <f>CONCATENATE("NOVEMBRO",CHAR(10),"TOTAL: ",ROUND(SUM(M3:M1048576),2))</f>
        <v>NOVEMBRO
TOTAL: 0</v>
      </c>
      <c r="N2" s="14" t="str">
        <f>CONCATENATE("DEZEMBRO",CHAR(10),"TOTAL: ",ROUND(SUM(N3:N1048576),2))</f>
        <v>DEZEMBRO
TOTAL: 0</v>
      </c>
      <c r="O2" s="14" t="str">
        <f>CONCATENATE("DEC. TERCEIRO",CHAR(10),"TOTAL: ",ROUND(SUM(O3:O1048576),2))</f>
        <v>DEC. TERCEIRO
TOTAL: 0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E2"/>
  <sheetViews>
    <sheetView workbookViewId="0">
      <selection activeCell="B4" sqref="B4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5" ht="47.85" customHeight="1" x14ac:dyDescent="0.25">
      <c r="A1" s="35" t="s">
        <v>1347</v>
      </c>
      <c r="B1" s="36"/>
      <c r="C1" s="36"/>
      <c r="D1" s="36"/>
      <c r="E1" s="36"/>
    </row>
    <row r="2" spans="1:5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6BF9830-EEC2-424E-8A31-517ED2B21BD4}">
            <xm:f>AND((VALUE(DIRF!$C$3)-VALUE(LEFT($C3,4)))&gt;=18,$B3="")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A3:E1048576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2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31" t="s">
        <v>31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2"/>
  <sheetViews>
    <sheetView workbookViewId="0">
      <selection activeCell="H6" sqref="H6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2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2"/>
  <sheetViews>
    <sheetView topLeftCell="B1" workbookViewId="0">
      <selection activeCell="B6" sqref="B6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2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H2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8" ht="45.75" customHeight="1" x14ac:dyDescent="0.25">
      <c r="A1" s="30" t="s">
        <v>51</v>
      </c>
      <c r="B1" s="29"/>
      <c r="C1" s="29"/>
      <c r="D1" s="29"/>
      <c r="E1" s="29"/>
      <c r="F1" s="29"/>
      <c r="G1" s="29"/>
      <c r="H1" s="29"/>
    </row>
    <row r="2" spans="1:8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2"/>
  <sheetViews>
    <sheetView tabSelected="1" topLeftCell="B1" workbookViewId="0">
      <selection activeCell="I13" sqref="I13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2" t="s">
        <v>71</v>
      </c>
      <c r="C1" s="33"/>
      <c r="D1" s="33"/>
      <c r="E1" s="33"/>
      <c r="F1" s="34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53</vt:i4>
      </vt:variant>
    </vt:vector>
  </HeadingPairs>
  <TitlesOfParts>
    <vt:vector size="53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2017-02-15T16:21:45Z</dcterms:modified>
</cp:coreProperties>
</file>