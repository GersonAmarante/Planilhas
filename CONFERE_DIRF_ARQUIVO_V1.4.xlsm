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41" activeTab="48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state="hidden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INFPA" sheetId="81" r:id="rId42"/>
    <sheet name="RTDP_0561" sheetId="41" r:id="rId43"/>
    <sheet name="RTPP_0561" sheetId="40" r:id="rId44"/>
    <sheet name="RTPO_0561" sheetId="39" r:id="rId45"/>
    <sheet name="RTRT_0561" sheetId="28" r:id="rId46"/>
    <sheet name="BPJDEC" sheetId="35" state="hidden" r:id="rId47"/>
    <sheet name="BPFDEC_0561" sheetId="29" r:id="rId48"/>
    <sheet name="RIO" sheetId="85" r:id="rId49"/>
    <sheet name="RTPO_0588" sheetId="84" r:id="rId50"/>
    <sheet name="RTRT_0588" sheetId="83" r:id="rId51"/>
    <sheet name="BPFDEC_0588" sheetId="82" r:id="rId52"/>
    <sheet name="IDREC" sheetId="30" r:id="rId53"/>
    <sheet name="DECPJ" sheetId="31" r:id="rId54"/>
    <sheet name="DECPF" sheetId="34" state="hidden" r:id="rId55"/>
    <sheet name="RESPO" sheetId="32" r:id="rId56"/>
    <sheet name="DIRF" sheetId="33" r:id="rId57"/>
  </sheets>
  <definedNames>
    <definedName name="_xlnm._FilterDatabase" localSheetId="3" hidden="1">TPSE!$A$2:$D$983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85" l="1"/>
  <c r="N2" i="84"/>
  <c r="M2" i="84"/>
  <c r="L2" i="84"/>
  <c r="K2" i="84"/>
  <c r="J2" i="84"/>
  <c r="I2" i="84"/>
  <c r="H2" i="84"/>
  <c r="G2" i="84"/>
  <c r="F2" i="84"/>
  <c r="E2" i="84"/>
  <c r="D2" i="84"/>
  <c r="C2" i="84"/>
  <c r="B2" i="84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O2" i="66" l="1"/>
  <c r="N2" i="66"/>
  <c r="M2" i="66"/>
  <c r="L2" i="66"/>
  <c r="K2" i="66"/>
  <c r="J2" i="66"/>
  <c r="I2" i="66"/>
  <c r="H2" i="66"/>
  <c r="G2" i="66"/>
  <c r="F2" i="66"/>
  <c r="E2" i="66"/>
  <c r="D2" i="66"/>
  <c r="C2" i="66"/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Linhas em Vermelho indicam os dependentes com idade maior que 18 e não possui CPF cadastrado</t>
        </r>
      </text>
    </commen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E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3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<sst xmlns="http://schemas.openxmlformats.org/spreadsheetml/2006/main" count="11816" uniqueCount="1217">
  <si>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</si>
  <si>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</si>
  <si>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</si>
  <si>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</si>
  <si>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</si>
  <si>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</si>
  <si>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</si>
  <si>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</si>
  <si>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</si>
  <si>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</si>
  <si>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</si>
  <si>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</si>
  <si>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</si>
  <si>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</si>
  <si>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</si>
  <si>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</si>
  <si>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</si>
  <si>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</si>
  <si>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</si>
  <si>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</si>
  <si>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</si>
  <si>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</si>
  <si>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</si>
  <si>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</si>
  <si>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</si>
  <si>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</si>
  <si>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</si>
  <si>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</si>
  <si>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</si>
  <si>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</si>
  <si>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</si>
  <si>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</si>
  <si>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</si>
  <si>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</si>
  <si>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</si>
  <si>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</si>
  <si>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</si>
  <si>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</si>
  <si>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</si>
  <si>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</si>
  <si>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</si>
  <si>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</si>
  <si>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</si>
  <si>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</si>
  <si>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</si>
  <si>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</si>
  <si>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</si>
  <si>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</si>
  <si>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</si>
  <si>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</si>
  <si>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</si>
  <si>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</si>
  <si>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</si>
  <si>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</si>
  <si>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</si>
  <si>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</si>
  <si>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</si>
  <si>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</si>
  <si>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</si>
  <si>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</si>
  <si>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</si>
  <si>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</si>
  <si>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</si>
  <si>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</si>
  <si>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</si>
  <si>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</si>
  <si>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</si>
  <si>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</si>
  <si>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</si>
  <si>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</si>
  <si>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</si>
  <si>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</si>
  <si>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</si>
  <si>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12628618885</t>
  </si>
  <si>
    <t>20600629856</t>
  </si>
  <si>
    <t xml:space="preserve"> </t>
  </si>
  <si>
    <t>INFPA – Informações do beneficiário da pensão alimentícia(identificador INFPA)
Linha vermelha(Atenção)</t>
  </si>
  <si>
    <t>2017</t>
  </si>
  <si>
    <t>2016</t>
  </si>
  <si>
    <t>N</t>
  </si>
  <si>
    <t>P49VS72</t>
  </si>
  <si>
    <t>87508427904</t>
  </si>
  <si>
    <t>MARCELO FIGUEIREDO BUENO BRANDAO</t>
  </si>
  <si>
    <t>71</t>
  </si>
  <si>
    <t>21067206</t>
  </si>
  <si>
    <t>7206</t>
  </si>
  <si>
    <t>ROSILVA@COLUMBIA.COM.BR</t>
  </si>
  <si>
    <t>13332013000100</t>
  </si>
  <si>
    <t>COLUMBIA DO NORDESTE SA</t>
  </si>
  <si>
    <t>0</t>
  </si>
  <si>
    <t>S</t>
  </si>
  <si>
    <t>0561</t>
  </si>
  <si>
    <t>00135310504</t>
  </si>
  <si>
    <t>JOSENILSON MELO DE CERQUEIRA</t>
  </si>
  <si>
    <t>00160123569</t>
  </si>
  <si>
    <t>KALIANY CONCEICAO PINHEIRO SOUZA</t>
  </si>
  <si>
    <t>00365676551</t>
  </si>
  <si>
    <t>REGINALDO SANTOS DE OLIVEIRA</t>
  </si>
  <si>
    <t>20030720</t>
  </si>
  <si>
    <t>VINICIUS URIEL SILVA DE OLIVEIRA</t>
  </si>
  <si>
    <t/>
  </si>
  <si>
    <t>00243942540</t>
  </si>
  <si>
    <t>19790423</t>
  </si>
  <si>
    <t>KELLI CRISTINA SANTOS DA SILVA</t>
  </si>
  <si>
    <t>00386471509</t>
  </si>
  <si>
    <t>PRISCILA DO PRADO MONTEIRO</t>
  </si>
  <si>
    <t>00392989573</t>
  </si>
  <si>
    <t>EMISAEL TRABUCO ALVES</t>
  </si>
  <si>
    <t>00677468539</t>
  </si>
  <si>
    <t>JACKSON SANTOS DE MORAIS</t>
  </si>
  <si>
    <t>00779174569</t>
  </si>
  <si>
    <t>TIAGO OLIVEIRA DE CARVALHO ROCHA</t>
  </si>
  <si>
    <t>00790667550</t>
  </si>
  <si>
    <t>DANIEL DE JESUS DE SANTANA</t>
  </si>
  <si>
    <t>00804734585</t>
  </si>
  <si>
    <t>LEANDRO RIBEIRO DA SILVA</t>
  </si>
  <si>
    <t>00926170503</t>
  </si>
  <si>
    <t>WASHINGTON SANTOS DA SILVA</t>
  </si>
  <si>
    <t>00987767542</t>
  </si>
  <si>
    <t>JORGE AUGUSTO CERQUEIRA ARAUJO</t>
  </si>
  <si>
    <t>00996567526</t>
  </si>
  <si>
    <t>PAULO FRANCISCO DE JESUS SANTOS</t>
  </si>
  <si>
    <t>01023001519</t>
  </si>
  <si>
    <t>EDSON TEIXEIRA DOS SANTOS</t>
  </si>
  <si>
    <t>01026565502</t>
  </si>
  <si>
    <t>CARLOS HENRIQUE DOS SANTOS PAIM</t>
  </si>
  <si>
    <t>01037958551</t>
  </si>
  <si>
    <t>TARCISIO SOUZA DE JESUS</t>
  </si>
  <si>
    <t>01074705513</t>
  </si>
  <si>
    <t>LUCAS DE ALMEIDA CASTRO ARAUJO</t>
  </si>
  <si>
    <t>01078929521</t>
  </si>
  <si>
    <t>SILVANA DE CARVALHO GUIMARAES</t>
  </si>
  <si>
    <t>01095339508</t>
  </si>
  <si>
    <t>ROSINEIDE DE SANTANA PEREIRA MELO</t>
  </si>
  <si>
    <t>01099998514</t>
  </si>
  <si>
    <t>WILLIAM CESAR DE SOUSA</t>
  </si>
  <si>
    <t>01130873579</t>
  </si>
  <si>
    <t>ANDRE LUIS SANTOS CONCEICAO</t>
  </si>
  <si>
    <t>01137821523</t>
  </si>
  <si>
    <t>RENATA FONSECA GOMES</t>
  </si>
  <si>
    <t>01144329531</t>
  </si>
  <si>
    <t>RONALDO SILVA DO ROSARIO</t>
  </si>
  <si>
    <t>01160057508</t>
  </si>
  <si>
    <t>MARIA FERNANDA MELIK DURAND</t>
  </si>
  <si>
    <t>01170020542</t>
  </si>
  <si>
    <t>JEFFERSON OLIVEIRA DE ARAUJO</t>
  </si>
  <si>
    <t>01202011519</t>
  </si>
  <si>
    <t>ELTON COUTO BARBOSA</t>
  </si>
  <si>
    <t>01205207538</t>
  </si>
  <si>
    <t>ADRIANO SANTOS MIRANDA</t>
  </si>
  <si>
    <t>01242447504</t>
  </si>
  <si>
    <t>NAZALI OLIVEIRA SILVA</t>
  </si>
  <si>
    <t>01273823567</t>
  </si>
  <si>
    <t>JAILTON REIS DA CRUZ</t>
  </si>
  <si>
    <t>01309085501</t>
  </si>
  <si>
    <t>FABIO FERNANDO CONCEICAO REIS</t>
  </si>
  <si>
    <t>01365253503</t>
  </si>
  <si>
    <t>MILENA DIAS NOGUEIRA DA SILVA</t>
  </si>
  <si>
    <t>01391122518</t>
  </si>
  <si>
    <t>LUCAS MENDES SANTANA</t>
  </si>
  <si>
    <t>01471417530</t>
  </si>
  <si>
    <t>LAERTE ALVES BARBOSA</t>
  </si>
  <si>
    <t>01482622521</t>
  </si>
  <si>
    <t>WILTON SANTOS DE OLIVEIRA</t>
  </si>
  <si>
    <t>01489796533</t>
  </si>
  <si>
    <t>ROGERIO DOS SANTOS DAS VIRGENS</t>
  </si>
  <si>
    <t>01504951530</t>
  </si>
  <si>
    <t>NARJARA MACEDO DE CARVALHO</t>
  </si>
  <si>
    <t>01528046501</t>
  </si>
  <si>
    <t>IVELTON AUGUSTO</t>
  </si>
  <si>
    <t>01529227500</t>
  </si>
  <si>
    <t>JOELBER MIRANDA DOS SANTOS</t>
  </si>
  <si>
    <t>01530848555</t>
  </si>
  <si>
    <t>SERGIO BRITO DE FREITAS</t>
  </si>
  <si>
    <t>01548141569</t>
  </si>
  <si>
    <t>ANDERSON MENDES FERREIRA</t>
  </si>
  <si>
    <t>01549887580</t>
  </si>
  <si>
    <t>LEONARDO RODRIGUES DE SOUZA</t>
  </si>
  <si>
    <t>01554718562</t>
  </si>
  <si>
    <t>ADENILSON DOS SANTOS PITA</t>
  </si>
  <si>
    <t>01573727580</t>
  </si>
  <si>
    <t>ANDERSON OLIVEIRA DO CARMO</t>
  </si>
  <si>
    <t>01583575588</t>
  </si>
  <si>
    <t>GENIVALDO SANTOS PEREIRA</t>
  </si>
  <si>
    <t>01630599506</t>
  </si>
  <si>
    <t>EDRIANA CRUZ DE SOUZA</t>
  </si>
  <si>
    <t>01649718586</t>
  </si>
  <si>
    <t>EDUARDO SANTOS DE QUEIROZ</t>
  </si>
  <si>
    <t>01652096582</t>
  </si>
  <si>
    <t>ROBERTO DE JESUS</t>
  </si>
  <si>
    <t>01686807503</t>
  </si>
  <si>
    <t>ROSALVO SANTOS CONCEICAO</t>
  </si>
  <si>
    <t>01708348590</t>
  </si>
  <si>
    <t>EVERTON COUTINHO DOS SANTOS</t>
  </si>
  <si>
    <t>01725827506</t>
  </si>
  <si>
    <t>LUCIMAR DOS SANTOS</t>
  </si>
  <si>
    <t>01748031503</t>
  </si>
  <si>
    <t>ANDERSON SANTOS NASCIMENTO</t>
  </si>
  <si>
    <t>01757876545</t>
  </si>
  <si>
    <t>SERGIO BISPO SILVA</t>
  </si>
  <si>
    <t>01768474567</t>
  </si>
  <si>
    <t>GLEIDSON DOS SANTOS BARRETO</t>
  </si>
  <si>
    <t>01847059597</t>
  </si>
  <si>
    <t>ANGELO VICTOR SOBRAL ODWYER</t>
  </si>
  <si>
    <t>01881651509</t>
  </si>
  <si>
    <t>JAILTON DOS SANTOS</t>
  </si>
  <si>
    <t>01890888508</t>
  </si>
  <si>
    <t>JOILTON MORAIS SANTANA</t>
  </si>
  <si>
    <t>01932343512</t>
  </si>
  <si>
    <t>MARCIO CARNEIRO DA SILVA</t>
  </si>
  <si>
    <t>01939567564</t>
  </si>
  <si>
    <t>PAULO CESAR JESUS DOS SANTOS</t>
  </si>
  <si>
    <t>01996830503</t>
  </si>
  <si>
    <t>ROBERT RAMOS CASTRO</t>
  </si>
  <si>
    <t>02003056548</t>
  </si>
  <si>
    <t>JAILTON SILVA DA CRUZ</t>
  </si>
  <si>
    <t>02008328597</t>
  </si>
  <si>
    <t>LUIS HENRIQUE DA SILVA DOS ANJOS</t>
  </si>
  <si>
    <t>02020419564</t>
  </si>
  <si>
    <t>LUCAS CAETANO SILVA DOS SANTOS</t>
  </si>
  <si>
    <t>02035821525</t>
  </si>
  <si>
    <t>ANTONIO MARCOS DE JESUS BARBOSA</t>
  </si>
  <si>
    <t>02038882517</t>
  </si>
  <si>
    <t>ALAN LACERDA DE SOUZA</t>
  </si>
  <si>
    <t>02055299506</t>
  </si>
  <si>
    <t>CARLOS ALELUIA DE SOUZA</t>
  </si>
  <si>
    <t>02074581548</t>
  </si>
  <si>
    <t>MARCELO PEREIRA SANTOS</t>
  </si>
  <si>
    <t>02081757508</t>
  </si>
  <si>
    <t>CINTIA HELENA DOS SANTOS SOUZA</t>
  </si>
  <si>
    <t>02094307530</t>
  </si>
  <si>
    <t>ANDERSON ROCHA SANTOS</t>
  </si>
  <si>
    <t>02133720537</t>
  </si>
  <si>
    <t>AUGUSTO CEZAR SANTOS SILVA</t>
  </si>
  <si>
    <t>02175319547</t>
  </si>
  <si>
    <t>TASSIO DA HORA SANTOS</t>
  </si>
  <si>
    <t>02192838506</t>
  </si>
  <si>
    <t>JOELMA GOMES DOS SANTOS</t>
  </si>
  <si>
    <t>02216343552</t>
  </si>
  <si>
    <t>IVONILDO MACIEL DE OLIVEIRA</t>
  </si>
  <si>
    <t>20080314</t>
  </si>
  <si>
    <t>ANA IRIS DOS SANTOS DE OLIVEIRA</t>
  </si>
  <si>
    <t>02332192506</t>
  </si>
  <si>
    <t>NIVALDO DE SOUZA LEAL</t>
  </si>
  <si>
    <t>02358694576</t>
  </si>
  <si>
    <t>DENILSON BISPO DOS REIS</t>
  </si>
  <si>
    <t>02363687531</t>
  </si>
  <si>
    <t>JOSE EVANIO SILVA DOS SANTOS</t>
  </si>
  <si>
    <t>02404030531</t>
  </si>
  <si>
    <t>RICARDO GOMES MARINHO</t>
  </si>
  <si>
    <t>02419728505</t>
  </si>
  <si>
    <t>DANIELE VILAS BOAS CONCEICAO</t>
  </si>
  <si>
    <t>02432906594</t>
  </si>
  <si>
    <t>ELINALDO DOS REIS PIEDADE</t>
  </si>
  <si>
    <t>02436164576</t>
  </si>
  <si>
    <t>ANTONIO CARLOS DE OLIVEIRA MUTTI JUNIOR</t>
  </si>
  <si>
    <t>02453600508</t>
  </si>
  <si>
    <t>JEANE SANTOS COUTINHO</t>
  </si>
  <si>
    <t>02508037559</t>
  </si>
  <si>
    <t>GILCASSIO DA SILVA BORGES</t>
  </si>
  <si>
    <t>02518191593</t>
  </si>
  <si>
    <t>GILMAR BISPO DOS SANTOS</t>
  </si>
  <si>
    <t>02530467501</t>
  </si>
  <si>
    <t>ROBSON SANTOS SILVA</t>
  </si>
  <si>
    <t>02555173510</t>
  </si>
  <si>
    <t>EVANELE DA SILVA AFONSO</t>
  </si>
  <si>
    <t>02571537563</t>
  </si>
  <si>
    <t>LUCAS HENRIQUE BRANDAO DOS SANTOS</t>
  </si>
  <si>
    <t>02577418523</t>
  </si>
  <si>
    <t>JEFERSON PEREIRA SILVA DOS SANTOS</t>
  </si>
  <si>
    <t>02604091542</t>
  </si>
  <si>
    <t>ZAAQUEU MONTEIRO DOS SANTOS</t>
  </si>
  <si>
    <t>02621822541</t>
  </si>
  <si>
    <t>MICHELE CRISTINA SANTOS DA SILVA</t>
  </si>
  <si>
    <t>02654914526</t>
  </si>
  <si>
    <t>WILLIAM CARLOS ROCHA BARAUNA</t>
  </si>
  <si>
    <t>02689602598</t>
  </si>
  <si>
    <t>EDMILSON ESTRELA DOS SANTOS</t>
  </si>
  <si>
    <t>02718719540</t>
  </si>
  <si>
    <t>FELIPE LEONARDO REIS FIGUEIREDO</t>
  </si>
  <si>
    <t>02751521541</t>
  </si>
  <si>
    <t>DJAVAN DE SOUZA SANTOS</t>
  </si>
  <si>
    <t>02783094533</t>
  </si>
  <si>
    <t>JONATHAM DOS SANTOS CARVALHO</t>
  </si>
  <si>
    <t>02868176593</t>
  </si>
  <si>
    <t>GEANE CRUZ MARINHO</t>
  </si>
  <si>
    <t>02895902569</t>
  </si>
  <si>
    <t>AGUINAILSON DE ARAUJO SILVA</t>
  </si>
  <si>
    <t>02905857595</t>
  </si>
  <si>
    <t>DELANO PEREIRA DOS SANTOS</t>
  </si>
  <si>
    <t>02916008594</t>
  </si>
  <si>
    <t>THAINARA CERQUEIRA DE LACERDA</t>
  </si>
  <si>
    <t>02927393540</t>
  </si>
  <si>
    <t>EDCARLO FROES OLIVEIRA</t>
  </si>
  <si>
    <t>02932097580</t>
  </si>
  <si>
    <t>GLENDA RAQUEL ARAUJO BASTOS PIANA</t>
  </si>
  <si>
    <t>02942108576</t>
  </si>
  <si>
    <t>FABIO RIBEIRO DE ARAUJO</t>
  </si>
  <si>
    <t>02945861569</t>
  </si>
  <si>
    <t>LETICIA CATERINE DE MATOS VITORINO</t>
  </si>
  <si>
    <t>02949200567</t>
  </si>
  <si>
    <t>JULIANA DE OLIVEIRA MAIA</t>
  </si>
  <si>
    <t>03037881518</t>
  </si>
  <si>
    <t>AGILSON BORGES DOS SANTOS</t>
  </si>
  <si>
    <t>03047048576</t>
  </si>
  <si>
    <t>JACSON DA CONCEICAO SOARES</t>
  </si>
  <si>
    <t>03104355525</t>
  </si>
  <si>
    <t>DANILO SANTOS DE ALMEIDA</t>
  </si>
  <si>
    <t>03104360529</t>
  </si>
  <si>
    <t>FERNANDO RIBEIRO DOS SANTOS</t>
  </si>
  <si>
    <t>03122633507</t>
  </si>
  <si>
    <t>LAIS DUARTE BELANDI</t>
  </si>
  <si>
    <t>03135022501</t>
  </si>
  <si>
    <t>MARILIA NASCIMENTO DOS SANTOS</t>
  </si>
  <si>
    <t>03158735580</t>
  </si>
  <si>
    <t>CESAR PEREIRA DA SILVA</t>
  </si>
  <si>
    <t>03163118550</t>
  </si>
  <si>
    <t>JEFERSON SILVA MAIA SOUZA</t>
  </si>
  <si>
    <t>03171277565</t>
  </si>
  <si>
    <t>RAFAELA BATISTA MOURA</t>
  </si>
  <si>
    <t>03250538558</t>
  </si>
  <si>
    <t>JOCIVALDO OLIVEIRA DE BARROS</t>
  </si>
  <si>
    <t>03264132516</t>
  </si>
  <si>
    <t>UELISON ALVES DOS SANTOS</t>
  </si>
  <si>
    <t>03271128596</t>
  </si>
  <si>
    <t>EDEVALDO SANTOS DA CRUZ</t>
  </si>
  <si>
    <t>03287842579</t>
  </si>
  <si>
    <t>DIJAVAN DOS SANTOS TAVARES</t>
  </si>
  <si>
    <t>03291026560</t>
  </si>
  <si>
    <t>ADRENILSON REIS DOS SANTOS</t>
  </si>
  <si>
    <t>03321887525</t>
  </si>
  <si>
    <t>JOSIMAR RAMOS ARAUJO</t>
  </si>
  <si>
    <t>03323454596</t>
  </si>
  <si>
    <t>JOSE MARQUIS DE JESUS SOUZA</t>
  </si>
  <si>
    <t>03329703539</t>
  </si>
  <si>
    <t>LUIS FERNANDO NOBRE DE CARVALHO</t>
  </si>
  <si>
    <t>03351527594</t>
  </si>
  <si>
    <t>EDSON BISPO DOS SANTOS</t>
  </si>
  <si>
    <t>03356044559</t>
  </si>
  <si>
    <t>THIAGO RANGEL DOS REIS SANTOS</t>
  </si>
  <si>
    <t>03385924588</t>
  </si>
  <si>
    <t>OTTO CLEY SOUZA DOS SANTOS</t>
  </si>
  <si>
    <t>03396026519</t>
  </si>
  <si>
    <t>PHILIPE GOMES DA SILVA ARAUJO</t>
  </si>
  <si>
    <t>03410628550</t>
  </si>
  <si>
    <t>ALAN CESAR GOMES LOPES DE ALMEIDA</t>
  </si>
  <si>
    <t>03422813560</t>
  </si>
  <si>
    <t>ARIOSVALDO FLAVIO DE JESUS SANTOS</t>
  </si>
  <si>
    <t>03440078558</t>
  </si>
  <si>
    <t>JEFERSON DA PAIXAO OLIVEIRA</t>
  </si>
  <si>
    <t>03452311554</t>
  </si>
  <si>
    <t>VINICIUS ARAUJO SILVA SANTOS</t>
  </si>
  <si>
    <t>03458819584</t>
  </si>
  <si>
    <t>THIAGO CATHARINO GORDILHO</t>
  </si>
  <si>
    <t>03489367537</t>
  </si>
  <si>
    <t>AGNELO SOARES NETO</t>
  </si>
  <si>
    <t>03526869529</t>
  </si>
  <si>
    <t>JEAN SANTOS VIEIRA</t>
  </si>
  <si>
    <t>03620487545</t>
  </si>
  <si>
    <t>JEAN PATRICIO DE MORAIS BOMFIM</t>
  </si>
  <si>
    <t>03652590805</t>
  </si>
  <si>
    <t>JOSE CLAUDINEI DE OLIVEIRA</t>
  </si>
  <si>
    <t>03660437573</t>
  </si>
  <si>
    <t>GEORGE MELO DOS SANTOS</t>
  </si>
  <si>
    <t>03711546501</t>
  </si>
  <si>
    <t>SERGIO DE JESUS DOS SANTOS</t>
  </si>
  <si>
    <t>03753224502</t>
  </si>
  <si>
    <t>ANDERSON SANTOS FLORES</t>
  </si>
  <si>
    <t>03766353551</t>
  </si>
  <si>
    <t>ALESSANDO DE OLIVEIRA URPIA</t>
  </si>
  <si>
    <t>03832461566</t>
  </si>
  <si>
    <t>JOSIMO SANTOS SENA</t>
  </si>
  <si>
    <t>03841906508</t>
  </si>
  <si>
    <t>DENIS LAGO DE FRANCA</t>
  </si>
  <si>
    <t>03895609528</t>
  </si>
  <si>
    <t>ALECHANDRE BRUNO SOARES SILVA</t>
  </si>
  <si>
    <t>03913816526</t>
  </si>
  <si>
    <t>GILVAN DE QUEIROZ DE ALMEIDA</t>
  </si>
  <si>
    <t>03944933540</t>
  </si>
  <si>
    <t>DIEYSE MAIANA SOUZA DE JESUS</t>
  </si>
  <si>
    <t>03956500547</t>
  </si>
  <si>
    <t>ALAN DOS REIS CIRQUEIRA</t>
  </si>
  <si>
    <t>03965421581</t>
  </si>
  <si>
    <t>ELIANITON DA SILVA SANTOS</t>
  </si>
  <si>
    <t>03972571550</t>
  </si>
  <si>
    <t>EDMILSON DA SILVA MACHADO</t>
  </si>
  <si>
    <t>03977462539</t>
  </si>
  <si>
    <t>VALMIR NERI DA SILVA JUNIOR</t>
  </si>
  <si>
    <t>04080594518</t>
  </si>
  <si>
    <t>REINALDO PEREIRA DE JESUS</t>
  </si>
  <si>
    <t>04091095500</t>
  </si>
  <si>
    <t>JOAO MARCELO ARAUJO DE JESUS</t>
  </si>
  <si>
    <t>04119651584</t>
  </si>
  <si>
    <t>LAERCIO DE JESUS ALMEIDA</t>
  </si>
  <si>
    <t>04136193548</t>
  </si>
  <si>
    <t>TIAGO SANTOS DA SILVA</t>
  </si>
  <si>
    <t>04139877529</t>
  </si>
  <si>
    <t>JORGE AUGUSTO FERREIRA OLIVEIRA</t>
  </si>
  <si>
    <t>04145467507</t>
  </si>
  <si>
    <t>ALAN INVENCAO SANTOS</t>
  </si>
  <si>
    <t>04196855539</t>
  </si>
  <si>
    <t>ISLAN CARLOS SANTANA SANTOS</t>
  </si>
  <si>
    <t>04214643569</t>
  </si>
  <si>
    <t>LAIANE AMADO SOARES</t>
  </si>
  <si>
    <t>04242540850</t>
  </si>
  <si>
    <t>VAGNER MOLINA CACERE</t>
  </si>
  <si>
    <t>04300887527</t>
  </si>
  <si>
    <t>REINAN SANTOS ARAUJO</t>
  </si>
  <si>
    <t>04308256500</t>
  </si>
  <si>
    <t>CARLOS ALBERTO OLIVEIRA DA COSTA</t>
  </si>
  <si>
    <t>04312360545</t>
  </si>
  <si>
    <t>RONEI MOTA OLIVEIRA DA SILVA</t>
  </si>
  <si>
    <t>04349723552</t>
  </si>
  <si>
    <t>THIAGO JESUS DE SOUZA</t>
  </si>
  <si>
    <t>04403577563</t>
  </si>
  <si>
    <t>IRAN SAMPAIO DE JESUS</t>
  </si>
  <si>
    <t>04422187538</t>
  </si>
  <si>
    <t>DIEGO SILVA DA HORA</t>
  </si>
  <si>
    <t>04447385503</t>
  </si>
  <si>
    <t>RAUL BARBOSA DA SILVA</t>
  </si>
  <si>
    <t>04495717502</t>
  </si>
  <si>
    <t>QUEZIA DE ANDRADE SILVA</t>
  </si>
  <si>
    <t>04578887502</t>
  </si>
  <si>
    <t>WALACY ROBERTO DE MELO SANTOS</t>
  </si>
  <si>
    <t>04582495567</t>
  </si>
  <si>
    <t>GEOVANE SANTOS DE JESUS</t>
  </si>
  <si>
    <t>04582694500</t>
  </si>
  <si>
    <t>RAMON PINHEIRO LIMA DE JESUS</t>
  </si>
  <si>
    <t>04603092504</t>
  </si>
  <si>
    <t>REGINILSON SOUZA PEREIRA</t>
  </si>
  <si>
    <t>04627819501</t>
  </si>
  <si>
    <t>JEFERSON PEREIRA CORREIA</t>
  </si>
  <si>
    <t>04670622501</t>
  </si>
  <si>
    <t>CARLOS SIDNEI DE ANDRADE CONCEICAO</t>
  </si>
  <si>
    <t>04796602550</t>
  </si>
  <si>
    <t>ROGERIO RIBEIRO PINTO</t>
  </si>
  <si>
    <t>04848121574</t>
  </si>
  <si>
    <t>SILVIA LUCIANA AMORIM SOARES</t>
  </si>
  <si>
    <t>04916831543</t>
  </si>
  <si>
    <t>PEDRO SILVA NASCIMENTO</t>
  </si>
  <si>
    <t>04985421570</t>
  </si>
  <si>
    <t>ELIELSON SILVA SANTOS</t>
  </si>
  <si>
    <t>04989140540</t>
  </si>
  <si>
    <t>THIEVSON CERQUEIRA SILVA</t>
  </si>
  <si>
    <t>05017665536</t>
  </si>
  <si>
    <t>BRUNO CABRAL BISPO DOS SANTOS</t>
  </si>
  <si>
    <t>05057033514</t>
  </si>
  <si>
    <t>DIVANILSON DOS SANTOS MACIEL</t>
  </si>
  <si>
    <t>05079557575</t>
  </si>
  <si>
    <t>JADSON SANTANA BOMFIM</t>
  </si>
  <si>
    <t>05127325586</t>
  </si>
  <si>
    <t>JONATHAN RODRIGUES SANTOS</t>
  </si>
  <si>
    <t>05149086533</t>
  </si>
  <si>
    <t>IARA BARROS DA SILVA</t>
  </si>
  <si>
    <t>05177259595</t>
  </si>
  <si>
    <t>VICTOR ARAUJO SILVA SANTOS</t>
  </si>
  <si>
    <t>05183540594</t>
  </si>
  <si>
    <t>THIERRES BORGES CELESTINO</t>
  </si>
  <si>
    <t>05196502556</t>
  </si>
  <si>
    <t>VALERIA GOMES SILVA</t>
  </si>
  <si>
    <t>05259979540</t>
  </si>
  <si>
    <t>JOSEMIR LIMA SALES</t>
  </si>
  <si>
    <t>05276613508</t>
  </si>
  <si>
    <t>SANDRO SANTOS D ANUNCIACAO</t>
  </si>
  <si>
    <t>05296786599</t>
  </si>
  <si>
    <t>RODRIGO ALVES DOS SANTOS</t>
  </si>
  <si>
    <t>05316543548</t>
  </si>
  <si>
    <t>MARCELA PIRES WEST GUIMARAES</t>
  </si>
  <si>
    <t>05324678503</t>
  </si>
  <si>
    <t>JESSICA LIMA SANTOS</t>
  </si>
  <si>
    <t>05340480569</t>
  </si>
  <si>
    <t>RICARDO DA PAIXAO MACIEL</t>
  </si>
  <si>
    <t>05377894561</t>
  </si>
  <si>
    <t>RODRIGO KLEBER OLIVEIRA PIMENTEL</t>
  </si>
  <si>
    <t>05417140589</t>
  </si>
  <si>
    <t>LUCAS ARAUJO FELIX SANTANA</t>
  </si>
  <si>
    <t>05489150599</t>
  </si>
  <si>
    <t>LEONARDO PIMENTEL DO ROSARIO</t>
  </si>
  <si>
    <t>05505290558</t>
  </si>
  <si>
    <t>CINDY MILENI ALVARES NASCIMENTO</t>
  </si>
  <si>
    <t>05520093504</t>
  </si>
  <si>
    <t>WESLEY FONSECA SANTOS</t>
  </si>
  <si>
    <t>05535491543</t>
  </si>
  <si>
    <t>MAYRA LIMA SILVA</t>
  </si>
  <si>
    <t>05538201503</t>
  </si>
  <si>
    <t>THALISSON OLIVEIRA RIBEIRO</t>
  </si>
  <si>
    <t>05548529501</t>
  </si>
  <si>
    <t>BIANCA PEREIRA SANTANA SANTA ROSA</t>
  </si>
  <si>
    <t>05579823592</t>
  </si>
  <si>
    <t>JOAO CARLOS VIEIRA JUNIOR</t>
  </si>
  <si>
    <t>05581231559</t>
  </si>
  <si>
    <t>YAGO DA SILVA SIMOES DUARTE</t>
  </si>
  <si>
    <t>05623519571</t>
  </si>
  <si>
    <t>JORGE LUIZ DOS SANTOS PEREIRA JUNIOR</t>
  </si>
  <si>
    <t>05650018502</t>
  </si>
  <si>
    <t>ALECIA DOS SANTOS GOMES</t>
  </si>
  <si>
    <t>05668782590</t>
  </si>
  <si>
    <t>WILIAN OLIVEIRA DE SANTANA</t>
  </si>
  <si>
    <t>05677192511</t>
  </si>
  <si>
    <t>LUCIANO SANTOS SILVA</t>
  </si>
  <si>
    <t>05697795530</t>
  </si>
  <si>
    <t>BARBARA CRISTINA DE CARVALHO CONCEICAO</t>
  </si>
  <si>
    <t>05705351585</t>
  </si>
  <si>
    <t>KEILA RAMOS DIAS</t>
  </si>
  <si>
    <t>05734888516</t>
  </si>
  <si>
    <t>TAINA DOS SANTOS OLIVEIRA</t>
  </si>
  <si>
    <t>05865939505</t>
  </si>
  <si>
    <t>LANDERSON SANTOS DE ALCANTARA</t>
  </si>
  <si>
    <t>05865953508</t>
  </si>
  <si>
    <t>MILSON MILLER SILVA DE OLIVEIRA</t>
  </si>
  <si>
    <t>05929578532</t>
  </si>
  <si>
    <t>JOAO LENON FIUZA COSTA LEITE</t>
  </si>
  <si>
    <t>05949212525</t>
  </si>
  <si>
    <t>JONATHAS DOS SANTOS CONCEICAO</t>
  </si>
  <si>
    <t>06030331566</t>
  </si>
  <si>
    <t>PLINIO FARIAS DOS SANTOS</t>
  </si>
  <si>
    <t>06093934560</t>
  </si>
  <si>
    <t>TAISE SANTOS ANDRADE</t>
  </si>
  <si>
    <t>06116659560</t>
  </si>
  <si>
    <t>EMENSON SOUZA MOTA</t>
  </si>
  <si>
    <t>06244883578</t>
  </si>
  <si>
    <t>DANIELE SANTOS SOUZA</t>
  </si>
  <si>
    <t>06292234592</t>
  </si>
  <si>
    <t>CATLEN SILVA DE JESUS</t>
  </si>
  <si>
    <t>06312791564</t>
  </si>
  <si>
    <t>GLEIDSON CARLOS DA SILVA MELO JUNIOR</t>
  </si>
  <si>
    <t>06350688503</t>
  </si>
  <si>
    <t>JEFERSON DE JESUS SANTOS</t>
  </si>
  <si>
    <t>06388247539</t>
  </si>
  <si>
    <t>JUSSIMAR RIBEIRO SANTOS</t>
  </si>
  <si>
    <t>06505595503</t>
  </si>
  <si>
    <t>RENILSON SILVA DANTAS</t>
  </si>
  <si>
    <t>06575782582</t>
  </si>
  <si>
    <t>BRUNO TELES FREITAS DOS SANTOS</t>
  </si>
  <si>
    <t>06708473569</t>
  </si>
  <si>
    <t>ARISSON MATHEUS SILVA DE FREITAS</t>
  </si>
  <si>
    <t>06725113559</t>
  </si>
  <si>
    <t>NAYALE SOARES DOS SANTOS</t>
  </si>
  <si>
    <t>06780278548</t>
  </si>
  <si>
    <t>WALLISON ROBERT GONCALVES FREITAS</t>
  </si>
  <si>
    <t>06791674555</t>
  </si>
  <si>
    <t>DAISIANE BRITO DOS SANTOS</t>
  </si>
  <si>
    <t>06825888579</t>
  </si>
  <si>
    <t>WESLEY SILVA OLIVEIRA</t>
  </si>
  <si>
    <t>06897292516</t>
  </si>
  <si>
    <t>MILENA RAMOS SANTOS</t>
  </si>
  <si>
    <t>06935752558</t>
  </si>
  <si>
    <t>HENRIQUE SILVA DO NASCIMENTO</t>
  </si>
  <si>
    <t>07045842554</t>
  </si>
  <si>
    <t>GABRIEL AMARO DIAS DE JESUS MELO</t>
  </si>
  <si>
    <t>07087320548</t>
  </si>
  <si>
    <t>ISAIAS DE BRITO MACHADO</t>
  </si>
  <si>
    <t>07134760529</t>
  </si>
  <si>
    <t>JESSICA VICTORIA SANTOS DE SOUZA</t>
  </si>
  <si>
    <t>07399902500</t>
  </si>
  <si>
    <t>ADEMILSON OLIVEIRA SANTANA JUNIOR</t>
  </si>
  <si>
    <t>07440627563</t>
  </si>
  <si>
    <t>CARLOS AUGUSTO MUNIZ DOS SANTOS</t>
  </si>
  <si>
    <t>07552667575</t>
  </si>
  <si>
    <t>KATTY DE OLIVEIRA CRUZ</t>
  </si>
  <si>
    <t>07579138573</t>
  </si>
  <si>
    <t>GABRIEL MACEDO DOS SANTOS</t>
  </si>
  <si>
    <t>07722599508</t>
  </si>
  <si>
    <t>ARTUR SANTOS DE QUEIROZ</t>
  </si>
  <si>
    <t>07724646503</t>
  </si>
  <si>
    <t>EDILENE BATISTA ALVES</t>
  </si>
  <si>
    <t>07741974556</t>
  </si>
  <si>
    <t>IGOR GABRIEL MARQUES ALMEIDA</t>
  </si>
  <si>
    <t>07762774564</t>
  </si>
  <si>
    <t>LUIZ MIGUEL DE MORGADO CHAVES</t>
  </si>
  <si>
    <t>07773987530</t>
  </si>
  <si>
    <t>OLAVO VINICIOS OLIVEIRA DOS SANTOS NETO</t>
  </si>
  <si>
    <t>07793759559</t>
  </si>
  <si>
    <t>DEIVIDE CRISMAN DE JESUS SILVA</t>
  </si>
  <si>
    <t>08008188570</t>
  </si>
  <si>
    <t>CAIQUE DA SILVA XAVIER</t>
  </si>
  <si>
    <t>08021637501</t>
  </si>
  <si>
    <t>ITALA DE ALMEIDA DE JESUS</t>
  </si>
  <si>
    <t>08255077588</t>
  </si>
  <si>
    <t>MELQUIZEDEQUE CERQUEIRA RAMOS FILHO</t>
  </si>
  <si>
    <t>10859748553</t>
  </si>
  <si>
    <t>JOSELIA OLIVEIRA DO ESPIRITO SANTO</t>
  </si>
  <si>
    <t>11134918844</t>
  </si>
  <si>
    <t>FERNANDO DE ALMEIDA QUILICHINI</t>
  </si>
  <si>
    <t>15617530500</t>
  </si>
  <si>
    <t>GUTEMBERG DE JESUS PITA</t>
  </si>
  <si>
    <t>16974948549</t>
  </si>
  <si>
    <t>JORGE RODRIGUES DOS SANTOS</t>
  </si>
  <si>
    <t>21656179873</t>
  </si>
  <si>
    <t>CLAUDIO ALMEIDA SANTOS</t>
  </si>
  <si>
    <t>23712066520</t>
  </si>
  <si>
    <t>ALMIR ROCHA DOS SANTOS</t>
  </si>
  <si>
    <t>23759216587</t>
  </si>
  <si>
    <t>JOAO LUIZ SANTOS FILHO</t>
  </si>
  <si>
    <t>25461168515</t>
  </si>
  <si>
    <t>ANTONIO ALVES DOS SANTOS</t>
  </si>
  <si>
    <t>26169661828</t>
  </si>
  <si>
    <t>DOUGLAS DE MOURA FERREIRA</t>
  </si>
  <si>
    <t>26533535803</t>
  </si>
  <si>
    <t>ARTUR DA PAIXAO FILHO</t>
  </si>
  <si>
    <t>26961340814</t>
  </si>
  <si>
    <t>EDNALDO GOMES</t>
  </si>
  <si>
    <t>28843487515</t>
  </si>
  <si>
    <t>ALOISIO OLIVEIRA DOS ANJOS</t>
  </si>
  <si>
    <t>29569800500</t>
  </si>
  <si>
    <t>EDVALDO FERREIRA</t>
  </si>
  <si>
    <t>32521014591</t>
  </si>
  <si>
    <t>VALDIR ALVES RODRIGUES</t>
  </si>
  <si>
    <t>35499013802</t>
  </si>
  <si>
    <t>BRUNO MENDONCA NOGUEIRA</t>
  </si>
  <si>
    <t>35804637568</t>
  </si>
  <si>
    <t>DIVANY BOMFIM SANTOS</t>
  </si>
  <si>
    <t>36576552807</t>
  </si>
  <si>
    <t>RAFAEL DOS SANTOS NASCIMENTO</t>
  </si>
  <si>
    <t>36684112553</t>
  </si>
  <si>
    <t>RAIMUNDO NONATO DA SILVA</t>
  </si>
  <si>
    <t>39785092534</t>
  </si>
  <si>
    <t>PAULO ROBERTO DIAS DOS SANTOS</t>
  </si>
  <si>
    <t>40631605568</t>
  </si>
  <si>
    <t>ANTONIO JORGE DE JESUS SANTANA</t>
  </si>
  <si>
    <t>40650529472</t>
  </si>
  <si>
    <t>MARCOS ANTONIO ALVARES SOUSA</t>
  </si>
  <si>
    <t>40720055504</t>
  </si>
  <si>
    <t>EGIDIO BARBOSA</t>
  </si>
  <si>
    <t>41730518591</t>
  </si>
  <si>
    <t>NATALINO DE JESUS OLIVEIRA</t>
  </si>
  <si>
    <t>42315778549</t>
  </si>
  <si>
    <t>PAULO ROBERTO MOREIRA SANTOS</t>
  </si>
  <si>
    <t>43091890406</t>
  </si>
  <si>
    <t>JOSE LUIZ CABRAL</t>
  </si>
  <si>
    <t>46597476549</t>
  </si>
  <si>
    <t>ANDERSON DE OLIVEIRA NABUCO</t>
  </si>
  <si>
    <t>46822828591</t>
  </si>
  <si>
    <t>JOSEVANDO CARVALHO DA SILVA</t>
  </si>
  <si>
    <t>47144467549</t>
  </si>
  <si>
    <t>ELIAS PURCINIANO CHAGAS DA CRUZ</t>
  </si>
  <si>
    <t>47265779568</t>
  </si>
  <si>
    <t>EDNALDO SILVA DE JESUS</t>
  </si>
  <si>
    <t>47772662572</t>
  </si>
  <si>
    <t>CLAUDIO MARZO SANTANA DA SILVA</t>
  </si>
  <si>
    <t>48898783515</t>
  </si>
  <si>
    <t>GERSON DAMINAM DOS SANTOS</t>
  </si>
  <si>
    <t>48922870591</t>
  </si>
  <si>
    <t>ARIVALDO DE ALMEIDA LIMA</t>
  </si>
  <si>
    <t>50190148500</t>
  </si>
  <si>
    <t>JOSE ELIAS PEREIRA DOS REIS</t>
  </si>
  <si>
    <t>50787330515</t>
  </si>
  <si>
    <t>EDDY LEWTON DE JESUS</t>
  </si>
  <si>
    <t>51002230578</t>
  </si>
  <si>
    <t>NEIL JOSE FERNANDES PIRAJA</t>
  </si>
  <si>
    <t>51402580568</t>
  </si>
  <si>
    <t>FRANCISCO RODRIGUES VIEIRA REIS MERCES</t>
  </si>
  <si>
    <t>51748053515</t>
  </si>
  <si>
    <t>HELISON MENESES DA SILVA</t>
  </si>
  <si>
    <t>52001628315</t>
  </si>
  <si>
    <t>MARLON DE OLIVEIRA LIMA</t>
  </si>
  <si>
    <t>20020424</t>
  </si>
  <si>
    <t>MARLA ISABELLE COSTA LIMA</t>
  </si>
  <si>
    <t>54221145820</t>
  </si>
  <si>
    <t>OZONI PICAO ARGENTON JUNIOR</t>
  </si>
  <si>
    <t>56547145549</t>
  </si>
  <si>
    <t>CRISTIANO SOUZA SANTOS</t>
  </si>
  <si>
    <t>20000818</t>
  </si>
  <si>
    <t>ELIZIA BRENDA DIAS DA SILVA</t>
  </si>
  <si>
    <t>56739249504</t>
  </si>
  <si>
    <t>CARLOS ANDRE JESUS DA CONCEICAO</t>
  </si>
  <si>
    <t>59272724520</t>
  </si>
  <si>
    <t>REGINALDO NASCIMENTO DA CONCEICAO</t>
  </si>
  <si>
    <t>61094048534</t>
  </si>
  <si>
    <t>JALDECI DE SOUSA SANTOS</t>
  </si>
  <si>
    <t>61456357549</t>
  </si>
  <si>
    <t>WELSON DE OLIVEIRA COSTA</t>
  </si>
  <si>
    <t>63854120591</t>
  </si>
  <si>
    <t>WENDEL OLIVEIRA LEAL</t>
  </si>
  <si>
    <t>64454479534</t>
  </si>
  <si>
    <t>RAIMUNDO JOSE DA SILVA</t>
  </si>
  <si>
    <t>66877920597</t>
  </si>
  <si>
    <t>JOSE AUGUSTO BOMFIM DO ESPIRITO SANTO</t>
  </si>
  <si>
    <t>67096921591</t>
  </si>
  <si>
    <t>MARCOS OLIVEIRA SANTANA</t>
  </si>
  <si>
    <t>67218865534</t>
  </si>
  <si>
    <t>ANDRE LUIS RAMOS MUNIZ</t>
  </si>
  <si>
    <t>67732674553</t>
  </si>
  <si>
    <t>ALBERTO LUIZ MELO AMARAL</t>
  </si>
  <si>
    <t>67793614534</t>
  </si>
  <si>
    <t>HILARIO MANOEL DA CONCEICAO NETO</t>
  </si>
  <si>
    <t>69752958591</t>
  </si>
  <si>
    <t>JOSE BOMFIN DOS SANTOS COSTA</t>
  </si>
  <si>
    <t>74104659568</t>
  </si>
  <si>
    <t>GILMAR GOMES ANDRADDE</t>
  </si>
  <si>
    <t>76789470549</t>
  </si>
  <si>
    <t>RAIMUNDO JORGE SOARES</t>
  </si>
  <si>
    <t>77588754591</t>
  </si>
  <si>
    <t>ALEXSANDER TAVARES DE SOUZA SANTOS</t>
  </si>
  <si>
    <t>77836669572</t>
  </si>
  <si>
    <t>CESAR BORGES SANTOS</t>
  </si>
  <si>
    <t>77940326520</t>
  </si>
  <si>
    <t>JAILSON LUZ DOS SANTOS</t>
  </si>
  <si>
    <t>77986776587</t>
  </si>
  <si>
    <t>ROBERVALDO SILVA SOUSA</t>
  </si>
  <si>
    <t>78020395504</t>
  </si>
  <si>
    <t>RAFAEL CASTRO DO AMARAL NETO</t>
  </si>
  <si>
    <t>78047013572</t>
  </si>
  <si>
    <t>CLAUDIA MIRIA ALVES FONTOURA SANTOS</t>
  </si>
  <si>
    <t>78082196572</t>
  </si>
  <si>
    <t>MARINALDO CARVALHO DA PAIXAO</t>
  </si>
  <si>
    <t>78144078500</t>
  </si>
  <si>
    <t>ANTONIO CARLOS SILVA CORREIA</t>
  </si>
  <si>
    <t>78292980504</t>
  </si>
  <si>
    <t>EDSON SILVA DOS SANTOS</t>
  </si>
  <si>
    <t>78329540510</t>
  </si>
  <si>
    <t>MILENA ALVES GOMES</t>
  </si>
  <si>
    <t>78424704568</t>
  </si>
  <si>
    <t>FABIO HERCULANO SANTANA</t>
  </si>
  <si>
    <t>78673356504</t>
  </si>
  <si>
    <t>ANDERSON CARLOS RAMOS DOS SANTOS</t>
  </si>
  <si>
    <t>78724457515</t>
  </si>
  <si>
    <t>LUCIANA DA SILVA PEREIRA</t>
  </si>
  <si>
    <t>78743486568</t>
  </si>
  <si>
    <t>MAURICIO DE SOUZA BARROS</t>
  </si>
  <si>
    <t>78778689520</t>
  </si>
  <si>
    <t>WANDER ESCOBAR DOS SANTOS</t>
  </si>
  <si>
    <t>78987750582</t>
  </si>
  <si>
    <t>TATIANE NASCIMENTO DOS SANTOS COSTA</t>
  </si>
  <si>
    <t>79052703515</t>
  </si>
  <si>
    <t>LAUDIMIR DA SILVA</t>
  </si>
  <si>
    <t>79286410549</t>
  </si>
  <si>
    <t>UIRA CORDEIRO PEREIRA</t>
  </si>
  <si>
    <t>79403760559</t>
  </si>
  <si>
    <t>JOSE RAIMUNDO SANTOS ROSA</t>
  </si>
  <si>
    <t>79456383504</t>
  </si>
  <si>
    <t>ANDERSON MOREIRA ESTRELA</t>
  </si>
  <si>
    <t>79522939587</t>
  </si>
  <si>
    <t>JADILSON BRITO DOS SANTOS</t>
  </si>
  <si>
    <t>79541100520</t>
  </si>
  <si>
    <t>MURILLO MELLO OLIVEIRA</t>
  </si>
  <si>
    <t>79565417515</t>
  </si>
  <si>
    <t>JAILTON SANTOS CONCEICAO</t>
  </si>
  <si>
    <t>79858848587</t>
  </si>
  <si>
    <t>FABIANA BENTO COSTA DE SANTANA</t>
  </si>
  <si>
    <t>79997481534</t>
  </si>
  <si>
    <t>DARLA CONCEICAO SANTOS</t>
  </si>
  <si>
    <t>80170331504</t>
  </si>
  <si>
    <t>ALEXSANDRO PAULO</t>
  </si>
  <si>
    <t>80270972587</t>
  </si>
  <si>
    <t>ADEMILTON BARBOSA SANTIAGO</t>
  </si>
  <si>
    <t>80309895553</t>
  </si>
  <si>
    <t>OSVALDO VIANA JUNIOR</t>
  </si>
  <si>
    <t>80358250544</t>
  </si>
  <si>
    <t>JEFERSON DOS SANTOS MASCARENHAS</t>
  </si>
  <si>
    <t>80470262591</t>
  </si>
  <si>
    <t>IVANILSON DE ALMEIDA BARBOSA</t>
  </si>
  <si>
    <t>80608426504</t>
  </si>
  <si>
    <t>DARLENE PAULA DE SOUSA LIMA</t>
  </si>
  <si>
    <t>80614370582</t>
  </si>
  <si>
    <t>JEFERSON CLEITON FERREIRA RIBEIRO</t>
  </si>
  <si>
    <t>80770290515</t>
  </si>
  <si>
    <t>MARCOS ANTONIO MELQUIADES SANTANA</t>
  </si>
  <si>
    <t>80791948587</t>
  </si>
  <si>
    <t>ANTONIO MARCOS CONCEICAO SANTOS</t>
  </si>
  <si>
    <t>80877788553</t>
  </si>
  <si>
    <t>DEUSDETE SANTOS LIMA</t>
  </si>
  <si>
    <t>80911889515</t>
  </si>
  <si>
    <t>REGINALDO ALMEIDA DOS SANTOS</t>
  </si>
  <si>
    <t>80972365591</t>
  </si>
  <si>
    <t>BERNARDO MARTINS CATHARINO GORDILHO</t>
  </si>
  <si>
    <t>80977731553</t>
  </si>
  <si>
    <t>MARCIA DANIELE DE SOUZA OLIVEIRA</t>
  </si>
  <si>
    <t>81007760591</t>
  </si>
  <si>
    <t>LUCIANO SANTOS DA CONCEICAO</t>
  </si>
  <si>
    <t>81113080515</t>
  </si>
  <si>
    <t>UILTON VITORIO SANTOS</t>
  </si>
  <si>
    <t>81165978504</t>
  </si>
  <si>
    <t>FERNANDO SOUZA SILVA</t>
  </si>
  <si>
    <t>81207050504</t>
  </si>
  <si>
    <t>CARLOS MAGNO DOS SANTOS MOREIRA</t>
  </si>
  <si>
    <t>81631677500</t>
  </si>
  <si>
    <t>WASHINGTON DO VALE NUNES</t>
  </si>
  <si>
    <t>81661789587</t>
  </si>
  <si>
    <t>JACKSON GOMES SANTANA</t>
  </si>
  <si>
    <t>81747225568</t>
  </si>
  <si>
    <t>ORLEANS JESUS DE BRITO</t>
  </si>
  <si>
    <t>81770332553</t>
  </si>
  <si>
    <t>ALDERICO JESUS DE BRITO</t>
  </si>
  <si>
    <t>81932685553</t>
  </si>
  <si>
    <t>LEANDRO CARVALHO DE ALMEIDA</t>
  </si>
  <si>
    <t>81999534549</t>
  </si>
  <si>
    <t>DAISY SANTOS FARIAS</t>
  </si>
  <si>
    <t>82142149553</t>
  </si>
  <si>
    <t>GILSON TELES DOS SANTOS</t>
  </si>
  <si>
    <t>82151105504</t>
  </si>
  <si>
    <t>VINICIUS RAIMUNDO CARIBE DOS SANTOS</t>
  </si>
  <si>
    <t>82318824568</t>
  </si>
  <si>
    <t>IARA CRISTINA FERREIRA DE SOUZA</t>
  </si>
  <si>
    <t>82336482568</t>
  </si>
  <si>
    <t>CATIA FRANCISCA MENEZES DOS SANTOS</t>
  </si>
  <si>
    <t>82494410525</t>
  </si>
  <si>
    <t>CECILIA DE ALENCAR LIBORIO MONTEIRO</t>
  </si>
  <si>
    <t>82529485534</t>
  </si>
  <si>
    <t>LUCIANA BOMFIM SANTOS PEREIRA</t>
  </si>
  <si>
    <t>82665290510</t>
  </si>
  <si>
    <t>CARLOS ALBERTO DA SILVA PEREIRA</t>
  </si>
  <si>
    <t>82722633515</t>
  </si>
  <si>
    <t>ROSANGELA DE SOUZA DA SILVA</t>
  </si>
  <si>
    <t>82811580506</t>
  </si>
  <si>
    <t>JOSEFA BARROS SANTOS</t>
  </si>
  <si>
    <t>83100679504</t>
  </si>
  <si>
    <t>CLEIDSON BONFIM SILVA SANTANNA</t>
  </si>
  <si>
    <t>83104089515</t>
  </si>
  <si>
    <t>CLECILEIDE CARDOSO RIBEIRO</t>
  </si>
  <si>
    <t>83148949587</t>
  </si>
  <si>
    <t>JOSE CARLOS ALVES DOS SANTOS</t>
  </si>
  <si>
    <t>84186780544</t>
  </si>
  <si>
    <t>LEONARDO RIBEIRO DE OLIVEIRA</t>
  </si>
  <si>
    <t>84211288504</t>
  </si>
  <si>
    <t>ITALO DA PAIXAO OLIVEIRA</t>
  </si>
  <si>
    <t>84315369500</t>
  </si>
  <si>
    <t>ADEILSON FERREIRA DE SOUSA</t>
  </si>
  <si>
    <t>85090140510</t>
  </si>
  <si>
    <t>UEVERTON SANTOS BARBOSA</t>
  </si>
  <si>
    <t>85209899500</t>
  </si>
  <si>
    <t>BRUNO CAIO DA ASSUNCAO SANTOS</t>
  </si>
  <si>
    <t>85288462534</t>
  </si>
  <si>
    <t>LUAN RICARDO RAMOS PEREIRA</t>
  </si>
  <si>
    <t>85404152591</t>
  </si>
  <si>
    <t>LUIZ TEIXEIRA DOS SANTOS NETO</t>
  </si>
  <si>
    <t>85529249515</t>
  </si>
  <si>
    <t>DANILO TRINDADE DOS SANTOS SOUZA</t>
  </si>
  <si>
    <t>85532649553</t>
  </si>
  <si>
    <t>BRUNO LUIZ SILVA E SILVA</t>
  </si>
  <si>
    <t>85554944515</t>
  </si>
  <si>
    <t>TATIANE CARVALHO SOUZA SANTOS</t>
  </si>
  <si>
    <t>85788515521</t>
  </si>
  <si>
    <t>MAURICIO DOS SANTOS SOUSA</t>
  </si>
  <si>
    <t>85791382561</t>
  </si>
  <si>
    <t>RAFAEL DE MENEZES PATRICIO</t>
  </si>
  <si>
    <t>85796064541</t>
  </si>
  <si>
    <t>ITALO DA HORA SANTOS</t>
  </si>
  <si>
    <t>85812583528</t>
  </si>
  <si>
    <t>VANDERSON BOMFIM DA CONCEICAO</t>
  </si>
  <si>
    <t>85818305520</t>
  </si>
  <si>
    <t>ANDRE LUIZ BATISTA CRUZ</t>
  </si>
  <si>
    <t>85831733548</t>
  </si>
  <si>
    <t>BRENDA KIMBERLLY VIEIRA CARIBE</t>
  </si>
  <si>
    <t>85904726554</t>
  </si>
  <si>
    <t>EDVANILSON DE JESUS FRAGA</t>
  </si>
  <si>
    <t>85951158508</t>
  </si>
  <si>
    <t>MAILSON SILVA SANTOS</t>
  </si>
  <si>
    <t>85960351501</t>
  </si>
  <si>
    <t>LUCAS DO MONTE BALBINO</t>
  </si>
  <si>
    <t>86036580568</t>
  </si>
  <si>
    <t>ADENILSON SANTOS SACRAMENTO</t>
  </si>
  <si>
    <t>86083873525</t>
  </si>
  <si>
    <t>WILLIAN SANTANA REIS</t>
  </si>
  <si>
    <t>86118732540</t>
  </si>
  <si>
    <t>WESLEY DOS SANTOS PEREIRA</t>
  </si>
  <si>
    <t>86176613566</t>
  </si>
  <si>
    <t>LARISSA BENTO DA SILVA</t>
  </si>
  <si>
    <t>86178940599</t>
  </si>
  <si>
    <t>JAILSON CONCEICAO DOS SANTOS JUNIOR</t>
  </si>
  <si>
    <t>86317875588</t>
  </si>
  <si>
    <t>FABIO WESLEI DOS SANTOS SILVA</t>
  </si>
  <si>
    <t>86990608587</t>
  </si>
  <si>
    <t>EVANILDO SANTOS DE JESUS</t>
  </si>
  <si>
    <t>87227479587</t>
  </si>
  <si>
    <t>EDMILSON SANTOS DA SILVA</t>
  </si>
  <si>
    <t>89313623587</t>
  </si>
  <si>
    <t>ARILSON CARMO SANTOS</t>
  </si>
  <si>
    <t>89423763553</t>
  </si>
  <si>
    <t>ADRIANA DOS SANTOS ESTRELA</t>
  </si>
  <si>
    <t>89965264520</t>
  </si>
  <si>
    <t>LUIZ SANTOS DE ALCANTARA</t>
  </si>
  <si>
    <t>90000919500</t>
  </si>
  <si>
    <t>JOSENILTON BOAVENTURA OLIVEIRA</t>
  </si>
  <si>
    <t>90042158591</t>
  </si>
  <si>
    <t>JUTAIR CONCEICAO DA SILVA</t>
  </si>
  <si>
    <t>90072324520</t>
  </si>
  <si>
    <t>EMILSON CARDOSO MOREIRA</t>
  </si>
  <si>
    <t>90290119553</t>
  </si>
  <si>
    <t>ANDREA DOS SANTOS SILVA</t>
  </si>
  <si>
    <t>90795970587</t>
  </si>
  <si>
    <t>FABIO MOREIRA DE SOUZA</t>
  </si>
  <si>
    <t>05701075559</t>
  </si>
  <si>
    <t>20090413</t>
  </si>
  <si>
    <t>GUSTAVO MAFRA REZENDE DE SOUZA</t>
  </si>
  <si>
    <t>90870298534</t>
  </si>
  <si>
    <t>RENILSON NETO OLIVEIRA</t>
  </si>
  <si>
    <t>91213231515</t>
  </si>
  <si>
    <t>CARLOS ALBERTO DE JESUS FERREIRA FILHO</t>
  </si>
  <si>
    <t>91309956553</t>
  </si>
  <si>
    <t>ANDRE LUIZ SANTOS DA SILVA</t>
  </si>
  <si>
    <t>91660459591</t>
  </si>
  <si>
    <t>ERIVALDO JAMBEIRO DE JESUS</t>
  </si>
  <si>
    <t>91675642591</t>
  </si>
  <si>
    <t>JOILSON MIRANDA DOS SANTOS</t>
  </si>
  <si>
    <t>91690471549</t>
  </si>
  <si>
    <t>MARCOS DE SOUZA PORTELA</t>
  </si>
  <si>
    <t>91697077587</t>
  </si>
  <si>
    <t>MARIA SONIA SILVA DOS SANTOS</t>
  </si>
  <si>
    <t>91720362572</t>
  </si>
  <si>
    <t>WAGNER PINTO GUIMARAES DA SILVA</t>
  </si>
  <si>
    <t>91735165549</t>
  </si>
  <si>
    <t>AGNALDO SANTOS DE JESUS</t>
  </si>
  <si>
    <t>91817951572</t>
  </si>
  <si>
    <t>JANILSON SILVA OLIVEIRA</t>
  </si>
  <si>
    <t>91895995515</t>
  </si>
  <si>
    <t>HEURRYSON DA CRUZ DOS SANTOS</t>
  </si>
  <si>
    <t>92051901520</t>
  </si>
  <si>
    <t>GILSON DOS SANTOS NASCIMENTO</t>
  </si>
  <si>
    <t>92058809572</t>
  </si>
  <si>
    <t>JUCIVAL DA SILVA MOURA</t>
  </si>
  <si>
    <t>92188630530</t>
  </si>
  <si>
    <t>JOSE UILSON DA CONCEICAO</t>
  </si>
  <si>
    <t>92348904500</t>
  </si>
  <si>
    <t>NEILTON SOUZA DE SANTANA</t>
  </si>
  <si>
    <t>92505830525</t>
  </si>
  <si>
    <t>GUALBERTO SILVA DE OLIVEIRA</t>
  </si>
  <si>
    <t>93039166549</t>
  </si>
  <si>
    <t>ANA CAROLINA ESPINHEIRA SILVA DE FREITAS</t>
  </si>
  <si>
    <t>93381743520</t>
  </si>
  <si>
    <t>MANOEL ALEXANDRE SANTOS DAVILA</t>
  </si>
  <si>
    <t>93382642549</t>
  </si>
  <si>
    <t>MARCELO SANTANA SILVA</t>
  </si>
  <si>
    <t>93399723504</t>
  </si>
  <si>
    <t>SERGIO DOS SANTOS SILVA</t>
  </si>
  <si>
    <t>93810415553</t>
  </si>
  <si>
    <t>ALESSANDRA CHRISTINE DOS ANJOS MEDRADO</t>
  </si>
  <si>
    <t>93889631568</t>
  </si>
  <si>
    <t>EDNO ADRIANO PALMA</t>
  </si>
  <si>
    <t>93895666572</t>
  </si>
  <si>
    <t>IRINEU SILVA SALVADOR</t>
  </si>
  <si>
    <t>93979428591</t>
  </si>
  <si>
    <t>MARCIO JORGE BRANDAO RAMOS</t>
  </si>
  <si>
    <t>93995520553</t>
  </si>
  <si>
    <t>ALESANDRO CARVALHO DE SOUZA</t>
  </si>
  <si>
    <t>94062870568</t>
  </si>
  <si>
    <t>RICARDO ALEXANDRE DE LIMA SANTANA</t>
  </si>
  <si>
    <t>94623465500</t>
  </si>
  <si>
    <t>BARBARA FIDELIS DE OLIVEIRA</t>
  </si>
  <si>
    <t>94946019553</t>
  </si>
  <si>
    <t>MARCOS VILAS BOAS DOS SANTOS</t>
  </si>
  <si>
    <t>94958564500</t>
  </si>
  <si>
    <t>SINVAL ARARUNA DA CONCEICAO</t>
  </si>
  <si>
    <t>95584226572</t>
  </si>
  <si>
    <t>JAIR PEREIRA DE SOUZA</t>
  </si>
  <si>
    <t>96460911568</t>
  </si>
  <si>
    <t>JAIR CHAGAS DOS SANTOS</t>
  </si>
  <si>
    <t>96705302534</t>
  </si>
  <si>
    <t>EVERTON LIMA ALVES DOS SANTOS</t>
  </si>
  <si>
    <t>97161187591</t>
  </si>
  <si>
    <t>DOUGLAS SANTOS SOUZA</t>
  </si>
  <si>
    <t>97715468568</t>
  </si>
  <si>
    <t>KESIA DE FARIAS NUNES</t>
  </si>
  <si>
    <t>97819654520</t>
  </si>
  <si>
    <t>MARDRO MELQUIADES GONCALVES PATRIARCHA</t>
  </si>
  <si>
    <t>97885649504</t>
  </si>
  <si>
    <t>GERALDO DA CRUZ MIRANDA</t>
  </si>
  <si>
    <t>97982261515</t>
  </si>
  <si>
    <t>LILIAN SALES DA SILVA</t>
  </si>
  <si>
    <t>0588</t>
  </si>
  <si>
    <t>00271270799</t>
  </si>
  <si>
    <t>MESSIAS RODRIGUES DE OLIVEIRA</t>
  </si>
  <si>
    <t>00823181588</t>
  </si>
  <si>
    <t>LEANDRO DE SOUZA SANTOS</t>
  </si>
  <si>
    <t>00970186517</t>
  </si>
  <si>
    <t>ENOQUE DE SOUZA SANTOS JUNIOR</t>
  </si>
  <si>
    <t>02460293402</t>
  </si>
  <si>
    <t>KLEBER RIBEIRO DE AZEVEDO</t>
  </si>
  <si>
    <t>02789883505</t>
  </si>
  <si>
    <t>ALOISIO INACIO DE JESUS JUNIOR</t>
  </si>
  <si>
    <t>03645517553</t>
  </si>
  <si>
    <t>JOAO COELHO SANTOS</t>
  </si>
  <si>
    <t>04375680407</t>
  </si>
  <si>
    <t>JUCELINO SIQUEIRA DO PRADO</t>
  </si>
  <si>
    <t>04715721104</t>
  </si>
  <si>
    <t>LOURENCO SIMAO DA COSTA</t>
  </si>
  <si>
    <t>04875675526</t>
  </si>
  <si>
    <t>MARCUS VINICIUS CONCEICAO SOUZA</t>
  </si>
  <si>
    <t>05997135500</t>
  </si>
  <si>
    <t>NILTON PERERIA SANTOS</t>
  </si>
  <si>
    <t>07264305520</t>
  </si>
  <si>
    <t>SILVIO SANTOS LIMA</t>
  </si>
  <si>
    <t>10461280515</t>
  </si>
  <si>
    <t>CARLOS MIRANDA REIS</t>
  </si>
  <si>
    <t>11198940506</t>
  </si>
  <si>
    <t>LUIZ ALBERTO DUTRA BACELAR</t>
  </si>
  <si>
    <t>12070920534</t>
  </si>
  <si>
    <t>JOSE LUIZ OLIVEIRA SILVA</t>
  </si>
  <si>
    <t>12285676549</t>
  </si>
  <si>
    <t>CLAUDIO MIRANDA REIS</t>
  </si>
  <si>
    <t>16705670444</t>
  </si>
  <si>
    <t>ANABERTO FERREIRA DA SILVA</t>
  </si>
  <si>
    <t>19326670597</t>
  </si>
  <si>
    <t>SALVADOR MACHADO DA SILVA</t>
  </si>
  <si>
    <t>21372934553</t>
  </si>
  <si>
    <t>SERGIO HENRIQUE PEREIRA GOIS SILVA</t>
  </si>
  <si>
    <t>22633448534</t>
  </si>
  <si>
    <t>MARIVALDO BISPO DE JESUS</t>
  </si>
  <si>
    <t>22848210818</t>
  </si>
  <si>
    <t>RENATO DE JESUS SANTOS</t>
  </si>
  <si>
    <t>26239035572</t>
  </si>
  <si>
    <t>LAVANIELE ZAGA DE SOUZA</t>
  </si>
  <si>
    <t>26860384549</t>
  </si>
  <si>
    <t>ANTONIO FERNANDO ARAUJO LOPES</t>
  </si>
  <si>
    <t>27461955500</t>
  </si>
  <si>
    <t>ITAMAR ANDRE FERREIRA</t>
  </si>
  <si>
    <t>29047021568</t>
  </si>
  <si>
    <t>JOSE SANTANA SILVA</t>
  </si>
  <si>
    <t>32359476807</t>
  </si>
  <si>
    <t>CELIO DE SOUZA COSTA</t>
  </si>
  <si>
    <t>33021830544</t>
  </si>
  <si>
    <t>JOSE DE OLIVEIRA SIMOES FILHO</t>
  </si>
  <si>
    <t>33816506534</t>
  </si>
  <si>
    <t>SILVIO RENATO PEREIRA GOES SILVA</t>
  </si>
  <si>
    <t>34168281515</t>
  </si>
  <si>
    <t>GENILSON NUNES GUSMAO</t>
  </si>
  <si>
    <t>35601590591</t>
  </si>
  <si>
    <t>ANTONIO JOAQUIM DE GOIS FILHO</t>
  </si>
  <si>
    <t>39632067991</t>
  </si>
  <si>
    <t>GABRIEL LAZARINI</t>
  </si>
  <si>
    <t>39873919520</t>
  </si>
  <si>
    <t>JOSENILDO PEREIRA DE CARVALHO</t>
  </si>
  <si>
    <t>40051650525</t>
  </si>
  <si>
    <t>EDILSON DAMASCENO COSTA</t>
  </si>
  <si>
    <t>40438708504</t>
  </si>
  <si>
    <t>IVONILDO SILVA SANTOS</t>
  </si>
  <si>
    <t>41710770520</t>
  </si>
  <si>
    <t>ANDRE PEREIRA NETO</t>
  </si>
  <si>
    <t>45120277004</t>
  </si>
  <si>
    <t>CIRO ROBERTO DA SILVEIRA BITTENCOURT</t>
  </si>
  <si>
    <t>45344850506</t>
  </si>
  <si>
    <t>LUIZ CLAUDIO SANTOS FERREIRA</t>
  </si>
  <si>
    <t>46240942553</t>
  </si>
  <si>
    <t>APOLONIO DOS SANTOS SILVA</t>
  </si>
  <si>
    <t>49032704591</t>
  </si>
  <si>
    <t>LUIZ ALBERTO SANTOS DA SILVA</t>
  </si>
  <si>
    <t>49658492134</t>
  </si>
  <si>
    <t>BENEDITO SOARES BARROS</t>
  </si>
  <si>
    <t>53141369534</t>
  </si>
  <si>
    <t>LUIZ HENRIQUE TRINDADE SACRAMENTO</t>
  </si>
  <si>
    <t>58011110500</t>
  </si>
  <si>
    <t>ANILDO DANTAS SILVA</t>
  </si>
  <si>
    <t>62797905504</t>
  </si>
  <si>
    <t>NILTON BARBOSA CARDOSO</t>
  </si>
  <si>
    <t>63098342587</t>
  </si>
  <si>
    <t>PALMIRA FERREIRA DA SILVA</t>
  </si>
  <si>
    <t>63728982504</t>
  </si>
  <si>
    <t>ADRIANA PORTO DE CARVALHO LEAO</t>
  </si>
  <si>
    <t>64773132515</t>
  </si>
  <si>
    <t>SERGIO FREITAS MARINS</t>
  </si>
  <si>
    <t>67905323587</t>
  </si>
  <si>
    <t>CICERO DA CUNHA TAVARES</t>
  </si>
  <si>
    <t>70067791549</t>
  </si>
  <si>
    <t>JACOB SATOS CORREIA</t>
  </si>
  <si>
    <t>71621318591</t>
  </si>
  <si>
    <t>SINVAL SOUZA DOS SANTOS</t>
  </si>
  <si>
    <t>74347411553</t>
  </si>
  <si>
    <t>FLORIANO FRANCISCO DA SILVA JUNIOR</t>
  </si>
  <si>
    <t>76763811500</t>
  </si>
  <si>
    <t>JACKSON DE MENESSES SANTOS</t>
  </si>
  <si>
    <t>78044359591</t>
  </si>
  <si>
    <t>PEDRO CRUZ SANTOS</t>
  </si>
  <si>
    <t>78126193549</t>
  </si>
  <si>
    <t>MABEL DE AMORIM TAVARES</t>
  </si>
  <si>
    <t>78310342500</t>
  </si>
  <si>
    <t>CLEBER CLECIO DA SILVA</t>
  </si>
  <si>
    <t>79325335549</t>
  </si>
  <si>
    <t>DANIEL DE LIMA MARINS</t>
  </si>
  <si>
    <t>79522572500</t>
  </si>
  <si>
    <t>DANIELA SANTANA BEZERRA</t>
  </si>
  <si>
    <t>80473253534</t>
  </si>
  <si>
    <t>CLAUDIO CRISTIANO NEVES FONTES</t>
  </si>
  <si>
    <t>80885497449</t>
  </si>
  <si>
    <t>EDEILSON ANTENOR DOS SANTOS</t>
  </si>
  <si>
    <t>81123701504</t>
  </si>
  <si>
    <t>GILMARA SANTOS SOUSA ELER</t>
  </si>
  <si>
    <t>81403640530</t>
  </si>
  <si>
    <t>EUDASIO DE ANDRADE SILVA</t>
  </si>
  <si>
    <t>81480954500</t>
  </si>
  <si>
    <t>ALICE MARIA LISBOA MESQUITA</t>
  </si>
  <si>
    <t>89823281572</t>
  </si>
  <si>
    <t>SIDNEY DOS SANTOS BAHIA</t>
  </si>
  <si>
    <t>90196198534</t>
  </si>
  <si>
    <t>DAVID WASHINGTON SOUZA DE OLIVEIRA</t>
  </si>
  <si>
    <t>92462316515</t>
  </si>
  <si>
    <t>MARCELO CARDOSO DAMIAO</t>
  </si>
  <si>
    <t>92784151549</t>
  </si>
  <si>
    <t>ANTONIO CARLOS DA CUNHA LISBOA</t>
  </si>
  <si>
    <t>93742401572</t>
  </si>
  <si>
    <t>CLEVERSON MORAES DE PONTES</t>
  </si>
  <si>
    <t>93816405568</t>
  </si>
  <si>
    <t>ANTONIO MOTA NAZARE</t>
  </si>
  <si>
    <t>95164383500</t>
  </si>
  <si>
    <t>MARCEL AZEVEDO DE SANTANA</t>
  </si>
  <si>
    <t>96009462568</t>
  </si>
  <si>
    <t>ADAILTON DE JESUS SILVA</t>
  </si>
  <si>
    <t>3562</t>
  </si>
  <si>
    <t>81238975534</t>
  </si>
  <si>
    <t>ROGERIO SANTANA PAIVA</t>
  </si>
  <si>
    <t>58119199000151</t>
  </si>
  <si>
    <t>BRADESCO DENTAL</t>
  </si>
  <si>
    <t>000051</t>
  </si>
  <si>
    <t>01013588576</t>
  </si>
  <si>
    <t>19840819</t>
  </si>
  <si>
    <t>QUELLE JAMILLE LUCIANO SANTOS DE MORAIS</t>
  </si>
  <si>
    <t>03</t>
  </si>
  <si>
    <t>82878927591</t>
  </si>
  <si>
    <t>19821013</t>
  </si>
  <si>
    <t>JAMISON ANDRE SANTOS DE MELO</t>
  </si>
  <si>
    <t>20041110</t>
  </si>
  <si>
    <t>KAILANE FERREIRA DO ROSARIO</t>
  </si>
  <si>
    <t>04</t>
  </si>
  <si>
    <t>03347464508</t>
  </si>
  <si>
    <t>19881226</t>
  </si>
  <si>
    <t>DAIANE XAVIER DOS SANTOS OLIVEIRA</t>
  </si>
  <si>
    <t>20061117</t>
  </si>
  <si>
    <t>LEANDRO SILVA DAS VIRGENS</t>
  </si>
  <si>
    <t>20090608</t>
  </si>
  <si>
    <t>ISAAC SANTOS AUGUSTO</t>
  </si>
  <si>
    <t>20121006</t>
  </si>
  <si>
    <t>ERICK PAULISTA DE QUEIROZ</t>
  </si>
  <si>
    <t>20110218</t>
  </si>
  <si>
    <t>KAUANY SANTOS DE SOUZA</t>
  </si>
  <si>
    <t>01330254546</t>
  </si>
  <si>
    <t>19830520</t>
  </si>
  <si>
    <t>MARIONE RAMOS PEREIRA ROCHA</t>
  </si>
  <si>
    <t>20050526</t>
  </si>
  <si>
    <t>WILLIAM LUCAS SANTOS DE OLEIRA</t>
  </si>
  <si>
    <t>81650604572</t>
  </si>
  <si>
    <t>19800821</t>
  </si>
  <si>
    <t>IRACELMA ENCARNACAO DA CONCEICAO</t>
  </si>
  <si>
    <t>20031017</t>
  </si>
  <si>
    <t>ENDRYO DOS SANTOS CARVALHO</t>
  </si>
  <si>
    <t>20090612</t>
  </si>
  <si>
    <t>LUCAS GABRIEL DE OLIVEIRA TAVARES</t>
  </si>
  <si>
    <t>20090616</t>
  </si>
  <si>
    <t>MAYARA MARQUIS DE JESUS SOUZA</t>
  </si>
  <si>
    <t>01434151581</t>
  </si>
  <si>
    <t>19870910</t>
  </si>
  <si>
    <t>DIANA CAMPOS REIS BISPO</t>
  </si>
  <si>
    <t>05611392539</t>
  </si>
  <si>
    <t>19930718</t>
  </si>
  <si>
    <t>DIANA LEITE LOPES DE ALMEIDA</t>
  </si>
  <si>
    <t>20080618</t>
  </si>
  <si>
    <t>DIOGO HUGO RODRIGUES SOARES</t>
  </si>
  <si>
    <t>01779316550</t>
  </si>
  <si>
    <t>19860712</t>
  </si>
  <si>
    <t>ANNE QUESIA SOUZA OLIVEIRA ARAUJO</t>
  </si>
  <si>
    <t>05613246548</t>
  </si>
  <si>
    <t>19920116</t>
  </si>
  <si>
    <t>TATIANE SANTOS COSTA DE MELO</t>
  </si>
  <si>
    <t>19991113</t>
  </si>
  <si>
    <t>THIAGO VITOR CASTRO SANTOS</t>
  </si>
  <si>
    <t>83241477568</t>
  </si>
  <si>
    <t>19800110</t>
  </si>
  <si>
    <t>SABRINA MARIA SANTOS NASCIMENTO</t>
  </si>
  <si>
    <t>46999450587</t>
  </si>
  <si>
    <t>19671121</t>
  </si>
  <si>
    <t>MARY ALMEIDA SANTOS</t>
  </si>
  <si>
    <t>20020116</t>
  </si>
  <si>
    <t>RIAN CARLOS SOUZA DA CONCEICAO</t>
  </si>
  <si>
    <t>20010311</t>
  </si>
  <si>
    <t>RAIANE MOREIRA DA CONCEICAO</t>
  </si>
  <si>
    <t>67097022515</t>
  </si>
  <si>
    <t>19731020</t>
  </si>
  <si>
    <t>ALEXSANDRA BARBOSA SANTOS</t>
  </si>
  <si>
    <t>19991227</t>
  </si>
  <si>
    <t>SUELLEN DE FREITAS SILVA</t>
  </si>
  <si>
    <t>02860636544</t>
  </si>
  <si>
    <t>19880614</t>
  </si>
  <si>
    <t>MAYARA MATOS CAVALCANTE AMARAL</t>
  </si>
  <si>
    <t>93271379572</t>
  </si>
  <si>
    <t>19740927</t>
  </si>
  <si>
    <t>EDNA CARDOSO DOS SANTOS</t>
  </si>
  <si>
    <t>78002346572</t>
  </si>
  <si>
    <t>HELENO BOMFIM SILVA</t>
  </si>
  <si>
    <t>20071004</t>
  </si>
  <si>
    <t>JULIA SILVA DE OLIVEIRA MASCARENHAS</t>
  </si>
  <si>
    <t>01314909584</t>
  </si>
  <si>
    <t>19800228</t>
  </si>
  <si>
    <t>TANIA SANTOS DO NASCIMENTO</t>
  </si>
  <si>
    <t>04440020577</t>
  </si>
  <si>
    <t>19841228</t>
  </si>
  <si>
    <t>CRISTIANE SANTOS DE OLIVEIRA DE BRITO</t>
  </si>
  <si>
    <t>80842321500</t>
  </si>
  <si>
    <t>19650101</t>
  </si>
  <si>
    <t>ISIS DOS SANTOS COSTA</t>
  </si>
  <si>
    <t>64828859500</t>
  </si>
  <si>
    <t>19730212</t>
  </si>
  <si>
    <t>EDSON LUIS MOREIRA DA SILVA</t>
  </si>
  <si>
    <t>20031020</t>
  </si>
  <si>
    <t>FLAVIA SANTOS SACRAMENTO</t>
  </si>
  <si>
    <t>41189728591</t>
  </si>
  <si>
    <t>19670426</t>
  </si>
  <si>
    <t>WANDERLEI COSTA DE MORAES</t>
  </si>
  <si>
    <t>81149182504</t>
  </si>
  <si>
    <t>19821007</t>
  </si>
  <si>
    <t>VANESSA CRUZ DA SILVA OLIVEIRA</t>
  </si>
  <si>
    <t>02485393532</t>
  </si>
  <si>
    <t>19860209</t>
  </si>
  <si>
    <t>DAIANE SILVA DE CARVALHO</t>
  </si>
  <si>
    <t>20010509</t>
  </si>
  <si>
    <t>MICHELE DOS SANTOS SALVADOR</t>
  </si>
  <si>
    <t>94782660553</t>
  </si>
  <si>
    <t>19780407</t>
  </si>
  <si>
    <t>VANILZA SIMOES DE CARVALHO</t>
  </si>
  <si>
    <t>63554067000198</t>
  </si>
  <si>
    <t>HAPVIDA ASSISTENCIA MEDIA LTDA</t>
  </si>
  <si>
    <t>368253</t>
  </si>
  <si>
    <t>92693118000160</t>
  </si>
  <si>
    <t>BRADESCO SAUDE</t>
  </si>
  <si>
    <t>005711</t>
  </si>
  <si>
    <t>09152342549</t>
  </si>
  <si>
    <t>VALDEMIRO SANTIAGO BORGES</t>
  </si>
  <si>
    <t>RENDIMENTOS ISENTOS - OUTROS</t>
  </si>
  <si>
    <t>Registro de valores anuais de rendimentos isentos - outros (identificador RIO)</t>
  </si>
  <si>
    <t>Descrição dos rendimentos
isentos - outros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</si>
</sst>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24994659260841701"/>
      </left>
      <right/>
      <top/>
      <bottom style="thin">
        <color theme="2" tint="-0.24997711111789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 wrapText="1"/>
    </xf>
    <xf numFmtId="49" fontId="1" fillId="2" borderId="4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rgb="FFC0000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6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7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2.v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9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"/>
  <sheetViews>
    <sheetView workbookViewId="0">
      <selection activeCell="E21" sqref="E21"/>
    </sheetView>
  </sheetViews>
  <sheetFormatPr defaultRowHeight="15" x14ac:dyDescent="0.25"/>
  <sheetData>
    <row r="2" spans="2:2" x14ac:dyDescent="0.25">
      <c r="B2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1" workbookViewId="0">
      <selection sqref="A1:G1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H42"/>
  <sheetViews>
    <sheetView workbookViewId="0">
      <selection sqref="A1:G1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8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8" ht="36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603,88</v>
      </c>
    </row>
    <row r="3" spans="1:8" x14ac:dyDescent="0.25">
      <c r="A3" s="9" t="s">
        <v>1100</v>
      </c>
      <c r="B3" s="10" t="s">
        <v>108</v>
      </c>
      <c r="C3" s="10" t="s">
        <v>1102</v>
      </c>
      <c r="D3" s="10" t="s">
        <v>1103</v>
      </c>
      <c r="E3" s="10" t="s">
        <v>1104</v>
      </c>
      <c r="F3" s="10" t="s">
        <v>1105</v>
      </c>
      <c r="G3" s="15">
        <v>9.74</v>
      </c>
      <c r="H3" t="s">
        <v>75</v>
      </c>
    </row>
    <row r="4" spans="1:8" x14ac:dyDescent="0.25">
      <c r="A4" s="9" t="s">
        <v>1100</v>
      </c>
      <c r="B4" s="10" t="s">
        <v>132</v>
      </c>
      <c r="C4" s="10" t="s">
        <v>1106</v>
      </c>
      <c r="D4" s="10" t="s">
        <v>1107</v>
      </c>
      <c r="E4" s="10" t="s">
        <v>1108</v>
      </c>
      <c r="F4" s="10" t="s">
        <v>1105</v>
      </c>
      <c r="G4" s="15">
        <v>19.48</v>
      </c>
      <c r="H4" t="s">
        <v>75</v>
      </c>
    </row>
    <row r="5" spans="1:8" x14ac:dyDescent="0.25">
      <c r="A5" s="9" t="s">
        <v>1100</v>
      </c>
      <c r="B5" s="10" t="s">
        <v>140</v>
      </c>
      <c r="C5" s="10" t="s">
        <v>75</v>
      </c>
      <c r="D5" s="10" t="s">
        <v>1109</v>
      </c>
      <c r="E5" s="10" t="s">
        <v>1110</v>
      </c>
      <c r="F5" s="10" t="s">
        <v>1111</v>
      </c>
      <c r="G5" s="15">
        <v>9.74</v>
      </c>
      <c r="H5" t="s">
        <v>75</v>
      </c>
    </row>
    <row r="6" spans="1:8" x14ac:dyDescent="0.25">
      <c r="A6" s="9" t="s">
        <v>1100</v>
      </c>
      <c r="B6" s="10" t="s">
        <v>162</v>
      </c>
      <c r="C6" s="10" t="s">
        <v>1112</v>
      </c>
      <c r="D6" s="10" t="s">
        <v>1113</v>
      </c>
      <c r="E6" s="10" t="s">
        <v>1114</v>
      </c>
      <c r="F6" s="10" t="s">
        <v>1105</v>
      </c>
      <c r="G6" s="15">
        <v>9.74</v>
      </c>
      <c r="H6" t="s">
        <v>75</v>
      </c>
    </row>
    <row r="7" spans="1:8" x14ac:dyDescent="0.25">
      <c r="A7" s="9" t="s">
        <v>1100</v>
      </c>
      <c r="B7" s="10" t="s">
        <v>164</v>
      </c>
      <c r="C7" s="10" t="s">
        <v>75</v>
      </c>
      <c r="D7" s="10" t="s">
        <v>1115</v>
      </c>
      <c r="E7" s="10" t="s">
        <v>1116</v>
      </c>
      <c r="F7" s="10" t="s">
        <v>1111</v>
      </c>
      <c r="G7" s="15">
        <v>9.74</v>
      </c>
      <c r="H7" t="s">
        <v>75</v>
      </c>
    </row>
    <row r="8" spans="1:8" x14ac:dyDescent="0.25">
      <c r="A8" s="9" t="s">
        <v>1100</v>
      </c>
      <c r="B8" s="10" t="s">
        <v>168</v>
      </c>
      <c r="C8" s="10" t="s">
        <v>75</v>
      </c>
      <c r="D8" s="10" t="s">
        <v>1117</v>
      </c>
      <c r="E8" s="10" t="s">
        <v>1118</v>
      </c>
      <c r="F8" s="10" t="s">
        <v>1111</v>
      </c>
      <c r="G8" s="15">
        <v>9.74</v>
      </c>
      <c r="H8" t="s">
        <v>75</v>
      </c>
    </row>
    <row r="9" spans="1:8" x14ac:dyDescent="0.25">
      <c r="A9" s="9" t="s">
        <v>1100</v>
      </c>
      <c r="B9" s="10" t="s">
        <v>186</v>
      </c>
      <c r="C9" s="10" t="s">
        <v>75</v>
      </c>
      <c r="D9" s="10" t="s">
        <v>1119</v>
      </c>
      <c r="E9" s="10" t="s">
        <v>1120</v>
      </c>
      <c r="F9" s="10" t="s">
        <v>1111</v>
      </c>
      <c r="G9" s="15">
        <v>19.48</v>
      </c>
      <c r="H9" t="s">
        <v>75</v>
      </c>
    </row>
    <row r="10" spans="1:8" x14ac:dyDescent="0.25">
      <c r="A10" s="9" t="s">
        <v>1100</v>
      </c>
      <c r="B10" s="10" t="s">
        <v>224</v>
      </c>
      <c r="C10" s="10" t="s">
        <v>75</v>
      </c>
      <c r="D10" s="10" t="s">
        <v>1121</v>
      </c>
      <c r="E10" s="10" t="s">
        <v>1122</v>
      </c>
      <c r="F10" s="10" t="s">
        <v>1111</v>
      </c>
      <c r="G10" s="15">
        <v>9.74</v>
      </c>
      <c r="H10" t="s">
        <v>75</v>
      </c>
    </row>
    <row r="11" spans="1:8" x14ac:dyDescent="0.25">
      <c r="A11" s="9" t="s">
        <v>1100</v>
      </c>
      <c r="B11" s="10" t="s">
        <v>230</v>
      </c>
      <c r="C11" s="10" t="s">
        <v>1123</v>
      </c>
      <c r="D11" s="10" t="s">
        <v>1124</v>
      </c>
      <c r="E11" s="10" t="s">
        <v>1125</v>
      </c>
      <c r="F11" s="10" t="s">
        <v>1105</v>
      </c>
      <c r="G11" s="15">
        <v>19.48</v>
      </c>
      <c r="H11" t="s">
        <v>75</v>
      </c>
    </row>
    <row r="12" spans="1:8" x14ac:dyDescent="0.25">
      <c r="A12" s="9" t="s">
        <v>1100</v>
      </c>
      <c r="B12" s="10" t="s">
        <v>238</v>
      </c>
      <c r="C12" s="10" t="s">
        <v>75</v>
      </c>
      <c r="D12" s="10" t="s">
        <v>1126</v>
      </c>
      <c r="E12" s="10" t="s">
        <v>1127</v>
      </c>
      <c r="F12" s="10" t="s">
        <v>1111</v>
      </c>
      <c r="G12" s="15">
        <v>19.48</v>
      </c>
      <c r="H12" t="s">
        <v>75</v>
      </c>
    </row>
    <row r="13" spans="1:8" x14ac:dyDescent="0.25">
      <c r="A13" s="9" t="s">
        <v>1100</v>
      </c>
      <c r="B13" s="10" t="s">
        <v>252</v>
      </c>
      <c r="C13" s="10" t="s">
        <v>1128</v>
      </c>
      <c r="D13" s="10" t="s">
        <v>1129</v>
      </c>
      <c r="E13" s="10" t="s">
        <v>1130</v>
      </c>
      <c r="F13" s="10" t="s">
        <v>1105</v>
      </c>
      <c r="G13" s="15">
        <v>9.74</v>
      </c>
      <c r="H13" t="s">
        <v>75</v>
      </c>
    </row>
    <row r="14" spans="1:8" x14ac:dyDescent="0.25">
      <c r="A14" s="9" t="s">
        <v>1100</v>
      </c>
      <c r="B14" s="10" t="s">
        <v>282</v>
      </c>
      <c r="C14" s="10" t="s">
        <v>75</v>
      </c>
      <c r="D14" s="10" t="s">
        <v>1131</v>
      </c>
      <c r="E14" s="10" t="s">
        <v>1132</v>
      </c>
      <c r="F14" s="10" t="s">
        <v>1111</v>
      </c>
      <c r="G14" s="15">
        <v>9.74</v>
      </c>
      <c r="H14" t="s">
        <v>75</v>
      </c>
    </row>
    <row r="15" spans="1:8" x14ac:dyDescent="0.25">
      <c r="A15" s="9" t="s">
        <v>1100</v>
      </c>
      <c r="B15" s="10" t="s">
        <v>326</v>
      </c>
      <c r="C15" s="10" t="s">
        <v>75</v>
      </c>
      <c r="D15" s="10" t="s">
        <v>1133</v>
      </c>
      <c r="E15" s="10" t="s">
        <v>1134</v>
      </c>
      <c r="F15" s="10" t="s">
        <v>1111</v>
      </c>
      <c r="G15" s="15">
        <v>19.48</v>
      </c>
      <c r="H15" t="s">
        <v>75</v>
      </c>
    </row>
    <row r="16" spans="1:8" x14ac:dyDescent="0.25">
      <c r="A16" s="9" t="s">
        <v>1100</v>
      </c>
      <c r="B16" s="10" t="s">
        <v>332</v>
      </c>
      <c r="C16" s="10" t="s">
        <v>75</v>
      </c>
      <c r="D16" s="10" t="s">
        <v>1135</v>
      </c>
      <c r="E16" s="10" t="s">
        <v>1136</v>
      </c>
      <c r="F16" s="10" t="s">
        <v>1111</v>
      </c>
      <c r="G16" s="15">
        <v>19.48</v>
      </c>
      <c r="H16" t="s">
        <v>75</v>
      </c>
    </row>
    <row r="17" spans="1:8" x14ac:dyDescent="0.25">
      <c r="A17" s="9" t="s">
        <v>1100</v>
      </c>
      <c r="B17" s="10" t="s">
        <v>336</v>
      </c>
      <c r="C17" s="10" t="s">
        <v>1137</v>
      </c>
      <c r="D17" s="10" t="s">
        <v>1138</v>
      </c>
      <c r="E17" s="10" t="s">
        <v>1139</v>
      </c>
      <c r="F17" s="10" t="s">
        <v>1105</v>
      </c>
      <c r="G17" s="15">
        <v>9.74</v>
      </c>
      <c r="H17" t="s">
        <v>75</v>
      </c>
    </row>
    <row r="18" spans="1:8" x14ac:dyDescent="0.25">
      <c r="A18" s="9" t="s">
        <v>1100</v>
      </c>
      <c r="B18" s="10" t="s">
        <v>344</v>
      </c>
      <c r="C18" s="10" t="s">
        <v>1140</v>
      </c>
      <c r="D18" s="10" t="s">
        <v>1141</v>
      </c>
      <c r="E18" s="10" t="s">
        <v>1142</v>
      </c>
      <c r="F18" s="10" t="s">
        <v>1105</v>
      </c>
      <c r="G18" s="15">
        <v>9.74</v>
      </c>
      <c r="H18" t="s">
        <v>75</v>
      </c>
    </row>
    <row r="19" spans="1:8" x14ac:dyDescent="0.25">
      <c r="A19" s="9" t="s">
        <v>1100</v>
      </c>
      <c r="B19" s="10" t="s">
        <v>354</v>
      </c>
      <c r="C19" s="10" t="s">
        <v>75</v>
      </c>
      <c r="D19" s="10" t="s">
        <v>1143</v>
      </c>
      <c r="E19" s="10" t="s">
        <v>1144</v>
      </c>
      <c r="F19" s="10" t="s">
        <v>1111</v>
      </c>
      <c r="G19" s="15">
        <v>19.48</v>
      </c>
      <c r="H19" t="s">
        <v>75</v>
      </c>
    </row>
    <row r="20" spans="1:8" x14ac:dyDescent="0.25">
      <c r="A20" s="9" t="s">
        <v>1100</v>
      </c>
      <c r="B20" s="10" t="s">
        <v>406</v>
      </c>
      <c r="C20" s="10" t="s">
        <v>1145</v>
      </c>
      <c r="D20" s="10" t="s">
        <v>1146</v>
      </c>
      <c r="E20" s="10" t="s">
        <v>1147</v>
      </c>
      <c r="F20" s="10" t="s">
        <v>1105</v>
      </c>
      <c r="G20" s="15">
        <v>9.74</v>
      </c>
      <c r="H20" t="s">
        <v>75</v>
      </c>
    </row>
    <row r="21" spans="1:8" x14ac:dyDescent="0.25">
      <c r="A21" s="9" t="s">
        <v>1100</v>
      </c>
      <c r="B21" s="10" t="s">
        <v>422</v>
      </c>
      <c r="C21" s="10" t="s">
        <v>1148</v>
      </c>
      <c r="D21" s="10" t="s">
        <v>1149</v>
      </c>
      <c r="E21" s="10" t="s">
        <v>1150</v>
      </c>
      <c r="F21" s="10" t="s">
        <v>1105</v>
      </c>
      <c r="G21" s="15">
        <v>9.74</v>
      </c>
      <c r="H21" t="s">
        <v>75</v>
      </c>
    </row>
    <row r="22" spans="1:8" x14ac:dyDescent="0.25">
      <c r="A22" s="9" t="s">
        <v>1100</v>
      </c>
      <c r="B22" s="10" t="s">
        <v>610</v>
      </c>
      <c r="C22" s="10" t="s">
        <v>75</v>
      </c>
      <c r="D22" s="10" t="s">
        <v>1151</v>
      </c>
      <c r="E22" s="10" t="s">
        <v>1152</v>
      </c>
      <c r="F22" s="10" t="s">
        <v>1111</v>
      </c>
      <c r="G22" s="15">
        <v>9.74</v>
      </c>
      <c r="H22" t="s">
        <v>75</v>
      </c>
    </row>
    <row r="23" spans="1:8" x14ac:dyDescent="0.25">
      <c r="A23" s="9" t="s">
        <v>1100</v>
      </c>
      <c r="B23" s="10" t="s">
        <v>612</v>
      </c>
      <c r="C23" s="10" t="s">
        <v>1153</v>
      </c>
      <c r="D23" s="10" t="s">
        <v>1154</v>
      </c>
      <c r="E23" s="10" t="s">
        <v>1155</v>
      </c>
      <c r="F23" s="10" t="s">
        <v>1105</v>
      </c>
      <c r="G23" s="15">
        <v>9.74</v>
      </c>
      <c r="H23" t="s">
        <v>75</v>
      </c>
    </row>
    <row r="24" spans="1:8" x14ac:dyDescent="0.25">
      <c r="A24" s="9" t="s">
        <v>1100</v>
      </c>
      <c r="B24" s="10" t="s">
        <v>660</v>
      </c>
      <c r="C24" s="10" t="s">
        <v>1156</v>
      </c>
      <c r="D24" s="10" t="s">
        <v>1157</v>
      </c>
      <c r="E24" s="10" t="s">
        <v>1158</v>
      </c>
      <c r="F24" s="10" t="s">
        <v>1105</v>
      </c>
      <c r="G24" s="15">
        <v>29.22</v>
      </c>
      <c r="H24" t="s">
        <v>75</v>
      </c>
    </row>
    <row r="25" spans="1:8" x14ac:dyDescent="0.25">
      <c r="A25" s="9" t="s">
        <v>1100</v>
      </c>
      <c r="B25" s="10" t="s">
        <v>664</v>
      </c>
      <c r="C25" s="10" t="s">
        <v>75</v>
      </c>
      <c r="D25" s="10" t="s">
        <v>1159</v>
      </c>
      <c r="E25" s="10" t="s">
        <v>1160</v>
      </c>
      <c r="F25" s="10" t="s">
        <v>1111</v>
      </c>
      <c r="G25" s="15">
        <v>19.48</v>
      </c>
      <c r="H25" t="s">
        <v>75</v>
      </c>
    </row>
    <row r="26" spans="1:8" x14ac:dyDescent="0.25">
      <c r="A26" s="9" t="s">
        <v>1100</v>
      </c>
      <c r="B26" s="10" t="s">
        <v>666</v>
      </c>
      <c r="C26" s="10" t="s">
        <v>75</v>
      </c>
      <c r="D26" s="10" t="s">
        <v>1161</v>
      </c>
      <c r="E26" s="10" t="s">
        <v>1162</v>
      </c>
      <c r="F26" s="10" t="s">
        <v>1111</v>
      </c>
      <c r="G26" s="15">
        <v>9.74</v>
      </c>
      <c r="H26" t="s">
        <v>75</v>
      </c>
    </row>
    <row r="27" spans="1:8" x14ac:dyDescent="0.25">
      <c r="A27" s="9" t="s">
        <v>1100</v>
      </c>
      <c r="B27" s="10" t="s">
        <v>668</v>
      </c>
      <c r="C27" s="10" t="s">
        <v>1163</v>
      </c>
      <c r="D27" s="10" t="s">
        <v>1164</v>
      </c>
      <c r="E27" s="10" t="s">
        <v>1165</v>
      </c>
      <c r="F27" s="10" t="s">
        <v>1105</v>
      </c>
      <c r="G27" s="15">
        <v>29.22</v>
      </c>
      <c r="H27" t="s">
        <v>75</v>
      </c>
    </row>
    <row r="28" spans="1:8" x14ac:dyDescent="0.25">
      <c r="A28" s="9" t="s">
        <v>1100</v>
      </c>
      <c r="B28" s="10" t="s">
        <v>674</v>
      </c>
      <c r="C28" s="10" t="s">
        <v>75</v>
      </c>
      <c r="D28" s="10" t="s">
        <v>1166</v>
      </c>
      <c r="E28" s="10" t="s">
        <v>1167</v>
      </c>
      <c r="F28" s="10" t="s">
        <v>1111</v>
      </c>
      <c r="G28" s="15">
        <v>9.74</v>
      </c>
      <c r="H28" t="s">
        <v>75</v>
      </c>
    </row>
    <row r="29" spans="1:8" x14ac:dyDescent="0.25">
      <c r="A29" s="9" t="s">
        <v>1100</v>
      </c>
      <c r="B29" s="10" t="s">
        <v>682</v>
      </c>
      <c r="C29" s="10" t="s">
        <v>1168</v>
      </c>
      <c r="D29" s="10" t="s">
        <v>1169</v>
      </c>
      <c r="E29" s="10" t="s">
        <v>1170</v>
      </c>
      <c r="F29" s="10" t="s">
        <v>1105</v>
      </c>
      <c r="G29" s="15">
        <v>19.48</v>
      </c>
      <c r="H29" t="s">
        <v>75</v>
      </c>
    </row>
    <row r="30" spans="1:8" x14ac:dyDescent="0.25">
      <c r="A30" s="9" t="s">
        <v>1100</v>
      </c>
      <c r="B30" s="10" t="s">
        <v>690</v>
      </c>
      <c r="C30" s="10" t="s">
        <v>1171</v>
      </c>
      <c r="D30" s="10" t="s">
        <v>1172</v>
      </c>
      <c r="E30" s="10" t="s">
        <v>1173</v>
      </c>
      <c r="F30" s="10" t="s">
        <v>1105</v>
      </c>
      <c r="G30" s="15">
        <v>29.22</v>
      </c>
      <c r="H30" t="s">
        <v>75</v>
      </c>
    </row>
    <row r="31" spans="1:8" x14ac:dyDescent="0.25">
      <c r="A31" s="9" t="s">
        <v>1100</v>
      </c>
      <c r="B31" s="10" t="s">
        <v>748</v>
      </c>
      <c r="C31" s="10" t="s">
        <v>75</v>
      </c>
      <c r="D31" s="10" t="s">
        <v>1176</v>
      </c>
      <c r="E31" s="10" t="s">
        <v>1177</v>
      </c>
      <c r="F31" s="10" t="s">
        <v>1111</v>
      </c>
      <c r="G31" s="15">
        <v>19.48</v>
      </c>
      <c r="H31" t="s">
        <v>75</v>
      </c>
    </row>
    <row r="32" spans="1:8" x14ac:dyDescent="0.25">
      <c r="A32" s="9" t="s">
        <v>1100</v>
      </c>
      <c r="B32" s="10" t="s">
        <v>750</v>
      </c>
      <c r="C32" s="10" t="s">
        <v>1178</v>
      </c>
      <c r="D32" s="10" t="s">
        <v>1179</v>
      </c>
      <c r="E32" s="10" t="s">
        <v>1180</v>
      </c>
      <c r="F32" s="10" t="s">
        <v>1105</v>
      </c>
      <c r="G32" s="15">
        <v>9.74</v>
      </c>
      <c r="H32" t="s">
        <v>75</v>
      </c>
    </row>
    <row r="33" spans="1:8" x14ac:dyDescent="0.25">
      <c r="A33" s="9" t="s">
        <v>1100</v>
      </c>
      <c r="B33" s="10" t="s">
        <v>782</v>
      </c>
      <c r="C33" s="10" t="s">
        <v>1181</v>
      </c>
      <c r="D33" s="10" t="s">
        <v>1182</v>
      </c>
      <c r="E33" s="10" t="s">
        <v>1183</v>
      </c>
      <c r="F33" s="10" t="s">
        <v>1105</v>
      </c>
      <c r="G33" s="15">
        <v>19.48</v>
      </c>
      <c r="H33" t="s">
        <v>75</v>
      </c>
    </row>
    <row r="34" spans="1:8" x14ac:dyDescent="0.25">
      <c r="A34" s="9" t="s">
        <v>1100</v>
      </c>
      <c r="B34" s="10" t="s">
        <v>790</v>
      </c>
      <c r="C34" s="10" t="s">
        <v>1184</v>
      </c>
      <c r="D34" s="10" t="s">
        <v>1185</v>
      </c>
      <c r="E34" s="10" t="s">
        <v>1186</v>
      </c>
      <c r="F34" s="10" t="s">
        <v>1105</v>
      </c>
      <c r="G34" s="15">
        <v>9.74</v>
      </c>
      <c r="H34" t="s">
        <v>75</v>
      </c>
    </row>
    <row r="35" spans="1:8" x14ac:dyDescent="0.25">
      <c r="A35" s="9" t="s">
        <v>1100</v>
      </c>
      <c r="B35" s="10" t="s">
        <v>802</v>
      </c>
      <c r="C35" s="10" t="s">
        <v>1187</v>
      </c>
      <c r="D35" s="10" t="s">
        <v>1188</v>
      </c>
      <c r="E35" s="10" t="s">
        <v>1189</v>
      </c>
      <c r="F35" s="10" t="s">
        <v>1105</v>
      </c>
      <c r="G35" s="15">
        <v>9.74</v>
      </c>
      <c r="H35" t="s">
        <v>75</v>
      </c>
    </row>
    <row r="36" spans="1:8" x14ac:dyDescent="0.25">
      <c r="A36" s="9" t="s">
        <v>1100</v>
      </c>
      <c r="B36" s="10" t="s">
        <v>850</v>
      </c>
      <c r="C36" s="10" t="s">
        <v>75</v>
      </c>
      <c r="D36" s="10" t="s">
        <v>1190</v>
      </c>
      <c r="E36" s="10" t="s">
        <v>1191</v>
      </c>
      <c r="F36" s="10" t="s">
        <v>1111</v>
      </c>
      <c r="G36" s="15">
        <v>19.48</v>
      </c>
      <c r="H36" t="s">
        <v>75</v>
      </c>
    </row>
    <row r="37" spans="1:8" x14ac:dyDescent="0.25">
      <c r="A37" s="9" t="s">
        <v>1100</v>
      </c>
      <c r="B37" s="10" t="s">
        <v>868</v>
      </c>
      <c r="C37" s="10" t="s">
        <v>1192</v>
      </c>
      <c r="D37" s="10" t="s">
        <v>1193</v>
      </c>
      <c r="E37" s="10" t="s">
        <v>1194</v>
      </c>
      <c r="F37" s="10" t="s">
        <v>1105</v>
      </c>
      <c r="G37" s="15">
        <v>19.48</v>
      </c>
      <c r="H37" t="s">
        <v>75</v>
      </c>
    </row>
    <row r="38" spans="1:8" x14ac:dyDescent="0.25">
      <c r="A38" s="9" t="s">
        <v>1100</v>
      </c>
      <c r="B38" s="10" t="s">
        <v>880</v>
      </c>
      <c r="C38" s="10" t="s">
        <v>882</v>
      </c>
      <c r="D38" s="10" t="s">
        <v>883</v>
      </c>
      <c r="E38" s="10" t="s">
        <v>884</v>
      </c>
      <c r="F38" s="10" t="s">
        <v>1111</v>
      </c>
      <c r="G38" s="15">
        <v>9.74</v>
      </c>
      <c r="H38" t="s">
        <v>75</v>
      </c>
    </row>
    <row r="39" spans="1:8" x14ac:dyDescent="0.25">
      <c r="A39" s="9" t="s">
        <v>1100</v>
      </c>
      <c r="B39" s="10" t="s">
        <v>885</v>
      </c>
      <c r="C39" s="10" t="s">
        <v>1195</v>
      </c>
      <c r="D39" s="10" t="s">
        <v>1196</v>
      </c>
      <c r="E39" s="10" t="s">
        <v>1197</v>
      </c>
      <c r="F39" s="10" t="s">
        <v>1105</v>
      </c>
      <c r="G39" s="15">
        <v>9.74</v>
      </c>
      <c r="H39" t="s">
        <v>75</v>
      </c>
    </row>
    <row r="40" spans="1:8" x14ac:dyDescent="0.25">
      <c r="A40" s="9" t="s">
        <v>1100</v>
      </c>
      <c r="B40" s="10" t="s">
        <v>889</v>
      </c>
      <c r="C40" s="10" t="s">
        <v>1198</v>
      </c>
      <c r="D40" s="10" t="s">
        <v>1199</v>
      </c>
      <c r="E40" s="10" t="s">
        <v>1200</v>
      </c>
      <c r="F40" s="10" t="s">
        <v>1105</v>
      </c>
      <c r="G40" s="15">
        <v>19.48</v>
      </c>
      <c r="H40" t="s">
        <v>75</v>
      </c>
    </row>
    <row r="41" spans="1:8" x14ac:dyDescent="0.25">
      <c r="A41" s="9" t="s">
        <v>1100</v>
      </c>
      <c r="B41" s="10" t="s">
        <v>929</v>
      </c>
      <c r="C41" s="10" t="s">
        <v>75</v>
      </c>
      <c r="D41" s="10" t="s">
        <v>1201</v>
      </c>
      <c r="E41" s="10" t="s">
        <v>1202</v>
      </c>
      <c r="F41" s="10" t="s">
        <v>1111</v>
      </c>
      <c r="G41" s="15">
        <v>29.22</v>
      </c>
      <c r="H41" t="s">
        <v>75</v>
      </c>
    </row>
    <row r="42" spans="1:8" x14ac:dyDescent="0.25">
      <c r="A42" s="9" t="s">
        <v>1100</v>
      </c>
      <c r="B42" s="10" t="s">
        <v>941</v>
      </c>
      <c r="C42" s="10" t="s">
        <v>1203</v>
      </c>
      <c r="D42" s="10" t="s">
        <v>1204</v>
      </c>
      <c r="E42" s="10" t="s">
        <v>1205</v>
      </c>
      <c r="F42" s="10" t="s">
        <v>1105</v>
      </c>
      <c r="G42" s="15">
        <v>9.74</v>
      </c>
      <c r="H42" t="s">
        <v>75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930"/>
  <sheetViews>
    <sheetView workbookViewId="0">
      <selection sqref="A1:D1"/>
    </sheetView>
  </sheetViews>
  <sheetFormatPr defaultRowHeight="15" x14ac:dyDescent="0.25"/>
  <cols>
    <col min="1" max="1" width="42.5" style="9" bestFit="1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324759,05</v>
      </c>
    </row>
    <row r="3" spans="1:5" x14ac:dyDescent="0.25">
      <c r="A3" s="9" t="s">
        <v>1100</v>
      </c>
      <c r="B3" s="10" t="s">
        <v>92</v>
      </c>
      <c r="C3" s="9" t="s">
        <v>93</v>
      </c>
      <c r="D3" s="15">
        <v>313.5</v>
      </c>
      <c r="E3" s="13" t="s">
        <v>75</v>
      </c>
    </row>
    <row r="4" spans="1:5" x14ac:dyDescent="0.25">
      <c r="A4" s="9" t="s">
        <v>1100</v>
      </c>
      <c r="B4" s="10" t="s">
        <v>96</v>
      </c>
      <c r="C4" s="9" t="s">
        <v>97</v>
      </c>
      <c r="D4" s="15">
        <v>380</v>
      </c>
      <c r="E4" s="13" t="s">
        <v>75</v>
      </c>
    </row>
    <row r="5" spans="1:5" x14ac:dyDescent="0.25">
      <c r="A5" s="9" t="s">
        <v>1100</v>
      </c>
      <c r="B5" s="10" t="s">
        <v>104</v>
      </c>
      <c r="C5" s="9" t="s">
        <v>105</v>
      </c>
      <c r="D5" s="15">
        <v>123.5</v>
      </c>
      <c r="E5" s="13" t="s">
        <v>75</v>
      </c>
    </row>
    <row r="6" spans="1:5" x14ac:dyDescent="0.25">
      <c r="A6" s="9" t="s">
        <v>1100</v>
      </c>
      <c r="B6" s="10" t="s">
        <v>108</v>
      </c>
      <c r="C6" s="9" t="s">
        <v>109</v>
      </c>
      <c r="D6" s="15">
        <v>199.26</v>
      </c>
      <c r="E6" s="13" t="s">
        <v>75</v>
      </c>
    </row>
    <row r="7" spans="1:5" x14ac:dyDescent="0.25">
      <c r="A7" s="9" t="s">
        <v>1100</v>
      </c>
      <c r="B7" s="10" t="s">
        <v>110</v>
      </c>
      <c r="C7" s="9" t="s">
        <v>111</v>
      </c>
      <c r="D7" s="15">
        <v>313.5</v>
      </c>
      <c r="E7" s="13" t="s">
        <v>75</v>
      </c>
    </row>
    <row r="8" spans="1:5" x14ac:dyDescent="0.25">
      <c r="A8" s="9" t="s">
        <v>1100</v>
      </c>
      <c r="B8" s="10" t="s">
        <v>112</v>
      </c>
      <c r="C8" s="9" t="s">
        <v>113</v>
      </c>
      <c r="D8" s="15">
        <v>313.5</v>
      </c>
      <c r="E8" s="13" t="s">
        <v>75</v>
      </c>
    </row>
    <row r="9" spans="1:5" x14ac:dyDescent="0.25">
      <c r="A9" s="9" t="s">
        <v>1100</v>
      </c>
      <c r="B9" s="10" t="s">
        <v>114</v>
      </c>
      <c r="C9" s="9" t="s">
        <v>115</v>
      </c>
      <c r="D9" s="15">
        <v>66.5</v>
      </c>
      <c r="E9" s="13" t="s">
        <v>75</v>
      </c>
    </row>
    <row r="10" spans="1:5" x14ac:dyDescent="0.25">
      <c r="A10" s="9" t="s">
        <v>1100</v>
      </c>
      <c r="B10" s="10" t="s">
        <v>118</v>
      </c>
      <c r="C10" s="9" t="s">
        <v>119</v>
      </c>
      <c r="D10" s="15">
        <v>209</v>
      </c>
      <c r="E10" s="13" t="s">
        <v>75</v>
      </c>
    </row>
    <row r="11" spans="1:5" x14ac:dyDescent="0.25">
      <c r="A11" s="9" t="s">
        <v>1100</v>
      </c>
      <c r="B11" s="10" t="s">
        <v>120</v>
      </c>
      <c r="C11" s="9" t="s">
        <v>121</v>
      </c>
      <c r="D11" s="15">
        <v>418</v>
      </c>
      <c r="E11" s="13" t="s">
        <v>75</v>
      </c>
    </row>
    <row r="12" spans="1:5" x14ac:dyDescent="0.25">
      <c r="A12" s="9" t="s">
        <v>1100</v>
      </c>
      <c r="B12" s="10" t="s">
        <v>122</v>
      </c>
      <c r="C12" s="9" t="s">
        <v>123</v>
      </c>
      <c r="D12" s="15">
        <v>209</v>
      </c>
      <c r="E12" s="13" t="s">
        <v>75</v>
      </c>
    </row>
    <row r="13" spans="1:5" x14ac:dyDescent="0.25">
      <c r="A13" s="9" t="s">
        <v>1100</v>
      </c>
      <c r="B13" s="10" t="s">
        <v>128</v>
      </c>
      <c r="C13" s="9" t="s">
        <v>129</v>
      </c>
      <c r="D13" s="15">
        <v>104.5</v>
      </c>
      <c r="E13" s="13" t="s">
        <v>75</v>
      </c>
    </row>
    <row r="14" spans="1:5" x14ac:dyDescent="0.25">
      <c r="A14" s="9" t="s">
        <v>1100</v>
      </c>
      <c r="B14" s="10" t="s">
        <v>132</v>
      </c>
      <c r="C14" s="9" t="s">
        <v>133</v>
      </c>
      <c r="D14" s="15">
        <v>332.02</v>
      </c>
      <c r="E14" s="13" t="s">
        <v>75</v>
      </c>
    </row>
    <row r="15" spans="1:5" x14ac:dyDescent="0.25">
      <c r="A15" s="9" t="s">
        <v>1100</v>
      </c>
      <c r="B15" s="10" t="s">
        <v>134</v>
      </c>
      <c r="C15" s="9" t="s">
        <v>135</v>
      </c>
      <c r="D15" s="15">
        <v>294.5</v>
      </c>
      <c r="E15" s="13" t="s">
        <v>75</v>
      </c>
    </row>
    <row r="16" spans="1:5" x14ac:dyDescent="0.25">
      <c r="A16" s="9" t="s">
        <v>1100</v>
      </c>
      <c r="B16" s="10" t="s">
        <v>136</v>
      </c>
      <c r="C16" s="9" t="s">
        <v>137</v>
      </c>
      <c r="D16" s="15">
        <v>38</v>
      </c>
      <c r="E16" s="13" t="s">
        <v>75</v>
      </c>
    </row>
    <row r="17" spans="1:5" x14ac:dyDescent="0.25">
      <c r="A17" s="9" t="s">
        <v>1100</v>
      </c>
      <c r="B17" s="10" t="s">
        <v>140</v>
      </c>
      <c r="C17" s="9" t="s">
        <v>141</v>
      </c>
      <c r="D17" s="15">
        <v>237.26</v>
      </c>
      <c r="E17" s="13" t="s">
        <v>75</v>
      </c>
    </row>
    <row r="18" spans="1:5" x14ac:dyDescent="0.25">
      <c r="A18" s="9" t="s">
        <v>1100</v>
      </c>
      <c r="B18" s="10" t="s">
        <v>144</v>
      </c>
      <c r="C18" s="9" t="s">
        <v>145</v>
      </c>
      <c r="D18" s="15">
        <v>104.5</v>
      </c>
      <c r="E18" s="13" t="s">
        <v>75</v>
      </c>
    </row>
    <row r="19" spans="1:5" x14ac:dyDescent="0.25">
      <c r="A19" s="9" t="s">
        <v>1100</v>
      </c>
      <c r="B19" s="10" t="s">
        <v>146</v>
      </c>
      <c r="C19" s="9" t="s">
        <v>147</v>
      </c>
      <c r="D19" s="15">
        <v>313.5</v>
      </c>
      <c r="E19" s="13" t="s">
        <v>75</v>
      </c>
    </row>
    <row r="20" spans="1:5" x14ac:dyDescent="0.25">
      <c r="A20" s="9" t="s">
        <v>1100</v>
      </c>
      <c r="B20" s="10" t="s">
        <v>152</v>
      </c>
      <c r="C20" s="9" t="s">
        <v>153</v>
      </c>
      <c r="D20" s="15">
        <v>209</v>
      </c>
      <c r="E20" s="13" t="s">
        <v>75</v>
      </c>
    </row>
    <row r="21" spans="1:5" x14ac:dyDescent="0.25">
      <c r="A21" s="9" t="s">
        <v>1100</v>
      </c>
      <c r="B21" s="10" t="s">
        <v>154</v>
      </c>
      <c r="C21" s="9" t="s">
        <v>155</v>
      </c>
      <c r="D21" s="15">
        <v>57</v>
      </c>
      <c r="E21" s="13" t="s">
        <v>75</v>
      </c>
    </row>
    <row r="22" spans="1:5" x14ac:dyDescent="0.25">
      <c r="A22" s="9" t="s">
        <v>1100</v>
      </c>
      <c r="B22" s="10" t="s">
        <v>156</v>
      </c>
      <c r="C22" s="9" t="s">
        <v>157</v>
      </c>
      <c r="D22" s="15">
        <v>104.5</v>
      </c>
      <c r="E22" s="13" t="s">
        <v>75</v>
      </c>
    </row>
    <row r="23" spans="1:5" x14ac:dyDescent="0.25">
      <c r="A23" s="9" t="s">
        <v>1100</v>
      </c>
      <c r="B23" s="10" t="s">
        <v>158</v>
      </c>
      <c r="C23" s="9" t="s">
        <v>159</v>
      </c>
      <c r="D23" s="15">
        <v>9.1199999999999992</v>
      </c>
      <c r="E23" s="13" t="s">
        <v>75</v>
      </c>
    </row>
    <row r="24" spans="1:5" x14ac:dyDescent="0.25">
      <c r="A24" s="9" t="s">
        <v>1100</v>
      </c>
      <c r="B24" s="10" t="s">
        <v>162</v>
      </c>
      <c r="C24" s="9" t="s">
        <v>163</v>
      </c>
      <c r="D24" s="15">
        <v>370.26</v>
      </c>
      <c r="E24" s="13" t="s">
        <v>75</v>
      </c>
    </row>
    <row r="25" spans="1:5" x14ac:dyDescent="0.25">
      <c r="A25" s="9" t="s">
        <v>1100</v>
      </c>
      <c r="B25" s="10" t="s">
        <v>164</v>
      </c>
      <c r="C25" s="9" t="s">
        <v>165</v>
      </c>
      <c r="D25" s="15">
        <v>199.26</v>
      </c>
      <c r="E25" s="13" t="s">
        <v>75</v>
      </c>
    </row>
    <row r="26" spans="1:5" x14ac:dyDescent="0.25">
      <c r="A26" s="9" t="s">
        <v>1100</v>
      </c>
      <c r="B26" s="10" t="s">
        <v>166</v>
      </c>
      <c r="C26" s="9" t="s">
        <v>167</v>
      </c>
      <c r="D26" s="15">
        <v>104.5</v>
      </c>
      <c r="E26" s="13" t="s">
        <v>75</v>
      </c>
    </row>
    <row r="27" spans="1:5" x14ac:dyDescent="0.25">
      <c r="A27" s="9" t="s">
        <v>1100</v>
      </c>
      <c r="B27" s="10" t="s">
        <v>168</v>
      </c>
      <c r="C27" s="9" t="s">
        <v>169</v>
      </c>
      <c r="D27" s="15">
        <v>123.26</v>
      </c>
      <c r="E27" s="13" t="s">
        <v>75</v>
      </c>
    </row>
    <row r="28" spans="1:5" x14ac:dyDescent="0.25">
      <c r="A28" s="9" t="s">
        <v>1100</v>
      </c>
      <c r="B28" s="10" t="s">
        <v>170</v>
      </c>
      <c r="C28" s="9" t="s">
        <v>171</v>
      </c>
      <c r="D28" s="15">
        <v>313.5</v>
      </c>
      <c r="E28" s="13" t="s">
        <v>75</v>
      </c>
    </row>
    <row r="29" spans="1:5" x14ac:dyDescent="0.25">
      <c r="A29" s="9" t="s">
        <v>1100</v>
      </c>
      <c r="B29" s="10" t="s">
        <v>172</v>
      </c>
      <c r="C29" s="9" t="s">
        <v>173</v>
      </c>
      <c r="D29" s="15">
        <v>209</v>
      </c>
      <c r="E29" s="13" t="s">
        <v>75</v>
      </c>
    </row>
    <row r="30" spans="1:5" x14ac:dyDescent="0.25">
      <c r="A30" s="9" t="s">
        <v>1100</v>
      </c>
      <c r="B30" s="10" t="s">
        <v>174</v>
      </c>
      <c r="C30" s="9" t="s">
        <v>175</v>
      </c>
      <c r="D30" s="15">
        <v>104.5</v>
      </c>
      <c r="E30" s="13" t="s">
        <v>75</v>
      </c>
    </row>
    <row r="31" spans="1:5" x14ac:dyDescent="0.25">
      <c r="A31" s="9" t="s">
        <v>1100</v>
      </c>
      <c r="B31" s="10" t="s">
        <v>180</v>
      </c>
      <c r="C31" s="9" t="s">
        <v>181</v>
      </c>
      <c r="D31" s="15">
        <v>218.5</v>
      </c>
      <c r="E31" s="13" t="s">
        <v>75</v>
      </c>
    </row>
    <row r="32" spans="1:5" x14ac:dyDescent="0.25">
      <c r="A32" s="9" t="s">
        <v>1100</v>
      </c>
      <c r="B32" s="10" t="s">
        <v>182</v>
      </c>
      <c r="C32" s="9" t="s">
        <v>183</v>
      </c>
      <c r="D32" s="15">
        <v>95</v>
      </c>
      <c r="E32" s="13" t="s">
        <v>75</v>
      </c>
    </row>
    <row r="33" spans="1:5" x14ac:dyDescent="0.25">
      <c r="A33" s="9" t="s">
        <v>1100</v>
      </c>
      <c r="B33" s="10" t="s">
        <v>184</v>
      </c>
      <c r="C33" s="9" t="s">
        <v>185</v>
      </c>
      <c r="D33" s="15">
        <v>104.5</v>
      </c>
      <c r="E33" s="13" t="s">
        <v>75</v>
      </c>
    </row>
    <row r="34" spans="1:5" x14ac:dyDescent="0.25">
      <c r="A34" s="9" t="s">
        <v>1100</v>
      </c>
      <c r="B34" s="10" t="s">
        <v>186</v>
      </c>
      <c r="C34" s="9" t="s">
        <v>187</v>
      </c>
      <c r="D34" s="15">
        <v>208.52</v>
      </c>
      <c r="E34" s="13" t="s">
        <v>75</v>
      </c>
    </row>
    <row r="35" spans="1:5" x14ac:dyDescent="0.25">
      <c r="A35" s="9" t="s">
        <v>1100</v>
      </c>
      <c r="B35" s="10" t="s">
        <v>190</v>
      </c>
      <c r="C35" s="9" t="s">
        <v>191</v>
      </c>
      <c r="D35" s="15">
        <v>76</v>
      </c>
      <c r="E35" s="13" t="s">
        <v>75</v>
      </c>
    </row>
    <row r="36" spans="1:5" x14ac:dyDescent="0.25">
      <c r="A36" s="9" t="s">
        <v>1100</v>
      </c>
      <c r="B36" s="10" t="s">
        <v>192</v>
      </c>
      <c r="C36" s="9" t="s">
        <v>193</v>
      </c>
      <c r="D36" s="15">
        <v>209</v>
      </c>
      <c r="E36" s="13" t="s">
        <v>75</v>
      </c>
    </row>
    <row r="37" spans="1:5" x14ac:dyDescent="0.25">
      <c r="A37" s="9" t="s">
        <v>1100</v>
      </c>
      <c r="B37" s="10" t="s">
        <v>194</v>
      </c>
      <c r="C37" s="9" t="s">
        <v>195</v>
      </c>
      <c r="D37" s="15">
        <v>104.5</v>
      </c>
      <c r="E37" s="13" t="s">
        <v>75</v>
      </c>
    </row>
    <row r="38" spans="1:5" x14ac:dyDescent="0.25">
      <c r="A38" s="9" t="s">
        <v>1100</v>
      </c>
      <c r="B38" s="10" t="s">
        <v>198</v>
      </c>
      <c r="C38" s="9" t="s">
        <v>199</v>
      </c>
      <c r="D38" s="15">
        <v>76</v>
      </c>
      <c r="E38" s="13" t="s">
        <v>75</v>
      </c>
    </row>
    <row r="39" spans="1:5" x14ac:dyDescent="0.25">
      <c r="A39" s="9" t="s">
        <v>1100</v>
      </c>
      <c r="B39" s="10" t="s">
        <v>202</v>
      </c>
      <c r="C39" s="9" t="s">
        <v>203</v>
      </c>
      <c r="D39" s="15">
        <v>76</v>
      </c>
      <c r="E39" s="13" t="s">
        <v>75</v>
      </c>
    </row>
    <row r="40" spans="1:5" x14ac:dyDescent="0.25">
      <c r="A40" s="9" t="s">
        <v>1100</v>
      </c>
      <c r="B40" s="10" t="s">
        <v>204</v>
      </c>
      <c r="C40" s="9" t="s">
        <v>205</v>
      </c>
      <c r="D40" s="15">
        <v>209</v>
      </c>
      <c r="E40" s="13" t="s">
        <v>75</v>
      </c>
    </row>
    <row r="41" spans="1:5" x14ac:dyDescent="0.25">
      <c r="A41" s="9" t="s">
        <v>1100</v>
      </c>
      <c r="B41" s="10" t="s">
        <v>206</v>
      </c>
      <c r="C41" s="9" t="s">
        <v>207</v>
      </c>
      <c r="D41" s="15">
        <v>123.5</v>
      </c>
      <c r="E41" s="13" t="s">
        <v>75</v>
      </c>
    </row>
    <row r="42" spans="1:5" x14ac:dyDescent="0.25">
      <c r="A42" s="9" t="s">
        <v>1100</v>
      </c>
      <c r="B42" s="10" t="s">
        <v>212</v>
      </c>
      <c r="C42" s="9" t="s">
        <v>213</v>
      </c>
      <c r="D42" s="15">
        <v>66.5</v>
      </c>
      <c r="E42" s="13" t="s">
        <v>75</v>
      </c>
    </row>
    <row r="43" spans="1:5" x14ac:dyDescent="0.25">
      <c r="A43" s="9" t="s">
        <v>1100</v>
      </c>
      <c r="B43" s="10" t="s">
        <v>214</v>
      </c>
      <c r="C43" s="9" t="s">
        <v>215</v>
      </c>
      <c r="D43" s="15">
        <v>104.5</v>
      </c>
      <c r="E43" s="13" t="s">
        <v>75</v>
      </c>
    </row>
    <row r="44" spans="1:5" x14ac:dyDescent="0.25">
      <c r="A44" s="9" t="s">
        <v>1100</v>
      </c>
      <c r="B44" s="10" t="s">
        <v>220</v>
      </c>
      <c r="C44" s="9" t="s">
        <v>221</v>
      </c>
      <c r="D44" s="15">
        <v>209</v>
      </c>
      <c r="E44" s="13" t="s">
        <v>75</v>
      </c>
    </row>
    <row r="45" spans="1:5" x14ac:dyDescent="0.25">
      <c r="A45" s="9" t="s">
        <v>1100</v>
      </c>
      <c r="B45" s="10" t="s">
        <v>222</v>
      </c>
      <c r="C45" s="9" t="s">
        <v>223</v>
      </c>
      <c r="D45" s="15">
        <v>285</v>
      </c>
      <c r="E45" s="13" t="s">
        <v>75</v>
      </c>
    </row>
    <row r="46" spans="1:5" x14ac:dyDescent="0.25">
      <c r="A46" s="9" t="s">
        <v>1100</v>
      </c>
      <c r="B46" s="10" t="s">
        <v>224</v>
      </c>
      <c r="C46" s="9" t="s">
        <v>225</v>
      </c>
      <c r="D46" s="15">
        <v>151.76</v>
      </c>
      <c r="E46" s="13" t="s">
        <v>75</v>
      </c>
    </row>
    <row r="47" spans="1:5" x14ac:dyDescent="0.25">
      <c r="A47" s="9" t="s">
        <v>1100</v>
      </c>
      <c r="B47" s="10" t="s">
        <v>226</v>
      </c>
      <c r="C47" s="9" t="s">
        <v>227</v>
      </c>
      <c r="D47" s="15">
        <v>209</v>
      </c>
      <c r="E47" s="13" t="s">
        <v>75</v>
      </c>
    </row>
    <row r="48" spans="1:5" x14ac:dyDescent="0.25">
      <c r="A48" s="9" t="s">
        <v>1100</v>
      </c>
      <c r="B48" s="10" t="s">
        <v>228</v>
      </c>
      <c r="C48" s="9" t="s">
        <v>229</v>
      </c>
      <c r="D48" s="15">
        <v>104.5</v>
      </c>
      <c r="E48" s="13" t="s">
        <v>75</v>
      </c>
    </row>
    <row r="49" spans="1:5" x14ac:dyDescent="0.25">
      <c r="A49" s="9" t="s">
        <v>1100</v>
      </c>
      <c r="B49" s="10" t="s">
        <v>230</v>
      </c>
      <c r="C49" s="9" t="s">
        <v>231</v>
      </c>
      <c r="D49" s="15">
        <v>294.02</v>
      </c>
      <c r="E49" s="13" t="s">
        <v>75</v>
      </c>
    </row>
    <row r="50" spans="1:5" x14ac:dyDescent="0.25">
      <c r="A50" s="9" t="s">
        <v>1100</v>
      </c>
      <c r="B50" s="10" t="s">
        <v>232</v>
      </c>
      <c r="C50" s="9" t="s">
        <v>233</v>
      </c>
      <c r="D50" s="15">
        <v>104.5</v>
      </c>
      <c r="E50" s="13" t="s">
        <v>75</v>
      </c>
    </row>
    <row r="51" spans="1:5" x14ac:dyDescent="0.25">
      <c r="A51" s="9" t="s">
        <v>1100</v>
      </c>
      <c r="B51" s="10" t="s">
        <v>234</v>
      </c>
      <c r="C51" s="9" t="s">
        <v>235</v>
      </c>
      <c r="D51" s="15">
        <v>104.5</v>
      </c>
      <c r="E51" s="13" t="s">
        <v>75</v>
      </c>
    </row>
    <row r="52" spans="1:5" x14ac:dyDescent="0.25">
      <c r="A52" s="9" t="s">
        <v>1100</v>
      </c>
      <c r="B52" s="10" t="s">
        <v>236</v>
      </c>
      <c r="C52" s="9" t="s">
        <v>237</v>
      </c>
      <c r="D52" s="15">
        <v>19</v>
      </c>
      <c r="E52" s="13" t="s">
        <v>75</v>
      </c>
    </row>
    <row r="53" spans="1:5" x14ac:dyDescent="0.25">
      <c r="A53" s="9" t="s">
        <v>1100</v>
      </c>
      <c r="B53" s="10" t="s">
        <v>238</v>
      </c>
      <c r="C53" s="9" t="s">
        <v>239</v>
      </c>
      <c r="D53" s="15">
        <v>66.02</v>
      </c>
      <c r="E53" s="13" t="s">
        <v>75</v>
      </c>
    </row>
    <row r="54" spans="1:5" x14ac:dyDescent="0.25">
      <c r="A54" s="9" t="s">
        <v>1100</v>
      </c>
      <c r="B54" s="10" t="s">
        <v>242</v>
      </c>
      <c r="C54" s="9" t="s">
        <v>243</v>
      </c>
      <c r="D54" s="15">
        <v>313.5</v>
      </c>
      <c r="E54" s="13" t="s">
        <v>75</v>
      </c>
    </row>
    <row r="55" spans="1:5" x14ac:dyDescent="0.25">
      <c r="A55" s="9" t="s">
        <v>1100</v>
      </c>
      <c r="B55" s="10" t="s">
        <v>244</v>
      </c>
      <c r="C55" s="9" t="s">
        <v>245</v>
      </c>
      <c r="D55" s="15">
        <v>313.5</v>
      </c>
      <c r="E55" s="13" t="s">
        <v>75</v>
      </c>
    </row>
    <row r="56" spans="1:5" x14ac:dyDescent="0.25">
      <c r="A56" s="9" t="s">
        <v>1100</v>
      </c>
      <c r="B56" s="10" t="s">
        <v>246</v>
      </c>
      <c r="C56" s="9" t="s">
        <v>247</v>
      </c>
      <c r="D56" s="15">
        <v>76</v>
      </c>
      <c r="E56" s="13" t="s">
        <v>75</v>
      </c>
    </row>
    <row r="57" spans="1:5" x14ac:dyDescent="0.25">
      <c r="A57" s="9" t="s">
        <v>1100</v>
      </c>
      <c r="B57" s="10" t="s">
        <v>248</v>
      </c>
      <c r="C57" s="9" t="s">
        <v>249</v>
      </c>
      <c r="D57" s="15">
        <v>209</v>
      </c>
      <c r="E57" s="13" t="s">
        <v>75</v>
      </c>
    </row>
    <row r="58" spans="1:5" x14ac:dyDescent="0.25">
      <c r="A58" s="9" t="s">
        <v>1100</v>
      </c>
      <c r="B58" s="10" t="s">
        <v>250</v>
      </c>
      <c r="C58" s="9" t="s">
        <v>251</v>
      </c>
      <c r="D58" s="15">
        <v>104.5</v>
      </c>
      <c r="E58" s="13" t="s">
        <v>75</v>
      </c>
    </row>
    <row r="59" spans="1:5" x14ac:dyDescent="0.25">
      <c r="A59" s="9" t="s">
        <v>1100</v>
      </c>
      <c r="B59" s="10" t="s">
        <v>252</v>
      </c>
      <c r="C59" s="9" t="s">
        <v>253</v>
      </c>
      <c r="D59" s="15">
        <v>199.26</v>
      </c>
      <c r="E59" s="13" t="s">
        <v>75</v>
      </c>
    </row>
    <row r="60" spans="1:5" x14ac:dyDescent="0.25">
      <c r="A60" s="9" t="s">
        <v>1100</v>
      </c>
      <c r="B60" s="10" t="s">
        <v>256</v>
      </c>
      <c r="C60" s="9" t="s">
        <v>257</v>
      </c>
      <c r="D60" s="15">
        <v>104.5</v>
      </c>
      <c r="E60" s="13" t="s">
        <v>75</v>
      </c>
    </row>
    <row r="61" spans="1:5" x14ac:dyDescent="0.25">
      <c r="A61" s="9" t="s">
        <v>1100</v>
      </c>
      <c r="B61" s="10" t="s">
        <v>260</v>
      </c>
      <c r="C61" s="9" t="s">
        <v>261</v>
      </c>
      <c r="D61" s="15">
        <v>171</v>
      </c>
      <c r="E61" s="13" t="s">
        <v>75</v>
      </c>
    </row>
    <row r="62" spans="1:5" x14ac:dyDescent="0.25">
      <c r="A62" s="9" t="s">
        <v>1100</v>
      </c>
      <c r="B62" s="10" t="s">
        <v>264</v>
      </c>
      <c r="C62" s="9" t="s">
        <v>265</v>
      </c>
      <c r="D62" s="15">
        <v>104.5</v>
      </c>
      <c r="E62" s="13" t="s">
        <v>75</v>
      </c>
    </row>
    <row r="63" spans="1:5" x14ac:dyDescent="0.25">
      <c r="A63" s="9" t="s">
        <v>1100</v>
      </c>
      <c r="B63" s="10" t="s">
        <v>270</v>
      </c>
      <c r="C63" s="9" t="s">
        <v>271</v>
      </c>
      <c r="D63" s="15">
        <v>209</v>
      </c>
      <c r="E63" s="13" t="s">
        <v>75</v>
      </c>
    </row>
    <row r="64" spans="1:5" x14ac:dyDescent="0.25">
      <c r="A64" s="9" t="s">
        <v>1100</v>
      </c>
      <c r="B64" s="10" t="s">
        <v>272</v>
      </c>
      <c r="C64" s="9" t="s">
        <v>273</v>
      </c>
      <c r="D64" s="15">
        <v>57</v>
      </c>
      <c r="E64" s="13" t="s">
        <v>75</v>
      </c>
    </row>
    <row r="65" spans="1:5" x14ac:dyDescent="0.25">
      <c r="A65" s="9" t="s">
        <v>1100</v>
      </c>
      <c r="B65" s="10" t="s">
        <v>276</v>
      </c>
      <c r="C65" s="9" t="s">
        <v>277</v>
      </c>
      <c r="D65" s="15">
        <v>209</v>
      </c>
      <c r="E65" s="13" t="s">
        <v>75</v>
      </c>
    </row>
    <row r="66" spans="1:5" x14ac:dyDescent="0.25">
      <c r="A66" s="9" t="s">
        <v>1100</v>
      </c>
      <c r="B66" s="10" t="s">
        <v>280</v>
      </c>
      <c r="C66" s="9" t="s">
        <v>281</v>
      </c>
      <c r="D66" s="15">
        <v>104.5</v>
      </c>
      <c r="E66" s="13" t="s">
        <v>75</v>
      </c>
    </row>
    <row r="67" spans="1:5" x14ac:dyDescent="0.25">
      <c r="A67" s="9" t="s">
        <v>1100</v>
      </c>
      <c r="B67" s="10" t="s">
        <v>282</v>
      </c>
      <c r="C67" s="9" t="s">
        <v>283</v>
      </c>
      <c r="D67" s="15">
        <v>199.26</v>
      </c>
      <c r="E67" s="13" t="s">
        <v>75</v>
      </c>
    </row>
    <row r="68" spans="1:5" x14ac:dyDescent="0.25">
      <c r="A68" s="9" t="s">
        <v>1100</v>
      </c>
      <c r="B68" s="10" t="s">
        <v>284</v>
      </c>
      <c r="C68" s="9" t="s">
        <v>285</v>
      </c>
      <c r="D68" s="15">
        <v>104.5</v>
      </c>
      <c r="E68" s="13" t="s">
        <v>75</v>
      </c>
    </row>
    <row r="69" spans="1:5" x14ac:dyDescent="0.25">
      <c r="A69" s="9" t="s">
        <v>1100</v>
      </c>
      <c r="B69" s="10" t="s">
        <v>286</v>
      </c>
      <c r="C69" s="9" t="s">
        <v>287</v>
      </c>
      <c r="D69" s="15">
        <v>104.5</v>
      </c>
      <c r="E69" s="13" t="s">
        <v>75</v>
      </c>
    </row>
    <row r="70" spans="1:5" x14ac:dyDescent="0.25">
      <c r="A70" s="9" t="s">
        <v>1100</v>
      </c>
      <c r="B70" s="10" t="s">
        <v>288</v>
      </c>
      <c r="C70" s="9" t="s">
        <v>289</v>
      </c>
      <c r="D70" s="15">
        <v>104.5</v>
      </c>
      <c r="E70" s="13" t="s">
        <v>75</v>
      </c>
    </row>
    <row r="71" spans="1:5" x14ac:dyDescent="0.25">
      <c r="A71" s="9" t="s">
        <v>1100</v>
      </c>
      <c r="B71" s="10" t="s">
        <v>290</v>
      </c>
      <c r="C71" s="9" t="s">
        <v>291</v>
      </c>
      <c r="D71" s="15">
        <v>104.5</v>
      </c>
      <c r="E71" s="13" t="s">
        <v>75</v>
      </c>
    </row>
    <row r="72" spans="1:5" x14ac:dyDescent="0.25">
      <c r="A72" s="9" t="s">
        <v>1100</v>
      </c>
      <c r="B72" s="10" t="s">
        <v>292</v>
      </c>
      <c r="C72" s="9" t="s">
        <v>293</v>
      </c>
      <c r="D72" s="15">
        <v>190</v>
      </c>
      <c r="E72" s="13" t="s">
        <v>75</v>
      </c>
    </row>
    <row r="73" spans="1:5" x14ac:dyDescent="0.25">
      <c r="A73" s="9" t="s">
        <v>1100</v>
      </c>
      <c r="B73" s="10" t="s">
        <v>294</v>
      </c>
      <c r="C73" s="9" t="s">
        <v>295</v>
      </c>
      <c r="D73" s="15">
        <v>209</v>
      </c>
      <c r="E73" s="13" t="s">
        <v>75</v>
      </c>
    </row>
    <row r="74" spans="1:5" x14ac:dyDescent="0.25">
      <c r="A74" s="9" t="s">
        <v>1100</v>
      </c>
      <c r="B74" s="10" t="s">
        <v>300</v>
      </c>
      <c r="C74" s="9" t="s">
        <v>301</v>
      </c>
      <c r="D74" s="15">
        <v>104.5</v>
      </c>
      <c r="E74" s="13" t="s">
        <v>75</v>
      </c>
    </row>
    <row r="75" spans="1:5" x14ac:dyDescent="0.25">
      <c r="A75" s="9" t="s">
        <v>1100</v>
      </c>
      <c r="B75" s="10" t="s">
        <v>302</v>
      </c>
      <c r="C75" s="9" t="s">
        <v>303</v>
      </c>
      <c r="D75" s="15">
        <v>104.5</v>
      </c>
      <c r="E75" s="13" t="s">
        <v>75</v>
      </c>
    </row>
    <row r="76" spans="1:5" x14ac:dyDescent="0.25">
      <c r="A76" s="9" t="s">
        <v>1100</v>
      </c>
      <c r="B76" s="10" t="s">
        <v>304</v>
      </c>
      <c r="C76" s="9" t="s">
        <v>305</v>
      </c>
      <c r="D76" s="15">
        <v>209</v>
      </c>
      <c r="E76" s="13" t="s">
        <v>75</v>
      </c>
    </row>
    <row r="77" spans="1:5" x14ac:dyDescent="0.25">
      <c r="A77" s="9" t="s">
        <v>1100</v>
      </c>
      <c r="B77" s="10" t="s">
        <v>306</v>
      </c>
      <c r="C77" s="9" t="s">
        <v>307</v>
      </c>
      <c r="D77" s="15">
        <v>199.5</v>
      </c>
      <c r="E77" s="13" t="s">
        <v>75</v>
      </c>
    </row>
    <row r="78" spans="1:5" x14ac:dyDescent="0.25">
      <c r="A78" s="9" t="s">
        <v>1100</v>
      </c>
      <c r="B78" s="10" t="s">
        <v>310</v>
      </c>
      <c r="C78" s="9" t="s">
        <v>311</v>
      </c>
      <c r="D78" s="15">
        <v>104.5</v>
      </c>
      <c r="E78" s="13" t="s">
        <v>75</v>
      </c>
    </row>
    <row r="79" spans="1:5" x14ac:dyDescent="0.25">
      <c r="A79" s="9" t="s">
        <v>1100</v>
      </c>
      <c r="B79" s="10" t="s">
        <v>314</v>
      </c>
      <c r="C79" s="9" t="s">
        <v>315</v>
      </c>
      <c r="D79" s="15">
        <v>104.5</v>
      </c>
      <c r="E79" s="13" t="s">
        <v>75</v>
      </c>
    </row>
    <row r="80" spans="1:5" x14ac:dyDescent="0.25">
      <c r="A80" s="9" t="s">
        <v>1100</v>
      </c>
      <c r="B80" s="10" t="s">
        <v>316</v>
      </c>
      <c r="C80" s="9" t="s">
        <v>317</v>
      </c>
      <c r="D80" s="15">
        <v>104.5</v>
      </c>
      <c r="E80" s="13" t="s">
        <v>75</v>
      </c>
    </row>
    <row r="81" spans="1:5" x14ac:dyDescent="0.25">
      <c r="A81" s="9" t="s">
        <v>1100</v>
      </c>
      <c r="B81" s="10" t="s">
        <v>320</v>
      </c>
      <c r="C81" s="9" t="s">
        <v>321</v>
      </c>
      <c r="D81" s="15">
        <v>313.5</v>
      </c>
      <c r="E81" s="13" t="s">
        <v>75</v>
      </c>
    </row>
    <row r="82" spans="1:5" x14ac:dyDescent="0.25">
      <c r="A82" s="9" t="s">
        <v>1100</v>
      </c>
      <c r="B82" s="10" t="s">
        <v>322</v>
      </c>
      <c r="C82" s="9" t="s">
        <v>323</v>
      </c>
      <c r="D82" s="15">
        <v>38</v>
      </c>
      <c r="E82" s="13" t="s">
        <v>75</v>
      </c>
    </row>
    <row r="83" spans="1:5" x14ac:dyDescent="0.25">
      <c r="A83" s="9" t="s">
        <v>1100</v>
      </c>
      <c r="B83" s="10" t="s">
        <v>324</v>
      </c>
      <c r="C83" s="9" t="s">
        <v>325</v>
      </c>
      <c r="D83" s="15">
        <v>209</v>
      </c>
      <c r="E83" s="13" t="s">
        <v>75</v>
      </c>
    </row>
    <row r="84" spans="1:5" x14ac:dyDescent="0.25">
      <c r="A84" s="9" t="s">
        <v>1100</v>
      </c>
      <c r="B84" s="10" t="s">
        <v>326</v>
      </c>
      <c r="C84" s="9" t="s">
        <v>327</v>
      </c>
      <c r="D84" s="15">
        <v>94.52</v>
      </c>
      <c r="E84" s="13" t="s">
        <v>75</v>
      </c>
    </row>
    <row r="85" spans="1:5" x14ac:dyDescent="0.25">
      <c r="A85" s="9" t="s">
        <v>1100</v>
      </c>
      <c r="B85" s="10" t="s">
        <v>328</v>
      </c>
      <c r="C85" s="9" t="s">
        <v>329</v>
      </c>
      <c r="D85" s="15">
        <v>209</v>
      </c>
      <c r="E85" s="13" t="s">
        <v>75</v>
      </c>
    </row>
    <row r="86" spans="1:5" x14ac:dyDescent="0.25">
      <c r="A86" s="9" t="s">
        <v>1100</v>
      </c>
      <c r="B86" s="10" t="s">
        <v>332</v>
      </c>
      <c r="C86" s="9" t="s">
        <v>333</v>
      </c>
      <c r="D86" s="15">
        <v>294.02</v>
      </c>
      <c r="E86" s="13" t="s">
        <v>75</v>
      </c>
    </row>
    <row r="87" spans="1:5" x14ac:dyDescent="0.25">
      <c r="A87" s="9" t="s">
        <v>1100</v>
      </c>
      <c r="B87" s="10" t="s">
        <v>334</v>
      </c>
      <c r="C87" s="9" t="s">
        <v>335</v>
      </c>
      <c r="D87" s="15">
        <v>9.5</v>
      </c>
      <c r="E87" s="13" t="s">
        <v>75</v>
      </c>
    </row>
    <row r="88" spans="1:5" x14ac:dyDescent="0.25">
      <c r="A88" s="9" t="s">
        <v>1100</v>
      </c>
      <c r="B88" s="10" t="s">
        <v>336</v>
      </c>
      <c r="C88" s="9" t="s">
        <v>337</v>
      </c>
      <c r="D88" s="15">
        <v>199.26</v>
      </c>
      <c r="E88" s="13" t="s">
        <v>75</v>
      </c>
    </row>
    <row r="89" spans="1:5" x14ac:dyDescent="0.25">
      <c r="A89" s="9" t="s">
        <v>1100</v>
      </c>
      <c r="B89" s="10" t="s">
        <v>338</v>
      </c>
      <c r="C89" s="9" t="s">
        <v>339</v>
      </c>
      <c r="D89" s="15">
        <v>104.5</v>
      </c>
      <c r="E89" s="13" t="s">
        <v>75</v>
      </c>
    </row>
    <row r="90" spans="1:5" x14ac:dyDescent="0.25">
      <c r="A90" s="9" t="s">
        <v>1100</v>
      </c>
      <c r="B90" s="10" t="s">
        <v>340</v>
      </c>
      <c r="C90" s="9" t="s">
        <v>341</v>
      </c>
      <c r="D90" s="15">
        <v>104.5</v>
      </c>
      <c r="E90" s="13" t="s">
        <v>75</v>
      </c>
    </row>
    <row r="91" spans="1:5" x14ac:dyDescent="0.25">
      <c r="A91" s="9" t="s">
        <v>1100</v>
      </c>
      <c r="B91" s="10" t="s">
        <v>342</v>
      </c>
      <c r="C91" s="9" t="s">
        <v>343</v>
      </c>
      <c r="D91" s="15">
        <v>104.5</v>
      </c>
      <c r="E91" s="13" t="s">
        <v>75</v>
      </c>
    </row>
    <row r="92" spans="1:5" x14ac:dyDescent="0.25">
      <c r="A92" s="9" t="s">
        <v>1100</v>
      </c>
      <c r="B92" s="10" t="s">
        <v>344</v>
      </c>
      <c r="C92" s="9" t="s">
        <v>345</v>
      </c>
      <c r="D92" s="15">
        <v>199.26</v>
      </c>
      <c r="E92" s="13" t="s">
        <v>75</v>
      </c>
    </row>
    <row r="93" spans="1:5" x14ac:dyDescent="0.25">
      <c r="A93" s="9" t="s">
        <v>1100</v>
      </c>
      <c r="B93" s="10" t="s">
        <v>346</v>
      </c>
      <c r="C93" s="9" t="s">
        <v>347</v>
      </c>
      <c r="D93" s="15">
        <v>38</v>
      </c>
      <c r="E93" s="13" t="s">
        <v>75</v>
      </c>
    </row>
    <row r="94" spans="1:5" x14ac:dyDescent="0.25">
      <c r="A94" s="9" t="s">
        <v>1100</v>
      </c>
      <c r="B94" s="10" t="s">
        <v>348</v>
      </c>
      <c r="C94" s="9" t="s">
        <v>349</v>
      </c>
      <c r="D94" s="15">
        <v>190</v>
      </c>
      <c r="E94" s="13" t="s">
        <v>75</v>
      </c>
    </row>
    <row r="95" spans="1:5" x14ac:dyDescent="0.25">
      <c r="A95" s="9" t="s">
        <v>1100</v>
      </c>
      <c r="B95" s="10" t="s">
        <v>354</v>
      </c>
      <c r="C95" s="9" t="s">
        <v>355</v>
      </c>
      <c r="D95" s="15">
        <v>265.52</v>
      </c>
      <c r="E95" s="13" t="s">
        <v>75</v>
      </c>
    </row>
    <row r="96" spans="1:5" x14ac:dyDescent="0.25">
      <c r="A96" s="9" t="s">
        <v>1100</v>
      </c>
      <c r="B96" s="10" t="s">
        <v>356</v>
      </c>
      <c r="C96" s="9" t="s">
        <v>357</v>
      </c>
      <c r="D96" s="15">
        <v>104.5</v>
      </c>
      <c r="E96" s="13" t="s">
        <v>75</v>
      </c>
    </row>
    <row r="97" spans="1:5" x14ac:dyDescent="0.25">
      <c r="A97" s="9" t="s">
        <v>1100</v>
      </c>
      <c r="B97" s="10" t="s">
        <v>358</v>
      </c>
      <c r="C97" s="9" t="s">
        <v>359</v>
      </c>
      <c r="D97" s="15">
        <v>9.5</v>
      </c>
      <c r="E97" s="13" t="s">
        <v>75</v>
      </c>
    </row>
    <row r="98" spans="1:5" x14ac:dyDescent="0.25">
      <c r="A98" s="9" t="s">
        <v>1100</v>
      </c>
      <c r="B98" s="10" t="s">
        <v>362</v>
      </c>
      <c r="C98" s="9" t="s">
        <v>363</v>
      </c>
      <c r="D98" s="15">
        <v>76</v>
      </c>
      <c r="E98" s="13" t="s">
        <v>75</v>
      </c>
    </row>
    <row r="99" spans="1:5" x14ac:dyDescent="0.25">
      <c r="A99" s="9" t="s">
        <v>1100</v>
      </c>
      <c r="B99" s="10" t="s">
        <v>364</v>
      </c>
      <c r="C99" s="9" t="s">
        <v>365</v>
      </c>
      <c r="D99" s="15">
        <v>104.5</v>
      </c>
      <c r="E99" s="13" t="s">
        <v>75</v>
      </c>
    </row>
    <row r="100" spans="1:5" x14ac:dyDescent="0.25">
      <c r="A100" s="9" t="s">
        <v>1100</v>
      </c>
      <c r="B100" s="10" t="s">
        <v>368</v>
      </c>
      <c r="C100" s="9" t="s">
        <v>369</v>
      </c>
      <c r="D100" s="15">
        <v>209</v>
      </c>
      <c r="E100" s="13" t="s">
        <v>75</v>
      </c>
    </row>
    <row r="101" spans="1:5" x14ac:dyDescent="0.25">
      <c r="A101" s="9" t="s">
        <v>1100</v>
      </c>
      <c r="B101" s="10" t="s">
        <v>370</v>
      </c>
      <c r="C101" s="9" t="s">
        <v>371</v>
      </c>
      <c r="D101" s="15">
        <v>104.5</v>
      </c>
      <c r="E101" s="13" t="s">
        <v>75</v>
      </c>
    </row>
    <row r="102" spans="1:5" x14ac:dyDescent="0.25">
      <c r="A102" s="9" t="s">
        <v>1100</v>
      </c>
      <c r="B102" s="10" t="s">
        <v>372</v>
      </c>
      <c r="C102" s="9" t="s">
        <v>373</v>
      </c>
      <c r="D102" s="15">
        <v>209</v>
      </c>
      <c r="E102" s="13" t="s">
        <v>75</v>
      </c>
    </row>
    <row r="103" spans="1:5" x14ac:dyDescent="0.25">
      <c r="A103" s="9" t="s">
        <v>1100</v>
      </c>
      <c r="B103" s="10" t="s">
        <v>374</v>
      </c>
      <c r="C103" s="9" t="s">
        <v>375</v>
      </c>
      <c r="D103" s="15">
        <v>28.5</v>
      </c>
      <c r="E103" s="13" t="s">
        <v>75</v>
      </c>
    </row>
    <row r="104" spans="1:5" x14ac:dyDescent="0.25">
      <c r="A104" s="9" t="s">
        <v>1100</v>
      </c>
      <c r="B104" s="10" t="s">
        <v>376</v>
      </c>
      <c r="C104" s="9" t="s">
        <v>377</v>
      </c>
      <c r="D104" s="15">
        <v>209</v>
      </c>
      <c r="E104" s="13" t="s">
        <v>75</v>
      </c>
    </row>
    <row r="105" spans="1:5" x14ac:dyDescent="0.25">
      <c r="A105" s="9" t="s">
        <v>1100</v>
      </c>
      <c r="B105" s="10" t="s">
        <v>378</v>
      </c>
      <c r="C105" s="9" t="s">
        <v>379</v>
      </c>
      <c r="D105" s="15">
        <v>104.5</v>
      </c>
      <c r="E105" s="13" t="s">
        <v>75</v>
      </c>
    </row>
    <row r="106" spans="1:5" x14ac:dyDescent="0.25">
      <c r="A106" s="9" t="s">
        <v>1100</v>
      </c>
      <c r="B106" s="10" t="s">
        <v>380</v>
      </c>
      <c r="C106" s="9" t="s">
        <v>381</v>
      </c>
      <c r="D106" s="15">
        <v>114</v>
      </c>
      <c r="E106" s="13" t="s">
        <v>75</v>
      </c>
    </row>
    <row r="107" spans="1:5" x14ac:dyDescent="0.25">
      <c r="A107" s="9" t="s">
        <v>1100</v>
      </c>
      <c r="B107" s="10" t="s">
        <v>382</v>
      </c>
      <c r="C107" s="9" t="s">
        <v>383</v>
      </c>
      <c r="D107" s="15">
        <v>313.5</v>
      </c>
      <c r="E107" s="13" t="s">
        <v>75</v>
      </c>
    </row>
    <row r="108" spans="1:5" x14ac:dyDescent="0.25">
      <c r="A108" s="9" t="s">
        <v>1100</v>
      </c>
      <c r="B108" s="10" t="s">
        <v>386</v>
      </c>
      <c r="C108" s="9" t="s">
        <v>387</v>
      </c>
      <c r="D108" s="15">
        <v>104.5</v>
      </c>
      <c r="E108" s="13" t="s">
        <v>75</v>
      </c>
    </row>
    <row r="109" spans="1:5" x14ac:dyDescent="0.25">
      <c r="A109" s="9" t="s">
        <v>1100</v>
      </c>
      <c r="B109" s="10" t="s">
        <v>388</v>
      </c>
      <c r="C109" s="9" t="s">
        <v>389</v>
      </c>
      <c r="D109" s="15">
        <v>104.5</v>
      </c>
      <c r="E109" s="13" t="s">
        <v>75</v>
      </c>
    </row>
    <row r="110" spans="1:5" x14ac:dyDescent="0.25">
      <c r="A110" s="9" t="s">
        <v>1100</v>
      </c>
      <c r="B110" s="10" t="s">
        <v>390</v>
      </c>
      <c r="C110" s="9" t="s">
        <v>391</v>
      </c>
      <c r="D110" s="15">
        <v>313.5</v>
      </c>
      <c r="E110" s="13" t="s">
        <v>75</v>
      </c>
    </row>
    <row r="111" spans="1:5" x14ac:dyDescent="0.25">
      <c r="A111" s="9" t="s">
        <v>1100</v>
      </c>
      <c r="B111" s="10" t="s">
        <v>392</v>
      </c>
      <c r="C111" s="9" t="s">
        <v>393</v>
      </c>
      <c r="D111" s="15">
        <v>209</v>
      </c>
      <c r="E111" s="13" t="s">
        <v>75</v>
      </c>
    </row>
    <row r="112" spans="1:5" x14ac:dyDescent="0.25">
      <c r="A112" s="9" t="s">
        <v>1100</v>
      </c>
      <c r="B112" s="10" t="s">
        <v>394</v>
      </c>
      <c r="C112" s="9" t="s">
        <v>395</v>
      </c>
      <c r="D112" s="15">
        <v>180.5</v>
      </c>
      <c r="E112" s="13" t="s">
        <v>75</v>
      </c>
    </row>
    <row r="113" spans="1:5" x14ac:dyDescent="0.25">
      <c r="A113" s="9" t="s">
        <v>1100</v>
      </c>
      <c r="B113" s="10" t="s">
        <v>396</v>
      </c>
      <c r="C113" s="9" t="s">
        <v>397</v>
      </c>
      <c r="D113" s="15">
        <v>104.5</v>
      </c>
      <c r="E113" s="13" t="s">
        <v>75</v>
      </c>
    </row>
    <row r="114" spans="1:5" x14ac:dyDescent="0.25">
      <c r="A114" s="9" t="s">
        <v>1100</v>
      </c>
      <c r="B114" s="10" t="s">
        <v>398</v>
      </c>
      <c r="C114" s="9" t="s">
        <v>399</v>
      </c>
      <c r="D114" s="15">
        <v>104.5</v>
      </c>
      <c r="E114" s="13" t="s">
        <v>75</v>
      </c>
    </row>
    <row r="115" spans="1:5" x14ac:dyDescent="0.25">
      <c r="A115" s="9" t="s">
        <v>1100</v>
      </c>
      <c r="B115" s="10" t="s">
        <v>406</v>
      </c>
      <c r="C115" s="9" t="s">
        <v>407</v>
      </c>
      <c r="D115" s="15">
        <v>199.26</v>
      </c>
      <c r="E115" s="13" t="s">
        <v>75</v>
      </c>
    </row>
    <row r="116" spans="1:5" x14ac:dyDescent="0.25">
      <c r="A116" s="9" t="s">
        <v>1100</v>
      </c>
      <c r="B116" s="10" t="s">
        <v>408</v>
      </c>
      <c r="C116" s="9" t="s">
        <v>409</v>
      </c>
      <c r="D116" s="15">
        <v>104.5</v>
      </c>
      <c r="E116" s="13" t="s">
        <v>75</v>
      </c>
    </row>
    <row r="117" spans="1:5" x14ac:dyDescent="0.25">
      <c r="A117" s="9" t="s">
        <v>1100</v>
      </c>
      <c r="B117" s="10" t="s">
        <v>410</v>
      </c>
      <c r="C117" s="9" t="s">
        <v>411</v>
      </c>
      <c r="D117" s="15">
        <v>38</v>
      </c>
      <c r="E117" s="13" t="s">
        <v>75</v>
      </c>
    </row>
    <row r="118" spans="1:5" x14ac:dyDescent="0.25">
      <c r="A118" s="9" t="s">
        <v>1100</v>
      </c>
      <c r="B118" s="10" t="s">
        <v>414</v>
      </c>
      <c r="C118" s="9" t="s">
        <v>415</v>
      </c>
      <c r="D118" s="15">
        <v>104.5</v>
      </c>
      <c r="E118" s="13" t="s">
        <v>75</v>
      </c>
    </row>
    <row r="119" spans="1:5" x14ac:dyDescent="0.25">
      <c r="A119" s="9" t="s">
        <v>1100</v>
      </c>
      <c r="B119" s="10" t="s">
        <v>416</v>
      </c>
      <c r="C119" s="9" t="s">
        <v>417</v>
      </c>
      <c r="D119" s="15">
        <v>104.5</v>
      </c>
      <c r="E119" s="13" t="s">
        <v>75</v>
      </c>
    </row>
    <row r="120" spans="1:5" x14ac:dyDescent="0.25">
      <c r="A120" s="9" t="s">
        <v>1100</v>
      </c>
      <c r="B120" s="10" t="s">
        <v>422</v>
      </c>
      <c r="C120" s="9" t="s">
        <v>423</v>
      </c>
      <c r="D120" s="15">
        <v>199.26</v>
      </c>
      <c r="E120" s="13" t="s">
        <v>75</v>
      </c>
    </row>
    <row r="121" spans="1:5" x14ac:dyDescent="0.25">
      <c r="A121" s="9" t="s">
        <v>1100</v>
      </c>
      <c r="B121" s="10" t="s">
        <v>426</v>
      </c>
      <c r="C121" s="9" t="s">
        <v>427</v>
      </c>
      <c r="D121" s="15">
        <v>171</v>
      </c>
      <c r="E121" s="13" t="s">
        <v>75</v>
      </c>
    </row>
    <row r="122" spans="1:5" x14ac:dyDescent="0.25">
      <c r="A122" s="9" t="s">
        <v>1100</v>
      </c>
      <c r="B122" s="10" t="s">
        <v>428</v>
      </c>
      <c r="C122" s="9" t="s">
        <v>429</v>
      </c>
      <c r="D122" s="15">
        <v>418</v>
      </c>
      <c r="E122" s="13" t="s">
        <v>75</v>
      </c>
    </row>
    <row r="123" spans="1:5" x14ac:dyDescent="0.25">
      <c r="A123" s="9" t="s">
        <v>1100</v>
      </c>
      <c r="B123" s="10" t="s">
        <v>430</v>
      </c>
      <c r="C123" s="9" t="s">
        <v>431</v>
      </c>
      <c r="D123" s="15">
        <v>104.5</v>
      </c>
      <c r="E123" s="13" t="s">
        <v>75</v>
      </c>
    </row>
    <row r="124" spans="1:5" x14ac:dyDescent="0.25">
      <c r="A124" s="9" t="s">
        <v>1100</v>
      </c>
      <c r="B124" s="10" t="s">
        <v>432</v>
      </c>
      <c r="C124" s="9" t="s">
        <v>433</v>
      </c>
      <c r="D124" s="15">
        <v>313.5</v>
      </c>
      <c r="E124" s="13" t="s">
        <v>75</v>
      </c>
    </row>
    <row r="125" spans="1:5" x14ac:dyDescent="0.25">
      <c r="A125" s="9" t="s">
        <v>1100</v>
      </c>
      <c r="B125" s="10" t="s">
        <v>434</v>
      </c>
      <c r="C125" s="9" t="s">
        <v>435</v>
      </c>
      <c r="D125" s="15">
        <v>104.5</v>
      </c>
      <c r="E125" s="13" t="s">
        <v>75</v>
      </c>
    </row>
    <row r="126" spans="1:5" x14ac:dyDescent="0.25">
      <c r="A126" s="9" t="s">
        <v>1100</v>
      </c>
      <c r="B126" s="10" t="s">
        <v>438</v>
      </c>
      <c r="C126" s="9" t="s">
        <v>439</v>
      </c>
      <c r="D126" s="15">
        <v>209</v>
      </c>
      <c r="E126" s="13" t="s">
        <v>75</v>
      </c>
    </row>
    <row r="127" spans="1:5" x14ac:dyDescent="0.25">
      <c r="A127" s="9" t="s">
        <v>1100</v>
      </c>
      <c r="B127" s="10" t="s">
        <v>440</v>
      </c>
      <c r="C127" s="9" t="s">
        <v>441</v>
      </c>
      <c r="D127" s="15">
        <v>114</v>
      </c>
      <c r="E127" s="13" t="s">
        <v>75</v>
      </c>
    </row>
    <row r="128" spans="1:5" x14ac:dyDescent="0.25">
      <c r="A128" s="9" t="s">
        <v>1100</v>
      </c>
      <c r="B128" s="10" t="s">
        <v>442</v>
      </c>
      <c r="C128" s="9" t="s">
        <v>443</v>
      </c>
      <c r="D128" s="15">
        <v>198</v>
      </c>
      <c r="E128" s="13" t="s">
        <v>75</v>
      </c>
    </row>
    <row r="129" spans="1:5" x14ac:dyDescent="0.25">
      <c r="A129" s="9" t="s">
        <v>1100</v>
      </c>
      <c r="B129" s="10" t="s">
        <v>446</v>
      </c>
      <c r="C129" s="9" t="s">
        <v>447</v>
      </c>
      <c r="D129" s="15">
        <v>104.5</v>
      </c>
      <c r="E129" s="13" t="s">
        <v>75</v>
      </c>
    </row>
    <row r="130" spans="1:5" x14ac:dyDescent="0.25">
      <c r="A130" s="9" t="s">
        <v>1100</v>
      </c>
      <c r="B130" s="10" t="s">
        <v>450</v>
      </c>
      <c r="C130" s="9" t="s">
        <v>451</v>
      </c>
      <c r="D130" s="15">
        <v>104.5</v>
      </c>
      <c r="E130" s="13" t="s">
        <v>75</v>
      </c>
    </row>
    <row r="131" spans="1:5" x14ac:dyDescent="0.25">
      <c r="A131" s="9" t="s">
        <v>1100</v>
      </c>
      <c r="B131" s="10" t="s">
        <v>462</v>
      </c>
      <c r="C131" s="9" t="s">
        <v>463</v>
      </c>
      <c r="D131" s="15">
        <v>9.5</v>
      </c>
      <c r="E131" s="13" t="s">
        <v>75</v>
      </c>
    </row>
    <row r="132" spans="1:5" x14ac:dyDescent="0.25">
      <c r="A132" s="9" t="s">
        <v>1100</v>
      </c>
      <c r="B132" s="10" t="s">
        <v>466</v>
      </c>
      <c r="C132" s="9" t="s">
        <v>467</v>
      </c>
      <c r="D132" s="15">
        <v>104.5</v>
      </c>
      <c r="E132" s="13" t="s">
        <v>75</v>
      </c>
    </row>
    <row r="133" spans="1:5" x14ac:dyDescent="0.25">
      <c r="A133" s="9" t="s">
        <v>1100</v>
      </c>
      <c r="B133" s="10" t="s">
        <v>468</v>
      </c>
      <c r="C133" s="9" t="s">
        <v>469</v>
      </c>
      <c r="D133" s="15">
        <v>313.5</v>
      </c>
      <c r="E133" s="13" t="s">
        <v>75</v>
      </c>
    </row>
    <row r="134" spans="1:5" x14ac:dyDescent="0.25">
      <c r="A134" s="9" t="s">
        <v>1100</v>
      </c>
      <c r="B134" s="10" t="s">
        <v>472</v>
      </c>
      <c r="C134" s="9" t="s">
        <v>473</v>
      </c>
      <c r="D134" s="15">
        <v>9.5</v>
      </c>
      <c r="E134" s="13" t="s">
        <v>75</v>
      </c>
    </row>
    <row r="135" spans="1:5" x14ac:dyDescent="0.25">
      <c r="A135" s="9" t="s">
        <v>1100</v>
      </c>
      <c r="B135" s="10" t="s">
        <v>474</v>
      </c>
      <c r="C135" s="9" t="s">
        <v>475</v>
      </c>
      <c r="D135" s="15">
        <v>209</v>
      </c>
      <c r="E135" s="13" t="s">
        <v>75</v>
      </c>
    </row>
    <row r="136" spans="1:5" x14ac:dyDescent="0.25">
      <c r="A136" s="9" t="s">
        <v>1100</v>
      </c>
      <c r="B136" s="10" t="s">
        <v>478</v>
      </c>
      <c r="C136" s="9" t="s">
        <v>479</v>
      </c>
      <c r="D136" s="15">
        <v>104.5</v>
      </c>
      <c r="E136" s="13" t="s">
        <v>75</v>
      </c>
    </row>
    <row r="137" spans="1:5" x14ac:dyDescent="0.25">
      <c r="A137" s="9" t="s">
        <v>1100</v>
      </c>
      <c r="B137" s="10" t="s">
        <v>480</v>
      </c>
      <c r="C137" s="9" t="s">
        <v>481</v>
      </c>
      <c r="D137" s="15">
        <v>104.5</v>
      </c>
      <c r="E137" s="13" t="s">
        <v>75</v>
      </c>
    </row>
    <row r="138" spans="1:5" x14ac:dyDescent="0.25">
      <c r="A138" s="9" t="s">
        <v>1100</v>
      </c>
      <c r="B138" s="10" t="s">
        <v>488</v>
      </c>
      <c r="C138" s="9" t="s">
        <v>489</v>
      </c>
      <c r="D138" s="15">
        <v>313.5</v>
      </c>
      <c r="E138" s="13" t="s">
        <v>75</v>
      </c>
    </row>
    <row r="139" spans="1:5" x14ac:dyDescent="0.25">
      <c r="A139" s="9" t="s">
        <v>1100</v>
      </c>
      <c r="B139" s="10" t="s">
        <v>492</v>
      </c>
      <c r="C139" s="9" t="s">
        <v>493</v>
      </c>
      <c r="D139" s="15">
        <v>104.5</v>
      </c>
      <c r="E139" s="13" t="s">
        <v>75</v>
      </c>
    </row>
    <row r="140" spans="1:5" x14ac:dyDescent="0.25">
      <c r="A140" s="9" t="s">
        <v>1100</v>
      </c>
      <c r="B140" s="10" t="s">
        <v>494</v>
      </c>
      <c r="C140" s="9" t="s">
        <v>495</v>
      </c>
      <c r="D140" s="15">
        <v>104.5</v>
      </c>
      <c r="E140" s="13" t="s">
        <v>75</v>
      </c>
    </row>
    <row r="141" spans="1:5" x14ac:dyDescent="0.25">
      <c r="A141" s="9" t="s">
        <v>1100</v>
      </c>
      <c r="B141" s="10" t="s">
        <v>496</v>
      </c>
      <c r="C141" s="9" t="s">
        <v>497</v>
      </c>
      <c r="D141" s="15">
        <v>104.5</v>
      </c>
      <c r="E141" s="13" t="s">
        <v>75</v>
      </c>
    </row>
    <row r="142" spans="1:5" x14ac:dyDescent="0.25">
      <c r="A142" s="9" t="s">
        <v>1100</v>
      </c>
      <c r="B142" s="10" t="s">
        <v>498</v>
      </c>
      <c r="C142" s="9" t="s">
        <v>499</v>
      </c>
      <c r="D142" s="15">
        <v>304</v>
      </c>
      <c r="E142" s="13" t="s">
        <v>75</v>
      </c>
    </row>
    <row r="143" spans="1:5" x14ac:dyDescent="0.25">
      <c r="A143" s="9" t="s">
        <v>1100</v>
      </c>
      <c r="B143" s="10" t="s">
        <v>502</v>
      </c>
      <c r="C143" s="9" t="s">
        <v>503</v>
      </c>
      <c r="D143" s="15">
        <v>104.5</v>
      </c>
      <c r="E143" s="13" t="s">
        <v>75</v>
      </c>
    </row>
    <row r="144" spans="1:5" x14ac:dyDescent="0.25">
      <c r="A144" s="9" t="s">
        <v>1100</v>
      </c>
      <c r="B144" s="10" t="s">
        <v>506</v>
      </c>
      <c r="C144" s="9" t="s">
        <v>507</v>
      </c>
      <c r="D144" s="15">
        <v>104.5</v>
      </c>
      <c r="E144" s="13" t="s">
        <v>75</v>
      </c>
    </row>
    <row r="145" spans="1:5" x14ac:dyDescent="0.25">
      <c r="A145" s="9" t="s">
        <v>1100</v>
      </c>
      <c r="B145" s="10" t="s">
        <v>508</v>
      </c>
      <c r="C145" s="9" t="s">
        <v>509</v>
      </c>
      <c r="D145" s="15">
        <v>104.5</v>
      </c>
      <c r="E145" s="13" t="s">
        <v>75</v>
      </c>
    </row>
    <row r="146" spans="1:5" x14ac:dyDescent="0.25">
      <c r="A146" s="9" t="s">
        <v>1100</v>
      </c>
      <c r="B146" s="10" t="s">
        <v>510</v>
      </c>
      <c r="C146" s="9" t="s">
        <v>511</v>
      </c>
      <c r="D146" s="15">
        <v>104.5</v>
      </c>
      <c r="E146" s="13" t="s">
        <v>75</v>
      </c>
    </row>
    <row r="147" spans="1:5" x14ac:dyDescent="0.25">
      <c r="A147" s="9" t="s">
        <v>1100</v>
      </c>
      <c r="B147" s="10" t="s">
        <v>512</v>
      </c>
      <c r="C147" s="9" t="s">
        <v>513</v>
      </c>
      <c r="D147" s="15">
        <v>104.5</v>
      </c>
      <c r="E147" s="13" t="s">
        <v>75</v>
      </c>
    </row>
    <row r="148" spans="1:5" x14ac:dyDescent="0.25">
      <c r="A148" s="9" t="s">
        <v>1100</v>
      </c>
      <c r="B148" s="10" t="s">
        <v>514</v>
      </c>
      <c r="C148" s="9" t="s">
        <v>515</v>
      </c>
      <c r="D148" s="15">
        <v>104.5</v>
      </c>
      <c r="E148" s="13" t="s">
        <v>75</v>
      </c>
    </row>
    <row r="149" spans="1:5" x14ac:dyDescent="0.25">
      <c r="A149" s="9" t="s">
        <v>1100</v>
      </c>
      <c r="B149" s="10" t="s">
        <v>516</v>
      </c>
      <c r="C149" s="9" t="s">
        <v>517</v>
      </c>
      <c r="D149" s="15">
        <v>57</v>
      </c>
      <c r="E149" s="13" t="s">
        <v>75</v>
      </c>
    </row>
    <row r="150" spans="1:5" x14ac:dyDescent="0.25">
      <c r="A150" s="9" t="s">
        <v>1100</v>
      </c>
      <c r="B150" s="10" t="s">
        <v>518</v>
      </c>
      <c r="C150" s="9" t="s">
        <v>519</v>
      </c>
      <c r="D150" s="15">
        <v>104.5</v>
      </c>
      <c r="E150" s="13" t="s">
        <v>75</v>
      </c>
    </row>
    <row r="151" spans="1:5" x14ac:dyDescent="0.25">
      <c r="A151" s="9" t="s">
        <v>1100</v>
      </c>
      <c r="B151" s="10" t="s">
        <v>520</v>
      </c>
      <c r="C151" s="9" t="s">
        <v>521</v>
      </c>
      <c r="D151" s="15">
        <v>104.5</v>
      </c>
      <c r="E151" s="13" t="s">
        <v>75</v>
      </c>
    </row>
    <row r="152" spans="1:5" x14ac:dyDescent="0.25">
      <c r="A152" s="9" t="s">
        <v>1100</v>
      </c>
      <c r="B152" s="10" t="s">
        <v>526</v>
      </c>
      <c r="C152" s="9" t="s">
        <v>527</v>
      </c>
      <c r="D152" s="15">
        <v>104.5</v>
      </c>
      <c r="E152" s="13" t="s">
        <v>75</v>
      </c>
    </row>
    <row r="153" spans="1:5" x14ac:dyDescent="0.25">
      <c r="A153" s="9" t="s">
        <v>1100</v>
      </c>
      <c r="B153" s="10" t="s">
        <v>530</v>
      </c>
      <c r="C153" s="9" t="s">
        <v>531</v>
      </c>
      <c r="D153" s="15">
        <v>104.5</v>
      </c>
      <c r="E153" s="13" t="s">
        <v>75</v>
      </c>
    </row>
    <row r="154" spans="1:5" x14ac:dyDescent="0.25">
      <c r="A154" s="9" t="s">
        <v>1100</v>
      </c>
      <c r="B154" s="10" t="s">
        <v>542</v>
      </c>
      <c r="C154" s="9" t="s">
        <v>543</v>
      </c>
      <c r="D154" s="15">
        <v>104.5</v>
      </c>
      <c r="E154" s="13" t="s">
        <v>75</v>
      </c>
    </row>
    <row r="155" spans="1:5" x14ac:dyDescent="0.25">
      <c r="A155" s="9" t="s">
        <v>1100</v>
      </c>
      <c r="B155" s="10" t="s">
        <v>550</v>
      </c>
      <c r="C155" s="9" t="s">
        <v>551</v>
      </c>
      <c r="D155" s="15">
        <v>19</v>
      </c>
      <c r="E155" s="13" t="s">
        <v>75</v>
      </c>
    </row>
    <row r="156" spans="1:5" x14ac:dyDescent="0.25">
      <c r="A156" s="9" t="s">
        <v>1100</v>
      </c>
      <c r="B156" s="10" t="s">
        <v>554</v>
      </c>
      <c r="C156" s="9" t="s">
        <v>555</v>
      </c>
      <c r="D156" s="15">
        <v>19</v>
      </c>
      <c r="E156" s="13" t="s">
        <v>75</v>
      </c>
    </row>
    <row r="157" spans="1:5" x14ac:dyDescent="0.25">
      <c r="A157" s="9" t="s">
        <v>1100</v>
      </c>
      <c r="B157" s="10" t="s">
        <v>560</v>
      </c>
      <c r="C157" s="9" t="s">
        <v>561</v>
      </c>
      <c r="D157" s="15">
        <v>19</v>
      </c>
      <c r="E157" s="13" t="s">
        <v>75</v>
      </c>
    </row>
    <row r="158" spans="1:5" x14ac:dyDescent="0.25">
      <c r="A158" s="9" t="s">
        <v>1100</v>
      </c>
      <c r="B158" s="10" t="s">
        <v>570</v>
      </c>
      <c r="C158" s="9" t="s">
        <v>571</v>
      </c>
      <c r="D158" s="15">
        <v>104.5</v>
      </c>
      <c r="E158" s="13" t="s">
        <v>75</v>
      </c>
    </row>
    <row r="159" spans="1:5" x14ac:dyDescent="0.25">
      <c r="A159" s="9" t="s">
        <v>1100</v>
      </c>
      <c r="B159" s="10" t="s">
        <v>580</v>
      </c>
      <c r="C159" s="9" t="s">
        <v>581</v>
      </c>
      <c r="D159" s="15">
        <v>209</v>
      </c>
      <c r="E159" s="13" t="s">
        <v>75</v>
      </c>
    </row>
    <row r="160" spans="1:5" x14ac:dyDescent="0.25">
      <c r="A160" s="9" t="s">
        <v>1100</v>
      </c>
      <c r="B160" s="10" t="s">
        <v>582</v>
      </c>
      <c r="C160" s="9" t="s">
        <v>583</v>
      </c>
      <c r="D160" s="15">
        <v>247</v>
      </c>
      <c r="E160" s="13" t="s">
        <v>75</v>
      </c>
    </row>
    <row r="161" spans="1:5" x14ac:dyDescent="0.25">
      <c r="A161" s="9" t="s">
        <v>1100</v>
      </c>
      <c r="B161" s="10" t="s">
        <v>586</v>
      </c>
      <c r="C161" s="9" t="s">
        <v>587</v>
      </c>
      <c r="D161" s="15">
        <v>171</v>
      </c>
      <c r="E161" s="13" t="s">
        <v>75</v>
      </c>
    </row>
    <row r="162" spans="1:5" x14ac:dyDescent="0.25">
      <c r="A162" s="9" t="s">
        <v>1100</v>
      </c>
      <c r="B162" s="10" t="s">
        <v>590</v>
      </c>
      <c r="C162" s="9" t="s">
        <v>591</v>
      </c>
      <c r="D162" s="15">
        <v>104.5</v>
      </c>
      <c r="E162" s="13" t="s">
        <v>75</v>
      </c>
    </row>
    <row r="163" spans="1:5" x14ac:dyDescent="0.25">
      <c r="A163" s="9" t="s">
        <v>1100</v>
      </c>
      <c r="B163" s="10" t="s">
        <v>592</v>
      </c>
      <c r="C163" s="9" t="s">
        <v>593</v>
      </c>
      <c r="D163" s="15">
        <v>209</v>
      </c>
      <c r="E163" s="13" t="s">
        <v>75</v>
      </c>
    </row>
    <row r="164" spans="1:5" x14ac:dyDescent="0.25">
      <c r="A164" s="9" t="s">
        <v>1100</v>
      </c>
      <c r="B164" s="10" t="s">
        <v>594</v>
      </c>
      <c r="C164" s="9" t="s">
        <v>595</v>
      </c>
      <c r="D164" s="15">
        <v>47.5</v>
      </c>
      <c r="E164" s="13" t="s">
        <v>75</v>
      </c>
    </row>
    <row r="165" spans="1:5" x14ac:dyDescent="0.25">
      <c r="A165" s="9" t="s">
        <v>1100</v>
      </c>
      <c r="B165" s="10" t="s">
        <v>596</v>
      </c>
      <c r="C165" s="9" t="s">
        <v>597</v>
      </c>
      <c r="D165" s="15">
        <v>9.5</v>
      </c>
      <c r="E165" s="13" t="s">
        <v>75</v>
      </c>
    </row>
    <row r="166" spans="1:5" x14ac:dyDescent="0.25">
      <c r="A166" s="9" t="s">
        <v>1100</v>
      </c>
      <c r="B166" s="10" t="s">
        <v>598</v>
      </c>
      <c r="C166" s="9" t="s">
        <v>599</v>
      </c>
      <c r="D166" s="15">
        <v>266</v>
      </c>
      <c r="E166" s="13" t="s">
        <v>75</v>
      </c>
    </row>
    <row r="167" spans="1:5" x14ac:dyDescent="0.25">
      <c r="A167" s="9" t="s">
        <v>1100</v>
      </c>
      <c r="B167" s="10" t="s">
        <v>600</v>
      </c>
      <c r="C167" s="9" t="s">
        <v>601</v>
      </c>
      <c r="D167" s="15">
        <v>38</v>
      </c>
      <c r="E167" s="13" t="s">
        <v>75</v>
      </c>
    </row>
    <row r="168" spans="1:5" x14ac:dyDescent="0.25">
      <c r="A168" s="9" t="s">
        <v>1100</v>
      </c>
      <c r="B168" s="10" t="s">
        <v>604</v>
      </c>
      <c r="C168" s="9" t="s">
        <v>605</v>
      </c>
      <c r="D168" s="15">
        <v>313.5</v>
      </c>
      <c r="E168" s="13" t="s">
        <v>75</v>
      </c>
    </row>
    <row r="169" spans="1:5" x14ac:dyDescent="0.25">
      <c r="A169" s="9" t="s">
        <v>1100</v>
      </c>
      <c r="B169" s="10" t="s">
        <v>606</v>
      </c>
      <c r="C169" s="9" t="s">
        <v>607</v>
      </c>
      <c r="D169" s="15">
        <v>418</v>
      </c>
      <c r="E169" s="13" t="s">
        <v>75</v>
      </c>
    </row>
    <row r="170" spans="1:5" x14ac:dyDescent="0.25">
      <c r="A170" s="9" t="s">
        <v>1100</v>
      </c>
      <c r="B170" s="10" t="s">
        <v>610</v>
      </c>
      <c r="C170" s="9" t="s">
        <v>611</v>
      </c>
      <c r="D170" s="15">
        <v>199.26</v>
      </c>
      <c r="E170" s="13" t="s">
        <v>75</v>
      </c>
    </row>
    <row r="171" spans="1:5" x14ac:dyDescent="0.25">
      <c r="A171" s="9" t="s">
        <v>1100</v>
      </c>
      <c r="B171" s="10" t="s">
        <v>612</v>
      </c>
      <c r="C171" s="9" t="s">
        <v>613</v>
      </c>
      <c r="D171" s="15">
        <v>199.26</v>
      </c>
      <c r="E171" s="13" t="s">
        <v>75</v>
      </c>
    </row>
    <row r="172" spans="1:5" x14ac:dyDescent="0.25">
      <c r="A172" s="9" t="s">
        <v>1100</v>
      </c>
      <c r="B172" s="10" t="s">
        <v>616</v>
      </c>
      <c r="C172" s="9" t="s">
        <v>617</v>
      </c>
      <c r="D172" s="15">
        <v>95</v>
      </c>
      <c r="E172" s="13" t="s">
        <v>75</v>
      </c>
    </row>
    <row r="173" spans="1:5" x14ac:dyDescent="0.25">
      <c r="A173" s="9" t="s">
        <v>1100</v>
      </c>
      <c r="B173" s="10" t="s">
        <v>618</v>
      </c>
      <c r="C173" s="9" t="s">
        <v>619</v>
      </c>
      <c r="D173" s="15">
        <v>209</v>
      </c>
      <c r="E173" s="13" t="s">
        <v>75</v>
      </c>
    </row>
    <row r="174" spans="1:5" x14ac:dyDescent="0.25">
      <c r="A174" s="9" t="s">
        <v>1100</v>
      </c>
      <c r="B174" s="10" t="s">
        <v>622</v>
      </c>
      <c r="C174" s="9" t="s">
        <v>623</v>
      </c>
      <c r="D174" s="15">
        <v>313.5</v>
      </c>
      <c r="E174" s="13" t="s">
        <v>75</v>
      </c>
    </row>
    <row r="175" spans="1:5" x14ac:dyDescent="0.25">
      <c r="A175" s="9" t="s">
        <v>1100</v>
      </c>
      <c r="B175" s="10" t="s">
        <v>624</v>
      </c>
      <c r="C175" s="9" t="s">
        <v>625</v>
      </c>
      <c r="D175" s="15">
        <v>228</v>
      </c>
      <c r="E175" s="13" t="s">
        <v>75</v>
      </c>
    </row>
    <row r="176" spans="1:5" x14ac:dyDescent="0.25">
      <c r="A176" s="9" t="s">
        <v>1100</v>
      </c>
      <c r="B176" s="10" t="s">
        <v>626</v>
      </c>
      <c r="C176" s="9" t="s">
        <v>627</v>
      </c>
      <c r="D176" s="15">
        <v>313.5</v>
      </c>
      <c r="E176" s="13" t="s">
        <v>75</v>
      </c>
    </row>
    <row r="177" spans="1:5" x14ac:dyDescent="0.25">
      <c r="A177" s="9" t="s">
        <v>1100</v>
      </c>
      <c r="B177" s="10" t="s">
        <v>630</v>
      </c>
      <c r="C177" s="9" t="s">
        <v>631</v>
      </c>
      <c r="D177" s="15">
        <v>38</v>
      </c>
      <c r="E177" s="13" t="s">
        <v>75</v>
      </c>
    </row>
    <row r="178" spans="1:5" x14ac:dyDescent="0.25">
      <c r="A178" s="9" t="s">
        <v>1100</v>
      </c>
      <c r="B178" s="10" t="s">
        <v>632</v>
      </c>
      <c r="C178" s="9" t="s">
        <v>633</v>
      </c>
      <c r="D178" s="15">
        <v>104.5</v>
      </c>
      <c r="E178" s="13" t="s">
        <v>75</v>
      </c>
    </row>
    <row r="179" spans="1:5" x14ac:dyDescent="0.25">
      <c r="A179" s="9" t="s">
        <v>1100</v>
      </c>
      <c r="B179" s="10" t="s">
        <v>636</v>
      </c>
      <c r="C179" s="9" t="s">
        <v>637</v>
      </c>
      <c r="D179" s="15">
        <v>57</v>
      </c>
      <c r="E179" s="13" t="s">
        <v>75</v>
      </c>
    </row>
    <row r="180" spans="1:5" x14ac:dyDescent="0.25">
      <c r="A180" s="9" t="s">
        <v>1100</v>
      </c>
      <c r="B180" s="10" t="s">
        <v>638</v>
      </c>
      <c r="C180" s="9" t="s">
        <v>639</v>
      </c>
      <c r="D180" s="15">
        <v>104.5</v>
      </c>
      <c r="E180" s="13" t="s">
        <v>75</v>
      </c>
    </row>
    <row r="181" spans="1:5" x14ac:dyDescent="0.25">
      <c r="A181" s="9" t="s">
        <v>1100</v>
      </c>
      <c r="B181" s="10" t="s">
        <v>640</v>
      </c>
      <c r="C181" s="9" t="s">
        <v>641</v>
      </c>
      <c r="D181" s="15">
        <v>418</v>
      </c>
      <c r="E181" s="13" t="s">
        <v>75</v>
      </c>
    </row>
    <row r="182" spans="1:5" x14ac:dyDescent="0.25">
      <c r="A182" s="9" t="s">
        <v>1100</v>
      </c>
      <c r="B182" s="10" t="s">
        <v>644</v>
      </c>
      <c r="C182" s="9" t="s">
        <v>645</v>
      </c>
      <c r="D182" s="15">
        <v>313.5</v>
      </c>
      <c r="E182" s="13" t="s">
        <v>75</v>
      </c>
    </row>
    <row r="183" spans="1:5" x14ac:dyDescent="0.25">
      <c r="A183" s="9" t="s">
        <v>1100</v>
      </c>
      <c r="B183" s="10" t="s">
        <v>646</v>
      </c>
      <c r="C183" s="9" t="s">
        <v>647</v>
      </c>
      <c r="D183" s="15">
        <v>313.5</v>
      </c>
      <c r="E183" s="13" t="s">
        <v>75</v>
      </c>
    </row>
    <row r="184" spans="1:5" x14ac:dyDescent="0.25">
      <c r="A184" s="9" t="s">
        <v>1100</v>
      </c>
      <c r="B184" s="10" t="s">
        <v>648</v>
      </c>
      <c r="C184" s="9" t="s">
        <v>649</v>
      </c>
      <c r="D184" s="15">
        <v>513</v>
      </c>
      <c r="E184" s="13" t="s">
        <v>75</v>
      </c>
    </row>
    <row r="185" spans="1:5" x14ac:dyDescent="0.25">
      <c r="A185" s="9" t="s">
        <v>1100</v>
      </c>
      <c r="B185" s="10" t="s">
        <v>652</v>
      </c>
      <c r="C185" s="9" t="s">
        <v>653</v>
      </c>
      <c r="D185" s="15">
        <v>522.5</v>
      </c>
      <c r="E185" s="13" t="s">
        <v>75</v>
      </c>
    </row>
    <row r="186" spans="1:5" x14ac:dyDescent="0.25">
      <c r="A186" s="9" t="s">
        <v>1100</v>
      </c>
      <c r="B186" s="10" t="s">
        <v>654</v>
      </c>
      <c r="C186" s="9" t="s">
        <v>655</v>
      </c>
      <c r="D186" s="15">
        <v>313.5</v>
      </c>
      <c r="E186" s="13" t="s">
        <v>75</v>
      </c>
    </row>
    <row r="187" spans="1:5" x14ac:dyDescent="0.25">
      <c r="A187" s="9" t="s">
        <v>1100</v>
      </c>
      <c r="B187" s="10" t="s">
        <v>660</v>
      </c>
      <c r="C187" s="9" t="s">
        <v>661</v>
      </c>
      <c r="D187" s="15">
        <v>388.78</v>
      </c>
      <c r="E187" s="13" t="s">
        <v>75</v>
      </c>
    </row>
    <row r="188" spans="1:5" x14ac:dyDescent="0.25">
      <c r="A188" s="9" t="s">
        <v>1100</v>
      </c>
      <c r="B188" s="10" t="s">
        <v>664</v>
      </c>
      <c r="C188" s="9" t="s">
        <v>665</v>
      </c>
      <c r="D188" s="15">
        <v>265.52</v>
      </c>
      <c r="E188" s="13" t="s">
        <v>75</v>
      </c>
    </row>
    <row r="189" spans="1:5" x14ac:dyDescent="0.25">
      <c r="A189" s="9" t="s">
        <v>1100</v>
      </c>
      <c r="B189" s="10" t="s">
        <v>666</v>
      </c>
      <c r="C189" s="9" t="s">
        <v>667</v>
      </c>
      <c r="D189" s="15">
        <v>199.26</v>
      </c>
      <c r="E189" s="13" t="s">
        <v>75</v>
      </c>
    </row>
    <row r="190" spans="1:5" x14ac:dyDescent="0.25">
      <c r="A190" s="9" t="s">
        <v>1100</v>
      </c>
      <c r="B190" s="10" t="s">
        <v>668</v>
      </c>
      <c r="C190" s="9" t="s">
        <v>669</v>
      </c>
      <c r="D190" s="15">
        <v>388.78</v>
      </c>
      <c r="E190" s="13" t="s">
        <v>75</v>
      </c>
    </row>
    <row r="191" spans="1:5" x14ac:dyDescent="0.25">
      <c r="A191" s="9" t="s">
        <v>1100</v>
      </c>
      <c r="B191" s="10" t="s">
        <v>672</v>
      </c>
      <c r="C191" s="9" t="s">
        <v>673</v>
      </c>
      <c r="D191" s="15">
        <v>114</v>
      </c>
      <c r="E191" s="13" t="s">
        <v>75</v>
      </c>
    </row>
    <row r="192" spans="1:5" x14ac:dyDescent="0.25">
      <c r="A192" s="9" t="s">
        <v>1100</v>
      </c>
      <c r="B192" s="10" t="s">
        <v>674</v>
      </c>
      <c r="C192" s="9" t="s">
        <v>675</v>
      </c>
      <c r="D192" s="15">
        <v>199.26</v>
      </c>
      <c r="E192" s="13" t="s">
        <v>75</v>
      </c>
    </row>
    <row r="193" spans="1:5" x14ac:dyDescent="0.25">
      <c r="A193" s="9" t="s">
        <v>1100</v>
      </c>
      <c r="B193" s="10" t="s">
        <v>676</v>
      </c>
      <c r="C193" s="9" t="s">
        <v>677</v>
      </c>
      <c r="D193" s="15">
        <v>313.5</v>
      </c>
      <c r="E193" s="13" t="s">
        <v>75</v>
      </c>
    </row>
    <row r="194" spans="1:5" x14ac:dyDescent="0.25">
      <c r="A194" s="9" t="s">
        <v>1100</v>
      </c>
      <c r="B194" s="10" t="s">
        <v>678</v>
      </c>
      <c r="C194" s="9" t="s">
        <v>679</v>
      </c>
      <c r="D194" s="15">
        <v>104.5</v>
      </c>
      <c r="E194" s="13" t="s">
        <v>75</v>
      </c>
    </row>
    <row r="195" spans="1:5" x14ac:dyDescent="0.25">
      <c r="A195" s="9" t="s">
        <v>1100</v>
      </c>
      <c r="B195" s="10" t="s">
        <v>680</v>
      </c>
      <c r="C195" s="9" t="s">
        <v>681</v>
      </c>
      <c r="D195" s="15">
        <v>313.5</v>
      </c>
      <c r="E195" s="13" t="s">
        <v>75</v>
      </c>
    </row>
    <row r="196" spans="1:5" x14ac:dyDescent="0.25">
      <c r="A196" s="9" t="s">
        <v>1100</v>
      </c>
      <c r="B196" s="10" t="s">
        <v>682</v>
      </c>
      <c r="C196" s="9" t="s">
        <v>683</v>
      </c>
      <c r="D196" s="15">
        <v>360.52</v>
      </c>
      <c r="E196" s="13" t="s">
        <v>75</v>
      </c>
    </row>
    <row r="197" spans="1:5" x14ac:dyDescent="0.25">
      <c r="A197" s="9" t="s">
        <v>1100</v>
      </c>
      <c r="B197" s="10" t="s">
        <v>684</v>
      </c>
      <c r="C197" s="9" t="s">
        <v>685</v>
      </c>
      <c r="D197" s="15">
        <v>313.5</v>
      </c>
      <c r="E197" s="13" t="s">
        <v>75</v>
      </c>
    </row>
    <row r="198" spans="1:5" x14ac:dyDescent="0.25">
      <c r="A198" s="9" t="s">
        <v>1100</v>
      </c>
      <c r="B198" s="10" t="s">
        <v>686</v>
      </c>
      <c r="C198" s="9" t="s">
        <v>687</v>
      </c>
      <c r="D198" s="15">
        <v>313.5</v>
      </c>
      <c r="E198" s="13" t="s">
        <v>75</v>
      </c>
    </row>
    <row r="199" spans="1:5" x14ac:dyDescent="0.25">
      <c r="A199" s="9" t="s">
        <v>1100</v>
      </c>
      <c r="B199" s="10" t="s">
        <v>690</v>
      </c>
      <c r="C199" s="9" t="s">
        <v>691</v>
      </c>
      <c r="D199" s="15">
        <v>388.78</v>
      </c>
      <c r="E199" s="13" t="s">
        <v>75</v>
      </c>
    </row>
    <row r="200" spans="1:5" x14ac:dyDescent="0.25">
      <c r="A200" s="9" t="s">
        <v>1100</v>
      </c>
      <c r="B200" s="10" t="s">
        <v>692</v>
      </c>
      <c r="C200" s="9" t="s">
        <v>693</v>
      </c>
      <c r="D200" s="15">
        <v>76</v>
      </c>
      <c r="E200" s="13" t="s">
        <v>75</v>
      </c>
    </row>
    <row r="201" spans="1:5" x14ac:dyDescent="0.25">
      <c r="A201" s="9" t="s">
        <v>1100</v>
      </c>
      <c r="B201" s="10" t="s">
        <v>696</v>
      </c>
      <c r="C201" s="9" t="s">
        <v>697</v>
      </c>
      <c r="D201" s="15">
        <v>418</v>
      </c>
      <c r="E201" s="13" t="s">
        <v>75</v>
      </c>
    </row>
    <row r="202" spans="1:5" x14ac:dyDescent="0.25">
      <c r="A202" s="9" t="s">
        <v>1100</v>
      </c>
      <c r="B202" s="10" t="s">
        <v>1174</v>
      </c>
      <c r="C202" s="9" t="s">
        <v>1175</v>
      </c>
      <c r="D202" s="15">
        <v>57</v>
      </c>
      <c r="E202" s="13" t="s">
        <v>75</v>
      </c>
    </row>
    <row r="203" spans="1:5" x14ac:dyDescent="0.25">
      <c r="A203" s="9" t="s">
        <v>1100</v>
      </c>
      <c r="B203" s="10" t="s">
        <v>704</v>
      </c>
      <c r="C203" s="9" t="s">
        <v>705</v>
      </c>
      <c r="D203" s="15">
        <v>418</v>
      </c>
      <c r="E203" s="13" t="s">
        <v>75</v>
      </c>
    </row>
    <row r="204" spans="1:5" x14ac:dyDescent="0.25">
      <c r="A204" s="9" t="s">
        <v>1100</v>
      </c>
      <c r="B204" s="10" t="s">
        <v>706</v>
      </c>
      <c r="C204" s="9" t="s">
        <v>707</v>
      </c>
      <c r="D204" s="15">
        <v>313.5</v>
      </c>
      <c r="E204" s="13" t="s">
        <v>75</v>
      </c>
    </row>
    <row r="205" spans="1:5" x14ac:dyDescent="0.25">
      <c r="A205" s="9" t="s">
        <v>1100</v>
      </c>
      <c r="B205" s="10" t="s">
        <v>708</v>
      </c>
      <c r="C205" s="9" t="s">
        <v>709</v>
      </c>
      <c r="D205" s="15">
        <v>218.5</v>
      </c>
      <c r="E205" s="13" t="s">
        <v>75</v>
      </c>
    </row>
    <row r="206" spans="1:5" x14ac:dyDescent="0.25">
      <c r="A206" s="9" t="s">
        <v>1100</v>
      </c>
      <c r="B206" s="10" t="s">
        <v>710</v>
      </c>
      <c r="C206" s="9" t="s">
        <v>711</v>
      </c>
      <c r="D206" s="15">
        <v>209</v>
      </c>
      <c r="E206" s="13" t="s">
        <v>75</v>
      </c>
    </row>
    <row r="207" spans="1:5" x14ac:dyDescent="0.25">
      <c r="A207" s="9" t="s">
        <v>1100</v>
      </c>
      <c r="B207" s="10" t="s">
        <v>712</v>
      </c>
      <c r="C207" s="9" t="s">
        <v>713</v>
      </c>
      <c r="D207" s="15">
        <v>114</v>
      </c>
      <c r="E207" s="13" t="s">
        <v>75</v>
      </c>
    </row>
    <row r="208" spans="1:5" x14ac:dyDescent="0.25">
      <c r="A208" s="9" t="s">
        <v>1100</v>
      </c>
      <c r="B208" s="10" t="s">
        <v>714</v>
      </c>
      <c r="C208" s="9" t="s">
        <v>715</v>
      </c>
      <c r="D208" s="15">
        <v>209</v>
      </c>
      <c r="E208" s="13" t="s">
        <v>75</v>
      </c>
    </row>
    <row r="209" spans="1:5" x14ac:dyDescent="0.25">
      <c r="A209" s="9" t="s">
        <v>1100</v>
      </c>
      <c r="B209" s="10" t="s">
        <v>716</v>
      </c>
      <c r="C209" s="9" t="s">
        <v>717</v>
      </c>
      <c r="D209" s="15">
        <v>104.5</v>
      </c>
      <c r="E209" s="13" t="s">
        <v>75</v>
      </c>
    </row>
    <row r="210" spans="1:5" x14ac:dyDescent="0.25">
      <c r="A210" s="9" t="s">
        <v>1100</v>
      </c>
      <c r="B210" s="10" t="s">
        <v>720</v>
      </c>
      <c r="C210" s="9" t="s">
        <v>721</v>
      </c>
      <c r="D210" s="15">
        <v>104.5</v>
      </c>
      <c r="E210" s="13" t="s">
        <v>75</v>
      </c>
    </row>
    <row r="211" spans="1:5" x14ac:dyDescent="0.25">
      <c r="A211" s="9" t="s">
        <v>1100</v>
      </c>
      <c r="B211" s="10" t="s">
        <v>724</v>
      </c>
      <c r="C211" s="9" t="s">
        <v>725</v>
      </c>
      <c r="D211" s="15">
        <v>313.5</v>
      </c>
      <c r="E211" s="13" t="s">
        <v>75</v>
      </c>
    </row>
    <row r="212" spans="1:5" x14ac:dyDescent="0.25">
      <c r="A212" s="9" t="s">
        <v>1100</v>
      </c>
      <c r="B212" s="10" t="s">
        <v>728</v>
      </c>
      <c r="C212" s="9" t="s">
        <v>729</v>
      </c>
      <c r="D212" s="15">
        <v>9.5</v>
      </c>
      <c r="E212" s="13" t="s">
        <v>75</v>
      </c>
    </row>
    <row r="213" spans="1:5" x14ac:dyDescent="0.25">
      <c r="A213" s="9" t="s">
        <v>1100</v>
      </c>
      <c r="B213" s="10" t="s">
        <v>734</v>
      </c>
      <c r="C213" s="9" t="s">
        <v>735</v>
      </c>
      <c r="D213" s="15">
        <v>209</v>
      </c>
      <c r="E213" s="13" t="s">
        <v>75</v>
      </c>
    </row>
    <row r="214" spans="1:5" x14ac:dyDescent="0.25">
      <c r="A214" s="9" t="s">
        <v>1100</v>
      </c>
      <c r="B214" s="10" t="s">
        <v>736</v>
      </c>
      <c r="C214" s="9" t="s">
        <v>737</v>
      </c>
      <c r="D214" s="15">
        <v>104.5</v>
      </c>
      <c r="E214" s="13" t="s">
        <v>75</v>
      </c>
    </row>
    <row r="215" spans="1:5" x14ac:dyDescent="0.25">
      <c r="A215" s="9" t="s">
        <v>1100</v>
      </c>
      <c r="B215" s="10" t="s">
        <v>738</v>
      </c>
      <c r="C215" s="9" t="s">
        <v>739</v>
      </c>
      <c r="D215" s="15">
        <v>209</v>
      </c>
      <c r="E215" s="13" t="s">
        <v>75</v>
      </c>
    </row>
    <row r="216" spans="1:5" x14ac:dyDescent="0.25">
      <c r="A216" s="9" t="s">
        <v>1100</v>
      </c>
      <c r="B216" s="10" t="s">
        <v>742</v>
      </c>
      <c r="C216" s="9" t="s">
        <v>743</v>
      </c>
      <c r="D216" s="15">
        <v>313.5</v>
      </c>
      <c r="E216" s="13" t="s">
        <v>75</v>
      </c>
    </row>
    <row r="217" spans="1:5" x14ac:dyDescent="0.25">
      <c r="A217" s="9" t="s">
        <v>1100</v>
      </c>
      <c r="B217" s="10" t="s">
        <v>744</v>
      </c>
      <c r="C217" s="9" t="s">
        <v>745</v>
      </c>
      <c r="D217" s="15">
        <v>104.5</v>
      </c>
      <c r="E217" s="13" t="s">
        <v>75</v>
      </c>
    </row>
    <row r="218" spans="1:5" x14ac:dyDescent="0.25">
      <c r="A218" s="9" t="s">
        <v>1100</v>
      </c>
      <c r="B218" s="10" t="s">
        <v>746</v>
      </c>
      <c r="C218" s="9" t="s">
        <v>747</v>
      </c>
      <c r="D218" s="15">
        <v>313.5</v>
      </c>
      <c r="E218" s="13" t="s">
        <v>75</v>
      </c>
    </row>
    <row r="219" spans="1:5" x14ac:dyDescent="0.25">
      <c r="A219" s="9" t="s">
        <v>1100</v>
      </c>
      <c r="B219" s="10" t="s">
        <v>748</v>
      </c>
      <c r="C219" s="9" t="s">
        <v>749</v>
      </c>
      <c r="D219" s="15">
        <v>294.02</v>
      </c>
      <c r="E219" s="13" t="s">
        <v>75</v>
      </c>
    </row>
    <row r="220" spans="1:5" x14ac:dyDescent="0.25">
      <c r="A220" s="9" t="s">
        <v>1100</v>
      </c>
      <c r="B220" s="10" t="s">
        <v>750</v>
      </c>
      <c r="C220" s="9" t="s">
        <v>751</v>
      </c>
      <c r="D220" s="15">
        <v>199.26</v>
      </c>
      <c r="E220" s="13" t="s">
        <v>75</v>
      </c>
    </row>
    <row r="221" spans="1:5" x14ac:dyDescent="0.25">
      <c r="A221" s="9" t="s">
        <v>1100</v>
      </c>
      <c r="B221" s="10" t="s">
        <v>752</v>
      </c>
      <c r="C221" s="9" t="s">
        <v>753</v>
      </c>
      <c r="D221" s="15">
        <v>76</v>
      </c>
      <c r="E221" s="13" t="s">
        <v>75</v>
      </c>
    </row>
    <row r="222" spans="1:5" x14ac:dyDescent="0.25">
      <c r="A222" s="9" t="s">
        <v>1100</v>
      </c>
      <c r="B222" s="10" t="s">
        <v>754</v>
      </c>
      <c r="C222" s="9" t="s">
        <v>755</v>
      </c>
      <c r="D222" s="15">
        <v>104.5</v>
      </c>
      <c r="E222" s="13" t="s">
        <v>75</v>
      </c>
    </row>
    <row r="223" spans="1:5" x14ac:dyDescent="0.25">
      <c r="A223" s="9" t="s">
        <v>1100</v>
      </c>
      <c r="B223" s="10" t="s">
        <v>758</v>
      </c>
      <c r="C223" s="9" t="s">
        <v>759</v>
      </c>
      <c r="D223" s="15">
        <v>19</v>
      </c>
      <c r="E223" s="13" t="s">
        <v>75</v>
      </c>
    </row>
    <row r="224" spans="1:5" x14ac:dyDescent="0.25">
      <c r="A224" s="9" t="s">
        <v>1100</v>
      </c>
      <c r="B224" s="10" t="s">
        <v>760</v>
      </c>
      <c r="C224" s="9" t="s">
        <v>761</v>
      </c>
      <c r="D224" s="15">
        <v>66.5</v>
      </c>
      <c r="E224" s="13" t="s">
        <v>75</v>
      </c>
    </row>
    <row r="225" spans="1:5" x14ac:dyDescent="0.25">
      <c r="A225" s="9" t="s">
        <v>1100</v>
      </c>
      <c r="B225" s="10" t="s">
        <v>762</v>
      </c>
      <c r="C225" s="9" t="s">
        <v>763</v>
      </c>
      <c r="D225" s="15">
        <v>313.5</v>
      </c>
      <c r="E225" s="13" t="s">
        <v>75</v>
      </c>
    </row>
    <row r="226" spans="1:5" x14ac:dyDescent="0.25">
      <c r="A226" s="9" t="s">
        <v>1100</v>
      </c>
      <c r="B226" s="10" t="s">
        <v>766</v>
      </c>
      <c r="C226" s="9" t="s">
        <v>767</v>
      </c>
      <c r="D226" s="15">
        <v>28.5</v>
      </c>
      <c r="E226" s="13" t="s">
        <v>75</v>
      </c>
    </row>
    <row r="227" spans="1:5" x14ac:dyDescent="0.25">
      <c r="A227" s="9" t="s">
        <v>1100</v>
      </c>
      <c r="B227" s="10" t="s">
        <v>770</v>
      </c>
      <c r="C227" s="9" t="s">
        <v>771</v>
      </c>
      <c r="D227" s="15">
        <v>418</v>
      </c>
      <c r="E227" s="13" t="s">
        <v>75</v>
      </c>
    </row>
    <row r="228" spans="1:5" x14ac:dyDescent="0.25">
      <c r="A228" s="9" t="s">
        <v>1100</v>
      </c>
      <c r="B228" s="10" t="s">
        <v>772</v>
      </c>
      <c r="C228" s="9" t="s">
        <v>773</v>
      </c>
      <c r="D228" s="15">
        <v>209</v>
      </c>
      <c r="E228" s="13" t="s">
        <v>75</v>
      </c>
    </row>
    <row r="229" spans="1:5" x14ac:dyDescent="0.25">
      <c r="A229" s="9" t="s">
        <v>1100</v>
      </c>
      <c r="B229" s="10" t="s">
        <v>774</v>
      </c>
      <c r="C229" s="9" t="s">
        <v>775</v>
      </c>
      <c r="D229" s="15">
        <v>209</v>
      </c>
      <c r="E229" s="13" t="s">
        <v>75</v>
      </c>
    </row>
    <row r="230" spans="1:5" x14ac:dyDescent="0.25">
      <c r="A230" s="9" t="s">
        <v>1100</v>
      </c>
      <c r="B230" s="10" t="s">
        <v>776</v>
      </c>
      <c r="C230" s="9" t="s">
        <v>777</v>
      </c>
      <c r="D230" s="15">
        <v>104.5</v>
      </c>
      <c r="E230" s="13" t="s">
        <v>75</v>
      </c>
    </row>
    <row r="231" spans="1:5" x14ac:dyDescent="0.25">
      <c r="A231" s="9" t="s">
        <v>1100</v>
      </c>
      <c r="B231" s="10" t="s">
        <v>778</v>
      </c>
      <c r="C231" s="9" t="s">
        <v>779</v>
      </c>
      <c r="D231" s="15">
        <v>85.5</v>
      </c>
      <c r="E231" s="13" t="s">
        <v>75</v>
      </c>
    </row>
    <row r="232" spans="1:5" x14ac:dyDescent="0.25">
      <c r="A232" s="9" t="s">
        <v>1100</v>
      </c>
      <c r="B232" s="10" t="s">
        <v>780</v>
      </c>
      <c r="C232" s="9" t="s">
        <v>781</v>
      </c>
      <c r="D232" s="15">
        <v>104.5</v>
      </c>
      <c r="E232" s="13" t="s">
        <v>75</v>
      </c>
    </row>
    <row r="233" spans="1:5" x14ac:dyDescent="0.25">
      <c r="A233" s="9" t="s">
        <v>1100</v>
      </c>
      <c r="B233" s="10" t="s">
        <v>782</v>
      </c>
      <c r="C233" s="9" t="s">
        <v>783</v>
      </c>
      <c r="D233" s="15">
        <v>294.02</v>
      </c>
      <c r="E233" s="13" t="s">
        <v>75</v>
      </c>
    </row>
    <row r="234" spans="1:5" x14ac:dyDescent="0.25">
      <c r="A234" s="9" t="s">
        <v>1100</v>
      </c>
      <c r="B234" s="10" t="s">
        <v>784</v>
      </c>
      <c r="C234" s="9" t="s">
        <v>785</v>
      </c>
      <c r="D234" s="15">
        <v>76</v>
      </c>
      <c r="E234" s="13" t="s">
        <v>75</v>
      </c>
    </row>
    <row r="235" spans="1:5" x14ac:dyDescent="0.25">
      <c r="A235" s="9" t="s">
        <v>1100</v>
      </c>
      <c r="B235" s="10" t="s">
        <v>790</v>
      </c>
      <c r="C235" s="9" t="s">
        <v>791</v>
      </c>
      <c r="D235" s="15">
        <v>199.26</v>
      </c>
      <c r="E235" s="13" t="s">
        <v>75</v>
      </c>
    </row>
    <row r="236" spans="1:5" x14ac:dyDescent="0.25">
      <c r="A236" s="9" t="s">
        <v>1100</v>
      </c>
      <c r="B236" s="10" t="s">
        <v>792</v>
      </c>
      <c r="C236" s="9" t="s">
        <v>793</v>
      </c>
      <c r="D236" s="15">
        <v>104.5</v>
      </c>
      <c r="E236" s="13" t="s">
        <v>75</v>
      </c>
    </row>
    <row r="237" spans="1:5" x14ac:dyDescent="0.25">
      <c r="A237" s="9" t="s">
        <v>1100</v>
      </c>
      <c r="B237" s="10" t="s">
        <v>794</v>
      </c>
      <c r="C237" s="9" t="s">
        <v>795</v>
      </c>
      <c r="D237" s="15">
        <v>104.5</v>
      </c>
      <c r="E237" s="13" t="s">
        <v>75</v>
      </c>
    </row>
    <row r="238" spans="1:5" x14ac:dyDescent="0.25">
      <c r="A238" s="9" t="s">
        <v>1100</v>
      </c>
      <c r="B238" s="10" t="s">
        <v>798</v>
      </c>
      <c r="C238" s="9" t="s">
        <v>799</v>
      </c>
      <c r="D238" s="15">
        <v>209</v>
      </c>
      <c r="E238" s="13" t="s">
        <v>75</v>
      </c>
    </row>
    <row r="239" spans="1:5" x14ac:dyDescent="0.25">
      <c r="A239" s="9" t="s">
        <v>1100</v>
      </c>
      <c r="B239" s="10" t="s">
        <v>800</v>
      </c>
      <c r="C239" s="9" t="s">
        <v>801</v>
      </c>
      <c r="D239" s="15">
        <v>209</v>
      </c>
      <c r="E239" s="13" t="s">
        <v>75</v>
      </c>
    </row>
    <row r="240" spans="1:5" x14ac:dyDescent="0.25">
      <c r="A240" s="9" t="s">
        <v>1100</v>
      </c>
      <c r="B240" s="10" t="s">
        <v>802</v>
      </c>
      <c r="C240" s="9" t="s">
        <v>803</v>
      </c>
      <c r="D240" s="15">
        <v>18.760000000000002</v>
      </c>
      <c r="E240" s="13" t="s">
        <v>75</v>
      </c>
    </row>
    <row r="241" spans="1:5" x14ac:dyDescent="0.25">
      <c r="A241" s="9" t="s">
        <v>1100</v>
      </c>
      <c r="B241" s="10" t="s">
        <v>804</v>
      </c>
      <c r="C241" s="9" t="s">
        <v>805</v>
      </c>
      <c r="D241" s="15">
        <v>627</v>
      </c>
      <c r="E241" s="13" t="s">
        <v>75</v>
      </c>
    </row>
    <row r="242" spans="1:5" x14ac:dyDescent="0.25">
      <c r="A242" s="9" t="s">
        <v>1100</v>
      </c>
      <c r="B242" s="10" t="s">
        <v>808</v>
      </c>
      <c r="C242" s="9" t="s">
        <v>809</v>
      </c>
      <c r="D242" s="15">
        <v>209</v>
      </c>
      <c r="E242" s="13" t="s">
        <v>75</v>
      </c>
    </row>
    <row r="243" spans="1:5" x14ac:dyDescent="0.25">
      <c r="A243" s="9" t="s">
        <v>1100</v>
      </c>
      <c r="B243" s="10" t="s">
        <v>810</v>
      </c>
      <c r="C243" s="9" t="s">
        <v>811</v>
      </c>
      <c r="D243" s="15">
        <v>104.5</v>
      </c>
      <c r="E243" s="13" t="s">
        <v>75</v>
      </c>
    </row>
    <row r="244" spans="1:5" x14ac:dyDescent="0.25">
      <c r="A244" s="9" t="s">
        <v>1100</v>
      </c>
      <c r="B244" s="10" t="s">
        <v>812</v>
      </c>
      <c r="C244" s="9" t="s">
        <v>813</v>
      </c>
      <c r="D244" s="15">
        <v>285</v>
      </c>
      <c r="E244" s="13" t="s">
        <v>75</v>
      </c>
    </row>
    <row r="245" spans="1:5" x14ac:dyDescent="0.25">
      <c r="A245" s="9" t="s">
        <v>1100</v>
      </c>
      <c r="B245" s="10" t="s">
        <v>818</v>
      </c>
      <c r="C245" s="9" t="s">
        <v>819</v>
      </c>
      <c r="D245" s="15">
        <v>104.5</v>
      </c>
      <c r="E245" s="13" t="s">
        <v>75</v>
      </c>
    </row>
    <row r="246" spans="1:5" x14ac:dyDescent="0.25">
      <c r="A246" s="9" t="s">
        <v>1100</v>
      </c>
      <c r="B246" s="10" t="s">
        <v>822</v>
      </c>
      <c r="C246" s="9" t="s">
        <v>823</v>
      </c>
      <c r="D246" s="15">
        <v>199.5</v>
      </c>
      <c r="E246" s="13" t="s">
        <v>75</v>
      </c>
    </row>
    <row r="247" spans="1:5" x14ac:dyDescent="0.25">
      <c r="A247" s="9" t="s">
        <v>1100</v>
      </c>
      <c r="B247" s="10" t="s">
        <v>824</v>
      </c>
      <c r="C247" s="9" t="s">
        <v>825</v>
      </c>
      <c r="D247" s="15">
        <v>104.5</v>
      </c>
      <c r="E247" s="13" t="s">
        <v>75</v>
      </c>
    </row>
    <row r="248" spans="1:5" x14ac:dyDescent="0.25">
      <c r="A248" s="9" t="s">
        <v>1100</v>
      </c>
      <c r="B248" s="10" t="s">
        <v>826</v>
      </c>
      <c r="C248" s="9" t="s">
        <v>827</v>
      </c>
      <c r="D248" s="15">
        <v>104.5</v>
      </c>
      <c r="E248" s="13" t="s">
        <v>75</v>
      </c>
    </row>
    <row r="249" spans="1:5" x14ac:dyDescent="0.25">
      <c r="A249" s="9" t="s">
        <v>1100</v>
      </c>
      <c r="B249" s="10" t="s">
        <v>828</v>
      </c>
      <c r="C249" s="9" t="s">
        <v>829</v>
      </c>
      <c r="D249" s="15">
        <v>104.5</v>
      </c>
      <c r="E249" s="13" t="s">
        <v>75</v>
      </c>
    </row>
    <row r="250" spans="1:5" x14ac:dyDescent="0.25">
      <c r="A250" s="9" t="s">
        <v>1100</v>
      </c>
      <c r="B250" s="10" t="s">
        <v>832</v>
      </c>
      <c r="C250" s="9" t="s">
        <v>833</v>
      </c>
      <c r="D250" s="15">
        <v>114</v>
      </c>
      <c r="E250" s="13" t="s">
        <v>75</v>
      </c>
    </row>
    <row r="251" spans="1:5" x14ac:dyDescent="0.25">
      <c r="A251" s="9" t="s">
        <v>1100</v>
      </c>
      <c r="B251" s="10" t="s">
        <v>838</v>
      </c>
      <c r="C251" s="9" t="s">
        <v>839</v>
      </c>
      <c r="D251" s="15">
        <v>66.5</v>
      </c>
      <c r="E251" s="13" t="s">
        <v>75</v>
      </c>
    </row>
    <row r="252" spans="1:5" x14ac:dyDescent="0.25">
      <c r="A252" s="9" t="s">
        <v>1100</v>
      </c>
      <c r="B252" s="10" t="s">
        <v>840</v>
      </c>
      <c r="C252" s="9" t="s">
        <v>841</v>
      </c>
      <c r="D252" s="15">
        <v>133</v>
      </c>
      <c r="E252" s="13" t="s">
        <v>75</v>
      </c>
    </row>
    <row r="253" spans="1:5" x14ac:dyDescent="0.25">
      <c r="A253" s="9" t="s">
        <v>1100</v>
      </c>
      <c r="B253" s="10" t="s">
        <v>842</v>
      </c>
      <c r="C253" s="9" t="s">
        <v>843</v>
      </c>
      <c r="D253" s="15">
        <v>19</v>
      </c>
      <c r="E253" s="13" t="s">
        <v>75</v>
      </c>
    </row>
    <row r="254" spans="1:5" x14ac:dyDescent="0.25">
      <c r="A254" s="9" t="s">
        <v>1100</v>
      </c>
      <c r="B254" s="10" t="s">
        <v>846</v>
      </c>
      <c r="C254" s="9" t="s">
        <v>847</v>
      </c>
      <c r="D254" s="15">
        <v>66.5</v>
      </c>
      <c r="E254" s="13" t="s">
        <v>75</v>
      </c>
    </row>
    <row r="255" spans="1:5" x14ac:dyDescent="0.25">
      <c r="A255" s="9" t="s">
        <v>1100</v>
      </c>
      <c r="B255" s="10" t="s">
        <v>850</v>
      </c>
      <c r="C255" s="9" t="s">
        <v>851</v>
      </c>
      <c r="D255" s="15">
        <v>398.52</v>
      </c>
      <c r="E255" s="13" t="s">
        <v>75</v>
      </c>
    </row>
    <row r="256" spans="1:5" x14ac:dyDescent="0.25">
      <c r="A256" s="9" t="s">
        <v>1100</v>
      </c>
      <c r="B256" s="10" t="s">
        <v>852</v>
      </c>
      <c r="C256" s="9" t="s">
        <v>853</v>
      </c>
      <c r="D256" s="15">
        <v>209</v>
      </c>
      <c r="E256" s="13" t="s">
        <v>75</v>
      </c>
    </row>
    <row r="257" spans="1:5" x14ac:dyDescent="0.25">
      <c r="A257" s="9" t="s">
        <v>1100</v>
      </c>
      <c r="B257" s="10" t="s">
        <v>858</v>
      </c>
      <c r="C257" s="9" t="s">
        <v>859</v>
      </c>
      <c r="D257" s="15">
        <v>104.5</v>
      </c>
      <c r="E257" s="13" t="s">
        <v>75</v>
      </c>
    </row>
    <row r="258" spans="1:5" x14ac:dyDescent="0.25">
      <c r="A258" s="9" t="s">
        <v>1100</v>
      </c>
      <c r="B258" s="10" t="s">
        <v>860</v>
      </c>
      <c r="C258" s="9" t="s">
        <v>861</v>
      </c>
      <c r="D258" s="15">
        <v>104.5</v>
      </c>
      <c r="E258" s="13" t="s">
        <v>75</v>
      </c>
    </row>
    <row r="259" spans="1:5" x14ac:dyDescent="0.25">
      <c r="A259" s="9" t="s">
        <v>1100</v>
      </c>
      <c r="B259" s="10" t="s">
        <v>862</v>
      </c>
      <c r="C259" s="9" t="s">
        <v>863</v>
      </c>
      <c r="D259" s="15">
        <v>285</v>
      </c>
      <c r="E259" s="13" t="s">
        <v>75</v>
      </c>
    </row>
    <row r="260" spans="1:5" x14ac:dyDescent="0.25">
      <c r="A260" s="9" t="s">
        <v>1100</v>
      </c>
      <c r="B260" s="10" t="s">
        <v>864</v>
      </c>
      <c r="C260" s="9" t="s">
        <v>865</v>
      </c>
      <c r="D260" s="15">
        <v>418</v>
      </c>
      <c r="E260" s="13" t="s">
        <v>75</v>
      </c>
    </row>
    <row r="261" spans="1:5" x14ac:dyDescent="0.25">
      <c r="A261" s="9" t="s">
        <v>1100</v>
      </c>
      <c r="B261" s="10" t="s">
        <v>866</v>
      </c>
      <c r="C261" s="9" t="s">
        <v>867</v>
      </c>
      <c r="D261" s="15">
        <v>209</v>
      </c>
      <c r="E261" s="13" t="s">
        <v>75</v>
      </c>
    </row>
    <row r="262" spans="1:5" x14ac:dyDescent="0.25">
      <c r="A262" s="9" t="s">
        <v>1100</v>
      </c>
      <c r="B262" s="10" t="s">
        <v>868</v>
      </c>
      <c r="C262" s="9" t="s">
        <v>869</v>
      </c>
      <c r="D262" s="15">
        <v>294.02</v>
      </c>
      <c r="E262" s="13" t="s">
        <v>75</v>
      </c>
    </row>
    <row r="263" spans="1:5" x14ac:dyDescent="0.25">
      <c r="A263" s="9" t="s">
        <v>1100</v>
      </c>
      <c r="B263" s="10" t="s">
        <v>870</v>
      </c>
      <c r="C263" s="9" t="s">
        <v>871</v>
      </c>
      <c r="D263" s="15">
        <v>313.5</v>
      </c>
      <c r="E263" s="13" t="s">
        <v>75</v>
      </c>
    </row>
    <row r="264" spans="1:5" x14ac:dyDescent="0.25">
      <c r="A264" s="9" t="s">
        <v>1100</v>
      </c>
      <c r="B264" s="10" t="s">
        <v>872</v>
      </c>
      <c r="C264" s="9" t="s">
        <v>873</v>
      </c>
      <c r="D264" s="15">
        <v>104.5</v>
      </c>
      <c r="E264" s="13" t="s">
        <v>75</v>
      </c>
    </row>
    <row r="265" spans="1:5" x14ac:dyDescent="0.25">
      <c r="A265" s="9" t="s">
        <v>1100</v>
      </c>
      <c r="B265" s="10" t="s">
        <v>876</v>
      </c>
      <c r="C265" s="9" t="s">
        <v>877</v>
      </c>
      <c r="D265" s="15">
        <v>313.5</v>
      </c>
      <c r="E265" s="13" t="s">
        <v>75</v>
      </c>
    </row>
    <row r="266" spans="1:5" x14ac:dyDescent="0.25">
      <c r="A266" s="9" t="s">
        <v>1100</v>
      </c>
      <c r="B266" s="10" t="s">
        <v>880</v>
      </c>
      <c r="C266" s="9" t="s">
        <v>881</v>
      </c>
      <c r="D266" s="15">
        <v>189.76</v>
      </c>
      <c r="E266" s="13" t="s">
        <v>75</v>
      </c>
    </row>
    <row r="267" spans="1:5" x14ac:dyDescent="0.25">
      <c r="A267" s="9" t="s">
        <v>1100</v>
      </c>
      <c r="B267" s="10" t="s">
        <v>885</v>
      </c>
      <c r="C267" s="9" t="s">
        <v>886</v>
      </c>
      <c r="D267" s="15">
        <v>28.26</v>
      </c>
      <c r="E267" s="13" t="s">
        <v>75</v>
      </c>
    </row>
    <row r="268" spans="1:5" x14ac:dyDescent="0.25">
      <c r="A268" s="9" t="s">
        <v>1100</v>
      </c>
      <c r="B268" s="10" t="s">
        <v>887</v>
      </c>
      <c r="C268" s="9" t="s">
        <v>888</v>
      </c>
      <c r="D268" s="15">
        <v>380</v>
      </c>
      <c r="E268" s="13" t="s">
        <v>75</v>
      </c>
    </row>
    <row r="269" spans="1:5" x14ac:dyDescent="0.25">
      <c r="A269" s="9" t="s">
        <v>1100</v>
      </c>
      <c r="B269" s="10" t="s">
        <v>889</v>
      </c>
      <c r="C269" s="9" t="s">
        <v>890</v>
      </c>
      <c r="D269" s="15">
        <v>294.02</v>
      </c>
      <c r="E269" s="13" t="s">
        <v>75</v>
      </c>
    </row>
    <row r="270" spans="1:5" x14ac:dyDescent="0.25">
      <c r="A270" s="9" t="s">
        <v>1100</v>
      </c>
      <c r="B270" s="10" t="s">
        <v>893</v>
      </c>
      <c r="C270" s="9" t="s">
        <v>894</v>
      </c>
      <c r="D270" s="15">
        <v>209</v>
      </c>
      <c r="E270" s="13" t="s">
        <v>75</v>
      </c>
    </row>
    <row r="271" spans="1:5" x14ac:dyDescent="0.25">
      <c r="A271" s="9" t="s">
        <v>1100</v>
      </c>
      <c r="B271" s="10" t="s">
        <v>897</v>
      </c>
      <c r="C271" s="9" t="s">
        <v>898</v>
      </c>
      <c r="D271" s="15">
        <v>104.5</v>
      </c>
      <c r="E271" s="13" t="s">
        <v>75</v>
      </c>
    </row>
    <row r="272" spans="1:5" x14ac:dyDescent="0.25">
      <c r="A272" s="9" t="s">
        <v>1100</v>
      </c>
      <c r="B272" s="10" t="s">
        <v>899</v>
      </c>
      <c r="C272" s="9" t="s">
        <v>900</v>
      </c>
      <c r="D272" s="15">
        <v>76</v>
      </c>
      <c r="E272" s="13" t="s">
        <v>75</v>
      </c>
    </row>
    <row r="273" spans="1:5" x14ac:dyDescent="0.25">
      <c r="A273" s="9" t="s">
        <v>1100</v>
      </c>
      <c r="B273" s="10" t="s">
        <v>901</v>
      </c>
      <c r="C273" s="9" t="s">
        <v>902</v>
      </c>
      <c r="D273" s="15">
        <v>313.5</v>
      </c>
      <c r="E273" s="13" t="s">
        <v>75</v>
      </c>
    </row>
    <row r="274" spans="1:5" x14ac:dyDescent="0.25">
      <c r="A274" s="9" t="s">
        <v>1100</v>
      </c>
      <c r="B274" s="10" t="s">
        <v>903</v>
      </c>
      <c r="C274" s="9" t="s">
        <v>904</v>
      </c>
      <c r="D274" s="15">
        <v>104.5</v>
      </c>
      <c r="E274" s="13" t="s">
        <v>75</v>
      </c>
    </row>
    <row r="275" spans="1:5" x14ac:dyDescent="0.25">
      <c r="A275" s="9" t="s">
        <v>1100</v>
      </c>
      <c r="B275" s="10" t="s">
        <v>907</v>
      </c>
      <c r="C275" s="9" t="s">
        <v>908</v>
      </c>
      <c r="D275" s="15">
        <v>313.5</v>
      </c>
      <c r="E275" s="13" t="s">
        <v>75</v>
      </c>
    </row>
    <row r="276" spans="1:5" x14ac:dyDescent="0.25">
      <c r="A276" s="9" t="s">
        <v>1100</v>
      </c>
      <c r="B276" s="10" t="s">
        <v>909</v>
      </c>
      <c r="C276" s="9" t="s">
        <v>910</v>
      </c>
      <c r="D276" s="15">
        <v>209</v>
      </c>
      <c r="E276" s="13" t="s">
        <v>75</v>
      </c>
    </row>
    <row r="277" spans="1:5" x14ac:dyDescent="0.25">
      <c r="A277" s="9" t="s">
        <v>1100</v>
      </c>
      <c r="B277" s="10" t="s">
        <v>911</v>
      </c>
      <c r="C277" s="9" t="s">
        <v>912</v>
      </c>
      <c r="D277" s="15">
        <v>28.5</v>
      </c>
      <c r="E277" s="13" t="s">
        <v>75</v>
      </c>
    </row>
    <row r="278" spans="1:5" x14ac:dyDescent="0.25">
      <c r="A278" s="9" t="s">
        <v>1100</v>
      </c>
      <c r="B278" s="10" t="s">
        <v>915</v>
      </c>
      <c r="C278" s="9" t="s">
        <v>916</v>
      </c>
      <c r="D278" s="15">
        <v>313.5</v>
      </c>
      <c r="E278" s="13" t="s">
        <v>75</v>
      </c>
    </row>
    <row r="279" spans="1:5" x14ac:dyDescent="0.25">
      <c r="A279" s="9" t="s">
        <v>1100</v>
      </c>
      <c r="B279" s="10" t="s">
        <v>917</v>
      </c>
      <c r="C279" s="9" t="s">
        <v>918</v>
      </c>
      <c r="D279" s="15">
        <v>209</v>
      </c>
      <c r="E279" s="13" t="s">
        <v>75</v>
      </c>
    </row>
    <row r="280" spans="1:5" x14ac:dyDescent="0.25">
      <c r="A280" s="9" t="s">
        <v>1100</v>
      </c>
      <c r="B280" s="10" t="s">
        <v>921</v>
      </c>
      <c r="C280" s="9" t="s">
        <v>922</v>
      </c>
      <c r="D280" s="15">
        <v>313.5</v>
      </c>
      <c r="E280" s="13" t="s">
        <v>75</v>
      </c>
    </row>
    <row r="281" spans="1:5" x14ac:dyDescent="0.25">
      <c r="A281" s="9" t="s">
        <v>1100</v>
      </c>
      <c r="B281" s="10" t="s">
        <v>923</v>
      </c>
      <c r="C281" s="9" t="s">
        <v>924</v>
      </c>
      <c r="D281" s="15">
        <v>104.5</v>
      </c>
      <c r="E281" s="13" t="s">
        <v>75</v>
      </c>
    </row>
    <row r="282" spans="1:5" x14ac:dyDescent="0.25">
      <c r="A282" s="9" t="s">
        <v>1100</v>
      </c>
      <c r="B282" s="10" t="s">
        <v>925</v>
      </c>
      <c r="C282" s="9" t="s">
        <v>926</v>
      </c>
      <c r="D282" s="15">
        <v>104.5</v>
      </c>
      <c r="E282" s="13" t="s">
        <v>75</v>
      </c>
    </row>
    <row r="283" spans="1:5" x14ac:dyDescent="0.25">
      <c r="A283" s="9" t="s">
        <v>1100</v>
      </c>
      <c r="B283" s="10" t="s">
        <v>927</v>
      </c>
      <c r="C283" s="9" t="s">
        <v>928</v>
      </c>
      <c r="D283" s="15">
        <v>209</v>
      </c>
      <c r="E283" s="13" t="s">
        <v>75</v>
      </c>
    </row>
    <row r="284" spans="1:5" x14ac:dyDescent="0.25">
      <c r="A284" s="9" t="s">
        <v>1100</v>
      </c>
      <c r="B284" s="10" t="s">
        <v>929</v>
      </c>
      <c r="C284" s="9" t="s">
        <v>930</v>
      </c>
      <c r="D284" s="15">
        <v>388.78</v>
      </c>
      <c r="E284" s="13" t="s">
        <v>75</v>
      </c>
    </row>
    <row r="285" spans="1:5" x14ac:dyDescent="0.25">
      <c r="A285" s="9" t="s">
        <v>1100</v>
      </c>
      <c r="B285" s="10" t="s">
        <v>931</v>
      </c>
      <c r="C285" s="9" t="s">
        <v>932</v>
      </c>
      <c r="D285" s="15">
        <v>209</v>
      </c>
      <c r="E285" s="13" t="s">
        <v>75</v>
      </c>
    </row>
    <row r="286" spans="1:5" x14ac:dyDescent="0.25">
      <c r="A286" s="9" t="s">
        <v>1100</v>
      </c>
      <c r="B286" s="10" t="s">
        <v>933</v>
      </c>
      <c r="C286" s="9" t="s">
        <v>934</v>
      </c>
      <c r="D286" s="15">
        <v>627</v>
      </c>
      <c r="E286" s="13" t="s">
        <v>75</v>
      </c>
    </row>
    <row r="287" spans="1:5" x14ac:dyDescent="0.25">
      <c r="A287" s="9" t="s">
        <v>1100</v>
      </c>
      <c r="B287" s="10" t="s">
        <v>937</v>
      </c>
      <c r="C287" s="9" t="s">
        <v>938</v>
      </c>
      <c r="D287" s="15">
        <v>9.74</v>
      </c>
      <c r="E287" s="13" t="s">
        <v>75</v>
      </c>
    </row>
    <row r="288" spans="1:5" x14ac:dyDescent="0.25">
      <c r="A288" s="9" t="s">
        <v>1100</v>
      </c>
      <c r="B288" s="10" t="s">
        <v>941</v>
      </c>
      <c r="C288" s="9" t="s">
        <v>942</v>
      </c>
      <c r="D288" s="15">
        <v>180.26</v>
      </c>
      <c r="E288" s="13" t="s">
        <v>75</v>
      </c>
    </row>
    <row r="289" spans="1:5" x14ac:dyDescent="0.25">
      <c r="A289" s="9" t="s">
        <v>1100</v>
      </c>
      <c r="B289" s="10" t="s">
        <v>943</v>
      </c>
      <c r="C289" s="9" t="s">
        <v>944</v>
      </c>
      <c r="D289" s="15">
        <v>418</v>
      </c>
      <c r="E289" s="13" t="s">
        <v>75</v>
      </c>
    </row>
    <row r="290" spans="1:5" x14ac:dyDescent="0.25">
      <c r="A290" s="9" t="s">
        <v>1100</v>
      </c>
      <c r="B290" s="10" t="s">
        <v>945</v>
      </c>
      <c r="C290" s="9" t="s">
        <v>946</v>
      </c>
      <c r="D290" s="15">
        <v>152</v>
      </c>
      <c r="E290" s="13" t="s">
        <v>75</v>
      </c>
    </row>
    <row r="291" spans="1:5" x14ac:dyDescent="0.25">
      <c r="A291" s="9" t="s">
        <v>1100</v>
      </c>
      <c r="B291" s="10" t="s">
        <v>947</v>
      </c>
      <c r="C291" s="9" t="s">
        <v>948</v>
      </c>
      <c r="D291" s="15">
        <v>304</v>
      </c>
      <c r="E291" s="13" t="s">
        <v>75</v>
      </c>
    </row>
    <row r="292" spans="1:5" x14ac:dyDescent="0.25">
      <c r="A292" s="9" t="s">
        <v>1100</v>
      </c>
      <c r="B292" s="10" t="s">
        <v>949</v>
      </c>
      <c r="C292" s="9" t="s">
        <v>950</v>
      </c>
      <c r="D292" s="15">
        <v>247</v>
      </c>
      <c r="E292" s="13" t="s">
        <v>75</v>
      </c>
    </row>
    <row r="293" spans="1:5" x14ac:dyDescent="0.25">
      <c r="A293" s="9" t="s">
        <v>1100</v>
      </c>
      <c r="B293" s="10" t="s">
        <v>955</v>
      </c>
      <c r="C293" s="9" t="s">
        <v>956</v>
      </c>
      <c r="D293" s="15">
        <v>161.5</v>
      </c>
      <c r="E293" s="13" t="s">
        <v>75</v>
      </c>
    </row>
    <row r="294" spans="1:5" x14ac:dyDescent="0.25">
      <c r="A294" s="9" t="s">
        <v>1100</v>
      </c>
      <c r="B294" s="10" t="s">
        <v>957</v>
      </c>
      <c r="C294" s="9" t="s">
        <v>958</v>
      </c>
      <c r="D294" s="15">
        <v>209</v>
      </c>
      <c r="E294" s="13" t="s">
        <v>75</v>
      </c>
    </row>
    <row r="295" spans="1:5" x14ac:dyDescent="0.25">
      <c r="A295" s="9" t="s">
        <v>1207</v>
      </c>
      <c r="B295" s="10" t="s">
        <v>92</v>
      </c>
      <c r="C295" s="9" t="s">
        <v>93</v>
      </c>
      <c r="D295" s="15">
        <v>336.66</v>
      </c>
      <c r="E295" s="13" t="s">
        <v>75</v>
      </c>
    </row>
    <row r="296" spans="1:5" x14ac:dyDescent="0.25">
      <c r="A296" s="9" t="s">
        <v>1207</v>
      </c>
      <c r="B296" s="10" t="s">
        <v>96</v>
      </c>
      <c r="C296" s="9" t="s">
        <v>97</v>
      </c>
      <c r="D296" s="15">
        <v>368.95</v>
      </c>
      <c r="E296" s="13" t="s">
        <v>75</v>
      </c>
    </row>
    <row r="297" spans="1:5" x14ac:dyDescent="0.25">
      <c r="A297" s="9" t="s">
        <v>1207</v>
      </c>
      <c r="B297" s="10" t="s">
        <v>104</v>
      </c>
      <c r="C297" s="9" t="s">
        <v>105</v>
      </c>
      <c r="D297" s="15">
        <v>450.6</v>
      </c>
      <c r="E297" s="13" t="s">
        <v>75</v>
      </c>
    </row>
    <row r="298" spans="1:5" x14ac:dyDescent="0.25">
      <c r="A298" s="9" t="s">
        <v>1207</v>
      </c>
      <c r="B298" s="10" t="s">
        <v>108</v>
      </c>
      <c r="C298" s="9" t="s">
        <v>109</v>
      </c>
      <c r="D298" s="15">
        <v>556.52</v>
      </c>
      <c r="E298" s="13" t="s">
        <v>75</v>
      </c>
    </row>
    <row r="299" spans="1:5" x14ac:dyDescent="0.25">
      <c r="A299" s="9" t="s">
        <v>1207</v>
      </c>
      <c r="B299" s="10" t="s">
        <v>110</v>
      </c>
      <c r="C299" s="9" t="s">
        <v>111</v>
      </c>
      <c r="D299" s="15">
        <v>111.44</v>
      </c>
      <c r="E299" s="13" t="s">
        <v>75</v>
      </c>
    </row>
    <row r="300" spans="1:5" x14ac:dyDescent="0.25">
      <c r="A300" s="9" t="s">
        <v>1207</v>
      </c>
      <c r="B300" s="10" t="s">
        <v>112</v>
      </c>
      <c r="C300" s="9" t="s">
        <v>113</v>
      </c>
      <c r="D300" s="15">
        <v>247.1</v>
      </c>
      <c r="E300" s="13" t="s">
        <v>75</v>
      </c>
    </row>
    <row r="301" spans="1:5" x14ac:dyDescent="0.25">
      <c r="A301" s="9" t="s">
        <v>1207</v>
      </c>
      <c r="B301" s="10" t="s">
        <v>118</v>
      </c>
      <c r="C301" s="9" t="s">
        <v>119</v>
      </c>
      <c r="D301" s="15">
        <v>493.76</v>
      </c>
      <c r="E301" s="13" t="s">
        <v>75</v>
      </c>
    </row>
    <row r="302" spans="1:5" x14ac:dyDescent="0.25">
      <c r="A302" s="9" t="s">
        <v>1207</v>
      </c>
      <c r="B302" s="10" t="s">
        <v>120</v>
      </c>
      <c r="C302" s="9" t="s">
        <v>121</v>
      </c>
      <c r="D302" s="15">
        <v>591.02</v>
      </c>
      <c r="E302" s="13" t="s">
        <v>75</v>
      </c>
    </row>
    <row r="303" spans="1:5" x14ac:dyDescent="0.25">
      <c r="A303" s="9" t="s">
        <v>1207</v>
      </c>
      <c r="B303" s="10" t="s">
        <v>122</v>
      </c>
      <c r="C303" s="9" t="s">
        <v>123</v>
      </c>
      <c r="D303" s="15">
        <v>163.56</v>
      </c>
      <c r="E303" s="13" t="s">
        <v>75</v>
      </c>
    </row>
    <row r="304" spans="1:5" x14ac:dyDescent="0.25">
      <c r="A304" s="9" t="s">
        <v>1207</v>
      </c>
      <c r="B304" s="10" t="s">
        <v>130</v>
      </c>
      <c r="C304" s="9" t="s">
        <v>131</v>
      </c>
      <c r="D304" s="15">
        <v>239.61</v>
      </c>
      <c r="E304" s="13" t="s">
        <v>75</v>
      </c>
    </row>
    <row r="305" spans="1:5" x14ac:dyDescent="0.25">
      <c r="A305" s="9" t="s">
        <v>1207</v>
      </c>
      <c r="B305" s="10" t="s">
        <v>132</v>
      </c>
      <c r="C305" s="9" t="s">
        <v>133</v>
      </c>
      <c r="D305" s="15">
        <v>563.6</v>
      </c>
      <c r="E305" s="13" t="s">
        <v>75</v>
      </c>
    </row>
    <row r="306" spans="1:5" x14ac:dyDescent="0.25">
      <c r="A306" s="9" t="s">
        <v>1207</v>
      </c>
      <c r="B306" s="10" t="s">
        <v>134</v>
      </c>
      <c r="C306" s="9" t="s">
        <v>135</v>
      </c>
      <c r="D306" s="15">
        <v>86.68</v>
      </c>
      <c r="E306" s="13" t="s">
        <v>75</v>
      </c>
    </row>
    <row r="307" spans="1:5" x14ac:dyDescent="0.25">
      <c r="A307" s="9" t="s">
        <v>1207</v>
      </c>
      <c r="B307" s="10" t="s">
        <v>140</v>
      </c>
      <c r="C307" s="9" t="s">
        <v>141</v>
      </c>
      <c r="D307" s="15">
        <v>584.5</v>
      </c>
      <c r="E307" s="13" t="s">
        <v>75</v>
      </c>
    </row>
    <row r="308" spans="1:5" x14ac:dyDescent="0.25">
      <c r="A308" s="9" t="s">
        <v>1207</v>
      </c>
      <c r="B308" s="10" t="s">
        <v>144</v>
      </c>
      <c r="C308" s="9" t="s">
        <v>145</v>
      </c>
      <c r="D308" s="15">
        <v>103.32</v>
      </c>
      <c r="E308" s="13" t="s">
        <v>75</v>
      </c>
    </row>
    <row r="309" spans="1:5" x14ac:dyDescent="0.25">
      <c r="A309" s="9" t="s">
        <v>1207</v>
      </c>
      <c r="B309" s="10" t="s">
        <v>146</v>
      </c>
      <c r="C309" s="9" t="s">
        <v>147</v>
      </c>
      <c r="D309" s="15">
        <v>380.38</v>
      </c>
      <c r="E309" s="13" t="s">
        <v>75</v>
      </c>
    </row>
    <row r="310" spans="1:5" x14ac:dyDescent="0.25">
      <c r="A310" s="9" t="s">
        <v>1207</v>
      </c>
      <c r="B310" s="10" t="s">
        <v>148</v>
      </c>
      <c r="C310" s="9" t="s">
        <v>149</v>
      </c>
      <c r="D310" s="15">
        <v>217.83</v>
      </c>
      <c r="E310" s="13" t="s">
        <v>75</v>
      </c>
    </row>
    <row r="311" spans="1:5" x14ac:dyDescent="0.25">
      <c r="A311" s="9" t="s">
        <v>1207</v>
      </c>
      <c r="B311" s="10" t="s">
        <v>150</v>
      </c>
      <c r="C311" s="9" t="s">
        <v>151</v>
      </c>
      <c r="D311" s="15">
        <v>354.04</v>
      </c>
      <c r="E311" s="13" t="s">
        <v>75</v>
      </c>
    </row>
    <row r="312" spans="1:5" x14ac:dyDescent="0.25">
      <c r="A312" s="9" t="s">
        <v>1207</v>
      </c>
      <c r="B312" s="10" t="s">
        <v>152</v>
      </c>
      <c r="C312" s="9" t="s">
        <v>153</v>
      </c>
      <c r="D312" s="15">
        <v>233.3</v>
      </c>
      <c r="E312" s="13" t="s">
        <v>75</v>
      </c>
    </row>
    <row r="313" spans="1:5" x14ac:dyDescent="0.25">
      <c r="A313" s="9" t="s">
        <v>1207</v>
      </c>
      <c r="B313" s="10" t="s">
        <v>156</v>
      </c>
      <c r="C313" s="9" t="s">
        <v>157</v>
      </c>
      <c r="D313" s="15">
        <v>13.52</v>
      </c>
      <c r="E313" s="13" t="s">
        <v>75</v>
      </c>
    </row>
    <row r="314" spans="1:5" x14ac:dyDescent="0.25">
      <c r="A314" s="9" t="s">
        <v>1207</v>
      </c>
      <c r="B314" s="10" t="s">
        <v>162</v>
      </c>
      <c r="C314" s="9" t="s">
        <v>163</v>
      </c>
      <c r="D314" s="15">
        <v>258.32</v>
      </c>
      <c r="E314" s="13" t="s">
        <v>75</v>
      </c>
    </row>
    <row r="315" spans="1:5" x14ac:dyDescent="0.25">
      <c r="A315" s="9" t="s">
        <v>1207</v>
      </c>
      <c r="B315" s="10" t="s">
        <v>164</v>
      </c>
      <c r="C315" s="9" t="s">
        <v>165</v>
      </c>
      <c r="D315" s="15">
        <v>276.24</v>
      </c>
      <c r="E315" s="13" t="s">
        <v>75</v>
      </c>
    </row>
    <row r="316" spans="1:5" x14ac:dyDescent="0.25">
      <c r="A316" s="9" t="s">
        <v>1207</v>
      </c>
      <c r="B316" s="10" t="s">
        <v>166</v>
      </c>
      <c r="C316" s="9" t="s">
        <v>167</v>
      </c>
      <c r="D316" s="15">
        <v>13.52</v>
      </c>
      <c r="E316" s="13" t="s">
        <v>75</v>
      </c>
    </row>
    <row r="317" spans="1:5" x14ac:dyDescent="0.25">
      <c r="A317" s="9" t="s">
        <v>1207</v>
      </c>
      <c r="B317" s="10" t="s">
        <v>168</v>
      </c>
      <c r="C317" s="9" t="s">
        <v>169</v>
      </c>
      <c r="D317" s="15">
        <v>24.6</v>
      </c>
      <c r="E317" s="13" t="s">
        <v>75</v>
      </c>
    </row>
    <row r="318" spans="1:5" x14ac:dyDescent="0.25">
      <c r="A318" s="9" t="s">
        <v>1207</v>
      </c>
      <c r="B318" s="10" t="s">
        <v>170</v>
      </c>
      <c r="C318" s="9" t="s">
        <v>171</v>
      </c>
      <c r="D318" s="15">
        <v>321.35000000000002</v>
      </c>
      <c r="E318" s="13" t="s">
        <v>75</v>
      </c>
    </row>
    <row r="319" spans="1:5" x14ac:dyDescent="0.25">
      <c r="A319" s="9" t="s">
        <v>1207</v>
      </c>
      <c r="B319" s="10" t="s">
        <v>172</v>
      </c>
      <c r="C319" s="9" t="s">
        <v>173</v>
      </c>
      <c r="D319" s="15">
        <v>73.8</v>
      </c>
      <c r="E319" s="13" t="s">
        <v>75</v>
      </c>
    </row>
    <row r="320" spans="1:5" x14ac:dyDescent="0.25">
      <c r="A320" s="9" t="s">
        <v>1207</v>
      </c>
      <c r="B320" s="10" t="s">
        <v>174</v>
      </c>
      <c r="C320" s="9" t="s">
        <v>175</v>
      </c>
      <c r="D320" s="15">
        <v>86.68</v>
      </c>
      <c r="E320" s="13" t="s">
        <v>75</v>
      </c>
    </row>
    <row r="321" spans="1:5" x14ac:dyDescent="0.25">
      <c r="A321" s="9" t="s">
        <v>1207</v>
      </c>
      <c r="B321" s="10" t="s">
        <v>176</v>
      </c>
      <c r="C321" s="9" t="s">
        <v>177</v>
      </c>
      <c r="D321" s="15">
        <v>34.44</v>
      </c>
      <c r="E321" s="13" t="s">
        <v>75</v>
      </c>
    </row>
    <row r="322" spans="1:5" x14ac:dyDescent="0.25">
      <c r="A322" s="9" t="s">
        <v>1207</v>
      </c>
      <c r="B322" s="10" t="s">
        <v>178</v>
      </c>
      <c r="C322" s="9" t="s">
        <v>179</v>
      </c>
      <c r="D322" s="15">
        <v>455.62</v>
      </c>
      <c r="E322" s="13" t="s">
        <v>75</v>
      </c>
    </row>
    <row r="323" spans="1:5" x14ac:dyDescent="0.25">
      <c r="A323" s="9" t="s">
        <v>1207</v>
      </c>
      <c r="B323" s="10" t="s">
        <v>180</v>
      </c>
      <c r="C323" s="9" t="s">
        <v>181</v>
      </c>
      <c r="D323" s="15">
        <v>253.56</v>
      </c>
      <c r="E323" s="13" t="s">
        <v>75</v>
      </c>
    </row>
    <row r="324" spans="1:5" x14ac:dyDescent="0.25">
      <c r="A324" s="9" t="s">
        <v>1207</v>
      </c>
      <c r="B324" s="10" t="s">
        <v>182</v>
      </c>
      <c r="C324" s="9" t="s">
        <v>183</v>
      </c>
      <c r="D324" s="15">
        <v>184.45</v>
      </c>
      <c r="E324" s="13" t="s">
        <v>75</v>
      </c>
    </row>
    <row r="325" spans="1:5" x14ac:dyDescent="0.25">
      <c r="A325" s="9" t="s">
        <v>1207</v>
      </c>
      <c r="B325" s="10" t="s">
        <v>186</v>
      </c>
      <c r="C325" s="9" t="s">
        <v>187</v>
      </c>
      <c r="D325" s="15">
        <v>110.67</v>
      </c>
      <c r="E325" s="13" t="s">
        <v>75</v>
      </c>
    </row>
    <row r="326" spans="1:5" x14ac:dyDescent="0.25">
      <c r="A326" s="9" t="s">
        <v>1207</v>
      </c>
      <c r="B326" s="10" t="s">
        <v>188</v>
      </c>
      <c r="C326" s="9" t="s">
        <v>189</v>
      </c>
      <c r="D326" s="15">
        <v>184.45</v>
      </c>
      <c r="E326" s="13" t="s">
        <v>75</v>
      </c>
    </row>
    <row r="327" spans="1:5" x14ac:dyDescent="0.25">
      <c r="A327" s="9" t="s">
        <v>1207</v>
      </c>
      <c r="B327" s="10" t="s">
        <v>190</v>
      </c>
      <c r="C327" s="9" t="s">
        <v>191</v>
      </c>
      <c r="D327" s="15">
        <v>78.58</v>
      </c>
      <c r="E327" s="13" t="s">
        <v>75</v>
      </c>
    </row>
    <row r="328" spans="1:5" x14ac:dyDescent="0.25">
      <c r="A328" s="9" t="s">
        <v>1207</v>
      </c>
      <c r="B328" s="10" t="s">
        <v>192</v>
      </c>
      <c r="C328" s="9" t="s">
        <v>193</v>
      </c>
      <c r="D328" s="15">
        <v>73.8</v>
      </c>
      <c r="E328" s="13" t="s">
        <v>75</v>
      </c>
    </row>
    <row r="329" spans="1:5" x14ac:dyDescent="0.25">
      <c r="A329" s="9" t="s">
        <v>1207</v>
      </c>
      <c r="B329" s="10" t="s">
        <v>198</v>
      </c>
      <c r="C329" s="9" t="s">
        <v>199</v>
      </c>
      <c r="D329" s="15">
        <v>9.1</v>
      </c>
      <c r="E329" s="13" t="s">
        <v>75</v>
      </c>
    </row>
    <row r="330" spans="1:5" x14ac:dyDescent="0.25">
      <c r="A330" s="9" t="s">
        <v>1207</v>
      </c>
      <c r="B330" s="10" t="s">
        <v>204</v>
      </c>
      <c r="C330" s="9" t="s">
        <v>205</v>
      </c>
      <c r="D330" s="15">
        <v>125.96</v>
      </c>
      <c r="E330" s="13" t="s">
        <v>75</v>
      </c>
    </row>
    <row r="331" spans="1:5" x14ac:dyDescent="0.25">
      <c r="A331" s="9" t="s">
        <v>1207</v>
      </c>
      <c r="B331" s="10" t="s">
        <v>216</v>
      </c>
      <c r="C331" s="9" t="s">
        <v>217</v>
      </c>
      <c r="D331" s="15">
        <v>442.74</v>
      </c>
      <c r="E331" s="13" t="s">
        <v>75</v>
      </c>
    </row>
    <row r="332" spans="1:5" x14ac:dyDescent="0.25">
      <c r="A332" s="9" t="s">
        <v>1207</v>
      </c>
      <c r="B332" s="10" t="s">
        <v>220</v>
      </c>
      <c r="C332" s="9" t="s">
        <v>221</v>
      </c>
      <c r="D332" s="15">
        <v>82</v>
      </c>
      <c r="E332" s="13" t="s">
        <v>75</v>
      </c>
    </row>
    <row r="333" spans="1:5" x14ac:dyDescent="0.25">
      <c r="A333" s="9" t="s">
        <v>1207</v>
      </c>
      <c r="B333" s="10" t="s">
        <v>222</v>
      </c>
      <c r="C333" s="9" t="s">
        <v>223</v>
      </c>
      <c r="D333" s="15">
        <v>391.7</v>
      </c>
      <c r="E333" s="13" t="s">
        <v>75</v>
      </c>
    </row>
    <row r="334" spans="1:5" x14ac:dyDescent="0.25">
      <c r="A334" s="9" t="s">
        <v>1207</v>
      </c>
      <c r="B334" s="10" t="s">
        <v>224</v>
      </c>
      <c r="C334" s="9" t="s">
        <v>225</v>
      </c>
      <c r="D334" s="15">
        <v>147.58000000000001</v>
      </c>
      <c r="E334" s="13" t="s">
        <v>75</v>
      </c>
    </row>
    <row r="335" spans="1:5" x14ac:dyDescent="0.25">
      <c r="A335" s="9" t="s">
        <v>1207</v>
      </c>
      <c r="B335" s="10" t="s">
        <v>226</v>
      </c>
      <c r="C335" s="9" t="s">
        <v>227</v>
      </c>
      <c r="D335" s="15">
        <v>243.21</v>
      </c>
      <c r="E335" s="13" t="s">
        <v>75</v>
      </c>
    </row>
    <row r="336" spans="1:5" x14ac:dyDescent="0.25">
      <c r="A336" s="9" t="s">
        <v>1207</v>
      </c>
      <c r="B336" s="10" t="s">
        <v>230</v>
      </c>
      <c r="C336" s="9" t="s">
        <v>231</v>
      </c>
      <c r="D336" s="15">
        <v>345.62</v>
      </c>
      <c r="E336" s="13" t="s">
        <v>75</v>
      </c>
    </row>
    <row r="337" spans="1:5" x14ac:dyDescent="0.25">
      <c r="A337" s="9" t="s">
        <v>1207</v>
      </c>
      <c r="B337" s="10" t="s">
        <v>242</v>
      </c>
      <c r="C337" s="9" t="s">
        <v>243</v>
      </c>
      <c r="D337" s="15">
        <v>518.4</v>
      </c>
      <c r="E337" s="13" t="s">
        <v>75</v>
      </c>
    </row>
    <row r="338" spans="1:5" x14ac:dyDescent="0.25">
      <c r="A338" s="9" t="s">
        <v>1207</v>
      </c>
      <c r="B338" s="10" t="s">
        <v>244</v>
      </c>
      <c r="C338" s="9" t="s">
        <v>245</v>
      </c>
      <c r="D338" s="15">
        <v>311.39</v>
      </c>
      <c r="E338" s="13" t="s">
        <v>75</v>
      </c>
    </row>
    <row r="339" spans="1:5" x14ac:dyDescent="0.25">
      <c r="A339" s="9" t="s">
        <v>1207</v>
      </c>
      <c r="B339" s="10" t="s">
        <v>248</v>
      </c>
      <c r="C339" s="9" t="s">
        <v>249</v>
      </c>
      <c r="D339" s="15">
        <v>282.76</v>
      </c>
      <c r="E339" s="13" t="s">
        <v>75</v>
      </c>
    </row>
    <row r="340" spans="1:5" x14ac:dyDescent="0.25">
      <c r="A340" s="9" t="s">
        <v>1207</v>
      </c>
      <c r="B340" s="10" t="s">
        <v>252</v>
      </c>
      <c r="C340" s="9" t="s">
        <v>253</v>
      </c>
      <c r="D340" s="15">
        <v>80.55</v>
      </c>
      <c r="E340" s="13" t="s">
        <v>75</v>
      </c>
    </row>
    <row r="341" spans="1:5" x14ac:dyDescent="0.25">
      <c r="A341" s="9" t="s">
        <v>1207</v>
      </c>
      <c r="B341" s="10" t="s">
        <v>254</v>
      </c>
      <c r="C341" s="9" t="s">
        <v>255</v>
      </c>
      <c r="D341" s="15">
        <v>116.6</v>
      </c>
      <c r="E341" s="13" t="s">
        <v>75</v>
      </c>
    </row>
    <row r="342" spans="1:5" x14ac:dyDescent="0.25">
      <c r="A342" s="9" t="s">
        <v>1207</v>
      </c>
      <c r="B342" s="10" t="s">
        <v>256</v>
      </c>
      <c r="C342" s="9" t="s">
        <v>257</v>
      </c>
      <c r="D342" s="15">
        <v>114.76</v>
      </c>
      <c r="E342" s="13" t="s">
        <v>75</v>
      </c>
    </row>
    <row r="343" spans="1:5" x14ac:dyDescent="0.25">
      <c r="A343" s="9" t="s">
        <v>1207</v>
      </c>
      <c r="B343" s="10" t="s">
        <v>258</v>
      </c>
      <c r="C343" s="9" t="s">
        <v>259</v>
      </c>
      <c r="D343" s="15">
        <v>61.39</v>
      </c>
      <c r="E343" s="13" t="s">
        <v>75</v>
      </c>
    </row>
    <row r="344" spans="1:5" x14ac:dyDescent="0.25">
      <c r="A344" s="9" t="s">
        <v>1207</v>
      </c>
      <c r="B344" s="10" t="s">
        <v>260</v>
      </c>
      <c r="C344" s="9" t="s">
        <v>261</v>
      </c>
      <c r="D344" s="15">
        <v>113.34</v>
      </c>
      <c r="E344" s="13" t="s">
        <v>75</v>
      </c>
    </row>
    <row r="345" spans="1:5" x14ac:dyDescent="0.25">
      <c r="A345" s="9" t="s">
        <v>1207</v>
      </c>
      <c r="B345" s="10" t="s">
        <v>262</v>
      </c>
      <c r="C345" s="9" t="s">
        <v>263</v>
      </c>
      <c r="D345" s="15">
        <v>228.2</v>
      </c>
      <c r="E345" s="13" t="s">
        <v>75</v>
      </c>
    </row>
    <row r="346" spans="1:5" x14ac:dyDescent="0.25">
      <c r="A346" s="9" t="s">
        <v>1207</v>
      </c>
      <c r="B346" s="10" t="s">
        <v>264</v>
      </c>
      <c r="C346" s="9" t="s">
        <v>265</v>
      </c>
      <c r="D346" s="15">
        <v>128.16</v>
      </c>
      <c r="E346" s="13" t="s">
        <v>75</v>
      </c>
    </row>
    <row r="347" spans="1:5" x14ac:dyDescent="0.25">
      <c r="A347" s="9" t="s">
        <v>1207</v>
      </c>
      <c r="B347" s="10" t="s">
        <v>268</v>
      </c>
      <c r="C347" s="9" t="s">
        <v>269</v>
      </c>
      <c r="D347" s="15">
        <v>261.89999999999998</v>
      </c>
      <c r="E347" s="13" t="s">
        <v>75</v>
      </c>
    </row>
    <row r="348" spans="1:5" x14ac:dyDescent="0.25">
      <c r="A348" s="9" t="s">
        <v>1207</v>
      </c>
      <c r="B348" s="10" t="s">
        <v>270</v>
      </c>
      <c r="C348" s="9" t="s">
        <v>271</v>
      </c>
      <c r="D348" s="15">
        <v>103.32</v>
      </c>
      <c r="E348" s="13" t="s">
        <v>75</v>
      </c>
    </row>
    <row r="349" spans="1:5" x14ac:dyDescent="0.25">
      <c r="A349" s="9" t="s">
        <v>1207</v>
      </c>
      <c r="B349" s="10" t="s">
        <v>274</v>
      </c>
      <c r="C349" s="9" t="s">
        <v>275</v>
      </c>
      <c r="D349" s="15">
        <v>649.13</v>
      </c>
      <c r="E349" s="13" t="s">
        <v>75</v>
      </c>
    </row>
    <row r="350" spans="1:5" x14ac:dyDescent="0.25">
      <c r="A350" s="9" t="s">
        <v>1207</v>
      </c>
      <c r="B350" s="10" t="s">
        <v>276</v>
      </c>
      <c r="C350" s="9" t="s">
        <v>277</v>
      </c>
      <c r="D350" s="15">
        <v>96.6</v>
      </c>
      <c r="E350" s="13" t="s">
        <v>75</v>
      </c>
    </row>
    <row r="351" spans="1:5" x14ac:dyDescent="0.25">
      <c r="A351" s="9" t="s">
        <v>1207</v>
      </c>
      <c r="B351" s="10" t="s">
        <v>278</v>
      </c>
      <c r="C351" s="9" t="s">
        <v>279</v>
      </c>
      <c r="D351" s="15">
        <v>184.45</v>
      </c>
      <c r="E351" s="13" t="s">
        <v>75</v>
      </c>
    </row>
    <row r="352" spans="1:5" x14ac:dyDescent="0.25">
      <c r="A352" s="9" t="s">
        <v>1207</v>
      </c>
      <c r="B352" s="10" t="s">
        <v>282</v>
      </c>
      <c r="C352" s="9" t="s">
        <v>283</v>
      </c>
      <c r="D352" s="15">
        <v>73.8</v>
      </c>
      <c r="E352" s="13" t="s">
        <v>75</v>
      </c>
    </row>
    <row r="353" spans="1:5" x14ac:dyDescent="0.25">
      <c r="A353" s="9" t="s">
        <v>1207</v>
      </c>
      <c r="B353" s="10" t="s">
        <v>284</v>
      </c>
      <c r="C353" s="9" t="s">
        <v>285</v>
      </c>
      <c r="D353" s="15">
        <v>107.2</v>
      </c>
      <c r="E353" s="13" t="s">
        <v>75</v>
      </c>
    </row>
    <row r="354" spans="1:5" x14ac:dyDescent="0.25">
      <c r="A354" s="9" t="s">
        <v>1207</v>
      </c>
      <c r="B354" s="10" t="s">
        <v>288</v>
      </c>
      <c r="C354" s="9" t="s">
        <v>289</v>
      </c>
      <c r="D354" s="15">
        <v>88.8</v>
      </c>
      <c r="E354" s="13" t="s">
        <v>75</v>
      </c>
    </row>
    <row r="355" spans="1:5" x14ac:dyDescent="0.25">
      <c r="A355" s="9" t="s">
        <v>1207</v>
      </c>
      <c r="B355" s="10" t="s">
        <v>292</v>
      </c>
      <c r="C355" s="9" t="s">
        <v>293</v>
      </c>
      <c r="D355" s="15">
        <v>243.3</v>
      </c>
      <c r="E355" s="13" t="s">
        <v>75</v>
      </c>
    </row>
    <row r="356" spans="1:5" x14ac:dyDescent="0.25">
      <c r="A356" s="9" t="s">
        <v>1207</v>
      </c>
      <c r="B356" s="10" t="s">
        <v>294</v>
      </c>
      <c r="C356" s="9" t="s">
        <v>295</v>
      </c>
      <c r="D356" s="15">
        <v>325.57</v>
      </c>
      <c r="E356" s="13" t="s">
        <v>75</v>
      </c>
    </row>
    <row r="357" spans="1:5" x14ac:dyDescent="0.25">
      <c r="A357" s="9" t="s">
        <v>1207</v>
      </c>
      <c r="B357" s="10" t="s">
        <v>296</v>
      </c>
      <c r="C357" s="9" t="s">
        <v>297</v>
      </c>
      <c r="D357" s="15">
        <v>114.84</v>
      </c>
      <c r="E357" s="13" t="s">
        <v>75</v>
      </c>
    </row>
    <row r="358" spans="1:5" x14ac:dyDescent="0.25">
      <c r="A358" s="9" t="s">
        <v>1207</v>
      </c>
      <c r="B358" s="10" t="s">
        <v>300</v>
      </c>
      <c r="C358" s="9" t="s">
        <v>301</v>
      </c>
      <c r="D358" s="15">
        <v>57.27</v>
      </c>
      <c r="E358" s="13" t="s">
        <v>75</v>
      </c>
    </row>
    <row r="359" spans="1:5" x14ac:dyDescent="0.25">
      <c r="A359" s="9" t="s">
        <v>1207</v>
      </c>
      <c r="B359" s="10" t="s">
        <v>304</v>
      </c>
      <c r="C359" s="9" t="s">
        <v>305</v>
      </c>
      <c r="D359" s="15">
        <v>334.72</v>
      </c>
      <c r="E359" s="13" t="s">
        <v>75</v>
      </c>
    </row>
    <row r="360" spans="1:5" x14ac:dyDescent="0.25">
      <c r="A360" s="9" t="s">
        <v>1207</v>
      </c>
      <c r="B360" s="10" t="s">
        <v>306</v>
      </c>
      <c r="C360" s="9" t="s">
        <v>307</v>
      </c>
      <c r="D360" s="15">
        <v>277.38</v>
      </c>
      <c r="E360" s="13" t="s">
        <v>75</v>
      </c>
    </row>
    <row r="361" spans="1:5" x14ac:dyDescent="0.25">
      <c r="A361" s="9" t="s">
        <v>1207</v>
      </c>
      <c r="B361" s="10" t="s">
        <v>308</v>
      </c>
      <c r="C361" s="9" t="s">
        <v>309</v>
      </c>
      <c r="D361" s="15">
        <v>263.87</v>
      </c>
      <c r="E361" s="13" t="s">
        <v>75</v>
      </c>
    </row>
    <row r="362" spans="1:5" x14ac:dyDescent="0.25">
      <c r="A362" s="9" t="s">
        <v>1207</v>
      </c>
      <c r="B362" s="10" t="s">
        <v>312</v>
      </c>
      <c r="C362" s="9" t="s">
        <v>313</v>
      </c>
      <c r="D362" s="15">
        <v>13.52</v>
      </c>
      <c r="E362" s="13" t="s">
        <v>75</v>
      </c>
    </row>
    <row r="363" spans="1:5" x14ac:dyDescent="0.25">
      <c r="A363" s="9" t="s">
        <v>1207</v>
      </c>
      <c r="B363" s="10" t="s">
        <v>316</v>
      </c>
      <c r="C363" s="9" t="s">
        <v>317</v>
      </c>
      <c r="D363" s="15">
        <v>25.46</v>
      </c>
      <c r="E363" s="13" t="s">
        <v>75</v>
      </c>
    </row>
    <row r="364" spans="1:5" x14ac:dyDescent="0.25">
      <c r="A364" s="9" t="s">
        <v>1207</v>
      </c>
      <c r="B364" s="10" t="s">
        <v>320</v>
      </c>
      <c r="C364" s="9" t="s">
        <v>321</v>
      </c>
      <c r="D364" s="15">
        <v>221.34</v>
      </c>
      <c r="E364" s="13" t="s">
        <v>75</v>
      </c>
    </row>
    <row r="365" spans="1:5" x14ac:dyDescent="0.25">
      <c r="A365" s="9" t="s">
        <v>1207</v>
      </c>
      <c r="B365" s="10" t="s">
        <v>324</v>
      </c>
      <c r="C365" s="9" t="s">
        <v>325</v>
      </c>
      <c r="D365" s="15">
        <v>158.91999999999999</v>
      </c>
      <c r="E365" s="13" t="s">
        <v>75</v>
      </c>
    </row>
    <row r="366" spans="1:5" x14ac:dyDescent="0.25">
      <c r="A366" s="9" t="s">
        <v>1207</v>
      </c>
      <c r="B366" s="10" t="s">
        <v>328</v>
      </c>
      <c r="C366" s="9" t="s">
        <v>329</v>
      </c>
      <c r="D366" s="15">
        <v>109.16</v>
      </c>
      <c r="E366" s="13" t="s">
        <v>75</v>
      </c>
    </row>
    <row r="367" spans="1:5" x14ac:dyDescent="0.25">
      <c r="A367" s="9" t="s">
        <v>1207</v>
      </c>
      <c r="B367" s="10" t="s">
        <v>330</v>
      </c>
      <c r="C367" s="9" t="s">
        <v>331</v>
      </c>
      <c r="D367" s="15">
        <v>221.34</v>
      </c>
      <c r="E367" s="13" t="s">
        <v>75</v>
      </c>
    </row>
    <row r="368" spans="1:5" x14ac:dyDescent="0.25">
      <c r="A368" s="9" t="s">
        <v>1207</v>
      </c>
      <c r="B368" s="10" t="s">
        <v>332</v>
      </c>
      <c r="C368" s="9" t="s">
        <v>333</v>
      </c>
      <c r="D368" s="15">
        <v>73.8</v>
      </c>
      <c r="E368" s="13" t="s">
        <v>75</v>
      </c>
    </row>
    <row r="369" spans="1:5" x14ac:dyDescent="0.25">
      <c r="A369" s="9" t="s">
        <v>1207</v>
      </c>
      <c r="B369" s="10" t="s">
        <v>334</v>
      </c>
      <c r="C369" s="9" t="s">
        <v>335</v>
      </c>
      <c r="D369" s="15">
        <v>36.89</v>
      </c>
      <c r="E369" s="13" t="s">
        <v>75</v>
      </c>
    </row>
    <row r="370" spans="1:5" x14ac:dyDescent="0.25">
      <c r="A370" s="9" t="s">
        <v>1207</v>
      </c>
      <c r="B370" s="10" t="s">
        <v>336</v>
      </c>
      <c r="C370" s="9" t="s">
        <v>337</v>
      </c>
      <c r="D370" s="15">
        <v>159.36000000000001</v>
      </c>
      <c r="E370" s="13" t="s">
        <v>75</v>
      </c>
    </row>
    <row r="371" spans="1:5" x14ac:dyDescent="0.25">
      <c r="A371" s="9" t="s">
        <v>1207</v>
      </c>
      <c r="B371" s="10" t="s">
        <v>338</v>
      </c>
      <c r="C371" s="9" t="s">
        <v>339</v>
      </c>
      <c r="D371" s="15">
        <v>54.35</v>
      </c>
      <c r="E371" s="13" t="s">
        <v>75</v>
      </c>
    </row>
    <row r="372" spans="1:5" x14ac:dyDescent="0.25">
      <c r="A372" s="9" t="s">
        <v>1207</v>
      </c>
      <c r="B372" s="10" t="s">
        <v>340</v>
      </c>
      <c r="C372" s="9" t="s">
        <v>341</v>
      </c>
      <c r="D372" s="15">
        <v>30</v>
      </c>
      <c r="E372" s="13" t="s">
        <v>75</v>
      </c>
    </row>
    <row r="373" spans="1:5" x14ac:dyDescent="0.25">
      <c r="A373" s="9" t="s">
        <v>1207</v>
      </c>
      <c r="B373" s="10" t="s">
        <v>344</v>
      </c>
      <c r="C373" s="9" t="s">
        <v>345</v>
      </c>
      <c r="D373" s="15">
        <v>73.8</v>
      </c>
      <c r="E373" s="13" t="s">
        <v>75</v>
      </c>
    </row>
    <row r="374" spans="1:5" x14ac:dyDescent="0.25">
      <c r="A374" s="9" t="s">
        <v>1207</v>
      </c>
      <c r="B374" s="10" t="s">
        <v>348</v>
      </c>
      <c r="C374" s="9" t="s">
        <v>349</v>
      </c>
      <c r="D374" s="15">
        <v>197.95</v>
      </c>
      <c r="E374" s="13" t="s">
        <v>75</v>
      </c>
    </row>
    <row r="375" spans="1:5" x14ac:dyDescent="0.25">
      <c r="A375" s="9" t="s">
        <v>1207</v>
      </c>
      <c r="B375" s="10" t="s">
        <v>354</v>
      </c>
      <c r="C375" s="9" t="s">
        <v>355</v>
      </c>
      <c r="D375" s="15">
        <v>478.99</v>
      </c>
      <c r="E375" s="13" t="s">
        <v>75</v>
      </c>
    </row>
    <row r="376" spans="1:5" x14ac:dyDescent="0.25">
      <c r="A376" s="9" t="s">
        <v>1207</v>
      </c>
      <c r="B376" s="10" t="s">
        <v>356</v>
      </c>
      <c r="C376" s="9" t="s">
        <v>357</v>
      </c>
      <c r="D376" s="15">
        <v>5.15</v>
      </c>
      <c r="E376" s="13" t="s">
        <v>75</v>
      </c>
    </row>
    <row r="377" spans="1:5" x14ac:dyDescent="0.25">
      <c r="A377" s="9" t="s">
        <v>1207</v>
      </c>
      <c r="B377" s="10" t="s">
        <v>360</v>
      </c>
      <c r="C377" s="9" t="s">
        <v>361</v>
      </c>
      <c r="D377" s="15">
        <v>73.78</v>
      </c>
      <c r="E377" s="13" t="s">
        <v>75</v>
      </c>
    </row>
    <row r="378" spans="1:5" x14ac:dyDescent="0.25">
      <c r="A378" s="9" t="s">
        <v>1207</v>
      </c>
      <c r="B378" s="10" t="s">
        <v>362</v>
      </c>
      <c r="C378" s="9" t="s">
        <v>363</v>
      </c>
      <c r="D378" s="15">
        <v>36.9</v>
      </c>
      <c r="E378" s="13" t="s">
        <v>75</v>
      </c>
    </row>
    <row r="379" spans="1:5" x14ac:dyDescent="0.25">
      <c r="A379" s="9" t="s">
        <v>1207</v>
      </c>
      <c r="B379" s="10" t="s">
        <v>364</v>
      </c>
      <c r="C379" s="9" t="s">
        <v>365</v>
      </c>
      <c r="D379" s="15">
        <v>148.51</v>
      </c>
      <c r="E379" s="13" t="s">
        <v>75</v>
      </c>
    </row>
    <row r="380" spans="1:5" x14ac:dyDescent="0.25">
      <c r="A380" s="9" t="s">
        <v>1207</v>
      </c>
      <c r="B380" s="10" t="s">
        <v>368</v>
      </c>
      <c r="C380" s="9" t="s">
        <v>369</v>
      </c>
      <c r="D380" s="15">
        <v>282.94</v>
      </c>
      <c r="E380" s="13" t="s">
        <v>75</v>
      </c>
    </row>
    <row r="381" spans="1:5" x14ac:dyDescent="0.25">
      <c r="A381" s="9" t="s">
        <v>1207</v>
      </c>
      <c r="B381" s="10" t="s">
        <v>372</v>
      </c>
      <c r="C381" s="9" t="s">
        <v>373</v>
      </c>
      <c r="D381" s="15">
        <v>401.76</v>
      </c>
      <c r="E381" s="13" t="s">
        <v>75</v>
      </c>
    </row>
    <row r="382" spans="1:5" x14ac:dyDescent="0.25">
      <c r="A382" s="9" t="s">
        <v>1207</v>
      </c>
      <c r="B382" s="10" t="s">
        <v>376</v>
      </c>
      <c r="C382" s="9" t="s">
        <v>377</v>
      </c>
      <c r="D382" s="15">
        <v>308.73</v>
      </c>
      <c r="E382" s="13" t="s">
        <v>75</v>
      </c>
    </row>
    <row r="383" spans="1:5" x14ac:dyDescent="0.25">
      <c r="A383" s="9" t="s">
        <v>1207</v>
      </c>
      <c r="B383" s="10" t="s">
        <v>378</v>
      </c>
      <c r="C383" s="9" t="s">
        <v>379</v>
      </c>
      <c r="D383" s="15">
        <v>24.84</v>
      </c>
      <c r="E383" s="13" t="s">
        <v>75</v>
      </c>
    </row>
    <row r="384" spans="1:5" x14ac:dyDescent="0.25">
      <c r="A384" s="9" t="s">
        <v>1207</v>
      </c>
      <c r="B384" s="10" t="s">
        <v>380</v>
      </c>
      <c r="C384" s="9" t="s">
        <v>381</v>
      </c>
      <c r="D384" s="15">
        <v>239.5</v>
      </c>
      <c r="E384" s="13" t="s">
        <v>75</v>
      </c>
    </row>
    <row r="385" spans="1:5" x14ac:dyDescent="0.25">
      <c r="A385" s="9" t="s">
        <v>1207</v>
      </c>
      <c r="B385" s="10" t="s">
        <v>382</v>
      </c>
      <c r="C385" s="9" t="s">
        <v>383</v>
      </c>
      <c r="D385" s="15">
        <v>296.60000000000002</v>
      </c>
      <c r="E385" s="13" t="s">
        <v>75</v>
      </c>
    </row>
    <row r="386" spans="1:5" x14ac:dyDescent="0.25">
      <c r="A386" s="9" t="s">
        <v>1207</v>
      </c>
      <c r="B386" s="10" t="s">
        <v>388</v>
      </c>
      <c r="C386" s="9" t="s">
        <v>389</v>
      </c>
      <c r="D386" s="15">
        <v>442.74</v>
      </c>
      <c r="E386" s="13" t="s">
        <v>75</v>
      </c>
    </row>
    <row r="387" spans="1:5" x14ac:dyDescent="0.25">
      <c r="A387" s="9" t="s">
        <v>1207</v>
      </c>
      <c r="B387" s="10" t="s">
        <v>390</v>
      </c>
      <c r="C387" s="9" t="s">
        <v>391</v>
      </c>
      <c r="D387" s="15">
        <v>221.34</v>
      </c>
      <c r="E387" s="13" t="s">
        <v>75</v>
      </c>
    </row>
    <row r="388" spans="1:5" x14ac:dyDescent="0.25">
      <c r="A388" s="9" t="s">
        <v>1207</v>
      </c>
      <c r="B388" s="10" t="s">
        <v>392</v>
      </c>
      <c r="C388" s="9" t="s">
        <v>393</v>
      </c>
      <c r="D388" s="15">
        <v>85.38</v>
      </c>
      <c r="E388" s="13" t="s">
        <v>75</v>
      </c>
    </row>
    <row r="389" spans="1:5" x14ac:dyDescent="0.25">
      <c r="A389" s="9" t="s">
        <v>1207</v>
      </c>
      <c r="B389" s="10" t="s">
        <v>394</v>
      </c>
      <c r="C389" s="9" t="s">
        <v>395</v>
      </c>
      <c r="D389" s="15">
        <v>87.32</v>
      </c>
      <c r="E389" s="13" t="s">
        <v>75</v>
      </c>
    </row>
    <row r="390" spans="1:5" x14ac:dyDescent="0.25">
      <c r="A390" s="9" t="s">
        <v>1207</v>
      </c>
      <c r="B390" s="10" t="s">
        <v>396</v>
      </c>
      <c r="C390" s="9" t="s">
        <v>397</v>
      </c>
      <c r="D390" s="15">
        <v>73.8</v>
      </c>
      <c r="E390" s="13" t="s">
        <v>75</v>
      </c>
    </row>
    <row r="391" spans="1:5" x14ac:dyDescent="0.25">
      <c r="A391" s="9" t="s">
        <v>1207</v>
      </c>
      <c r="B391" s="10" t="s">
        <v>398</v>
      </c>
      <c r="C391" s="9" t="s">
        <v>399</v>
      </c>
      <c r="D391" s="15">
        <v>338.51</v>
      </c>
      <c r="E391" s="13" t="s">
        <v>75</v>
      </c>
    </row>
    <row r="392" spans="1:5" x14ac:dyDescent="0.25">
      <c r="A392" s="9" t="s">
        <v>1207</v>
      </c>
      <c r="B392" s="10" t="s">
        <v>406</v>
      </c>
      <c r="C392" s="9" t="s">
        <v>407</v>
      </c>
      <c r="D392" s="15">
        <v>140.59</v>
      </c>
      <c r="E392" s="13" t="s">
        <v>75</v>
      </c>
    </row>
    <row r="393" spans="1:5" x14ac:dyDescent="0.25">
      <c r="A393" s="9" t="s">
        <v>1207</v>
      </c>
      <c r="B393" s="10" t="s">
        <v>408</v>
      </c>
      <c r="C393" s="9" t="s">
        <v>409</v>
      </c>
      <c r="D393" s="15">
        <v>78.95</v>
      </c>
      <c r="E393" s="13" t="s">
        <v>75</v>
      </c>
    </row>
    <row r="394" spans="1:5" x14ac:dyDescent="0.25">
      <c r="A394" s="9" t="s">
        <v>1207</v>
      </c>
      <c r="B394" s="10" t="s">
        <v>422</v>
      </c>
      <c r="C394" s="9" t="s">
        <v>423</v>
      </c>
      <c r="D394" s="15">
        <v>392.67</v>
      </c>
      <c r="E394" s="13" t="s">
        <v>75</v>
      </c>
    </row>
    <row r="395" spans="1:5" x14ac:dyDescent="0.25">
      <c r="A395" s="9" t="s">
        <v>1207</v>
      </c>
      <c r="B395" s="10" t="s">
        <v>426</v>
      </c>
      <c r="C395" s="9" t="s">
        <v>427</v>
      </c>
      <c r="D395" s="15">
        <v>572.86</v>
      </c>
      <c r="E395" s="13" t="s">
        <v>75</v>
      </c>
    </row>
    <row r="396" spans="1:5" x14ac:dyDescent="0.25">
      <c r="A396" s="9" t="s">
        <v>1207</v>
      </c>
      <c r="B396" s="10" t="s">
        <v>428</v>
      </c>
      <c r="C396" s="9" t="s">
        <v>429</v>
      </c>
      <c r="D396" s="15">
        <v>454.13</v>
      </c>
      <c r="E396" s="13" t="s">
        <v>75</v>
      </c>
    </row>
    <row r="397" spans="1:5" x14ac:dyDescent="0.25">
      <c r="A397" s="9" t="s">
        <v>1207</v>
      </c>
      <c r="B397" s="10" t="s">
        <v>430</v>
      </c>
      <c r="C397" s="9" t="s">
        <v>431</v>
      </c>
      <c r="D397" s="15">
        <v>59.76</v>
      </c>
      <c r="E397" s="13" t="s">
        <v>75</v>
      </c>
    </row>
    <row r="398" spans="1:5" x14ac:dyDescent="0.25">
      <c r="A398" s="9" t="s">
        <v>1207</v>
      </c>
      <c r="B398" s="10" t="s">
        <v>432</v>
      </c>
      <c r="C398" s="9" t="s">
        <v>433</v>
      </c>
      <c r="D398" s="15">
        <v>442.74</v>
      </c>
      <c r="E398" s="13" t="s">
        <v>75</v>
      </c>
    </row>
    <row r="399" spans="1:5" x14ac:dyDescent="0.25">
      <c r="A399" s="9" t="s">
        <v>1207</v>
      </c>
      <c r="B399" s="10" t="s">
        <v>438</v>
      </c>
      <c r="C399" s="9" t="s">
        <v>439</v>
      </c>
      <c r="D399" s="15">
        <v>87.32</v>
      </c>
      <c r="E399" s="13" t="s">
        <v>75</v>
      </c>
    </row>
    <row r="400" spans="1:5" x14ac:dyDescent="0.25">
      <c r="A400" s="9" t="s">
        <v>1207</v>
      </c>
      <c r="B400" s="10" t="s">
        <v>440</v>
      </c>
      <c r="C400" s="9" t="s">
        <v>441</v>
      </c>
      <c r="D400" s="15">
        <v>99.1</v>
      </c>
      <c r="E400" s="13" t="s">
        <v>75</v>
      </c>
    </row>
    <row r="401" spans="1:5" x14ac:dyDescent="0.25">
      <c r="A401" s="9" t="s">
        <v>1207</v>
      </c>
      <c r="B401" s="10" t="s">
        <v>442</v>
      </c>
      <c r="C401" s="9" t="s">
        <v>443</v>
      </c>
      <c r="D401" s="15">
        <v>170.62</v>
      </c>
      <c r="E401" s="13" t="s">
        <v>75</v>
      </c>
    </row>
    <row r="402" spans="1:5" x14ac:dyDescent="0.25">
      <c r="A402" s="9" t="s">
        <v>1207</v>
      </c>
      <c r="B402" s="10" t="s">
        <v>444</v>
      </c>
      <c r="C402" s="9" t="s">
        <v>445</v>
      </c>
      <c r="D402" s="15">
        <v>73.78</v>
      </c>
      <c r="E402" s="13" t="s">
        <v>75</v>
      </c>
    </row>
    <row r="403" spans="1:5" x14ac:dyDescent="0.25">
      <c r="A403" s="9" t="s">
        <v>1207</v>
      </c>
      <c r="B403" s="10" t="s">
        <v>452</v>
      </c>
      <c r="C403" s="9" t="s">
        <v>453</v>
      </c>
      <c r="D403" s="15">
        <v>127.62</v>
      </c>
      <c r="E403" s="13" t="s">
        <v>75</v>
      </c>
    </row>
    <row r="404" spans="1:5" x14ac:dyDescent="0.25">
      <c r="A404" s="9" t="s">
        <v>1207</v>
      </c>
      <c r="B404" s="10" t="s">
        <v>456</v>
      </c>
      <c r="C404" s="9" t="s">
        <v>457</v>
      </c>
      <c r="D404" s="15">
        <v>150.81</v>
      </c>
      <c r="E404" s="13" t="s">
        <v>75</v>
      </c>
    </row>
    <row r="405" spans="1:5" x14ac:dyDescent="0.25">
      <c r="A405" s="9" t="s">
        <v>1207</v>
      </c>
      <c r="B405" s="10" t="s">
        <v>458</v>
      </c>
      <c r="C405" s="9" t="s">
        <v>459</v>
      </c>
      <c r="D405" s="15">
        <v>9.6999999999999993</v>
      </c>
      <c r="E405" s="13" t="s">
        <v>75</v>
      </c>
    </row>
    <row r="406" spans="1:5" x14ac:dyDescent="0.25">
      <c r="A406" s="9" t="s">
        <v>1207</v>
      </c>
      <c r="B406" s="10" t="s">
        <v>460</v>
      </c>
      <c r="C406" s="9" t="s">
        <v>461</v>
      </c>
      <c r="D406" s="15">
        <v>368.52</v>
      </c>
      <c r="E406" s="13" t="s">
        <v>75</v>
      </c>
    </row>
    <row r="407" spans="1:5" x14ac:dyDescent="0.25">
      <c r="A407" s="9" t="s">
        <v>1207</v>
      </c>
      <c r="B407" s="10" t="s">
        <v>464</v>
      </c>
      <c r="C407" s="9" t="s">
        <v>465</v>
      </c>
      <c r="D407" s="15">
        <v>24.84</v>
      </c>
      <c r="E407" s="13" t="s">
        <v>75</v>
      </c>
    </row>
    <row r="408" spans="1:5" x14ac:dyDescent="0.25">
      <c r="A408" s="9" t="s">
        <v>1207</v>
      </c>
      <c r="B408" s="10" t="s">
        <v>468</v>
      </c>
      <c r="C408" s="9" t="s">
        <v>469</v>
      </c>
      <c r="D408" s="15">
        <v>390.89</v>
      </c>
      <c r="E408" s="13" t="s">
        <v>75</v>
      </c>
    </row>
    <row r="409" spans="1:5" x14ac:dyDescent="0.25">
      <c r="A409" s="9" t="s">
        <v>1207</v>
      </c>
      <c r="B409" s="10" t="s">
        <v>474</v>
      </c>
      <c r="C409" s="9" t="s">
        <v>475</v>
      </c>
      <c r="D409" s="15">
        <v>73.8</v>
      </c>
      <c r="E409" s="13" t="s">
        <v>75</v>
      </c>
    </row>
    <row r="410" spans="1:5" x14ac:dyDescent="0.25">
      <c r="A410" s="9" t="s">
        <v>1207</v>
      </c>
      <c r="B410" s="10" t="s">
        <v>476</v>
      </c>
      <c r="C410" s="9" t="s">
        <v>477</v>
      </c>
      <c r="D410" s="15">
        <v>61.5</v>
      </c>
      <c r="E410" s="13" t="s">
        <v>75</v>
      </c>
    </row>
    <row r="411" spans="1:5" x14ac:dyDescent="0.25">
      <c r="A411" s="9" t="s">
        <v>1207</v>
      </c>
      <c r="B411" s="10" t="s">
        <v>478</v>
      </c>
      <c r="C411" s="9" t="s">
        <v>479</v>
      </c>
      <c r="D411" s="15">
        <v>50.15</v>
      </c>
      <c r="E411" s="13" t="s">
        <v>75</v>
      </c>
    </row>
    <row r="412" spans="1:5" x14ac:dyDescent="0.25">
      <c r="A412" s="9" t="s">
        <v>1207</v>
      </c>
      <c r="B412" s="10" t="s">
        <v>482</v>
      </c>
      <c r="C412" s="9" t="s">
        <v>483</v>
      </c>
      <c r="D412" s="15">
        <v>31.15</v>
      </c>
      <c r="E412" s="13" t="s">
        <v>75</v>
      </c>
    </row>
    <row r="413" spans="1:5" x14ac:dyDescent="0.25">
      <c r="A413" s="9" t="s">
        <v>1207</v>
      </c>
      <c r="B413" s="10" t="s">
        <v>488</v>
      </c>
      <c r="C413" s="9" t="s">
        <v>489</v>
      </c>
      <c r="D413" s="15">
        <v>313.13</v>
      </c>
      <c r="E413" s="13" t="s">
        <v>75</v>
      </c>
    </row>
    <row r="414" spans="1:5" x14ac:dyDescent="0.25">
      <c r="A414" s="9" t="s">
        <v>1207</v>
      </c>
      <c r="B414" s="10" t="s">
        <v>494</v>
      </c>
      <c r="C414" s="9" t="s">
        <v>495</v>
      </c>
      <c r="D414" s="15">
        <v>195.13</v>
      </c>
      <c r="E414" s="13" t="s">
        <v>75</v>
      </c>
    </row>
    <row r="415" spans="1:5" x14ac:dyDescent="0.25">
      <c r="A415" s="9" t="s">
        <v>1207</v>
      </c>
      <c r="B415" s="10" t="s">
        <v>496</v>
      </c>
      <c r="C415" s="9" t="s">
        <v>497</v>
      </c>
      <c r="D415" s="15">
        <v>5.4</v>
      </c>
      <c r="E415" s="13" t="s">
        <v>75</v>
      </c>
    </row>
    <row r="416" spans="1:5" x14ac:dyDescent="0.25">
      <c r="A416" s="9" t="s">
        <v>1207</v>
      </c>
      <c r="B416" s="10" t="s">
        <v>502</v>
      </c>
      <c r="C416" s="9" t="s">
        <v>503</v>
      </c>
      <c r="D416" s="15">
        <v>13.52</v>
      </c>
      <c r="E416" s="13" t="s">
        <v>75</v>
      </c>
    </row>
    <row r="417" spans="1:5" x14ac:dyDescent="0.25">
      <c r="A417" s="9" t="s">
        <v>1207</v>
      </c>
      <c r="B417" s="10" t="s">
        <v>508</v>
      </c>
      <c r="C417" s="9" t="s">
        <v>509</v>
      </c>
      <c r="D417" s="15">
        <v>112.48</v>
      </c>
      <c r="E417" s="13" t="s">
        <v>75</v>
      </c>
    </row>
    <row r="418" spans="1:5" x14ac:dyDescent="0.25">
      <c r="A418" s="9" t="s">
        <v>1207</v>
      </c>
      <c r="B418" s="10" t="s">
        <v>510</v>
      </c>
      <c r="C418" s="9" t="s">
        <v>511</v>
      </c>
      <c r="D418" s="15">
        <v>13.52</v>
      </c>
      <c r="E418" s="13" t="s">
        <v>75</v>
      </c>
    </row>
    <row r="419" spans="1:5" x14ac:dyDescent="0.25">
      <c r="A419" s="9" t="s">
        <v>1207</v>
      </c>
      <c r="B419" s="10" t="s">
        <v>514</v>
      </c>
      <c r="C419" s="9" t="s">
        <v>515</v>
      </c>
      <c r="D419" s="15">
        <v>4.55</v>
      </c>
      <c r="E419" s="13" t="s">
        <v>75</v>
      </c>
    </row>
    <row r="420" spans="1:5" x14ac:dyDescent="0.25">
      <c r="A420" s="9" t="s">
        <v>1207</v>
      </c>
      <c r="B420" s="10" t="s">
        <v>516</v>
      </c>
      <c r="C420" s="9" t="s">
        <v>517</v>
      </c>
      <c r="D420" s="15">
        <v>96.84</v>
      </c>
      <c r="E420" s="13" t="s">
        <v>75</v>
      </c>
    </row>
    <row r="421" spans="1:5" x14ac:dyDescent="0.25">
      <c r="A421" s="9" t="s">
        <v>1207</v>
      </c>
      <c r="B421" s="10" t="s">
        <v>518</v>
      </c>
      <c r="C421" s="9" t="s">
        <v>519</v>
      </c>
      <c r="D421" s="15">
        <v>226.49</v>
      </c>
      <c r="E421" s="13" t="s">
        <v>75</v>
      </c>
    </row>
    <row r="422" spans="1:5" x14ac:dyDescent="0.25">
      <c r="A422" s="9" t="s">
        <v>1207</v>
      </c>
      <c r="B422" s="10" t="s">
        <v>566</v>
      </c>
      <c r="C422" s="9" t="s">
        <v>567</v>
      </c>
      <c r="D422" s="15">
        <v>24.6</v>
      </c>
      <c r="E422" s="13" t="s">
        <v>75</v>
      </c>
    </row>
    <row r="423" spans="1:5" x14ac:dyDescent="0.25">
      <c r="A423" s="9" t="s">
        <v>1207</v>
      </c>
      <c r="B423" s="10" t="s">
        <v>570</v>
      </c>
      <c r="C423" s="9" t="s">
        <v>571</v>
      </c>
      <c r="D423" s="15">
        <v>35.700000000000003</v>
      </c>
      <c r="E423" s="13" t="s">
        <v>75</v>
      </c>
    </row>
    <row r="424" spans="1:5" x14ac:dyDescent="0.25">
      <c r="A424" s="9" t="s">
        <v>1207</v>
      </c>
      <c r="B424" s="10" t="s">
        <v>582</v>
      </c>
      <c r="C424" s="9" t="s">
        <v>583</v>
      </c>
      <c r="D424" s="15">
        <v>172.2</v>
      </c>
      <c r="E424" s="13" t="s">
        <v>75</v>
      </c>
    </row>
    <row r="425" spans="1:5" x14ac:dyDescent="0.25">
      <c r="A425" s="9" t="s">
        <v>1207</v>
      </c>
      <c r="B425" s="10" t="s">
        <v>584</v>
      </c>
      <c r="C425" s="9" t="s">
        <v>585</v>
      </c>
      <c r="D425" s="15">
        <v>73.8</v>
      </c>
      <c r="E425" s="13" t="s">
        <v>75</v>
      </c>
    </row>
    <row r="426" spans="1:5" x14ac:dyDescent="0.25">
      <c r="A426" s="9" t="s">
        <v>1207</v>
      </c>
      <c r="B426" s="10" t="s">
        <v>586</v>
      </c>
      <c r="C426" s="9" t="s">
        <v>587</v>
      </c>
      <c r="D426" s="15">
        <v>221.86</v>
      </c>
      <c r="E426" s="13" t="s">
        <v>75</v>
      </c>
    </row>
    <row r="427" spans="1:5" x14ac:dyDescent="0.25">
      <c r="A427" s="9" t="s">
        <v>1207</v>
      </c>
      <c r="B427" s="10" t="s">
        <v>588</v>
      </c>
      <c r="C427" s="9" t="s">
        <v>589</v>
      </c>
      <c r="D427" s="15">
        <v>368.85</v>
      </c>
      <c r="E427" s="13" t="s">
        <v>75</v>
      </c>
    </row>
    <row r="428" spans="1:5" x14ac:dyDescent="0.25">
      <c r="A428" s="9" t="s">
        <v>1207</v>
      </c>
      <c r="B428" s="10" t="s">
        <v>590</v>
      </c>
      <c r="C428" s="9" t="s">
        <v>591</v>
      </c>
      <c r="D428" s="15">
        <v>59.06</v>
      </c>
      <c r="E428" s="13" t="s">
        <v>75</v>
      </c>
    </row>
    <row r="429" spans="1:5" x14ac:dyDescent="0.25">
      <c r="A429" s="9" t="s">
        <v>1207</v>
      </c>
      <c r="B429" s="10" t="s">
        <v>592</v>
      </c>
      <c r="C429" s="9" t="s">
        <v>593</v>
      </c>
      <c r="D429" s="15">
        <v>330.29</v>
      </c>
      <c r="E429" s="13" t="s">
        <v>75</v>
      </c>
    </row>
    <row r="430" spans="1:5" x14ac:dyDescent="0.25">
      <c r="A430" s="9" t="s">
        <v>1207</v>
      </c>
      <c r="B430" s="10" t="s">
        <v>602</v>
      </c>
      <c r="C430" s="9" t="s">
        <v>603</v>
      </c>
      <c r="D430" s="15">
        <v>418.47</v>
      </c>
      <c r="E430" s="13" t="s">
        <v>75</v>
      </c>
    </row>
    <row r="431" spans="1:5" x14ac:dyDescent="0.25">
      <c r="A431" s="9" t="s">
        <v>1207</v>
      </c>
      <c r="B431" s="10" t="s">
        <v>604</v>
      </c>
      <c r="C431" s="9" t="s">
        <v>605</v>
      </c>
      <c r="D431" s="15">
        <v>221.34</v>
      </c>
      <c r="E431" s="13" t="s">
        <v>75</v>
      </c>
    </row>
    <row r="432" spans="1:5" x14ac:dyDescent="0.25">
      <c r="A432" s="9" t="s">
        <v>1207</v>
      </c>
      <c r="B432" s="10" t="s">
        <v>606</v>
      </c>
      <c r="C432" s="9" t="s">
        <v>607</v>
      </c>
      <c r="D432" s="15">
        <v>221.34</v>
      </c>
      <c r="E432" s="13" t="s">
        <v>75</v>
      </c>
    </row>
    <row r="433" spans="1:5" x14ac:dyDescent="0.25">
      <c r="A433" s="9" t="s">
        <v>1207</v>
      </c>
      <c r="B433" s="10" t="s">
        <v>610</v>
      </c>
      <c r="C433" s="9" t="s">
        <v>611</v>
      </c>
      <c r="D433" s="15">
        <v>103.32</v>
      </c>
      <c r="E433" s="13" t="s">
        <v>75</v>
      </c>
    </row>
    <row r="434" spans="1:5" x14ac:dyDescent="0.25">
      <c r="A434" s="9" t="s">
        <v>1207</v>
      </c>
      <c r="B434" s="10" t="s">
        <v>612</v>
      </c>
      <c r="C434" s="9" t="s">
        <v>613</v>
      </c>
      <c r="D434" s="15">
        <v>459.85</v>
      </c>
      <c r="E434" s="13" t="s">
        <v>75</v>
      </c>
    </row>
    <row r="435" spans="1:5" x14ac:dyDescent="0.25">
      <c r="A435" s="9" t="s">
        <v>1207</v>
      </c>
      <c r="B435" s="10" t="s">
        <v>616</v>
      </c>
      <c r="C435" s="9" t="s">
        <v>617</v>
      </c>
      <c r="D435" s="15">
        <v>380.34</v>
      </c>
      <c r="E435" s="13" t="s">
        <v>75</v>
      </c>
    </row>
    <row r="436" spans="1:5" x14ac:dyDescent="0.25">
      <c r="A436" s="9" t="s">
        <v>1207</v>
      </c>
      <c r="B436" s="10" t="s">
        <v>618</v>
      </c>
      <c r="C436" s="9" t="s">
        <v>619</v>
      </c>
      <c r="D436" s="15">
        <v>247.54</v>
      </c>
      <c r="E436" s="13" t="s">
        <v>75</v>
      </c>
    </row>
    <row r="437" spans="1:5" x14ac:dyDescent="0.25">
      <c r="A437" s="9" t="s">
        <v>1207</v>
      </c>
      <c r="B437" s="10" t="s">
        <v>622</v>
      </c>
      <c r="C437" s="9" t="s">
        <v>623</v>
      </c>
      <c r="D437" s="15">
        <v>674.03</v>
      </c>
      <c r="E437" s="13" t="s">
        <v>75</v>
      </c>
    </row>
    <row r="438" spans="1:5" x14ac:dyDescent="0.25">
      <c r="A438" s="9" t="s">
        <v>1207</v>
      </c>
      <c r="B438" s="10" t="s">
        <v>624</v>
      </c>
      <c r="C438" s="9" t="s">
        <v>625</v>
      </c>
      <c r="D438" s="15">
        <v>110.67</v>
      </c>
      <c r="E438" s="13" t="s">
        <v>75</v>
      </c>
    </row>
    <row r="439" spans="1:5" x14ac:dyDescent="0.25">
      <c r="A439" s="9" t="s">
        <v>1207</v>
      </c>
      <c r="B439" s="10" t="s">
        <v>626</v>
      </c>
      <c r="C439" s="9" t="s">
        <v>627</v>
      </c>
      <c r="D439" s="15">
        <v>273.24</v>
      </c>
      <c r="E439" s="13" t="s">
        <v>75</v>
      </c>
    </row>
    <row r="440" spans="1:5" x14ac:dyDescent="0.25">
      <c r="A440" s="9" t="s">
        <v>1207</v>
      </c>
      <c r="B440" s="10" t="s">
        <v>630</v>
      </c>
      <c r="C440" s="9" t="s">
        <v>631</v>
      </c>
      <c r="D440" s="15">
        <v>103.32</v>
      </c>
      <c r="E440" s="13" t="s">
        <v>75</v>
      </c>
    </row>
    <row r="441" spans="1:5" x14ac:dyDescent="0.25">
      <c r="A441" s="9" t="s">
        <v>1207</v>
      </c>
      <c r="B441" s="10" t="s">
        <v>632</v>
      </c>
      <c r="C441" s="9" t="s">
        <v>633</v>
      </c>
      <c r="D441" s="15">
        <v>86.68</v>
      </c>
      <c r="E441" s="13" t="s">
        <v>75</v>
      </c>
    </row>
    <row r="442" spans="1:5" x14ac:dyDescent="0.25">
      <c r="A442" s="9" t="s">
        <v>1207</v>
      </c>
      <c r="B442" s="10" t="s">
        <v>634</v>
      </c>
      <c r="C442" s="9" t="s">
        <v>635</v>
      </c>
      <c r="D442" s="15">
        <v>586.39</v>
      </c>
      <c r="E442" s="13" t="s">
        <v>75</v>
      </c>
    </row>
    <row r="443" spans="1:5" x14ac:dyDescent="0.25">
      <c r="A443" s="9" t="s">
        <v>1207</v>
      </c>
      <c r="B443" s="10" t="s">
        <v>638</v>
      </c>
      <c r="C443" s="9" t="s">
        <v>639</v>
      </c>
      <c r="D443" s="15">
        <v>143.07</v>
      </c>
      <c r="E443" s="13" t="s">
        <v>75</v>
      </c>
    </row>
    <row r="444" spans="1:5" x14ac:dyDescent="0.25">
      <c r="A444" s="9" t="s">
        <v>1207</v>
      </c>
      <c r="B444" s="10" t="s">
        <v>640</v>
      </c>
      <c r="C444" s="9" t="s">
        <v>641</v>
      </c>
      <c r="D444" s="15">
        <v>920.18</v>
      </c>
      <c r="E444" s="13" t="s">
        <v>75</v>
      </c>
    </row>
    <row r="445" spans="1:5" x14ac:dyDescent="0.25">
      <c r="A445" s="9" t="s">
        <v>1207</v>
      </c>
      <c r="B445" s="10" t="s">
        <v>642</v>
      </c>
      <c r="C445" s="9" t="s">
        <v>643</v>
      </c>
      <c r="D445" s="15">
        <v>110.89</v>
      </c>
      <c r="E445" s="13" t="s">
        <v>75</v>
      </c>
    </row>
    <row r="446" spans="1:5" x14ac:dyDescent="0.25">
      <c r="A446" s="9" t="s">
        <v>1207</v>
      </c>
      <c r="B446" s="10" t="s">
        <v>644</v>
      </c>
      <c r="C446" s="9" t="s">
        <v>645</v>
      </c>
      <c r="D446" s="15">
        <v>477.9</v>
      </c>
      <c r="E446" s="13" t="s">
        <v>75</v>
      </c>
    </row>
    <row r="447" spans="1:5" x14ac:dyDescent="0.25">
      <c r="A447" s="9" t="s">
        <v>1207</v>
      </c>
      <c r="B447" s="10" t="s">
        <v>646</v>
      </c>
      <c r="C447" s="9" t="s">
        <v>647</v>
      </c>
      <c r="D447" s="15">
        <v>279.62</v>
      </c>
      <c r="E447" s="13" t="s">
        <v>75</v>
      </c>
    </row>
    <row r="448" spans="1:5" x14ac:dyDescent="0.25">
      <c r="A448" s="9" t="s">
        <v>1207</v>
      </c>
      <c r="B448" s="10" t="s">
        <v>648</v>
      </c>
      <c r="C448" s="9" t="s">
        <v>649</v>
      </c>
      <c r="D448" s="15">
        <v>1055.7</v>
      </c>
      <c r="E448" s="13" t="s">
        <v>75</v>
      </c>
    </row>
    <row r="449" spans="1:5" x14ac:dyDescent="0.25">
      <c r="A449" s="9" t="s">
        <v>1207</v>
      </c>
      <c r="B449" s="10" t="s">
        <v>652</v>
      </c>
      <c r="C449" s="9" t="s">
        <v>653</v>
      </c>
      <c r="D449" s="15">
        <v>442.74</v>
      </c>
      <c r="E449" s="13" t="s">
        <v>75</v>
      </c>
    </row>
    <row r="450" spans="1:5" x14ac:dyDescent="0.25">
      <c r="A450" s="9" t="s">
        <v>1207</v>
      </c>
      <c r="B450" s="10" t="s">
        <v>660</v>
      </c>
      <c r="C450" s="9" t="s">
        <v>661</v>
      </c>
      <c r="D450" s="15">
        <v>1084.75</v>
      </c>
      <c r="E450" s="13" t="s">
        <v>75</v>
      </c>
    </row>
    <row r="451" spans="1:5" x14ac:dyDescent="0.25">
      <c r="A451" s="9" t="s">
        <v>1207</v>
      </c>
      <c r="B451" s="10" t="s">
        <v>664</v>
      </c>
      <c r="C451" s="9" t="s">
        <v>665</v>
      </c>
      <c r="D451" s="15">
        <v>368.95</v>
      </c>
      <c r="E451" s="13" t="s">
        <v>75</v>
      </c>
    </row>
    <row r="452" spans="1:5" x14ac:dyDescent="0.25">
      <c r="A452" s="9" t="s">
        <v>1207</v>
      </c>
      <c r="B452" s="10" t="s">
        <v>666</v>
      </c>
      <c r="C452" s="9" t="s">
        <v>667</v>
      </c>
      <c r="D452" s="15">
        <v>73.8</v>
      </c>
      <c r="E452" s="13" t="s">
        <v>75</v>
      </c>
    </row>
    <row r="453" spans="1:5" x14ac:dyDescent="0.25">
      <c r="A453" s="9" t="s">
        <v>1207</v>
      </c>
      <c r="B453" s="10" t="s">
        <v>668</v>
      </c>
      <c r="C453" s="9" t="s">
        <v>669</v>
      </c>
      <c r="D453" s="15">
        <v>442.74</v>
      </c>
      <c r="E453" s="13" t="s">
        <v>75</v>
      </c>
    </row>
    <row r="454" spans="1:5" x14ac:dyDescent="0.25">
      <c r="A454" s="9" t="s">
        <v>1207</v>
      </c>
      <c r="B454" s="10" t="s">
        <v>670</v>
      </c>
      <c r="C454" s="9" t="s">
        <v>671</v>
      </c>
      <c r="D454" s="15">
        <v>688.28</v>
      </c>
      <c r="E454" s="13" t="s">
        <v>75</v>
      </c>
    </row>
    <row r="455" spans="1:5" x14ac:dyDescent="0.25">
      <c r="A455" s="9" t="s">
        <v>1207</v>
      </c>
      <c r="B455" s="10" t="s">
        <v>674</v>
      </c>
      <c r="C455" s="9" t="s">
        <v>675</v>
      </c>
      <c r="D455" s="15">
        <v>915.1</v>
      </c>
      <c r="E455" s="13" t="s">
        <v>75</v>
      </c>
    </row>
    <row r="456" spans="1:5" x14ac:dyDescent="0.25">
      <c r="A456" s="9" t="s">
        <v>1207</v>
      </c>
      <c r="B456" s="10" t="s">
        <v>676</v>
      </c>
      <c r="C456" s="9" t="s">
        <v>677</v>
      </c>
      <c r="D456" s="15">
        <v>504.34</v>
      </c>
      <c r="E456" s="13" t="s">
        <v>75</v>
      </c>
    </row>
    <row r="457" spans="1:5" x14ac:dyDescent="0.25">
      <c r="A457" s="9" t="s">
        <v>1207</v>
      </c>
      <c r="B457" s="10" t="s">
        <v>680</v>
      </c>
      <c r="C457" s="9" t="s">
        <v>681</v>
      </c>
      <c r="D457" s="15">
        <v>227.7</v>
      </c>
      <c r="E457" s="13" t="s">
        <v>75</v>
      </c>
    </row>
    <row r="458" spans="1:5" x14ac:dyDescent="0.25">
      <c r="A458" s="9" t="s">
        <v>1207</v>
      </c>
      <c r="B458" s="10" t="s">
        <v>682</v>
      </c>
      <c r="C458" s="9" t="s">
        <v>683</v>
      </c>
      <c r="D458" s="15">
        <v>368.95</v>
      </c>
      <c r="E458" s="13" t="s">
        <v>75</v>
      </c>
    </row>
    <row r="459" spans="1:5" x14ac:dyDescent="0.25">
      <c r="A459" s="9" t="s">
        <v>1207</v>
      </c>
      <c r="B459" s="10" t="s">
        <v>684</v>
      </c>
      <c r="C459" s="9" t="s">
        <v>685</v>
      </c>
      <c r="D459" s="15">
        <v>234.86</v>
      </c>
      <c r="E459" s="13" t="s">
        <v>75</v>
      </c>
    </row>
    <row r="460" spans="1:5" x14ac:dyDescent="0.25">
      <c r="A460" s="9" t="s">
        <v>1207</v>
      </c>
      <c r="B460" s="10" t="s">
        <v>686</v>
      </c>
      <c r="C460" s="9" t="s">
        <v>687</v>
      </c>
      <c r="D460" s="15">
        <v>276.81</v>
      </c>
      <c r="E460" s="13" t="s">
        <v>75</v>
      </c>
    </row>
    <row r="461" spans="1:5" x14ac:dyDescent="0.25">
      <c r="A461" s="9" t="s">
        <v>1207</v>
      </c>
      <c r="B461" s="10" t="s">
        <v>688</v>
      </c>
      <c r="C461" s="9" t="s">
        <v>689</v>
      </c>
      <c r="D461" s="15">
        <v>273.54000000000002</v>
      </c>
      <c r="E461" s="13" t="s">
        <v>75</v>
      </c>
    </row>
    <row r="462" spans="1:5" x14ac:dyDescent="0.25">
      <c r="A462" s="9" t="s">
        <v>1207</v>
      </c>
      <c r="B462" s="10" t="s">
        <v>690</v>
      </c>
      <c r="C462" s="9" t="s">
        <v>691</v>
      </c>
      <c r="D462" s="15">
        <v>623.94000000000005</v>
      </c>
      <c r="E462" s="13" t="s">
        <v>75</v>
      </c>
    </row>
    <row r="463" spans="1:5" x14ac:dyDescent="0.25">
      <c r="A463" s="9" t="s">
        <v>1207</v>
      </c>
      <c r="B463" s="10" t="s">
        <v>696</v>
      </c>
      <c r="C463" s="9" t="s">
        <v>697</v>
      </c>
      <c r="D463" s="15">
        <v>692.24</v>
      </c>
      <c r="E463" s="13" t="s">
        <v>75</v>
      </c>
    </row>
    <row r="464" spans="1:5" x14ac:dyDescent="0.25">
      <c r="A464" s="9" t="s">
        <v>1207</v>
      </c>
      <c r="B464" s="10" t="s">
        <v>698</v>
      </c>
      <c r="C464" s="9" t="s">
        <v>699</v>
      </c>
      <c r="D464" s="15">
        <v>73.8</v>
      </c>
      <c r="E464" s="13" t="s">
        <v>75</v>
      </c>
    </row>
    <row r="465" spans="1:5" x14ac:dyDescent="0.25">
      <c r="A465" s="9" t="s">
        <v>1207</v>
      </c>
      <c r="B465" s="10" t="s">
        <v>702</v>
      </c>
      <c r="C465" s="9" t="s">
        <v>703</v>
      </c>
      <c r="D465" s="15">
        <v>631.30999999999995</v>
      </c>
      <c r="E465" s="13" t="s">
        <v>75</v>
      </c>
    </row>
    <row r="466" spans="1:5" x14ac:dyDescent="0.25">
      <c r="A466" s="9" t="s">
        <v>1207</v>
      </c>
      <c r="B466" s="10" t="s">
        <v>704</v>
      </c>
      <c r="C466" s="9" t="s">
        <v>705</v>
      </c>
      <c r="D466" s="15">
        <v>586.14</v>
      </c>
      <c r="E466" s="13" t="s">
        <v>75</v>
      </c>
    </row>
    <row r="467" spans="1:5" x14ac:dyDescent="0.25">
      <c r="A467" s="9" t="s">
        <v>1207</v>
      </c>
      <c r="B467" s="10" t="s">
        <v>706</v>
      </c>
      <c r="C467" s="9" t="s">
        <v>707</v>
      </c>
      <c r="D467" s="15">
        <v>304.12</v>
      </c>
      <c r="E467" s="13" t="s">
        <v>75</v>
      </c>
    </row>
    <row r="468" spans="1:5" x14ac:dyDescent="0.25">
      <c r="A468" s="9" t="s">
        <v>1207</v>
      </c>
      <c r="B468" s="10" t="s">
        <v>708</v>
      </c>
      <c r="C468" s="9" t="s">
        <v>709</v>
      </c>
      <c r="D468" s="15">
        <v>221.34</v>
      </c>
      <c r="E468" s="13" t="s">
        <v>75</v>
      </c>
    </row>
    <row r="469" spans="1:5" x14ac:dyDescent="0.25">
      <c r="A469" s="9" t="s">
        <v>1207</v>
      </c>
      <c r="B469" s="10" t="s">
        <v>710</v>
      </c>
      <c r="C469" s="9" t="s">
        <v>711</v>
      </c>
      <c r="D469" s="15">
        <v>152.38</v>
      </c>
      <c r="E469" s="13" t="s">
        <v>75</v>
      </c>
    </row>
    <row r="470" spans="1:5" x14ac:dyDescent="0.25">
      <c r="A470" s="9" t="s">
        <v>1207</v>
      </c>
      <c r="B470" s="10" t="s">
        <v>712</v>
      </c>
      <c r="C470" s="9" t="s">
        <v>713</v>
      </c>
      <c r="D470" s="15">
        <v>103.32</v>
      </c>
      <c r="E470" s="13" t="s">
        <v>75</v>
      </c>
    </row>
    <row r="471" spans="1:5" x14ac:dyDescent="0.25">
      <c r="A471" s="9" t="s">
        <v>1207</v>
      </c>
      <c r="B471" s="10" t="s">
        <v>714</v>
      </c>
      <c r="C471" s="9" t="s">
        <v>715</v>
      </c>
      <c r="D471" s="15">
        <v>282.55</v>
      </c>
      <c r="E471" s="13" t="s">
        <v>75</v>
      </c>
    </row>
    <row r="472" spans="1:5" x14ac:dyDescent="0.25">
      <c r="A472" s="9" t="s">
        <v>1207</v>
      </c>
      <c r="B472" s="10" t="s">
        <v>720</v>
      </c>
      <c r="C472" s="9" t="s">
        <v>721</v>
      </c>
      <c r="D472" s="15">
        <v>45.64</v>
      </c>
      <c r="E472" s="13" t="s">
        <v>75</v>
      </c>
    </row>
    <row r="473" spans="1:5" x14ac:dyDescent="0.25">
      <c r="A473" s="9" t="s">
        <v>1207</v>
      </c>
      <c r="B473" s="10" t="s">
        <v>722</v>
      </c>
      <c r="C473" s="9" t="s">
        <v>723</v>
      </c>
      <c r="D473" s="15">
        <v>737.88</v>
      </c>
      <c r="E473" s="13" t="s">
        <v>75</v>
      </c>
    </row>
    <row r="474" spans="1:5" x14ac:dyDescent="0.25">
      <c r="A474" s="9" t="s">
        <v>1207</v>
      </c>
      <c r="B474" s="10" t="s">
        <v>724</v>
      </c>
      <c r="C474" s="9" t="s">
        <v>725</v>
      </c>
      <c r="D474" s="15">
        <v>333.88</v>
      </c>
      <c r="E474" s="13" t="s">
        <v>75</v>
      </c>
    </row>
    <row r="475" spans="1:5" x14ac:dyDescent="0.25">
      <c r="A475" s="9" t="s">
        <v>1207</v>
      </c>
      <c r="B475" s="10" t="s">
        <v>728</v>
      </c>
      <c r="C475" s="9" t="s">
        <v>729</v>
      </c>
      <c r="D475" s="15">
        <v>442.74</v>
      </c>
      <c r="E475" s="13" t="s">
        <v>75</v>
      </c>
    </row>
    <row r="476" spans="1:5" x14ac:dyDescent="0.25">
      <c r="A476" s="9" t="s">
        <v>1207</v>
      </c>
      <c r="B476" s="10" t="s">
        <v>730</v>
      </c>
      <c r="C476" s="9" t="s">
        <v>731</v>
      </c>
      <c r="D476" s="15">
        <v>77.790000000000006</v>
      </c>
      <c r="E476" s="13" t="s">
        <v>75</v>
      </c>
    </row>
    <row r="477" spans="1:5" x14ac:dyDescent="0.25">
      <c r="A477" s="9" t="s">
        <v>1207</v>
      </c>
      <c r="B477" s="10" t="s">
        <v>736</v>
      </c>
      <c r="C477" s="9" t="s">
        <v>737</v>
      </c>
      <c r="D477" s="15">
        <v>267.83999999999997</v>
      </c>
      <c r="E477" s="13" t="s">
        <v>75</v>
      </c>
    </row>
    <row r="478" spans="1:5" x14ac:dyDescent="0.25">
      <c r="A478" s="9" t="s">
        <v>1207</v>
      </c>
      <c r="B478" s="10" t="s">
        <v>738</v>
      </c>
      <c r="C478" s="9" t="s">
        <v>739</v>
      </c>
      <c r="D478" s="15">
        <v>150.72</v>
      </c>
      <c r="E478" s="13" t="s">
        <v>75</v>
      </c>
    </row>
    <row r="479" spans="1:5" x14ac:dyDescent="0.25">
      <c r="A479" s="9" t="s">
        <v>1207</v>
      </c>
      <c r="B479" s="10" t="s">
        <v>742</v>
      </c>
      <c r="C479" s="9" t="s">
        <v>743</v>
      </c>
      <c r="D479" s="15">
        <v>341.14</v>
      </c>
      <c r="E479" s="13" t="s">
        <v>75</v>
      </c>
    </row>
    <row r="480" spans="1:5" x14ac:dyDescent="0.25">
      <c r="A480" s="9" t="s">
        <v>1207</v>
      </c>
      <c r="B480" s="10" t="s">
        <v>744</v>
      </c>
      <c r="C480" s="9" t="s">
        <v>745</v>
      </c>
      <c r="D480" s="15">
        <v>97.6</v>
      </c>
      <c r="E480" s="13" t="s">
        <v>75</v>
      </c>
    </row>
    <row r="481" spans="1:5" x14ac:dyDescent="0.25">
      <c r="A481" s="9" t="s">
        <v>1207</v>
      </c>
      <c r="B481" s="10" t="s">
        <v>746</v>
      </c>
      <c r="C481" s="9" t="s">
        <v>747</v>
      </c>
      <c r="D481" s="15">
        <v>663.7</v>
      </c>
      <c r="E481" s="13" t="s">
        <v>75</v>
      </c>
    </row>
    <row r="482" spans="1:5" x14ac:dyDescent="0.25">
      <c r="A482" s="9" t="s">
        <v>1207</v>
      </c>
      <c r="B482" s="10" t="s">
        <v>748</v>
      </c>
      <c r="C482" s="9" t="s">
        <v>749</v>
      </c>
      <c r="D482" s="15">
        <v>915.5</v>
      </c>
      <c r="E482" s="13" t="s">
        <v>75</v>
      </c>
    </row>
    <row r="483" spans="1:5" x14ac:dyDescent="0.25">
      <c r="A483" s="9" t="s">
        <v>1207</v>
      </c>
      <c r="B483" s="10" t="s">
        <v>750</v>
      </c>
      <c r="C483" s="9" t="s">
        <v>751</v>
      </c>
      <c r="D483" s="15">
        <v>418.03</v>
      </c>
      <c r="E483" s="13" t="s">
        <v>75</v>
      </c>
    </row>
    <row r="484" spans="1:5" x14ac:dyDescent="0.25">
      <c r="A484" s="9" t="s">
        <v>1207</v>
      </c>
      <c r="B484" s="10" t="s">
        <v>754</v>
      </c>
      <c r="C484" s="9" t="s">
        <v>755</v>
      </c>
      <c r="D484" s="15">
        <v>250.98</v>
      </c>
      <c r="E484" s="13" t="s">
        <v>75</v>
      </c>
    </row>
    <row r="485" spans="1:5" x14ac:dyDescent="0.25">
      <c r="A485" s="9" t="s">
        <v>1207</v>
      </c>
      <c r="B485" s="10" t="s">
        <v>756</v>
      </c>
      <c r="C485" s="9" t="s">
        <v>757</v>
      </c>
      <c r="D485" s="15">
        <v>184.45</v>
      </c>
      <c r="E485" s="13" t="s">
        <v>75</v>
      </c>
    </row>
    <row r="486" spans="1:5" x14ac:dyDescent="0.25">
      <c r="A486" s="9" t="s">
        <v>1207</v>
      </c>
      <c r="B486" s="10" t="s">
        <v>758</v>
      </c>
      <c r="C486" s="9" t="s">
        <v>759</v>
      </c>
      <c r="D486" s="15">
        <v>221.34</v>
      </c>
      <c r="E486" s="13" t="s">
        <v>75</v>
      </c>
    </row>
    <row r="487" spans="1:5" x14ac:dyDescent="0.25">
      <c r="A487" s="9" t="s">
        <v>1207</v>
      </c>
      <c r="B487" s="10" t="s">
        <v>760</v>
      </c>
      <c r="C487" s="9" t="s">
        <v>761</v>
      </c>
      <c r="D487" s="15">
        <v>4.78</v>
      </c>
      <c r="E487" s="13" t="s">
        <v>75</v>
      </c>
    </row>
    <row r="488" spans="1:5" x14ac:dyDescent="0.25">
      <c r="A488" s="9" t="s">
        <v>1207</v>
      </c>
      <c r="B488" s="10" t="s">
        <v>762</v>
      </c>
      <c r="C488" s="9" t="s">
        <v>763</v>
      </c>
      <c r="D488" s="15">
        <v>221.34</v>
      </c>
      <c r="E488" s="13" t="s">
        <v>75</v>
      </c>
    </row>
    <row r="489" spans="1:5" x14ac:dyDescent="0.25">
      <c r="A489" s="9" t="s">
        <v>1207</v>
      </c>
      <c r="B489" s="10" t="s">
        <v>768</v>
      </c>
      <c r="C489" s="9" t="s">
        <v>769</v>
      </c>
      <c r="D489" s="15">
        <v>221.34</v>
      </c>
      <c r="E489" s="13" t="s">
        <v>75</v>
      </c>
    </row>
    <row r="490" spans="1:5" x14ac:dyDescent="0.25">
      <c r="A490" s="9" t="s">
        <v>1207</v>
      </c>
      <c r="B490" s="10" t="s">
        <v>770</v>
      </c>
      <c r="C490" s="9" t="s">
        <v>771</v>
      </c>
      <c r="D490" s="15">
        <v>454.7</v>
      </c>
      <c r="E490" s="13" t="s">
        <v>75</v>
      </c>
    </row>
    <row r="491" spans="1:5" x14ac:dyDescent="0.25">
      <c r="A491" s="9" t="s">
        <v>1207</v>
      </c>
      <c r="B491" s="10" t="s">
        <v>772</v>
      </c>
      <c r="C491" s="9" t="s">
        <v>773</v>
      </c>
      <c r="D491" s="15">
        <v>309.95999999999998</v>
      </c>
      <c r="E491" s="13" t="s">
        <v>75</v>
      </c>
    </row>
    <row r="492" spans="1:5" x14ac:dyDescent="0.25">
      <c r="A492" s="9" t="s">
        <v>1207</v>
      </c>
      <c r="B492" s="10" t="s">
        <v>774</v>
      </c>
      <c r="C492" s="9" t="s">
        <v>775</v>
      </c>
      <c r="D492" s="15">
        <v>674</v>
      </c>
      <c r="E492" s="13" t="s">
        <v>75</v>
      </c>
    </row>
    <row r="493" spans="1:5" x14ac:dyDescent="0.25">
      <c r="A493" s="9" t="s">
        <v>1207</v>
      </c>
      <c r="B493" s="10" t="s">
        <v>776</v>
      </c>
      <c r="C493" s="9" t="s">
        <v>777</v>
      </c>
      <c r="D493" s="15">
        <v>20.5</v>
      </c>
      <c r="E493" s="13" t="s">
        <v>75</v>
      </c>
    </row>
    <row r="494" spans="1:5" x14ac:dyDescent="0.25">
      <c r="A494" s="9" t="s">
        <v>1207</v>
      </c>
      <c r="B494" s="10" t="s">
        <v>778</v>
      </c>
      <c r="C494" s="9" t="s">
        <v>779</v>
      </c>
      <c r="D494" s="15">
        <v>19.39</v>
      </c>
      <c r="E494" s="13" t="s">
        <v>75</v>
      </c>
    </row>
    <row r="495" spans="1:5" x14ac:dyDescent="0.25">
      <c r="A495" s="9" t="s">
        <v>1207</v>
      </c>
      <c r="B495" s="10" t="s">
        <v>780</v>
      </c>
      <c r="C495" s="9" t="s">
        <v>781</v>
      </c>
      <c r="D495" s="15">
        <v>545.78</v>
      </c>
      <c r="E495" s="13" t="s">
        <v>75</v>
      </c>
    </row>
    <row r="496" spans="1:5" x14ac:dyDescent="0.25">
      <c r="A496" s="9" t="s">
        <v>1207</v>
      </c>
      <c r="B496" s="10" t="s">
        <v>782</v>
      </c>
      <c r="C496" s="9" t="s">
        <v>783</v>
      </c>
      <c r="D496" s="15">
        <v>466.66</v>
      </c>
      <c r="E496" s="13" t="s">
        <v>75</v>
      </c>
    </row>
    <row r="497" spans="1:5" x14ac:dyDescent="0.25">
      <c r="A497" s="9" t="s">
        <v>1207</v>
      </c>
      <c r="B497" s="10" t="s">
        <v>790</v>
      </c>
      <c r="C497" s="9" t="s">
        <v>791</v>
      </c>
      <c r="D497" s="15">
        <v>379.92</v>
      </c>
      <c r="E497" s="13" t="s">
        <v>75</v>
      </c>
    </row>
    <row r="498" spans="1:5" x14ac:dyDescent="0.25">
      <c r="A498" s="9" t="s">
        <v>1207</v>
      </c>
      <c r="B498" s="10" t="s">
        <v>794</v>
      </c>
      <c r="C498" s="9" t="s">
        <v>795</v>
      </c>
      <c r="D498" s="15">
        <v>313.26</v>
      </c>
      <c r="E498" s="13" t="s">
        <v>75</v>
      </c>
    </row>
    <row r="499" spans="1:5" x14ac:dyDescent="0.25">
      <c r="A499" s="9" t="s">
        <v>1207</v>
      </c>
      <c r="B499" s="10" t="s">
        <v>796</v>
      </c>
      <c r="C499" s="9" t="s">
        <v>797</v>
      </c>
      <c r="D499" s="15">
        <v>51.66</v>
      </c>
      <c r="E499" s="13" t="s">
        <v>75</v>
      </c>
    </row>
    <row r="500" spans="1:5" x14ac:dyDescent="0.25">
      <c r="A500" s="9" t="s">
        <v>1207</v>
      </c>
      <c r="B500" s="10" t="s">
        <v>798</v>
      </c>
      <c r="C500" s="9" t="s">
        <v>799</v>
      </c>
      <c r="D500" s="15">
        <v>309.95999999999998</v>
      </c>
      <c r="E500" s="13" t="s">
        <v>75</v>
      </c>
    </row>
    <row r="501" spans="1:5" x14ac:dyDescent="0.25">
      <c r="A501" s="9" t="s">
        <v>1207</v>
      </c>
      <c r="B501" s="10" t="s">
        <v>800</v>
      </c>
      <c r="C501" s="9" t="s">
        <v>801</v>
      </c>
      <c r="D501" s="15">
        <v>262.81</v>
      </c>
      <c r="E501" s="13" t="s">
        <v>75</v>
      </c>
    </row>
    <row r="502" spans="1:5" x14ac:dyDescent="0.25">
      <c r="A502" s="9" t="s">
        <v>1207</v>
      </c>
      <c r="B502" s="10" t="s">
        <v>802</v>
      </c>
      <c r="C502" s="9" t="s">
        <v>803</v>
      </c>
      <c r="D502" s="15">
        <v>322.83999999999997</v>
      </c>
      <c r="E502" s="13" t="s">
        <v>75</v>
      </c>
    </row>
    <row r="503" spans="1:5" x14ac:dyDescent="0.25">
      <c r="A503" s="9" t="s">
        <v>1207</v>
      </c>
      <c r="B503" s="10" t="s">
        <v>806</v>
      </c>
      <c r="C503" s="9" t="s">
        <v>807</v>
      </c>
      <c r="D503" s="15">
        <v>271.60000000000002</v>
      </c>
      <c r="E503" s="13" t="s">
        <v>75</v>
      </c>
    </row>
    <row r="504" spans="1:5" x14ac:dyDescent="0.25">
      <c r="A504" s="9" t="s">
        <v>1207</v>
      </c>
      <c r="B504" s="10" t="s">
        <v>808</v>
      </c>
      <c r="C504" s="9" t="s">
        <v>809</v>
      </c>
      <c r="D504" s="15">
        <v>116.2</v>
      </c>
      <c r="E504" s="13" t="s">
        <v>75</v>
      </c>
    </row>
    <row r="505" spans="1:5" x14ac:dyDescent="0.25">
      <c r="A505" s="9" t="s">
        <v>1207</v>
      </c>
      <c r="B505" s="10" t="s">
        <v>810</v>
      </c>
      <c r="C505" s="9" t="s">
        <v>811</v>
      </c>
      <c r="D505" s="15">
        <v>124.54</v>
      </c>
      <c r="E505" s="13" t="s">
        <v>75</v>
      </c>
    </row>
    <row r="506" spans="1:5" x14ac:dyDescent="0.25">
      <c r="A506" s="9" t="s">
        <v>1207</v>
      </c>
      <c r="B506" s="10" t="s">
        <v>812</v>
      </c>
      <c r="C506" s="9" t="s">
        <v>813</v>
      </c>
      <c r="D506" s="15">
        <v>417.45</v>
      </c>
      <c r="E506" s="13" t="s">
        <v>75</v>
      </c>
    </row>
    <row r="507" spans="1:5" x14ac:dyDescent="0.25">
      <c r="A507" s="9" t="s">
        <v>1207</v>
      </c>
      <c r="B507" s="10" t="s">
        <v>818</v>
      </c>
      <c r="C507" s="9" t="s">
        <v>819</v>
      </c>
      <c r="D507" s="15">
        <v>221.34</v>
      </c>
      <c r="E507" s="13" t="s">
        <v>75</v>
      </c>
    </row>
    <row r="508" spans="1:5" x14ac:dyDescent="0.25">
      <c r="A508" s="9" t="s">
        <v>1207</v>
      </c>
      <c r="B508" s="10" t="s">
        <v>820</v>
      </c>
      <c r="C508" s="9" t="s">
        <v>821</v>
      </c>
      <c r="D508" s="15">
        <v>73.8</v>
      </c>
      <c r="E508" s="13" t="s">
        <v>75</v>
      </c>
    </row>
    <row r="509" spans="1:5" x14ac:dyDescent="0.25">
      <c r="A509" s="9" t="s">
        <v>1207</v>
      </c>
      <c r="B509" s="10" t="s">
        <v>822</v>
      </c>
      <c r="C509" s="9" t="s">
        <v>823</v>
      </c>
      <c r="D509" s="15">
        <v>73.78</v>
      </c>
      <c r="E509" s="13" t="s">
        <v>75</v>
      </c>
    </row>
    <row r="510" spans="1:5" x14ac:dyDescent="0.25">
      <c r="A510" s="9" t="s">
        <v>1207</v>
      </c>
      <c r="B510" s="10" t="s">
        <v>824</v>
      </c>
      <c r="C510" s="9" t="s">
        <v>825</v>
      </c>
      <c r="D510" s="15">
        <v>13.5</v>
      </c>
      <c r="E510" s="13" t="s">
        <v>75</v>
      </c>
    </row>
    <row r="511" spans="1:5" x14ac:dyDescent="0.25">
      <c r="A511" s="9" t="s">
        <v>1207</v>
      </c>
      <c r="B511" s="10" t="s">
        <v>826</v>
      </c>
      <c r="C511" s="9" t="s">
        <v>827</v>
      </c>
      <c r="D511" s="15">
        <v>15.89</v>
      </c>
      <c r="E511" s="13" t="s">
        <v>75</v>
      </c>
    </row>
    <row r="512" spans="1:5" x14ac:dyDescent="0.25">
      <c r="A512" s="9" t="s">
        <v>1207</v>
      </c>
      <c r="B512" s="10" t="s">
        <v>828</v>
      </c>
      <c r="C512" s="9" t="s">
        <v>829</v>
      </c>
      <c r="D512" s="15">
        <v>238.95</v>
      </c>
      <c r="E512" s="13" t="s">
        <v>75</v>
      </c>
    </row>
    <row r="513" spans="1:5" x14ac:dyDescent="0.25">
      <c r="A513" s="9" t="s">
        <v>1207</v>
      </c>
      <c r="B513" s="10" t="s">
        <v>830</v>
      </c>
      <c r="C513" s="9" t="s">
        <v>831</v>
      </c>
      <c r="D513" s="15">
        <v>103.32</v>
      </c>
      <c r="E513" s="13" t="s">
        <v>75</v>
      </c>
    </row>
    <row r="514" spans="1:5" x14ac:dyDescent="0.25">
      <c r="A514" s="9" t="s">
        <v>1207</v>
      </c>
      <c r="B514" s="10" t="s">
        <v>832</v>
      </c>
      <c r="C514" s="9" t="s">
        <v>833</v>
      </c>
      <c r="D514" s="15">
        <v>98.94</v>
      </c>
      <c r="E514" s="13" t="s">
        <v>75</v>
      </c>
    </row>
    <row r="515" spans="1:5" x14ac:dyDescent="0.25">
      <c r="A515" s="9" t="s">
        <v>1207</v>
      </c>
      <c r="B515" s="10" t="s">
        <v>834</v>
      </c>
      <c r="C515" s="9" t="s">
        <v>835</v>
      </c>
      <c r="D515" s="15">
        <v>190.14</v>
      </c>
      <c r="E515" s="13" t="s">
        <v>75</v>
      </c>
    </row>
    <row r="516" spans="1:5" x14ac:dyDescent="0.25">
      <c r="A516" s="9" t="s">
        <v>1207</v>
      </c>
      <c r="B516" s="10" t="s">
        <v>836</v>
      </c>
      <c r="C516" s="9" t="s">
        <v>837</v>
      </c>
      <c r="D516" s="15">
        <v>119.33</v>
      </c>
      <c r="E516" s="13" t="s">
        <v>75</v>
      </c>
    </row>
    <row r="517" spans="1:5" x14ac:dyDescent="0.25">
      <c r="A517" s="9" t="s">
        <v>1207</v>
      </c>
      <c r="B517" s="10" t="s">
        <v>838</v>
      </c>
      <c r="C517" s="9" t="s">
        <v>839</v>
      </c>
      <c r="D517" s="15">
        <v>23.54</v>
      </c>
      <c r="E517" s="13" t="s">
        <v>75</v>
      </c>
    </row>
    <row r="518" spans="1:5" x14ac:dyDescent="0.25">
      <c r="A518" s="9" t="s">
        <v>1207</v>
      </c>
      <c r="B518" s="10" t="s">
        <v>840</v>
      </c>
      <c r="C518" s="9" t="s">
        <v>841</v>
      </c>
      <c r="D518" s="15">
        <v>34.44</v>
      </c>
      <c r="E518" s="13" t="s">
        <v>75</v>
      </c>
    </row>
    <row r="519" spans="1:5" x14ac:dyDescent="0.25">
      <c r="A519" s="9" t="s">
        <v>1207</v>
      </c>
      <c r="B519" s="10" t="s">
        <v>846</v>
      </c>
      <c r="C519" s="9" t="s">
        <v>847</v>
      </c>
      <c r="D519" s="15">
        <v>138.06</v>
      </c>
      <c r="E519" s="13" t="s">
        <v>75</v>
      </c>
    </row>
    <row r="520" spans="1:5" x14ac:dyDescent="0.25">
      <c r="A520" s="9" t="s">
        <v>1207</v>
      </c>
      <c r="B520" s="10" t="s">
        <v>850</v>
      </c>
      <c r="C520" s="9" t="s">
        <v>851</v>
      </c>
      <c r="D520" s="15">
        <v>920.27</v>
      </c>
      <c r="E520" s="13" t="s">
        <v>75</v>
      </c>
    </row>
    <row r="521" spans="1:5" x14ac:dyDescent="0.25">
      <c r="A521" s="9" t="s">
        <v>1207</v>
      </c>
      <c r="B521" s="10" t="s">
        <v>852</v>
      </c>
      <c r="C521" s="9" t="s">
        <v>853</v>
      </c>
      <c r="D521" s="15">
        <v>73.8</v>
      </c>
      <c r="E521" s="13" t="s">
        <v>75</v>
      </c>
    </row>
    <row r="522" spans="1:5" x14ac:dyDescent="0.25">
      <c r="A522" s="9" t="s">
        <v>1207</v>
      </c>
      <c r="B522" s="10" t="s">
        <v>860</v>
      </c>
      <c r="C522" s="9" t="s">
        <v>861</v>
      </c>
      <c r="D522" s="15">
        <v>5.4</v>
      </c>
      <c r="E522" s="13" t="s">
        <v>75</v>
      </c>
    </row>
    <row r="523" spans="1:5" x14ac:dyDescent="0.25">
      <c r="A523" s="9" t="s">
        <v>1207</v>
      </c>
      <c r="B523" s="10" t="s">
        <v>862</v>
      </c>
      <c r="C523" s="9" t="s">
        <v>863</v>
      </c>
      <c r="D523" s="15">
        <v>184.45</v>
      </c>
      <c r="E523" s="13" t="s">
        <v>75</v>
      </c>
    </row>
    <row r="524" spans="1:5" x14ac:dyDescent="0.25">
      <c r="A524" s="9" t="s">
        <v>1207</v>
      </c>
      <c r="B524" s="10" t="s">
        <v>864</v>
      </c>
      <c r="C524" s="9" t="s">
        <v>865</v>
      </c>
      <c r="D524" s="15">
        <v>633.44000000000005</v>
      </c>
      <c r="E524" s="13" t="s">
        <v>75</v>
      </c>
    </row>
    <row r="525" spans="1:5" x14ac:dyDescent="0.25">
      <c r="A525" s="9" t="s">
        <v>1207</v>
      </c>
      <c r="B525" s="10" t="s">
        <v>866</v>
      </c>
      <c r="C525" s="9" t="s">
        <v>867</v>
      </c>
      <c r="D525" s="15">
        <v>80.599999999999994</v>
      </c>
      <c r="E525" s="13" t="s">
        <v>75</v>
      </c>
    </row>
    <row r="526" spans="1:5" x14ac:dyDescent="0.25">
      <c r="A526" s="9" t="s">
        <v>1207</v>
      </c>
      <c r="B526" s="10" t="s">
        <v>868</v>
      </c>
      <c r="C526" s="9" t="s">
        <v>869</v>
      </c>
      <c r="D526" s="15">
        <v>260.08</v>
      </c>
      <c r="E526" s="13" t="s">
        <v>75</v>
      </c>
    </row>
    <row r="527" spans="1:5" x14ac:dyDescent="0.25">
      <c r="A527" s="9" t="s">
        <v>1207</v>
      </c>
      <c r="B527" s="10" t="s">
        <v>870</v>
      </c>
      <c r="C527" s="9" t="s">
        <v>871</v>
      </c>
      <c r="D527" s="15">
        <v>560.37</v>
      </c>
      <c r="E527" s="13" t="s">
        <v>75</v>
      </c>
    </row>
    <row r="528" spans="1:5" x14ac:dyDescent="0.25">
      <c r="A528" s="9" t="s">
        <v>1207</v>
      </c>
      <c r="B528" s="10" t="s">
        <v>876</v>
      </c>
      <c r="C528" s="9" t="s">
        <v>877</v>
      </c>
      <c r="D528" s="15">
        <v>619.91999999999996</v>
      </c>
      <c r="E528" s="13" t="s">
        <v>75</v>
      </c>
    </row>
    <row r="529" spans="1:5" x14ac:dyDescent="0.25">
      <c r="A529" s="9" t="s">
        <v>1207</v>
      </c>
      <c r="B529" s="10" t="s">
        <v>878</v>
      </c>
      <c r="C529" s="9" t="s">
        <v>879</v>
      </c>
      <c r="D529" s="15">
        <v>436.43</v>
      </c>
      <c r="E529" s="13" t="s">
        <v>75</v>
      </c>
    </row>
    <row r="530" spans="1:5" x14ac:dyDescent="0.25">
      <c r="A530" s="9" t="s">
        <v>1207</v>
      </c>
      <c r="B530" s="10" t="s">
        <v>887</v>
      </c>
      <c r="C530" s="9" t="s">
        <v>888</v>
      </c>
      <c r="D530" s="15">
        <v>405.84</v>
      </c>
      <c r="E530" s="13" t="s">
        <v>75</v>
      </c>
    </row>
    <row r="531" spans="1:5" x14ac:dyDescent="0.25">
      <c r="A531" s="9" t="s">
        <v>1207</v>
      </c>
      <c r="B531" s="10" t="s">
        <v>889</v>
      </c>
      <c r="C531" s="9" t="s">
        <v>890</v>
      </c>
      <c r="D531" s="15">
        <v>367.64</v>
      </c>
      <c r="E531" s="13" t="s">
        <v>75</v>
      </c>
    </row>
    <row r="532" spans="1:5" x14ac:dyDescent="0.25">
      <c r="A532" s="9" t="s">
        <v>1207</v>
      </c>
      <c r="B532" s="10" t="s">
        <v>893</v>
      </c>
      <c r="C532" s="9" t="s">
        <v>894</v>
      </c>
      <c r="D532" s="15">
        <v>82</v>
      </c>
      <c r="E532" s="13" t="s">
        <v>75</v>
      </c>
    </row>
    <row r="533" spans="1:5" x14ac:dyDescent="0.25">
      <c r="A533" s="9" t="s">
        <v>1207</v>
      </c>
      <c r="B533" s="10" t="s">
        <v>895</v>
      </c>
      <c r="C533" s="9" t="s">
        <v>896</v>
      </c>
      <c r="D533" s="15">
        <v>103.32</v>
      </c>
      <c r="E533" s="13" t="s">
        <v>75</v>
      </c>
    </row>
    <row r="534" spans="1:5" x14ac:dyDescent="0.25">
      <c r="A534" s="9" t="s">
        <v>1207</v>
      </c>
      <c r="B534" s="10" t="s">
        <v>897</v>
      </c>
      <c r="C534" s="9" t="s">
        <v>898</v>
      </c>
      <c r="D534" s="15">
        <v>6.14</v>
      </c>
      <c r="E534" s="13" t="s">
        <v>75</v>
      </c>
    </row>
    <row r="535" spans="1:5" x14ac:dyDescent="0.25">
      <c r="A535" s="9" t="s">
        <v>1207</v>
      </c>
      <c r="B535" s="10" t="s">
        <v>899</v>
      </c>
      <c r="C535" s="9" t="s">
        <v>900</v>
      </c>
      <c r="D535" s="15">
        <v>51.66</v>
      </c>
      <c r="E535" s="13" t="s">
        <v>75</v>
      </c>
    </row>
    <row r="536" spans="1:5" x14ac:dyDescent="0.25">
      <c r="A536" s="9" t="s">
        <v>1207</v>
      </c>
      <c r="B536" s="10" t="s">
        <v>905</v>
      </c>
      <c r="C536" s="9" t="s">
        <v>906</v>
      </c>
      <c r="D536" s="15">
        <v>61.5</v>
      </c>
      <c r="E536" s="13" t="s">
        <v>75</v>
      </c>
    </row>
    <row r="537" spans="1:5" x14ac:dyDescent="0.25">
      <c r="A537" s="9" t="s">
        <v>1207</v>
      </c>
      <c r="B537" s="10" t="s">
        <v>907</v>
      </c>
      <c r="C537" s="9" t="s">
        <v>908</v>
      </c>
      <c r="D537" s="15">
        <v>442.74</v>
      </c>
      <c r="E537" s="13" t="s">
        <v>75</v>
      </c>
    </row>
    <row r="538" spans="1:5" x14ac:dyDescent="0.25">
      <c r="A538" s="9" t="s">
        <v>1207</v>
      </c>
      <c r="B538" s="10" t="s">
        <v>909</v>
      </c>
      <c r="C538" s="9" t="s">
        <v>910</v>
      </c>
      <c r="D538" s="15">
        <v>109.86</v>
      </c>
      <c r="E538" s="13" t="s">
        <v>75</v>
      </c>
    </row>
    <row r="539" spans="1:5" x14ac:dyDescent="0.25">
      <c r="A539" s="9" t="s">
        <v>1207</v>
      </c>
      <c r="B539" s="10" t="s">
        <v>913</v>
      </c>
      <c r="C539" s="9" t="s">
        <v>914</v>
      </c>
      <c r="D539" s="15">
        <v>15.84</v>
      </c>
      <c r="E539" s="13" t="s">
        <v>75</v>
      </c>
    </row>
    <row r="540" spans="1:5" x14ac:dyDescent="0.25">
      <c r="A540" s="9" t="s">
        <v>1207</v>
      </c>
      <c r="B540" s="10" t="s">
        <v>915</v>
      </c>
      <c r="C540" s="9" t="s">
        <v>916</v>
      </c>
      <c r="D540" s="15">
        <v>442.74</v>
      </c>
      <c r="E540" s="13" t="s">
        <v>75</v>
      </c>
    </row>
    <row r="541" spans="1:5" x14ac:dyDescent="0.25">
      <c r="A541" s="9" t="s">
        <v>1207</v>
      </c>
      <c r="B541" s="10" t="s">
        <v>917</v>
      </c>
      <c r="C541" s="9" t="s">
        <v>918</v>
      </c>
      <c r="D541" s="15">
        <v>103.32</v>
      </c>
      <c r="E541" s="13" t="s">
        <v>75</v>
      </c>
    </row>
    <row r="542" spans="1:5" x14ac:dyDescent="0.25">
      <c r="A542" s="9" t="s">
        <v>1207</v>
      </c>
      <c r="B542" s="10" t="s">
        <v>919</v>
      </c>
      <c r="C542" s="9" t="s">
        <v>920</v>
      </c>
      <c r="D542" s="15">
        <v>333.94</v>
      </c>
      <c r="E542" s="13" t="s">
        <v>75</v>
      </c>
    </row>
    <row r="543" spans="1:5" x14ac:dyDescent="0.25">
      <c r="A543" s="9" t="s">
        <v>1207</v>
      </c>
      <c r="B543" s="10" t="s">
        <v>921</v>
      </c>
      <c r="C543" s="9" t="s">
        <v>922</v>
      </c>
      <c r="D543" s="15">
        <v>569.80999999999995</v>
      </c>
      <c r="E543" s="13" t="s">
        <v>75</v>
      </c>
    </row>
    <row r="544" spans="1:5" x14ac:dyDescent="0.25">
      <c r="A544" s="9" t="s">
        <v>1207</v>
      </c>
      <c r="B544" s="10" t="s">
        <v>923</v>
      </c>
      <c r="C544" s="9" t="s">
        <v>924</v>
      </c>
      <c r="D544" s="15">
        <v>73.8</v>
      </c>
      <c r="E544" s="13" t="s">
        <v>75</v>
      </c>
    </row>
    <row r="545" spans="1:5" x14ac:dyDescent="0.25">
      <c r="A545" s="9" t="s">
        <v>1207</v>
      </c>
      <c r="B545" s="10" t="s">
        <v>927</v>
      </c>
      <c r="C545" s="9" t="s">
        <v>928</v>
      </c>
      <c r="D545" s="15">
        <v>646.96</v>
      </c>
      <c r="E545" s="13" t="s">
        <v>75</v>
      </c>
    </row>
    <row r="546" spans="1:5" x14ac:dyDescent="0.25">
      <c r="A546" s="9" t="s">
        <v>1207</v>
      </c>
      <c r="B546" s="10" t="s">
        <v>929</v>
      </c>
      <c r="C546" s="9" t="s">
        <v>930</v>
      </c>
      <c r="D546" s="15">
        <v>1210.42</v>
      </c>
      <c r="E546" s="13" t="s">
        <v>75</v>
      </c>
    </row>
    <row r="547" spans="1:5" x14ac:dyDescent="0.25">
      <c r="A547" s="9" t="s">
        <v>1207</v>
      </c>
      <c r="B547" s="10" t="s">
        <v>931</v>
      </c>
      <c r="C547" s="9" t="s">
        <v>932</v>
      </c>
      <c r="D547" s="15">
        <v>392.15</v>
      </c>
      <c r="E547" s="13" t="s">
        <v>75</v>
      </c>
    </row>
    <row r="548" spans="1:5" x14ac:dyDescent="0.25">
      <c r="A548" s="9" t="s">
        <v>1207</v>
      </c>
      <c r="B548" s="10" t="s">
        <v>933</v>
      </c>
      <c r="C548" s="9" t="s">
        <v>934</v>
      </c>
      <c r="D548" s="15">
        <v>1670.98</v>
      </c>
      <c r="E548" s="13" t="s">
        <v>75</v>
      </c>
    </row>
    <row r="549" spans="1:5" x14ac:dyDescent="0.25">
      <c r="A549" s="9" t="s">
        <v>1207</v>
      </c>
      <c r="B549" s="10" t="s">
        <v>935</v>
      </c>
      <c r="C549" s="9" t="s">
        <v>936</v>
      </c>
      <c r="D549" s="15">
        <v>154.97999999999999</v>
      </c>
      <c r="E549" s="13" t="s">
        <v>75</v>
      </c>
    </row>
    <row r="550" spans="1:5" x14ac:dyDescent="0.25">
      <c r="A550" s="9" t="s">
        <v>1207</v>
      </c>
      <c r="B550" s="10" t="s">
        <v>941</v>
      </c>
      <c r="C550" s="9" t="s">
        <v>942</v>
      </c>
      <c r="D550" s="15">
        <v>197.33</v>
      </c>
      <c r="E550" s="13" t="s">
        <v>75</v>
      </c>
    </row>
    <row r="551" spans="1:5" x14ac:dyDescent="0.25">
      <c r="A551" s="9" t="s">
        <v>1207</v>
      </c>
      <c r="B551" s="10" t="s">
        <v>943</v>
      </c>
      <c r="C551" s="9" t="s">
        <v>944</v>
      </c>
      <c r="D551" s="15">
        <v>469.78</v>
      </c>
      <c r="E551" s="13" t="s">
        <v>75</v>
      </c>
    </row>
    <row r="552" spans="1:5" x14ac:dyDescent="0.25">
      <c r="A552" s="9" t="s">
        <v>1207</v>
      </c>
      <c r="B552" s="10" t="s">
        <v>945</v>
      </c>
      <c r="C552" s="9" t="s">
        <v>946</v>
      </c>
      <c r="D552" s="15">
        <v>36.9</v>
      </c>
      <c r="E552" s="13" t="s">
        <v>75</v>
      </c>
    </row>
    <row r="553" spans="1:5" x14ac:dyDescent="0.25">
      <c r="A553" s="9" t="s">
        <v>1207</v>
      </c>
      <c r="B553" s="10" t="s">
        <v>947</v>
      </c>
      <c r="C553" s="9" t="s">
        <v>948</v>
      </c>
      <c r="D553" s="15">
        <v>313.88</v>
      </c>
      <c r="E553" s="13" t="s">
        <v>75</v>
      </c>
    </row>
    <row r="554" spans="1:5" x14ac:dyDescent="0.25">
      <c r="A554" s="9" t="s">
        <v>1207</v>
      </c>
      <c r="B554" s="10" t="s">
        <v>949</v>
      </c>
      <c r="C554" s="9" t="s">
        <v>950</v>
      </c>
      <c r="D554" s="15">
        <v>328.25</v>
      </c>
      <c r="E554" s="13" t="s">
        <v>75</v>
      </c>
    </row>
    <row r="555" spans="1:5" x14ac:dyDescent="0.25">
      <c r="A555" s="9" t="s">
        <v>1207</v>
      </c>
      <c r="B555" s="10" t="s">
        <v>953</v>
      </c>
      <c r="C555" s="9" t="s">
        <v>954</v>
      </c>
      <c r="D555" s="15">
        <v>154.97999999999999</v>
      </c>
      <c r="E555" s="13" t="s">
        <v>75</v>
      </c>
    </row>
    <row r="556" spans="1:5" x14ac:dyDescent="0.25">
      <c r="A556" s="9" t="s">
        <v>1207</v>
      </c>
      <c r="B556" s="10" t="s">
        <v>955</v>
      </c>
      <c r="C556" s="9" t="s">
        <v>956</v>
      </c>
      <c r="D556" s="15">
        <v>344.4</v>
      </c>
      <c r="E556" s="13" t="s">
        <v>75</v>
      </c>
    </row>
    <row r="557" spans="1:5" x14ac:dyDescent="0.25">
      <c r="A557" s="9" t="s">
        <v>1207</v>
      </c>
      <c r="B557" s="10" t="s">
        <v>957</v>
      </c>
      <c r="C557" s="9" t="s">
        <v>958</v>
      </c>
      <c r="D557" s="15">
        <v>367</v>
      </c>
      <c r="E557" s="13" t="s">
        <v>75</v>
      </c>
    </row>
    <row r="558" spans="1:5" x14ac:dyDescent="0.25">
      <c r="A558" s="9" t="s">
        <v>1210</v>
      </c>
      <c r="B558" s="10" t="s">
        <v>92</v>
      </c>
      <c r="C558" s="9" t="s">
        <v>93</v>
      </c>
      <c r="D558" s="15">
        <v>920.5</v>
      </c>
      <c r="E558" s="13" t="s">
        <v>75</v>
      </c>
    </row>
    <row r="559" spans="1:5" x14ac:dyDescent="0.25">
      <c r="A559" s="9" t="s">
        <v>1210</v>
      </c>
      <c r="B559" s="10" t="s">
        <v>94</v>
      </c>
      <c r="C559" s="9" t="s">
        <v>95</v>
      </c>
      <c r="D559" s="15">
        <v>488.52</v>
      </c>
      <c r="E559" s="13" t="s">
        <v>75</v>
      </c>
    </row>
    <row r="560" spans="1:5" x14ac:dyDescent="0.25">
      <c r="A560" s="9" t="s">
        <v>1210</v>
      </c>
      <c r="B560" s="10" t="s">
        <v>96</v>
      </c>
      <c r="C560" s="9" t="s">
        <v>97</v>
      </c>
      <c r="D560" s="15">
        <v>55.54</v>
      </c>
      <c r="E560" s="13" t="s">
        <v>75</v>
      </c>
    </row>
    <row r="561" spans="1:5" x14ac:dyDescent="0.25">
      <c r="A561" s="9" t="s">
        <v>1210</v>
      </c>
      <c r="B561" s="10" t="s">
        <v>104</v>
      </c>
      <c r="C561" s="9" t="s">
        <v>105</v>
      </c>
      <c r="D561" s="15">
        <v>1273.33</v>
      </c>
      <c r="E561" s="13" t="s">
        <v>75</v>
      </c>
    </row>
    <row r="562" spans="1:5" x14ac:dyDescent="0.25">
      <c r="A562" s="9" t="s">
        <v>1210</v>
      </c>
      <c r="B562" s="10" t="s">
        <v>108</v>
      </c>
      <c r="C562" s="9" t="s">
        <v>109</v>
      </c>
      <c r="D562" s="15">
        <v>563.28</v>
      </c>
      <c r="E562" s="13" t="s">
        <v>75</v>
      </c>
    </row>
    <row r="563" spans="1:5" x14ac:dyDescent="0.25">
      <c r="A563" s="9" t="s">
        <v>1210</v>
      </c>
      <c r="B563" s="10" t="s">
        <v>110</v>
      </c>
      <c r="C563" s="9" t="s">
        <v>111</v>
      </c>
      <c r="D563" s="15">
        <v>1016.08</v>
      </c>
      <c r="E563" s="13" t="s">
        <v>75</v>
      </c>
    </row>
    <row r="564" spans="1:5" x14ac:dyDescent="0.25">
      <c r="A564" s="9" t="s">
        <v>1210</v>
      </c>
      <c r="B564" s="10" t="s">
        <v>112</v>
      </c>
      <c r="C564" s="9" t="s">
        <v>113</v>
      </c>
      <c r="D564" s="15">
        <v>308.58</v>
      </c>
      <c r="E564" s="13" t="s">
        <v>75</v>
      </c>
    </row>
    <row r="565" spans="1:5" x14ac:dyDescent="0.25">
      <c r="A565" s="9" t="s">
        <v>1210</v>
      </c>
      <c r="B565" s="10" t="s">
        <v>114</v>
      </c>
      <c r="C565" s="9" t="s">
        <v>115</v>
      </c>
      <c r="D565" s="15">
        <v>3.17</v>
      </c>
      <c r="E565" s="13" t="s">
        <v>75</v>
      </c>
    </row>
    <row r="566" spans="1:5" x14ac:dyDescent="0.25">
      <c r="A566" s="9" t="s">
        <v>1210</v>
      </c>
      <c r="B566" s="10" t="s">
        <v>118</v>
      </c>
      <c r="C566" s="9" t="s">
        <v>119</v>
      </c>
      <c r="D566" s="15">
        <v>773.92</v>
      </c>
      <c r="E566" s="13" t="s">
        <v>75</v>
      </c>
    </row>
    <row r="567" spans="1:5" x14ac:dyDescent="0.25">
      <c r="A567" s="9" t="s">
        <v>1210</v>
      </c>
      <c r="B567" s="10" t="s">
        <v>120</v>
      </c>
      <c r="C567" s="9" t="s">
        <v>121</v>
      </c>
      <c r="D567" s="15">
        <v>768.77</v>
      </c>
      <c r="E567" s="13" t="s">
        <v>75</v>
      </c>
    </row>
    <row r="568" spans="1:5" x14ac:dyDescent="0.25">
      <c r="A568" s="9" t="s">
        <v>1210</v>
      </c>
      <c r="B568" s="10" t="s">
        <v>122</v>
      </c>
      <c r="C568" s="9" t="s">
        <v>123</v>
      </c>
      <c r="D568" s="15">
        <v>314.5</v>
      </c>
      <c r="E568" s="13" t="s">
        <v>75</v>
      </c>
    </row>
    <row r="569" spans="1:5" x14ac:dyDescent="0.25">
      <c r="A569" s="9" t="s">
        <v>1210</v>
      </c>
      <c r="B569" s="10" t="s">
        <v>124</v>
      </c>
      <c r="C569" s="9" t="s">
        <v>125</v>
      </c>
      <c r="D569" s="15">
        <v>84.19</v>
      </c>
      <c r="E569" s="13" t="s">
        <v>75</v>
      </c>
    </row>
    <row r="570" spans="1:5" x14ac:dyDescent="0.25">
      <c r="A570" s="9" t="s">
        <v>1210</v>
      </c>
      <c r="B570" s="10" t="s">
        <v>126</v>
      </c>
      <c r="C570" s="9" t="s">
        <v>127</v>
      </c>
      <c r="D570" s="15">
        <v>253.48</v>
      </c>
      <c r="E570" s="13" t="s">
        <v>75</v>
      </c>
    </row>
    <row r="571" spans="1:5" x14ac:dyDescent="0.25">
      <c r="A571" s="9" t="s">
        <v>1210</v>
      </c>
      <c r="B571" s="10" t="s">
        <v>128</v>
      </c>
      <c r="C571" s="9" t="s">
        <v>129</v>
      </c>
      <c r="D571" s="15">
        <v>95.04</v>
      </c>
      <c r="E571" s="13" t="s">
        <v>75</v>
      </c>
    </row>
    <row r="572" spans="1:5" x14ac:dyDescent="0.25">
      <c r="A572" s="9" t="s">
        <v>1210</v>
      </c>
      <c r="B572" s="10" t="s">
        <v>130</v>
      </c>
      <c r="C572" s="9" t="s">
        <v>131</v>
      </c>
      <c r="D572" s="15">
        <v>403.62</v>
      </c>
      <c r="E572" s="13" t="s">
        <v>75</v>
      </c>
    </row>
    <row r="573" spans="1:5" x14ac:dyDescent="0.25">
      <c r="A573" s="9" t="s">
        <v>1210</v>
      </c>
      <c r="B573" s="10" t="s">
        <v>132</v>
      </c>
      <c r="C573" s="9" t="s">
        <v>133</v>
      </c>
      <c r="D573" s="15">
        <v>865.06</v>
      </c>
      <c r="E573" s="13" t="s">
        <v>75</v>
      </c>
    </row>
    <row r="574" spans="1:5" x14ac:dyDescent="0.25">
      <c r="A574" s="9" t="s">
        <v>1210</v>
      </c>
      <c r="B574" s="10" t="s">
        <v>134</v>
      </c>
      <c r="C574" s="9" t="s">
        <v>135</v>
      </c>
      <c r="D574" s="15">
        <v>260.33999999999997</v>
      </c>
      <c r="E574" s="13" t="s">
        <v>75</v>
      </c>
    </row>
    <row r="575" spans="1:5" x14ac:dyDescent="0.25">
      <c r="A575" s="9" t="s">
        <v>1210</v>
      </c>
      <c r="B575" s="10" t="s">
        <v>136</v>
      </c>
      <c r="C575" s="9" t="s">
        <v>137</v>
      </c>
      <c r="D575" s="15">
        <v>28.38</v>
      </c>
      <c r="E575" s="13" t="s">
        <v>75</v>
      </c>
    </row>
    <row r="576" spans="1:5" x14ac:dyDescent="0.25">
      <c r="A576" s="9" t="s">
        <v>1210</v>
      </c>
      <c r="B576" s="10" t="s">
        <v>140</v>
      </c>
      <c r="C576" s="9" t="s">
        <v>141</v>
      </c>
      <c r="D576" s="15">
        <v>575.91999999999996</v>
      </c>
      <c r="E576" s="13" t="s">
        <v>75</v>
      </c>
    </row>
    <row r="577" spans="1:5" x14ac:dyDescent="0.25">
      <c r="A577" s="9" t="s">
        <v>1210</v>
      </c>
      <c r="B577" s="10" t="s">
        <v>142</v>
      </c>
      <c r="C577" s="9" t="s">
        <v>143</v>
      </c>
      <c r="D577" s="15">
        <v>95.04</v>
      </c>
      <c r="E577" s="13" t="s">
        <v>75</v>
      </c>
    </row>
    <row r="578" spans="1:5" x14ac:dyDescent="0.25">
      <c r="A578" s="9" t="s">
        <v>1210</v>
      </c>
      <c r="B578" s="10" t="s">
        <v>144</v>
      </c>
      <c r="C578" s="9" t="s">
        <v>145</v>
      </c>
      <c r="D578" s="15">
        <v>234.59</v>
      </c>
      <c r="E578" s="13" t="s">
        <v>75</v>
      </c>
    </row>
    <row r="579" spans="1:5" x14ac:dyDescent="0.25">
      <c r="A579" s="9" t="s">
        <v>1210</v>
      </c>
      <c r="B579" s="10" t="s">
        <v>146</v>
      </c>
      <c r="C579" s="9" t="s">
        <v>147</v>
      </c>
      <c r="D579" s="15">
        <v>535.36</v>
      </c>
      <c r="E579" s="13" t="s">
        <v>75</v>
      </c>
    </row>
    <row r="580" spans="1:5" x14ac:dyDescent="0.25">
      <c r="A580" s="9" t="s">
        <v>1210</v>
      </c>
      <c r="B580" s="10" t="s">
        <v>148</v>
      </c>
      <c r="C580" s="9" t="s">
        <v>149</v>
      </c>
      <c r="D580" s="15">
        <v>405.36</v>
      </c>
      <c r="E580" s="13" t="s">
        <v>75</v>
      </c>
    </row>
    <row r="581" spans="1:5" x14ac:dyDescent="0.25">
      <c r="A581" s="9" t="s">
        <v>1210</v>
      </c>
      <c r="B581" s="10" t="s">
        <v>150</v>
      </c>
      <c r="C581" s="9" t="s">
        <v>151</v>
      </c>
      <c r="D581" s="15">
        <v>458.06</v>
      </c>
      <c r="E581" s="13" t="s">
        <v>75</v>
      </c>
    </row>
    <row r="582" spans="1:5" x14ac:dyDescent="0.25">
      <c r="A582" s="9" t="s">
        <v>1210</v>
      </c>
      <c r="B582" s="10" t="s">
        <v>152</v>
      </c>
      <c r="C582" s="9" t="s">
        <v>153</v>
      </c>
      <c r="D582" s="15">
        <v>815.07</v>
      </c>
      <c r="E582" s="13" t="s">
        <v>75</v>
      </c>
    </row>
    <row r="583" spans="1:5" x14ac:dyDescent="0.25">
      <c r="A583" s="9" t="s">
        <v>1210</v>
      </c>
      <c r="B583" s="10" t="s">
        <v>154</v>
      </c>
      <c r="C583" s="9" t="s">
        <v>155</v>
      </c>
      <c r="D583" s="15">
        <v>167.93</v>
      </c>
      <c r="E583" s="13" t="s">
        <v>75</v>
      </c>
    </row>
    <row r="584" spans="1:5" x14ac:dyDescent="0.25">
      <c r="A584" s="9" t="s">
        <v>1210</v>
      </c>
      <c r="B584" s="10" t="s">
        <v>156</v>
      </c>
      <c r="C584" s="9" t="s">
        <v>157</v>
      </c>
      <c r="D584" s="15">
        <v>932.78</v>
      </c>
      <c r="E584" s="13" t="s">
        <v>75</v>
      </c>
    </row>
    <row r="585" spans="1:5" x14ac:dyDescent="0.25">
      <c r="A585" s="9" t="s">
        <v>1210</v>
      </c>
      <c r="B585" s="10" t="s">
        <v>158</v>
      </c>
      <c r="C585" s="9" t="s">
        <v>159</v>
      </c>
      <c r="D585" s="15">
        <v>23.4</v>
      </c>
      <c r="E585" s="13" t="s">
        <v>75</v>
      </c>
    </row>
    <row r="586" spans="1:5" x14ac:dyDescent="0.25">
      <c r="A586" s="9" t="s">
        <v>1210</v>
      </c>
      <c r="B586" s="10" t="s">
        <v>160</v>
      </c>
      <c r="C586" s="9" t="s">
        <v>161</v>
      </c>
      <c r="D586" s="15">
        <v>79.2</v>
      </c>
      <c r="E586" s="13" t="s">
        <v>75</v>
      </c>
    </row>
    <row r="587" spans="1:5" x14ac:dyDescent="0.25">
      <c r="A587" s="9" t="s">
        <v>1210</v>
      </c>
      <c r="B587" s="10" t="s">
        <v>162</v>
      </c>
      <c r="C587" s="9" t="s">
        <v>163</v>
      </c>
      <c r="D587" s="15">
        <v>522.26</v>
      </c>
      <c r="E587" s="13" t="s">
        <v>75</v>
      </c>
    </row>
    <row r="588" spans="1:5" x14ac:dyDescent="0.25">
      <c r="A588" s="9" t="s">
        <v>1210</v>
      </c>
      <c r="B588" s="10" t="s">
        <v>164</v>
      </c>
      <c r="C588" s="9" t="s">
        <v>165</v>
      </c>
      <c r="D588" s="15">
        <v>925.53</v>
      </c>
      <c r="E588" s="13" t="s">
        <v>75</v>
      </c>
    </row>
    <row r="589" spans="1:5" x14ac:dyDescent="0.25">
      <c r="A589" s="9" t="s">
        <v>1210</v>
      </c>
      <c r="B589" s="10" t="s">
        <v>166</v>
      </c>
      <c r="C589" s="9" t="s">
        <v>167</v>
      </c>
      <c r="D589" s="15">
        <v>180.23</v>
      </c>
      <c r="E589" s="13" t="s">
        <v>75</v>
      </c>
    </row>
    <row r="590" spans="1:5" x14ac:dyDescent="0.25">
      <c r="A590" s="9" t="s">
        <v>1210</v>
      </c>
      <c r="B590" s="10" t="s">
        <v>168</v>
      </c>
      <c r="C590" s="9" t="s">
        <v>169</v>
      </c>
      <c r="D590" s="15">
        <v>282.7</v>
      </c>
      <c r="E590" s="13" t="s">
        <v>75</v>
      </c>
    </row>
    <row r="591" spans="1:5" x14ac:dyDescent="0.25">
      <c r="A591" s="9" t="s">
        <v>1210</v>
      </c>
      <c r="B591" s="10" t="s">
        <v>170</v>
      </c>
      <c r="C591" s="9" t="s">
        <v>171</v>
      </c>
      <c r="D591" s="15">
        <v>628.01</v>
      </c>
      <c r="E591" s="13" t="s">
        <v>75</v>
      </c>
    </row>
    <row r="592" spans="1:5" x14ac:dyDescent="0.25">
      <c r="A592" s="9" t="s">
        <v>1210</v>
      </c>
      <c r="B592" s="10" t="s">
        <v>172</v>
      </c>
      <c r="C592" s="9" t="s">
        <v>173</v>
      </c>
      <c r="D592" s="15">
        <v>190.14</v>
      </c>
      <c r="E592" s="13" t="s">
        <v>75</v>
      </c>
    </row>
    <row r="593" spans="1:5" x14ac:dyDescent="0.25">
      <c r="A593" s="9" t="s">
        <v>1210</v>
      </c>
      <c r="B593" s="10" t="s">
        <v>174</v>
      </c>
      <c r="C593" s="9" t="s">
        <v>175</v>
      </c>
      <c r="D593" s="15">
        <v>236.94</v>
      </c>
      <c r="E593" s="13" t="s">
        <v>75</v>
      </c>
    </row>
    <row r="594" spans="1:5" x14ac:dyDescent="0.25">
      <c r="A594" s="9" t="s">
        <v>1210</v>
      </c>
      <c r="B594" s="10" t="s">
        <v>178</v>
      </c>
      <c r="C594" s="9" t="s">
        <v>179</v>
      </c>
      <c r="D594" s="15">
        <v>443.39</v>
      </c>
      <c r="E594" s="13" t="s">
        <v>75</v>
      </c>
    </row>
    <row r="595" spans="1:5" x14ac:dyDescent="0.25">
      <c r="A595" s="9" t="s">
        <v>1210</v>
      </c>
      <c r="B595" s="10" t="s">
        <v>180</v>
      </c>
      <c r="C595" s="9" t="s">
        <v>181</v>
      </c>
      <c r="D595" s="15">
        <v>200.04</v>
      </c>
      <c r="E595" s="13" t="s">
        <v>75</v>
      </c>
    </row>
    <row r="596" spans="1:5" x14ac:dyDescent="0.25">
      <c r="A596" s="9" t="s">
        <v>1210</v>
      </c>
      <c r="B596" s="10" t="s">
        <v>184</v>
      </c>
      <c r="C596" s="9" t="s">
        <v>185</v>
      </c>
      <c r="D596" s="15">
        <v>292.42</v>
      </c>
      <c r="E596" s="13" t="s">
        <v>75</v>
      </c>
    </row>
    <row r="597" spans="1:5" x14ac:dyDescent="0.25">
      <c r="A597" s="9" t="s">
        <v>1210</v>
      </c>
      <c r="B597" s="10" t="s">
        <v>186</v>
      </c>
      <c r="C597" s="9" t="s">
        <v>187</v>
      </c>
      <c r="D597" s="15">
        <v>402.75</v>
      </c>
      <c r="E597" s="13" t="s">
        <v>75</v>
      </c>
    </row>
    <row r="598" spans="1:5" x14ac:dyDescent="0.25">
      <c r="A598" s="9" t="s">
        <v>1210</v>
      </c>
      <c r="B598" s="10" t="s">
        <v>190</v>
      </c>
      <c r="C598" s="9" t="s">
        <v>191</v>
      </c>
      <c r="D598" s="15">
        <v>12.68</v>
      </c>
      <c r="E598" s="13" t="s">
        <v>75</v>
      </c>
    </row>
    <row r="599" spans="1:5" x14ac:dyDescent="0.25">
      <c r="A599" s="9" t="s">
        <v>1210</v>
      </c>
      <c r="B599" s="10" t="s">
        <v>192</v>
      </c>
      <c r="C599" s="9" t="s">
        <v>193</v>
      </c>
      <c r="D599" s="15">
        <v>190.14</v>
      </c>
      <c r="E599" s="13" t="s">
        <v>75</v>
      </c>
    </row>
    <row r="600" spans="1:5" x14ac:dyDescent="0.25">
      <c r="A600" s="9" t="s">
        <v>1210</v>
      </c>
      <c r="B600" s="10" t="s">
        <v>194</v>
      </c>
      <c r="C600" s="9" t="s">
        <v>195</v>
      </c>
      <c r="D600" s="15">
        <v>95.04</v>
      </c>
      <c r="E600" s="13" t="s">
        <v>75</v>
      </c>
    </row>
    <row r="601" spans="1:5" x14ac:dyDescent="0.25">
      <c r="A601" s="9" t="s">
        <v>1210</v>
      </c>
      <c r="B601" s="10" t="s">
        <v>196</v>
      </c>
      <c r="C601" s="9" t="s">
        <v>197</v>
      </c>
      <c r="D601" s="15">
        <v>3.17</v>
      </c>
      <c r="E601" s="13" t="s">
        <v>75</v>
      </c>
    </row>
    <row r="602" spans="1:5" x14ac:dyDescent="0.25">
      <c r="A602" s="9" t="s">
        <v>1210</v>
      </c>
      <c r="B602" s="10" t="s">
        <v>198</v>
      </c>
      <c r="C602" s="9" t="s">
        <v>199</v>
      </c>
      <c r="D602" s="15">
        <v>6.34</v>
      </c>
      <c r="E602" s="13" t="s">
        <v>75</v>
      </c>
    </row>
    <row r="603" spans="1:5" x14ac:dyDescent="0.25">
      <c r="A603" s="9" t="s">
        <v>1210</v>
      </c>
      <c r="B603" s="10" t="s">
        <v>202</v>
      </c>
      <c r="C603" s="9" t="s">
        <v>203</v>
      </c>
      <c r="D603" s="15">
        <v>250.15</v>
      </c>
      <c r="E603" s="13" t="s">
        <v>75</v>
      </c>
    </row>
    <row r="604" spans="1:5" x14ac:dyDescent="0.25">
      <c r="A604" s="9" t="s">
        <v>1210</v>
      </c>
      <c r="B604" s="10" t="s">
        <v>204</v>
      </c>
      <c r="C604" s="9" t="s">
        <v>205</v>
      </c>
      <c r="D604" s="15">
        <v>383.17</v>
      </c>
      <c r="E604" s="13" t="s">
        <v>75</v>
      </c>
    </row>
    <row r="605" spans="1:5" x14ac:dyDescent="0.25">
      <c r="A605" s="9" t="s">
        <v>1210</v>
      </c>
      <c r="B605" s="10" t="s">
        <v>206</v>
      </c>
      <c r="C605" s="9" t="s">
        <v>207</v>
      </c>
      <c r="D605" s="15">
        <v>95.04</v>
      </c>
      <c r="E605" s="13" t="s">
        <v>75</v>
      </c>
    </row>
    <row r="606" spans="1:5" x14ac:dyDescent="0.25">
      <c r="A606" s="9" t="s">
        <v>1210</v>
      </c>
      <c r="B606" s="10" t="s">
        <v>210</v>
      </c>
      <c r="C606" s="9" t="s">
        <v>211</v>
      </c>
      <c r="D606" s="15">
        <v>25.34</v>
      </c>
      <c r="E606" s="13" t="s">
        <v>75</v>
      </c>
    </row>
    <row r="607" spans="1:5" x14ac:dyDescent="0.25">
      <c r="A607" s="9" t="s">
        <v>1210</v>
      </c>
      <c r="B607" s="10" t="s">
        <v>212</v>
      </c>
      <c r="C607" s="9" t="s">
        <v>213</v>
      </c>
      <c r="D607" s="15">
        <v>795.12</v>
      </c>
      <c r="E607" s="13" t="s">
        <v>75</v>
      </c>
    </row>
    <row r="608" spans="1:5" x14ac:dyDescent="0.25">
      <c r="A608" s="9" t="s">
        <v>1210</v>
      </c>
      <c r="B608" s="10" t="s">
        <v>214</v>
      </c>
      <c r="C608" s="9" t="s">
        <v>215</v>
      </c>
      <c r="D608" s="15">
        <v>163.66999999999999</v>
      </c>
      <c r="E608" s="13" t="s">
        <v>75</v>
      </c>
    </row>
    <row r="609" spans="1:5" x14ac:dyDescent="0.25">
      <c r="A609" s="9" t="s">
        <v>1210</v>
      </c>
      <c r="B609" s="10" t="s">
        <v>216</v>
      </c>
      <c r="C609" s="9" t="s">
        <v>217</v>
      </c>
      <c r="D609" s="15">
        <v>780.01</v>
      </c>
      <c r="E609" s="13" t="s">
        <v>75</v>
      </c>
    </row>
    <row r="610" spans="1:5" x14ac:dyDescent="0.25">
      <c r="A610" s="9" t="s">
        <v>1210</v>
      </c>
      <c r="B610" s="10" t="s">
        <v>218</v>
      </c>
      <c r="C610" s="9" t="s">
        <v>219</v>
      </c>
      <c r="D610" s="15">
        <v>1063.3800000000001</v>
      </c>
      <c r="E610" s="13" t="s">
        <v>75</v>
      </c>
    </row>
    <row r="611" spans="1:5" x14ac:dyDescent="0.25">
      <c r="A611" s="9" t="s">
        <v>1210</v>
      </c>
      <c r="B611" s="10" t="s">
        <v>220</v>
      </c>
      <c r="C611" s="9" t="s">
        <v>221</v>
      </c>
      <c r="D611" s="15">
        <v>122.06</v>
      </c>
      <c r="E611" s="13" t="s">
        <v>75</v>
      </c>
    </row>
    <row r="612" spans="1:5" x14ac:dyDescent="0.25">
      <c r="A612" s="9" t="s">
        <v>1210</v>
      </c>
      <c r="B612" s="10" t="s">
        <v>222</v>
      </c>
      <c r="C612" s="9" t="s">
        <v>223</v>
      </c>
      <c r="D612" s="15">
        <v>700.74</v>
      </c>
      <c r="E612" s="13" t="s">
        <v>75</v>
      </c>
    </row>
    <row r="613" spans="1:5" x14ac:dyDescent="0.25">
      <c r="A613" s="9" t="s">
        <v>1210</v>
      </c>
      <c r="B613" s="10" t="s">
        <v>224</v>
      </c>
      <c r="C613" s="9" t="s">
        <v>225</v>
      </c>
      <c r="D613" s="15">
        <v>280.93</v>
      </c>
      <c r="E613" s="13" t="s">
        <v>75</v>
      </c>
    </row>
    <row r="614" spans="1:5" x14ac:dyDescent="0.25">
      <c r="A614" s="9" t="s">
        <v>1210</v>
      </c>
      <c r="B614" s="10" t="s">
        <v>226</v>
      </c>
      <c r="C614" s="9" t="s">
        <v>227</v>
      </c>
      <c r="D614" s="15">
        <v>247.81</v>
      </c>
      <c r="E614" s="13" t="s">
        <v>75</v>
      </c>
    </row>
    <row r="615" spans="1:5" x14ac:dyDescent="0.25">
      <c r="A615" s="9" t="s">
        <v>1210</v>
      </c>
      <c r="B615" s="10" t="s">
        <v>228</v>
      </c>
      <c r="C615" s="9" t="s">
        <v>229</v>
      </c>
      <c r="D615" s="15">
        <v>145.11000000000001</v>
      </c>
      <c r="E615" s="13" t="s">
        <v>75</v>
      </c>
    </row>
    <row r="616" spans="1:5" x14ac:dyDescent="0.25">
      <c r="A616" s="9" t="s">
        <v>1210</v>
      </c>
      <c r="B616" s="10" t="s">
        <v>230</v>
      </c>
      <c r="C616" s="9" t="s">
        <v>231</v>
      </c>
      <c r="D616" s="15">
        <v>921.12</v>
      </c>
      <c r="E616" s="13" t="s">
        <v>75</v>
      </c>
    </row>
    <row r="617" spans="1:5" x14ac:dyDescent="0.25">
      <c r="A617" s="9" t="s">
        <v>1210</v>
      </c>
      <c r="B617" s="10" t="s">
        <v>232</v>
      </c>
      <c r="C617" s="9" t="s">
        <v>233</v>
      </c>
      <c r="D617" s="15">
        <v>119.9</v>
      </c>
      <c r="E617" s="13" t="s">
        <v>75</v>
      </c>
    </row>
    <row r="618" spans="1:5" x14ac:dyDescent="0.25">
      <c r="A618" s="9" t="s">
        <v>1210</v>
      </c>
      <c r="B618" s="10" t="s">
        <v>234</v>
      </c>
      <c r="C618" s="9" t="s">
        <v>235</v>
      </c>
      <c r="D618" s="15">
        <v>450.55</v>
      </c>
      <c r="E618" s="13" t="s">
        <v>75</v>
      </c>
    </row>
    <row r="619" spans="1:5" x14ac:dyDescent="0.25">
      <c r="A619" s="9" t="s">
        <v>1210</v>
      </c>
      <c r="B619" s="10" t="s">
        <v>236</v>
      </c>
      <c r="C619" s="9" t="s">
        <v>237</v>
      </c>
      <c r="D619" s="15">
        <v>126.14</v>
      </c>
      <c r="E619" s="13" t="s">
        <v>75</v>
      </c>
    </row>
    <row r="620" spans="1:5" x14ac:dyDescent="0.25">
      <c r="A620" s="9" t="s">
        <v>1210</v>
      </c>
      <c r="B620" s="10" t="s">
        <v>238</v>
      </c>
      <c r="C620" s="9" t="s">
        <v>239</v>
      </c>
      <c r="D620" s="15">
        <v>282.22000000000003</v>
      </c>
      <c r="E620" s="13" t="s">
        <v>75</v>
      </c>
    </row>
    <row r="621" spans="1:5" x14ac:dyDescent="0.25">
      <c r="A621" s="9" t="s">
        <v>1210</v>
      </c>
      <c r="B621" s="10" t="s">
        <v>242</v>
      </c>
      <c r="C621" s="9" t="s">
        <v>243</v>
      </c>
      <c r="D621" s="15">
        <v>357.76</v>
      </c>
      <c r="E621" s="13" t="s">
        <v>75</v>
      </c>
    </row>
    <row r="622" spans="1:5" x14ac:dyDescent="0.25">
      <c r="A622" s="9" t="s">
        <v>1210</v>
      </c>
      <c r="B622" s="10" t="s">
        <v>244</v>
      </c>
      <c r="C622" s="9" t="s">
        <v>245</v>
      </c>
      <c r="D622" s="15">
        <v>652.44000000000005</v>
      </c>
      <c r="E622" s="13" t="s">
        <v>75</v>
      </c>
    </row>
    <row r="623" spans="1:5" x14ac:dyDescent="0.25">
      <c r="A623" s="9" t="s">
        <v>1210</v>
      </c>
      <c r="B623" s="10" t="s">
        <v>246</v>
      </c>
      <c r="C623" s="9" t="s">
        <v>247</v>
      </c>
      <c r="D623" s="15">
        <v>326.7</v>
      </c>
      <c r="E623" s="13" t="s">
        <v>75</v>
      </c>
    </row>
    <row r="624" spans="1:5" x14ac:dyDescent="0.25">
      <c r="A624" s="9" t="s">
        <v>1210</v>
      </c>
      <c r="B624" s="10" t="s">
        <v>248</v>
      </c>
      <c r="C624" s="9" t="s">
        <v>249</v>
      </c>
      <c r="D624" s="15">
        <v>742.44</v>
      </c>
      <c r="E624" s="13" t="s">
        <v>75</v>
      </c>
    </row>
    <row r="625" spans="1:5" x14ac:dyDescent="0.25">
      <c r="A625" s="9" t="s">
        <v>1210</v>
      </c>
      <c r="B625" s="10" t="s">
        <v>250</v>
      </c>
      <c r="C625" s="9" t="s">
        <v>251</v>
      </c>
      <c r="D625" s="15">
        <v>617.22</v>
      </c>
      <c r="E625" s="13" t="s">
        <v>75</v>
      </c>
    </row>
    <row r="626" spans="1:5" x14ac:dyDescent="0.25">
      <c r="A626" s="9" t="s">
        <v>1210</v>
      </c>
      <c r="B626" s="10" t="s">
        <v>252</v>
      </c>
      <c r="C626" s="9" t="s">
        <v>253</v>
      </c>
      <c r="D626" s="15">
        <v>408.46</v>
      </c>
      <c r="E626" s="13" t="s">
        <v>75</v>
      </c>
    </row>
    <row r="627" spans="1:5" x14ac:dyDescent="0.25">
      <c r="A627" s="9" t="s">
        <v>1210</v>
      </c>
      <c r="B627" s="10" t="s">
        <v>256</v>
      </c>
      <c r="C627" s="9" t="s">
        <v>257</v>
      </c>
      <c r="D627" s="15">
        <v>465.3</v>
      </c>
      <c r="E627" s="13" t="s">
        <v>75</v>
      </c>
    </row>
    <row r="628" spans="1:5" x14ac:dyDescent="0.25">
      <c r="A628" s="9" t="s">
        <v>1210</v>
      </c>
      <c r="B628" s="10" t="s">
        <v>258</v>
      </c>
      <c r="C628" s="9" t="s">
        <v>259</v>
      </c>
      <c r="D628" s="15">
        <v>95.04</v>
      </c>
      <c r="E628" s="13" t="s">
        <v>75</v>
      </c>
    </row>
    <row r="629" spans="1:5" x14ac:dyDescent="0.25">
      <c r="A629" s="9" t="s">
        <v>1210</v>
      </c>
      <c r="B629" s="10" t="s">
        <v>260</v>
      </c>
      <c r="C629" s="9" t="s">
        <v>261</v>
      </c>
      <c r="D629" s="15">
        <v>173.95</v>
      </c>
      <c r="E629" s="13" t="s">
        <v>75</v>
      </c>
    </row>
    <row r="630" spans="1:5" x14ac:dyDescent="0.25">
      <c r="A630" s="9" t="s">
        <v>1210</v>
      </c>
      <c r="B630" s="10" t="s">
        <v>262</v>
      </c>
      <c r="C630" s="9" t="s">
        <v>263</v>
      </c>
      <c r="D630" s="15">
        <v>367.65</v>
      </c>
      <c r="E630" s="13" t="s">
        <v>75</v>
      </c>
    </row>
    <row r="631" spans="1:5" x14ac:dyDescent="0.25">
      <c r="A631" s="9" t="s">
        <v>1210</v>
      </c>
      <c r="B631" s="10" t="s">
        <v>264</v>
      </c>
      <c r="C631" s="9" t="s">
        <v>265</v>
      </c>
      <c r="D631" s="15">
        <v>309.29000000000002</v>
      </c>
      <c r="E631" s="13" t="s">
        <v>75</v>
      </c>
    </row>
    <row r="632" spans="1:5" x14ac:dyDescent="0.25">
      <c r="A632" s="9" t="s">
        <v>1210</v>
      </c>
      <c r="B632" s="10" t="s">
        <v>268</v>
      </c>
      <c r="C632" s="9" t="s">
        <v>269</v>
      </c>
      <c r="D632" s="15">
        <v>755.21</v>
      </c>
      <c r="E632" s="13" t="s">
        <v>75</v>
      </c>
    </row>
    <row r="633" spans="1:5" x14ac:dyDescent="0.25">
      <c r="A633" s="9" t="s">
        <v>1210</v>
      </c>
      <c r="B633" s="10" t="s">
        <v>270</v>
      </c>
      <c r="C633" s="9" t="s">
        <v>271</v>
      </c>
      <c r="D633" s="15">
        <v>380.22</v>
      </c>
      <c r="E633" s="13" t="s">
        <v>75</v>
      </c>
    </row>
    <row r="634" spans="1:5" x14ac:dyDescent="0.25">
      <c r="A634" s="9" t="s">
        <v>1210</v>
      </c>
      <c r="B634" s="10" t="s">
        <v>272</v>
      </c>
      <c r="C634" s="9" t="s">
        <v>273</v>
      </c>
      <c r="D634" s="15">
        <v>685.48</v>
      </c>
      <c r="E634" s="13" t="s">
        <v>75</v>
      </c>
    </row>
    <row r="635" spans="1:5" x14ac:dyDescent="0.25">
      <c r="A635" s="9" t="s">
        <v>1210</v>
      </c>
      <c r="B635" s="10" t="s">
        <v>274</v>
      </c>
      <c r="C635" s="9" t="s">
        <v>275</v>
      </c>
      <c r="D635" s="15">
        <v>201.62</v>
      </c>
      <c r="E635" s="13" t="s">
        <v>75</v>
      </c>
    </row>
    <row r="636" spans="1:5" x14ac:dyDescent="0.25">
      <c r="A636" s="9" t="s">
        <v>1210</v>
      </c>
      <c r="B636" s="10" t="s">
        <v>276</v>
      </c>
      <c r="C636" s="9" t="s">
        <v>277</v>
      </c>
      <c r="D636" s="15">
        <v>236.94</v>
      </c>
      <c r="E636" s="13" t="s">
        <v>75</v>
      </c>
    </row>
    <row r="637" spans="1:5" x14ac:dyDescent="0.25">
      <c r="A637" s="9" t="s">
        <v>1210</v>
      </c>
      <c r="B637" s="10" t="s">
        <v>278</v>
      </c>
      <c r="C637" s="9" t="s">
        <v>279</v>
      </c>
      <c r="D637" s="15">
        <v>721.63</v>
      </c>
      <c r="E637" s="13" t="s">
        <v>75</v>
      </c>
    </row>
    <row r="638" spans="1:5" x14ac:dyDescent="0.25">
      <c r="A638" s="9" t="s">
        <v>1210</v>
      </c>
      <c r="B638" s="10" t="s">
        <v>280</v>
      </c>
      <c r="C638" s="9" t="s">
        <v>281</v>
      </c>
      <c r="D638" s="15">
        <v>19.02</v>
      </c>
      <c r="E638" s="13" t="s">
        <v>75</v>
      </c>
    </row>
    <row r="639" spans="1:5" x14ac:dyDescent="0.25">
      <c r="A639" s="9" t="s">
        <v>1210</v>
      </c>
      <c r="B639" s="10" t="s">
        <v>282</v>
      </c>
      <c r="C639" s="9" t="s">
        <v>283</v>
      </c>
      <c r="D639" s="15">
        <v>300.11</v>
      </c>
      <c r="E639" s="13" t="s">
        <v>75</v>
      </c>
    </row>
    <row r="640" spans="1:5" x14ac:dyDescent="0.25">
      <c r="A640" s="9" t="s">
        <v>1210</v>
      </c>
      <c r="B640" s="10" t="s">
        <v>284</v>
      </c>
      <c r="C640" s="9" t="s">
        <v>285</v>
      </c>
      <c r="D640" s="15">
        <v>530.57000000000005</v>
      </c>
      <c r="E640" s="13" t="s">
        <v>75</v>
      </c>
    </row>
    <row r="641" spans="1:5" x14ac:dyDescent="0.25">
      <c r="A641" s="9" t="s">
        <v>1210</v>
      </c>
      <c r="B641" s="10" t="s">
        <v>286</v>
      </c>
      <c r="C641" s="9" t="s">
        <v>287</v>
      </c>
      <c r="D641" s="15">
        <v>95.04</v>
      </c>
      <c r="E641" s="13" t="s">
        <v>75</v>
      </c>
    </row>
    <row r="642" spans="1:5" x14ac:dyDescent="0.25">
      <c r="A642" s="9" t="s">
        <v>1210</v>
      </c>
      <c r="B642" s="10" t="s">
        <v>288</v>
      </c>
      <c r="C642" s="9" t="s">
        <v>289</v>
      </c>
      <c r="D642" s="15">
        <v>258.44</v>
      </c>
      <c r="E642" s="13" t="s">
        <v>75</v>
      </c>
    </row>
    <row r="643" spans="1:5" x14ac:dyDescent="0.25">
      <c r="A643" s="9" t="s">
        <v>1210</v>
      </c>
      <c r="B643" s="10" t="s">
        <v>290</v>
      </c>
      <c r="C643" s="9" t="s">
        <v>291</v>
      </c>
      <c r="D643" s="15">
        <v>424.21</v>
      </c>
      <c r="E643" s="13" t="s">
        <v>75</v>
      </c>
    </row>
    <row r="644" spans="1:5" x14ac:dyDescent="0.25">
      <c r="A644" s="9" t="s">
        <v>1210</v>
      </c>
      <c r="B644" s="10" t="s">
        <v>292</v>
      </c>
      <c r="C644" s="9" t="s">
        <v>293</v>
      </c>
      <c r="D644" s="15">
        <v>124.51</v>
      </c>
      <c r="E644" s="13" t="s">
        <v>75</v>
      </c>
    </row>
    <row r="645" spans="1:5" x14ac:dyDescent="0.25">
      <c r="A645" s="9" t="s">
        <v>1210</v>
      </c>
      <c r="B645" s="10" t="s">
        <v>294</v>
      </c>
      <c r="C645" s="9" t="s">
        <v>295</v>
      </c>
      <c r="D645" s="15">
        <v>516.59</v>
      </c>
      <c r="E645" s="13" t="s">
        <v>75</v>
      </c>
    </row>
    <row r="646" spans="1:5" x14ac:dyDescent="0.25">
      <c r="A646" s="9" t="s">
        <v>1210</v>
      </c>
      <c r="B646" s="10" t="s">
        <v>300</v>
      </c>
      <c r="C646" s="9" t="s">
        <v>301</v>
      </c>
      <c r="D646" s="15">
        <v>731.99</v>
      </c>
      <c r="E646" s="13" t="s">
        <v>75</v>
      </c>
    </row>
    <row r="647" spans="1:5" x14ac:dyDescent="0.25">
      <c r="A647" s="9" t="s">
        <v>1210</v>
      </c>
      <c r="B647" s="10" t="s">
        <v>302</v>
      </c>
      <c r="C647" s="9" t="s">
        <v>303</v>
      </c>
      <c r="D647" s="15">
        <v>28.38</v>
      </c>
      <c r="E647" s="13" t="s">
        <v>75</v>
      </c>
    </row>
    <row r="648" spans="1:5" x14ac:dyDescent="0.25">
      <c r="A648" s="9" t="s">
        <v>1210</v>
      </c>
      <c r="B648" s="10" t="s">
        <v>304</v>
      </c>
      <c r="C648" s="9" t="s">
        <v>305</v>
      </c>
      <c r="D648" s="15">
        <v>894.66</v>
      </c>
      <c r="E648" s="13" t="s">
        <v>75</v>
      </c>
    </row>
    <row r="649" spans="1:5" x14ac:dyDescent="0.25">
      <c r="A649" s="9" t="s">
        <v>1210</v>
      </c>
      <c r="B649" s="10" t="s">
        <v>306</v>
      </c>
      <c r="C649" s="9" t="s">
        <v>307</v>
      </c>
      <c r="D649" s="15">
        <v>666.89</v>
      </c>
      <c r="E649" s="13" t="s">
        <v>75</v>
      </c>
    </row>
    <row r="650" spans="1:5" x14ac:dyDescent="0.25">
      <c r="A650" s="9" t="s">
        <v>1210</v>
      </c>
      <c r="B650" s="10" t="s">
        <v>308</v>
      </c>
      <c r="C650" s="9" t="s">
        <v>309</v>
      </c>
      <c r="D650" s="15">
        <v>204.8</v>
      </c>
      <c r="E650" s="13" t="s">
        <v>75</v>
      </c>
    </row>
    <row r="651" spans="1:5" x14ac:dyDescent="0.25">
      <c r="A651" s="9" t="s">
        <v>1210</v>
      </c>
      <c r="B651" s="10" t="s">
        <v>310</v>
      </c>
      <c r="C651" s="9" t="s">
        <v>311</v>
      </c>
      <c r="D651" s="15">
        <v>378.37</v>
      </c>
      <c r="E651" s="13" t="s">
        <v>75</v>
      </c>
    </row>
    <row r="652" spans="1:5" x14ac:dyDescent="0.25">
      <c r="A652" s="9" t="s">
        <v>1210</v>
      </c>
      <c r="B652" s="10" t="s">
        <v>312</v>
      </c>
      <c r="C652" s="9" t="s">
        <v>313</v>
      </c>
      <c r="D652" s="15">
        <v>243.6</v>
      </c>
      <c r="E652" s="13" t="s">
        <v>75</v>
      </c>
    </row>
    <row r="653" spans="1:5" x14ac:dyDescent="0.25">
      <c r="A653" s="9" t="s">
        <v>1210</v>
      </c>
      <c r="B653" s="10" t="s">
        <v>314</v>
      </c>
      <c r="C653" s="9" t="s">
        <v>315</v>
      </c>
      <c r="D653" s="15">
        <v>204.13</v>
      </c>
      <c r="E653" s="13" t="s">
        <v>75</v>
      </c>
    </row>
    <row r="654" spans="1:5" x14ac:dyDescent="0.25">
      <c r="A654" s="9" t="s">
        <v>1210</v>
      </c>
      <c r="B654" s="10" t="s">
        <v>316</v>
      </c>
      <c r="C654" s="9" t="s">
        <v>317</v>
      </c>
      <c r="D654" s="15">
        <v>416.52</v>
      </c>
      <c r="E654" s="13" t="s">
        <v>75</v>
      </c>
    </row>
    <row r="655" spans="1:5" x14ac:dyDescent="0.25">
      <c r="A655" s="9" t="s">
        <v>1210</v>
      </c>
      <c r="B655" s="10" t="s">
        <v>318</v>
      </c>
      <c r="C655" s="9" t="s">
        <v>319</v>
      </c>
      <c r="D655" s="15">
        <v>884.25</v>
      </c>
      <c r="E655" s="13" t="s">
        <v>75</v>
      </c>
    </row>
    <row r="656" spans="1:5" x14ac:dyDescent="0.25">
      <c r="A656" s="9" t="s">
        <v>1210</v>
      </c>
      <c r="B656" s="10" t="s">
        <v>320</v>
      </c>
      <c r="C656" s="9" t="s">
        <v>321</v>
      </c>
      <c r="D656" s="15">
        <v>57</v>
      </c>
      <c r="E656" s="13" t="s">
        <v>75</v>
      </c>
    </row>
    <row r="657" spans="1:5" x14ac:dyDescent="0.25">
      <c r="A657" s="9" t="s">
        <v>1210</v>
      </c>
      <c r="B657" s="10" t="s">
        <v>322</v>
      </c>
      <c r="C657" s="9" t="s">
        <v>323</v>
      </c>
      <c r="D657" s="15">
        <v>106.45</v>
      </c>
      <c r="E657" s="13" t="s">
        <v>75</v>
      </c>
    </row>
    <row r="658" spans="1:5" x14ac:dyDescent="0.25">
      <c r="A658" s="9" t="s">
        <v>1210</v>
      </c>
      <c r="B658" s="10" t="s">
        <v>324</v>
      </c>
      <c r="C658" s="9" t="s">
        <v>325</v>
      </c>
      <c r="D658" s="15">
        <v>115.62</v>
      </c>
      <c r="E658" s="13" t="s">
        <v>75</v>
      </c>
    </row>
    <row r="659" spans="1:5" x14ac:dyDescent="0.25">
      <c r="A659" s="9" t="s">
        <v>1210</v>
      </c>
      <c r="B659" s="10" t="s">
        <v>326</v>
      </c>
      <c r="C659" s="9" t="s">
        <v>327</v>
      </c>
      <c r="D659" s="15">
        <v>72.760000000000005</v>
      </c>
      <c r="E659" s="13" t="s">
        <v>75</v>
      </c>
    </row>
    <row r="660" spans="1:5" x14ac:dyDescent="0.25">
      <c r="A660" s="9" t="s">
        <v>1210</v>
      </c>
      <c r="B660" s="10" t="s">
        <v>328</v>
      </c>
      <c r="C660" s="9" t="s">
        <v>329</v>
      </c>
      <c r="D660" s="15">
        <v>313.8</v>
      </c>
      <c r="E660" s="13" t="s">
        <v>75</v>
      </c>
    </row>
    <row r="661" spans="1:5" x14ac:dyDescent="0.25">
      <c r="A661" s="9" t="s">
        <v>1210</v>
      </c>
      <c r="B661" s="10" t="s">
        <v>330</v>
      </c>
      <c r="C661" s="9" t="s">
        <v>331</v>
      </c>
      <c r="D661" s="15">
        <v>57</v>
      </c>
      <c r="E661" s="13" t="s">
        <v>75</v>
      </c>
    </row>
    <row r="662" spans="1:5" x14ac:dyDescent="0.25">
      <c r="A662" s="9" t="s">
        <v>1210</v>
      </c>
      <c r="B662" s="10" t="s">
        <v>332</v>
      </c>
      <c r="C662" s="9" t="s">
        <v>333</v>
      </c>
      <c r="D662" s="15">
        <v>190.14</v>
      </c>
      <c r="E662" s="13" t="s">
        <v>75</v>
      </c>
    </row>
    <row r="663" spans="1:5" x14ac:dyDescent="0.25">
      <c r="A663" s="9" t="s">
        <v>1210</v>
      </c>
      <c r="B663" s="10" t="s">
        <v>336</v>
      </c>
      <c r="C663" s="9" t="s">
        <v>337</v>
      </c>
      <c r="D663" s="15">
        <v>106.61</v>
      </c>
      <c r="E663" s="13" t="s">
        <v>75</v>
      </c>
    </row>
    <row r="664" spans="1:5" x14ac:dyDescent="0.25">
      <c r="A664" s="9" t="s">
        <v>1210</v>
      </c>
      <c r="B664" s="10" t="s">
        <v>338</v>
      </c>
      <c r="C664" s="9" t="s">
        <v>339</v>
      </c>
      <c r="D664" s="15">
        <v>399.41</v>
      </c>
      <c r="E664" s="13" t="s">
        <v>75</v>
      </c>
    </row>
    <row r="665" spans="1:5" x14ac:dyDescent="0.25">
      <c r="A665" s="9" t="s">
        <v>1210</v>
      </c>
      <c r="B665" s="10" t="s">
        <v>340</v>
      </c>
      <c r="C665" s="9" t="s">
        <v>341</v>
      </c>
      <c r="D665" s="15">
        <v>142.62</v>
      </c>
      <c r="E665" s="13" t="s">
        <v>75</v>
      </c>
    </row>
    <row r="666" spans="1:5" x14ac:dyDescent="0.25">
      <c r="A666" s="9" t="s">
        <v>1210</v>
      </c>
      <c r="B666" s="10" t="s">
        <v>342</v>
      </c>
      <c r="C666" s="9" t="s">
        <v>343</v>
      </c>
      <c r="D666" s="15">
        <v>190.14</v>
      </c>
      <c r="E666" s="13" t="s">
        <v>75</v>
      </c>
    </row>
    <row r="667" spans="1:5" x14ac:dyDescent="0.25">
      <c r="A667" s="9" t="s">
        <v>1210</v>
      </c>
      <c r="B667" s="10" t="s">
        <v>344</v>
      </c>
      <c r="C667" s="9" t="s">
        <v>345</v>
      </c>
      <c r="D667" s="15">
        <v>38.04</v>
      </c>
      <c r="E667" s="13" t="s">
        <v>75</v>
      </c>
    </row>
    <row r="668" spans="1:5" x14ac:dyDescent="0.25">
      <c r="A668" s="9" t="s">
        <v>1210</v>
      </c>
      <c r="B668" s="10" t="s">
        <v>348</v>
      </c>
      <c r="C668" s="9" t="s">
        <v>349</v>
      </c>
      <c r="D668" s="15">
        <v>685</v>
      </c>
      <c r="E668" s="13" t="s">
        <v>75</v>
      </c>
    </row>
    <row r="669" spans="1:5" x14ac:dyDescent="0.25">
      <c r="A669" s="9" t="s">
        <v>1210</v>
      </c>
      <c r="B669" s="10" t="s">
        <v>350</v>
      </c>
      <c r="C669" s="9" t="s">
        <v>351</v>
      </c>
      <c r="D669" s="15">
        <v>118.44</v>
      </c>
      <c r="E669" s="13" t="s">
        <v>75</v>
      </c>
    </row>
    <row r="670" spans="1:5" x14ac:dyDescent="0.25">
      <c r="A670" s="9" t="s">
        <v>1210</v>
      </c>
      <c r="B670" s="10" t="s">
        <v>352</v>
      </c>
      <c r="C670" s="9" t="s">
        <v>353</v>
      </c>
      <c r="D670" s="15">
        <v>387.36</v>
      </c>
      <c r="E670" s="13" t="s">
        <v>75</v>
      </c>
    </row>
    <row r="671" spans="1:5" x14ac:dyDescent="0.25">
      <c r="A671" s="9" t="s">
        <v>1210</v>
      </c>
      <c r="B671" s="10" t="s">
        <v>354</v>
      </c>
      <c r="C671" s="9" t="s">
        <v>355</v>
      </c>
      <c r="D671" s="15">
        <v>1002.64</v>
      </c>
      <c r="E671" s="13" t="s">
        <v>75</v>
      </c>
    </row>
    <row r="672" spans="1:5" x14ac:dyDescent="0.25">
      <c r="A672" s="9" t="s">
        <v>1210</v>
      </c>
      <c r="B672" s="10" t="s">
        <v>356</v>
      </c>
      <c r="C672" s="9" t="s">
        <v>357</v>
      </c>
      <c r="D672" s="15">
        <v>32.15</v>
      </c>
      <c r="E672" s="13" t="s">
        <v>75</v>
      </c>
    </row>
    <row r="673" spans="1:5" x14ac:dyDescent="0.25">
      <c r="A673" s="9" t="s">
        <v>1210</v>
      </c>
      <c r="B673" s="10" t="s">
        <v>358</v>
      </c>
      <c r="C673" s="9" t="s">
        <v>359</v>
      </c>
      <c r="D673" s="15">
        <v>47.52</v>
      </c>
      <c r="E673" s="13" t="s">
        <v>75</v>
      </c>
    </row>
    <row r="674" spans="1:5" x14ac:dyDescent="0.25">
      <c r="A674" s="9" t="s">
        <v>1210</v>
      </c>
      <c r="B674" s="10" t="s">
        <v>360</v>
      </c>
      <c r="C674" s="9" t="s">
        <v>361</v>
      </c>
      <c r="D674" s="15">
        <v>657.35</v>
      </c>
      <c r="E674" s="13" t="s">
        <v>75</v>
      </c>
    </row>
    <row r="675" spans="1:5" x14ac:dyDescent="0.25">
      <c r="A675" s="9" t="s">
        <v>1210</v>
      </c>
      <c r="B675" s="10" t="s">
        <v>362</v>
      </c>
      <c r="C675" s="9" t="s">
        <v>363</v>
      </c>
      <c r="D675" s="15">
        <v>180.93</v>
      </c>
      <c r="E675" s="13" t="s">
        <v>75</v>
      </c>
    </row>
    <row r="676" spans="1:5" x14ac:dyDescent="0.25">
      <c r="A676" s="9" t="s">
        <v>1210</v>
      </c>
      <c r="B676" s="10" t="s">
        <v>364</v>
      </c>
      <c r="C676" s="9" t="s">
        <v>365</v>
      </c>
      <c r="D676" s="15">
        <v>621.02</v>
      </c>
      <c r="E676" s="13" t="s">
        <v>75</v>
      </c>
    </row>
    <row r="677" spans="1:5" x14ac:dyDescent="0.25">
      <c r="A677" s="9" t="s">
        <v>1210</v>
      </c>
      <c r="B677" s="10" t="s">
        <v>368</v>
      </c>
      <c r="C677" s="9" t="s">
        <v>369</v>
      </c>
      <c r="D677" s="15">
        <v>437.77</v>
      </c>
      <c r="E677" s="13" t="s">
        <v>75</v>
      </c>
    </row>
    <row r="678" spans="1:5" x14ac:dyDescent="0.25">
      <c r="A678" s="9" t="s">
        <v>1210</v>
      </c>
      <c r="B678" s="10" t="s">
        <v>370</v>
      </c>
      <c r="C678" s="9" t="s">
        <v>371</v>
      </c>
      <c r="D678" s="15">
        <v>95.04</v>
      </c>
      <c r="E678" s="13" t="s">
        <v>75</v>
      </c>
    </row>
    <row r="679" spans="1:5" x14ac:dyDescent="0.25">
      <c r="A679" s="9" t="s">
        <v>1210</v>
      </c>
      <c r="B679" s="10" t="s">
        <v>372</v>
      </c>
      <c r="C679" s="9" t="s">
        <v>373</v>
      </c>
      <c r="D679" s="15">
        <v>948.01</v>
      </c>
      <c r="E679" s="13" t="s">
        <v>75</v>
      </c>
    </row>
    <row r="680" spans="1:5" x14ac:dyDescent="0.25">
      <c r="A680" s="9" t="s">
        <v>1210</v>
      </c>
      <c r="B680" s="10" t="s">
        <v>374</v>
      </c>
      <c r="C680" s="9" t="s">
        <v>375</v>
      </c>
      <c r="D680" s="15">
        <v>9.51</v>
      </c>
      <c r="E680" s="13" t="s">
        <v>75</v>
      </c>
    </row>
    <row r="681" spans="1:5" x14ac:dyDescent="0.25">
      <c r="A681" s="9" t="s">
        <v>1210</v>
      </c>
      <c r="B681" s="10" t="s">
        <v>376</v>
      </c>
      <c r="C681" s="9" t="s">
        <v>377</v>
      </c>
      <c r="D681" s="15">
        <v>827.45</v>
      </c>
      <c r="E681" s="13" t="s">
        <v>75</v>
      </c>
    </row>
    <row r="682" spans="1:5" x14ac:dyDescent="0.25">
      <c r="A682" s="9" t="s">
        <v>1210</v>
      </c>
      <c r="B682" s="10" t="s">
        <v>378</v>
      </c>
      <c r="C682" s="9" t="s">
        <v>379</v>
      </c>
      <c r="D682" s="15">
        <v>544.16999999999996</v>
      </c>
      <c r="E682" s="13" t="s">
        <v>75</v>
      </c>
    </row>
    <row r="683" spans="1:5" x14ac:dyDescent="0.25">
      <c r="A683" s="9" t="s">
        <v>1210</v>
      </c>
      <c r="B683" s="10" t="s">
        <v>380</v>
      </c>
      <c r="C683" s="9" t="s">
        <v>381</v>
      </c>
      <c r="D683" s="15">
        <v>61.44</v>
      </c>
      <c r="E683" s="13" t="s">
        <v>75</v>
      </c>
    </row>
    <row r="684" spans="1:5" x14ac:dyDescent="0.25">
      <c r="A684" s="9" t="s">
        <v>1210</v>
      </c>
      <c r="B684" s="10" t="s">
        <v>382</v>
      </c>
      <c r="C684" s="9" t="s">
        <v>383</v>
      </c>
      <c r="D684" s="15">
        <v>200.27</v>
      </c>
      <c r="E684" s="13" t="s">
        <v>75</v>
      </c>
    </row>
    <row r="685" spans="1:5" x14ac:dyDescent="0.25">
      <c r="A685" s="9" t="s">
        <v>1210</v>
      </c>
      <c r="B685" s="10" t="s">
        <v>386</v>
      </c>
      <c r="C685" s="9" t="s">
        <v>387</v>
      </c>
      <c r="D685" s="15">
        <v>95.04</v>
      </c>
      <c r="E685" s="13" t="s">
        <v>75</v>
      </c>
    </row>
    <row r="686" spans="1:5" x14ac:dyDescent="0.25">
      <c r="A686" s="9" t="s">
        <v>1210</v>
      </c>
      <c r="B686" s="10" t="s">
        <v>388</v>
      </c>
      <c r="C686" s="9" t="s">
        <v>389</v>
      </c>
      <c r="D686" s="15">
        <v>76.02</v>
      </c>
      <c r="E686" s="13" t="s">
        <v>75</v>
      </c>
    </row>
    <row r="687" spans="1:5" x14ac:dyDescent="0.25">
      <c r="A687" s="9" t="s">
        <v>1210</v>
      </c>
      <c r="B687" s="10" t="s">
        <v>390</v>
      </c>
      <c r="C687" s="9" t="s">
        <v>391</v>
      </c>
      <c r="D687" s="15">
        <v>151.01</v>
      </c>
      <c r="E687" s="13" t="s">
        <v>75</v>
      </c>
    </row>
    <row r="688" spans="1:5" x14ac:dyDescent="0.25">
      <c r="A688" s="9" t="s">
        <v>1210</v>
      </c>
      <c r="B688" s="10" t="s">
        <v>392</v>
      </c>
      <c r="C688" s="9" t="s">
        <v>393</v>
      </c>
      <c r="D688" s="15">
        <v>59.7</v>
      </c>
      <c r="E688" s="13" t="s">
        <v>75</v>
      </c>
    </row>
    <row r="689" spans="1:5" x14ac:dyDescent="0.25">
      <c r="A689" s="9" t="s">
        <v>1210</v>
      </c>
      <c r="B689" s="10" t="s">
        <v>394</v>
      </c>
      <c r="C689" s="9" t="s">
        <v>395</v>
      </c>
      <c r="D689" s="15">
        <v>238.44</v>
      </c>
      <c r="E689" s="13" t="s">
        <v>75</v>
      </c>
    </row>
    <row r="690" spans="1:5" x14ac:dyDescent="0.25">
      <c r="A690" s="9" t="s">
        <v>1210</v>
      </c>
      <c r="B690" s="10" t="s">
        <v>396</v>
      </c>
      <c r="C690" s="9" t="s">
        <v>397</v>
      </c>
      <c r="D690" s="15">
        <v>191.7</v>
      </c>
      <c r="E690" s="13" t="s">
        <v>75</v>
      </c>
    </row>
    <row r="691" spans="1:5" x14ac:dyDescent="0.25">
      <c r="A691" s="9" t="s">
        <v>1210</v>
      </c>
      <c r="B691" s="10" t="s">
        <v>398</v>
      </c>
      <c r="C691" s="9" t="s">
        <v>399</v>
      </c>
      <c r="D691" s="15">
        <v>465.85</v>
      </c>
      <c r="E691" s="13" t="s">
        <v>75</v>
      </c>
    </row>
    <row r="692" spans="1:5" x14ac:dyDescent="0.25">
      <c r="A692" s="9" t="s">
        <v>1210</v>
      </c>
      <c r="B692" s="10" t="s">
        <v>400</v>
      </c>
      <c r="C692" s="9" t="s">
        <v>401</v>
      </c>
      <c r="D692" s="15">
        <v>136.80000000000001</v>
      </c>
      <c r="E692" s="13" t="s">
        <v>75</v>
      </c>
    </row>
    <row r="693" spans="1:5" x14ac:dyDescent="0.25">
      <c r="A693" s="9" t="s">
        <v>1210</v>
      </c>
      <c r="B693" s="10" t="s">
        <v>404</v>
      </c>
      <c r="C693" s="9" t="s">
        <v>405</v>
      </c>
      <c r="D693" s="15">
        <v>670.48</v>
      </c>
      <c r="E693" s="13" t="s">
        <v>75</v>
      </c>
    </row>
    <row r="694" spans="1:5" x14ac:dyDescent="0.25">
      <c r="A694" s="9" t="s">
        <v>1210</v>
      </c>
      <c r="B694" s="10" t="s">
        <v>406</v>
      </c>
      <c r="C694" s="9" t="s">
        <v>407</v>
      </c>
      <c r="D694" s="15">
        <v>397.39</v>
      </c>
      <c r="E694" s="13" t="s">
        <v>75</v>
      </c>
    </row>
    <row r="695" spans="1:5" x14ac:dyDescent="0.25">
      <c r="A695" s="9" t="s">
        <v>1210</v>
      </c>
      <c r="B695" s="10" t="s">
        <v>408</v>
      </c>
      <c r="C695" s="9" t="s">
        <v>409</v>
      </c>
      <c r="D695" s="15">
        <v>77.900000000000006</v>
      </c>
      <c r="E695" s="13" t="s">
        <v>75</v>
      </c>
    </row>
    <row r="696" spans="1:5" x14ac:dyDescent="0.25">
      <c r="A696" s="9" t="s">
        <v>1210</v>
      </c>
      <c r="B696" s="10" t="s">
        <v>410</v>
      </c>
      <c r="C696" s="9" t="s">
        <v>411</v>
      </c>
      <c r="D696" s="15">
        <v>95.04</v>
      </c>
      <c r="E696" s="13" t="s">
        <v>75</v>
      </c>
    </row>
    <row r="697" spans="1:5" x14ac:dyDescent="0.25">
      <c r="A697" s="9" t="s">
        <v>1210</v>
      </c>
      <c r="B697" s="10" t="s">
        <v>412</v>
      </c>
      <c r="C697" s="9" t="s">
        <v>413</v>
      </c>
      <c r="D697" s="15">
        <v>63.38</v>
      </c>
      <c r="E697" s="13" t="s">
        <v>75</v>
      </c>
    </row>
    <row r="698" spans="1:5" x14ac:dyDescent="0.25">
      <c r="A698" s="9" t="s">
        <v>1210</v>
      </c>
      <c r="B698" s="10" t="s">
        <v>414</v>
      </c>
      <c r="C698" s="9" t="s">
        <v>415</v>
      </c>
      <c r="D698" s="15">
        <v>30.9</v>
      </c>
      <c r="E698" s="13" t="s">
        <v>75</v>
      </c>
    </row>
    <row r="699" spans="1:5" x14ac:dyDescent="0.25">
      <c r="A699" s="9" t="s">
        <v>1210</v>
      </c>
      <c r="B699" s="10" t="s">
        <v>416</v>
      </c>
      <c r="C699" s="9" t="s">
        <v>417</v>
      </c>
      <c r="D699" s="15">
        <v>131.36000000000001</v>
      </c>
      <c r="E699" s="13" t="s">
        <v>75</v>
      </c>
    </row>
    <row r="700" spans="1:5" x14ac:dyDescent="0.25">
      <c r="A700" s="9" t="s">
        <v>1210</v>
      </c>
      <c r="B700" s="10" t="s">
        <v>418</v>
      </c>
      <c r="C700" s="9" t="s">
        <v>419</v>
      </c>
      <c r="D700" s="15">
        <v>95.06</v>
      </c>
      <c r="E700" s="13" t="s">
        <v>75</v>
      </c>
    </row>
    <row r="701" spans="1:5" x14ac:dyDescent="0.25">
      <c r="A701" s="9" t="s">
        <v>1210</v>
      </c>
      <c r="B701" s="10" t="s">
        <v>422</v>
      </c>
      <c r="C701" s="9" t="s">
        <v>423</v>
      </c>
      <c r="D701" s="15">
        <v>1015.53</v>
      </c>
      <c r="E701" s="13" t="s">
        <v>75</v>
      </c>
    </row>
    <row r="702" spans="1:5" x14ac:dyDescent="0.25">
      <c r="A702" s="9" t="s">
        <v>1210</v>
      </c>
      <c r="B702" s="10" t="s">
        <v>424</v>
      </c>
      <c r="C702" s="9" t="s">
        <v>425</v>
      </c>
      <c r="D702" s="15">
        <v>95.04</v>
      </c>
      <c r="E702" s="13" t="s">
        <v>75</v>
      </c>
    </row>
    <row r="703" spans="1:5" x14ac:dyDescent="0.25">
      <c r="A703" s="9" t="s">
        <v>1210</v>
      </c>
      <c r="B703" s="10" t="s">
        <v>426</v>
      </c>
      <c r="C703" s="9" t="s">
        <v>427</v>
      </c>
      <c r="D703" s="15">
        <v>1360.7</v>
      </c>
      <c r="E703" s="13" t="s">
        <v>75</v>
      </c>
    </row>
    <row r="704" spans="1:5" x14ac:dyDescent="0.25">
      <c r="A704" s="9" t="s">
        <v>1210</v>
      </c>
      <c r="B704" s="10" t="s">
        <v>428</v>
      </c>
      <c r="C704" s="9" t="s">
        <v>429</v>
      </c>
      <c r="D704" s="15">
        <v>610.98</v>
      </c>
      <c r="E704" s="13" t="s">
        <v>75</v>
      </c>
    </row>
    <row r="705" spans="1:5" x14ac:dyDescent="0.25">
      <c r="A705" s="9" t="s">
        <v>1210</v>
      </c>
      <c r="B705" s="10" t="s">
        <v>430</v>
      </c>
      <c r="C705" s="9" t="s">
        <v>431</v>
      </c>
      <c r="D705" s="15">
        <v>95.04</v>
      </c>
      <c r="E705" s="13" t="s">
        <v>75</v>
      </c>
    </row>
    <row r="706" spans="1:5" x14ac:dyDescent="0.25">
      <c r="A706" s="9" t="s">
        <v>1210</v>
      </c>
      <c r="B706" s="10" t="s">
        <v>432</v>
      </c>
      <c r="C706" s="9" t="s">
        <v>433</v>
      </c>
      <c r="D706" s="15">
        <v>447.53</v>
      </c>
      <c r="E706" s="13" t="s">
        <v>75</v>
      </c>
    </row>
    <row r="707" spans="1:5" x14ac:dyDescent="0.25">
      <c r="A707" s="9" t="s">
        <v>1210</v>
      </c>
      <c r="B707" s="10" t="s">
        <v>434</v>
      </c>
      <c r="C707" s="9" t="s">
        <v>435</v>
      </c>
      <c r="D707" s="15">
        <v>40.799999999999997</v>
      </c>
      <c r="E707" s="13" t="s">
        <v>75</v>
      </c>
    </row>
    <row r="708" spans="1:5" x14ac:dyDescent="0.25">
      <c r="A708" s="9" t="s">
        <v>1210</v>
      </c>
      <c r="B708" s="10" t="s">
        <v>436</v>
      </c>
      <c r="C708" s="9" t="s">
        <v>437</v>
      </c>
      <c r="D708" s="15">
        <v>95.04</v>
      </c>
      <c r="E708" s="13" t="s">
        <v>75</v>
      </c>
    </row>
    <row r="709" spans="1:5" x14ac:dyDescent="0.25">
      <c r="A709" s="9" t="s">
        <v>1210</v>
      </c>
      <c r="B709" s="10" t="s">
        <v>438</v>
      </c>
      <c r="C709" s="9" t="s">
        <v>439</v>
      </c>
      <c r="D709" s="15">
        <v>611.54</v>
      </c>
      <c r="E709" s="13" t="s">
        <v>75</v>
      </c>
    </row>
    <row r="710" spans="1:5" x14ac:dyDescent="0.25">
      <c r="A710" s="9" t="s">
        <v>1210</v>
      </c>
      <c r="B710" s="10" t="s">
        <v>440</v>
      </c>
      <c r="C710" s="9" t="s">
        <v>441</v>
      </c>
      <c r="D710" s="15">
        <v>42.84</v>
      </c>
      <c r="E710" s="13" t="s">
        <v>75</v>
      </c>
    </row>
    <row r="711" spans="1:5" x14ac:dyDescent="0.25">
      <c r="A711" s="9" t="s">
        <v>1210</v>
      </c>
      <c r="B711" s="10" t="s">
        <v>442</v>
      </c>
      <c r="C711" s="9" t="s">
        <v>443</v>
      </c>
      <c r="D711" s="15">
        <v>90.49</v>
      </c>
      <c r="E711" s="13" t="s">
        <v>75</v>
      </c>
    </row>
    <row r="712" spans="1:5" x14ac:dyDescent="0.25">
      <c r="A712" s="9" t="s">
        <v>1210</v>
      </c>
      <c r="B712" s="10" t="s">
        <v>444</v>
      </c>
      <c r="C712" s="9" t="s">
        <v>445</v>
      </c>
      <c r="D712" s="15">
        <v>980.71</v>
      </c>
      <c r="E712" s="13" t="s">
        <v>75</v>
      </c>
    </row>
    <row r="713" spans="1:5" x14ac:dyDescent="0.25">
      <c r="A713" s="9" t="s">
        <v>1210</v>
      </c>
      <c r="B713" s="10" t="s">
        <v>446</v>
      </c>
      <c r="C713" s="9" t="s">
        <v>447</v>
      </c>
      <c r="D713" s="15">
        <v>116.94</v>
      </c>
      <c r="E713" s="13" t="s">
        <v>75</v>
      </c>
    </row>
    <row r="714" spans="1:5" x14ac:dyDescent="0.25">
      <c r="A714" s="9" t="s">
        <v>1210</v>
      </c>
      <c r="B714" s="10" t="s">
        <v>450</v>
      </c>
      <c r="C714" s="9" t="s">
        <v>451</v>
      </c>
      <c r="D714" s="15">
        <v>19.02</v>
      </c>
      <c r="E714" s="13" t="s">
        <v>75</v>
      </c>
    </row>
    <row r="715" spans="1:5" x14ac:dyDescent="0.25">
      <c r="A715" s="9" t="s">
        <v>1210</v>
      </c>
      <c r="B715" s="10" t="s">
        <v>452</v>
      </c>
      <c r="C715" s="9" t="s">
        <v>453</v>
      </c>
      <c r="D715" s="15">
        <v>102.12</v>
      </c>
      <c r="E715" s="13" t="s">
        <v>75</v>
      </c>
    </row>
    <row r="716" spans="1:5" x14ac:dyDescent="0.25">
      <c r="A716" s="9" t="s">
        <v>1210</v>
      </c>
      <c r="B716" s="10" t="s">
        <v>454</v>
      </c>
      <c r="C716" s="9" t="s">
        <v>455</v>
      </c>
      <c r="D716" s="15">
        <v>118.44</v>
      </c>
      <c r="E716" s="13" t="s">
        <v>75</v>
      </c>
    </row>
    <row r="717" spans="1:5" x14ac:dyDescent="0.25">
      <c r="A717" s="9" t="s">
        <v>1210</v>
      </c>
      <c r="B717" s="10" t="s">
        <v>456</v>
      </c>
      <c r="C717" s="9" t="s">
        <v>457</v>
      </c>
      <c r="D717" s="15">
        <v>422.78</v>
      </c>
      <c r="E717" s="13" t="s">
        <v>75</v>
      </c>
    </row>
    <row r="718" spans="1:5" x14ac:dyDescent="0.25">
      <c r="A718" s="9" t="s">
        <v>1210</v>
      </c>
      <c r="B718" s="10" t="s">
        <v>458</v>
      </c>
      <c r="C718" s="9" t="s">
        <v>459</v>
      </c>
      <c r="D718" s="15">
        <v>242.67</v>
      </c>
      <c r="E718" s="13" t="s">
        <v>75</v>
      </c>
    </row>
    <row r="719" spans="1:5" x14ac:dyDescent="0.25">
      <c r="A719" s="9" t="s">
        <v>1210</v>
      </c>
      <c r="B719" s="10" t="s">
        <v>460</v>
      </c>
      <c r="C719" s="9" t="s">
        <v>461</v>
      </c>
      <c r="D719" s="15">
        <v>783.09</v>
      </c>
      <c r="E719" s="13" t="s">
        <v>75</v>
      </c>
    </row>
    <row r="720" spans="1:5" x14ac:dyDescent="0.25">
      <c r="A720" s="9" t="s">
        <v>1210</v>
      </c>
      <c r="B720" s="10" t="s">
        <v>464</v>
      </c>
      <c r="C720" s="9" t="s">
        <v>465</v>
      </c>
      <c r="D720" s="15">
        <v>79.2</v>
      </c>
      <c r="E720" s="13" t="s">
        <v>75</v>
      </c>
    </row>
    <row r="721" spans="1:5" x14ac:dyDescent="0.25">
      <c r="A721" s="9" t="s">
        <v>1210</v>
      </c>
      <c r="B721" s="10" t="s">
        <v>466</v>
      </c>
      <c r="C721" s="9" t="s">
        <v>467</v>
      </c>
      <c r="D721" s="15">
        <v>430.67</v>
      </c>
      <c r="E721" s="13" t="s">
        <v>75</v>
      </c>
    </row>
    <row r="722" spans="1:5" x14ac:dyDescent="0.25">
      <c r="A722" s="9" t="s">
        <v>1210</v>
      </c>
      <c r="B722" s="10" t="s">
        <v>468</v>
      </c>
      <c r="C722" s="9" t="s">
        <v>469</v>
      </c>
      <c r="D722" s="15">
        <v>1364.58</v>
      </c>
      <c r="E722" s="13" t="s">
        <v>75</v>
      </c>
    </row>
    <row r="723" spans="1:5" x14ac:dyDescent="0.25">
      <c r="A723" s="9" t="s">
        <v>1210</v>
      </c>
      <c r="B723" s="10" t="s">
        <v>470</v>
      </c>
      <c r="C723" s="9" t="s">
        <v>471</v>
      </c>
      <c r="D723" s="15">
        <v>19.02</v>
      </c>
      <c r="E723" s="13" t="s">
        <v>75</v>
      </c>
    </row>
    <row r="724" spans="1:5" x14ac:dyDescent="0.25">
      <c r="A724" s="9" t="s">
        <v>1210</v>
      </c>
      <c r="B724" s="10" t="s">
        <v>472</v>
      </c>
      <c r="C724" s="9" t="s">
        <v>473</v>
      </c>
      <c r="D724" s="15">
        <v>9.51</v>
      </c>
      <c r="E724" s="13" t="s">
        <v>75</v>
      </c>
    </row>
    <row r="725" spans="1:5" x14ac:dyDescent="0.25">
      <c r="A725" s="9" t="s">
        <v>1210</v>
      </c>
      <c r="B725" s="10" t="s">
        <v>474</v>
      </c>
      <c r="C725" s="9" t="s">
        <v>475</v>
      </c>
      <c r="D725" s="15">
        <v>419.07</v>
      </c>
      <c r="E725" s="13" t="s">
        <v>75</v>
      </c>
    </row>
    <row r="726" spans="1:5" x14ac:dyDescent="0.25">
      <c r="A726" s="9" t="s">
        <v>1210</v>
      </c>
      <c r="B726" s="10" t="s">
        <v>478</v>
      </c>
      <c r="C726" s="9" t="s">
        <v>479</v>
      </c>
      <c r="D726" s="15">
        <v>165.24</v>
      </c>
      <c r="E726" s="13" t="s">
        <v>75</v>
      </c>
    </row>
    <row r="727" spans="1:5" x14ac:dyDescent="0.25">
      <c r="A727" s="9" t="s">
        <v>1210</v>
      </c>
      <c r="B727" s="10" t="s">
        <v>480</v>
      </c>
      <c r="C727" s="9" t="s">
        <v>481</v>
      </c>
      <c r="D727" s="15">
        <v>95.04</v>
      </c>
      <c r="E727" s="13" t="s">
        <v>75</v>
      </c>
    </row>
    <row r="728" spans="1:5" x14ac:dyDescent="0.25">
      <c r="A728" s="9" t="s">
        <v>1210</v>
      </c>
      <c r="B728" s="10" t="s">
        <v>482</v>
      </c>
      <c r="C728" s="9" t="s">
        <v>483</v>
      </c>
      <c r="D728" s="15">
        <v>95.04</v>
      </c>
      <c r="E728" s="13" t="s">
        <v>75</v>
      </c>
    </row>
    <row r="729" spans="1:5" x14ac:dyDescent="0.25">
      <c r="A729" s="9" t="s">
        <v>1210</v>
      </c>
      <c r="B729" s="10" t="s">
        <v>484</v>
      </c>
      <c r="C729" s="9" t="s">
        <v>485</v>
      </c>
      <c r="D729" s="15">
        <v>153.83000000000001</v>
      </c>
      <c r="E729" s="13" t="s">
        <v>75</v>
      </c>
    </row>
    <row r="730" spans="1:5" x14ac:dyDescent="0.25">
      <c r="A730" s="9" t="s">
        <v>1210</v>
      </c>
      <c r="B730" s="10" t="s">
        <v>486</v>
      </c>
      <c r="C730" s="9" t="s">
        <v>487</v>
      </c>
      <c r="D730" s="15">
        <v>200.58</v>
      </c>
      <c r="E730" s="13" t="s">
        <v>75</v>
      </c>
    </row>
    <row r="731" spans="1:5" x14ac:dyDescent="0.25">
      <c r="A731" s="9" t="s">
        <v>1210</v>
      </c>
      <c r="B731" s="10" t="s">
        <v>488</v>
      </c>
      <c r="C731" s="9" t="s">
        <v>489</v>
      </c>
      <c r="D731" s="15">
        <v>410.42</v>
      </c>
      <c r="E731" s="13" t="s">
        <v>75</v>
      </c>
    </row>
    <row r="732" spans="1:5" x14ac:dyDescent="0.25">
      <c r="A732" s="9" t="s">
        <v>1210</v>
      </c>
      <c r="B732" s="10" t="s">
        <v>492</v>
      </c>
      <c r="C732" s="9" t="s">
        <v>493</v>
      </c>
      <c r="D732" s="15">
        <v>95.04</v>
      </c>
      <c r="E732" s="13" t="s">
        <v>75</v>
      </c>
    </row>
    <row r="733" spans="1:5" x14ac:dyDescent="0.25">
      <c r="A733" s="9" t="s">
        <v>1210</v>
      </c>
      <c r="B733" s="10" t="s">
        <v>494</v>
      </c>
      <c r="C733" s="9" t="s">
        <v>495</v>
      </c>
      <c r="D733" s="15">
        <v>256.68</v>
      </c>
      <c r="E733" s="13" t="s">
        <v>75</v>
      </c>
    </row>
    <row r="734" spans="1:5" x14ac:dyDescent="0.25">
      <c r="A734" s="9" t="s">
        <v>1210</v>
      </c>
      <c r="B734" s="10" t="s">
        <v>496</v>
      </c>
      <c r="C734" s="9" t="s">
        <v>497</v>
      </c>
      <c r="D734" s="15">
        <v>77.989999999999995</v>
      </c>
      <c r="E734" s="13" t="s">
        <v>75</v>
      </c>
    </row>
    <row r="735" spans="1:5" x14ac:dyDescent="0.25">
      <c r="A735" s="9" t="s">
        <v>1210</v>
      </c>
      <c r="B735" s="10" t="s">
        <v>498</v>
      </c>
      <c r="C735" s="9" t="s">
        <v>499</v>
      </c>
      <c r="D735" s="15">
        <v>95.04</v>
      </c>
      <c r="E735" s="13" t="s">
        <v>75</v>
      </c>
    </row>
    <row r="736" spans="1:5" x14ac:dyDescent="0.25">
      <c r="A736" s="9" t="s">
        <v>1210</v>
      </c>
      <c r="B736" s="10" t="s">
        <v>502</v>
      </c>
      <c r="C736" s="9" t="s">
        <v>503</v>
      </c>
      <c r="D736" s="15">
        <v>134.81</v>
      </c>
      <c r="E736" s="13" t="s">
        <v>75</v>
      </c>
    </row>
    <row r="737" spans="1:5" x14ac:dyDescent="0.25">
      <c r="A737" s="9" t="s">
        <v>1210</v>
      </c>
      <c r="B737" s="10" t="s">
        <v>506</v>
      </c>
      <c r="C737" s="9" t="s">
        <v>507</v>
      </c>
      <c r="D737" s="15">
        <v>19.02</v>
      </c>
      <c r="E737" s="13" t="s">
        <v>75</v>
      </c>
    </row>
    <row r="738" spans="1:5" x14ac:dyDescent="0.25">
      <c r="A738" s="9" t="s">
        <v>1210</v>
      </c>
      <c r="B738" s="10" t="s">
        <v>508</v>
      </c>
      <c r="C738" s="9" t="s">
        <v>509</v>
      </c>
      <c r="D738" s="15">
        <v>507.21</v>
      </c>
      <c r="E738" s="13" t="s">
        <v>75</v>
      </c>
    </row>
    <row r="739" spans="1:5" x14ac:dyDescent="0.25">
      <c r="A739" s="9" t="s">
        <v>1210</v>
      </c>
      <c r="B739" s="10" t="s">
        <v>510</v>
      </c>
      <c r="C739" s="9" t="s">
        <v>511</v>
      </c>
      <c r="D739" s="15">
        <v>113.04</v>
      </c>
      <c r="E739" s="13" t="s">
        <v>75</v>
      </c>
    </row>
    <row r="740" spans="1:5" x14ac:dyDescent="0.25">
      <c r="A740" s="9" t="s">
        <v>1210</v>
      </c>
      <c r="B740" s="10" t="s">
        <v>512</v>
      </c>
      <c r="C740" s="9" t="s">
        <v>513</v>
      </c>
      <c r="D740" s="15">
        <v>95.04</v>
      </c>
      <c r="E740" s="13" t="s">
        <v>75</v>
      </c>
    </row>
    <row r="741" spans="1:5" x14ac:dyDescent="0.25">
      <c r="A741" s="9" t="s">
        <v>1210</v>
      </c>
      <c r="B741" s="10" t="s">
        <v>514</v>
      </c>
      <c r="C741" s="9" t="s">
        <v>515</v>
      </c>
      <c r="D741" s="15">
        <v>34.979999999999997</v>
      </c>
      <c r="E741" s="13" t="s">
        <v>75</v>
      </c>
    </row>
    <row r="742" spans="1:5" x14ac:dyDescent="0.25">
      <c r="A742" s="9" t="s">
        <v>1210</v>
      </c>
      <c r="B742" s="10" t="s">
        <v>518</v>
      </c>
      <c r="C742" s="9" t="s">
        <v>519</v>
      </c>
      <c r="D742" s="15">
        <v>66.239999999999995</v>
      </c>
      <c r="E742" s="13" t="s">
        <v>75</v>
      </c>
    </row>
    <row r="743" spans="1:5" x14ac:dyDescent="0.25">
      <c r="A743" s="9" t="s">
        <v>1210</v>
      </c>
      <c r="B743" s="10" t="s">
        <v>520</v>
      </c>
      <c r="C743" s="9" t="s">
        <v>521</v>
      </c>
      <c r="D743" s="15">
        <v>129.96</v>
      </c>
      <c r="E743" s="13" t="s">
        <v>75</v>
      </c>
    </row>
    <row r="744" spans="1:5" x14ac:dyDescent="0.25">
      <c r="A744" s="9" t="s">
        <v>1210</v>
      </c>
      <c r="B744" s="10" t="s">
        <v>524</v>
      </c>
      <c r="C744" s="9" t="s">
        <v>525</v>
      </c>
      <c r="D744" s="15">
        <v>19.02</v>
      </c>
      <c r="E744" s="13" t="s">
        <v>75</v>
      </c>
    </row>
    <row r="745" spans="1:5" x14ac:dyDescent="0.25">
      <c r="A745" s="9" t="s">
        <v>1210</v>
      </c>
      <c r="B745" s="10" t="s">
        <v>526</v>
      </c>
      <c r="C745" s="9" t="s">
        <v>527</v>
      </c>
      <c r="D745" s="15">
        <v>95.04</v>
      </c>
      <c r="E745" s="13" t="s">
        <v>75</v>
      </c>
    </row>
    <row r="746" spans="1:5" x14ac:dyDescent="0.25">
      <c r="A746" s="9" t="s">
        <v>1210</v>
      </c>
      <c r="B746" s="10" t="s">
        <v>528</v>
      </c>
      <c r="C746" s="9" t="s">
        <v>529</v>
      </c>
      <c r="D746" s="15">
        <v>53.18</v>
      </c>
      <c r="E746" s="13" t="s">
        <v>75</v>
      </c>
    </row>
    <row r="747" spans="1:5" x14ac:dyDescent="0.25">
      <c r="A747" s="9" t="s">
        <v>1210</v>
      </c>
      <c r="B747" s="10" t="s">
        <v>530</v>
      </c>
      <c r="C747" s="9" t="s">
        <v>531</v>
      </c>
      <c r="D747" s="15">
        <v>19.02</v>
      </c>
      <c r="E747" s="13" t="s">
        <v>75</v>
      </c>
    </row>
    <row r="748" spans="1:5" x14ac:dyDescent="0.25">
      <c r="A748" s="9" t="s">
        <v>1210</v>
      </c>
      <c r="B748" s="10" t="s">
        <v>542</v>
      </c>
      <c r="C748" s="9" t="s">
        <v>543</v>
      </c>
      <c r="D748" s="15">
        <v>95.04</v>
      </c>
      <c r="E748" s="13" t="s">
        <v>75</v>
      </c>
    </row>
    <row r="749" spans="1:5" x14ac:dyDescent="0.25">
      <c r="A749" s="9" t="s">
        <v>1210</v>
      </c>
      <c r="B749" s="10" t="s">
        <v>548</v>
      </c>
      <c r="C749" s="9" t="s">
        <v>549</v>
      </c>
      <c r="D749" s="15">
        <v>95.04</v>
      </c>
      <c r="E749" s="13" t="s">
        <v>75</v>
      </c>
    </row>
    <row r="750" spans="1:5" x14ac:dyDescent="0.25">
      <c r="A750" s="9" t="s">
        <v>1210</v>
      </c>
      <c r="B750" s="10" t="s">
        <v>550</v>
      </c>
      <c r="C750" s="9" t="s">
        <v>551</v>
      </c>
      <c r="D750" s="15">
        <v>77.62</v>
      </c>
      <c r="E750" s="13" t="s">
        <v>75</v>
      </c>
    </row>
    <row r="751" spans="1:5" x14ac:dyDescent="0.25">
      <c r="A751" s="9" t="s">
        <v>1210</v>
      </c>
      <c r="B751" s="10" t="s">
        <v>552</v>
      </c>
      <c r="C751" s="9" t="s">
        <v>553</v>
      </c>
      <c r="D751" s="15">
        <v>107.7</v>
      </c>
      <c r="E751" s="13" t="s">
        <v>75</v>
      </c>
    </row>
    <row r="752" spans="1:5" x14ac:dyDescent="0.25">
      <c r="A752" s="9" t="s">
        <v>1210</v>
      </c>
      <c r="B752" s="10" t="s">
        <v>554</v>
      </c>
      <c r="C752" s="9" t="s">
        <v>555</v>
      </c>
      <c r="D752" s="15">
        <v>9.51</v>
      </c>
      <c r="E752" s="13" t="s">
        <v>75</v>
      </c>
    </row>
    <row r="753" spans="1:5" x14ac:dyDescent="0.25">
      <c r="A753" s="9" t="s">
        <v>1210</v>
      </c>
      <c r="B753" s="10" t="s">
        <v>560</v>
      </c>
      <c r="C753" s="9" t="s">
        <v>561</v>
      </c>
      <c r="D753" s="15">
        <v>23.31</v>
      </c>
      <c r="E753" s="13" t="s">
        <v>75</v>
      </c>
    </row>
    <row r="754" spans="1:5" x14ac:dyDescent="0.25">
      <c r="A754" s="9" t="s">
        <v>1210</v>
      </c>
      <c r="B754" s="10" t="s">
        <v>566</v>
      </c>
      <c r="C754" s="9" t="s">
        <v>567</v>
      </c>
      <c r="D754" s="15">
        <v>123.86</v>
      </c>
      <c r="E754" s="13" t="s">
        <v>75</v>
      </c>
    </row>
    <row r="755" spans="1:5" x14ac:dyDescent="0.25">
      <c r="A755" s="9" t="s">
        <v>1210</v>
      </c>
      <c r="B755" s="10" t="s">
        <v>570</v>
      </c>
      <c r="C755" s="9" t="s">
        <v>571</v>
      </c>
      <c r="D755" s="15">
        <v>19.02</v>
      </c>
      <c r="E755" s="13" t="s">
        <v>75</v>
      </c>
    </row>
    <row r="756" spans="1:5" x14ac:dyDescent="0.25">
      <c r="A756" s="9" t="s">
        <v>1210</v>
      </c>
      <c r="B756" s="10" t="s">
        <v>574</v>
      </c>
      <c r="C756" s="9" t="s">
        <v>575</v>
      </c>
      <c r="D756" s="15">
        <v>3.17</v>
      </c>
      <c r="E756" s="13" t="s">
        <v>75</v>
      </c>
    </row>
    <row r="757" spans="1:5" x14ac:dyDescent="0.25">
      <c r="A757" s="9" t="s">
        <v>1210</v>
      </c>
      <c r="B757" s="10" t="s">
        <v>1212</v>
      </c>
      <c r="C757" s="9" t="s">
        <v>1213</v>
      </c>
      <c r="D757" s="15">
        <v>23.4</v>
      </c>
      <c r="E757" s="13" t="s">
        <v>75</v>
      </c>
    </row>
    <row r="758" spans="1:5" x14ac:dyDescent="0.25">
      <c r="A758" s="9" t="s">
        <v>1210</v>
      </c>
      <c r="B758" s="10" t="s">
        <v>580</v>
      </c>
      <c r="C758" s="9" t="s">
        <v>581</v>
      </c>
      <c r="D758" s="15">
        <v>1705.8</v>
      </c>
      <c r="E758" s="13" t="s">
        <v>75</v>
      </c>
    </row>
    <row r="759" spans="1:5" x14ac:dyDescent="0.25">
      <c r="A759" s="9" t="s">
        <v>1210</v>
      </c>
      <c r="B759" s="10" t="s">
        <v>582</v>
      </c>
      <c r="C759" s="9" t="s">
        <v>583</v>
      </c>
      <c r="D759" s="15">
        <v>649.01</v>
      </c>
      <c r="E759" s="13" t="s">
        <v>75</v>
      </c>
    </row>
    <row r="760" spans="1:5" x14ac:dyDescent="0.25">
      <c r="A760" s="9" t="s">
        <v>1210</v>
      </c>
      <c r="B760" s="10" t="s">
        <v>584</v>
      </c>
      <c r="C760" s="9" t="s">
        <v>585</v>
      </c>
      <c r="D760" s="15">
        <v>392.59</v>
      </c>
      <c r="E760" s="13" t="s">
        <v>75</v>
      </c>
    </row>
    <row r="761" spans="1:5" x14ac:dyDescent="0.25">
      <c r="A761" s="9" t="s">
        <v>1210</v>
      </c>
      <c r="B761" s="10" t="s">
        <v>586</v>
      </c>
      <c r="C761" s="9" t="s">
        <v>587</v>
      </c>
      <c r="D761" s="15">
        <v>378.96</v>
      </c>
      <c r="E761" s="13" t="s">
        <v>75</v>
      </c>
    </row>
    <row r="762" spans="1:5" x14ac:dyDescent="0.25">
      <c r="A762" s="9" t="s">
        <v>1210</v>
      </c>
      <c r="B762" s="10" t="s">
        <v>588</v>
      </c>
      <c r="C762" s="9" t="s">
        <v>589</v>
      </c>
      <c r="D762" s="15">
        <v>698.06</v>
      </c>
      <c r="E762" s="13" t="s">
        <v>75</v>
      </c>
    </row>
    <row r="763" spans="1:5" x14ac:dyDescent="0.25">
      <c r="A763" s="9" t="s">
        <v>1210</v>
      </c>
      <c r="B763" s="10" t="s">
        <v>590</v>
      </c>
      <c r="C763" s="9" t="s">
        <v>591</v>
      </c>
      <c r="D763" s="15">
        <v>227.8</v>
      </c>
      <c r="E763" s="13" t="s">
        <v>75</v>
      </c>
    </row>
    <row r="764" spans="1:5" x14ac:dyDescent="0.25">
      <c r="A764" s="9" t="s">
        <v>1210</v>
      </c>
      <c r="B764" s="10" t="s">
        <v>592</v>
      </c>
      <c r="C764" s="9" t="s">
        <v>593</v>
      </c>
      <c r="D764" s="15">
        <v>1058.04</v>
      </c>
      <c r="E764" s="13" t="s">
        <v>75</v>
      </c>
    </row>
    <row r="765" spans="1:5" x14ac:dyDescent="0.25">
      <c r="A765" s="9" t="s">
        <v>1210</v>
      </c>
      <c r="B765" s="10" t="s">
        <v>594</v>
      </c>
      <c r="C765" s="9" t="s">
        <v>595</v>
      </c>
      <c r="D765" s="15">
        <v>125.67</v>
      </c>
      <c r="E765" s="13" t="s">
        <v>75</v>
      </c>
    </row>
    <row r="766" spans="1:5" x14ac:dyDescent="0.25">
      <c r="A766" s="9" t="s">
        <v>1210</v>
      </c>
      <c r="B766" s="10" t="s">
        <v>596</v>
      </c>
      <c r="C766" s="9" t="s">
        <v>597</v>
      </c>
      <c r="D766" s="15">
        <v>581.05999999999995</v>
      </c>
      <c r="E766" s="13" t="s">
        <v>75</v>
      </c>
    </row>
    <row r="767" spans="1:5" x14ac:dyDescent="0.25">
      <c r="A767" s="9" t="s">
        <v>1210</v>
      </c>
      <c r="B767" s="10" t="s">
        <v>598</v>
      </c>
      <c r="C767" s="9" t="s">
        <v>599</v>
      </c>
      <c r="D767" s="15">
        <v>2391.79</v>
      </c>
      <c r="E767" s="13" t="s">
        <v>75</v>
      </c>
    </row>
    <row r="768" spans="1:5" x14ac:dyDescent="0.25">
      <c r="A768" s="9" t="s">
        <v>1210</v>
      </c>
      <c r="B768" s="10" t="s">
        <v>600</v>
      </c>
      <c r="C768" s="9" t="s">
        <v>601</v>
      </c>
      <c r="D768" s="15">
        <v>193.68</v>
      </c>
      <c r="E768" s="13" t="s">
        <v>75</v>
      </c>
    </row>
    <row r="769" spans="1:5" x14ac:dyDescent="0.25">
      <c r="A769" s="9" t="s">
        <v>1210</v>
      </c>
      <c r="B769" s="10" t="s">
        <v>602</v>
      </c>
      <c r="C769" s="9" t="s">
        <v>603</v>
      </c>
      <c r="D769" s="15">
        <v>900.47</v>
      </c>
      <c r="E769" s="13" t="s">
        <v>75</v>
      </c>
    </row>
    <row r="770" spans="1:5" x14ac:dyDescent="0.25">
      <c r="A770" s="9" t="s">
        <v>1210</v>
      </c>
      <c r="B770" s="10" t="s">
        <v>604</v>
      </c>
      <c r="C770" s="9" t="s">
        <v>605</v>
      </c>
      <c r="D770" s="15">
        <v>923.3</v>
      </c>
      <c r="E770" s="13" t="s">
        <v>75</v>
      </c>
    </row>
    <row r="771" spans="1:5" x14ac:dyDescent="0.25">
      <c r="A771" s="9" t="s">
        <v>1210</v>
      </c>
      <c r="B771" s="10" t="s">
        <v>606</v>
      </c>
      <c r="C771" s="9" t="s">
        <v>607</v>
      </c>
      <c r="D771" s="15">
        <v>708.01</v>
      </c>
      <c r="E771" s="13" t="s">
        <v>75</v>
      </c>
    </row>
    <row r="772" spans="1:5" x14ac:dyDescent="0.25">
      <c r="A772" s="9" t="s">
        <v>1210</v>
      </c>
      <c r="B772" s="10" t="s">
        <v>608</v>
      </c>
      <c r="C772" s="9" t="s">
        <v>609</v>
      </c>
      <c r="D772" s="15">
        <v>130.1</v>
      </c>
      <c r="E772" s="13" t="s">
        <v>75</v>
      </c>
    </row>
    <row r="773" spans="1:5" x14ac:dyDescent="0.25">
      <c r="A773" s="9" t="s">
        <v>1210</v>
      </c>
      <c r="B773" s="10" t="s">
        <v>610</v>
      </c>
      <c r="C773" s="9" t="s">
        <v>611</v>
      </c>
      <c r="D773" s="15">
        <v>190.14</v>
      </c>
      <c r="E773" s="13" t="s">
        <v>75</v>
      </c>
    </row>
    <row r="774" spans="1:5" x14ac:dyDescent="0.25">
      <c r="A774" s="9" t="s">
        <v>1210</v>
      </c>
      <c r="B774" s="10" t="s">
        <v>612</v>
      </c>
      <c r="C774" s="9" t="s">
        <v>613</v>
      </c>
      <c r="D774" s="15">
        <v>1172.51</v>
      </c>
      <c r="E774" s="13" t="s">
        <v>75</v>
      </c>
    </row>
    <row r="775" spans="1:5" x14ac:dyDescent="0.25">
      <c r="A775" s="9" t="s">
        <v>1210</v>
      </c>
      <c r="B775" s="10" t="s">
        <v>616</v>
      </c>
      <c r="C775" s="9" t="s">
        <v>617</v>
      </c>
      <c r="D775" s="15">
        <v>1198.79</v>
      </c>
      <c r="E775" s="13" t="s">
        <v>75</v>
      </c>
    </row>
    <row r="776" spans="1:5" x14ac:dyDescent="0.25">
      <c r="A776" s="9" t="s">
        <v>1210</v>
      </c>
      <c r="B776" s="10" t="s">
        <v>618</v>
      </c>
      <c r="C776" s="9" t="s">
        <v>619</v>
      </c>
      <c r="D776" s="15">
        <v>447.55</v>
      </c>
      <c r="E776" s="13" t="s">
        <v>75</v>
      </c>
    </row>
    <row r="777" spans="1:5" x14ac:dyDescent="0.25">
      <c r="A777" s="9" t="s">
        <v>1210</v>
      </c>
      <c r="B777" s="10" t="s">
        <v>622</v>
      </c>
      <c r="C777" s="9" t="s">
        <v>623</v>
      </c>
      <c r="D777" s="15">
        <v>1307.04</v>
      </c>
      <c r="E777" s="13" t="s">
        <v>75</v>
      </c>
    </row>
    <row r="778" spans="1:5" x14ac:dyDescent="0.25">
      <c r="A778" s="9" t="s">
        <v>1210</v>
      </c>
      <c r="B778" s="10" t="s">
        <v>624</v>
      </c>
      <c r="C778" s="9" t="s">
        <v>625</v>
      </c>
      <c r="D778" s="15">
        <v>890.88</v>
      </c>
      <c r="E778" s="13" t="s">
        <v>75</v>
      </c>
    </row>
    <row r="779" spans="1:5" x14ac:dyDescent="0.25">
      <c r="A779" s="9" t="s">
        <v>1210</v>
      </c>
      <c r="B779" s="10" t="s">
        <v>626</v>
      </c>
      <c r="C779" s="9" t="s">
        <v>627</v>
      </c>
      <c r="D779" s="15">
        <v>1174.24</v>
      </c>
      <c r="E779" s="13" t="s">
        <v>75</v>
      </c>
    </row>
    <row r="780" spans="1:5" x14ac:dyDescent="0.25">
      <c r="A780" s="9" t="s">
        <v>1210</v>
      </c>
      <c r="B780" s="10" t="s">
        <v>628</v>
      </c>
      <c r="C780" s="9" t="s">
        <v>629</v>
      </c>
      <c r="D780" s="15">
        <v>2061.33</v>
      </c>
      <c r="E780" s="13" t="s">
        <v>75</v>
      </c>
    </row>
    <row r="781" spans="1:5" x14ac:dyDescent="0.25">
      <c r="A781" s="9" t="s">
        <v>1210</v>
      </c>
      <c r="B781" s="10" t="s">
        <v>630</v>
      </c>
      <c r="C781" s="9" t="s">
        <v>631</v>
      </c>
      <c r="D781" s="15">
        <v>648.54999999999995</v>
      </c>
      <c r="E781" s="13" t="s">
        <v>75</v>
      </c>
    </row>
    <row r="782" spans="1:5" x14ac:dyDescent="0.25">
      <c r="A782" s="9" t="s">
        <v>1210</v>
      </c>
      <c r="B782" s="10" t="s">
        <v>632</v>
      </c>
      <c r="C782" s="9" t="s">
        <v>633</v>
      </c>
      <c r="D782" s="15">
        <v>307.81</v>
      </c>
      <c r="E782" s="13" t="s">
        <v>75</v>
      </c>
    </row>
    <row r="783" spans="1:5" x14ac:dyDescent="0.25">
      <c r="A783" s="9" t="s">
        <v>1210</v>
      </c>
      <c r="B783" s="10" t="s">
        <v>634</v>
      </c>
      <c r="C783" s="9" t="s">
        <v>635</v>
      </c>
      <c r="D783" s="15">
        <v>131.68</v>
      </c>
      <c r="E783" s="13" t="s">
        <v>75</v>
      </c>
    </row>
    <row r="784" spans="1:5" x14ac:dyDescent="0.25">
      <c r="A784" s="9" t="s">
        <v>1210</v>
      </c>
      <c r="B784" s="10" t="s">
        <v>636</v>
      </c>
      <c r="C784" s="9" t="s">
        <v>637</v>
      </c>
      <c r="D784" s="15">
        <v>270.31</v>
      </c>
      <c r="E784" s="13" t="s">
        <v>75</v>
      </c>
    </row>
    <row r="785" spans="1:5" x14ac:dyDescent="0.25">
      <c r="A785" s="9" t="s">
        <v>1210</v>
      </c>
      <c r="B785" s="10" t="s">
        <v>638</v>
      </c>
      <c r="C785" s="9" t="s">
        <v>639</v>
      </c>
      <c r="D785" s="15">
        <v>763.39</v>
      </c>
      <c r="E785" s="13" t="s">
        <v>75</v>
      </c>
    </row>
    <row r="786" spans="1:5" x14ac:dyDescent="0.25">
      <c r="A786" s="9" t="s">
        <v>1210</v>
      </c>
      <c r="B786" s="10" t="s">
        <v>640</v>
      </c>
      <c r="C786" s="9" t="s">
        <v>641</v>
      </c>
      <c r="D786" s="15">
        <v>955.31</v>
      </c>
      <c r="E786" s="13" t="s">
        <v>75</v>
      </c>
    </row>
    <row r="787" spans="1:5" x14ac:dyDescent="0.25">
      <c r="A787" s="9" t="s">
        <v>1210</v>
      </c>
      <c r="B787" s="10" t="s">
        <v>642</v>
      </c>
      <c r="C787" s="9" t="s">
        <v>643</v>
      </c>
      <c r="D787" s="15">
        <v>219.05</v>
      </c>
      <c r="E787" s="13" t="s">
        <v>75</v>
      </c>
    </row>
    <row r="788" spans="1:5" x14ac:dyDescent="0.25">
      <c r="A788" s="9" t="s">
        <v>1210</v>
      </c>
      <c r="B788" s="10" t="s">
        <v>644</v>
      </c>
      <c r="C788" s="9" t="s">
        <v>645</v>
      </c>
      <c r="D788" s="15">
        <v>1797.95</v>
      </c>
      <c r="E788" s="13" t="s">
        <v>75</v>
      </c>
    </row>
    <row r="789" spans="1:5" x14ac:dyDescent="0.25">
      <c r="A789" s="9" t="s">
        <v>1210</v>
      </c>
      <c r="B789" s="10" t="s">
        <v>646</v>
      </c>
      <c r="C789" s="9" t="s">
        <v>647</v>
      </c>
      <c r="D789" s="15">
        <v>898.11</v>
      </c>
      <c r="E789" s="13" t="s">
        <v>75</v>
      </c>
    </row>
    <row r="790" spans="1:5" x14ac:dyDescent="0.25">
      <c r="A790" s="9" t="s">
        <v>1210</v>
      </c>
      <c r="B790" s="10" t="s">
        <v>648</v>
      </c>
      <c r="C790" s="9" t="s">
        <v>649</v>
      </c>
      <c r="D790" s="15">
        <v>703.82</v>
      </c>
      <c r="E790" s="13" t="s">
        <v>75</v>
      </c>
    </row>
    <row r="791" spans="1:5" x14ac:dyDescent="0.25">
      <c r="A791" s="9" t="s">
        <v>1210</v>
      </c>
      <c r="B791" s="10" t="s">
        <v>650</v>
      </c>
      <c r="C791" s="9" t="s">
        <v>651</v>
      </c>
      <c r="D791" s="15">
        <v>4719.26</v>
      </c>
      <c r="E791" s="13" t="s">
        <v>75</v>
      </c>
    </row>
    <row r="792" spans="1:5" x14ac:dyDescent="0.25">
      <c r="A792" s="9" t="s">
        <v>1210</v>
      </c>
      <c r="B792" s="10" t="s">
        <v>652</v>
      </c>
      <c r="C792" s="9" t="s">
        <v>653</v>
      </c>
      <c r="D792" s="15">
        <v>411.61</v>
      </c>
      <c r="E792" s="13" t="s">
        <v>75</v>
      </c>
    </row>
    <row r="793" spans="1:5" x14ac:dyDescent="0.25">
      <c r="A793" s="9" t="s">
        <v>1210</v>
      </c>
      <c r="B793" s="10" t="s">
        <v>654</v>
      </c>
      <c r="C793" s="9" t="s">
        <v>655</v>
      </c>
      <c r="D793" s="15">
        <v>3295.38</v>
      </c>
      <c r="E793" s="13" t="s">
        <v>75</v>
      </c>
    </row>
    <row r="794" spans="1:5" x14ac:dyDescent="0.25">
      <c r="A794" s="9" t="s">
        <v>1210</v>
      </c>
      <c r="B794" s="10" t="s">
        <v>658</v>
      </c>
      <c r="C794" s="9" t="s">
        <v>659</v>
      </c>
      <c r="D794" s="15">
        <v>1671.96</v>
      </c>
      <c r="E794" s="13" t="s">
        <v>75</v>
      </c>
    </row>
    <row r="795" spans="1:5" x14ac:dyDescent="0.25">
      <c r="A795" s="9" t="s">
        <v>1210</v>
      </c>
      <c r="B795" s="10" t="s">
        <v>660</v>
      </c>
      <c r="C795" s="9" t="s">
        <v>661</v>
      </c>
      <c r="D795" s="15">
        <v>1269.1500000000001</v>
      </c>
      <c r="E795" s="13" t="s">
        <v>75</v>
      </c>
    </row>
    <row r="796" spans="1:5" x14ac:dyDescent="0.25">
      <c r="A796" s="9" t="s">
        <v>1210</v>
      </c>
      <c r="B796" s="10" t="s">
        <v>664</v>
      </c>
      <c r="C796" s="9" t="s">
        <v>665</v>
      </c>
      <c r="D796" s="15">
        <v>785.56</v>
      </c>
      <c r="E796" s="13" t="s">
        <v>75</v>
      </c>
    </row>
    <row r="797" spans="1:5" x14ac:dyDescent="0.25">
      <c r="A797" s="9" t="s">
        <v>1210</v>
      </c>
      <c r="B797" s="10" t="s">
        <v>666</v>
      </c>
      <c r="C797" s="9" t="s">
        <v>667</v>
      </c>
      <c r="D797" s="15">
        <v>263.12</v>
      </c>
      <c r="E797" s="13" t="s">
        <v>75</v>
      </c>
    </row>
    <row r="798" spans="1:5" x14ac:dyDescent="0.25">
      <c r="A798" s="9" t="s">
        <v>1210</v>
      </c>
      <c r="B798" s="10" t="s">
        <v>668</v>
      </c>
      <c r="C798" s="9" t="s">
        <v>669</v>
      </c>
      <c r="D798" s="15">
        <v>456.43</v>
      </c>
      <c r="E798" s="13" t="s">
        <v>75</v>
      </c>
    </row>
    <row r="799" spans="1:5" x14ac:dyDescent="0.25">
      <c r="A799" s="9" t="s">
        <v>1210</v>
      </c>
      <c r="B799" s="10" t="s">
        <v>670</v>
      </c>
      <c r="C799" s="9" t="s">
        <v>671</v>
      </c>
      <c r="D799" s="15">
        <v>2771.96</v>
      </c>
      <c r="E799" s="13" t="s">
        <v>75</v>
      </c>
    </row>
    <row r="800" spans="1:5" x14ac:dyDescent="0.25">
      <c r="A800" s="9" t="s">
        <v>1210</v>
      </c>
      <c r="B800" s="10" t="s">
        <v>672</v>
      </c>
      <c r="C800" s="9" t="s">
        <v>673</v>
      </c>
      <c r="D800" s="15">
        <v>1707.32</v>
      </c>
      <c r="E800" s="13" t="s">
        <v>75</v>
      </c>
    </row>
    <row r="801" spans="1:5" x14ac:dyDescent="0.25">
      <c r="A801" s="9" t="s">
        <v>1210</v>
      </c>
      <c r="B801" s="10" t="s">
        <v>674</v>
      </c>
      <c r="C801" s="9" t="s">
        <v>675</v>
      </c>
      <c r="D801" s="15">
        <v>1048.71</v>
      </c>
      <c r="E801" s="13" t="s">
        <v>75</v>
      </c>
    </row>
    <row r="802" spans="1:5" x14ac:dyDescent="0.25">
      <c r="A802" s="9" t="s">
        <v>1210</v>
      </c>
      <c r="B802" s="10" t="s">
        <v>676</v>
      </c>
      <c r="C802" s="9" t="s">
        <v>677</v>
      </c>
      <c r="D802" s="15">
        <v>1770.39</v>
      </c>
      <c r="E802" s="13" t="s">
        <v>75</v>
      </c>
    </row>
    <row r="803" spans="1:5" x14ac:dyDescent="0.25">
      <c r="A803" s="9" t="s">
        <v>1210</v>
      </c>
      <c r="B803" s="10" t="s">
        <v>678</v>
      </c>
      <c r="C803" s="9" t="s">
        <v>679</v>
      </c>
      <c r="D803" s="15">
        <v>95.04</v>
      </c>
      <c r="E803" s="13" t="s">
        <v>75</v>
      </c>
    </row>
    <row r="804" spans="1:5" x14ac:dyDescent="0.25">
      <c r="A804" s="9" t="s">
        <v>1210</v>
      </c>
      <c r="B804" s="10" t="s">
        <v>680</v>
      </c>
      <c r="C804" s="9" t="s">
        <v>681</v>
      </c>
      <c r="D804" s="15">
        <v>118.06</v>
      </c>
      <c r="E804" s="13" t="s">
        <v>75</v>
      </c>
    </row>
    <row r="805" spans="1:5" x14ac:dyDescent="0.25">
      <c r="A805" s="9" t="s">
        <v>1210</v>
      </c>
      <c r="B805" s="10" t="s">
        <v>682</v>
      </c>
      <c r="C805" s="9" t="s">
        <v>683</v>
      </c>
      <c r="D805" s="15">
        <v>606.66999999999996</v>
      </c>
      <c r="E805" s="13" t="s">
        <v>75</v>
      </c>
    </row>
    <row r="806" spans="1:5" x14ac:dyDescent="0.25">
      <c r="A806" s="9" t="s">
        <v>1210</v>
      </c>
      <c r="B806" s="10" t="s">
        <v>684</v>
      </c>
      <c r="C806" s="9" t="s">
        <v>685</v>
      </c>
      <c r="D806" s="15">
        <v>408.71</v>
      </c>
      <c r="E806" s="13" t="s">
        <v>75</v>
      </c>
    </row>
    <row r="807" spans="1:5" x14ac:dyDescent="0.25">
      <c r="A807" s="9" t="s">
        <v>1210</v>
      </c>
      <c r="B807" s="10" t="s">
        <v>686</v>
      </c>
      <c r="C807" s="9" t="s">
        <v>687</v>
      </c>
      <c r="D807" s="15">
        <v>308.58</v>
      </c>
      <c r="E807" s="13" t="s">
        <v>75</v>
      </c>
    </row>
    <row r="808" spans="1:5" x14ac:dyDescent="0.25">
      <c r="A808" s="9" t="s">
        <v>1210</v>
      </c>
      <c r="B808" s="10" t="s">
        <v>688</v>
      </c>
      <c r="C808" s="9" t="s">
        <v>689</v>
      </c>
      <c r="D808" s="15">
        <v>316.88</v>
      </c>
      <c r="E808" s="13" t="s">
        <v>75</v>
      </c>
    </row>
    <row r="809" spans="1:5" x14ac:dyDescent="0.25">
      <c r="A809" s="9" t="s">
        <v>1210</v>
      </c>
      <c r="B809" s="10" t="s">
        <v>690</v>
      </c>
      <c r="C809" s="9" t="s">
        <v>691</v>
      </c>
      <c r="D809" s="15">
        <v>961.14</v>
      </c>
      <c r="E809" s="13" t="s">
        <v>75</v>
      </c>
    </row>
    <row r="810" spans="1:5" x14ac:dyDescent="0.25">
      <c r="A810" s="9" t="s">
        <v>1210</v>
      </c>
      <c r="B810" s="10" t="s">
        <v>692</v>
      </c>
      <c r="C810" s="9" t="s">
        <v>693</v>
      </c>
      <c r="D810" s="15">
        <v>879.37</v>
      </c>
      <c r="E810" s="13" t="s">
        <v>75</v>
      </c>
    </row>
    <row r="811" spans="1:5" x14ac:dyDescent="0.25">
      <c r="A811" s="9" t="s">
        <v>1210</v>
      </c>
      <c r="B811" s="10" t="s">
        <v>696</v>
      </c>
      <c r="C811" s="9" t="s">
        <v>697</v>
      </c>
      <c r="D811" s="15">
        <v>749.64</v>
      </c>
      <c r="E811" s="13" t="s">
        <v>75</v>
      </c>
    </row>
    <row r="812" spans="1:5" x14ac:dyDescent="0.25">
      <c r="A812" s="9" t="s">
        <v>1210</v>
      </c>
      <c r="B812" s="10" t="s">
        <v>698</v>
      </c>
      <c r="C812" s="9" t="s">
        <v>699</v>
      </c>
      <c r="D812" s="15">
        <v>294.38</v>
      </c>
      <c r="E812" s="13" t="s">
        <v>75</v>
      </c>
    </row>
    <row r="813" spans="1:5" x14ac:dyDescent="0.25">
      <c r="A813" s="9" t="s">
        <v>1210</v>
      </c>
      <c r="B813" s="10" t="s">
        <v>1174</v>
      </c>
      <c r="C813" s="9" t="s">
        <v>1175</v>
      </c>
      <c r="D813" s="15">
        <v>75.599999999999994</v>
      </c>
      <c r="E813" s="13" t="s">
        <v>75</v>
      </c>
    </row>
    <row r="814" spans="1:5" x14ac:dyDescent="0.25">
      <c r="A814" s="9" t="s">
        <v>1210</v>
      </c>
      <c r="B814" s="10" t="s">
        <v>700</v>
      </c>
      <c r="C814" s="9" t="s">
        <v>701</v>
      </c>
      <c r="D814" s="15">
        <v>889.23</v>
      </c>
      <c r="E814" s="13" t="s">
        <v>75</v>
      </c>
    </row>
    <row r="815" spans="1:5" x14ac:dyDescent="0.25">
      <c r="A815" s="9" t="s">
        <v>1210</v>
      </c>
      <c r="B815" s="10" t="s">
        <v>702</v>
      </c>
      <c r="C815" s="9" t="s">
        <v>703</v>
      </c>
      <c r="D815" s="15">
        <v>126.74</v>
      </c>
      <c r="E815" s="13" t="s">
        <v>75</v>
      </c>
    </row>
    <row r="816" spans="1:5" x14ac:dyDescent="0.25">
      <c r="A816" s="9" t="s">
        <v>1210</v>
      </c>
      <c r="B816" s="10" t="s">
        <v>704</v>
      </c>
      <c r="C816" s="9" t="s">
        <v>705</v>
      </c>
      <c r="D816" s="15">
        <v>529.1</v>
      </c>
      <c r="E816" s="13" t="s">
        <v>75</v>
      </c>
    </row>
    <row r="817" spans="1:5" x14ac:dyDescent="0.25">
      <c r="A817" s="9" t="s">
        <v>1210</v>
      </c>
      <c r="B817" s="10" t="s">
        <v>706</v>
      </c>
      <c r="C817" s="9" t="s">
        <v>707</v>
      </c>
      <c r="D817" s="15">
        <v>710.79</v>
      </c>
      <c r="E817" s="13" t="s">
        <v>75</v>
      </c>
    </row>
    <row r="818" spans="1:5" x14ac:dyDescent="0.25">
      <c r="A818" s="9" t="s">
        <v>1210</v>
      </c>
      <c r="B818" s="10" t="s">
        <v>708</v>
      </c>
      <c r="C818" s="9" t="s">
        <v>709</v>
      </c>
      <c r="D818" s="15">
        <v>311.85000000000002</v>
      </c>
      <c r="E818" s="13" t="s">
        <v>75</v>
      </c>
    </row>
    <row r="819" spans="1:5" x14ac:dyDescent="0.25">
      <c r="A819" s="9" t="s">
        <v>1210</v>
      </c>
      <c r="B819" s="10" t="s">
        <v>710</v>
      </c>
      <c r="C819" s="9" t="s">
        <v>711</v>
      </c>
      <c r="D819" s="15">
        <v>715.02</v>
      </c>
      <c r="E819" s="13" t="s">
        <v>75</v>
      </c>
    </row>
    <row r="820" spans="1:5" x14ac:dyDescent="0.25">
      <c r="A820" s="9" t="s">
        <v>1210</v>
      </c>
      <c r="B820" s="10" t="s">
        <v>712</v>
      </c>
      <c r="C820" s="9" t="s">
        <v>713</v>
      </c>
      <c r="D820" s="15">
        <v>140.36000000000001</v>
      </c>
      <c r="E820" s="13" t="s">
        <v>75</v>
      </c>
    </row>
    <row r="821" spans="1:5" x14ac:dyDescent="0.25">
      <c r="A821" s="9" t="s">
        <v>1210</v>
      </c>
      <c r="B821" s="10" t="s">
        <v>714</v>
      </c>
      <c r="C821" s="9" t="s">
        <v>715</v>
      </c>
      <c r="D821" s="15">
        <v>870.72</v>
      </c>
      <c r="E821" s="13" t="s">
        <v>75</v>
      </c>
    </row>
    <row r="822" spans="1:5" x14ac:dyDescent="0.25">
      <c r="A822" s="9" t="s">
        <v>1210</v>
      </c>
      <c r="B822" s="10" t="s">
        <v>716</v>
      </c>
      <c r="C822" s="9" t="s">
        <v>717</v>
      </c>
      <c r="D822" s="15">
        <v>1092.17</v>
      </c>
      <c r="E822" s="13" t="s">
        <v>75</v>
      </c>
    </row>
    <row r="823" spans="1:5" x14ac:dyDescent="0.25">
      <c r="A823" s="9" t="s">
        <v>1210</v>
      </c>
      <c r="B823" s="10" t="s">
        <v>720</v>
      </c>
      <c r="C823" s="9" t="s">
        <v>721</v>
      </c>
      <c r="D823" s="15">
        <v>208.16</v>
      </c>
      <c r="E823" s="13" t="s">
        <v>75</v>
      </c>
    </row>
    <row r="824" spans="1:5" x14ac:dyDescent="0.25">
      <c r="A824" s="9" t="s">
        <v>1210</v>
      </c>
      <c r="B824" s="10" t="s">
        <v>722</v>
      </c>
      <c r="C824" s="9" t="s">
        <v>723</v>
      </c>
      <c r="D824" s="15">
        <v>699.97</v>
      </c>
      <c r="E824" s="13" t="s">
        <v>75</v>
      </c>
    </row>
    <row r="825" spans="1:5" x14ac:dyDescent="0.25">
      <c r="A825" s="9" t="s">
        <v>1210</v>
      </c>
      <c r="B825" s="10" t="s">
        <v>724</v>
      </c>
      <c r="C825" s="9" t="s">
        <v>725</v>
      </c>
      <c r="D825" s="15">
        <v>1052.29</v>
      </c>
      <c r="E825" s="13" t="s">
        <v>75</v>
      </c>
    </row>
    <row r="826" spans="1:5" x14ac:dyDescent="0.25">
      <c r="A826" s="9" t="s">
        <v>1210</v>
      </c>
      <c r="B826" s="10" t="s">
        <v>726</v>
      </c>
      <c r="C826" s="9" t="s">
        <v>727</v>
      </c>
      <c r="D826" s="15">
        <v>237.01</v>
      </c>
      <c r="E826" s="13" t="s">
        <v>75</v>
      </c>
    </row>
    <row r="827" spans="1:5" x14ac:dyDescent="0.25">
      <c r="A827" s="9" t="s">
        <v>1210</v>
      </c>
      <c r="B827" s="10" t="s">
        <v>728</v>
      </c>
      <c r="C827" s="9" t="s">
        <v>729</v>
      </c>
      <c r="D827" s="15">
        <v>497.48</v>
      </c>
      <c r="E827" s="13" t="s">
        <v>75</v>
      </c>
    </row>
    <row r="828" spans="1:5" x14ac:dyDescent="0.25">
      <c r="A828" s="9" t="s">
        <v>1210</v>
      </c>
      <c r="B828" s="10" t="s">
        <v>730</v>
      </c>
      <c r="C828" s="9" t="s">
        <v>731</v>
      </c>
      <c r="D828" s="15">
        <v>205.53</v>
      </c>
      <c r="E828" s="13" t="s">
        <v>75</v>
      </c>
    </row>
    <row r="829" spans="1:5" x14ac:dyDescent="0.25">
      <c r="A829" s="9" t="s">
        <v>1210</v>
      </c>
      <c r="B829" s="10" t="s">
        <v>732</v>
      </c>
      <c r="C829" s="9" t="s">
        <v>733</v>
      </c>
      <c r="D829" s="15">
        <v>142.91</v>
      </c>
      <c r="E829" s="13" t="s">
        <v>75</v>
      </c>
    </row>
    <row r="830" spans="1:5" x14ac:dyDescent="0.25">
      <c r="A830" s="9" t="s">
        <v>1210</v>
      </c>
      <c r="B830" s="10" t="s">
        <v>734</v>
      </c>
      <c r="C830" s="9" t="s">
        <v>735</v>
      </c>
      <c r="D830" s="15">
        <v>10961.96</v>
      </c>
      <c r="E830" s="13" t="s">
        <v>75</v>
      </c>
    </row>
    <row r="831" spans="1:5" x14ac:dyDescent="0.25">
      <c r="A831" s="9" t="s">
        <v>1210</v>
      </c>
      <c r="B831" s="10" t="s">
        <v>736</v>
      </c>
      <c r="C831" s="9" t="s">
        <v>737</v>
      </c>
      <c r="D831" s="15">
        <v>285.18</v>
      </c>
      <c r="E831" s="13" t="s">
        <v>75</v>
      </c>
    </row>
    <row r="832" spans="1:5" x14ac:dyDescent="0.25">
      <c r="A832" s="9" t="s">
        <v>1210</v>
      </c>
      <c r="B832" s="10" t="s">
        <v>738</v>
      </c>
      <c r="C832" s="9" t="s">
        <v>739</v>
      </c>
      <c r="D832" s="15">
        <v>627.77</v>
      </c>
      <c r="E832" s="13" t="s">
        <v>75</v>
      </c>
    </row>
    <row r="833" spans="1:5" x14ac:dyDescent="0.25">
      <c r="A833" s="9" t="s">
        <v>1210</v>
      </c>
      <c r="B833" s="10" t="s">
        <v>740</v>
      </c>
      <c r="C833" s="9" t="s">
        <v>741</v>
      </c>
      <c r="D833" s="15">
        <v>785.33</v>
      </c>
      <c r="E833" s="13" t="s">
        <v>75</v>
      </c>
    </row>
    <row r="834" spans="1:5" x14ac:dyDescent="0.25">
      <c r="A834" s="9" t="s">
        <v>1210</v>
      </c>
      <c r="B834" s="10" t="s">
        <v>742</v>
      </c>
      <c r="C834" s="9" t="s">
        <v>743</v>
      </c>
      <c r="D834" s="15">
        <v>664.99</v>
      </c>
      <c r="E834" s="13" t="s">
        <v>75</v>
      </c>
    </row>
    <row r="835" spans="1:5" x14ac:dyDescent="0.25">
      <c r="A835" s="9" t="s">
        <v>1210</v>
      </c>
      <c r="B835" s="10" t="s">
        <v>744</v>
      </c>
      <c r="C835" s="9" t="s">
        <v>745</v>
      </c>
      <c r="D835" s="15">
        <v>72.58</v>
      </c>
      <c r="E835" s="13" t="s">
        <v>75</v>
      </c>
    </row>
    <row r="836" spans="1:5" x14ac:dyDescent="0.25">
      <c r="A836" s="9" t="s">
        <v>1210</v>
      </c>
      <c r="B836" s="10" t="s">
        <v>746</v>
      </c>
      <c r="C836" s="9" t="s">
        <v>747</v>
      </c>
      <c r="D836" s="15">
        <v>890.24</v>
      </c>
      <c r="E836" s="13" t="s">
        <v>75</v>
      </c>
    </row>
    <row r="837" spans="1:5" x14ac:dyDescent="0.25">
      <c r="A837" s="9" t="s">
        <v>1210</v>
      </c>
      <c r="B837" s="10" t="s">
        <v>748</v>
      </c>
      <c r="C837" s="9" t="s">
        <v>749</v>
      </c>
      <c r="D837" s="15">
        <v>4079.88</v>
      </c>
      <c r="E837" s="13" t="s">
        <v>75</v>
      </c>
    </row>
    <row r="838" spans="1:5" x14ac:dyDescent="0.25">
      <c r="A838" s="9" t="s">
        <v>1210</v>
      </c>
      <c r="B838" s="10" t="s">
        <v>750</v>
      </c>
      <c r="C838" s="9" t="s">
        <v>751</v>
      </c>
      <c r="D838" s="15">
        <v>1095.8800000000001</v>
      </c>
      <c r="E838" s="13" t="s">
        <v>75</v>
      </c>
    </row>
    <row r="839" spans="1:5" x14ac:dyDescent="0.25">
      <c r="A839" s="9" t="s">
        <v>1210</v>
      </c>
      <c r="B839" s="10" t="s">
        <v>752</v>
      </c>
      <c r="C839" s="9" t="s">
        <v>753</v>
      </c>
      <c r="D839" s="15">
        <v>132.47</v>
      </c>
      <c r="E839" s="13" t="s">
        <v>75</v>
      </c>
    </row>
    <row r="840" spans="1:5" x14ac:dyDescent="0.25">
      <c r="A840" s="9" t="s">
        <v>1210</v>
      </c>
      <c r="B840" s="10" t="s">
        <v>754</v>
      </c>
      <c r="C840" s="9" t="s">
        <v>755</v>
      </c>
      <c r="D840" s="15">
        <v>419.43</v>
      </c>
      <c r="E840" s="13" t="s">
        <v>75</v>
      </c>
    </row>
    <row r="841" spans="1:5" x14ac:dyDescent="0.25">
      <c r="A841" s="9" t="s">
        <v>1210</v>
      </c>
      <c r="B841" s="10" t="s">
        <v>758</v>
      </c>
      <c r="C841" s="9" t="s">
        <v>759</v>
      </c>
      <c r="D841" s="15">
        <v>115.8</v>
      </c>
      <c r="E841" s="13" t="s">
        <v>75</v>
      </c>
    </row>
    <row r="842" spans="1:5" x14ac:dyDescent="0.25">
      <c r="A842" s="9" t="s">
        <v>1210</v>
      </c>
      <c r="B842" s="10" t="s">
        <v>762</v>
      </c>
      <c r="C842" s="9" t="s">
        <v>763</v>
      </c>
      <c r="D842" s="15">
        <v>107</v>
      </c>
      <c r="E842" s="13" t="s">
        <v>75</v>
      </c>
    </row>
    <row r="843" spans="1:5" x14ac:dyDescent="0.25">
      <c r="A843" s="9" t="s">
        <v>1210</v>
      </c>
      <c r="B843" s="10" t="s">
        <v>764</v>
      </c>
      <c r="C843" s="9" t="s">
        <v>765</v>
      </c>
      <c r="D843" s="15">
        <v>1177.6199999999999</v>
      </c>
      <c r="E843" s="13" t="s">
        <v>75</v>
      </c>
    </row>
    <row r="844" spans="1:5" x14ac:dyDescent="0.25">
      <c r="A844" s="9" t="s">
        <v>1210</v>
      </c>
      <c r="B844" s="10" t="s">
        <v>766</v>
      </c>
      <c r="C844" s="9" t="s">
        <v>767</v>
      </c>
      <c r="D844" s="15">
        <v>544.95000000000005</v>
      </c>
      <c r="E844" s="13" t="s">
        <v>75</v>
      </c>
    </row>
    <row r="845" spans="1:5" x14ac:dyDescent="0.25">
      <c r="A845" s="9" t="s">
        <v>1210</v>
      </c>
      <c r="B845" s="10" t="s">
        <v>768</v>
      </c>
      <c r="C845" s="9" t="s">
        <v>769</v>
      </c>
      <c r="D845" s="15">
        <v>417</v>
      </c>
      <c r="E845" s="13" t="s">
        <v>75</v>
      </c>
    </row>
    <row r="846" spans="1:5" x14ac:dyDescent="0.25">
      <c r="A846" s="9" t="s">
        <v>1210</v>
      </c>
      <c r="B846" s="10" t="s">
        <v>770</v>
      </c>
      <c r="C846" s="9" t="s">
        <v>771</v>
      </c>
      <c r="D846" s="15">
        <v>577.75</v>
      </c>
      <c r="E846" s="13" t="s">
        <v>75</v>
      </c>
    </row>
    <row r="847" spans="1:5" x14ac:dyDescent="0.25">
      <c r="A847" s="9" t="s">
        <v>1210</v>
      </c>
      <c r="B847" s="10" t="s">
        <v>772</v>
      </c>
      <c r="C847" s="9" t="s">
        <v>773</v>
      </c>
      <c r="D847" s="15">
        <v>1027.2</v>
      </c>
      <c r="E847" s="13" t="s">
        <v>75</v>
      </c>
    </row>
    <row r="848" spans="1:5" x14ac:dyDescent="0.25">
      <c r="A848" s="9" t="s">
        <v>1210</v>
      </c>
      <c r="B848" s="10" t="s">
        <v>774</v>
      </c>
      <c r="C848" s="9" t="s">
        <v>775</v>
      </c>
      <c r="D848" s="15">
        <v>380.22</v>
      </c>
      <c r="E848" s="13" t="s">
        <v>75</v>
      </c>
    </row>
    <row r="849" spans="1:5" x14ac:dyDescent="0.25">
      <c r="A849" s="9" t="s">
        <v>1210</v>
      </c>
      <c r="B849" s="10" t="s">
        <v>776</v>
      </c>
      <c r="C849" s="9" t="s">
        <v>777</v>
      </c>
      <c r="D849" s="15">
        <v>95.04</v>
      </c>
      <c r="E849" s="13" t="s">
        <v>75</v>
      </c>
    </row>
    <row r="850" spans="1:5" x14ac:dyDescent="0.25">
      <c r="A850" s="9" t="s">
        <v>1210</v>
      </c>
      <c r="B850" s="10" t="s">
        <v>778</v>
      </c>
      <c r="C850" s="9" t="s">
        <v>779</v>
      </c>
      <c r="D850" s="15">
        <v>19.02</v>
      </c>
      <c r="E850" s="13" t="s">
        <v>75</v>
      </c>
    </row>
    <row r="851" spans="1:5" x14ac:dyDescent="0.25">
      <c r="A851" s="9" t="s">
        <v>1210</v>
      </c>
      <c r="B851" s="10" t="s">
        <v>780</v>
      </c>
      <c r="C851" s="9" t="s">
        <v>781</v>
      </c>
      <c r="D851" s="15">
        <v>1157.92</v>
      </c>
      <c r="E851" s="13" t="s">
        <v>75</v>
      </c>
    </row>
    <row r="852" spans="1:5" x14ac:dyDescent="0.25">
      <c r="A852" s="9" t="s">
        <v>1210</v>
      </c>
      <c r="B852" s="10" t="s">
        <v>782</v>
      </c>
      <c r="C852" s="9" t="s">
        <v>783</v>
      </c>
      <c r="D852" s="15">
        <v>603.1</v>
      </c>
      <c r="E852" s="13" t="s">
        <v>75</v>
      </c>
    </row>
    <row r="853" spans="1:5" x14ac:dyDescent="0.25">
      <c r="A853" s="9" t="s">
        <v>1210</v>
      </c>
      <c r="B853" s="10" t="s">
        <v>784</v>
      </c>
      <c r="C853" s="9" t="s">
        <v>785</v>
      </c>
      <c r="D853" s="15">
        <v>60.47</v>
      </c>
      <c r="E853" s="13" t="s">
        <v>75</v>
      </c>
    </row>
    <row r="854" spans="1:5" x14ac:dyDescent="0.25">
      <c r="A854" s="9" t="s">
        <v>1210</v>
      </c>
      <c r="B854" s="10" t="s">
        <v>788</v>
      </c>
      <c r="C854" s="9" t="s">
        <v>789</v>
      </c>
      <c r="D854" s="15">
        <v>168.35</v>
      </c>
      <c r="E854" s="13" t="s">
        <v>75</v>
      </c>
    </row>
    <row r="855" spans="1:5" x14ac:dyDescent="0.25">
      <c r="A855" s="9" t="s">
        <v>1210</v>
      </c>
      <c r="B855" s="10" t="s">
        <v>790</v>
      </c>
      <c r="C855" s="9" t="s">
        <v>791</v>
      </c>
      <c r="D855" s="15">
        <v>810.49</v>
      </c>
      <c r="E855" s="13" t="s">
        <v>75</v>
      </c>
    </row>
    <row r="856" spans="1:5" x14ac:dyDescent="0.25">
      <c r="A856" s="9" t="s">
        <v>1210</v>
      </c>
      <c r="B856" s="10" t="s">
        <v>792</v>
      </c>
      <c r="C856" s="9" t="s">
        <v>793</v>
      </c>
      <c r="D856" s="15">
        <v>295.26</v>
      </c>
      <c r="E856" s="13" t="s">
        <v>75</v>
      </c>
    </row>
    <row r="857" spans="1:5" x14ac:dyDescent="0.25">
      <c r="A857" s="9" t="s">
        <v>1210</v>
      </c>
      <c r="B857" s="10" t="s">
        <v>794</v>
      </c>
      <c r="C857" s="9" t="s">
        <v>795</v>
      </c>
      <c r="D857" s="15">
        <v>2147.9899999999998</v>
      </c>
      <c r="E857" s="13" t="s">
        <v>75</v>
      </c>
    </row>
    <row r="858" spans="1:5" x14ac:dyDescent="0.25">
      <c r="A858" s="9" t="s">
        <v>1210</v>
      </c>
      <c r="B858" s="10" t="s">
        <v>796</v>
      </c>
      <c r="C858" s="9" t="s">
        <v>797</v>
      </c>
      <c r="D858" s="15">
        <v>285.18</v>
      </c>
      <c r="E858" s="13" t="s">
        <v>75</v>
      </c>
    </row>
    <row r="859" spans="1:5" x14ac:dyDescent="0.25">
      <c r="A859" s="9" t="s">
        <v>1210</v>
      </c>
      <c r="B859" s="10" t="s">
        <v>798</v>
      </c>
      <c r="C859" s="9" t="s">
        <v>799</v>
      </c>
      <c r="D859" s="15">
        <v>710.33</v>
      </c>
      <c r="E859" s="13" t="s">
        <v>75</v>
      </c>
    </row>
    <row r="860" spans="1:5" x14ac:dyDescent="0.25">
      <c r="A860" s="9" t="s">
        <v>1210</v>
      </c>
      <c r="B860" s="10" t="s">
        <v>800</v>
      </c>
      <c r="C860" s="9" t="s">
        <v>801</v>
      </c>
      <c r="D860" s="15">
        <v>454.29</v>
      </c>
      <c r="E860" s="13" t="s">
        <v>75</v>
      </c>
    </row>
    <row r="861" spans="1:5" x14ac:dyDescent="0.25">
      <c r="A861" s="9" t="s">
        <v>1210</v>
      </c>
      <c r="B861" s="10" t="s">
        <v>802</v>
      </c>
      <c r="C861" s="9" t="s">
        <v>803</v>
      </c>
      <c r="D861" s="15">
        <v>1000.16</v>
      </c>
      <c r="E861" s="13" t="s">
        <v>75</v>
      </c>
    </row>
    <row r="862" spans="1:5" x14ac:dyDescent="0.25">
      <c r="A862" s="9" t="s">
        <v>1210</v>
      </c>
      <c r="B862" s="10" t="s">
        <v>804</v>
      </c>
      <c r="C862" s="9" t="s">
        <v>805</v>
      </c>
      <c r="D862" s="15">
        <v>1451.68</v>
      </c>
      <c r="E862" s="13" t="s">
        <v>75</v>
      </c>
    </row>
    <row r="863" spans="1:5" x14ac:dyDescent="0.25">
      <c r="A863" s="9" t="s">
        <v>1210</v>
      </c>
      <c r="B863" s="10" t="s">
        <v>806</v>
      </c>
      <c r="C863" s="9" t="s">
        <v>807</v>
      </c>
      <c r="D863" s="15">
        <v>201.9</v>
      </c>
      <c r="E863" s="13" t="s">
        <v>75</v>
      </c>
    </row>
    <row r="864" spans="1:5" x14ac:dyDescent="0.25">
      <c r="A864" s="9" t="s">
        <v>1210</v>
      </c>
      <c r="B864" s="10" t="s">
        <v>808</v>
      </c>
      <c r="C864" s="9" t="s">
        <v>809</v>
      </c>
      <c r="D864" s="15">
        <v>1474.28</v>
      </c>
      <c r="E864" s="13" t="s">
        <v>75</v>
      </c>
    </row>
    <row r="865" spans="1:5" x14ac:dyDescent="0.25">
      <c r="A865" s="9" t="s">
        <v>1210</v>
      </c>
      <c r="B865" s="10" t="s">
        <v>810</v>
      </c>
      <c r="C865" s="9" t="s">
        <v>811</v>
      </c>
      <c r="D865" s="15">
        <v>130.61000000000001</v>
      </c>
      <c r="E865" s="13" t="s">
        <v>75</v>
      </c>
    </row>
    <row r="866" spans="1:5" x14ac:dyDescent="0.25">
      <c r="A866" s="9" t="s">
        <v>1210</v>
      </c>
      <c r="B866" s="10" t="s">
        <v>812</v>
      </c>
      <c r="C866" s="9" t="s">
        <v>813</v>
      </c>
      <c r="D866" s="15">
        <v>780.06</v>
      </c>
      <c r="E866" s="13" t="s">
        <v>75</v>
      </c>
    </row>
    <row r="867" spans="1:5" x14ac:dyDescent="0.25">
      <c r="A867" s="9" t="s">
        <v>1210</v>
      </c>
      <c r="B867" s="10" t="s">
        <v>814</v>
      </c>
      <c r="C867" s="9" t="s">
        <v>815</v>
      </c>
      <c r="D867" s="15">
        <v>235.91</v>
      </c>
      <c r="E867" s="13" t="s">
        <v>75</v>
      </c>
    </row>
    <row r="868" spans="1:5" x14ac:dyDescent="0.25">
      <c r="A868" s="9" t="s">
        <v>1210</v>
      </c>
      <c r="B868" s="10" t="s">
        <v>816</v>
      </c>
      <c r="C868" s="9" t="s">
        <v>817</v>
      </c>
      <c r="D868" s="15">
        <v>25.21</v>
      </c>
      <c r="E868" s="13" t="s">
        <v>75</v>
      </c>
    </row>
    <row r="869" spans="1:5" x14ac:dyDescent="0.25">
      <c r="A869" s="9" t="s">
        <v>1210</v>
      </c>
      <c r="B869" s="10" t="s">
        <v>818</v>
      </c>
      <c r="C869" s="9" t="s">
        <v>819</v>
      </c>
      <c r="D869" s="15">
        <v>57</v>
      </c>
      <c r="E869" s="13" t="s">
        <v>75</v>
      </c>
    </row>
    <row r="870" spans="1:5" x14ac:dyDescent="0.25">
      <c r="A870" s="9" t="s">
        <v>1210</v>
      </c>
      <c r="B870" s="10" t="s">
        <v>820</v>
      </c>
      <c r="C870" s="9" t="s">
        <v>821</v>
      </c>
      <c r="D870" s="15">
        <v>190.14</v>
      </c>
      <c r="E870" s="13" t="s">
        <v>75</v>
      </c>
    </row>
    <row r="871" spans="1:5" x14ac:dyDescent="0.25">
      <c r="A871" s="9" t="s">
        <v>1210</v>
      </c>
      <c r="B871" s="10" t="s">
        <v>822</v>
      </c>
      <c r="C871" s="9" t="s">
        <v>823</v>
      </c>
      <c r="D871" s="15">
        <v>75.58</v>
      </c>
      <c r="E871" s="13" t="s">
        <v>75</v>
      </c>
    </row>
    <row r="872" spans="1:5" x14ac:dyDescent="0.25">
      <c r="A872" s="9" t="s">
        <v>1210</v>
      </c>
      <c r="B872" s="10" t="s">
        <v>824</v>
      </c>
      <c r="C872" s="9" t="s">
        <v>825</v>
      </c>
      <c r="D872" s="15">
        <v>95.04</v>
      </c>
      <c r="E872" s="13" t="s">
        <v>75</v>
      </c>
    </row>
    <row r="873" spans="1:5" x14ac:dyDescent="0.25">
      <c r="A873" s="9" t="s">
        <v>1210</v>
      </c>
      <c r="B873" s="10" t="s">
        <v>826</v>
      </c>
      <c r="C873" s="9" t="s">
        <v>827</v>
      </c>
      <c r="D873" s="15">
        <v>106.46</v>
      </c>
      <c r="E873" s="13" t="s">
        <v>75</v>
      </c>
    </row>
    <row r="874" spans="1:5" x14ac:dyDescent="0.25">
      <c r="A874" s="9" t="s">
        <v>1210</v>
      </c>
      <c r="B874" s="10" t="s">
        <v>828</v>
      </c>
      <c r="C874" s="9" t="s">
        <v>829</v>
      </c>
      <c r="D874" s="15">
        <v>515.59</v>
      </c>
      <c r="E874" s="13" t="s">
        <v>75</v>
      </c>
    </row>
    <row r="875" spans="1:5" x14ac:dyDescent="0.25">
      <c r="A875" s="9" t="s">
        <v>1210</v>
      </c>
      <c r="B875" s="10" t="s">
        <v>830</v>
      </c>
      <c r="C875" s="9" t="s">
        <v>831</v>
      </c>
      <c r="D875" s="15">
        <v>365.68</v>
      </c>
      <c r="E875" s="13" t="s">
        <v>75</v>
      </c>
    </row>
    <row r="876" spans="1:5" x14ac:dyDescent="0.25">
      <c r="A876" s="9" t="s">
        <v>1210</v>
      </c>
      <c r="B876" s="10" t="s">
        <v>832</v>
      </c>
      <c r="C876" s="9" t="s">
        <v>833</v>
      </c>
      <c r="D876" s="15">
        <v>267.64</v>
      </c>
      <c r="E876" s="13" t="s">
        <v>75</v>
      </c>
    </row>
    <row r="877" spans="1:5" x14ac:dyDescent="0.25">
      <c r="A877" s="9" t="s">
        <v>1210</v>
      </c>
      <c r="B877" s="10" t="s">
        <v>834</v>
      </c>
      <c r="C877" s="9" t="s">
        <v>835</v>
      </c>
      <c r="D877" s="15">
        <v>199.56</v>
      </c>
      <c r="E877" s="13" t="s">
        <v>75</v>
      </c>
    </row>
    <row r="878" spans="1:5" x14ac:dyDescent="0.25">
      <c r="A878" s="9" t="s">
        <v>1210</v>
      </c>
      <c r="B878" s="10" t="s">
        <v>836</v>
      </c>
      <c r="C878" s="9" t="s">
        <v>837</v>
      </c>
      <c r="D878" s="15">
        <v>25.36</v>
      </c>
      <c r="E878" s="13" t="s">
        <v>75</v>
      </c>
    </row>
    <row r="879" spans="1:5" x14ac:dyDescent="0.25">
      <c r="A879" s="9" t="s">
        <v>1210</v>
      </c>
      <c r="B879" s="10" t="s">
        <v>838</v>
      </c>
      <c r="C879" s="9" t="s">
        <v>839</v>
      </c>
      <c r="D879" s="15">
        <v>3.17</v>
      </c>
      <c r="E879" s="13" t="s">
        <v>75</v>
      </c>
    </row>
    <row r="880" spans="1:5" x14ac:dyDescent="0.25">
      <c r="A880" s="9" t="s">
        <v>1210</v>
      </c>
      <c r="B880" s="10" t="s">
        <v>840</v>
      </c>
      <c r="C880" s="9" t="s">
        <v>841</v>
      </c>
      <c r="D880" s="15">
        <v>1854.33</v>
      </c>
      <c r="E880" s="13" t="s">
        <v>75</v>
      </c>
    </row>
    <row r="881" spans="1:5" x14ac:dyDescent="0.25">
      <c r="A881" s="9" t="s">
        <v>1210</v>
      </c>
      <c r="B881" s="10" t="s">
        <v>844</v>
      </c>
      <c r="C881" s="9" t="s">
        <v>845</v>
      </c>
      <c r="D881" s="15">
        <v>37.14</v>
      </c>
      <c r="E881" s="13" t="s">
        <v>75</v>
      </c>
    </row>
    <row r="882" spans="1:5" x14ac:dyDescent="0.25">
      <c r="A882" s="9" t="s">
        <v>1210</v>
      </c>
      <c r="B882" s="10" t="s">
        <v>846</v>
      </c>
      <c r="C882" s="9" t="s">
        <v>847</v>
      </c>
      <c r="D882" s="15">
        <v>41.72</v>
      </c>
      <c r="E882" s="13" t="s">
        <v>75</v>
      </c>
    </row>
    <row r="883" spans="1:5" x14ac:dyDescent="0.25">
      <c r="A883" s="9" t="s">
        <v>1210</v>
      </c>
      <c r="B883" s="10" t="s">
        <v>850</v>
      </c>
      <c r="C883" s="9" t="s">
        <v>851</v>
      </c>
      <c r="D883" s="15">
        <v>813.71</v>
      </c>
      <c r="E883" s="13" t="s">
        <v>75</v>
      </c>
    </row>
    <row r="884" spans="1:5" x14ac:dyDescent="0.25">
      <c r="A884" s="9" t="s">
        <v>1210</v>
      </c>
      <c r="B884" s="10" t="s">
        <v>852</v>
      </c>
      <c r="C884" s="9" t="s">
        <v>853</v>
      </c>
      <c r="D884" s="15">
        <v>218.86</v>
      </c>
      <c r="E884" s="13" t="s">
        <v>75</v>
      </c>
    </row>
    <row r="885" spans="1:5" x14ac:dyDescent="0.25">
      <c r="A885" s="9" t="s">
        <v>1210</v>
      </c>
      <c r="B885" s="10" t="s">
        <v>858</v>
      </c>
      <c r="C885" s="9" t="s">
        <v>859</v>
      </c>
      <c r="D885" s="15">
        <v>111.63</v>
      </c>
      <c r="E885" s="13" t="s">
        <v>75</v>
      </c>
    </row>
    <row r="886" spans="1:5" x14ac:dyDescent="0.25">
      <c r="A886" s="9" t="s">
        <v>1210</v>
      </c>
      <c r="B886" s="10" t="s">
        <v>860</v>
      </c>
      <c r="C886" s="9" t="s">
        <v>861</v>
      </c>
      <c r="D886" s="15">
        <v>25.21</v>
      </c>
      <c r="E886" s="13" t="s">
        <v>75</v>
      </c>
    </row>
    <row r="887" spans="1:5" x14ac:dyDescent="0.25">
      <c r="A887" s="9" t="s">
        <v>1210</v>
      </c>
      <c r="B887" s="10" t="s">
        <v>862</v>
      </c>
      <c r="C887" s="9" t="s">
        <v>863</v>
      </c>
      <c r="D887" s="15">
        <v>323.63</v>
      </c>
      <c r="E887" s="13" t="s">
        <v>75</v>
      </c>
    </row>
    <row r="888" spans="1:5" x14ac:dyDescent="0.25">
      <c r="A888" s="9" t="s">
        <v>1210</v>
      </c>
      <c r="B888" s="10" t="s">
        <v>864</v>
      </c>
      <c r="C888" s="9" t="s">
        <v>865</v>
      </c>
      <c r="D888" s="15">
        <v>830.99</v>
      </c>
      <c r="E888" s="13" t="s">
        <v>75</v>
      </c>
    </row>
    <row r="889" spans="1:5" x14ac:dyDescent="0.25">
      <c r="A889" s="9" t="s">
        <v>1210</v>
      </c>
      <c r="B889" s="10" t="s">
        <v>866</v>
      </c>
      <c r="C889" s="9" t="s">
        <v>867</v>
      </c>
      <c r="D889" s="15">
        <v>72.459999999999994</v>
      </c>
      <c r="E889" s="13" t="s">
        <v>75</v>
      </c>
    </row>
    <row r="890" spans="1:5" x14ac:dyDescent="0.25">
      <c r="A890" s="9" t="s">
        <v>1210</v>
      </c>
      <c r="B890" s="10" t="s">
        <v>868</v>
      </c>
      <c r="C890" s="9" t="s">
        <v>869</v>
      </c>
      <c r="D890" s="15">
        <v>1129.48</v>
      </c>
      <c r="E890" s="13" t="s">
        <v>75</v>
      </c>
    </row>
    <row r="891" spans="1:5" x14ac:dyDescent="0.25">
      <c r="A891" s="9" t="s">
        <v>1210</v>
      </c>
      <c r="B891" s="10" t="s">
        <v>870</v>
      </c>
      <c r="C891" s="9" t="s">
        <v>871</v>
      </c>
      <c r="D891" s="15">
        <v>436.12</v>
      </c>
      <c r="E891" s="13" t="s">
        <v>75</v>
      </c>
    </row>
    <row r="892" spans="1:5" x14ac:dyDescent="0.25">
      <c r="A892" s="9" t="s">
        <v>1210</v>
      </c>
      <c r="B892" s="10" t="s">
        <v>872</v>
      </c>
      <c r="C892" s="9" t="s">
        <v>873</v>
      </c>
      <c r="D892" s="15">
        <v>63.79</v>
      </c>
      <c r="E892" s="13" t="s">
        <v>75</v>
      </c>
    </row>
    <row r="893" spans="1:5" x14ac:dyDescent="0.25">
      <c r="A893" s="9" t="s">
        <v>1210</v>
      </c>
      <c r="B893" s="10" t="s">
        <v>874</v>
      </c>
      <c r="C893" s="9" t="s">
        <v>875</v>
      </c>
      <c r="D893" s="15">
        <v>42.26</v>
      </c>
      <c r="E893" s="13" t="s">
        <v>75</v>
      </c>
    </row>
    <row r="894" spans="1:5" x14ac:dyDescent="0.25">
      <c r="A894" s="9" t="s">
        <v>1210</v>
      </c>
      <c r="B894" s="10" t="s">
        <v>876</v>
      </c>
      <c r="C894" s="9" t="s">
        <v>877</v>
      </c>
      <c r="D894" s="15">
        <v>3596.3</v>
      </c>
      <c r="E894" s="13" t="s">
        <v>75</v>
      </c>
    </row>
    <row r="895" spans="1:5" x14ac:dyDescent="0.25">
      <c r="A895" s="9" t="s">
        <v>1210</v>
      </c>
      <c r="B895" s="10" t="s">
        <v>878</v>
      </c>
      <c r="C895" s="9" t="s">
        <v>879</v>
      </c>
      <c r="D895" s="15">
        <v>1510.68</v>
      </c>
      <c r="E895" s="13" t="s">
        <v>75</v>
      </c>
    </row>
    <row r="896" spans="1:5" x14ac:dyDescent="0.25">
      <c r="A896" s="9" t="s">
        <v>1210</v>
      </c>
      <c r="B896" s="10" t="s">
        <v>880</v>
      </c>
      <c r="C896" s="9" t="s">
        <v>881</v>
      </c>
      <c r="D896" s="15">
        <v>2966.87</v>
      </c>
      <c r="E896" s="13" t="s">
        <v>75</v>
      </c>
    </row>
    <row r="897" spans="1:5" x14ac:dyDescent="0.25">
      <c r="A897" s="9" t="s">
        <v>1210</v>
      </c>
      <c r="B897" s="10" t="s">
        <v>885</v>
      </c>
      <c r="C897" s="9" t="s">
        <v>886</v>
      </c>
      <c r="D897" s="15">
        <v>257.42</v>
      </c>
      <c r="E897" s="13" t="s">
        <v>75</v>
      </c>
    </row>
    <row r="898" spans="1:5" x14ac:dyDescent="0.25">
      <c r="A898" s="9" t="s">
        <v>1210</v>
      </c>
      <c r="B898" s="10" t="s">
        <v>887</v>
      </c>
      <c r="C898" s="9" t="s">
        <v>888</v>
      </c>
      <c r="D898" s="15">
        <v>570.36</v>
      </c>
      <c r="E898" s="13" t="s">
        <v>75</v>
      </c>
    </row>
    <row r="899" spans="1:5" x14ac:dyDescent="0.25">
      <c r="A899" s="9" t="s">
        <v>1210</v>
      </c>
      <c r="B899" s="10" t="s">
        <v>889</v>
      </c>
      <c r="C899" s="9" t="s">
        <v>890</v>
      </c>
      <c r="D899" s="15">
        <v>827.79</v>
      </c>
      <c r="E899" s="13" t="s">
        <v>75</v>
      </c>
    </row>
    <row r="900" spans="1:5" x14ac:dyDescent="0.25">
      <c r="A900" s="9" t="s">
        <v>1210</v>
      </c>
      <c r="B900" s="10" t="s">
        <v>891</v>
      </c>
      <c r="C900" s="9" t="s">
        <v>892</v>
      </c>
      <c r="D900" s="15">
        <v>840.3</v>
      </c>
      <c r="E900" s="13" t="s">
        <v>75</v>
      </c>
    </row>
    <row r="901" spans="1:5" x14ac:dyDescent="0.25">
      <c r="A901" s="9" t="s">
        <v>1210</v>
      </c>
      <c r="B901" s="10" t="s">
        <v>893</v>
      </c>
      <c r="C901" s="9" t="s">
        <v>894</v>
      </c>
      <c r="D901" s="15">
        <v>38.04</v>
      </c>
      <c r="E901" s="13" t="s">
        <v>75</v>
      </c>
    </row>
    <row r="902" spans="1:5" x14ac:dyDescent="0.25">
      <c r="A902" s="9" t="s">
        <v>1210</v>
      </c>
      <c r="B902" s="10" t="s">
        <v>895</v>
      </c>
      <c r="C902" s="9" t="s">
        <v>896</v>
      </c>
      <c r="D902" s="15">
        <v>712.69</v>
      </c>
      <c r="E902" s="13" t="s">
        <v>75</v>
      </c>
    </row>
    <row r="903" spans="1:5" x14ac:dyDescent="0.25">
      <c r="A903" s="9" t="s">
        <v>1210</v>
      </c>
      <c r="B903" s="10" t="s">
        <v>897</v>
      </c>
      <c r="C903" s="9" t="s">
        <v>898</v>
      </c>
      <c r="D903" s="15">
        <v>54.6</v>
      </c>
      <c r="E903" s="13" t="s">
        <v>75</v>
      </c>
    </row>
    <row r="904" spans="1:5" x14ac:dyDescent="0.25">
      <c r="A904" s="9" t="s">
        <v>1210</v>
      </c>
      <c r="B904" s="10" t="s">
        <v>899</v>
      </c>
      <c r="C904" s="9" t="s">
        <v>900</v>
      </c>
      <c r="D904" s="15">
        <v>624.12</v>
      </c>
      <c r="E904" s="13" t="s">
        <v>75</v>
      </c>
    </row>
    <row r="905" spans="1:5" x14ac:dyDescent="0.25">
      <c r="A905" s="9" t="s">
        <v>1210</v>
      </c>
      <c r="B905" s="10" t="s">
        <v>901</v>
      </c>
      <c r="C905" s="9" t="s">
        <v>902</v>
      </c>
      <c r="D905" s="15">
        <v>95.04</v>
      </c>
      <c r="E905" s="13" t="s">
        <v>75</v>
      </c>
    </row>
    <row r="906" spans="1:5" x14ac:dyDescent="0.25">
      <c r="A906" s="9" t="s">
        <v>1210</v>
      </c>
      <c r="B906" s="10" t="s">
        <v>903</v>
      </c>
      <c r="C906" s="9" t="s">
        <v>904</v>
      </c>
      <c r="D906" s="15">
        <v>176.88</v>
      </c>
      <c r="E906" s="13" t="s">
        <v>75</v>
      </c>
    </row>
    <row r="907" spans="1:5" x14ac:dyDescent="0.25">
      <c r="A907" s="9" t="s">
        <v>1210</v>
      </c>
      <c r="B907" s="10" t="s">
        <v>905</v>
      </c>
      <c r="C907" s="9" t="s">
        <v>906</v>
      </c>
      <c r="D907" s="15">
        <v>862.67</v>
      </c>
      <c r="E907" s="13" t="s">
        <v>75</v>
      </c>
    </row>
    <row r="908" spans="1:5" x14ac:dyDescent="0.25">
      <c r="A908" s="9" t="s">
        <v>1210</v>
      </c>
      <c r="B908" s="10" t="s">
        <v>907</v>
      </c>
      <c r="C908" s="9" t="s">
        <v>908</v>
      </c>
      <c r="D908" s="15">
        <v>465.81</v>
      </c>
      <c r="E908" s="13" t="s">
        <v>75</v>
      </c>
    </row>
    <row r="909" spans="1:5" x14ac:dyDescent="0.25">
      <c r="A909" s="9" t="s">
        <v>1210</v>
      </c>
      <c r="B909" s="10" t="s">
        <v>909</v>
      </c>
      <c r="C909" s="9" t="s">
        <v>910</v>
      </c>
      <c r="D909" s="15">
        <v>672.18</v>
      </c>
      <c r="E909" s="13" t="s">
        <v>75</v>
      </c>
    </row>
    <row r="910" spans="1:5" x14ac:dyDescent="0.25">
      <c r="A910" s="9" t="s">
        <v>1210</v>
      </c>
      <c r="B910" s="10" t="s">
        <v>913</v>
      </c>
      <c r="C910" s="9" t="s">
        <v>914</v>
      </c>
      <c r="D910" s="15">
        <v>96.29</v>
      </c>
      <c r="E910" s="13" t="s">
        <v>75</v>
      </c>
    </row>
    <row r="911" spans="1:5" x14ac:dyDescent="0.25">
      <c r="A911" s="9" t="s">
        <v>1210</v>
      </c>
      <c r="B911" s="10" t="s">
        <v>915</v>
      </c>
      <c r="C911" s="9" t="s">
        <v>916</v>
      </c>
      <c r="D911" s="15">
        <v>955.41</v>
      </c>
      <c r="E911" s="13" t="s">
        <v>75</v>
      </c>
    </row>
    <row r="912" spans="1:5" x14ac:dyDescent="0.25">
      <c r="A912" s="9" t="s">
        <v>1210</v>
      </c>
      <c r="B912" s="10" t="s">
        <v>917</v>
      </c>
      <c r="C912" s="9" t="s">
        <v>918</v>
      </c>
      <c r="D912" s="15">
        <v>1785.45</v>
      </c>
      <c r="E912" s="13" t="s">
        <v>75</v>
      </c>
    </row>
    <row r="913" spans="1:5" x14ac:dyDescent="0.25">
      <c r="A913" s="9" t="s">
        <v>1210</v>
      </c>
      <c r="B913" s="10" t="s">
        <v>919</v>
      </c>
      <c r="C913" s="9" t="s">
        <v>920</v>
      </c>
      <c r="D913" s="15">
        <v>804.11</v>
      </c>
      <c r="E913" s="13" t="s">
        <v>75</v>
      </c>
    </row>
    <row r="914" spans="1:5" x14ac:dyDescent="0.25">
      <c r="A914" s="9" t="s">
        <v>1210</v>
      </c>
      <c r="B914" s="10" t="s">
        <v>921</v>
      </c>
      <c r="C914" s="9" t="s">
        <v>922</v>
      </c>
      <c r="D914" s="15">
        <v>406</v>
      </c>
      <c r="E914" s="13" t="s">
        <v>75</v>
      </c>
    </row>
    <row r="915" spans="1:5" x14ac:dyDescent="0.25">
      <c r="A915" s="9" t="s">
        <v>1210</v>
      </c>
      <c r="B915" s="10" t="s">
        <v>923</v>
      </c>
      <c r="C915" s="9" t="s">
        <v>924</v>
      </c>
      <c r="D915" s="15">
        <v>190.14</v>
      </c>
      <c r="E915" s="13" t="s">
        <v>75</v>
      </c>
    </row>
    <row r="916" spans="1:5" x14ac:dyDescent="0.25">
      <c r="A916" s="9" t="s">
        <v>1210</v>
      </c>
      <c r="B916" s="10" t="s">
        <v>925</v>
      </c>
      <c r="C916" s="9" t="s">
        <v>926</v>
      </c>
      <c r="D916" s="15">
        <v>2154.4899999999998</v>
      </c>
      <c r="E916" s="13" t="s">
        <v>75</v>
      </c>
    </row>
    <row r="917" spans="1:5" x14ac:dyDescent="0.25">
      <c r="A917" s="9" t="s">
        <v>1210</v>
      </c>
      <c r="B917" s="10" t="s">
        <v>927</v>
      </c>
      <c r="C917" s="9" t="s">
        <v>928</v>
      </c>
      <c r="D917" s="15">
        <v>497.64</v>
      </c>
      <c r="E917" s="13" t="s">
        <v>75</v>
      </c>
    </row>
    <row r="918" spans="1:5" x14ac:dyDescent="0.25">
      <c r="A918" s="9" t="s">
        <v>1210</v>
      </c>
      <c r="B918" s="10" t="s">
        <v>929</v>
      </c>
      <c r="C918" s="9" t="s">
        <v>930</v>
      </c>
      <c r="D918" s="15">
        <v>1350.52</v>
      </c>
      <c r="E918" s="13" t="s">
        <v>75</v>
      </c>
    </row>
    <row r="919" spans="1:5" x14ac:dyDescent="0.25">
      <c r="A919" s="9" t="s">
        <v>1210</v>
      </c>
      <c r="B919" s="10" t="s">
        <v>931</v>
      </c>
      <c r="C919" s="9" t="s">
        <v>932</v>
      </c>
      <c r="D919" s="15">
        <v>1065.81</v>
      </c>
      <c r="E919" s="13" t="s">
        <v>75</v>
      </c>
    </row>
    <row r="920" spans="1:5" x14ac:dyDescent="0.25">
      <c r="A920" s="9" t="s">
        <v>1210</v>
      </c>
      <c r="B920" s="10" t="s">
        <v>933</v>
      </c>
      <c r="C920" s="9" t="s">
        <v>934</v>
      </c>
      <c r="D920" s="15">
        <v>1789.97</v>
      </c>
      <c r="E920" s="13" t="s">
        <v>75</v>
      </c>
    </row>
    <row r="921" spans="1:5" x14ac:dyDescent="0.25">
      <c r="A921" s="9" t="s">
        <v>1210</v>
      </c>
      <c r="B921" s="10" t="s">
        <v>935</v>
      </c>
      <c r="C921" s="9" t="s">
        <v>936</v>
      </c>
      <c r="D921" s="15">
        <v>867.55</v>
      </c>
      <c r="E921" s="13" t="s">
        <v>75</v>
      </c>
    </row>
    <row r="922" spans="1:5" x14ac:dyDescent="0.25">
      <c r="A922" s="9" t="s">
        <v>1210</v>
      </c>
      <c r="B922" s="10" t="s">
        <v>939</v>
      </c>
      <c r="C922" s="9" t="s">
        <v>940</v>
      </c>
      <c r="D922" s="15">
        <v>95.04</v>
      </c>
      <c r="E922" s="13" t="s">
        <v>75</v>
      </c>
    </row>
    <row r="923" spans="1:5" x14ac:dyDescent="0.25">
      <c r="A923" s="9" t="s">
        <v>1210</v>
      </c>
      <c r="B923" s="10" t="s">
        <v>941</v>
      </c>
      <c r="C923" s="9" t="s">
        <v>942</v>
      </c>
      <c r="D923" s="15">
        <v>1084.95</v>
      </c>
      <c r="E923" s="13" t="s">
        <v>75</v>
      </c>
    </row>
    <row r="924" spans="1:5" x14ac:dyDescent="0.25">
      <c r="A924" s="9" t="s">
        <v>1210</v>
      </c>
      <c r="B924" s="10" t="s">
        <v>943</v>
      </c>
      <c r="C924" s="9" t="s">
        <v>944</v>
      </c>
      <c r="D924" s="15">
        <v>678.71</v>
      </c>
      <c r="E924" s="13" t="s">
        <v>75</v>
      </c>
    </row>
    <row r="925" spans="1:5" x14ac:dyDescent="0.25">
      <c r="A925" s="9" t="s">
        <v>1210</v>
      </c>
      <c r="B925" s="10" t="s">
        <v>945</v>
      </c>
      <c r="C925" s="9" t="s">
        <v>946</v>
      </c>
      <c r="D925" s="15">
        <v>47.4</v>
      </c>
      <c r="E925" s="13" t="s">
        <v>75</v>
      </c>
    </row>
    <row r="926" spans="1:5" x14ac:dyDescent="0.25">
      <c r="A926" s="9" t="s">
        <v>1210</v>
      </c>
      <c r="B926" s="10" t="s">
        <v>947</v>
      </c>
      <c r="C926" s="9" t="s">
        <v>948</v>
      </c>
      <c r="D926" s="15">
        <v>1045.32</v>
      </c>
      <c r="E926" s="13" t="s">
        <v>75</v>
      </c>
    </row>
    <row r="927" spans="1:5" x14ac:dyDescent="0.25">
      <c r="A927" s="9" t="s">
        <v>1210</v>
      </c>
      <c r="B927" s="10" t="s">
        <v>949</v>
      </c>
      <c r="C927" s="9" t="s">
        <v>950</v>
      </c>
      <c r="D927" s="15">
        <v>485.31</v>
      </c>
      <c r="E927" s="13" t="s">
        <v>75</v>
      </c>
    </row>
    <row r="928" spans="1:5" x14ac:dyDescent="0.25">
      <c r="A928" s="9" t="s">
        <v>1210</v>
      </c>
      <c r="B928" s="10" t="s">
        <v>953</v>
      </c>
      <c r="C928" s="9" t="s">
        <v>954</v>
      </c>
      <c r="D928" s="15">
        <v>2072.6999999999998</v>
      </c>
      <c r="E928" s="13" t="s">
        <v>75</v>
      </c>
    </row>
    <row r="929" spans="1:5" x14ac:dyDescent="0.25">
      <c r="A929" s="9" t="s">
        <v>1210</v>
      </c>
      <c r="B929" s="10" t="s">
        <v>955</v>
      </c>
      <c r="C929" s="9" t="s">
        <v>956</v>
      </c>
      <c r="D929" s="15">
        <v>3464.32</v>
      </c>
      <c r="E929" s="13" t="s">
        <v>75</v>
      </c>
    </row>
    <row r="930" spans="1:5" x14ac:dyDescent="0.25">
      <c r="A930" s="9" t="s">
        <v>1210</v>
      </c>
      <c r="B930" s="10" t="s">
        <v>957</v>
      </c>
      <c r="C930" s="9" t="s">
        <v>958</v>
      </c>
      <c r="D930" s="15">
        <v>1280.06</v>
      </c>
      <c r="E930" s="13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E5"/>
  <sheetViews>
    <sheetView topLeftCell="B1" workbookViewId="0">
      <selection sqref="A1:D1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5" ht="47.85" customHeight="1" x14ac:dyDescent="0.25">
      <c r="A1" s="23" t="s">
        <v>58</v>
      </c>
      <c r="B1" s="23"/>
      <c r="C1" s="23"/>
      <c r="D1" s="23"/>
    </row>
    <row r="2" spans="1:5" ht="60" x14ac:dyDescent="0.25">
      <c r="A2" s="12"/>
      <c r="B2" s="12" t="s">
        <v>59</v>
      </c>
      <c r="C2" s="12" t="s">
        <v>10</v>
      </c>
      <c r="D2" s="12" t="s">
        <v>60</v>
      </c>
    </row>
    <row r="3" spans="1:5" x14ac:dyDescent="0.25">
      <c r="A3">
        <v>94958564500</v>
      </c>
      <c r="B3" s="10" t="s">
        <v>1099</v>
      </c>
      <c r="C3" s="10" t="s">
        <v>1100</v>
      </c>
      <c r="D3" s="10" t="s">
        <v>1101</v>
      </c>
      <c r="E3" t="s">
        <v>75</v>
      </c>
    </row>
    <row r="4" spans="1:5" x14ac:dyDescent="0.25">
      <c r="A4">
        <v>97982261515</v>
      </c>
      <c r="B4" s="10" t="s">
        <v>1206</v>
      </c>
      <c r="C4" s="10" t="s">
        <v>1207</v>
      </c>
      <c r="D4" s="10" t="s">
        <v>1208</v>
      </c>
      <c r="E4" t="s">
        <v>75</v>
      </c>
    </row>
    <row r="5" spans="1:5" x14ac:dyDescent="0.25">
      <c r="A5">
        <v>97982261515</v>
      </c>
      <c r="B5" s="10" t="s">
        <v>1209</v>
      </c>
      <c r="C5" s="10" t="s">
        <v>1210</v>
      </c>
      <c r="D5" s="10" t="s">
        <v>1211</v>
      </c>
      <c r="E5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C854"/>
  <sheetViews>
    <sheetView workbookViewId="0">
      <selection activeCell="B2" sqref="B2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3" ht="47.85" customHeight="1" x14ac:dyDescent="0.25">
      <c r="A1" s="25" t="s">
        <v>55</v>
      </c>
      <c r="B1" s="25"/>
    </row>
    <row r="2" spans="1:3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  <row r="3" spans="1:3" x14ac:dyDescent="0.25">
      <c r="A3" s="10" t="s">
        <v>92</v>
      </c>
      <c r="B3" s="15">
        <v>0</v>
      </c>
      <c r="C3" t="s">
        <v>75</v>
      </c>
    </row>
    <row r="4" spans="1:3" x14ac:dyDescent="0.25">
      <c r="A4" s="10" t="s">
        <v>92</v>
      </c>
      <c r="B4" s="15">
        <v>0</v>
      </c>
      <c r="C4" t="s">
        <v>75</v>
      </c>
    </row>
    <row r="5" spans="1:3" x14ac:dyDescent="0.25">
      <c r="A5" s="10" t="s">
        <v>94</v>
      </c>
      <c r="B5" s="15">
        <v>0</v>
      </c>
      <c r="C5" t="s">
        <v>75</v>
      </c>
    </row>
    <row r="6" spans="1:3" x14ac:dyDescent="0.25">
      <c r="A6" s="10" t="s">
        <v>94</v>
      </c>
      <c r="B6" s="15">
        <v>0</v>
      </c>
      <c r="C6" t="s">
        <v>75</v>
      </c>
    </row>
    <row r="7" spans="1:3" x14ac:dyDescent="0.25">
      <c r="A7" s="10" t="s">
        <v>96</v>
      </c>
      <c r="B7" s="15">
        <v>0</v>
      </c>
      <c r="C7" t="s">
        <v>75</v>
      </c>
    </row>
    <row r="8" spans="1:3" x14ac:dyDescent="0.25">
      <c r="A8" s="10" t="s">
        <v>96</v>
      </c>
      <c r="B8" s="15">
        <v>0</v>
      </c>
      <c r="C8" t="s">
        <v>75</v>
      </c>
    </row>
    <row r="9" spans="1:3" x14ac:dyDescent="0.25">
      <c r="A9" s="10" t="s">
        <v>104</v>
      </c>
      <c r="B9" s="15">
        <v>0</v>
      </c>
      <c r="C9" t="s">
        <v>75</v>
      </c>
    </row>
    <row r="10" spans="1:3" x14ac:dyDescent="0.25">
      <c r="A10" s="10" t="s">
        <v>104</v>
      </c>
      <c r="B10" s="15">
        <v>0</v>
      </c>
      <c r="C10" t="s">
        <v>75</v>
      </c>
    </row>
    <row r="11" spans="1:3" x14ac:dyDescent="0.25">
      <c r="A11" s="10" t="s">
        <v>106</v>
      </c>
      <c r="B11" s="15">
        <v>0</v>
      </c>
      <c r="C11" t="s">
        <v>75</v>
      </c>
    </row>
    <row r="12" spans="1:3" x14ac:dyDescent="0.25">
      <c r="A12" s="10" t="s">
        <v>106</v>
      </c>
      <c r="B12" s="15">
        <v>0</v>
      </c>
      <c r="C12" t="s">
        <v>75</v>
      </c>
    </row>
    <row r="13" spans="1:3" x14ac:dyDescent="0.25">
      <c r="A13" s="10" t="s">
        <v>108</v>
      </c>
      <c r="B13" s="15">
        <v>0</v>
      </c>
      <c r="C13" t="s">
        <v>75</v>
      </c>
    </row>
    <row r="14" spans="1:3" x14ac:dyDescent="0.25">
      <c r="A14" s="10" t="s">
        <v>108</v>
      </c>
      <c r="B14" s="15">
        <v>0</v>
      </c>
      <c r="C14" t="s">
        <v>75</v>
      </c>
    </row>
    <row r="15" spans="1:3" x14ac:dyDescent="0.25">
      <c r="A15" s="10" t="s">
        <v>110</v>
      </c>
      <c r="B15" s="15">
        <v>0</v>
      </c>
      <c r="C15" t="s">
        <v>75</v>
      </c>
    </row>
    <row r="16" spans="1:3" x14ac:dyDescent="0.25">
      <c r="A16" s="10" t="s">
        <v>110</v>
      </c>
      <c r="B16" s="15">
        <v>0</v>
      </c>
      <c r="C16" t="s">
        <v>75</v>
      </c>
    </row>
    <row r="17" spans="1:3" x14ac:dyDescent="0.25">
      <c r="A17" s="10" t="s">
        <v>112</v>
      </c>
      <c r="B17" s="15">
        <v>0</v>
      </c>
      <c r="C17" t="s">
        <v>75</v>
      </c>
    </row>
    <row r="18" spans="1:3" x14ac:dyDescent="0.25">
      <c r="A18" s="10" t="s">
        <v>112</v>
      </c>
      <c r="B18" s="15">
        <v>0</v>
      </c>
      <c r="C18" t="s">
        <v>75</v>
      </c>
    </row>
    <row r="19" spans="1:3" x14ac:dyDescent="0.25">
      <c r="A19" s="10" t="s">
        <v>114</v>
      </c>
      <c r="B19" s="15">
        <v>0</v>
      </c>
      <c r="C19" t="s">
        <v>75</v>
      </c>
    </row>
    <row r="20" spans="1:3" x14ac:dyDescent="0.25">
      <c r="A20" s="10" t="s">
        <v>114</v>
      </c>
      <c r="B20" s="15">
        <v>0</v>
      </c>
      <c r="C20" t="s">
        <v>75</v>
      </c>
    </row>
    <row r="21" spans="1:3" x14ac:dyDescent="0.25">
      <c r="A21" s="10" t="s">
        <v>116</v>
      </c>
      <c r="B21" s="15">
        <v>0</v>
      </c>
      <c r="C21" t="s">
        <v>75</v>
      </c>
    </row>
    <row r="22" spans="1:3" x14ac:dyDescent="0.25">
      <c r="A22" s="10" t="s">
        <v>116</v>
      </c>
      <c r="B22" s="15">
        <v>0</v>
      </c>
      <c r="C22" t="s">
        <v>75</v>
      </c>
    </row>
    <row r="23" spans="1:3" x14ac:dyDescent="0.25">
      <c r="A23" s="10" t="s">
        <v>118</v>
      </c>
      <c r="B23" s="15">
        <v>0</v>
      </c>
      <c r="C23" t="s">
        <v>75</v>
      </c>
    </row>
    <row r="24" spans="1:3" x14ac:dyDescent="0.25">
      <c r="A24" s="10" t="s">
        <v>118</v>
      </c>
      <c r="B24" s="15">
        <v>0</v>
      </c>
      <c r="C24" t="s">
        <v>75</v>
      </c>
    </row>
    <row r="25" spans="1:3" x14ac:dyDescent="0.25">
      <c r="A25" s="10" t="s">
        <v>120</v>
      </c>
      <c r="B25" s="15">
        <v>0</v>
      </c>
      <c r="C25" t="s">
        <v>75</v>
      </c>
    </row>
    <row r="26" spans="1:3" x14ac:dyDescent="0.25">
      <c r="A26" s="10" t="s">
        <v>120</v>
      </c>
      <c r="B26" s="15">
        <v>0</v>
      </c>
      <c r="C26" t="s">
        <v>75</v>
      </c>
    </row>
    <row r="27" spans="1:3" x14ac:dyDescent="0.25">
      <c r="A27" s="10" t="s">
        <v>122</v>
      </c>
      <c r="B27" s="15">
        <v>0</v>
      </c>
      <c r="C27" t="s">
        <v>75</v>
      </c>
    </row>
    <row r="28" spans="1:3" x14ac:dyDescent="0.25">
      <c r="A28" s="10" t="s">
        <v>122</v>
      </c>
      <c r="B28" s="15">
        <v>0</v>
      </c>
      <c r="C28" t="s">
        <v>75</v>
      </c>
    </row>
    <row r="29" spans="1:3" x14ac:dyDescent="0.25">
      <c r="A29" s="10" t="s">
        <v>124</v>
      </c>
      <c r="B29" s="15">
        <v>0</v>
      </c>
      <c r="C29" t="s">
        <v>75</v>
      </c>
    </row>
    <row r="30" spans="1:3" x14ac:dyDescent="0.25">
      <c r="A30" s="10" t="s">
        <v>124</v>
      </c>
      <c r="B30" s="15">
        <v>0</v>
      </c>
      <c r="C30" t="s">
        <v>75</v>
      </c>
    </row>
    <row r="31" spans="1:3" x14ac:dyDescent="0.25">
      <c r="A31" s="10" t="s">
        <v>126</v>
      </c>
      <c r="B31" s="15">
        <v>0</v>
      </c>
      <c r="C31" t="s">
        <v>75</v>
      </c>
    </row>
    <row r="32" spans="1:3" x14ac:dyDescent="0.25">
      <c r="A32" s="10" t="s">
        <v>126</v>
      </c>
      <c r="B32" s="15">
        <v>0</v>
      </c>
      <c r="C32" t="s">
        <v>75</v>
      </c>
    </row>
    <row r="33" spans="1:3" x14ac:dyDescent="0.25">
      <c r="A33" s="10" t="s">
        <v>128</v>
      </c>
      <c r="B33" s="15">
        <v>0</v>
      </c>
      <c r="C33" t="s">
        <v>75</v>
      </c>
    </row>
    <row r="34" spans="1:3" x14ac:dyDescent="0.25">
      <c r="A34" s="10" t="s">
        <v>128</v>
      </c>
      <c r="B34" s="15">
        <v>0</v>
      </c>
      <c r="C34" t="s">
        <v>75</v>
      </c>
    </row>
    <row r="35" spans="1:3" x14ac:dyDescent="0.25">
      <c r="A35" s="10" t="s">
        <v>130</v>
      </c>
      <c r="B35" s="15">
        <v>0</v>
      </c>
      <c r="C35" t="s">
        <v>75</v>
      </c>
    </row>
    <row r="36" spans="1:3" x14ac:dyDescent="0.25">
      <c r="A36" s="10" t="s">
        <v>130</v>
      </c>
      <c r="B36" s="15">
        <v>0</v>
      </c>
      <c r="C36" t="s">
        <v>75</v>
      </c>
    </row>
    <row r="37" spans="1:3" x14ac:dyDescent="0.25">
      <c r="A37" s="10" t="s">
        <v>132</v>
      </c>
      <c r="B37" s="15">
        <v>0</v>
      </c>
      <c r="C37" t="s">
        <v>75</v>
      </c>
    </row>
    <row r="38" spans="1:3" x14ac:dyDescent="0.25">
      <c r="A38" s="10" t="s">
        <v>132</v>
      </c>
      <c r="B38" s="15">
        <v>0</v>
      </c>
      <c r="C38" t="s">
        <v>75</v>
      </c>
    </row>
    <row r="39" spans="1:3" x14ac:dyDescent="0.25">
      <c r="A39" s="10" t="s">
        <v>134</v>
      </c>
      <c r="B39" s="15">
        <v>0</v>
      </c>
      <c r="C39" t="s">
        <v>75</v>
      </c>
    </row>
    <row r="40" spans="1:3" x14ac:dyDescent="0.25">
      <c r="A40" s="10" t="s">
        <v>134</v>
      </c>
      <c r="B40" s="15">
        <v>0</v>
      </c>
      <c r="C40" t="s">
        <v>75</v>
      </c>
    </row>
    <row r="41" spans="1:3" x14ac:dyDescent="0.25">
      <c r="A41" s="10" t="s">
        <v>136</v>
      </c>
      <c r="B41" s="15">
        <v>0</v>
      </c>
      <c r="C41" t="s">
        <v>75</v>
      </c>
    </row>
    <row r="42" spans="1:3" x14ac:dyDescent="0.25">
      <c r="A42" s="10" t="s">
        <v>136</v>
      </c>
      <c r="B42" s="15">
        <v>0</v>
      </c>
      <c r="C42" t="s">
        <v>75</v>
      </c>
    </row>
    <row r="43" spans="1:3" x14ac:dyDescent="0.25">
      <c r="A43" s="10" t="s">
        <v>138</v>
      </c>
      <c r="B43" s="15">
        <v>0</v>
      </c>
      <c r="C43" t="s">
        <v>75</v>
      </c>
    </row>
    <row r="44" spans="1:3" x14ac:dyDescent="0.25">
      <c r="A44" s="10" t="s">
        <v>138</v>
      </c>
      <c r="B44" s="15">
        <v>0</v>
      </c>
      <c r="C44" t="s">
        <v>75</v>
      </c>
    </row>
    <row r="45" spans="1:3" x14ac:dyDescent="0.25">
      <c r="A45" s="10" t="s">
        <v>140</v>
      </c>
      <c r="B45" s="15">
        <v>0</v>
      </c>
      <c r="C45" t="s">
        <v>75</v>
      </c>
    </row>
    <row r="46" spans="1:3" x14ac:dyDescent="0.25">
      <c r="A46" s="10" t="s">
        <v>140</v>
      </c>
      <c r="B46" s="15">
        <v>0</v>
      </c>
      <c r="C46" t="s">
        <v>75</v>
      </c>
    </row>
    <row r="47" spans="1:3" x14ac:dyDescent="0.25">
      <c r="A47" s="10" t="s">
        <v>142</v>
      </c>
      <c r="B47" s="15">
        <v>0</v>
      </c>
      <c r="C47" t="s">
        <v>75</v>
      </c>
    </row>
    <row r="48" spans="1:3" x14ac:dyDescent="0.25">
      <c r="A48" s="10" t="s">
        <v>142</v>
      </c>
      <c r="B48" s="15">
        <v>0</v>
      </c>
      <c r="C48" t="s">
        <v>75</v>
      </c>
    </row>
    <row r="49" spans="1:3" x14ac:dyDescent="0.25">
      <c r="A49" s="10" t="s">
        <v>144</v>
      </c>
      <c r="B49" s="15">
        <v>0</v>
      </c>
      <c r="C49" t="s">
        <v>75</v>
      </c>
    </row>
    <row r="50" spans="1:3" x14ac:dyDescent="0.25">
      <c r="A50" s="10" t="s">
        <v>144</v>
      </c>
      <c r="B50" s="15">
        <v>0</v>
      </c>
      <c r="C50" t="s">
        <v>75</v>
      </c>
    </row>
    <row r="51" spans="1:3" x14ac:dyDescent="0.25">
      <c r="A51" s="10" t="s">
        <v>146</v>
      </c>
      <c r="B51" s="15">
        <v>0</v>
      </c>
      <c r="C51" t="s">
        <v>75</v>
      </c>
    </row>
    <row r="52" spans="1:3" x14ac:dyDescent="0.25">
      <c r="A52" s="10" t="s">
        <v>146</v>
      </c>
      <c r="B52" s="15">
        <v>0</v>
      </c>
      <c r="C52" t="s">
        <v>75</v>
      </c>
    </row>
    <row r="53" spans="1:3" x14ac:dyDescent="0.25">
      <c r="A53" s="10" t="s">
        <v>148</v>
      </c>
      <c r="B53" s="15">
        <v>0</v>
      </c>
      <c r="C53" t="s">
        <v>75</v>
      </c>
    </row>
    <row r="54" spans="1:3" x14ac:dyDescent="0.25">
      <c r="A54" s="10" t="s">
        <v>148</v>
      </c>
      <c r="B54" s="15">
        <v>0</v>
      </c>
      <c r="C54" t="s">
        <v>75</v>
      </c>
    </row>
    <row r="55" spans="1:3" x14ac:dyDescent="0.25">
      <c r="A55" s="10" t="s">
        <v>150</v>
      </c>
      <c r="B55" s="15">
        <v>0</v>
      </c>
      <c r="C55" t="s">
        <v>75</v>
      </c>
    </row>
    <row r="56" spans="1:3" x14ac:dyDescent="0.25">
      <c r="A56" s="10" t="s">
        <v>150</v>
      </c>
      <c r="B56" s="15">
        <v>0</v>
      </c>
      <c r="C56" t="s">
        <v>75</v>
      </c>
    </row>
    <row r="57" spans="1:3" x14ac:dyDescent="0.25">
      <c r="A57" s="10" t="s">
        <v>152</v>
      </c>
      <c r="B57" s="15">
        <v>0</v>
      </c>
      <c r="C57" t="s">
        <v>75</v>
      </c>
    </row>
    <row r="58" spans="1:3" x14ac:dyDescent="0.25">
      <c r="A58" s="10" t="s">
        <v>152</v>
      </c>
      <c r="B58" s="15">
        <v>0</v>
      </c>
      <c r="C58" t="s">
        <v>75</v>
      </c>
    </row>
    <row r="59" spans="1:3" x14ac:dyDescent="0.25">
      <c r="A59" s="10" t="s">
        <v>154</v>
      </c>
      <c r="B59" s="15">
        <v>0</v>
      </c>
      <c r="C59" t="s">
        <v>75</v>
      </c>
    </row>
    <row r="60" spans="1:3" x14ac:dyDescent="0.25">
      <c r="A60" s="10" t="s">
        <v>154</v>
      </c>
      <c r="B60" s="15">
        <v>0</v>
      </c>
      <c r="C60" t="s">
        <v>75</v>
      </c>
    </row>
    <row r="61" spans="1:3" x14ac:dyDescent="0.25">
      <c r="A61" s="10" t="s">
        <v>156</v>
      </c>
      <c r="B61" s="15">
        <v>0</v>
      </c>
      <c r="C61" t="s">
        <v>75</v>
      </c>
    </row>
    <row r="62" spans="1:3" x14ac:dyDescent="0.25">
      <c r="A62" s="10" t="s">
        <v>156</v>
      </c>
      <c r="B62" s="15">
        <v>0</v>
      </c>
      <c r="C62" t="s">
        <v>75</v>
      </c>
    </row>
    <row r="63" spans="1:3" x14ac:dyDescent="0.25">
      <c r="A63" s="10" t="s">
        <v>158</v>
      </c>
      <c r="B63" s="15">
        <v>0</v>
      </c>
      <c r="C63" t="s">
        <v>75</v>
      </c>
    </row>
    <row r="64" spans="1:3" x14ac:dyDescent="0.25">
      <c r="A64" s="10" t="s">
        <v>158</v>
      </c>
      <c r="B64" s="15">
        <v>0</v>
      </c>
      <c r="C64" t="s">
        <v>75</v>
      </c>
    </row>
    <row r="65" spans="1:3" x14ac:dyDescent="0.25">
      <c r="A65" s="10" t="s">
        <v>160</v>
      </c>
      <c r="B65" s="15">
        <v>0</v>
      </c>
      <c r="C65" t="s">
        <v>75</v>
      </c>
    </row>
    <row r="66" spans="1:3" x14ac:dyDescent="0.25">
      <c r="A66" s="10" t="s">
        <v>160</v>
      </c>
      <c r="B66" s="15">
        <v>0</v>
      </c>
      <c r="C66" t="s">
        <v>75</v>
      </c>
    </row>
    <row r="67" spans="1:3" x14ac:dyDescent="0.25">
      <c r="A67" s="10" t="s">
        <v>162</v>
      </c>
      <c r="B67" s="15">
        <v>0</v>
      </c>
      <c r="C67" t="s">
        <v>75</v>
      </c>
    </row>
    <row r="68" spans="1:3" x14ac:dyDescent="0.25">
      <c r="A68" s="10" t="s">
        <v>162</v>
      </c>
      <c r="B68" s="15">
        <v>0</v>
      </c>
      <c r="C68" t="s">
        <v>75</v>
      </c>
    </row>
    <row r="69" spans="1:3" x14ac:dyDescent="0.25">
      <c r="A69" s="10" t="s">
        <v>164</v>
      </c>
      <c r="B69" s="15">
        <v>0</v>
      </c>
      <c r="C69" t="s">
        <v>75</v>
      </c>
    </row>
    <row r="70" spans="1:3" x14ac:dyDescent="0.25">
      <c r="A70" s="10" t="s">
        <v>164</v>
      </c>
      <c r="B70" s="15">
        <v>0</v>
      </c>
      <c r="C70" t="s">
        <v>75</v>
      </c>
    </row>
    <row r="71" spans="1:3" x14ac:dyDescent="0.25">
      <c r="A71" s="10" t="s">
        <v>166</v>
      </c>
      <c r="B71" s="15">
        <v>0</v>
      </c>
      <c r="C71" t="s">
        <v>75</v>
      </c>
    </row>
    <row r="72" spans="1:3" x14ac:dyDescent="0.25">
      <c r="A72" s="10" t="s">
        <v>166</v>
      </c>
      <c r="B72" s="15">
        <v>0</v>
      </c>
      <c r="C72" t="s">
        <v>75</v>
      </c>
    </row>
    <row r="73" spans="1:3" x14ac:dyDescent="0.25">
      <c r="A73" s="10" t="s">
        <v>168</v>
      </c>
      <c r="B73" s="15">
        <v>0</v>
      </c>
      <c r="C73" t="s">
        <v>75</v>
      </c>
    </row>
    <row r="74" spans="1:3" x14ac:dyDescent="0.25">
      <c r="A74" s="10" t="s">
        <v>168</v>
      </c>
      <c r="B74" s="15">
        <v>0</v>
      </c>
      <c r="C74" t="s">
        <v>75</v>
      </c>
    </row>
    <row r="75" spans="1:3" x14ac:dyDescent="0.25">
      <c r="A75" s="10" t="s">
        <v>170</v>
      </c>
      <c r="B75" s="15">
        <v>0</v>
      </c>
      <c r="C75" t="s">
        <v>75</v>
      </c>
    </row>
    <row r="76" spans="1:3" x14ac:dyDescent="0.25">
      <c r="A76" s="10" t="s">
        <v>170</v>
      </c>
      <c r="B76" s="15">
        <v>0</v>
      </c>
      <c r="C76" t="s">
        <v>75</v>
      </c>
    </row>
    <row r="77" spans="1:3" x14ac:dyDescent="0.25">
      <c r="A77" s="10" t="s">
        <v>172</v>
      </c>
      <c r="B77" s="15">
        <v>0</v>
      </c>
      <c r="C77" t="s">
        <v>75</v>
      </c>
    </row>
    <row r="78" spans="1:3" x14ac:dyDescent="0.25">
      <c r="A78" s="10" t="s">
        <v>172</v>
      </c>
      <c r="B78" s="15">
        <v>0</v>
      </c>
      <c r="C78" t="s">
        <v>75</v>
      </c>
    </row>
    <row r="79" spans="1:3" x14ac:dyDescent="0.25">
      <c r="A79" s="10" t="s">
        <v>174</v>
      </c>
      <c r="B79" s="15">
        <v>0</v>
      </c>
      <c r="C79" t="s">
        <v>75</v>
      </c>
    </row>
    <row r="80" spans="1:3" x14ac:dyDescent="0.25">
      <c r="A80" s="10" t="s">
        <v>174</v>
      </c>
      <c r="B80" s="15">
        <v>0</v>
      </c>
      <c r="C80" t="s">
        <v>75</v>
      </c>
    </row>
    <row r="81" spans="1:3" x14ac:dyDescent="0.25">
      <c r="A81" s="10" t="s">
        <v>176</v>
      </c>
      <c r="B81" s="15">
        <v>0</v>
      </c>
      <c r="C81" t="s">
        <v>75</v>
      </c>
    </row>
    <row r="82" spans="1:3" x14ac:dyDescent="0.25">
      <c r="A82" s="10" t="s">
        <v>176</v>
      </c>
      <c r="B82" s="15">
        <v>0</v>
      </c>
      <c r="C82" t="s">
        <v>75</v>
      </c>
    </row>
    <row r="83" spans="1:3" x14ac:dyDescent="0.25">
      <c r="A83" s="10" t="s">
        <v>178</v>
      </c>
      <c r="B83" s="15">
        <v>0</v>
      </c>
      <c r="C83" t="s">
        <v>75</v>
      </c>
    </row>
    <row r="84" spans="1:3" x14ac:dyDescent="0.25">
      <c r="A84" s="10" t="s">
        <v>178</v>
      </c>
      <c r="B84" s="15">
        <v>0</v>
      </c>
      <c r="C84" t="s">
        <v>75</v>
      </c>
    </row>
    <row r="85" spans="1:3" x14ac:dyDescent="0.25">
      <c r="A85" s="10" t="s">
        <v>180</v>
      </c>
      <c r="B85" s="15">
        <v>0</v>
      </c>
      <c r="C85" t="s">
        <v>75</v>
      </c>
    </row>
    <row r="86" spans="1:3" x14ac:dyDescent="0.25">
      <c r="A86" s="10" t="s">
        <v>180</v>
      </c>
      <c r="B86" s="15">
        <v>0</v>
      </c>
      <c r="C86" t="s">
        <v>75</v>
      </c>
    </row>
    <row r="87" spans="1:3" x14ac:dyDescent="0.25">
      <c r="A87" s="10" t="s">
        <v>182</v>
      </c>
      <c r="B87" s="15">
        <v>0</v>
      </c>
      <c r="C87" t="s">
        <v>75</v>
      </c>
    </row>
    <row r="88" spans="1:3" x14ac:dyDescent="0.25">
      <c r="A88" s="10" t="s">
        <v>182</v>
      </c>
      <c r="B88" s="15">
        <v>0</v>
      </c>
      <c r="C88" t="s">
        <v>75</v>
      </c>
    </row>
    <row r="89" spans="1:3" x14ac:dyDescent="0.25">
      <c r="A89" s="10" t="s">
        <v>184</v>
      </c>
      <c r="B89" s="15">
        <v>0</v>
      </c>
      <c r="C89" t="s">
        <v>75</v>
      </c>
    </row>
    <row r="90" spans="1:3" x14ac:dyDescent="0.25">
      <c r="A90" s="10" t="s">
        <v>184</v>
      </c>
      <c r="B90" s="15">
        <v>0</v>
      </c>
      <c r="C90" t="s">
        <v>75</v>
      </c>
    </row>
    <row r="91" spans="1:3" x14ac:dyDescent="0.25">
      <c r="A91" s="10" t="s">
        <v>186</v>
      </c>
      <c r="B91" s="15">
        <v>0</v>
      </c>
      <c r="C91" t="s">
        <v>75</v>
      </c>
    </row>
    <row r="92" spans="1:3" x14ac:dyDescent="0.25">
      <c r="A92" s="10" t="s">
        <v>186</v>
      </c>
      <c r="B92" s="15">
        <v>0</v>
      </c>
      <c r="C92" t="s">
        <v>75</v>
      </c>
    </row>
    <row r="93" spans="1:3" x14ac:dyDescent="0.25">
      <c r="A93" s="10" t="s">
        <v>188</v>
      </c>
      <c r="B93" s="15">
        <v>0</v>
      </c>
      <c r="C93" t="s">
        <v>75</v>
      </c>
    </row>
    <row r="94" spans="1:3" x14ac:dyDescent="0.25">
      <c r="A94" s="10" t="s">
        <v>188</v>
      </c>
      <c r="B94" s="15">
        <v>0</v>
      </c>
      <c r="C94" t="s">
        <v>75</v>
      </c>
    </row>
    <row r="95" spans="1:3" x14ac:dyDescent="0.25">
      <c r="A95" s="10" t="s">
        <v>190</v>
      </c>
      <c r="B95" s="15">
        <v>0</v>
      </c>
      <c r="C95" t="s">
        <v>75</v>
      </c>
    </row>
    <row r="96" spans="1:3" x14ac:dyDescent="0.25">
      <c r="A96" s="10" t="s">
        <v>190</v>
      </c>
      <c r="B96" s="15">
        <v>0</v>
      </c>
      <c r="C96" t="s">
        <v>75</v>
      </c>
    </row>
    <row r="97" spans="1:3" x14ac:dyDescent="0.25">
      <c r="A97" s="10" t="s">
        <v>192</v>
      </c>
      <c r="B97" s="15">
        <v>0</v>
      </c>
      <c r="C97" t="s">
        <v>75</v>
      </c>
    </row>
    <row r="98" spans="1:3" x14ac:dyDescent="0.25">
      <c r="A98" s="10" t="s">
        <v>192</v>
      </c>
      <c r="B98" s="15">
        <v>0</v>
      </c>
      <c r="C98" t="s">
        <v>75</v>
      </c>
    </row>
    <row r="99" spans="1:3" x14ac:dyDescent="0.25">
      <c r="A99" s="10" t="s">
        <v>194</v>
      </c>
      <c r="B99" s="15">
        <v>0</v>
      </c>
      <c r="C99" t="s">
        <v>75</v>
      </c>
    </row>
    <row r="100" spans="1:3" x14ac:dyDescent="0.25">
      <c r="A100" s="10" t="s">
        <v>194</v>
      </c>
      <c r="B100" s="15">
        <v>0</v>
      </c>
      <c r="C100" t="s">
        <v>75</v>
      </c>
    </row>
    <row r="101" spans="1:3" x14ac:dyDescent="0.25">
      <c r="A101" s="10" t="s">
        <v>196</v>
      </c>
      <c r="B101" s="15">
        <v>0</v>
      </c>
      <c r="C101" t="s">
        <v>75</v>
      </c>
    </row>
    <row r="102" spans="1:3" x14ac:dyDescent="0.25">
      <c r="A102" s="10" t="s">
        <v>196</v>
      </c>
      <c r="B102" s="15">
        <v>0</v>
      </c>
      <c r="C102" t="s">
        <v>75</v>
      </c>
    </row>
    <row r="103" spans="1:3" x14ac:dyDescent="0.25">
      <c r="A103" s="10" t="s">
        <v>198</v>
      </c>
      <c r="B103" s="15">
        <v>0</v>
      </c>
      <c r="C103" t="s">
        <v>75</v>
      </c>
    </row>
    <row r="104" spans="1:3" x14ac:dyDescent="0.25">
      <c r="A104" s="10" t="s">
        <v>198</v>
      </c>
      <c r="B104" s="15">
        <v>0</v>
      </c>
      <c r="C104" t="s">
        <v>75</v>
      </c>
    </row>
    <row r="105" spans="1:3" x14ac:dyDescent="0.25">
      <c r="A105" s="10" t="s">
        <v>200</v>
      </c>
      <c r="B105" s="15">
        <v>0</v>
      </c>
      <c r="C105" t="s">
        <v>75</v>
      </c>
    </row>
    <row r="106" spans="1:3" x14ac:dyDescent="0.25">
      <c r="A106" s="10" t="s">
        <v>200</v>
      </c>
      <c r="B106" s="15">
        <v>0</v>
      </c>
      <c r="C106" t="s">
        <v>75</v>
      </c>
    </row>
    <row r="107" spans="1:3" x14ac:dyDescent="0.25">
      <c r="A107" s="10" t="s">
        <v>202</v>
      </c>
      <c r="B107" s="15">
        <v>0</v>
      </c>
      <c r="C107" t="s">
        <v>75</v>
      </c>
    </row>
    <row r="108" spans="1:3" x14ac:dyDescent="0.25">
      <c r="A108" s="10" t="s">
        <v>202</v>
      </c>
      <c r="B108" s="15">
        <v>0</v>
      </c>
      <c r="C108" t="s">
        <v>75</v>
      </c>
    </row>
    <row r="109" spans="1:3" x14ac:dyDescent="0.25">
      <c r="A109" s="10" t="s">
        <v>204</v>
      </c>
      <c r="B109" s="15">
        <v>0</v>
      </c>
      <c r="C109" t="s">
        <v>75</v>
      </c>
    </row>
    <row r="110" spans="1:3" x14ac:dyDescent="0.25">
      <c r="A110" s="10" t="s">
        <v>204</v>
      </c>
      <c r="B110" s="15">
        <v>0</v>
      </c>
      <c r="C110" t="s">
        <v>75</v>
      </c>
    </row>
    <row r="111" spans="1:3" x14ac:dyDescent="0.25">
      <c r="A111" s="10" t="s">
        <v>206</v>
      </c>
      <c r="B111" s="15">
        <v>0</v>
      </c>
      <c r="C111" t="s">
        <v>75</v>
      </c>
    </row>
    <row r="112" spans="1:3" x14ac:dyDescent="0.25">
      <c r="A112" s="10" t="s">
        <v>206</v>
      </c>
      <c r="B112" s="15">
        <v>0</v>
      </c>
      <c r="C112" t="s">
        <v>75</v>
      </c>
    </row>
    <row r="113" spans="1:3" x14ac:dyDescent="0.25">
      <c r="A113" s="10" t="s">
        <v>208</v>
      </c>
      <c r="B113" s="15">
        <v>0</v>
      </c>
      <c r="C113" t="s">
        <v>75</v>
      </c>
    </row>
    <row r="114" spans="1:3" x14ac:dyDescent="0.25">
      <c r="A114" s="10" t="s">
        <v>208</v>
      </c>
      <c r="B114" s="15">
        <v>0</v>
      </c>
      <c r="C114" t="s">
        <v>75</v>
      </c>
    </row>
    <row r="115" spans="1:3" x14ac:dyDescent="0.25">
      <c r="A115" s="10" t="s">
        <v>210</v>
      </c>
      <c r="B115" s="15">
        <v>0</v>
      </c>
      <c r="C115" t="s">
        <v>75</v>
      </c>
    </row>
    <row r="116" spans="1:3" x14ac:dyDescent="0.25">
      <c r="A116" s="10" t="s">
        <v>210</v>
      </c>
      <c r="B116" s="15">
        <v>0</v>
      </c>
      <c r="C116" t="s">
        <v>75</v>
      </c>
    </row>
    <row r="117" spans="1:3" x14ac:dyDescent="0.25">
      <c r="A117" s="10" t="s">
        <v>212</v>
      </c>
      <c r="B117" s="15">
        <v>0</v>
      </c>
      <c r="C117" t="s">
        <v>75</v>
      </c>
    </row>
    <row r="118" spans="1:3" x14ac:dyDescent="0.25">
      <c r="A118" s="10" t="s">
        <v>212</v>
      </c>
      <c r="B118" s="15">
        <v>0</v>
      </c>
      <c r="C118" t="s">
        <v>75</v>
      </c>
    </row>
    <row r="119" spans="1:3" x14ac:dyDescent="0.25">
      <c r="A119" s="10" t="s">
        <v>214</v>
      </c>
      <c r="B119" s="15">
        <v>0</v>
      </c>
      <c r="C119" t="s">
        <v>75</v>
      </c>
    </row>
    <row r="120" spans="1:3" x14ac:dyDescent="0.25">
      <c r="A120" s="10" t="s">
        <v>214</v>
      </c>
      <c r="B120" s="15">
        <v>0</v>
      </c>
      <c r="C120" t="s">
        <v>75</v>
      </c>
    </row>
    <row r="121" spans="1:3" x14ac:dyDescent="0.25">
      <c r="A121" s="10" t="s">
        <v>216</v>
      </c>
      <c r="B121" s="15">
        <v>0</v>
      </c>
      <c r="C121" t="s">
        <v>75</v>
      </c>
    </row>
    <row r="122" spans="1:3" x14ac:dyDescent="0.25">
      <c r="A122" s="10" t="s">
        <v>216</v>
      </c>
      <c r="B122" s="15">
        <v>0</v>
      </c>
      <c r="C122" t="s">
        <v>75</v>
      </c>
    </row>
    <row r="123" spans="1:3" x14ac:dyDescent="0.25">
      <c r="A123" s="10" t="s">
        <v>218</v>
      </c>
      <c r="B123" s="15">
        <v>0</v>
      </c>
      <c r="C123" t="s">
        <v>75</v>
      </c>
    </row>
    <row r="124" spans="1:3" x14ac:dyDescent="0.25">
      <c r="A124" s="10" t="s">
        <v>218</v>
      </c>
      <c r="B124" s="15">
        <v>0</v>
      </c>
      <c r="C124" t="s">
        <v>75</v>
      </c>
    </row>
    <row r="125" spans="1:3" x14ac:dyDescent="0.25">
      <c r="A125" s="10" t="s">
        <v>220</v>
      </c>
      <c r="B125" s="15">
        <v>0</v>
      </c>
      <c r="C125" t="s">
        <v>75</v>
      </c>
    </row>
    <row r="126" spans="1:3" x14ac:dyDescent="0.25">
      <c r="A126" s="10" t="s">
        <v>220</v>
      </c>
      <c r="B126" s="15">
        <v>0</v>
      </c>
      <c r="C126" t="s">
        <v>75</v>
      </c>
    </row>
    <row r="127" spans="1:3" x14ac:dyDescent="0.25">
      <c r="A127" s="10" t="s">
        <v>222</v>
      </c>
      <c r="B127" s="15">
        <v>0</v>
      </c>
      <c r="C127" t="s">
        <v>75</v>
      </c>
    </row>
    <row r="128" spans="1:3" x14ac:dyDescent="0.25">
      <c r="A128" s="10" t="s">
        <v>222</v>
      </c>
      <c r="B128" s="15">
        <v>0</v>
      </c>
      <c r="C128" t="s">
        <v>75</v>
      </c>
    </row>
    <row r="129" spans="1:3" x14ac:dyDescent="0.25">
      <c r="A129" s="10" t="s">
        <v>224</v>
      </c>
      <c r="B129" s="15">
        <v>0</v>
      </c>
      <c r="C129" t="s">
        <v>75</v>
      </c>
    </row>
    <row r="130" spans="1:3" x14ac:dyDescent="0.25">
      <c r="A130" s="10" t="s">
        <v>224</v>
      </c>
      <c r="B130" s="15">
        <v>0</v>
      </c>
      <c r="C130" t="s">
        <v>75</v>
      </c>
    </row>
    <row r="131" spans="1:3" x14ac:dyDescent="0.25">
      <c r="A131" s="10" t="s">
        <v>226</v>
      </c>
      <c r="B131" s="15">
        <v>0</v>
      </c>
      <c r="C131" t="s">
        <v>75</v>
      </c>
    </row>
    <row r="132" spans="1:3" x14ac:dyDescent="0.25">
      <c r="A132" s="10" t="s">
        <v>226</v>
      </c>
      <c r="B132" s="15">
        <v>0</v>
      </c>
      <c r="C132" t="s">
        <v>75</v>
      </c>
    </row>
    <row r="133" spans="1:3" x14ac:dyDescent="0.25">
      <c r="A133" s="10" t="s">
        <v>228</v>
      </c>
      <c r="B133" s="15">
        <v>0</v>
      </c>
      <c r="C133" t="s">
        <v>75</v>
      </c>
    </row>
    <row r="134" spans="1:3" x14ac:dyDescent="0.25">
      <c r="A134" s="10" t="s">
        <v>228</v>
      </c>
      <c r="B134" s="15">
        <v>0</v>
      </c>
      <c r="C134" t="s">
        <v>75</v>
      </c>
    </row>
    <row r="135" spans="1:3" x14ac:dyDescent="0.25">
      <c r="A135" s="10" t="s">
        <v>230</v>
      </c>
      <c r="B135" s="15">
        <v>0</v>
      </c>
      <c r="C135" t="s">
        <v>75</v>
      </c>
    </row>
    <row r="136" spans="1:3" x14ac:dyDescent="0.25">
      <c r="A136" s="10" t="s">
        <v>230</v>
      </c>
      <c r="B136" s="15">
        <v>0</v>
      </c>
      <c r="C136" t="s">
        <v>75</v>
      </c>
    </row>
    <row r="137" spans="1:3" x14ac:dyDescent="0.25">
      <c r="A137" s="10" t="s">
        <v>232</v>
      </c>
      <c r="B137" s="15">
        <v>0</v>
      </c>
      <c r="C137" t="s">
        <v>75</v>
      </c>
    </row>
    <row r="138" spans="1:3" x14ac:dyDescent="0.25">
      <c r="A138" s="10" t="s">
        <v>232</v>
      </c>
      <c r="B138" s="15">
        <v>0</v>
      </c>
      <c r="C138" t="s">
        <v>75</v>
      </c>
    </row>
    <row r="139" spans="1:3" x14ac:dyDescent="0.25">
      <c r="A139" s="10" t="s">
        <v>234</v>
      </c>
      <c r="B139" s="15">
        <v>0</v>
      </c>
      <c r="C139" t="s">
        <v>75</v>
      </c>
    </row>
    <row r="140" spans="1:3" x14ac:dyDescent="0.25">
      <c r="A140" s="10" t="s">
        <v>234</v>
      </c>
      <c r="B140" s="15">
        <v>0</v>
      </c>
      <c r="C140" t="s">
        <v>75</v>
      </c>
    </row>
    <row r="141" spans="1:3" x14ac:dyDescent="0.25">
      <c r="A141" s="10" t="s">
        <v>236</v>
      </c>
      <c r="B141" s="15">
        <v>0</v>
      </c>
      <c r="C141" t="s">
        <v>75</v>
      </c>
    </row>
    <row r="142" spans="1:3" x14ac:dyDescent="0.25">
      <c r="A142" s="10" t="s">
        <v>236</v>
      </c>
      <c r="B142" s="15">
        <v>0</v>
      </c>
      <c r="C142" t="s">
        <v>75</v>
      </c>
    </row>
    <row r="143" spans="1:3" x14ac:dyDescent="0.25">
      <c r="A143" s="10" t="s">
        <v>238</v>
      </c>
      <c r="B143" s="15">
        <v>0</v>
      </c>
      <c r="C143" t="s">
        <v>75</v>
      </c>
    </row>
    <row r="144" spans="1:3" x14ac:dyDescent="0.25">
      <c r="A144" s="10" t="s">
        <v>238</v>
      </c>
      <c r="B144" s="15">
        <v>0</v>
      </c>
      <c r="C144" t="s">
        <v>75</v>
      </c>
    </row>
    <row r="145" spans="1:3" x14ac:dyDescent="0.25">
      <c r="A145" s="10" t="s">
        <v>242</v>
      </c>
      <c r="B145" s="15">
        <v>0</v>
      </c>
      <c r="C145" t="s">
        <v>75</v>
      </c>
    </row>
    <row r="146" spans="1:3" x14ac:dyDescent="0.25">
      <c r="A146" s="10" t="s">
        <v>242</v>
      </c>
      <c r="B146" s="15">
        <v>0</v>
      </c>
      <c r="C146" t="s">
        <v>75</v>
      </c>
    </row>
    <row r="147" spans="1:3" x14ac:dyDescent="0.25">
      <c r="A147" s="10" t="s">
        <v>244</v>
      </c>
      <c r="B147" s="15">
        <v>0</v>
      </c>
      <c r="C147" t="s">
        <v>75</v>
      </c>
    </row>
    <row r="148" spans="1:3" x14ac:dyDescent="0.25">
      <c r="A148" s="10" t="s">
        <v>244</v>
      </c>
      <c r="B148" s="15">
        <v>0</v>
      </c>
      <c r="C148" t="s">
        <v>75</v>
      </c>
    </row>
    <row r="149" spans="1:3" x14ac:dyDescent="0.25">
      <c r="A149" s="10" t="s">
        <v>246</v>
      </c>
      <c r="B149" s="15">
        <v>0</v>
      </c>
      <c r="C149" t="s">
        <v>75</v>
      </c>
    </row>
    <row r="150" spans="1:3" x14ac:dyDescent="0.25">
      <c r="A150" s="10" t="s">
        <v>246</v>
      </c>
      <c r="B150" s="15">
        <v>0</v>
      </c>
      <c r="C150" t="s">
        <v>75</v>
      </c>
    </row>
    <row r="151" spans="1:3" x14ac:dyDescent="0.25">
      <c r="A151" s="10" t="s">
        <v>248</v>
      </c>
      <c r="B151" s="15">
        <v>0</v>
      </c>
      <c r="C151" t="s">
        <v>75</v>
      </c>
    </row>
    <row r="152" spans="1:3" x14ac:dyDescent="0.25">
      <c r="A152" s="10" t="s">
        <v>248</v>
      </c>
      <c r="B152" s="15">
        <v>0</v>
      </c>
      <c r="C152" t="s">
        <v>75</v>
      </c>
    </row>
    <row r="153" spans="1:3" x14ac:dyDescent="0.25">
      <c r="A153" s="10" t="s">
        <v>250</v>
      </c>
      <c r="B153" s="15">
        <v>0</v>
      </c>
      <c r="C153" t="s">
        <v>75</v>
      </c>
    </row>
    <row r="154" spans="1:3" x14ac:dyDescent="0.25">
      <c r="A154" s="10" t="s">
        <v>250</v>
      </c>
      <c r="B154" s="15">
        <v>0</v>
      </c>
      <c r="C154" t="s">
        <v>75</v>
      </c>
    </row>
    <row r="155" spans="1:3" x14ac:dyDescent="0.25">
      <c r="A155" s="10" t="s">
        <v>252</v>
      </c>
      <c r="B155" s="15">
        <v>0</v>
      </c>
      <c r="C155" t="s">
        <v>75</v>
      </c>
    </row>
    <row r="156" spans="1:3" x14ac:dyDescent="0.25">
      <c r="A156" s="10" t="s">
        <v>252</v>
      </c>
      <c r="B156" s="15">
        <v>0</v>
      </c>
      <c r="C156" t="s">
        <v>75</v>
      </c>
    </row>
    <row r="157" spans="1:3" x14ac:dyDescent="0.25">
      <c r="A157" s="10" t="s">
        <v>254</v>
      </c>
      <c r="B157" s="15">
        <v>0</v>
      </c>
      <c r="C157" t="s">
        <v>75</v>
      </c>
    </row>
    <row r="158" spans="1:3" x14ac:dyDescent="0.25">
      <c r="A158" s="10" t="s">
        <v>254</v>
      </c>
      <c r="B158" s="15">
        <v>0</v>
      </c>
      <c r="C158" t="s">
        <v>75</v>
      </c>
    </row>
    <row r="159" spans="1:3" x14ac:dyDescent="0.25">
      <c r="A159" s="10" t="s">
        <v>256</v>
      </c>
      <c r="B159" s="15">
        <v>0</v>
      </c>
      <c r="C159" t="s">
        <v>75</v>
      </c>
    </row>
    <row r="160" spans="1:3" x14ac:dyDescent="0.25">
      <c r="A160" s="10" t="s">
        <v>256</v>
      </c>
      <c r="B160" s="15">
        <v>0</v>
      </c>
      <c r="C160" t="s">
        <v>75</v>
      </c>
    </row>
    <row r="161" spans="1:3" x14ac:dyDescent="0.25">
      <c r="A161" s="10" t="s">
        <v>258</v>
      </c>
      <c r="B161" s="15">
        <v>0</v>
      </c>
      <c r="C161" t="s">
        <v>75</v>
      </c>
    </row>
    <row r="162" spans="1:3" x14ac:dyDescent="0.25">
      <c r="A162" s="10" t="s">
        <v>258</v>
      </c>
      <c r="B162" s="15">
        <v>0</v>
      </c>
      <c r="C162" t="s">
        <v>75</v>
      </c>
    </row>
    <row r="163" spans="1:3" x14ac:dyDescent="0.25">
      <c r="A163" s="10" t="s">
        <v>260</v>
      </c>
      <c r="B163" s="15">
        <v>0</v>
      </c>
      <c r="C163" t="s">
        <v>75</v>
      </c>
    </row>
    <row r="164" spans="1:3" x14ac:dyDescent="0.25">
      <c r="A164" s="10" t="s">
        <v>260</v>
      </c>
      <c r="B164" s="15">
        <v>0</v>
      </c>
      <c r="C164" t="s">
        <v>75</v>
      </c>
    </row>
    <row r="165" spans="1:3" x14ac:dyDescent="0.25">
      <c r="A165" s="10" t="s">
        <v>262</v>
      </c>
      <c r="B165" s="15">
        <v>0</v>
      </c>
      <c r="C165" t="s">
        <v>75</v>
      </c>
    </row>
    <row r="166" spans="1:3" x14ac:dyDescent="0.25">
      <c r="A166" s="10" t="s">
        <v>262</v>
      </c>
      <c r="B166" s="15">
        <v>0</v>
      </c>
      <c r="C166" t="s">
        <v>75</v>
      </c>
    </row>
    <row r="167" spans="1:3" x14ac:dyDescent="0.25">
      <c r="A167" s="10" t="s">
        <v>264</v>
      </c>
      <c r="B167" s="15">
        <v>0</v>
      </c>
      <c r="C167" t="s">
        <v>75</v>
      </c>
    </row>
    <row r="168" spans="1:3" x14ac:dyDescent="0.25">
      <c r="A168" s="10" t="s">
        <v>264</v>
      </c>
      <c r="B168" s="15">
        <v>0</v>
      </c>
      <c r="C168" t="s">
        <v>75</v>
      </c>
    </row>
    <row r="169" spans="1:3" x14ac:dyDescent="0.25">
      <c r="A169" s="10" t="s">
        <v>266</v>
      </c>
      <c r="B169" s="15">
        <v>0</v>
      </c>
      <c r="C169" t="s">
        <v>75</v>
      </c>
    </row>
    <row r="170" spans="1:3" x14ac:dyDescent="0.25">
      <c r="A170" s="10" t="s">
        <v>266</v>
      </c>
      <c r="B170" s="15">
        <v>0</v>
      </c>
      <c r="C170" t="s">
        <v>75</v>
      </c>
    </row>
    <row r="171" spans="1:3" x14ac:dyDescent="0.25">
      <c r="A171" s="10" t="s">
        <v>268</v>
      </c>
      <c r="B171" s="15">
        <v>0</v>
      </c>
      <c r="C171" t="s">
        <v>75</v>
      </c>
    </row>
    <row r="172" spans="1:3" x14ac:dyDescent="0.25">
      <c r="A172" s="10" t="s">
        <v>268</v>
      </c>
      <c r="B172" s="15">
        <v>0</v>
      </c>
      <c r="C172" t="s">
        <v>75</v>
      </c>
    </row>
    <row r="173" spans="1:3" x14ac:dyDescent="0.25">
      <c r="A173" s="10" t="s">
        <v>270</v>
      </c>
      <c r="B173" s="15">
        <v>0</v>
      </c>
      <c r="C173" t="s">
        <v>75</v>
      </c>
    </row>
    <row r="174" spans="1:3" x14ac:dyDescent="0.25">
      <c r="A174" s="10" t="s">
        <v>270</v>
      </c>
      <c r="B174" s="15">
        <v>0</v>
      </c>
      <c r="C174" t="s">
        <v>75</v>
      </c>
    </row>
    <row r="175" spans="1:3" x14ac:dyDescent="0.25">
      <c r="A175" s="10" t="s">
        <v>272</v>
      </c>
      <c r="B175" s="15">
        <v>0</v>
      </c>
      <c r="C175" t="s">
        <v>75</v>
      </c>
    </row>
    <row r="176" spans="1:3" x14ac:dyDescent="0.25">
      <c r="A176" s="10" t="s">
        <v>272</v>
      </c>
      <c r="B176" s="15">
        <v>0</v>
      </c>
      <c r="C176" t="s">
        <v>75</v>
      </c>
    </row>
    <row r="177" spans="1:3" x14ac:dyDescent="0.25">
      <c r="A177" s="10" t="s">
        <v>274</v>
      </c>
      <c r="B177" s="15">
        <v>0</v>
      </c>
      <c r="C177" t="s">
        <v>75</v>
      </c>
    </row>
    <row r="178" spans="1:3" x14ac:dyDescent="0.25">
      <c r="A178" s="10" t="s">
        <v>274</v>
      </c>
      <c r="B178" s="15">
        <v>0</v>
      </c>
      <c r="C178" t="s">
        <v>75</v>
      </c>
    </row>
    <row r="179" spans="1:3" x14ac:dyDescent="0.25">
      <c r="A179" s="10" t="s">
        <v>276</v>
      </c>
      <c r="B179" s="15">
        <v>0</v>
      </c>
      <c r="C179" t="s">
        <v>75</v>
      </c>
    </row>
    <row r="180" spans="1:3" x14ac:dyDescent="0.25">
      <c r="A180" s="10" t="s">
        <v>276</v>
      </c>
      <c r="B180" s="15">
        <v>0</v>
      </c>
      <c r="C180" t="s">
        <v>75</v>
      </c>
    </row>
    <row r="181" spans="1:3" x14ac:dyDescent="0.25">
      <c r="A181" s="10" t="s">
        <v>278</v>
      </c>
      <c r="B181" s="15">
        <v>0</v>
      </c>
      <c r="C181" t="s">
        <v>75</v>
      </c>
    </row>
    <row r="182" spans="1:3" x14ac:dyDescent="0.25">
      <c r="A182" s="10" t="s">
        <v>278</v>
      </c>
      <c r="B182" s="15">
        <v>0</v>
      </c>
      <c r="C182" t="s">
        <v>75</v>
      </c>
    </row>
    <row r="183" spans="1:3" x14ac:dyDescent="0.25">
      <c r="A183" s="10" t="s">
        <v>280</v>
      </c>
      <c r="B183" s="15">
        <v>0</v>
      </c>
      <c r="C183" t="s">
        <v>75</v>
      </c>
    </row>
    <row r="184" spans="1:3" x14ac:dyDescent="0.25">
      <c r="A184" s="10" t="s">
        <v>280</v>
      </c>
      <c r="B184" s="15">
        <v>0</v>
      </c>
      <c r="C184" t="s">
        <v>75</v>
      </c>
    </row>
    <row r="185" spans="1:3" x14ac:dyDescent="0.25">
      <c r="A185" s="10" t="s">
        <v>282</v>
      </c>
      <c r="B185" s="15">
        <v>0</v>
      </c>
      <c r="C185" t="s">
        <v>75</v>
      </c>
    </row>
    <row r="186" spans="1:3" x14ac:dyDescent="0.25">
      <c r="A186" s="10" t="s">
        <v>282</v>
      </c>
      <c r="B186" s="15">
        <v>0</v>
      </c>
      <c r="C186" t="s">
        <v>75</v>
      </c>
    </row>
    <row r="187" spans="1:3" x14ac:dyDescent="0.25">
      <c r="A187" s="10" t="s">
        <v>284</v>
      </c>
      <c r="B187" s="15">
        <v>0</v>
      </c>
      <c r="C187" t="s">
        <v>75</v>
      </c>
    </row>
    <row r="188" spans="1:3" x14ac:dyDescent="0.25">
      <c r="A188" s="10" t="s">
        <v>284</v>
      </c>
      <c r="B188" s="15">
        <v>0</v>
      </c>
      <c r="C188" t="s">
        <v>75</v>
      </c>
    </row>
    <row r="189" spans="1:3" x14ac:dyDescent="0.25">
      <c r="A189" s="10" t="s">
        <v>286</v>
      </c>
      <c r="B189" s="15">
        <v>0</v>
      </c>
      <c r="C189" t="s">
        <v>75</v>
      </c>
    </row>
    <row r="190" spans="1:3" x14ac:dyDescent="0.25">
      <c r="A190" s="10" t="s">
        <v>286</v>
      </c>
      <c r="B190" s="15">
        <v>0</v>
      </c>
      <c r="C190" t="s">
        <v>75</v>
      </c>
    </row>
    <row r="191" spans="1:3" x14ac:dyDescent="0.25">
      <c r="A191" s="10" t="s">
        <v>288</v>
      </c>
      <c r="B191" s="15">
        <v>0</v>
      </c>
      <c r="C191" t="s">
        <v>75</v>
      </c>
    </row>
    <row r="192" spans="1:3" x14ac:dyDescent="0.25">
      <c r="A192" s="10" t="s">
        <v>288</v>
      </c>
      <c r="B192" s="15">
        <v>0</v>
      </c>
      <c r="C192" t="s">
        <v>75</v>
      </c>
    </row>
    <row r="193" spans="1:3" x14ac:dyDescent="0.25">
      <c r="A193" s="10" t="s">
        <v>290</v>
      </c>
      <c r="B193" s="15">
        <v>0</v>
      </c>
      <c r="C193" t="s">
        <v>75</v>
      </c>
    </row>
    <row r="194" spans="1:3" x14ac:dyDescent="0.25">
      <c r="A194" s="10" t="s">
        <v>290</v>
      </c>
      <c r="B194" s="15">
        <v>0</v>
      </c>
      <c r="C194" t="s">
        <v>75</v>
      </c>
    </row>
    <row r="195" spans="1:3" x14ac:dyDescent="0.25">
      <c r="A195" s="10" t="s">
        <v>292</v>
      </c>
      <c r="B195" s="15">
        <v>0</v>
      </c>
      <c r="C195" t="s">
        <v>75</v>
      </c>
    </row>
    <row r="196" spans="1:3" x14ac:dyDescent="0.25">
      <c r="A196" s="10" t="s">
        <v>292</v>
      </c>
      <c r="B196" s="15">
        <v>0</v>
      </c>
      <c r="C196" t="s">
        <v>75</v>
      </c>
    </row>
    <row r="197" spans="1:3" x14ac:dyDescent="0.25">
      <c r="A197" s="10" t="s">
        <v>294</v>
      </c>
      <c r="B197" s="15">
        <v>0</v>
      </c>
      <c r="C197" t="s">
        <v>75</v>
      </c>
    </row>
    <row r="198" spans="1:3" x14ac:dyDescent="0.25">
      <c r="A198" s="10" t="s">
        <v>294</v>
      </c>
      <c r="B198" s="15">
        <v>0</v>
      </c>
      <c r="C198" t="s">
        <v>75</v>
      </c>
    </row>
    <row r="199" spans="1:3" x14ac:dyDescent="0.25">
      <c r="A199" s="10" t="s">
        <v>296</v>
      </c>
      <c r="B199" s="15">
        <v>0</v>
      </c>
      <c r="C199" t="s">
        <v>75</v>
      </c>
    </row>
    <row r="200" spans="1:3" x14ac:dyDescent="0.25">
      <c r="A200" s="10" t="s">
        <v>296</v>
      </c>
      <c r="B200" s="15">
        <v>0</v>
      </c>
      <c r="C200" t="s">
        <v>75</v>
      </c>
    </row>
    <row r="201" spans="1:3" x14ac:dyDescent="0.25">
      <c r="A201" s="10" t="s">
        <v>298</v>
      </c>
      <c r="B201" s="15">
        <v>0</v>
      </c>
      <c r="C201" t="s">
        <v>75</v>
      </c>
    </row>
    <row r="202" spans="1:3" x14ac:dyDescent="0.25">
      <c r="A202" s="10" t="s">
        <v>298</v>
      </c>
      <c r="B202" s="15">
        <v>0</v>
      </c>
      <c r="C202" t="s">
        <v>75</v>
      </c>
    </row>
    <row r="203" spans="1:3" x14ac:dyDescent="0.25">
      <c r="A203" s="10" t="s">
        <v>300</v>
      </c>
      <c r="B203" s="15">
        <v>0</v>
      </c>
      <c r="C203" t="s">
        <v>75</v>
      </c>
    </row>
    <row r="204" spans="1:3" x14ac:dyDescent="0.25">
      <c r="A204" s="10" t="s">
        <v>300</v>
      </c>
      <c r="B204" s="15">
        <v>0</v>
      </c>
      <c r="C204" t="s">
        <v>75</v>
      </c>
    </row>
    <row r="205" spans="1:3" x14ac:dyDescent="0.25">
      <c r="A205" s="10" t="s">
        <v>302</v>
      </c>
      <c r="B205" s="15">
        <v>0</v>
      </c>
      <c r="C205" t="s">
        <v>75</v>
      </c>
    </row>
    <row r="206" spans="1:3" x14ac:dyDescent="0.25">
      <c r="A206" s="10" t="s">
        <v>302</v>
      </c>
      <c r="B206" s="15">
        <v>0</v>
      </c>
      <c r="C206" t="s">
        <v>75</v>
      </c>
    </row>
    <row r="207" spans="1:3" x14ac:dyDescent="0.25">
      <c r="A207" s="10" t="s">
        <v>304</v>
      </c>
      <c r="B207" s="15">
        <v>0</v>
      </c>
      <c r="C207" t="s">
        <v>75</v>
      </c>
    </row>
    <row r="208" spans="1:3" x14ac:dyDescent="0.25">
      <c r="A208" s="10" t="s">
        <v>304</v>
      </c>
      <c r="B208" s="15">
        <v>0</v>
      </c>
      <c r="C208" t="s">
        <v>75</v>
      </c>
    </row>
    <row r="209" spans="1:3" x14ac:dyDescent="0.25">
      <c r="A209" s="10" t="s">
        <v>306</v>
      </c>
      <c r="B209" s="15">
        <v>0</v>
      </c>
      <c r="C209" t="s">
        <v>75</v>
      </c>
    </row>
    <row r="210" spans="1:3" x14ac:dyDescent="0.25">
      <c r="A210" s="10" t="s">
        <v>306</v>
      </c>
      <c r="B210" s="15">
        <v>0</v>
      </c>
      <c r="C210" t="s">
        <v>75</v>
      </c>
    </row>
    <row r="211" spans="1:3" x14ac:dyDescent="0.25">
      <c r="A211" s="10" t="s">
        <v>308</v>
      </c>
      <c r="B211" s="15">
        <v>0</v>
      </c>
      <c r="C211" t="s">
        <v>75</v>
      </c>
    </row>
    <row r="212" spans="1:3" x14ac:dyDescent="0.25">
      <c r="A212" s="10" t="s">
        <v>308</v>
      </c>
      <c r="B212" s="15">
        <v>0</v>
      </c>
      <c r="C212" t="s">
        <v>75</v>
      </c>
    </row>
    <row r="213" spans="1:3" x14ac:dyDescent="0.25">
      <c r="A213" s="10" t="s">
        <v>310</v>
      </c>
      <c r="B213" s="15">
        <v>0</v>
      </c>
      <c r="C213" t="s">
        <v>75</v>
      </c>
    </row>
    <row r="214" spans="1:3" x14ac:dyDescent="0.25">
      <c r="A214" s="10" t="s">
        <v>310</v>
      </c>
      <c r="B214" s="15">
        <v>0</v>
      </c>
      <c r="C214" t="s">
        <v>75</v>
      </c>
    </row>
    <row r="215" spans="1:3" x14ac:dyDescent="0.25">
      <c r="A215" s="10" t="s">
        <v>312</v>
      </c>
      <c r="B215" s="15">
        <v>0</v>
      </c>
      <c r="C215" t="s">
        <v>75</v>
      </c>
    </row>
    <row r="216" spans="1:3" x14ac:dyDescent="0.25">
      <c r="A216" s="10" t="s">
        <v>312</v>
      </c>
      <c r="B216" s="15">
        <v>0</v>
      </c>
      <c r="C216" t="s">
        <v>75</v>
      </c>
    </row>
    <row r="217" spans="1:3" x14ac:dyDescent="0.25">
      <c r="A217" s="10" t="s">
        <v>314</v>
      </c>
      <c r="B217" s="15">
        <v>0</v>
      </c>
      <c r="C217" t="s">
        <v>75</v>
      </c>
    </row>
    <row r="218" spans="1:3" x14ac:dyDescent="0.25">
      <c r="A218" s="10" t="s">
        <v>314</v>
      </c>
      <c r="B218" s="15">
        <v>0</v>
      </c>
      <c r="C218" t="s">
        <v>75</v>
      </c>
    </row>
    <row r="219" spans="1:3" x14ac:dyDescent="0.25">
      <c r="A219" s="10" t="s">
        <v>316</v>
      </c>
      <c r="B219" s="15">
        <v>0</v>
      </c>
      <c r="C219" t="s">
        <v>75</v>
      </c>
    </row>
    <row r="220" spans="1:3" x14ac:dyDescent="0.25">
      <c r="A220" s="10" t="s">
        <v>316</v>
      </c>
      <c r="B220" s="15">
        <v>0</v>
      </c>
      <c r="C220" t="s">
        <v>75</v>
      </c>
    </row>
    <row r="221" spans="1:3" x14ac:dyDescent="0.25">
      <c r="A221" s="10" t="s">
        <v>318</v>
      </c>
      <c r="B221" s="15">
        <v>0</v>
      </c>
      <c r="C221" t="s">
        <v>75</v>
      </c>
    </row>
    <row r="222" spans="1:3" x14ac:dyDescent="0.25">
      <c r="A222" s="10" t="s">
        <v>318</v>
      </c>
      <c r="B222" s="15">
        <v>0</v>
      </c>
      <c r="C222" t="s">
        <v>75</v>
      </c>
    </row>
    <row r="223" spans="1:3" x14ac:dyDescent="0.25">
      <c r="A223" s="10" t="s">
        <v>320</v>
      </c>
      <c r="B223" s="15">
        <v>0</v>
      </c>
      <c r="C223" t="s">
        <v>75</v>
      </c>
    </row>
    <row r="224" spans="1:3" x14ac:dyDescent="0.25">
      <c r="A224" s="10" t="s">
        <v>320</v>
      </c>
      <c r="B224" s="15">
        <v>0</v>
      </c>
      <c r="C224" t="s">
        <v>75</v>
      </c>
    </row>
    <row r="225" spans="1:3" x14ac:dyDescent="0.25">
      <c r="A225" s="10" t="s">
        <v>322</v>
      </c>
      <c r="B225" s="15">
        <v>0</v>
      </c>
      <c r="C225" t="s">
        <v>75</v>
      </c>
    </row>
    <row r="226" spans="1:3" x14ac:dyDescent="0.25">
      <c r="A226" s="10" t="s">
        <v>322</v>
      </c>
      <c r="B226" s="15">
        <v>0</v>
      </c>
      <c r="C226" t="s">
        <v>75</v>
      </c>
    </row>
    <row r="227" spans="1:3" x14ac:dyDescent="0.25">
      <c r="A227" s="10" t="s">
        <v>324</v>
      </c>
      <c r="B227" s="15">
        <v>0</v>
      </c>
      <c r="C227" t="s">
        <v>75</v>
      </c>
    </row>
    <row r="228" spans="1:3" x14ac:dyDescent="0.25">
      <c r="A228" s="10" t="s">
        <v>324</v>
      </c>
      <c r="B228" s="15">
        <v>0</v>
      </c>
      <c r="C228" t="s">
        <v>75</v>
      </c>
    </row>
    <row r="229" spans="1:3" x14ac:dyDescent="0.25">
      <c r="A229" s="10" t="s">
        <v>326</v>
      </c>
      <c r="B229" s="15">
        <v>0</v>
      </c>
      <c r="C229" t="s">
        <v>75</v>
      </c>
    </row>
    <row r="230" spans="1:3" x14ac:dyDescent="0.25">
      <c r="A230" s="10" t="s">
        <v>326</v>
      </c>
      <c r="B230" s="15">
        <v>0</v>
      </c>
      <c r="C230" t="s">
        <v>75</v>
      </c>
    </row>
    <row r="231" spans="1:3" x14ac:dyDescent="0.25">
      <c r="A231" s="10" t="s">
        <v>328</v>
      </c>
      <c r="B231" s="15">
        <v>0</v>
      </c>
      <c r="C231" t="s">
        <v>75</v>
      </c>
    </row>
    <row r="232" spans="1:3" x14ac:dyDescent="0.25">
      <c r="A232" s="10" t="s">
        <v>328</v>
      </c>
      <c r="B232" s="15">
        <v>0</v>
      </c>
      <c r="C232" t="s">
        <v>75</v>
      </c>
    </row>
    <row r="233" spans="1:3" x14ac:dyDescent="0.25">
      <c r="A233" s="10" t="s">
        <v>330</v>
      </c>
      <c r="B233" s="15">
        <v>0</v>
      </c>
      <c r="C233" t="s">
        <v>75</v>
      </c>
    </row>
    <row r="234" spans="1:3" x14ac:dyDescent="0.25">
      <c r="A234" s="10" t="s">
        <v>330</v>
      </c>
      <c r="B234" s="15">
        <v>0</v>
      </c>
      <c r="C234" t="s">
        <v>75</v>
      </c>
    </row>
    <row r="235" spans="1:3" x14ac:dyDescent="0.25">
      <c r="A235" s="10" t="s">
        <v>332</v>
      </c>
      <c r="B235" s="15">
        <v>0</v>
      </c>
      <c r="C235" t="s">
        <v>75</v>
      </c>
    </row>
    <row r="236" spans="1:3" x14ac:dyDescent="0.25">
      <c r="A236" s="10" t="s">
        <v>332</v>
      </c>
      <c r="B236" s="15">
        <v>0</v>
      </c>
      <c r="C236" t="s">
        <v>75</v>
      </c>
    </row>
    <row r="237" spans="1:3" x14ac:dyDescent="0.25">
      <c r="A237" s="10" t="s">
        <v>334</v>
      </c>
      <c r="B237" s="15">
        <v>0</v>
      </c>
      <c r="C237" t="s">
        <v>75</v>
      </c>
    </row>
    <row r="238" spans="1:3" x14ac:dyDescent="0.25">
      <c r="A238" s="10" t="s">
        <v>334</v>
      </c>
      <c r="B238" s="15">
        <v>0</v>
      </c>
      <c r="C238" t="s">
        <v>75</v>
      </c>
    </row>
    <row r="239" spans="1:3" x14ac:dyDescent="0.25">
      <c r="A239" s="10" t="s">
        <v>336</v>
      </c>
      <c r="B239" s="15">
        <v>0</v>
      </c>
      <c r="C239" t="s">
        <v>75</v>
      </c>
    </row>
    <row r="240" spans="1:3" x14ac:dyDescent="0.25">
      <c r="A240" s="10" t="s">
        <v>336</v>
      </c>
      <c r="B240" s="15">
        <v>0</v>
      </c>
      <c r="C240" t="s">
        <v>75</v>
      </c>
    </row>
    <row r="241" spans="1:3" x14ac:dyDescent="0.25">
      <c r="A241" s="10" t="s">
        <v>338</v>
      </c>
      <c r="B241" s="15">
        <v>0</v>
      </c>
      <c r="C241" t="s">
        <v>75</v>
      </c>
    </row>
    <row r="242" spans="1:3" x14ac:dyDescent="0.25">
      <c r="A242" s="10" t="s">
        <v>338</v>
      </c>
      <c r="B242" s="15">
        <v>0</v>
      </c>
      <c r="C242" t="s">
        <v>75</v>
      </c>
    </row>
    <row r="243" spans="1:3" x14ac:dyDescent="0.25">
      <c r="A243" s="10" t="s">
        <v>340</v>
      </c>
      <c r="B243" s="15">
        <v>0</v>
      </c>
      <c r="C243" t="s">
        <v>75</v>
      </c>
    </row>
    <row r="244" spans="1:3" x14ac:dyDescent="0.25">
      <c r="A244" s="10" t="s">
        <v>340</v>
      </c>
      <c r="B244" s="15">
        <v>0</v>
      </c>
      <c r="C244" t="s">
        <v>75</v>
      </c>
    </row>
    <row r="245" spans="1:3" x14ac:dyDescent="0.25">
      <c r="A245" s="10" t="s">
        <v>342</v>
      </c>
      <c r="B245" s="15">
        <v>0</v>
      </c>
      <c r="C245" t="s">
        <v>75</v>
      </c>
    </row>
    <row r="246" spans="1:3" x14ac:dyDescent="0.25">
      <c r="A246" s="10" t="s">
        <v>342</v>
      </c>
      <c r="B246" s="15">
        <v>0</v>
      </c>
      <c r="C246" t="s">
        <v>75</v>
      </c>
    </row>
    <row r="247" spans="1:3" x14ac:dyDescent="0.25">
      <c r="A247" s="10" t="s">
        <v>344</v>
      </c>
      <c r="B247" s="15">
        <v>0</v>
      </c>
      <c r="C247" t="s">
        <v>75</v>
      </c>
    </row>
    <row r="248" spans="1:3" x14ac:dyDescent="0.25">
      <c r="A248" s="10" t="s">
        <v>344</v>
      </c>
      <c r="B248" s="15">
        <v>0</v>
      </c>
      <c r="C248" t="s">
        <v>75</v>
      </c>
    </row>
    <row r="249" spans="1:3" x14ac:dyDescent="0.25">
      <c r="A249" s="10" t="s">
        <v>346</v>
      </c>
      <c r="B249" s="15">
        <v>0</v>
      </c>
      <c r="C249" t="s">
        <v>75</v>
      </c>
    </row>
    <row r="250" spans="1:3" x14ac:dyDescent="0.25">
      <c r="A250" s="10" t="s">
        <v>346</v>
      </c>
      <c r="B250" s="15">
        <v>0</v>
      </c>
      <c r="C250" t="s">
        <v>75</v>
      </c>
    </row>
    <row r="251" spans="1:3" x14ac:dyDescent="0.25">
      <c r="A251" s="10" t="s">
        <v>348</v>
      </c>
      <c r="B251" s="15">
        <v>0</v>
      </c>
      <c r="C251" t="s">
        <v>75</v>
      </c>
    </row>
    <row r="252" spans="1:3" x14ac:dyDescent="0.25">
      <c r="A252" s="10" t="s">
        <v>348</v>
      </c>
      <c r="B252" s="15">
        <v>0</v>
      </c>
      <c r="C252" t="s">
        <v>75</v>
      </c>
    </row>
    <row r="253" spans="1:3" x14ac:dyDescent="0.25">
      <c r="A253" s="10" t="s">
        <v>350</v>
      </c>
      <c r="B253" s="15">
        <v>0</v>
      </c>
      <c r="C253" t="s">
        <v>75</v>
      </c>
    </row>
    <row r="254" spans="1:3" x14ac:dyDescent="0.25">
      <c r="A254" s="10" t="s">
        <v>350</v>
      </c>
      <c r="B254" s="15">
        <v>0</v>
      </c>
      <c r="C254" t="s">
        <v>75</v>
      </c>
    </row>
    <row r="255" spans="1:3" x14ac:dyDescent="0.25">
      <c r="A255" s="10" t="s">
        <v>352</v>
      </c>
      <c r="B255" s="15">
        <v>0</v>
      </c>
      <c r="C255" t="s">
        <v>75</v>
      </c>
    </row>
    <row r="256" spans="1:3" x14ac:dyDescent="0.25">
      <c r="A256" s="10" t="s">
        <v>352</v>
      </c>
      <c r="B256" s="15">
        <v>0</v>
      </c>
      <c r="C256" t="s">
        <v>75</v>
      </c>
    </row>
    <row r="257" spans="1:3" x14ac:dyDescent="0.25">
      <c r="A257" s="10" t="s">
        <v>354</v>
      </c>
      <c r="B257" s="15">
        <v>0</v>
      </c>
      <c r="C257" t="s">
        <v>75</v>
      </c>
    </row>
    <row r="258" spans="1:3" x14ac:dyDescent="0.25">
      <c r="A258" s="10" t="s">
        <v>354</v>
      </c>
      <c r="B258" s="15">
        <v>0</v>
      </c>
      <c r="C258" t="s">
        <v>75</v>
      </c>
    </row>
    <row r="259" spans="1:3" x14ac:dyDescent="0.25">
      <c r="A259" s="10" t="s">
        <v>356</v>
      </c>
      <c r="B259" s="15">
        <v>0</v>
      </c>
      <c r="C259" t="s">
        <v>75</v>
      </c>
    </row>
    <row r="260" spans="1:3" x14ac:dyDescent="0.25">
      <c r="A260" s="10" t="s">
        <v>356</v>
      </c>
      <c r="B260" s="15">
        <v>0</v>
      </c>
      <c r="C260" t="s">
        <v>75</v>
      </c>
    </row>
    <row r="261" spans="1:3" x14ac:dyDescent="0.25">
      <c r="A261" s="10" t="s">
        <v>358</v>
      </c>
      <c r="B261" s="15">
        <v>0</v>
      </c>
      <c r="C261" t="s">
        <v>75</v>
      </c>
    </row>
    <row r="262" spans="1:3" x14ac:dyDescent="0.25">
      <c r="A262" s="10" t="s">
        <v>358</v>
      </c>
      <c r="B262" s="15">
        <v>0</v>
      </c>
      <c r="C262" t="s">
        <v>75</v>
      </c>
    </row>
    <row r="263" spans="1:3" x14ac:dyDescent="0.25">
      <c r="A263" s="10" t="s">
        <v>360</v>
      </c>
      <c r="B263" s="15">
        <v>0</v>
      </c>
      <c r="C263" t="s">
        <v>75</v>
      </c>
    </row>
    <row r="264" spans="1:3" x14ac:dyDescent="0.25">
      <c r="A264" s="10" t="s">
        <v>360</v>
      </c>
      <c r="B264" s="15">
        <v>0</v>
      </c>
      <c r="C264" t="s">
        <v>75</v>
      </c>
    </row>
    <row r="265" spans="1:3" x14ac:dyDescent="0.25">
      <c r="A265" s="10" t="s">
        <v>362</v>
      </c>
      <c r="B265" s="15">
        <v>0</v>
      </c>
      <c r="C265" t="s">
        <v>75</v>
      </c>
    </row>
    <row r="266" spans="1:3" x14ac:dyDescent="0.25">
      <c r="A266" s="10" t="s">
        <v>362</v>
      </c>
      <c r="B266" s="15">
        <v>0</v>
      </c>
      <c r="C266" t="s">
        <v>75</v>
      </c>
    </row>
    <row r="267" spans="1:3" x14ac:dyDescent="0.25">
      <c r="A267" s="10" t="s">
        <v>364</v>
      </c>
      <c r="B267" s="15">
        <v>0</v>
      </c>
      <c r="C267" t="s">
        <v>75</v>
      </c>
    </row>
    <row r="268" spans="1:3" x14ac:dyDescent="0.25">
      <c r="A268" s="10" t="s">
        <v>364</v>
      </c>
      <c r="B268" s="15">
        <v>0</v>
      </c>
      <c r="C268" t="s">
        <v>75</v>
      </c>
    </row>
    <row r="269" spans="1:3" x14ac:dyDescent="0.25">
      <c r="A269" s="10" t="s">
        <v>366</v>
      </c>
      <c r="B269" s="15">
        <v>0</v>
      </c>
      <c r="C269" t="s">
        <v>75</v>
      </c>
    </row>
    <row r="270" spans="1:3" x14ac:dyDescent="0.25">
      <c r="A270" s="10" t="s">
        <v>366</v>
      </c>
      <c r="B270" s="15">
        <v>0</v>
      </c>
      <c r="C270" t="s">
        <v>75</v>
      </c>
    </row>
    <row r="271" spans="1:3" x14ac:dyDescent="0.25">
      <c r="A271" s="10" t="s">
        <v>368</v>
      </c>
      <c r="B271" s="15">
        <v>0</v>
      </c>
      <c r="C271" t="s">
        <v>75</v>
      </c>
    </row>
    <row r="272" spans="1:3" x14ac:dyDescent="0.25">
      <c r="A272" s="10" t="s">
        <v>368</v>
      </c>
      <c r="B272" s="15">
        <v>0</v>
      </c>
      <c r="C272" t="s">
        <v>75</v>
      </c>
    </row>
    <row r="273" spans="1:3" x14ac:dyDescent="0.25">
      <c r="A273" s="10" t="s">
        <v>370</v>
      </c>
      <c r="B273" s="15">
        <v>0</v>
      </c>
      <c r="C273" t="s">
        <v>75</v>
      </c>
    </row>
    <row r="274" spans="1:3" x14ac:dyDescent="0.25">
      <c r="A274" s="10" t="s">
        <v>370</v>
      </c>
      <c r="B274" s="15">
        <v>0</v>
      </c>
      <c r="C274" t="s">
        <v>75</v>
      </c>
    </row>
    <row r="275" spans="1:3" x14ac:dyDescent="0.25">
      <c r="A275" s="10" t="s">
        <v>372</v>
      </c>
      <c r="B275" s="15">
        <v>0</v>
      </c>
      <c r="C275" t="s">
        <v>75</v>
      </c>
    </row>
    <row r="276" spans="1:3" x14ac:dyDescent="0.25">
      <c r="A276" s="10" t="s">
        <v>372</v>
      </c>
      <c r="B276" s="15">
        <v>0</v>
      </c>
      <c r="C276" t="s">
        <v>75</v>
      </c>
    </row>
    <row r="277" spans="1:3" x14ac:dyDescent="0.25">
      <c r="A277" s="10" t="s">
        <v>374</v>
      </c>
      <c r="B277" s="15">
        <v>0</v>
      </c>
      <c r="C277" t="s">
        <v>75</v>
      </c>
    </row>
    <row r="278" spans="1:3" x14ac:dyDescent="0.25">
      <c r="A278" s="10" t="s">
        <v>374</v>
      </c>
      <c r="B278" s="15">
        <v>0</v>
      </c>
      <c r="C278" t="s">
        <v>75</v>
      </c>
    </row>
    <row r="279" spans="1:3" x14ac:dyDescent="0.25">
      <c r="A279" s="10" t="s">
        <v>376</v>
      </c>
      <c r="B279" s="15">
        <v>0</v>
      </c>
      <c r="C279" t="s">
        <v>75</v>
      </c>
    </row>
    <row r="280" spans="1:3" x14ac:dyDescent="0.25">
      <c r="A280" s="10" t="s">
        <v>376</v>
      </c>
      <c r="B280" s="15">
        <v>0</v>
      </c>
      <c r="C280" t="s">
        <v>75</v>
      </c>
    </row>
    <row r="281" spans="1:3" x14ac:dyDescent="0.25">
      <c r="A281" s="10" t="s">
        <v>378</v>
      </c>
      <c r="B281" s="15">
        <v>0</v>
      </c>
      <c r="C281" t="s">
        <v>75</v>
      </c>
    </row>
    <row r="282" spans="1:3" x14ac:dyDescent="0.25">
      <c r="A282" s="10" t="s">
        <v>378</v>
      </c>
      <c r="B282" s="15">
        <v>0</v>
      </c>
      <c r="C282" t="s">
        <v>75</v>
      </c>
    </row>
    <row r="283" spans="1:3" x14ac:dyDescent="0.25">
      <c r="A283" s="10" t="s">
        <v>380</v>
      </c>
      <c r="B283" s="15">
        <v>0</v>
      </c>
      <c r="C283" t="s">
        <v>75</v>
      </c>
    </row>
    <row r="284" spans="1:3" x14ac:dyDescent="0.25">
      <c r="A284" s="10" t="s">
        <v>380</v>
      </c>
      <c r="B284" s="15">
        <v>0</v>
      </c>
      <c r="C284" t="s">
        <v>75</v>
      </c>
    </row>
    <row r="285" spans="1:3" x14ac:dyDescent="0.25">
      <c r="A285" s="10" t="s">
        <v>382</v>
      </c>
      <c r="B285" s="15">
        <v>0</v>
      </c>
      <c r="C285" t="s">
        <v>75</v>
      </c>
    </row>
    <row r="286" spans="1:3" x14ac:dyDescent="0.25">
      <c r="A286" s="10" t="s">
        <v>382</v>
      </c>
      <c r="B286" s="15">
        <v>0</v>
      </c>
      <c r="C286" t="s">
        <v>75</v>
      </c>
    </row>
    <row r="287" spans="1:3" x14ac:dyDescent="0.25">
      <c r="A287" s="10" t="s">
        <v>384</v>
      </c>
      <c r="B287" s="15">
        <v>0</v>
      </c>
      <c r="C287" t="s">
        <v>75</v>
      </c>
    </row>
    <row r="288" spans="1:3" x14ac:dyDescent="0.25">
      <c r="A288" s="10" t="s">
        <v>384</v>
      </c>
      <c r="B288" s="15">
        <v>0</v>
      </c>
      <c r="C288" t="s">
        <v>75</v>
      </c>
    </row>
    <row r="289" spans="1:3" x14ac:dyDescent="0.25">
      <c r="A289" s="10" t="s">
        <v>386</v>
      </c>
      <c r="B289" s="15">
        <v>0</v>
      </c>
      <c r="C289" t="s">
        <v>75</v>
      </c>
    </row>
    <row r="290" spans="1:3" x14ac:dyDescent="0.25">
      <c r="A290" s="10" t="s">
        <v>386</v>
      </c>
      <c r="B290" s="15">
        <v>0</v>
      </c>
      <c r="C290" t="s">
        <v>75</v>
      </c>
    </row>
    <row r="291" spans="1:3" x14ac:dyDescent="0.25">
      <c r="A291" s="10" t="s">
        <v>388</v>
      </c>
      <c r="B291" s="15">
        <v>0</v>
      </c>
      <c r="C291" t="s">
        <v>75</v>
      </c>
    </row>
    <row r="292" spans="1:3" x14ac:dyDescent="0.25">
      <c r="A292" s="10" t="s">
        <v>388</v>
      </c>
      <c r="B292" s="15">
        <v>0</v>
      </c>
      <c r="C292" t="s">
        <v>75</v>
      </c>
    </row>
    <row r="293" spans="1:3" x14ac:dyDescent="0.25">
      <c r="A293" s="10" t="s">
        <v>390</v>
      </c>
      <c r="B293" s="15">
        <v>0</v>
      </c>
      <c r="C293" t="s">
        <v>75</v>
      </c>
    </row>
    <row r="294" spans="1:3" x14ac:dyDescent="0.25">
      <c r="A294" s="10" t="s">
        <v>390</v>
      </c>
      <c r="B294" s="15">
        <v>0</v>
      </c>
      <c r="C294" t="s">
        <v>75</v>
      </c>
    </row>
    <row r="295" spans="1:3" x14ac:dyDescent="0.25">
      <c r="A295" s="10" t="s">
        <v>392</v>
      </c>
      <c r="B295" s="15">
        <v>0</v>
      </c>
      <c r="C295" t="s">
        <v>75</v>
      </c>
    </row>
    <row r="296" spans="1:3" x14ac:dyDescent="0.25">
      <c r="A296" s="10" t="s">
        <v>392</v>
      </c>
      <c r="B296" s="15">
        <v>0</v>
      </c>
      <c r="C296" t="s">
        <v>75</v>
      </c>
    </row>
    <row r="297" spans="1:3" x14ac:dyDescent="0.25">
      <c r="A297" s="10" t="s">
        <v>394</v>
      </c>
      <c r="B297" s="15">
        <v>0</v>
      </c>
      <c r="C297" t="s">
        <v>75</v>
      </c>
    </row>
    <row r="298" spans="1:3" x14ac:dyDescent="0.25">
      <c r="A298" s="10" t="s">
        <v>394</v>
      </c>
      <c r="B298" s="15">
        <v>0</v>
      </c>
      <c r="C298" t="s">
        <v>75</v>
      </c>
    </row>
    <row r="299" spans="1:3" x14ac:dyDescent="0.25">
      <c r="A299" s="10" t="s">
        <v>396</v>
      </c>
      <c r="B299" s="15">
        <v>0</v>
      </c>
      <c r="C299" t="s">
        <v>75</v>
      </c>
    </row>
    <row r="300" spans="1:3" x14ac:dyDescent="0.25">
      <c r="A300" s="10" t="s">
        <v>396</v>
      </c>
      <c r="B300" s="15">
        <v>0</v>
      </c>
      <c r="C300" t="s">
        <v>75</v>
      </c>
    </row>
    <row r="301" spans="1:3" x14ac:dyDescent="0.25">
      <c r="A301" s="10" t="s">
        <v>398</v>
      </c>
      <c r="B301" s="15">
        <v>0</v>
      </c>
      <c r="C301" t="s">
        <v>75</v>
      </c>
    </row>
    <row r="302" spans="1:3" x14ac:dyDescent="0.25">
      <c r="A302" s="10" t="s">
        <v>398</v>
      </c>
      <c r="B302" s="15">
        <v>0</v>
      </c>
      <c r="C302" t="s">
        <v>75</v>
      </c>
    </row>
    <row r="303" spans="1:3" x14ac:dyDescent="0.25">
      <c r="A303" s="10" t="s">
        <v>400</v>
      </c>
      <c r="B303" s="15">
        <v>0</v>
      </c>
      <c r="C303" t="s">
        <v>75</v>
      </c>
    </row>
    <row r="304" spans="1:3" x14ac:dyDescent="0.25">
      <c r="A304" s="10" t="s">
        <v>400</v>
      </c>
      <c r="B304" s="15">
        <v>0</v>
      </c>
      <c r="C304" t="s">
        <v>75</v>
      </c>
    </row>
    <row r="305" spans="1:3" x14ac:dyDescent="0.25">
      <c r="A305" s="10" t="s">
        <v>402</v>
      </c>
      <c r="B305" s="15">
        <v>0</v>
      </c>
      <c r="C305" t="s">
        <v>75</v>
      </c>
    </row>
    <row r="306" spans="1:3" x14ac:dyDescent="0.25">
      <c r="A306" s="10" t="s">
        <v>402</v>
      </c>
      <c r="B306" s="15">
        <v>0</v>
      </c>
      <c r="C306" t="s">
        <v>75</v>
      </c>
    </row>
    <row r="307" spans="1:3" x14ac:dyDescent="0.25">
      <c r="A307" s="10" t="s">
        <v>404</v>
      </c>
      <c r="B307" s="15">
        <v>0</v>
      </c>
      <c r="C307" t="s">
        <v>75</v>
      </c>
    </row>
    <row r="308" spans="1:3" x14ac:dyDescent="0.25">
      <c r="A308" s="10" t="s">
        <v>404</v>
      </c>
      <c r="B308" s="15">
        <v>0</v>
      </c>
      <c r="C308" t="s">
        <v>75</v>
      </c>
    </row>
    <row r="309" spans="1:3" x14ac:dyDescent="0.25">
      <c r="A309" s="10" t="s">
        <v>406</v>
      </c>
      <c r="B309" s="15">
        <v>0</v>
      </c>
      <c r="C309" t="s">
        <v>75</v>
      </c>
    </row>
    <row r="310" spans="1:3" x14ac:dyDescent="0.25">
      <c r="A310" s="10" t="s">
        <v>406</v>
      </c>
      <c r="B310" s="15">
        <v>0</v>
      </c>
      <c r="C310" t="s">
        <v>75</v>
      </c>
    </row>
    <row r="311" spans="1:3" x14ac:dyDescent="0.25">
      <c r="A311" s="10" t="s">
        <v>408</v>
      </c>
      <c r="B311" s="15">
        <v>0</v>
      </c>
      <c r="C311" t="s">
        <v>75</v>
      </c>
    </row>
    <row r="312" spans="1:3" x14ac:dyDescent="0.25">
      <c r="A312" s="10" t="s">
        <v>408</v>
      </c>
      <c r="B312" s="15">
        <v>0</v>
      </c>
      <c r="C312" t="s">
        <v>75</v>
      </c>
    </row>
    <row r="313" spans="1:3" x14ac:dyDescent="0.25">
      <c r="A313" s="10" t="s">
        <v>410</v>
      </c>
      <c r="B313" s="15">
        <v>0</v>
      </c>
      <c r="C313" t="s">
        <v>75</v>
      </c>
    </row>
    <row r="314" spans="1:3" x14ac:dyDescent="0.25">
      <c r="A314" s="10" t="s">
        <v>410</v>
      </c>
      <c r="B314" s="15">
        <v>0</v>
      </c>
      <c r="C314" t="s">
        <v>75</v>
      </c>
    </row>
    <row r="315" spans="1:3" x14ac:dyDescent="0.25">
      <c r="A315" s="10" t="s">
        <v>412</v>
      </c>
      <c r="B315" s="15">
        <v>0</v>
      </c>
      <c r="C315" t="s">
        <v>75</v>
      </c>
    </row>
    <row r="316" spans="1:3" x14ac:dyDescent="0.25">
      <c r="A316" s="10" t="s">
        <v>412</v>
      </c>
      <c r="B316" s="15">
        <v>0</v>
      </c>
      <c r="C316" t="s">
        <v>75</v>
      </c>
    </row>
    <row r="317" spans="1:3" x14ac:dyDescent="0.25">
      <c r="A317" s="10" t="s">
        <v>414</v>
      </c>
      <c r="B317" s="15">
        <v>0</v>
      </c>
      <c r="C317" t="s">
        <v>75</v>
      </c>
    </row>
    <row r="318" spans="1:3" x14ac:dyDescent="0.25">
      <c r="A318" s="10" t="s">
        <v>414</v>
      </c>
      <c r="B318" s="15">
        <v>0</v>
      </c>
      <c r="C318" t="s">
        <v>75</v>
      </c>
    </row>
    <row r="319" spans="1:3" x14ac:dyDescent="0.25">
      <c r="A319" s="10" t="s">
        <v>416</v>
      </c>
      <c r="B319" s="15">
        <v>0</v>
      </c>
      <c r="C319" t="s">
        <v>75</v>
      </c>
    </row>
    <row r="320" spans="1:3" x14ac:dyDescent="0.25">
      <c r="A320" s="10" t="s">
        <v>416</v>
      </c>
      <c r="B320" s="15">
        <v>0</v>
      </c>
      <c r="C320" t="s">
        <v>75</v>
      </c>
    </row>
    <row r="321" spans="1:3" x14ac:dyDescent="0.25">
      <c r="A321" s="10" t="s">
        <v>418</v>
      </c>
      <c r="B321" s="15">
        <v>0</v>
      </c>
      <c r="C321" t="s">
        <v>75</v>
      </c>
    </row>
    <row r="322" spans="1:3" x14ac:dyDescent="0.25">
      <c r="A322" s="10" t="s">
        <v>418</v>
      </c>
      <c r="B322" s="15">
        <v>0</v>
      </c>
      <c r="C322" t="s">
        <v>75</v>
      </c>
    </row>
    <row r="323" spans="1:3" x14ac:dyDescent="0.25">
      <c r="A323" s="10" t="s">
        <v>420</v>
      </c>
      <c r="B323" s="15">
        <v>0</v>
      </c>
      <c r="C323" t="s">
        <v>75</v>
      </c>
    </row>
    <row r="324" spans="1:3" x14ac:dyDescent="0.25">
      <c r="A324" s="10" t="s">
        <v>420</v>
      </c>
      <c r="B324" s="15">
        <v>0</v>
      </c>
      <c r="C324" t="s">
        <v>75</v>
      </c>
    </row>
    <row r="325" spans="1:3" x14ac:dyDescent="0.25">
      <c r="A325" s="10" t="s">
        <v>422</v>
      </c>
      <c r="B325" s="15">
        <v>0</v>
      </c>
      <c r="C325" t="s">
        <v>75</v>
      </c>
    </row>
    <row r="326" spans="1:3" x14ac:dyDescent="0.25">
      <c r="A326" s="10" t="s">
        <v>422</v>
      </c>
      <c r="B326" s="15">
        <v>0</v>
      </c>
      <c r="C326" t="s">
        <v>75</v>
      </c>
    </row>
    <row r="327" spans="1:3" x14ac:dyDescent="0.25">
      <c r="A327" s="10" t="s">
        <v>424</v>
      </c>
      <c r="B327" s="15">
        <v>0</v>
      </c>
      <c r="C327" t="s">
        <v>75</v>
      </c>
    </row>
    <row r="328" spans="1:3" x14ac:dyDescent="0.25">
      <c r="A328" s="10" t="s">
        <v>424</v>
      </c>
      <c r="B328" s="15">
        <v>0</v>
      </c>
      <c r="C328" t="s">
        <v>75</v>
      </c>
    </row>
    <row r="329" spans="1:3" x14ac:dyDescent="0.25">
      <c r="A329" s="10" t="s">
        <v>426</v>
      </c>
      <c r="B329" s="15">
        <v>0</v>
      </c>
      <c r="C329" t="s">
        <v>75</v>
      </c>
    </row>
    <row r="330" spans="1:3" x14ac:dyDescent="0.25">
      <c r="A330" s="10" t="s">
        <v>426</v>
      </c>
      <c r="B330" s="15">
        <v>0</v>
      </c>
      <c r="C330" t="s">
        <v>75</v>
      </c>
    </row>
    <row r="331" spans="1:3" x14ac:dyDescent="0.25">
      <c r="A331" s="10" t="s">
        <v>428</v>
      </c>
      <c r="B331" s="15">
        <v>0</v>
      </c>
      <c r="C331" t="s">
        <v>75</v>
      </c>
    </row>
    <row r="332" spans="1:3" x14ac:dyDescent="0.25">
      <c r="A332" s="10" t="s">
        <v>428</v>
      </c>
      <c r="B332" s="15">
        <v>0</v>
      </c>
      <c r="C332" t="s">
        <v>75</v>
      </c>
    </row>
    <row r="333" spans="1:3" x14ac:dyDescent="0.25">
      <c r="A333" s="10" t="s">
        <v>430</v>
      </c>
      <c r="B333" s="15">
        <v>0</v>
      </c>
      <c r="C333" t="s">
        <v>75</v>
      </c>
    </row>
    <row r="334" spans="1:3" x14ac:dyDescent="0.25">
      <c r="A334" s="10" t="s">
        <v>430</v>
      </c>
      <c r="B334" s="15">
        <v>0</v>
      </c>
      <c r="C334" t="s">
        <v>75</v>
      </c>
    </row>
    <row r="335" spans="1:3" x14ac:dyDescent="0.25">
      <c r="A335" s="10" t="s">
        <v>432</v>
      </c>
      <c r="B335" s="15">
        <v>0</v>
      </c>
      <c r="C335" t="s">
        <v>75</v>
      </c>
    </row>
    <row r="336" spans="1:3" x14ac:dyDescent="0.25">
      <c r="A336" s="10" t="s">
        <v>432</v>
      </c>
      <c r="B336" s="15">
        <v>0</v>
      </c>
      <c r="C336" t="s">
        <v>75</v>
      </c>
    </row>
    <row r="337" spans="1:3" x14ac:dyDescent="0.25">
      <c r="A337" s="10" t="s">
        <v>434</v>
      </c>
      <c r="B337" s="15">
        <v>0</v>
      </c>
      <c r="C337" t="s">
        <v>75</v>
      </c>
    </row>
    <row r="338" spans="1:3" x14ac:dyDescent="0.25">
      <c r="A338" s="10" t="s">
        <v>434</v>
      </c>
      <c r="B338" s="15">
        <v>0</v>
      </c>
      <c r="C338" t="s">
        <v>75</v>
      </c>
    </row>
    <row r="339" spans="1:3" x14ac:dyDescent="0.25">
      <c r="A339" s="10" t="s">
        <v>436</v>
      </c>
      <c r="B339" s="15">
        <v>0</v>
      </c>
      <c r="C339" t="s">
        <v>75</v>
      </c>
    </row>
    <row r="340" spans="1:3" x14ac:dyDescent="0.25">
      <c r="A340" s="10" t="s">
        <v>436</v>
      </c>
      <c r="B340" s="15">
        <v>0</v>
      </c>
      <c r="C340" t="s">
        <v>75</v>
      </c>
    </row>
    <row r="341" spans="1:3" x14ac:dyDescent="0.25">
      <c r="A341" s="10" t="s">
        <v>438</v>
      </c>
      <c r="B341" s="15">
        <v>0</v>
      </c>
      <c r="C341" t="s">
        <v>75</v>
      </c>
    </row>
    <row r="342" spans="1:3" x14ac:dyDescent="0.25">
      <c r="A342" s="10" t="s">
        <v>438</v>
      </c>
      <c r="B342" s="15">
        <v>0</v>
      </c>
      <c r="C342" t="s">
        <v>75</v>
      </c>
    </row>
    <row r="343" spans="1:3" x14ac:dyDescent="0.25">
      <c r="A343" s="10" t="s">
        <v>440</v>
      </c>
      <c r="B343" s="15">
        <v>0</v>
      </c>
      <c r="C343" t="s">
        <v>75</v>
      </c>
    </row>
    <row r="344" spans="1:3" x14ac:dyDescent="0.25">
      <c r="A344" s="10" t="s">
        <v>440</v>
      </c>
      <c r="B344" s="15">
        <v>0</v>
      </c>
      <c r="C344" t="s">
        <v>75</v>
      </c>
    </row>
    <row r="345" spans="1:3" x14ac:dyDescent="0.25">
      <c r="A345" s="10" t="s">
        <v>442</v>
      </c>
      <c r="B345" s="15">
        <v>0</v>
      </c>
      <c r="C345" t="s">
        <v>75</v>
      </c>
    </row>
    <row r="346" spans="1:3" x14ac:dyDescent="0.25">
      <c r="A346" s="10" t="s">
        <v>442</v>
      </c>
      <c r="B346" s="15">
        <v>0</v>
      </c>
      <c r="C346" t="s">
        <v>75</v>
      </c>
    </row>
    <row r="347" spans="1:3" x14ac:dyDescent="0.25">
      <c r="A347" s="10" t="s">
        <v>444</v>
      </c>
      <c r="B347" s="15">
        <v>0</v>
      </c>
      <c r="C347" t="s">
        <v>75</v>
      </c>
    </row>
    <row r="348" spans="1:3" x14ac:dyDescent="0.25">
      <c r="A348" s="10" t="s">
        <v>444</v>
      </c>
      <c r="B348" s="15">
        <v>0</v>
      </c>
      <c r="C348" t="s">
        <v>75</v>
      </c>
    </row>
    <row r="349" spans="1:3" x14ac:dyDescent="0.25">
      <c r="A349" s="10" t="s">
        <v>446</v>
      </c>
      <c r="B349" s="15">
        <v>0</v>
      </c>
      <c r="C349" t="s">
        <v>75</v>
      </c>
    </row>
    <row r="350" spans="1:3" x14ac:dyDescent="0.25">
      <c r="A350" s="10" t="s">
        <v>446</v>
      </c>
      <c r="B350" s="15">
        <v>0</v>
      </c>
      <c r="C350" t="s">
        <v>75</v>
      </c>
    </row>
    <row r="351" spans="1:3" x14ac:dyDescent="0.25">
      <c r="A351" s="10" t="s">
        <v>448</v>
      </c>
      <c r="B351" s="15">
        <v>0</v>
      </c>
      <c r="C351" t="s">
        <v>75</v>
      </c>
    </row>
    <row r="352" spans="1:3" x14ac:dyDescent="0.25">
      <c r="A352" s="10" t="s">
        <v>448</v>
      </c>
      <c r="B352" s="15">
        <v>0</v>
      </c>
      <c r="C352" t="s">
        <v>75</v>
      </c>
    </row>
    <row r="353" spans="1:3" x14ac:dyDescent="0.25">
      <c r="A353" s="10" t="s">
        <v>450</v>
      </c>
      <c r="B353" s="15">
        <v>0</v>
      </c>
      <c r="C353" t="s">
        <v>75</v>
      </c>
    </row>
    <row r="354" spans="1:3" x14ac:dyDescent="0.25">
      <c r="A354" s="10" t="s">
        <v>450</v>
      </c>
      <c r="B354" s="15">
        <v>0</v>
      </c>
      <c r="C354" t="s">
        <v>75</v>
      </c>
    </row>
    <row r="355" spans="1:3" x14ac:dyDescent="0.25">
      <c r="A355" s="10" t="s">
        <v>452</v>
      </c>
      <c r="B355" s="15">
        <v>0</v>
      </c>
      <c r="C355" t="s">
        <v>75</v>
      </c>
    </row>
    <row r="356" spans="1:3" x14ac:dyDescent="0.25">
      <c r="A356" s="10" t="s">
        <v>452</v>
      </c>
      <c r="B356" s="15">
        <v>0</v>
      </c>
      <c r="C356" t="s">
        <v>75</v>
      </c>
    </row>
    <row r="357" spans="1:3" x14ac:dyDescent="0.25">
      <c r="A357" s="10" t="s">
        <v>454</v>
      </c>
      <c r="B357" s="15">
        <v>0</v>
      </c>
      <c r="C357" t="s">
        <v>75</v>
      </c>
    </row>
    <row r="358" spans="1:3" x14ac:dyDescent="0.25">
      <c r="A358" s="10" t="s">
        <v>454</v>
      </c>
      <c r="B358" s="15">
        <v>0</v>
      </c>
      <c r="C358" t="s">
        <v>75</v>
      </c>
    </row>
    <row r="359" spans="1:3" x14ac:dyDescent="0.25">
      <c r="A359" s="10" t="s">
        <v>456</v>
      </c>
      <c r="B359" s="15">
        <v>0</v>
      </c>
      <c r="C359" t="s">
        <v>75</v>
      </c>
    </row>
    <row r="360" spans="1:3" x14ac:dyDescent="0.25">
      <c r="A360" s="10" t="s">
        <v>456</v>
      </c>
      <c r="B360" s="15">
        <v>0</v>
      </c>
      <c r="C360" t="s">
        <v>75</v>
      </c>
    </row>
    <row r="361" spans="1:3" x14ac:dyDescent="0.25">
      <c r="A361" s="10" t="s">
        <v>458</v>
      </c>
      <c r="B361" s="15">
        <v>0</v>
      </c>
      <c r="C361" t="s">
        <v>75</v>
      </c>
    </row>
    <row r="362" spans="1:3" x14ac:dyDescent="0.25">
      <c r="A362" s="10" t="s">
        <v>458</v>
      </c>
      <c r="B362" s="15">
        <v>0</v>
      </c>
      <c r="C362" t="s">
        <v>75</v>
      </c>
    </row>
    <row r="363" spans="1:3" x14ac:dyDescent="0.25">
      <c r="A363" s="10" t="s">
        <v>460</v>
      </c>
      <c r="B363" s="15">
        <v>0</v>
      </c>
      <c r="C363" t="s">
        <v>75</v>
      </c>
    </row>
    <row r="364" spans="1:3" x14ac:dyDescent="0.25">
      <c r="A364" s="10" t="s">
        <v>460</v>
      </c>
      <c r="B364" s="15">
        <v>0</v>
      </c>
      <c r="C364" t="s">
        <v>75</v>
      </c>
    </row>
    <row r="365" spans="1:3" x14ac:dyDescent="0.25">
      <c r="A365" s="10" t="s">
        <v>462</v>
      </c>
      <c r="B365" s="15">
        <v>0</v>
      </c>
      <c r="C365" t="s">
        <v>75</v>
      </c>
    </row>
    <row r="366" spans="1:3" x14ac:dyDescent="0.25">
      <c r="A366" s="10" t="s">
        <v>462</v>
      </c>
      <c r="B366" s="15">
        <v>0</v>
      </c>
      <c r="C366" t="s">
        <v>75</v>
      </c>
    </row>
    <row r="367" spans="1:3" x14ac:dyDescent="0.25">
      <c r="A367" s="10" t="s">
        <v>464</v>
      </c>
      <c r="B367" s="15">
        <v>0</v>
      </c>
      <c r="C367" t="s">
        <v>75</v>
      </c>
    </row>
    <row r="368" spans="1:3" x14ac:dyDescent="0.25">
      <c r="A368" s="10" t="s">
        <v>464</v>
      </c>
      <c r="B368" s="15">
        <v>0</v>
      </c>
      <c r="C368" t="s">
        <v>75</v>
      </c>
    </row>
    <row r="369" spans="1:3" x14ac:dyDescent="0.25">
      <c r="A369" s="10" t="s">
        <v>466</v>
      </c>
      <c r="B369" s="15">
        <v>0</v>
      </c>
      <c r="C369" t="s">
        <v>75</v>
      </c>
    </row>
    <row r="370" spans="1:3" x14ac:dyDescent="0.25">
      <c r="A370" s="10" t="s">
        <v>466</v>
      </c>
      <c r="B370" s="15">
        <v>0</v>
      </c>
      <c r="C370" t="s">
        <v>75</v>
      </c>
    </row>
    <row r="371" spans="1:3" x14ac:dyDescent="0.25">
      <c r="A371" s="10" t="s">
        <v>468</v>
      </c>
      <c r="B371" s="15">
        <v>0</v>
      </c>
      <c r="C371" t="s">
        <v>75</v>
      </c>
    </row>
    <row r="372" spans="1:3" x14ac:dyDescent="0.25">
      <c r="A372" s="10" t="s">
        <v>468</v>
      </c>
      <c r="B372" s="15">
        <v>0</v>
      </c>
      <c r="C372" t="s">
        <v>75</v>
      </c>
    </row>
    <row r="373" spans="1:3" x14ac:dyDescent="0.25">
      <c r="A373" s="10" t="s">
        <v>470</v>
      </c>
      <c r="B373" s="15">
        <v>0</v>
      </c>
      <c r="C373" t="s">
        <v>75</v>
      </c>
    </row>
    <row r="374" spans="1:3" x14ac:dyDescent="0.25">
      <c r="A374" s="10" t="s">
        <v>470</v>
      </c>
      <c r="B374" s="15">
        <v>0</v>
      </c>
      <c r="C374" t="s">
        <v>75</v>
      </c>
    </row>
    <row r="375" spans="1:3" x14ac:dyDescent="0.25">
      <c r="A375" s="10" t="s">
        <v>472</v>
      </c>
      <c r="B375" s="15">
        <v>0</v>
      </c>
      <c r="C375" t="s">
        <v>75</v>
      </c>
    </row>
    <row r="376" spans="1:3" x14ac:dyDescent="0.25">
      <c r="A376" s="10" t="s">
        <v>472</v>
      </c>
      <c r="B376" s="15">
        <v>0</v>
      </c>
      <c r="C376" t="s">
        <v>75</v>
      </c>
    </row>
    <row r="377" spans="1:3" x14ac:dyDescent="0.25">
      <c r="A377" s="10" t="s">
        <v>474</v>
      </c>
      <c r="B377" s="15">
        <v>0</v>
      </c>
      <c r="C377" t="s">
        <v>75</v>
      </c>
    </row>
    <row r="378" spans="1:3" x14ac:dyDescent="0.25">
      <c r="A378" s="10" t="s">
        <v>474</v>
      </c>
      <c r="B378" s="15">
        <v>0</v>
      </c>
      <c r="C378" t="s">
        <v>75</v>
      </c>
    </row>
    <row r="379" spans="1:3" x14ac:dyDescent="0.25">
      <c r="A379" s="10" t="s">
        <v>476</v>
      </c>
      <c r="B379" s="15">
        <v>0</v>
      </c>
      <c r="C379" t="s">
        <v>75</v>
      </c>
    </row>
    <row r="380" spans="1:3" x14ac:dyDescent="0.25">
      <c r="A380" s="10" t="s">
        <v>476</v>
      </c>
      <c r="B380" s="15">
        <v>0</v>
      </c>
      <c r="C380" t="s">
        <v>75</v>
      </c>
    </row>
    <row r="381" spans="1:3" x14ac:dyDescent="0.25">
      <c r="A381" s="10" t="s">
        <v>478</v>
      </c>
      <c r="B381" s="15">
        <v>0</v>
      </c>
      <c r="C381" t="s">
        <v>75</v>
      </c>
    </row>
    <row r="382" spans="1:3" x14ac:dyDescent="0.25">
      <c r="A382" s="10" t="s">
        <v>478</v>
      </c>
      <c r="B382" s="15">
        <v>0</v>
      </c>
      <c r="C382" t="s">
        <v>75</v>
      </c>
    </row>
    <row r="383" spans="1:3" x14ac:dyDescent="0.25">
      <c r="A383" s="10" t="s">
        <v>480</v>
      </c>
      <c r="B383" s="15">
        <v>0</v>
      </c>
      <c r="C383" t="s">
        <v>75</v>
      </c>
    </row>
    <row r="384" spans="1:3" x14ac:dyDescent="0.25">
      <c r="A384" s="10" t="s">
        <v>480</v>
      </c>
      <c r="B384" s="15">
        <v>0</v>
      </c>
      <c r="C384" t="s">
        <v>75</v>
      </c>
    </row>
    <row r="385" spans="1:3" x14ac:dyDescent="0.25">
      <c r="A385" s="10" t="s">
        <v>482</v>
      </c>
      <c r="B385" s="15">
        <v>0</v>
      </c>
      <c r="C385" t="s">
        <v>75</v>
      </c>
    </row>
    <row r="386" spans="1:3" x14ac:dyDescent="0.25">
      <c r="A386" s="10" t="s">
        <v>482</v>
      </c>
      <c r="B386" s="15">
        <v>0</v>
      </c>
      <c r="C386" t="s">
        <v>75</v>
      </c>
    </row>
    <row r="387" spans="1:3" x14ac:dyDescent="0.25">
      <c r="A387" s="10" t="s">
        <v>484</v>
      </c>
      <c r="B387" s="15">
        <v>0</v>
      </c>
      <c r="C387" t="s">
        <v>75</v>
      </c>
    </row>
    <row r="388" spans="1:3" x14ac:dyDescent="0.25">
      <c r="A388" s="10" t="s">
        <v>484</v>
      </c>
      <c r="B388" s="15">
        <v>0</v>
      </c>
      <c r="C388" t="s">
        <v>75</v>
      </c>
    </row>
    <row r="389" spans="1:3" x14ac:dyDescent="0.25">
      <c r="A389" s="10" t="s">
        <v>486</v>
      </c>
      <c r="B389" s="15">
        <v>0</v>
      </c>
      <c r="C389" t="s">
        <v>75</v>
      </c>
    </row>
    <row r="390" spans="1:3" x14ac:dyDescent="0.25">
      <c r="A390" s="10" t="s">
        <v>486</v>
      </c>
      <c r="B390" s="15">
        <v>0</v>
      </c>
      <c r="C390" t="s">
        <v>75</v>
      </c>
    </row>
    <row r="391" spans="1:3" x14ac:dyDescent="0.25">
      <c r="A391" s="10" t="s">
        <v>488</v>
      </c>
      <c r="B391" s="15">
        <v>0</v>
      </c>
      <c r="C391" t="s">
        <v>75</v>
      </c>
    </row>
    <row r="392" spans="1:3" x14ac:dyDescent="0.25">
      <c r="A392" s="10" t="s">
        <v>488</v>
      </c>
      <c r="B392" s="15">
        <v>0</v>
      </c>
      <c r="C392" t="s">
        <v>75</v>
      </c>
    </row>
    <row r="393" spans="1:3" x14ac:dyDescent="0.25">
      <c r="A393" s="10" t="s">
        <v>490</v>
      </c>
      <c r="B393" s="15">
        <v>0</v>
      </c>
      <c r="C393" t="s">
        <v>75</v>
      </c>
    </row>
    <row r="394" spans="1:3" x14ac:dyDescent="0.25">
      <c r="A394" s="10" t="s">
        <v>490</v>
      </c>
      <c r="B394" s="15">
        <v>0</v>
      </c>
      <c r="C394" t="s">
        <v>75</v>
      </c>
    </row>
    <row r="395" spans="1:3" x14ac:dyDescent="0.25">
      <c r="A395" s="10" t="s">
        <v>492</v>
      </c>
      <c r="B395" s="15">
        <v>0</v>
      </c>
      <c r="C395" t="s">
        <v>75</v>
      </c>
    </row>
    <row r="396" spans="1:3" x14ac:dyDescent="0.25">
      <c r="A396" s="10" t="s">
        <v>492</v>
      </c>
      <c r="B396" s="15">
        <v>0</v>
      </c>
      <c r="C396" t="s">
        <v>75</v>
      </c>
    </row>
    <row r="397" spans="1:3" x14ac:dyDescent="0.25">
      <c r="A397" s="10" t="s">
        <v>494</v>
      </c>
      <c r="B397" s="15">
        <v>0</v>
      </c>
      <c r="C397" t="s">
        <v>75</v>
      </c>
    </row>
    <row r="398" spans="1:3" x14ac:dyDescent="0.25">
      <c r="A398" s="10" t="s">
        <v>494</v>
      </c>
      <c r="B398" s="15">
        <v>0</v>
      </c>
      <c r="C398" t="s">
        <v>75</v>
      </c>
    </row>
    <row r="399" spans="1:3" x14ac:dyDescent="0.25">
      <c r="A399" s="10" t="s">
        <v>496</v>
      </c>
      <c r="B399" s="15">
        <v>0</v>
      </c>
      <c r="C399" t="s">
        <v>75</v>
      </c>
    </row>
    <row r="400" spans="1:3" x14ac:dyDescent="0.25">
      <c r="A400" s="10" t="s">
        <v>496</v>
      </c>
      <c r="B400" s="15">
        <v>0</v>
      </c>
      <c r="C400" t="s">
        <v>75</v>
      </c>
    </row>
    <row r="401" spans="1:3" x14ac:dyDescent="0.25">
      <c r="A401" s="10" t="s">
        <v>498</v>
      </c>
      <c r="B401" s="15">
        <v>0</v>
      </c>
      <c r="C401" t="s">
        <v>75</v>
      </c>
    </row>
    <row r="402" spans="1:3" x14ac:dyDescent="0.25">
      <c r="A402" s="10" t="s">
        <v>498</v>
      </c>
      <c r="B402" s="15">
        <v>0</v>
      </c>
      <c r="C402" t="s">
        <v>75</v>
      </c>
    </row>
    <row r="403" spans="1:3" x14ac:dyDescent="0.25">
      <c r="A403" s="10" t="s">
        <v>500</v>
      </c>
      <c r="B403" s="15">
        <v>0</v>
      </c>
      <c r="C403" t="s">
        <v>75</v>
      </c>
    </row>
    <row r="404" spans="1:3" x14ac:dyDescent="0.25">
      <c r="A404" s="10" t="s">
        <v>500</v>
      </c>
      <c r="B404" s="15">
        <v>0</v>
      </c>
      <c r="C404" t="s">
        <v>75</v>
      </c>
    </row>
    <row r="405" spans="1:3" x14ac:dyDescent="0.25">
      <c r="A405" s="10" t="s">
        <v>502</v>
      </c>
      <c r="B405" s="15">
        <v>0</v>
      </c>
      <c r="C405" t="s">
        <v>75</v>
      </c>
    </row>
    <row r="406" spans="1:3" x14ac:dyDescent="0.25">
      <c r="A406" s="10" t="s">
        <v>502</v>
      </c>
      <c r="B406" s="15">
        <v>0</v>
      </c>
      <c r="C406" t="s">
        <v>75</v>
      </c>
    </row>
    <row r="407" spans="1:3" x14ac:dyDescent="0.25">
      <c r="A407" s="10" t="s">
        <v>504</v>
      </c>
      <c r="B407" s="15">
        <v>0</v>
      </c>
      <c r="C407" t="s">
        <v>75</v>
      </c>
    </row>
    <row r="408" spans="1:3" x14ac:dyDescent="0.25">
      <c r="A408" s="10" t="s">
        <v>504</v>
      </c>
      <c r="B408" s="15">
        <v>0</v>
      </c>
      <c r="C408" t="s">
        <v>75</v>
      </c>
    </row>
    <row r="409" spans="1:3" x14ac:dyDescent="0.25">
      <c r="A409" s="10" t="s">
        <v>506</v>
      </c>
      <c r="B409" s="15">
        <v>0</v>
      </c>
      <c r="C409" t="s">
        <v>75</v>
      </c>
    </row>
    <row r="410" spans="1:3" x14ac:dyDescent="0.25">
      <c r="A410" s="10" t="s">
        <v>506</v>
      </c>
      <c r="B410" s="15">
        <v>0</v>
      </c>
      <c r="C410" t="s">
        <v>75</v>
      </c>
    </row>
    <row r="411" spans="1:3" x14ac:dyDescent="0.25">
      <c r="A411" s="10" t="s">
        <v>508</v>
      </c>
      <c r="B411" s="15">
        <v>0</v>
      </c>
      <c r="C411" t="s">
        <v>75</v>
      </c>
    </row>
    <row r="412" spans="1:3" x14ac:dyDescent="0.25">
      <c r="A412" s="10" t="s">
        <v>508</v>
      </c>
      <c r="B412" s="15">
        <v>0</v>
      </c>
      <c r="C412" t="s">
        <v>75</v>
      </c>
    </row>
    <row r="413" spans="1:3" x14ac:dyDescent="0.25">
      <c r="A413" s="10" t="s">
        <v>510</v>
      </c>
      <c r="B413" s="15">
        <v>0</v>
      </c>
      <c r="C413" t="s">
        <v>75</v>
      </c>
    </row>
    <row r="414" spans="1:3" x14ac:dyDescent="0.25">
      <c r="A414" s="10" t="s">
        <v>510</v>
      </c>
      <c r="B414" s="15">
        <v>0</v>
      </c>
      <c r="C414" t="s">
        <v>75</v>
      </c>
    </row>
    <row r="415" spans="1:3" x14ac:dyDescent="0.25">
      <c r="A415" s="10" t="s">
        <v>512</v>
      </c>
      <c r="B415" s="15">
        <v>0</v>
      </c>
      <c r="C415" t="s">
        <v>75</v>
      </c>
    </row>
    <row r="416" spans="1:3" x14ac:dyDescent="0.25">
      <c r="A416" s="10" t="s">
        <v>512</v>
      </c>
      <c r="B416" s="15">
        <v>0</v>
      </c>
      <c r="C416" t="s">
        <v>75</v>
      </c>
    </row>
    <row r="417" spans="1:3" x14ac:dyDescent="0.25">
      <c r="A417" s="10" t="s">
        <v>514</v>
      </c>
      <c r="B417" s="15">
        <v>0</v>
      </c>
      <c r="C417" t="s">
        <v>75</v>
      </c>
    </row>
    <row r="418" spans="1:3" x14ac:dyDescent="0.25">
      <c r="A418" s="10" t="s">
        <v>514</v>
      </c>
      <c r="B418" s="15">
        <v>0</v>
      </c>
      <c r="C418" t="s">
        <v>75</v>
      </c>
    </row>
    <row r="419" spans="1:3" x14ac:dyDescent="0.25">
      <c r="A419" s="10" t="s">
        <v>516</v>
      </c>
      <c r="B419" s="15">
        <v>0</v>
      </c>
      <c r="C419" t="s">
        <v>75</v>
      </c>
    </row>
    <row r="420" spans="1:3" x14ac:dyDescent="0.25">
      <c r="A420" s="10" t="s">
        <v>516</v>
      </c>
      <c r="B420" s="15">
        <v>0</v>
      </c>
      <c r="C420" t="s">
        <v>75</v>
      </c>
    </row>
    <row r="421" spans="1:3" x14ac:dyDescent="0.25">
      <c r="A421" s="10" t="s">
        <v>518</v>
      </c>
      <c r="B421" s="15">
        <v>0</v>
      </c>
      <c r="C421" t="s">
        <v>75</v>
      </c>
    </row>
    <row r="422" spans="1:3" x14ac:dyDescent="0.25">
      <c r="A422" s="10" t="s">
        <v>518</v>
      </c>
      <c r="B422" s="15">
        <v>0</v>
      </c>
      <c r="C422" t="s">
        <v>75</v>
      </c>
    </row>
    <row r="423" spans="1:3" x14ac:dyDescent="0.25">
      <c r="A423" s="10" t="s">
        <v>520</v>
      </c>
      <c r="B423" s="15">
        <v>0</v>
      </c>
      <c r="C423" t="s">
        <v>75</v>
      </c>
    </row>
    <row r="424" spans="1:3" x14ac:dyDescent="0.25">
      <c r="A424" s="10" t="s">
        <v>520</v>
      </c>
      <c r="B424" s="15">
        <v>0</v>
      </c>
      <c r="C424" t="s">
        <v>75</v>
      </c>
    </row>
    <row r="425" spans="1:3" x14ac:dyDescent="0.25">
      <c r="A425" s="10" t="s">
        <v>522</v>
      </c>
      <c r="B425" s="15">
        <v>0</v>
      </c>
      <c r="C425" t="s">
        <v>75</v>
      </c>
    </row>
    <row r="426" spans="1:3" x14ac:dyDescent="0.25">
      <c r="A426" s="10" t="s">
        <v>522</v>
      </c>
      <c r="B426" s="15">
        <v>0</v>
      </c>
      <c r="C426" t="s">
        <v>75</v>
      </c>
    </row>
    <row r="427" spans="1:3" x14ac:dyDescent="0.25">
      <c r="A427" s="10" t="s">
        <v>524</v>
      </c>
      <c r="B427" s="15">
        <v>0</v>
      </c>
      <c r="C427" t="s">
        <v>75</v>
      </c>
    </row>
    <row r="428" spans="1:3" x14ac:dyDescent="0.25">
      <c r="A428" s="10" t="s">
        <v>524</v>
      </c>
      <c r="B428" s="15">
        <v>0</v>
      </c>
      <c r="C428" t="s">
        <v>75</v>
      </c>
    </row>
    <row r="429" spans="1:3" x14ac:dyDescent="0.25">
      <c r="A429" s="10" t="s">
        <v>526</v>
      </c>
      <c r="B429" s="15">
        <v>0</v>
      </c>
      <c r="C429" t="s">
        <v>75</v>
      </c>
    </row>
    <row r="430" spans="1:3" x14ac:dyDescent="0.25">
      <c r="A430" s="10" t="s">
        <v>526</v>
      </c>
      <c r="B430" s="15">
        <v>0</v>
      </c>
      <c r="C430" t="s">
        <v>75</v>
      </c>
    </row>
    <row r="431" spans="1:3" x14ac:dyDescent="0.25">
      <c r="A431" s="10" t="s">
        <v>528</v>
      </c>
      <c r="B431" s="15">
        <v>0</v>
      </c>
      <c r="C431" t="s">
        <v>75</v>
      </c>
    </row>
    <row r="432" spans="1:3" x14ac:dyDescent="0.25">
      <c r="A432" s="10" t="s">
        <v>528</v>
      </c>
      <c r="B432" s="15">
        <v>0</v>
      </c>
      <c r="C432" t="s">
        <v>75</v>
      </c>
    </row>
    <row r="433" spans="1:3" x14ac:dyDescent="0.25">
      <c r="A433" s="10" t="s">
        <v>530</v>
      </c>
      <c r="B433" s="15">
        <v>0</v>
      </c>
      <c r="C433" t="s">
        <v>75</v>
      </c>
    </row>
    <row r="434" spans="1:3" x14ac:dyDescent="0.25">
      <c r="A434" s="10" t="s">
        <v>530</v>
      </c>
      <c r="B434" s="15">
        <v>0</v>
      </c>
      <c r="C434" t="s">
        <v>75</v>
      </c>
    </row>
    <row r="435" spans="1:3" x14ac:dyDescent="0.25">
      <c r="A435" s="10" t="s">
        <v>532</v>
      </c>
      <c r="B435" s="15">
        <v>0</v>
      </c>
      <c r="C435" t="s">
        <v>75</v>
      </c>
    </row>
    <row r="436" spans="1:3" x14ac:dyDescent="0.25">
      <c r="A436" s="10" t="s">
        <v>532</v>
      </c>
      <c r="B436" s="15">
        <v>0</v>
      </c>
      <c r="C436" t="s">
        <v>75</v>
      </c>
    </row>
    <row r="437" spans="1:3" x14ac:dyDescent="0.25">
      <c r="A437" s="10" t="s">
        <v>534</v>
      </c>
      <c r="B437" s="15">
        <v>0</v>
      </c>
      <c r="C437" t="s">
        <v>75</v>
      </c>
    </row>
    <row r="438" spans="1:3" x14ac:dyDescent="0.25">
      <c r="A438" s="10" t="s">
        <v>534</v>
      </c>
      <c r="B438" s="15">
        <v>0</v>
      </c>
      <c r="C438" t="s">
        <v>75</v>
      </c>
    </row>
    <row r="439" spans="1:3" x14ac:dyDescent="0.25">
      <c r="A439" s="10" t="s">
        <v>536</v>
      </c>
      <c r="B439" s="15">
        <v>0</v>
      </c>
      <c r="C439" t="s">
        <v>75</v>
      </c>
    </row>
    <row r="440" spans="1:3" x14ac:dyDescent="0.25">
      <c r="A440" s="10" t="s">
        <v>536</v>
      </c>
      <c r="B440" s="15">
        <v>0</v>
      </c>
      <c r="C440" t="s">
        <v>75</v>
      </c>
    </row>
    <row r="441" spans="1:3" x14ac:dyDescent="0.25">
      <c r="A441" s="10" t="s">
        <v>538</v>
      </c>
      <c r="B441" s="15">
        <v>0</v>
      </c>
      <c r="C441" t="s">
        <v>75</v>
      </c>
    </row>
    <row r="442" spans="1:3" x14ac:dyDescent="0.25">
      <c r="A442" s="10" t="s">
        <v>538</v>
      </c>
      <c r="B442" s="15">
        <v>0</v>
      </c>
      <c r="C442" t="s">
        <v>75</v>
      </c>
    </row>
    <row r="443" spans="1:3" x14ac:dyDescent="0.25">
      <c r="A443" s="10" t="s">
        <v>540</v>
      </c>
      <c r="B443" s="15">
        <v>0</v>
      </c>
      <c r="C443" t="s">
        <v>75</v>
      </c>
    </row>
    <row r="444" spans="1:3" x14ac:dyDescent="0.25">
      <c r="A444" s="10" t="s">
        <v>540</v>
      </c>
      <c r="B444" s="15">
        <v>0</v>
      </c>
      <c r="C444" t="s">
        <v>75</v>
      </c>
    </row>
    <row r="445" spans="1:3" x14ac:dyDescent="0.25">
      <c r="A445" s="10" t="s">
        <v>542</v>
      </c>
      <c r="B445" s="15">
        <v>0</v>
      </c>
      <c r="C445" t="s">
        <v>75</v>
      </c>
    </row>
    <row r="446" spans="1:3" x14ac:dyDescent="0.25">
      <c r="A446" s="10" t="s">
        <v>542</v>
      </c>
      <c r="B446" s="15">
        <v>0</v>
      </c>
      <c r="C446" t="s">
        <v>75</v>
      </c>
    </row>
    <row r="447" spans="1:3" x14ac:dyDescent="0.25">
      <c r="A447" s="10" t="s">
        <v>544</v>
      </c>
      <c r="B447" s="15">
        <v>0</v>
      </c>
      <c r="C447" t="s">
        <v>75</v>
      </c>
    </row>
    <row r="448" spans="1:3" x14ac:dyDescent="0.25">
      <c r="A448" s="10" t="s">
        <v>544</v>
      </c>
      <c r="B448" s="15">
        <v>0</v>
      </c>
      <c r="C448" t="s">
        <v>75</v>
      </c>
    </row>
    <row r="449" spans="1:3" x14ac:dyDescent="0.25">
      <c r="A449" s="10" t="s">
        <v>546</v>
      </c>
      <c r="B449" s="15">
        <v>0</v>
      </c>
      <c r="C449" t="s">
        <v>75</v>
      </c>
    </row>
    <row r="450" spans="1:3" x14ac:dyDescent="0.25">
      <c r="A450" s="10" t="s">
        <v>546</v>
      </c>
      <c r="B450" s="15">
        <v>0</v>
      </c>
      <c r="C450" t="s">
        <v>75</v>
      </c>
    </row>
    <row r="451" spans="1:3" x14ac:dyDescent="0.25">
      <c r="A451" s="10" t="s">
        <v>548</v>
      </c>
      <c r="B451" s="15">
        <v>0</v>
      </c>
      <c r="C451" t="s">
        <v>75</v>
      </c>
    </row>
    <row r="452" spans="1:3" x14ac:dyDescent="0.25">
      <c r="A452" s="10" t="s">
        <v>548</v>
      </c>
      <c r="B452" s="15">
        <v>0</v>
      </c>
      <c r="C452" t="s">
        <v>75</v>
      </c>
    </row>
    <row r="453" spans="1:3" x14ac:dyDescent="0.25">
      <c r="A453" s="10" t="s">
        <v>550</v>
      </c>
      <c r="B453" s="15">
        <v>0</v>
      </c>
      <c r="C453" t="s">
        <v>75</v>
      </c>
    </row>
    <row r="454" spans="1:3" x14ac:dyDescent="0.25">
      <c r="A454" s="10" t="s">
        <v>550</v>
      </c>
      <c r="B454" s="15">
        <v>0</v>
      </c>
      <c r="C454" t="s">
        <v>75</v>
      </c>
    </row>
    <row r="455" spans="1:3" x14ac:dyDescent="0.25">
      <c r="A455" s="10" t="s">
        <v>552</v>
      </c>
      <c r="B455" s="15">
        <v>0</v>
      </c>
      <c r="C455" t="s">
        <v>75</v>
      </c>
    </row>
    <row r="456" spans="1:3" x14ac:dyDescent="0.25">
      <c r="A456" s="10" t="s">
        <v>552</v>
      </c>
      <c r="B456" s="15">
        <v>0</v>
      </c>
      <c r="C456" t="s">
        <v>75</v>
      </c>
    </row>
    <row r="457" spans="1:3" x14ac:dyDescent="0.25">
      <c r="A457" s="10" t="s">
        <v>554</v>
      </c>
      <c r="B457" s="15">
        <v>0</v>
      </c>
      <c r="C457" t="s">
        <v>75</v>
      </c>
    </row>
    <row r="458" spans="1:3" x14ac:dyDescent="0.25">
      <c r="A458" s="10" t="s">
        <v>554</v>
      </c>
      <c r="B458" s="15">
        <v>0</v>
      </c>
      <c r="C458" t="s">
        <v>75</v>
      </c>
    </row>
    <row r="459" spans="1:3" x14ac:dyDescent="0.25">
      <c r="A459" s="10" t="s">
        <v>556</v>
      </c>
      <c r="B459" s="15">
        <v>0</v>
      </c>
      <c r="C459" t="s">
        <v>75</v>
      </c>
    </row>
    <row r="460" spans="1:3" x14ac:dyDescent="0.25">
      <c r="A460" s="10" t="s">
        <v>556</v>
      </c>
      <c r="B460" s="15">
        <v>0</v>
      </c>
      <c r="C460" t="s">
        <v>75</v>
      </c>
    </row>
    <row r="461" spans="1:3" x14ac:dyDescent="0.25">
      <c r="A461" s="10" t="s">
        <v>558</v>
      </c>
      <c r="B461" s="15">
        <v>0</v>
      </c>
      <c r="C461" t="s">
        <v>75</v>
      </c>
    </row>
    <row r="462" spans="1:3" x14ac:dyDescent="0.25">
      <c r="A462" s="10" t="s">
        <v>558</v>
      </c>
      <c r="B462" s="15">
        <v>0</v>
      </c>
      <c r="C462" t="s">
        <v>75</v>
      </c>
    </row>
    <row r="463" spans="1:3" x14ac:dyDescent="0.25">
      <c r="A463" s="10" t="s">
        <v>560</v>
      </c>
      <c r="B463" s="15">
        <v>0</v>
      </c>
      <c r="C463" t="s">
        <v>75</v>
      </c>
    </row>
    <row r="464" spans="1:3" x14ac:dyDescent="0.25">
      <c r="A464" s="10" t="s">
        <v>560</v>
      </c>
      <c r="B464" s="15">
        <v>0</v>
      </c>
      <c r="C464" t="s">
        <v>75</v>
      </c>
    </row>
    <row r="465" spans="1:3" x14ac:dyDescent="0.25">
      <c r="A465" s="10" t="s">
        <v>562</v>
      </c>
      <c r="B465" s="15">
        <v>0</v>
      </c>
      <c r="C465" t="s">
        <v>75</v>
      </c>
    </row>
    <row r="466" spans="1:3" x14ac:dyDescent="0.25">
      <c r="A466" s="10" t="s">
        <v>562</v>
      </c>
      <c r="B466" s="15">
        <v>0</v>
      </c>
      <c r="C466" t="s">
        <v>75</v>
      </c>
    </row>
    <row r="467" spans="1:3" x14ac:dyDescent="0.25">
      <c r="A467" s="10" t="s">
        <v>564</v>
      </c>
      <c r="B467" s="15">
        <v>0</v>
      </c>
      <c r="C467" t="s">
        <v>75</v>
      </c>
    </row>
    <row r="468" spans="1:3" x14ac:dyDescent="0.25">
      <c r="A468" s="10" t="s">
        <v>564</v>
      </c>
      <c r="B468" s="15">
        <v>0</v>
      </c>
      <c r="C468" t="s">
        <v>75</v>
      </c>
    </row>
    <row r="469" spans="1:3" x14ac:dyDescent="0.25">
      <c r="A469" s="10" t="s">
        <v>566</v>
      </c>
      <c r="B469" s="15">
        <v>0</v>
      </c>
      <c r="C469" t="s">
        <v>75</v>
      </c>
    </row>
    <row r="470" spans="1:3" x14ac:dyDescent="0.25">
      <c r="A470" s="10" t="s">
        <v>566</v>
      </c>
      <c r="B470" s="15">
        <v>0</v>
      </c>
      <c r="C470" t="s">
        <v>75</v>
      </c>
    </row>
    <row r="471" spans="1:3" x14ac:dyDescent="0.25">
      <c r="A471" s="10" t="s">
        <v>568</v>
      </c>
      <c r="B471" s="15">
        <v>0</v>
      </c>
      <c r="C471" t="s">
        <v>75</v>
      </c>
    </row>
    <row r="472" spans="1:3" x14ac:dyDescent="0.25">
      <c r="A472" s="10" t="s">
        <v>568</v>
      </c>
      <c r="B472" s="15">
        <v>0</v>
      </c>
      <c r="C472" t="s">
        <v>75</v>
      </c>
    </row>
    <row r="473" spans="1:3" x14ac:dyDescent="0.25">
      <c r="A473" s="10" t="s">
        <v>570</v>
      </c>
      <c r="B473" s="15">
        <v>0</v>
      </c>
      <c r="C473" t="s">
        <v>75</v>
      </c>
    </row>
    <row r="474" spans="1:3" x14ac:dyDescent="0.25">
      <c r="A474" s="10" t="s">
        <v>570</v>
      </c>
      <c r="B474" s="15">
        <v>0</v>
      </c>
      <c r="C474" t="s">
        <v>75</v>
      </c>
    </row>
    <row r="475" spans="1:3" x14ac:dyDescent="0.25">
      <c r="A475" s="10" t="s">
        <v>572</v>
      </c>
      <c r="B475" s="15">
        <v>0</v>
      </c>
      <c r="C475" t="s">
        <v>75</v>
      </c>
    </row>
    <row r="476" spans="1:3" x14ac:dyDescent="0.25">
      <c r="A476" s="10" t="s">
        <v>572</v>
      </c>
      <c r="B476" s="15">
        <v>0</v>
      </c>
      <c r="C476" t="s">
        <v>75</v>
      </c>
    </row>
    <row r="477" spans="1:3" x14ac:dyDescent="0.25">
      <c r="A477" s="10" t="s">
        <v>574</v>
      </c>
      <c r="B477" s="15">
        <v>0</v>
      </c>
      <c r="C477" t="s">
        <v>75</v>
      </c>
    </row>
    <row r="478" spans="1:3" x14ac:dyDescent="0.25">
      <c r="A478" s="10" t="s">
        <v>574</v>
      </c>
      <c r="B478" s="15">
        <v>0</v>
      </c>
      <c r="C478" t="s">
        <v>75</v>
      </c>
    </row>
    <row r="479" spans="1:3" x14ac:dyDescent="0.25">
      <c r="A479" s="10" t="s">
        <v>576</v>
      </c>
      <c r="B479" s="15">
        <v>0</v>
      </c>
      <c r="C479" t="s">
        <v>75</v>
      </c>
    </row>
    <row r="480" spans="1:3" x14ac:dyDescent="0.25">
      <c r="A480" s="10" t="s">
        <v>576</v>
      </c>
      <c r="B480" s="15">
        <v>0</v>
      </c>
      <c r="C480" t="s">
        <v>75</v>
      </c>
    </row>
    <row r="481" spans="1:3" x14ac:dyDescent="0.25">
      <c r="A481" s="10" t="s">
        <v>578</v>
      </c>
      <c r="B481" s="15">
        <v>0</v>
      </c>
      <c r="C481" t="s">
        <v>75</v>
      </c>
    </row>
    <row r="482" spans="1:3" x14ac:dyDescent="0.25">
      <c r="A482" s="10" t="s">
        <v>578</v>
      </c>
      <c r="B482" s="15">
        <v>0</v>
      </c>
      <c r="C482" t="s">
        <v>75</v>
      </c>
    </row>
    <row r="483" spans="1:3" x14ac:dyDescent="0.25">
      <c r="A483" s="10" t="s">
        <v>580</v>
      </c>
      <c r="B483" s="15">
        <v>0</v>
      </c>
      <c r="C483" t="s">
        <v>75</v>
      </c>
    </row>
    <row r="484" spans="1:3" x14ac:dyDescent="0.25">
      <c r="A484" s="10" t="s">
        <v>580</v>
      </c>
      <c r="B484" s="15">
        <v>0</v>
      </c>
      <c r="C484" t="s">
        <v>75</v>
      </c>
    </row>
    <row r="485" spans="1:3" x14ac:dyDescent="0.25">
      <c r="A485" s="10" t="s">
        <v>582</v>
      </c>
      <c r="B485" s="15">
        <v>0</v>
      </c>
      <c r="C485" t="s">
        <v>75</v>
      </c>
    </row>
    <row r="486" spans="1:3" x14ac:dyDescent="0.25">
      <c r="A486" s="10" t="s">
        <v>582</v>
      </c>
      <c r="B486" s="15">
        <v>0</v>
      </c>
      <c r="C486" t="s">
        <v>75</v>
      </c>
    </row>
    <row r="487" spans="1:3" x14ac:dyDescent="0.25">
      <c r="A487" s="10" t="s">
        <v>584</v>
      </c>
      <c r="B487" s="15">
        <v>0</v>
      </c>
      <c r="C487" t="s">
        <v>75</v>
      </c>
    </row>
    <row r="488" spans="1:3" x14ac:dyDescent="0.25">
      <c r="A488" s="10" t="s">
        <v>584</v>
      </c>
      <c r="B488" s="15">
        <v>0</v>
      </c>
      <c r="C488" t="s">
        <v>75</v>
      </c>
    </row>
    <row r="489" spans="1:3" x14ac:dyDescent="0.25">
      <c r="A489" s="10" t="s">
        <v>586</v>
      </c>
      <c r="B489" s="15">
        <v>0</v>
      </c>
      <c r="C489" t="s">
        <v>75</v>
      </c>
    </row>
    <row r="490" spans="1:3" x14ac:dyDescent="0.25">
      <c r="A490" s="10" t="s">
        <v>586</v>
      </c>
      <c r="B490" s="15">
        <v>0</v>
      </c>
      <c r="C490" t="s">
        <v>75</v>
      </c>
    </row>
    <row r="491" spans="1:3" x14ac:dyDescent="0.25">
      <c r="A491" s="10" t="s">
        <v>588</v>
      </c>
      <c r="B491" s="15">
        <v>0</v>
      </c>
      <c r="C491" t="s">
        <v>75</v>
      </c>
    </row>
    <row r="492" spans="1:3" x14ac:dyDescent="0.25">
      <c r="A492" s="10" t="s">
        <v>588</v>
      </c>
      <c r="B492" s="15">
        <v>0</v>
      </c>
      <c r="C492" t="s">
        <v>75</v>
      </c>
    </row>
    <row r="493" spans="1:3" x14ac:dyDescent="0.25">
      <c r="A493" s="10" t="s">
        <v>590</v>
      </c>
      <c r="B493" s="15">
        <v>0</v>
      </c>
      <c r="C493" t="s">
        <v>75</v>
      </c>
    </row>
    <row r="494" spans="1:3" x14ac:dyDescent="0.25">
      <c r="A494" s="10" t="s">
        <v>590</v>
      </c>
      <c r="B494" s="15">
        <v>0</v>
      </c>
      <c r="C494" t="s">
        <v>75</v>
      </c>
    </row>
    <row r="495" spans="1:3" x14ac:dyDescent="0.25">
      <c r="A495" s="10" t="s">
        <v>592</v>
      </c>
      <c r="B495" s="15">
        <v>0</v>
      </c>
      <c r="C495" t="s">
        <v>75</v>
      </c>
    </row>
    <row r="496" spans="1:3" x14ac:dyDescent="0.25">
      <c r="A496" s="10" t="s">
        <v>592</v>
      </c>
      <c r="B496" s="15">
        <v>0</v>
      </c>
      <c r="C496" t="s">
        <v>75</v>
      </c>
    </row>
    <row r="497" spans="1:3" x14ac:dyDescent="0.25">
      <c r="A497" s="10" t="s">
        <v>594</v>
      </c>
      <c r="B497" s="15">
        <v>0</v>
      </c>
      <c r="C497" t="s">
        <v>75</v>
      </c>
    </row>
    <row r="498" spans="1:3" x14ac:dyDescent="0.25">
      <c r="A498" s="10" t="s">
        <v>594</v>
      </c>
      <c r="B498" s="15">
        <v>0</v>
      </c>
      <c r="C498" t="s">
        <v>75</v>
      </c>
    </row>
    <row r="499" spans="1:3" x14ac:dyDescent="0.25">
      <c r="A499" s="10" t="s">
        <v>596</v>
      </c>
      <c r="B499" s="15">
        <v>0</v>
      </c>
      <c r="C499" t="s">
        <v>75</v>
      </c>
    </row>
    <row r="500" spans="1:3" x14ac:dyDescent="0.25">
      <c r="A500" s="10" t="s">
        <v>596</v>
      </c>
      <c r="B500" s="15">
        <v>0</v>
      </c>
      <c r="C500" t="s">
        <v>75</v>
      </c>
    </row>
    <row r="501" spans="1:3" x14ac:dyDescent="0.25">
      <c r="A501" s="10" t="s">
        <v>598</v>
      </c>
      <c r="B501" s="15">
        <v>0</v>
      </c>
      <c r="C501" t="s">
        <v>75</v>
      </c>
    </row>
    <row r="502" spans="1:3" x14ac:dyDescent="0.25">
      <c r="A502" s="10" t="s">
        <v>598</v>
      </c>
      <c r="B502" s="15">
        <v>0</v>
      </c>
      <c r="C502" t="s">
        <v>75</v>
      </c>
    </row>
    <row r="503" spans="1:3" x14ac:dyDescent="0.25">
      <c r="A503" s="10" t="s">
        <v>600</v>
      </c>
      <c r="B503" s="15">
        <v>0</v>
      </c>
      <c r="C503" t="s">
        <v>75</v>
      </c>
    </row>
    <row r="504" spans="1:3" x14ac:dyDescent="0.25">
      <c r="A504" s="10" t="s">
        <v>600</v>
      </c>
      <c r="B504" s="15">
        <v>0</v>
      </c>
      <c r="C504" t="s">
        <v>75</v>
      </c>
    </row>
    <row r="505" spans="1:3" x14ac:dyDescent="0.25">
      <c r="A505" s="10" t="s">
        <v>602</v>
      </c>
      <c r="B505" s="15">
        <v>0</v>
      </c>
      <c r="C505" t="s">
        <v>75</v>
      </c>
    </row>
    <row r="506" spans="1:3" x14ac:dyDescent="0.25">
      <c r="A506" s="10" t="s">
        <v>602</v>
      </c>
      <c r="B506" s="15">
        <v>0</v>
      </c>
      <c r="C506" t="s">
        <v>75</v>
      </c>
    </row>
    <row r="507" spans="1:3" x14ac:dyDescent="0.25">
      <c r="A507" s="10" t="s">
        <v>604</v>
      </c>
      <c r="B507" s="15">
        <v>0</v>
      </c>
      <c r="C507" t="s">
        <v>75</v>
      </c>
    </row>
    <row r="508" spans="1:3" x14ac:dyDescent="0.25">
      <c r="A508" s="10" t="s">
        <v>604</v>
      </c>
      <c r="B508" s="15">
        <v>0</v>
      </c>
      <c r="C508" t="s">
        <v>75</v>
      </c>
    </row>
    <row r="509" spans="1:3" x14ac:dyDescent="0.25">
      <c r="A509" s="10" t="s">
        <v>606</v>
      </c>
      <c r="B509" s="15">
        <v>0</v>
      </c>
      <c r="C509" t="s">
        <v>75</v>
      </c>
    </row>
    <row r="510" spans="1:3" x14ac:dyDescent="0.25">
      <c r="A510" s="10" t="s">
        <v>606</v>
      </c>
      <c r="B510" s="15">
        <v>0</v>
      </c>
      <c r="C510" t="s">
        <v>75</v>
      </c>
    </row>
    <row r="511" spans="1:3" x14ac:dyDescent="0.25">
      <c r="A511" s="10" t="s">
        <v>608</v>
      </c>
      <c r="B511" s="15">
        <v>0</v>
      </c>
      <c r="C511" t="s">
        <v>75</v>
      </c>
    </row>
    <row r="512" spans="1:3" x14ac:dyDescent="0.25">
      <c r="A512" s="10" t="s">
        <v>608</v>
      </c>
      <c r="B512" s="15">
        <v>0</v>
      </c>
      <c r="C512" t="s">
        <v>75</v>
      </c>
    </row>
    <row r="513" spans="1:3" x14ac:dyDescent="0.25">
      <c r="A513" s="10" t="s">
        <v>610</v>
      </c>
      <c r="B513" s="15">
        <v>0</v>
      </c>
      <c r="C513" t="s">
        <v>75</v>
      </c>
    </row>
    <row r="514" spans="1:3" x14ac:dyDescent="0.25">
      <c r="A514" s="10" t="s">
        <v>610</v>
      </c>
      <c r="B514" s="15">
        <v>0</v>
      </c>
      <c r="C514" t="s">
        <v>75</v>
      </c>
    </row>
    <row r="515" spans="1:3" x14ac:dyDescent="0.25">
      <c r="A515" s="10" t="s">
        <v>612</v>
      </c>
      <c r="B515" s="15">
        <v>0</v>
      </c>
      <c r="C515" t="s">
        <v>75</v>
      </c>
    </row>
    <row r="516" spans="1:3" x14ac:dyDescent="0.25">
      <c r="A516" s="10" t="s">
        <v>612</v>
      </c>
      <c r="B516" s="15">
        <v>0</v>
      </c>
      <c r="C516" t="s">
        <v>75</v>
      </c>
    </row>
    <row r="517" spans="1:3" x14ac:dyDescent="0.25">
      <c r="A517" s="10" t="s">
        <v>614</v>
      </c>
      <c r="B517" s="15">
        <v>0</v>
      </c>
      <c r="C517" t="s">
        <v>75</v>
      </c>
    </row>
    <row r="518" spans="1:3" x14ac:dyDescent="0.25">
      <c r="A518" s="10" t="s">
        <v>614</v>
      </c>
      <c r="B518" s="15">
        <v>0</v>
      </c>
      <c r="C518" t="s">
        <v>75</v>
      </c>
    </row>
    <row r="519" spans="1:3" x14ac:dyDescent="0.25">
      <c r="A519" s="10" t="s">
        <v>616</v>
      </c>
      <c r="B519" s="15">
        <v>0</v>
      </c>
      <c r="C519" t="s">
        <v>75</v>
      </c>
    </row>
    <row r="520" spans="1:3" x14ac:dyDescent="0.25">
      <c r="A520" s="10" t="s">
        <v>616</v>
      </c>
      <c r="B520" s="15">
        <v>0</v>
      </c>
      <c r="C520" t="s">
        <v>75</v>
      </c>
    </row>
    <row r="521" spans="1:3" x14ac:dyDescent="0.25">
      <c r="A521" s="10" t="s">
        <v>618</v>
      </c>
      <c r="B521" s="15">
        <v>0</v>
      </c>
      <c r="C521" t="s">
        <v>75</v>
      </c>
    </row>
    <row r="522" spans="1:3" x14ac:dyDescent="0.25">
      <c r="A522" s="10" t="s">
        <v>618</v>
      </c>
      <c r="B522" s="15">
        <v>0</v>
      </c>
      <c r="C522" t="s">
        <v>75</v>
      </c>
    </row>
    <row r="523" spans="1:3" x14ac:dyDescent="0.25">
      <c r="A523" s="10" t="s">
        <v>620</v>
      </c>
      <c r="B523" s="15">
        <v>0</v>
      </c>
      <c r="C523" t="s">
        <v>75</v>
      </c>
    </row>
    <row r="524" spans="1:3" x14ac:dyDescent="0.25">
      <c r="A524" s="10" t="s">
        <v>620</v>
      </c>
      <c r="B524" s="15">
        <v>0</v>
      </c>
      <c r="C524" t="s">
        <v>75</v>
      </c>
    </row>
    <row r="525" spans="1:3" x14ac:dyDescent="0.25">
      <c r="A525" s="10" t="s">
        <v>622</v>
      </c>
      <c r="B525" s="15">
        <v>0</v>
      </c>
      <c r="C525" t="s">
        <v>75</v>
      </c>
    </row>
    <row r="526" spans="1:3" x14ac:dyDescent="0.25">
      <c r="A526" s="10" t="s">
        <v>622</v>
      </c>
      <c r="B526" s="15">
        <v>0</v>
      </c>
      <c r="C526" t="s">
        <v>75</v>
      </c>
    </row>
    <row r="527" spans="1:3" x14ac:dyDescent="0.25">
      <c r="A527" s="10" t="s">
        <v>624</v>
      </c>
      <c r="B527" s="15">
        <v>0</v>
      </c>
      <c r="C527" t="s">
        <v>75</v>
      </c>
    </row>
    <row r="528" spans="1:3" x14ac:dyDescent="0.25">
      <c r="A528" s="10" t="s">
        <v>624</v>
      </c>
      <c r="B528" s="15">
        <v>0</v>
      </c>
      <c r="C528" t="s">
        <v>75</v>
      </c>
    </row>
    <row r="529" spans="1:3" x14ac:dyDescent="0.25">
      <c r="A529" s="10" t="s">
        <v>626</v>
      </c>
      <c r="B529" s="15">
        <v>0</v>
      </c>
      <c r="C529" t="s">
        <v>75</v>
      </c>
    </row>
    <row r="530" spans="1:3" x14ac:dyDescent="0.25">
      <c r="A530" s="10" t="s">
        <v>626</v>
      </c>
      <c r="B530" s="15">
        <v>0</v>
      </c>
      <c r="C530" t="s">
        <v>75</v>
      </c>
    </row>
    <row r="531" spans="1:3" x14ac:dyDescent="0.25">
      <c r="A531" s="10" t="s">
        <v>628</v>
      </c>
      <c r="B531" s="15">
        <v>0</v>
      </c>
      <c r="C531" t="s">
        <v>75</v>
      </c>
    </row>
    <row r="532" spans="1:3" x14ac:dyDescent="0.25">
      <c r="A532" s="10" t="s">
        <v>628</v>
      </c>
      <c r="B532" s="15">
        <v>0</v>
      </c>
      <c r="C532" t="s">
        <v>75</v>
      </c>
    </row>
    <row r="533" spans="1:3" x14ac:dyDescent="0.25">
      <c r="A533" s="10" t="s">
        <v>630</v>
      </c>
      <c r="B533" s="15">
        <v>0</v>
      </c>
      <c r="C533" t="s">
        <v>75</v>
      </c>
    </row>
    <row r="534" spans="1:3" x14ac:dyDescent="0.25">
      <c r="A534" s="10" t="s">
        <v>630</v>
      </c>
      <c r="B534" s="15">
        <v>0</v>
      </c>
      <c r="C534" t="s">
        <v>75</v>
      </c>
    </row>
    <row r="535" spans="1:3" x14ac:dyDescent="0.25">
      <c r="A535" s="10" t="s">
        <v>632</v>
      </c>
      <c r="B535" s="15">
        <v>0</v>
      </c>
      <c r="C535" t="s">
        <v>75</v>
      </c>
    </row>
    <row r="536" spans="1:3" x14ac:dyDescent="0.25">
      <c r="A536" s="10" t="s">
        <v>632</v>
      </c>
      <c r="B536" s="15">
        <v>0</v>
      </c>
      <c r="C536" t="s">
        <v>75</v>
      </c>
    </row>
    <row r="537" spans="1:3" x14ac:dyDescent="0.25">
      <c r="A537" s="10" t="s">
        <v>634</v>
      </c>
      <c r="B537" s="15">
        <v>0</v>
      </c>
      <c r="C537" t="s">
        <v>75</v>
      </c>
    </row>
    <row r="538" spans="1:3" x14ac:dyDescent="0.25">
      <c r="A538" s="10" t="s">
        <v>634</v>
      </c>
      <c r="B538" s="15">
        <v>0</v>
      </c>
      <c r="C538" t="s">
        <v>75</v>
      </c>
    </row>
    <row r="539" spans="1:3" x14ac:dyDescent="0.25">
      <c r="A539" s="10" t="s">
        <v>636</v>
      </c>
      <c r="B539" s="15">
        <v>0</v>
      </c>
      <c r="C539" t="s">
        <v>75</v>
      </c>
    </row>
    <row r="540" spans="1:3" x14ac:dyDescent="0.25">
      <c r="A540" s="10" t="s">
        <v>636</v>
      </c>
      <c r="B540" s="15">
        <v>0</v>
      </c>
      <c r="C540" t="s">
        <v>75</v>
      </c>
    </row>
    <row r="541" spans="1:3" x14ac:dyDescent="0.25">
      <c r="A541" s="10" t="s">
        <v>638</v>
      </c>
      <c r="B541" s="15">
        <v>0</v>
      </c>
      <c r="C541" t="s">
        <v>75</v>
      </c>
    </row>
    <row r="542" spans="1:3" x14ac:dyDescent="0.25">
      <c r="A542" s="10" t="s">
        <v>638</v>
      </c>
      <c r="B542" s="15">
        <v>0</v>
      </c>
      <c r="C542" t="s">
        <v>75</v>
      </c>
    </row>
    <row r="543" spans="1:3" x14ac:dyDescent="0.25">
      <c r="A543" s="10" t="s">
        <v>640</v>
      </c>
      <c r="B543" s="15">
        <v>0</v>
      </c>
      <c r="C543" t="s">
        <v>75</v>
      </c>
    </row>
    <row r="544" spans="1:3" x14ac:dyDescent="0.25">
      <c r="A544" s="10" t="s">
        <v>640</v>
      </c>
      <c r="B544" s="15">
        <v>0</v>
      </c>
      <c r="C544" t="s">
        <v>75</v>
      </c>
    </row>
    <row r="545" spans="1:3" x14ac:dyDescent="0.25">
      <c r="A545" s="10" t="s">
        <v>642</v>
      </c>
      <c r="B545" s="15">
        <v>0</v>
      </c>
      <c r="C545" t="s">
        <v>75</v>
      </c>
    </row>
    <row r="546" spans="1:3" x14ac:dyDescent="0.25">
      <c r="A546" s="10" t="s">
        <v>642</v>
      </c>
      <c r="B546" s="15">
        <v>0</v>
      </c>
      <c r="C546" t="s">
        <v>75</v>
      </c>
    </row>
    <row r="547" spans="1:3" x14ac:dyDescent="0.25">
      <c r="A547" s="10" t="s">
        <v>644</v>
      </c>
      <c r="B547" s="15">
        <v>0</v>
      </c>
      <c r="C547" t="s">
        <v>75</v>
      </c>
    </row>
    <row r="548" spans="1:3" x14ac:dyDescent="0.25">
      <c r="A548" s="10" t="s">
        <v>644</v>
      </c>
      <c r="B548" s="15">
        <v>0</v>
      </c>
      <c r="C548" t="s">
        <v>75</v>
      </c>
    </row>
    <row r="549" spans="1:3" x14ac:dyDescent="0.25">
      <c r="A549" s="10" t="s">
        <v>646</v>
      </c>
      <c r="B549" s="15">
        <v>0</v>
      </c>
      <c r="C549" t="s">
        <v>75</v>
      </c>
    </row>
    <row r="550" spans="1:3" x14ac:dyDescent="0.25">
      <c r="A550" s="10" t="s">
        <v>646</v>
      </c>
      <c r="B550" s="15">
        <v>0</v>
      </c>
      <c r="C550" t="s">
        <v>75</v>
      </c>
    </row>
    <row r="551" spans="1:3" x14ac:dyDescent="0.25">
      <c r="A551" s="10" t="s">
        <v>648</v>
      </c>
      <c r="B551" s="15">
        <v>0</v>
      </c>
      <c r="C551" t="s">
        <v>75</v>
      </c>
    </row>
    <row r="552" spans="1:3" x14ac:dyDescent="0.25">
      <c r="A552" s="10" t="s">
        <v>648</v>
      </c>
      <c r="B552" s="15">
        <v>0</v>
      </c>
      <c r="C552" t="s">
        <v>75</v>
      </c>
    </row>
    <row r="553" spans="1:3" x14ac:dyDescent="0.25">
      <c r="A553" s="10" t="s">
        <v>650</v>
      </c>
      <c r="B553" s="15">
        <v>0</v>
      </c>
      <c r="C553" t="s">
        <v>75</v>
      </c>
    </row>
    <row r="554" spans="1:3" x14ac:dyDescent="0.25">
      <c r="A554" s="10" t="s">
        <v>650</v>
      </c>
      <c r="B554" s="15">
        <v>0</v>
      </c>
      <c r="C554" t="s">
        <v>75</v>
      </c>
    </row>
    <row r="555" spans="1:3" x14ac:dyDescent="0.25">
      <c r="A555" s="10" t="s">
        <v>652</v>
      </c>
      <c r="B555" s="15">
        <v>0</v>
      </c>
      <c r="C555" t="s">
        <v>75</v>
      </c>
    </row>
    <row r="556" spans="1:3" x14ac:dyDescent="0.25">
      <c r="A556" s="10" t="s">
        <v>652</v>
      </c>
      <c r="B556" s="15">
        <v>0</v>
      </c>
      <c r="C556" t="s">
        <v>75</v>
      </c>
    </row>
    <row r="557" spans="1:3" x14ac:dyDescent="0.25">
      <c r="A557" s="10" t="s">
        <v>654</v>
      </c>
      <c r="B557" s="15">
        <v>0</v>
      </c>
      <c r="C557" t="s">
        <v>75</v>
      </c>
    </row>
    <row r="558" spans="1:3" x14ac:dyDescent="0.25">
      <c r="A558" s="10" t="s">
        <v>654</v>
      </c>
      <c r="B558" s="15">
        <v>0</v>
      </c>
      <c r="C558" t="s">
        <v>75</v>
      </c>
    </row>
    <row r="559" spans="1:3" x14ac:dyDescent="0.25">
      <c r="A559" s="10" t="s">
        <v>658</v>
      </c>
      <c r="B559" s="15">
        <v>0</v>
      </c>
      <c r="C559" t="s">
        <v>75</v>
      </c>
    </row>
    <row r="560" spans="1:3" x14ac:dyDescent="0.25">
      <c r="A560" s="10" t="s">
        <v>658</v>
      </c>
      <c r="B560" s="15">
        <v>0</v>
      </c>
      <c r="C560" t="s">
        <v>75</v>
      </c>
    </row>
    <row r="561" spans="1:3" x14ac:dyDescent="0.25">
      <c r="A561" s="10" t="s">
        <v>660</v>
      </c>
      <c r="B561" s="15">
        <v>0</v>
      </c>
      <c r="C561" t="s">
        <v>75</v>
      </c>
    </row>
    <row r="562" spans="1:3" x14ac:dyDescent="0.25">
      <c r="A562" s="10" t="s">
        <v>660</v>
      </c>
      <c r="B562" s="15">
        <v>0</v>
      </c>
      <c r="C562" t="s">
        <v>75</v>
      </c>
    </row>
    <row r="563" spans="1:3" x14ac:dyDescent="0.25">
      <c r="A563" s="10" t="s">
        <v>664</v>
      </c>
      <c r="B563" s="15">
        <v>0</v>
      </c>
      <c r="C563" t="s">
        <v>75</v>
      </c>
    </row>
    <row r="564" spans="1:3" x14ac:dyDescent="0.25">
      <c r="A564" s="10" t="s">
        <v>664</v>
      </c>
      <c r="B564" s="15">
        <v>0</v>
      </c>
      <c r="C564" t="s">
        <v>75</v>
      </c>
    </row>
    <row r="565" spans="1:3" x14ac:dyDescent="0.25">
      <c r="A565" s="10" t="s">
        <v>666</v>
      </c>
      <c r="B565" s="15">
        <v>0</v>
      </c>
      <c r="C565" t="s">
        <v>75</v>
      </c>
    </row>
    <row r="566" spans="1:3" x14ac:dyDescent="0.25">
      <c r="A566" s="10" t="s">
        <v>666</v>
      </c>
      <c r="B566" s="15">
        <v>0</v>
      </c>
      <c r="C566" t="s">
        <v>75</v>
      </c>
    </row>
    <row r="567" spans="1:3" x14ac:dyDescent="0.25">
      <c r="A567" s="10" t="s">
        <v>668</v>
      </c>
      <c r="B567" s="15">
        <v>0</v>
      </c>
      <c r="C567" t="s">
        <v>75</v>
      </c>
    </row>
    <row r="568" spans="1:3" x14ac:dyDescent="0.25">
      <c r="A568" s="10" t="s">
        <v>668</v>
      </c>
      <c r="B568" s="15">
        <v>0</v>
      </c>
      <c r="C568" t="s">
        <v>75</v>
      </c>
    </row>
    <row r="569" spans="1:3" x14ac:dyDescent="0.25">
      <c r="A569" s="10" t="s">
        <v>670</v>
      </c>
      <c r="B569" s="15">
        <v>0</v>
      </c>
      <c r="C569" t="s">
        <v>75</v>
      </c>
    </row>
    <row r="570" spans="1:3" x14ac:dyDescent="0.25">
      <c r="A570" s="10" t="s">
        <v>670</v>
      </c>
      <c r="B570" s="15">
        <v>0</v>
      </c>
      <c r="C570" t="s">
        <v>75</v>
      </c>
    </row>
    <row r="571" spans="1:3" x14ac:dyDescent="0.25">
      <c r="A571" s="10" t="s">
        <v>672</v>
      </c>
      <c r="B571" s="15">
        <v>0</v>
      </c>
      <c r="C571" t="s">
        <v>75</v>
      </c>
    </row>
    <row r="572" spans="1:3" x14ac:dyDescent="0.25">
      <c r="A572" s="10" t="s">
        <v>672</v>
      </c>
      <c r="B572" s="15">
        <v>0</v>
      </c>
      <c r="C572" t="s">
        <v>75</v>
      </c>
    </row>
    <row r="573" spans="1:3" x14ac:dyDescent="0.25">
      <c r="A573" s="10" t="s">
        <v>674</v>
      </c>
      <c r="B573" s="15">
        <v>0</v>
      </c>
      <c r="C573" t="s">
        <v>75</v>
      </c>
    </row>
    <row r="574" spans="1:3" x14ac:dyDescent="0.25">
      <c r="A574" s="10" t="s">
        <v>674</v>
      </c>
      <c r="B574" s="15">
        <v>0</v>
      </c>
      <c r="C574" t="s">
        <v>75</v>
      </c>
    </row>
    <row r="575" spans="1:3" x14ac:dyDescent="0.25">
      <c r="A575" s="10" t="s">
        <v>676</v>
      </c>
      <c r="B575" s="15">
        <v>0</v>
      </c>
      <c r="C575" t="s">
        <v>75</v>
      </c>
    </row>
    <row r="576" spans="1:3" x14ac:dyDescent="0.25">
      <c r="A576" s="10" t="s">
        <v>676</v>
      </c>
      <c r="B576" s="15">
        <v>0</v>
      </c>
      <c r="C576" t="s">
        <v>75</v>
      </c>
    </row>
    <row r="577" spans="1:3" x14ac:dyDescent="0.25">
      <c r="A577" s="10" t="s">
        <v>678</v>
      </c>
      <c r="B577" s="15">
        <v>0</v>
      </c>
      <c r="C577" t="s">
        <v>75</v>
      </c>
    </row>
    <row r="578" spans="1:3" x14ac:dyDescent="0.25">
      <c r="A578" s="10" t="s">
        <v>678</v>
      </c>
      <c r="B578" s="15">
        <v>0</v>
      </c>
      <c r="C578" t="s">
        <v>75</v>
      </c>
    </row>
    <row r="579" spans="1:3" x14ac:dyDescent="0.25">
      <c r="A579" s="10" t="s">
        <v>680</v>
      </c>
      <c r="B579" s="15">
        <v>0</v>
      </c>
      <c r="C579" t="s">
        <v>75</v>
      </c>
    </row>
    <row r="580" spans="1:3" x14ac:dyDescent="0.25">
      <c r="A580" s="10" t="s">
        <v>680</v>
      </c>
      <c r="B580" s="15">
        <v>0</v>
      </c>
      <c r="C580" t="s">
        <v>75</v>
      </c>
    </row>
    <row r="581" spans="1:3" x14ac:dyDescent="0.25">
      <c r="A581" s="10" t="s">
        <v>682</v>
      </c>
      <c r="B581" s="15">
        <v>0</v>
      </c>
      <c r="C581" t="s">
        <v>75</v>
      </c>
    </row>
    <row r="582" spans="1:3" x14ac:dyDescent="0.25">
      <c r="A582" s="10" t="s">
        <v>682</v>
      </c>
      <c r="B582" s="15">
        <v>0</v>
      </c>
      <c r="C582" t="s">
        <v>75</v>
      </c>
    </row>
    <row r="583" spans="1:3" x14ac:dyDescent="0.25">
      <c r="A583" s="10" t="s">
        <v>684</v>
      </c>
      <c r="B583" s="15">
        <v>0</v>
      </c>
      <c r="C583" t="s">
        <v>75</v>
      </c>
    </row>
    <row r="584" spans="1:3" x14ac:dyDescent="0.25">
      <c r="A584" s="10" t="s">
        <v>684</v>
      </c>
      <c r="B584" s="15">
        <v>0</v>
      </c>
      <c r="C584" t="s">
        <v>75</v>
      </c>
    </row>
    <row r="585" spans="1:3" x14ac:dyDescent="0.25">
      <c r="A585" s="10" t="s">
        <v>686</v>
      </c>
      <c r="B585" s="15">
        <v>0</v>
      </c>
      <c r="C585" t="s">
        <v>75</v>
      </c>
    </row>
    <row r="586" spans="1:3" x14ac:dyDescent="0.25">
      <c r="A586" s="10" t="s">
        <v>686</v>
      </c>
      <c r="B586" s="15">
        <v>0</v>
      </c>
      <c r="C586" t="s">
        <v>75</v>
      </c>
    </row>
    <row r="587" spans="1:3" x14ac:dyDescent="0.25">
      <c r="A587" s="10" t="s">
        <v>688</v>
      </c>
      <c r="B587" s="15">
        <v>0</v>
      </c>
      <c r="C587" t="s">
        <v>75</v>
      </c>
    </row>
    <row r="588" spans="1:3" x14ac:dyDescent="0.25">
      <c r="A588" s="10" t="s">
        <v>688</v>
      </c>
      <c r="B588" s="15">
        <v>0</v>
      </c>
      <c r="C588" t="s">
        <v>75</v>
      </c>
    </row>
    <row r="589" spans="1:3" x14ac:dyDescent="0.25">
      <c r="A589" s="10" t="s">
        <v>690</v>
      </c>
      <c r="B589" s="15">
        <v>0</v>
      </c>
      <c r="C589" t="s">
        <v>75</v>
      </c>
    </row>
    <row r="590" spans="1:3" x14ac:dyDescent="0.25">
      <c r="A590" s="10" t="s">
        <v>690</v>
      </c>
      <c r="B590" s="15">
        <v>0</v>
      </c>
      <c r="C590" t="s">
        <v>75</v>
      </c>
    </row>
    <row r="591" spans="1:3" x14ac:dyDescent="0.25">
      <c r="A591" s="10" t="s">
        <v>692</v>
      </c>
      <c r="B591" s="15">
        <v>0</v>
      </c>
      <c r="C591" t="s">
        <v>75</v>
      </c>
    </row>
    <row r="592" spans="1:3" x14ac:dyDescent="0.25">
      <c r="A592" s="10" t="s">
        <v>692</v>
      </c>
      <c r="B592" s="15">
        <v>0</v>
      </c>
      <c r="C592" t="s">
        <v>75</v>
      </c>
    </row>
    <row r="593" spans="1:3" x14ac:dyDescent="0.25">
      <c r="A593" s="10" t="s">
        <v>694</v>
      </c>
      <c r="B593" s="15">
        <v>0</v>
      </c>
      <c r="C593" t="s">
        <v>75</v>
      </c>
    </row>
    <row r="594" spans="1:3" x14ac:dyDescent="0.25">
      <c r="A594" s="10" t="s">
        <v>694</v>
      </c>
      <c r="B594" s="15">
        <v>0</v>
      </c>
      <c r="C594" t="s">
        <v>75</v>
      </c>
    </row>
    <row r="595" spans="1:3" x14ac:dyDescent="0.25">
      <c r="A595" s="10" t="s">
        <v>696</v>
      </c>
      <c r="B595" s="15">
        <v>0</v>
      </c>
      <c r="C595" t="s">
        <v>75</v>
      </c>
    </row>
    <row r="596" spans="1:3" x14ac:dyDescent="0.25">
      <c r="A596" s="10" t="s">
        <v>696</v>
      </c>
      <c r="B596" s="15">
        <v>0</v>
      </c>
      <c r="C596" t="s">
        <v>75</v>
      </c>
    </row>
    <row r="597" spans="1:3" x14ac:dyDescent="0.25">
      <c r="A597" s="10" t="s">
        <v>698</v>
      </c>
      <c r="B597" s="15">
        <v>0</v>
      </c>
      <c r="C597" t="s">
        <v>75</v>
      </c>
    </row>
    <row r="598" spans="1:3" x14ac:dyDescent="0.25">
      <c r="A598" s="10" t="s">
        <v>698</v>
      </c>
      <c r="B598" s="15">
        <v>0</v>
      </c>
      <c r="C598" t="s">
        <v>75</v>
      </c>
    </row>
    <row r="599" spans="1:3" x14ac:dyDescent="0.25">
      <c r="A599" s="10" t="s">
        <v>700</v>
      </c>
      <c r="B599" s="15">
        <v>0</v>
      </c>
      <c r="C599" t="s">
        <v>75</v>
      </c>
    </row>
    <row r="600" spans="1:3" x14ac:dyDescent="0.25">
      <c r="A600" s="10" t="s">
        <v>700</v>
      </c>
      <c r="B600" s="15">
        <v>0</v>
      </c>
      <c r="C600" t="s">
        <v>75</v>
      </c>
    </row>
    <row r="601" spans="1:3" x14ac:dyDescent="0.25">
      <c r="A601" s="10" t="s">
        <v>702</v>
      </c>
      <c r="B601" s="15">
        <v>0</v>
      </c>
      <c r="C601" t="s">
        <v>75</v>
      </c>
    </row>
    <row r="602" spans="1:3" x14ac:dyDescent="0.25">
      <c r="A602" s="10" t="s">
        <v>702</v>
      </c>
      <c r="B602" s="15">
        <v>0</v>
      </c>
      <c r="C602" t="s">
        <v>75</v>
      </c>
    </row>
    <row r="603" spans="1:3" x14ac:dyDescent="0.25">
      <c r="A603" s="10" t="s">
        <v>704</v>
      </c>
      <c r="B603" s="15">
        <v>0</v>
      </c>
      <c r="C603" t="s">
        <v>75</v>
      </c>
    </row>
    <row r="604" spans="1:3" x14ac:dyDescent="0.25">
      <c r="A604" s="10" t="s">
        <v>704</v>
      </c>
      <c r="B604" s="15">
        <v>0</v>
      </c>
      <c r="C604" t="s">
        <v>75</v>
      </c>
    </row>
    <row r="605" spans="1:3" x14ac:dyDescent="0.25">
      <c r="A605" s="10" t="s">
        <v>706</v>
      </c>
      <c r="B605" s="15">
        <v>0</v>
      </c>
      <c r="C605" t="s">
        <v>75</v>
      </c>
    </row>
    <row r="606" spans="1:3" x14ac:dyDescent="0.25">
      <c r="A606" s="10" t="s">
        <v>706</v>
      </c>
      <c r="B606" s="15">
        <v>0</v>
      </c>
      <c r="C606" t="s">
        <v>75</v>
      </c>
    </row>
    <row r="607" spans="1:3" x14ac:dyDescent="0.25">
      <c r="A607" s="10" t="s">
        <v>708</v>
      </c>
      <c r="B607" s="15">
        <v>0</v>
      </c>
      <c r="C607" t="s">
        <v>75</v>
      </c>
    </row>
    <row r="608" spans="1:3" x14ac:dyDescent="0.25">
      <c r="A608" s="10" t="s">
        <v>708</v>
      </c>
      <c r="B608" s="15">
        <v>0</v>
      </c>
      <c r="C608" t="s">
        <v>75</v>
      </c>
    </row>
    <row r="609" spans="1:3" x14ac:dyDescent="0.25">
      <c r="A609" s="10" t="s">
        <v>710</v>
      </c>
      <c r="B609" s="15">
        <v>0</v>
      </c>
      <c r="C609" t="s">
        <v>75</v>
      </c>
    </row>
    <row r="610" spans="1:3" x14ac:dyDescent="0.25">
      <c r="A610" s="10" t="s">
        <v>710</v>
      </c>
      <c r="B610" s="15">
        <v>0</v>
      </c>
      <c r="C610" t="s">
        <v>75</v>
      </c>
    </row>
    <row r="611" spans="1:3" x14ac:dyDescent="0.25">
      <c r="A611" s="10" t="s">
        <v>712</v>
      </c>
      <c r="B611" s="15">
        <v>0</v>
      </c>
      <c r="C611" t="s">
        <v>75</v>
      </c>
    </row>
    <row r="612" spans="1:3" x14ac:dyDescent="0.25">
      <c r="A612" s="10" t="s">
        <v>712</v>
      </c>
      <c r="B612" s="15">
        <v>0</v>
      </c>
      <c r="C612" t="s">
        <v>75</v>
      </c>
    </row>
    <row r="613" spans="1:3" x14ac:dyDescent="0.25">
      <c r="A613" s="10" t="s">
        <v>714</v>
      </c>
      <c r="B613" s="15">
        <v>0</v>
      </c>
      <c r="C613" t="s">
        <v>75</v>
      </c>
    </row>
    <row r="614" spans="1:3" x14ac:dyDescent="0.25">
      <c r="A614" s="10" t="s">
        <v>714</v>
      </c>
      <c r="B614" s="15">
        <v>0</v>
      </c>
      <c r="C614" t="s">
        <v>75</v>
      </c>
    </row>
    <row r="615" spans="1:3" x14ac:dyDescent="0.25">
      <c r="A615" s="10" t="s">
        <v>716</v>
      </c>
      <c r="B615" s="15">
        <v>0</v>
      </c>
      <c r="C615" t="s">
        <v>75</v>
      </c>
    </row>
    <row r="616" spans="1:3" x14ac:dyDescent="0.25">
      <c r="A616" s="10" t="s">
        <v>716</v>
      </c>
      <c r="B616" s="15">
        <v>0</v>
      </c>
      <c r="C616" t="s">
        <v>75</v>
      </c>
    </row>
    <row r="617" spans="1:3" x14ac:dyDescent="0.25">
      <c r="A617" s="10" t="s">
        <v>718</v>
      </c>
      <c r="B617" s="15">
        <v>0</v>
      </c>
      <c r="C617" t="s">
        <v>75</v>
      </c>
    </row>
    <row r="618" spans="1:3" x14ac:dyDescent="0.25">
      <c r="A618" s="10" t="s">
        <v>718</v>
      </c>
      <c r="B618" s="15">
        <v>0</v>
      </c>
      <c r="C618" t="s">
        <v>75</v>
      </c>
    </row>
    <row r="619" spans="1:3" x14ac:dyDescent="0.25">
      <c r="A619" s="10" t="s">
        <v>720</v>
      </c>
      <c r="B619" s="15">
        <v>0</v>
      </c>
      <c r="C619" t="s">
        <v>75</v>
      </c>
    </row>
    <row r="620" spans="1:3" x14ac:dyDescent="0.25">
      <c r="A620" s="10" t="s">
        <v>720</v>
      </c>
      <c r="B620" s="15">
        <v>0</v>
      </c>
      <c r="C620" t="s">
        <v>75</v>
      </c>
    </row>
    <row r="621" spans="1:3" x14ac:dyDescent="0.25">
      <c r="A621" s="10" t="s">
        <v>722</v>
      </c>
      <c r="B621" s="15">
        <v>0</v>
      </c>
      <c r="C621" t="s">
        <v>75</v>
      </c>
    </row>
    <row r="622" spans="1:3" x14ac:dyDescent="0.25">
      <c r="A622" s="10" t="s">
        <v>722</v>
      </c>
      <c r="B622" s="15">
        <v>0</v>
      </c>
      <c r="C622" t="s">
        <v>75</v>
      </c>
    </row>
    <row r="623" spans="1:3" x14ac:dyDescent="0.25">
      <c r="A623" s="10" t="s">
        <v>724</v>
      </c>
      <c r="B623" s="15">
        <v>0</v>
      </c>
      <c r="C623" t="s">
        <v>75</v>
      </c>
    </row>
    <row r="624" spans="1:3" x14ac:dyDescent="0.25">
      <c r="A624" s="10" t="s">
        <v>724</v>
      </c>
      <c r="B624" s="15">
        <v>0</v>
      </c>
      <c r="C624" t="s">
        <v>75</v>
      </c>
    </row>
    <row r="625" spans="1:3" x14ac:dyDescent="0.25">
      <c r="A625" s="10" t="s">
        <v>726</v>
      </c>
      <c r="B625" s="15">
        <v>0</v>
      </c>
      <c r="C625" t="s">
        <v>75</v>
      </c>
    </row>
    <row r="626" spans="1:3" x14ac:dyDescent="0.25">
      <c r="A626" s="10" t="s">
        <v>726</v>
      </c>
      <c r="B626" s="15">
        <v>0</v>
      </c>
      <c r="C626" t="s">
        <v>75</v>
      </c>
    </row>
    <row r="627" spans="1:3" x14ac:dyDescent="0.25">
      <c r="A627" s="10" t="s">
        <v>728</v>
      </c>
      <c r="B627" s="15">
        <v>0</v>
      </c>
      <c r="C627" t="s">
        <v>75</v>
      </c>
    </row>
    <row r="628" spans="1:3" x14ac:dyDescent="0.25">
      <c r="A628" s="10" t="s">
        <v>728</v>
      </c>
      <c r="B628" s="15">
        <v>0</v>
      </c>
      <c r="C628" t="s">
        <v>75</v>
      </c>
    </row>
    <row r="629" spans="1:3" x14ac:dyDescent="0.25">
      <c r="A629" s="10" t="s">
        <v>730</v>
      </c>
      <c r="B629" s="15">
        <v>0</v>
      </c>
      <c r="C629" t="s">
        <v>75</v>
      </c>
    </row>
    <row r="630" spans="1:3" x14ac:dyDescent="0.25">
      <c r="A630" s="10" t="s">
        <v>730</v>
      </c>
      <c r="B630" s="15">
        <v>0</v>
      </c>
      <c r="C630" t="s">
        <v>75</v>
      </c>
    </row>
    <row r="631" spans="1:3" x14ac:dyDescent="0.25">
      <c r="A631" s="10" t="s">
        <v>732</v>
      </c>
      <c r="B631" s="15">
        <v>0</v>
      </c>
      <c r="C631" t="s">
        <v>75</v>
      </c>
    </row>
    <row r="632" spans="1:3" x14ac:dyDescent="0.25">
      <c r="A632" s="10" t="s">
        <v>732</v>
      </c>
      <c r="B632" s="15">
        <v>0</v>
      </c>
      <c r="C632" t="s">
        <v>75</v>
      </c>
    </row>
    <row r="633" spans="1:3" x14ac:dyDescent="0.25">
      <c r="A633" s="10" t="s">
        <v>734</v>
      </c>
      <c r="B633" s="15">
        <v>0</v>
      </c>
      <c r="C633" t="s">
        <v>75</v>
      </c>
    </row>
    <row r="634" spans="1:3" x14ac:dyDescent="0.25">
      <c r="A634" s="10" t="s">
        <v>734</v>
      </c>
      <c r="B634" s="15">
        <v>0</v>
      </c>
      <c r="C634" t="s">
        <v>75</v>
      </c>
    </row>
    <row r="635" spans="1:3" x14ac:dyDescent="0.25">
      <c r="A635" s="10" t="s">
        <v>736</v>
      </c>
      <c r="B635" s="15">
        <v>0</v>
      </c>
      <c r="C635" t="s">
        <v>75</v>
      </c>
    </row>
    <row r="636" spans="1:3" x14ac:dyDescent="0.25">
      <c r="A636" s="10" t="s">
        <v>736</v>
      </c>
      <c r="B636" s="15">
        <v>0</v>
      </c>
      <c r="C636" t="s">
        <v>75</v>
      </c>
    </row>
    <row r="637" spans="1:3" x14ac:dyDescent="0.25">
      <c r="A637" s="10" t="s">
        <v>738</v>
      </c>
      <c r="B637" s="15">
        <v>0</v>
      </c>
      <c r="C637" t="s">
        <v>75</v>
      </c>
    </row>
    <row r="638" spans="1:3" x14ac:dyDescent="0.25">
      <c r="A638" s="10" t="s">
        <v>738</v>
      </c>
      <c r="B638" s="15">
        <v>0</v>
      </c>
      <c r="C638" t="s">
        <v>75</v>
      </c>
    </row>
    <row r="639" spans="1:3" x14ac:dyDescent="0.25">
      <c r="A639" s="10" t="s">
        <v>740</v>
      </c>
      <c r="B639" s="15">
        <v>0</v>
      </c>
      <c r="C639" t="s">
        <v>75</v>
      </c>
    </row>
    <row r="640" spans="1:3" x14ac:dyDescent="0.25">
      <c r="A640" s="10" t="s">
        <v>740</v>
      </c>
      <c r="B640" s="15">
        <v>0</v>
      </c>
      <c r="C640" t="s">
        <v>75</v>
      </c>
    </row>
    <row r="641" spans="1:3" x14ac:dyDescent="0.25">
      <c r="A641" s="10" t="s">
        <v>742</v>
      </c>
      <c r="B641" s="15">
        <v>0</v>
      </c>
      <c r="C641" t="s">
        <v>75</v>
      </c>
    </row>
    <row r="642" spans="1:3" x14ac:dyDescent="0.25">
      <c r="A642" s="10" t="s">
        <v>742</v>
      </c>
      <c r="B642" s="15">
        <v>0</v>
      </c>
      <c r="C642" t="s">
        <v>75</v>
      </c>
    </row>
    <row r="643" spans="1:3" x14ac:dyDescent="0.25">
      <c r="A643" s="10" t="s">
        <v>744</v>
      </c>
      <c r="B643" s="15">
        <v>0</v>
      </c>
      <c r="C643" t="s">
        <v>75</v>
      </c>
    </row>
    <row r="644" spans="1:3" x14ac:dyDescent="0.25">
      <c r="A644" s="10" t="s">
        <v>744</v>
      </c>
      <c r="B644" s="15">
        <v>0</v>
      </c>
      <c r="C644" t="s">
        <v>75</v>
      </c>
    </row>
    <row r="645" spans="1:3" x14ac:dyDescent="0.25">
      <c r="A645" s="10" t="s">
        <v>746</v>
      </c>
      <c r="B645" s="15">
        <v>0</v>
      </c>
      <c r="C645" t="s">
        <v>75</v>
      </c>
    </row>
    <row r="646" spans="1:3" x14ac:dyDescent="0.25">
      <c r="A646" s="10" t="s">
        <v>746</v>
      </c>
      <c r="B646" s="15">
        <v>0</v>
      </c>
      <c r="C646" t="s">
        <v>75</v>
      </c>
    </row>
    <row r="647" spans="1:3" x14ac:dyDescent="0.25">
      <c r="A647" s="10" t="s">
        <v>748</v>
      </c>
      <c r="B647" s="15">
        <v>0</v>
      </c>
      <c r="C647" t="s">
        <v>75</v>
      </c>
    </row>
    <row r="648" spans="1:3" x14ac:dyDescent="0.25">
      <c r="A648" s="10" t="s">
        <v>748</v>
      </c>
      <c r="B648" s="15">
        <v>0</v>
      </c>
      <c r="C648" t="s">
        <v>75</v>
      </c>
    </row>
    <row r="649" spans="1:3" x14ac:dyDescent="0.25">
      <c r="A649" s="10" t="s">
        <v>750</v>
      </c>
      <c r="B649" s="15">
        <v>0</v>
      </c>
      <c r="C649" t="s">
        <v>75</v>
      </c>
    </row>
    <row r="650" spans="1:3" x14ac:dyDescent="0.25">
      <c r="A650" s="10" t="s">
        <v>750</v>
      </c>
      <c r="B650" s="15">
        <v>0</v>
      </c>
      <c r="C650" t="s">
        <v>75</v>
      </c>
    </row>
    <row r="651" spans="1:3" x14ac:dyDescent="0.25">
      <c r="A651" s="10" t="s">
        <v>752</v>
      </c>
      <c r="B651" s="15">
        <v>0</v>
      </c>
      <c r="C651" t="s">
        <v>75</v>
      </c>
    </row>
    <row r="652" spans="1:3" x14ac:dyDescent="0.25">
      <c r="A652" s="10" t="s">
        <v>752</v>
      </c>
      <c r="B652" s="15">
        <v>0</v>
      </c>
      <c r="C652" t="s">
        <v>75</v>
      </c>
    </row>
    <row r="653" spans="1:3" x14ac:dyDescent="0.25">
      <c r="A653" s="10" t="s">
        <v>754</v>
      </c>
      <c r="B653" s="15">
        <v>0</v>
      </c>
      <c r="C653" t="s">
        <v>75</v>
      </c>
    </row>
    <row r="654" spans="1:3" x14ac:dyDescent="0.25">
      <c r="A654" s="10" t="s">
        <v>754</v>
      </c>
      <c r="B654" s="15">
        <v>0</v>
      </c>
      <c r="C654" t="s">
        <v>75</v>
      </c>
    </row>
    <row r="655" spans="1:3" x14ac:dyDescent="0.25">
      <c r="A655" s="10" t="s">
        <v>756</v>
      </c>
      <c r="B655" s="15">
        <v>0</v>
      </c>
      <c r="C655" t="s">
        <v>75</v>
      </c>
    </row>
    <row r="656" spans="1:3" x14ac:dyDescent="0.25">
      <c r="A656" s="10" t="s">
        <v>756</v>
      </c>
      <c r="B656" s="15">
        <v>0</v>
      </c>
      <c r="C656" t="s">
        <v>75</v>
      </c>
    </row>
    <row r="657" spans="1:3" x14ac:dyDescent="0.25">
      <c r="A657" s="10" t="s">
        <v>758</v>
      </c>
      <c r="B657" s="15">
        <v>0</v>
      </c>
      <c r="C657" t="s">
        <v>75</v>
      </c>
    </row>
    <row r="658" spans="1:3" x14ac:dyDescent="0.25">
      <c r="A658" s="10" t="s">
        <v>758</v>
      </c>
      <c r="B658" s="15">
        <v>0</v>
      </c>
      <c r="C658" t="s">
        <v>75</v>
      </c>
    </row>
    <row r="659" spans="1:3" x14ac:dyDescent="0.25">
      <c r="A659" s="10" t="s">
        <v>760</v>
      </c>
      <c r="B659" s="15">
        <v>0</v>
      </c>
      <c r="C659" t="s">
        <v>75</v>
      </c>
    </row>
    <row r="660" spans="1:3" x14ac:dyDescent="0.25">
      <c r="A660" s="10" t="s">
        <v>760</v>
      </c>
      <c r="B660" s="15">
        <v>0</v>
      </c>
      <c r="C660" t="s">
        <v>75</v>
      </c>
    </row>
    <row r="661" spans="1:3" x14ac:dyDescent="0.25">
      <c r="A661" s="10" t="s">
        <v>762</v>
      </c>
      <c r="B661" s="15">
        <v>0</v>
      </c>
      <c r="C661" t="s">
        <v>75</v>
      </c>
    </row>
    <row r="662" spans="1:3" x14ac:dyDescent="0.25">
      <c r="A662" s="10" t="s">
        <v>762</v>
      </c>
      <c r="B662" s="15">
        <v>0</v>
      </c>
      <c r="C662" t="s">
        <v>75</v>
      </c>
    </row>
    <row r="663" spans="1:3" x14ac:dyDescent="0.25">
      <c r="A663" s="10" t="s">
        <v>764</v>
      </c>
      <c r="B663" s="15">
        <v>0</v>
      </c>
      <c r="C663" t="s">
        <v>75</v>
      </c>
    </row>
    <row r="664" spans="1:3" x14ac:dyDescent="0.25">
      <c r="A664" s="10" t="s">
        <v>764</v>
      </c>
      <c r="B664" s="15">
        <v>0</v>
      </c>
      <c r="C664" t="s">
        <v>75</v>
      </c>
    </row>
    <row r="665" spans="1:3" x14ac:dyDescent="0.25">
      <c r="A665" s="10" t="s">
        <v>766</v>
      </c>
      <c r="B665" s="15">
        <v>0</v>
      </c>
      <c r="C665" t="s">
        <v>75</v>
      </c>
    </row>
    <row r="666" spans="1:3" x14ac:dyDescent="0.25">
      <c r="A666" s="10" t="s">
        <v>766</v>
      </c>
      <c r="B666" s="15">
        <v>0</v>
      </c>
      <c r="C666" t="s">
        <v>75</v>
      </c>
    </row>
    <row r="667" spans="1:3" x14ac:dyDescent="0.25">
      <c r="A667" s="10" t="s">
        <v>768</v>
      </c>
      <c r="B667" s="15">
        <v>0</v>
      </c>
      <c r="C667" t="s">
        <v>75</v>
      </c>
    </row>
    <row r="668" spans="1:3" x14ac:dyDescent="0.25">
      <c r="A668" s="10" t="s">
        <v>768</v>
      </c>
      <c r="B668" s="15">
        <v>0</v>
      </c>
      <c r="C668" t="s">
        <v>75</v>
      </c>
    </row>
    <row r="669" spans="1:3" x14ac:dyDescent="0.25">
      <c r="A669" s="10" t="s">
        <v>770</v>
      </c>
      <c r="B669" s="15">
        <v>0</v>
      </c>
      <c r="C669" t="s">
        <v>75</v>
      </c>
    </row>
    <row r="670" spans="1:3" x14ac:dyDescent="0.25">
      <c r="A670" s="10" t="s">
        <v>770</v>
      </c>
      <c r="B670" s="15">
        <v>0</v>
      </c>
      <c r="C670" t="s">
        <v>75</v>
      </c>
    </row>
    <row r="671" spans="1:3" x14ac:dyDescent="0.25">
      <c r="A671" s="10" t="s">
        <v>772</v>
      </c>
      <c r="B671" s="15">
        <v>0</v>
      </c>
      <c r="C671" t="s">
        <v>75</v>
      </c>
    </row>
    <row r="672" spans="1:3" x14ac:dyDescent="0.25">
      <c r="A672" s="10" t="s">
        <v>772</v>
      </c>
      <c r="B672" s="15">
        <v>0</v>
      </c>
      <c r="C672" t="s">
        <v>75</v>
      </c>
    </row>
    <row r="673" spans="1:3" x14ac:dyDescent="0.25">
      <c r="A673" s="10" t="s">
        <v>774</v>
      </c>
      <c r="B673" s="15">
        <v>0</v>
      </c>
      <c r="C673" t="s">
        <v>75</v>
      </c>
    </row>
    <row r="674" spans="1:3" x14ac:dyDescent="0.25">
      <c r="A674" s="10" t="s">
        <v>774</v>
      </c>
      <c r="B674" s="15">
        <v>0</v>
      </c>
      <c r="C674" t="s">
        <v>75</v>
      </c>
    </row>
    <row r="675" spans="1:3" x14ac:dyDescent="0.25">
      <c r="A675" s="10" t="s">
        <v>776</v>
      </c>
      <c r="B675" s="15">
        <v>0</v>
      </c>
      <c r="C675" t="s">
        <v>75</v>
      </c>
    </row>
    <row r="676" spans="1:3" x14ac:dyDescent="0.25">
      <c r="A676" s="10" t="s">
        <v>776</v>
      </c>
      <c r="B676" s="15">
        <v>0</v>
      </c>
      <c r="C676" t="s">
        <v>75</v>
      </c>
    </row>
    <row r="677" spans="1:3" x14ac:dyDescent="0.25">
      <c r="A677" s="10" t="s">
        <v>778</v>
      </c>
      <c r="B677" s="15">
        <v>0</v>
      </c>
      <c r="C677" t="s">
        <v>75</v>
      </c>
    </row>
    <row r="678" spans="1:3" x14ac:dyDescent="0.25">
      <c r="A678" s="10" t="s">
        <v>778</v>
      </c>
      <c r="B678" s="15">
        <v>0</v>
      </c>
      <c r="C678" t="s">
        <v>75</v>
      </c>
    </row>
    <row r="679" spans="1:3" x14ac:dyDescent="0.25">
      <c r="A679" s="10" t="s">
        <v>780</v>
      </c>
      <c r="B679" s="15">
        <v>0</v>
      </c>
      <c r="C679" t="s">
        <v>75</v>
      </c>
    </row>
    <row r="680" spans="1:3" x14ac:dyDescent="0.25">
      <c r="A680" s="10" t="s">
        <v>780</v>
      </c>
      <c r="B680" s="15">
        <v>0</v>
      </c>
      <c r="C680" t="s">
        <v>75</v>
      </c>
    </row>
    <row r="681" spans="1:3" x14ac:dyDescent="0.25">
      <c r="A681" s="10" t="s">
        <v>782</v>
      </c>
      <c r="B681" s="15">
        <v>0</v>
      </c>
      <c r="C681" t="s">
        <v>75</v>
      </c>
    </row>
    <row r="682" spans="1:3" x14ac:dyDescent="0.25">
      <c r="A682" s="10" t="s">
        <v>782</v>
      </c>
      <c r="B682" s="15">
        <v>0</v>
      </c>
      <c r="C682" t="s">
        <v>75</v>
      </c>
    </row>
    <row r="683" spans="1:3" x14ac:dyDescent="0.25">
      <c r="A683" s="10" t="s">
        <v>784</v>
      </c>
      <c r="B683" s="15">
        <v>0</v>
      </c>
      <c r="C683" t="s">
        <v>75</v>
      </c>
    </row>
    <row r="684" spans="1:3" x14ac:dyDescent="0.25">
      <c r="A684" s="10" t="s">
        <v>784</v>
      </c>
      <c r="B684" s="15">
        <v>0</v>
      </c>
      <c r="C684" t="s">
        <v>75</v>
      </c>
    </row>
    <row r="685" spans="1:3" x14ac:dyDescent="0.25">
      <c r="A685" s="10" t="s">
        <v>786</v>
      </c>
      <c r="B685" s="15">
        <v>0</v>
      </c>
      <c r="C685" t="s">
        <v>75</v>
      </c>
    </row>
    <row r="686" spans="1:3" x14ac:dyDescent="0.25">
      <c r="A686" s="10" t="s">
        <v>786</v>
      </c>
      <c r="B686" s="15">
        <v>0</v>
      </c>
      <c r="C686" t="s">
        <v>75</v>
      </c>
    </row>
    <row r="687" spans="1:3" x14ac:dyDescent="0.25">
      <c r="A687" s="10" t="s">
        <v>788</v>
      </c>
      <c r="B687" s="15">
        <v>0</v>
      </c>
      <c r="C687" t="s">
        <v>75</v>
      </c>
    </row>
    <row r="688" spans="1:3" x14ac:dyDescent="0.25">
      <c r="A688" s="10" t="s">
        <v>788</v>
      </c>
      <c r="B688" s="15">
        <v>0</v>
      </c>
      <c r="C688" t="s">
        <v>75</v>
      </c>
    </row>
    <row r="689" spans="1:3" x14ac:dyDescent="0.25">
      <c r="A689" s="10" t="s">
        <v>790</v>
      </c>
      <c r="B689" s="15">
        <v>0</v>
      </c>
      <c r="C689" t="s">
        <v>75</v>
      </c>
    </row>
    <row r="690" spans="1:3" x14ac:dyDescent="0.25">
      <c r="A690" s="10" t="s">
        <v>790</v>
      </c>
      <c r="B690" s="15">
        <v>0</v>
      </c>
      <c r="C690" t="s">
        <v>75</v>
      </c>
    </row>
    <row r="691" spans="1:3" x14ac:dyDescent="0.25">
      <c r="A691" s="10" t="s">
        <v>792</v>
      </c>
      <c r="B691" s="15">
        <v>0</v>
      </c>
      <c r="C691" t="s">
        <v>75</v>
      </c>
    </row>
    <row r="692" spans="1:3" x14ac:dyDescent="0.25">
      <c r="A692" s="10" t="s">
        <v>792</v>
      </c>
      <c r="B692" s="15">
        <v>0</v>
      </c>
      <c r="C692" t="s">
        <v>75</v>
      </c>
    </row>
    <row r="693" spans="1:3" x14ac:dyDescent="0.25">
      <c r="A693" s="10" t="s">
        <v>794</v>
      </c>
      <c r="B693" s="15">
        <v>0</v>
      </c>
      <c r="C693" t="s">
        <v>75</v>
      </c>
    </row>
    <row r="694" spans="1:3" x14ac:dyDescent="0.25">
      <c r="A694" s="10" t="s">
        <v>794</v>
      </c>
      <c r="B694" s="15">
        <v>0</v>
      </c>
      <c r="C694" t="s">
        <v>75</v>
      </c>
    </row>
    <row r="695" spans="1:3" x14ac:dyDescent="0.25">
      <c r="A695" s="10" t="s">
        <v>796</v>
      </c>
      <c r="B695" s="15">
        <v>0</v>
      </c>
      <c r="C695" t="s">
        <v>75</v>
      </c>
    </row>
    <row r="696" spans="1:3" x14ac:dyDescent="0.25">
      <c r="A696" s="10" t="s">
        <v>796</v>
      </c>
      <c r="B696" s="15">
        <v>0</v>
      </c>
      <c r="C696" t="s">
        <v>75</v>
      </c>
    </row>
    <row r="697" spans="1:3" x14ac:dyDescent="0.25">
      <c r="A697" s="10" t="s">
        <v>798</v>
      </c>
      <c r="B697" s="15">
        <v>0</v>
      </c>
      <c r="C697" t="s">
        <v>75</v>
      </c>
    </row>
    <row r="698" spans="1:3" x14ac:dyDescent="0.25">
      <c r="A698" s="10" t="s">
        <v>798</v>
      </c>
      <c r="B698" s="15">
        <v>0</v>
      </c>
      <c r="C698" t="s">
        <v>75</v>
      </c>
    </row>
    <row r="699" spans="1:3" x14ac:dyDescent="0.25">
      <c r="A699" s="10" t="s">
        <v>800</v>
      </c>
      <c r="B699" s="15">
        <v>0</v>
      </c>
      <c r="C699" t="s">
        <v>75</v>
      </c>
    </row>
    <row r="700" spans="1:3" x14ac:dyDescent="0.25">
      <c r="A700" s="10" t="s">
        <v>800</v>
      </c>
      <c r="B700" s="15">
        <v>0</v>
      </c>
      <c r="C700" t="s">
        <v>75</v>
      </c>
    </row>
    <row r="701" spans="1:3" x14ac:dyDescent="0.25">
      <c r="A701" s="10" t="s">
        <v>802</v>
      </c>
      <c r="B701" s="15">
        <v>0</v>
      </c>
      <c r="C701" t="s">
        <v>75</v>
      </c>
    </row>
    <row r="702" spans="1:3" x14ac:dyDescent="0.25">
      <c r="A702" s="10" t="s">
        <v>802</v>
      </c>
      <c r="B702" s="15">
        <v>0</v>
      </c>
      <c r="C702" t="s">
        <v>75</v>
      </c>
    </row>
    <row r="703" spans="1:3" x14ac:dyDescent="0.25">
      <c r="A703" s="10" t="s">
        <v>804</v>
      </c>
      <c r="B703" s="15">
        <v>0</v>
      </c>
      <c r="C703" t="s">
        <v>75</v>
      </c>
    </row>
    <row r="704" spans="1:3" x14ac:dyDescent="0.25">
      <c r="A704" s="10" t="s">
        <v>804</v>
      </c>
      <c r="B704" s="15">
        <v>0</v>
      </c>
      <c r="C704" t="s">
        <v>75</v>
      </c>
    </row>
    <row r="705" spans="1:3" x14ac:dyDescent="0.25">
      <c r="A705" s="10" t="s">
        <v>806</v>
      </c>
      <c r="B705" s="15">
        <v>0</v>
      </c>
      <c r="C705" t="s">
        <v>75</v>
      </c>
    </row>
    <row r="706" spans="1:3" x14ac:dyDescent="0.25">
      <c r="A706" s="10" t="s">
        <v>806</v>
      </c>
      <c r="B706" s="15">
        <v>0</v>
      </c>
      <c r="C706" t="s">
        <v>75</v>
      </c>
    </row>
    <row r="707" spans="1:3" x14ac:dyDescent="0.25">
      <c r="A707" s="10" t="s">
        <v>808</v>
      </c>
      <c r="B707" s="15">
        <v>0</v>
      </c>
      <c r="C707" t="s">
        <v>75</v>
      </c>
    </row>
    <row r="708" spans="1:3" x14ac:dyDescent="0.25">
      <c r="A708" s="10" t="s">
        <v>808</v>
      </c>
      <c r="B708" s="15">
        <v>0</v>
      </c>
      <c r="C708" t="s">
        <v>75</v>
      </c>
    </row>
    <row r="709" spans="1:3" x14ac:dyDescent="0.25">
      <c r="A709" s="10" t="s">
        <v>810</v>
      </c>
      <c r="B709" s="15">
        <v>0</v>
      </c>
      <c r="C709" t="s">
        <v>75</v>
      </c>
    </row>
    <row r="710" spans="1:3" x14ac:dyDescent="0.25">
      <c r="A710" s="10" t="s">
        <v>810</v>
      </c>
      <c r="B710" s="15">
        <v>0</v>
      </c>
      <c r="C710" t="s">
        <v>75</v>
      </c>
    </row>
    <row r="711" spans="1:3" x14ac:dyDescent="0.25">
      <c r="A711" s="10" t="s">
        <v>812</v>
      </c>
      <c r="B711" s="15">
        <v>0</v>
      </c>
      <c r="C711" t="s">
        <v>75</v>
      </c>
    </row>
    <row r="712" spans="1:3" x14ac:dyDescent="0.25">
      <c r="A712" s="10" t="s">
        <v>812</v>
      </c>
      <c r="B712" s="15">
        <v>0</v>
      </c>
      <c r="C712" t="s">
        <v>75</v>
      </c>
    </row>
    <row r="713" spans="1:3" x14ac:dyDescent="0.25">
      <c r="A713" s="10" t="s">
        <v>814</v>
      </c>
      <c r="B713" s="15">
        <v>0</v>
      </c>
      <c r="C713" t="s">
        <v>75</v>
      </c>
    </row>
    <row r="714" spans="1:3" x14ac:dyDescent="0.25">
      <c r="A714" s="10" t="s">
        <v>814</v>
      </c>
      <c r="B714" s="15">
        <v>0</v>
      </c>
      <c r="C714" t="s">
        <v>75</v>
      </c>
    </row>
    <row r="715" spans="1:3" x14ac:dyDescent="0.25">
      <c r="A715" s="10" t="s">
        <v>816</v>
      </c>
      <c r="B715" s="15">
        <v>0</v>
      </c>
      <c r="C715" t="s">
        <v>75</v>
      </c>
    </row>
    <row r="716" spans="1:3" x14ac:dyDescent="0.25">
      <c r="A716" s="10" t="s">
        <v>816</v>
      </c>
      <c r="B716" s="15">
        <v>0</v>
      </c>
      <c r="C716" t="s">
        <v>75</v>
      </c>
    </row>
    <row r="717" spans="1:3" x14ac:dyDescent="0.25">
      <c r="A717" s="10" t="s">
        <v>818</v>
      </c>
      <c r="B717" s="15">
        <v>0</v>
      </c>
      <c r="C717" t="s">
        <v>75</v>
      </c>
    </row>
    <row r="718" spans="1:3" x14ac:dyDescent="0.25">
      <c r="A718" s="10" t="s">
        <v>818</v>
      </c>
      <c r="B718" s="15">
        <v>0</v>
      </c>
      <c r="C718" t="s">
        <v>75</v>
      </c>
    </row>
    <row r="719" spans="1:3" x14ac:dyDescent="0.25">
      <c r="A719" s="10" t="s">
        <v>820</v>
      </c>
      <c r="B719" s="15">
        <v>0</v>
      </c>
      <c r="C719" t="s">
        <v>75</v>
      </c>
    </row>
    <row r="720" spans="1:3" x14ac:dyDescent="0.25">
      <c r="A720" s="10" t="s">
        <v>820</v>
      </c>
      <c r="B720" s="15">
        <v>0</v>
      </c>
      <c r="C720" t="s">
        <v>75</v>
      </c>
    </row>
    <row r="721" spans="1:3" x14ac:dyDescent="0.25">
      <c r="A721" s="10" t="s">
        <v>822</v>
      </c>
      <c r="B721" s="15">
        <v>0</v>
      </c>
      <c r="C721" t="s">
        <v>75</v>
      </c>
    </row>
    <row r="722" spans="1:3" x14ac:dyDescent="0.25">
      <c r="A722" s="10" t="s">
        <v>822</v>
      </c>
      <c r="B722" s="15">
        <v>0</v>
      </c>
      <c r="C722" t="s">
        <v>75</v>
      </c>
    </row>
    <row r="723" spans="1:3" x14ac:dyDescent="0.25">
      <c r="A723" s="10" t="s">
        <v>824</v>
      </c>
      <c r="B723" s="15">
        <v>0</v>
      </c>
      <c r="C723" t="s">
        <v>75</v>
      </c>
    </row>
    <row r="724" spans="1:3" x14ac:dyDescent="0.25">
      <c r="A724" s="10" t="s">
        <v>824</v>
      </c>
      <c r="B724" s="15">
        <v>0</v>
      </c>
      <c r="C724" t="s">
        <v>75</v>
      </c>
    </row>
    <row r="725" spans="1:3" x14ac:dyDescent="0.25">
      <c r="A725" s="10" t="s">
        <v>826</v>
      </c>
      <c r="B725" s="15">
        <v>0</v>
      </c>
      <c r="C725" t="s">
        <v>75</v>
      </c>
    </row>
    <row r="726" spans="1:3" x14ac:dyDescent="0.25">
      <c r="A726" s="10" t="s">
        <v>826</v>
      </c>
      <c r="B726" s="15">
        <v>0</v>
      </c>
      <c r="C726" t="s">
        <v>75</v>
      </c>
    </row>
    <row r="727" spans="1:3" x14ac:dyDescent="0.25">
      <c r="A727" s="10" t="s">
        <v>828</v>
      </c>
      <c r="B727" s="15">
        <v>0</v>
      </c>
      <c r="C727" t="s">
        <v>75</v>
      </c>
    </row>
    <row r="728" spans="1:3" x14ac:dyDescent="0.25">
      <c r="A728" s="10" t="s">
        <v>828</v>
      </c>
      <c r="B728" s="15">
        <v>0</v>
      </c>
      <c r="C728" t="s">
        <v>75</v>
      </c>
    </row>
    <row r="729" spans="1:3" x14ac:dyDescent="0.25">
      <c r="A729" s="10" t="s">
        <v>830</v>
      </c>
      <c r="B729" s="15">
        <v>0</v>
      </c>
      <c r="C729" t="s">
        <v>75</v>
      </c>
    </row>
    <row r="730" spans="1:3" x14ac:dyDescent="0.25">
      <c r="A730" s="10" t="s">
        <v>830</v>
      </c>
      <c r="B730" s="15">
        <v>0</v>
      </c>
      <c r="C730" t="s">
        <v>75</v>
      </c>
    </row>
    <row r="731" spans="1:3" x14ac:dyDescent="0.25">
      <c r="A731" s="10" t="s">
        <v>832</v>
      </c>
      <c r="B731" s="15">
        <v>0</v>
      </c>
      <c r="C731" t="s">
        <v>75</v>
      </c>
    </row>
    <row r="732" spans="1:3" x14ac:dyDescent="0.25">
      <c r="A732" s="10" t="s">
        <v>832</v>
      </c>
      <c r="B732" s="15">
        <v>0</v>
      </c>
      <c r="C732" t="s">
        <v>75</v>
      </c>
    </row>
    <row r="733" spans="1:3" x14ac:dyDescent="0.25">
      <c r="A733" s="10" t="s">
        <v>834</v>
      </c>
      <c r="B733" s="15">
        <v>0</v>
      </c>
      <c r="C733" t="s">
        <v>75</v>
      </c>
    </row>
    <row r="734" spans="1:3" x14ac:dyDescent="0.25">
      <c r="A734" s="10" t="s">
        <v>834</v>
      </c>
      <c r="B734" s="15">
        <v>0</v>
      </c>
      <c r="C734" t="s">
        <v>75</v>
      </c>
    </row>
    <row r="735" spans="1:3" x14ac:dyDescent="0.25">
      <c r="A735" s="10" t="s">
        <v>836</v>
      </c>
      <c r="B735" s="15">
        <v>0</v>
      </c>
      <c r="C735" t="s">
        <v>75</v>
      </c>
    </row>
    <row r="736" spans="1:3" x14ac:dyDescent="0.25">
      <c r="A736" s="10" t="s">
        <v>836</v>
      </c>
      <c r="B736" s="15">
        <v>0</v>
      </c>
      <c r="C736" t="s">
        <v>75</v>
      </c>
    </row>
    <row r="737" spans="1:3" x14ac:dyDescent="0.25">
      <c r="A737" s="10" t="s">
        <v>838</v>
      </c>
      <c r="B737" s="15">
        <v>0</v>
      </c>
      <c r="C737" t="s">
        <v>75</v>
      </c>
    </row>
    <row r="738" spans="1:3" x14ac:dyDescent="0.25">
      <c r="A738" s="10" t="s">
        <v>838</v>
      </c>
      <c r="B738" s="15">
        <v>0</v>
      </c>
      <c r="C738" t="s">
        <v>75</v>
      </c>
    </row>
    <row r="739" spans="1:3" x14ac:dyDescent="0.25">
      <c r="A739" s="10" t="s">
        <v>840</v>
      </c>
      <c r="B739" s="15">
        <v>0</v>
      </c>
      <c r="C739" t="s">
        <v>75</v>
      </c>
    </row>
    <row r="740" spans="1:3" x14ac:dyDescent="0.25">
      <c r="A740" s="10" t="s">
        <v>840</v>
      </c>
      <c r="B740" s="15">
        <v>0</v>
      </c>
      <c r="C740" t="s">
        <v>75</v>
      </c>
    </row>
    <row r="741" spans="1:3" x14ac:dyDescent="0.25">
      <c r="A741" s="10" t="s">
        <v>842</v>
      </c>
      <c r="B741" s="15">
        <v>0</v>
      </c>
      <c r="C741" t="s">
        <v>75</v>
      </c>
    </row>
    <row r="742" spans="1:3" x14ac:dyDescent="0.25">
      <c r="A742" s="10" t="s">
        <v>842</v>
      </c>
      <c r="B742" s="15">
        <v>0</v>
      </c>
      <c r="C742" t="s">
        <v>75</v>
      </c>
    </row>
    <row r="743" spans="1:3" x14ac:dyDescent="0.25">
      <c r="A743" s="10" t="s">
        <v>844</v>
      </c>
      <c r="B743" s="15">
        <v>0</v>
      </c>
      <c r="C743" t="s">
        <v>75</v>
      </c>
    </row>
    <row r="744" spans="1:3" x14ac:dyDescent="0.25">
      <c r="A744" s="10" t="s">
        <v>844</v>
      </c>
      <c r="B744" s="15">
        <v>0</v>
      </c>
      <c r="C744" t="s">
        <v>75</v>
      </c>
    </row>
    <row r="745" spans="1:3" x14ac:dyDescent="0.25">
      <c r="A745" s="10" t="s">
        <v>846</v>
      </c>
      <c r="B745" s="15">
        <v>0</v>
      </c>
      <c r="C745" t="s">
        <v>75</v>
      </c>
    </row>
    <row r="746" spans="1:3" x14ac:dyDescent="0.25">
      <c r="A746" s="10" t="s">
        <v>846</v>
      </c>
      <c r="B746" s="15">
        <v>0</v>
      </c>
      <c r="C746" t="s">
        <v>75</v>
      </c>
    </row>
    <row r="747" spans="1:3" x14ac:dyDescent="0.25">
      <c r="A747" s="10" t="s">
        <v>848</v>
      </c>
      <c r="B747" s="15">
        <v>0</v>
      </c>
      <c r="C747" t="s">
        <v>75</v>
      </c>
    </row>
    <row r="748" spans="1:3" x14ac:dyDescent="0.25">
      <c r="A748" s="10" t="s">
        <v>848</v>
      </c>
      <c r="B748" s="15">
        <v>0</v>
      </c>
      <c r="C748" t="s">
        <v>75</v>
      </c>
    </row>
    <row r="749" spans="1:3" x14ac:dyDescent="0.25">
      <c r="A749" s="10" t="s">
        <v>850</v>
      </c>
      <c r="B749" s="15">
        <v>0</v>
      </c>
      <c r="C749" t="s">
        <v>75</v>
      </c>
    </row>
    <row r="750" spans="1:3" x14ac:dyDescent="0.25">
      <c r="A750" s="10" t="s">
        <v>850</v>
      </c>
      <c r="B750" s="15">
        <v>0</v>
      </c>
      <c r="C750" t="s">
        <v>75</v>
      </c>
    </row>
    <row r="751" spans="1:3" x14ac:dyDescent="0.25">
      <c r="A751" s="10" t="s">
        <v>852</v>
      </c>
      <c r="B751" s="15">
        <v>0</v>
      </c>
      <c r="C751" t="s">
        <v>75</v>
      </c>
    </row>
    <row r="752" spans="1:3" x14ac:dyDescent="0.25">
      <c r="A752" s="10" t="s">
        <v>852</v>
      </c>
      <c r="B752" s="15">
        <v>0</v>
      </c>
      <c r="C752" t="s">
        <v>75</v>
      </c>
    </row>
    <row r="753" spans="1:3" x14ac:dyDescent="0.25">
      <c r="A753" s="10" t="s">
        <v>854</v>
      </c>
      <c r="B753" s="15">
        <v>0</v>
      </c>
      <c r="C753" t="s">
        <v>75</v>
      </c>
    </row>
    <row r="754" spans="1:3" x14ac:dyDescent="0.25">
      <c r="A754" s="10" t="s">
        <v>854</v>
      </c>
      <c r="B754" s="15">
        <v>0</v>
      </c>
      <c r="C754" t="s">
        <v>75</v>
      </c>
    </row>
    <row r="755" spans="1:3" x14ac:dyDescent="0.25">
      <c r="A755" s="10" t="s">
        <v>856</v>
      </c>
      <c r="B755" s="15">
        <v>0</v>
      </c>
      <c r="C755" t="s">
        <v>75</v>
      </c>
    </row>
    <row r="756" spans="1:3" x14ac:dyDescent="0.25">
      <c r="A756" s="10" t="s">
        <v>856</v>
      </c>
      <c r="B756" s="15">
        <v>0</v>
      </c>
      <c r="C756" t="s">
        <v>75</v>
      </c>
    </row>
    <row r="757" spans="1:3" x14ac:dyDescent="0.25">
      <c r="A757" s="10" t="s">
        <v>858</v>
      </c>
      <c r="B757" s="15">
        <v>0</v>
      </c>
      <c r="C757" t="s">
        <v>75</v>
      </c>
    </row>
    <row r="758" spans="1:3" x14ac:dyDescent="0.25">
      <c r="A758" s="10" t="s">
        <v>858</v>
      </c>
      <c r="B758" s="15">
        <v>0</v>
      </c>
      <c r="C758" t="s">
        <v>75</v>
      </c>
    </row>
    <row r="759" spans="1:3" x14ac:dyDescent="0.25">
      <c r="A759" s="10" t="s">
        <v>860</v>
      </c>
      <c r="B759" s="15">
        <v>0</v>
      </c>
      <c r="C759" t="s">
        <v>75</v>
      </c>
    </row>
    <row r="760" spans="1:3" x14ac:dyDescent="0.25">
      <c r="A760" s="10" t="s">
        <v>860</v>
      </c>
      <c r="B760" s="15">
        <v>0</v>
      </c>
      <c r="C760" t="s">
        <v>75</v>
      </c>
    </row>
    <row r="761" spans="1:3" x14ac:dyDescent="0.25">
      <c r="A761" s="10" t="s">
        <v>862</v>
      </c>
      <c r="B761" s="15">
        <v>0</v>
      </c>
      <c r="C761" t="s">
        <v>75</v>
      </c>
    </row>
    <row r="762" spans="1:3" x14ac:dyDescent="0.25">
      <c r="A762" s="10" t="s">
        <v>862</v>
      </c>
      <c r="B762" s="15">
        <v>0</v>
      </c>
      <c r="C762" t="s">
        <v>75</v>
      </c>
    </row>
    <row r="763" spans="1:3" x14ac:dyDescent="0.25">
      <c r="A763" s="10" t="s">
        <v>864</v>
      </c>
      <c r="B763" s="15">
        <v>0</v>
      </c>
      <c r="C763" t="s">
        <v>75</v>
      </c>
    </row>
    <row r="764" spans="1:3" x14ac:dyDescent="0.25">
      <c r="A764" s="10" t="s">
        <v>864</v>
      </c>
      <c r="B764" s="15">
        <v>0</v>
      </c>
      <c r="C764" t="s">
        <v>75</v>
      </c>
    </row>
    <row r="765" spans="1:3" x14ac:dyDescent="0.25">
      <c r="A765" s="10" t="s">
        <v>866</v>
      </c>
      <c r="B765" s="15">
        <v>0</v>
      </c>
      <c r="C765" t="s">
        <v>75</v>
      </c>
    </row>
    <row r="766" spans="1:3" x14ac:dyDescent="0.25">
      <c r="A766" s="10" t="s">
        <v>866</v>
      </c>
      <c r="B766" s="15">
        <v>0</v>
      </c>
      <c r="C766" t="s">
        <v>75</v>
      </c>
    </row>
    <row r="767" spans="1:3" x14ac:dyDescent="0.25">
      <c r="A767" s="10" t="s">
        <v>868</v>
      </c>
      <c r="B767" s="15">
        <v>0</v>
      </c>
      <c r="C767" t="s">
        <v>75</v>
      </c>
    </row>
    <row r="768" spans="1:3" x14ac:dyDescent="0.25">
      <c r="A768" s="10" t="s">
        <v>868</v>
      </c>
      <c r="B768" s="15">
        <v>0</v>
      </c>
      <c r="C768" t="s">
        <v>75</v>
      </c>
    </row>
    <row r="769" spans="1:3" x14ac:dyDescent="0.25">
      <c r="A769" s="10" t="s">
        <v>870</v>
      </c>
      <c r="B769" s="15">
        <v>0</v>
      </c>
      <c r="C769" t="s">
        <v>75</v>
      </c>
    </row>
    <row r="770" spans="1:3" x14ac:dyDescent="0.25">
      <c r="A770" s="10" t="s">
        <v>870</v>
      </c>
      <c r="B770" s="15">
        <v>0</v>
      </c>
      <c r="C770" t="s">
        <v>75</v>
      </c>
    </row>
    <row r="771" spans="1:3" x14ac:dyDescent="0.25">
      <c r="A771" s="10" t="s">
        <v>872</v>
      </c>
      <c r="B771" s="15">
        <v>0</v>
      </c>
      <c r="C771" t="s">
        <v>75</v>
      </c>
    </row>
    <row r="772" spans="1:3" x14ac:dyDescent="0.25">
      <c r="A772" s="10" t="s">
        <v>872</v>
      </c>
      <c r="B772" s="15">
        <v>0</v>
      </c>
      <c r="C772" t="s">
        <v>75</v>
      </c>
    </row>
    <row r="773" spans="1:3" x14ac:dyDescent="0.25">
      <c r="A773" s="10" t="s">
        <v>874</v>
      </c>
      <c r="B773" s="15">
        <v>0</v>
      </c>
      <c r="C773" t="s">
        <v>75</v>
      </c>
    </row>
    <row r="774" spans="1:3" x14ac:dyDescent="0.25">
      <c r="A774" s="10" t="s">
        <v>874</v>
      </c>
      <c r="B774" s="15">
        <v>0</v>
      </c>
      <c r="C774" t="s">
        <v>75</v>
      </c>
    </row>
    <row r="775" spans="1:3" x14ac:dyDescent="0.25">
      <c r="A775" s="10" t="s">
        <v>876</v>
      </c>
      <c r="B775" s="15">
        <v>0</v>
      </c>
      <c r="C775" t="s">
        <v>75</v>
      </c>
    </row>
    <row r="776" spans="1:3" x14ac:dyDescent="0.25">
      <c r="A776" s="10" t="s">
        <v>876</v>
      </c>
      <c r="B776" s="15">
        <v>0</v>
      </c>
      <c r="C776" t="s">
        <v>75</v>
      </c>
    </row>
    <row r="777" spans="1:3" x14ac:dyDescent="0.25">
      <c r="A777" s="10" t="s">
        <v>878</v>
      </c>
      <c r="B777" s="15">
        <v>0</v>
      </c>
      <c r="C777" t="s">
        <v>75</v>
      </c>
    </row>
    <row r="778" spans="1:3" x14ac:dyDescent="0.25">
      <c r="A778" s="10" t="s">
        <v>878</v>
      </c>
      <c r="B778" s="15">
        <v>0</v>
      </c>
      <c r="C778" t="s">
        <v>75</v>
      </c>
    </row>
    <row r="779" spans="1:3" x14ac:dyDescent="0.25">
      <c r="A779" s="10" t="s">
        <v>880</v>
      </c>
      <c r="B779" s="15">
        <v>0</v>
      </c>
      <c r="C779" t="s">
        <v>75</v>
      </c>
    </row>
    <row r="780" spans="1:3" x14ac:dyDescent="0.25">
      <c r="A780" s="10" t="s">
        <v>880</v>
      </c>
      <c r="B780" s="15">
        <v>0</v>
      </c>
      <c r="C780" t="s">
        <v>75</v>
      </c>
    </row>
    <row r="781" spans="1:3" x14ac:dyDescent="0.25">
      <c r="A781" s="10" t="s">
        <v>885</v>
      </c>
      <c r="B781" s="15">
        <v>0</v>
      </c>
      <c r="C781" t="s">
        <v>75</v>
      </c>
    </row>
    <row r="782" spans="1:3" x14ac:dyDescent="0.25">
      <c r="A782" s="10" t="s">
        <v>885</v>
      </c>
      <c r="B782" s="15">
        <v>0</v>
      </c>
      <c r="C782" t="s">
        <v>75</v>
      </c>
    </row>
    <row r="783" spans="1:3" x14ac:dyDescent="0.25">
      <c r="A783" s="10" t="s">
        <v>887</v>
      </c>
      <c r="B783" s="15">
        <v>0</v>
      </c>
      <c r="C783" t="s">
        <v>75</v>
      </c>
    </row>
    <row r="784" spans="1:3" x14ac:dyDescent="0.25">
      <c r="A784" s="10" t="s">
        <v>887</v>
      </c>
      <c r="B784" s="15">
        <v>0</v>
      </c>
      <c r="C784" t="s">
        <v>75</v>
      </c>
    </row>
    <row r="785" spans="1:3" x14ac:dyDescent="0.25">
      <c r="A785" s="10" t="s">
        <v>889</v>
      </c>
      <c r="B785" s="15">
        <v>0</v>
      </c>
      <c r="C785" t="s">
        <v>75</v>
      </c>
    </row>
    <row r="786" spans="1:3" x14ac:dyDescent="0.25">
      <c r="A786" s="10" t="s">
        <v>889</v>
      </c>
      <c r="B786" s="15">
        <v>0</v>
      </c>
      <c r="C786" t="s">
        <v>75</v>
      </c>
    </row>
    <row r="787" spans="1:3" x14ac:dyDescent="0.25">
      <c r="A787" s="10" t="s">
        <v>891</v>
      </c>
      <c r="B787" s="15">
        <v>0</v>
      </c>
      <c r="C787" t="s">
        <v>75</v>
      </c>
    </row>
    <row r="788" spans="1:3" x14ac:dyDescent="0.25">
      <c r="A788" s="10" t="s">
        <v>891</v>
      </c>
      <c r="B788" s="15">
        <v>0</v>
      </c>
      <c r="C788" t="s">
        <v>75</v>
      </c>
    </row>
    <row r="789" spans="1:3" x14ac:dyDescent="0.25">
      <c r="A789" s="10" t="s">
        <v>893</v>
      </c>
      <c r="B789" s="15">
        <v>0</v>
      </c>
      <c r="C789" t="s">
        <v>75</v>
      </c>
    </row>
    <row r="790" spans="1:3" x14ac:dyDescent="0.25">
      <c r="A790" s="10" t="s">
        <v>893</v>
      </c>
      <c r="B790" s="15">
        <v>0</v>
      </c>
      <c r="C790" t="s">
        <v>75</v>
      </c>
    </row>
    <row r="791" spans="1:3" x14ac:dyDescent="0.25">
      <c r="A791" s="10" t="s">
        <v>895</v>
      </c>
      <c r="B791" s="15">
        <v>0</v>
      </c>
      <c r="C791" t="s">
        <v>75</v>
      </c>
    </row>
    <row r="792" spans="1:3" x14ac:dyDescent="0.25">
      <c r="A792" s="10" t="s">
        <v>895</v>
      </c>
      <c r="B792" s="15">
        <v>0</v>
      </c>
      <c r="C792" t="s">
        <v>75</v>
      </c>
    </row>
    <row r="793" spans="1:3" x14ac:dyDescent="0.25">
      <c r="A793" s="10" t="s">
        <v>897</v>
      </c>
      <c r="B793" s="15">
        <v>0</v>
      </c>
      <c r="C793" t="s">
        <v>75</v>
      </c>
    </row>
    <row r="794" spans="1:3" x14ac:dyDescent="0.25">
      <c r="A794" s="10" t="s">
        <v>897</v>
      </c>
      <c r="B794" s="15">
        <v>0</v>
      </c>
      <c r="C794" t="s">
        <v>75</v>
      </c>
    </row>
    <row r="795" spans="1:3" x14ac:dyDescent="0.25">
      <c r="A795" s="10" t="s">
        <v>899</v>
      </c>
      <c r="B795" s="15">
        <v>0</v>
      </c>
      <c r="C795" t="s">
        <v>75</v>
      </c>
    </row>
    <row r="796" spans="1:3" x14ac:dyDescent="0.25">
      <c r="A796" s="10" t="s">
        <v>899</v>
      </c>
      <c r="B796" s="15">
        <v>0</v>
      </c>
      <c r="C796" t="s">
        <v>75</v>
      </c>
    </row>
    <row r="797" spans="1:3" x14ac:dyDescent="0.25">
      <c r="A797" s="10" t="s">
        <v>901</v>
      </c>
      <c r="B797" s="15">
        <v>0</v>
      </c>
      <c r="C797" t="s">
        <v>75</v>
      </c>
    </row>
    <row r="798" spans="1:3" x14ac:dyDescent="0.25">
      <c r="A798" s="10" t="s">
        <v>901</v>
      </c>
      <c r="B798" s="15">
        <v>0</v>
      </c>
      <c r="C798" t="s">
        <v>75</v>
      </c>
    </row>
    <row r="799" spans="1:3" x14ac:dyDescent="0.25">
      <c r="A799" s="10" t="s">
        <v>903</v>
      </c>
      <c r="B799" s="15">
        <v>0</v>
      </c>
      <c r="C799" t="s">
        <v>75</v>
      </c>
    </row>
    <row r="800" spans="1:3" x14ac:dyDescent="0.25">
      <c r="A800" s="10" t="s">
        <v>903</v>
      </c>
      <c r="B800" s="15">
        <v>0</v>
      </c>
      <c r="C800" t="s">
        <v>75</v>
      </c>
    </row>
    <row r="801" spans="1:3" x14ac:dyDescent="0.25">
      <c r="A801" s="10" t="s">
        <v>905</v>
      </c>
      <c r="B801" s="15">
        <v>0</v>
      </c>
      <c r="C801" t="s">
        <v>75</v>
      </c>
    </row>
    <row r="802" spans="1:3" x14ac:dyDescent="0.25">
      <c r="A802" s="10" t="s">
        <v>905</v>
      </c>
      <c r="B802" s="15">
        <v>0</v>
      </c>
      <c r="C802" t="s">
        <v>75</v>
      </c>
    </row>
    <row r="803" spans="1:3" x14ac:dyDescent="0.25">
      <c r="A803" s="10" t="s">
        <v>907</v>
      </c>
      <c r="B803" s="15">
        <v>0</v>
      </c>
      <c r="C803" t="s">
        <v>75</v>
      </c>
    </row>
    <row r="804" spans="1:3" x14ac:dyDescent="0.25">
      <c r="A804" s="10" t="s">
        <v>907</v>
      </c>
      <c r="B804" s="15">
        <v>0</v>
      </c>
      <c r="C804" t="s">
        <v>75</v>
      </c>
    </row>
    <row r="805" spans="1:3" x14ac:dyDescent="0.25">
      <c r="A805" s="10" t="s">
        <v>909</v>
      </c>
      <c r="B805" s="15">
        <v>0</v>
      </c>
      <c r="C805" t="s">
        <v>75</v>
      </c>
    </row>
    <row r="806" spans="1:3" x14ac:dyDescent="0.25">
      <c r="A806" s="10" t="s">
        <v>909</v>
      </c>
      <c r="B806" s="15">
        <v>0</v>
      </c>
      <c r="C806" t="s">
        <v>75</v>
      </c>
    </row>
    <row r="807" spans="1:3" x14ac:dyDescent="0.25">
      <c r="A807" s="10" t="s">
        <v>911</v>
      </c>
      <c r="B807" s="15">
        <v>0</v>
      </c>
      <c r="C807" t="s">
        <v>75</v>
      </c>
    </row>
    <row r="808" spans="1:3" x14ac:dyDescent="0.25">
      <c r="A808" s="10" t="s">
        <v>911</v>
      </c>
      <c r="B808" s="15">
        <v>0</v>
      </c>
      <c r="C808" t="s">
        <v>75</v>
      </c>
    </row>
    <row r="809" spans="1:3" x14ac:dyDescent="0.25">
      <c r="A809" s="10" t="s">
        <v>913</v>
      </c>
      <c r="B809" s="15">
        <v>0</v>
      </c>
      <c r="C809" t="s">
        <v>75</v>
      </c>
    </row>
    <row r="810" spans="1:3" x14ac:dyDescent="0.25">
      <c r="A810" s="10" t="s">
        <v>913</v>
      </c>
      <c r="B810" s="15">
        <v>0</v>
      </c>
      <c r="C810" t="s">
        <v>75</v>
      </c>
    </row>
    <row r="811" spans="1:3" x14ac:dyDescent="0.25">
      <c r="A811" s="10" t="s">
        <v>915</v>
      </c>
      <c r="B811" s="15">
        <v>0</v>
      </c>
      <c r="C811" t="s">
        <v>75</v>
      </c>
    </row>
    <row r="812" spans="1:3" x14ac:dyDescent="0.25">
      <c r="A812" s="10" t="s">
        <v>915</v>
      </c>
      <c r="B812" s="15">
        <v>0</v>
      </c>
      <c r="C812" t="s">
        <v>75</v>
      </c>
    </row>
    <row r="813" spans="1:3" x14ac:dyDescent="0.25">
      <c r="A813" s="10" t="s">
        <v>917</v>
      </c>
      <c r="B813" s="15">
        <v>0</v>
      </c>
      <c r="C813" t="s">
        <v>75</v>
      </c>
    </row>
    <row r="814" spans="1:3" x14ac:dyDescent="0.25">
      <c r="A814" s="10" t="s">
        <v>917</v>
      </c>
      <c r="B814" s="15">
        <v>0</v>
      </c>
      <c r="C814" t="s">
        <v>75</v>
      </c>
    </row>
    <row r="815" spans="1:3" x14ac:dyDescent="0.25">
      <c r="A815" s="10" t="s">
        <v>919</v>
      </c>
      <c r="B815" s="15">
        <v>0</v>
      </c>
      <c r="C815" t="s">
        <v>75</v>
      </c>
    </row>
    <row r="816" spans="1:3" x14ac:dyDescent="0.25">
      <c r="A816" s="10" t="s">
        <v>919</v>
      </c>
      <c r="B816" s="15">
        <v>0</v>
      </c>
      <c r="C816" t="s">
        <v>75</v>
      </c>
    </row>
    <row r="817" spans="1:3" x14ac:dyDescent="0.25">
      <c r="A817" s="10" t="s">
        <v>921</v>
      </c>
      <c r="B817" s="15">
        <v>0</v>
      </c>
      <c r="C817" t="s">
        <v>75</v>
      </c>
    </row>
    <row r="818" spans="1:3" x14ac:dyDescent="0.25">
      <c r="A818" s="10" t="s">
        <v>921</v>
      </c>
      <c r="B818" s="15">
        <v>0</v>
      </c>
      <c r="C818" t="s">
        <v>75</v>
      </c>
    </row>
    <row r="819" spans="1:3" x14ac:dyDescent="0.25">
      <c r="A819" s="10" t="s">
        <v>923</v>
      </c>
      <c r="B819" s="15">
        <v>0</v>
      </c>
      <c r="C819" t="s">
        <v>75</v>
      </c>
    </row>
    <row r="820" spans="1:3" x14ac:dyDescent="0.25">
      <c r="A820" s="10" t="s">
        <v>923</v>
      </c>
      <c r="B820" s="15">
        <v>0</v>
      </c>
      <c r="C820" t="s">
        <v>75</v>
      </c>
    </row>
    <row r="821" spans="1:3" x14ac:dyDescent="0.25">
      <c r="A821" s="10" t="s">
        <v>925</v>
      </c>
      <c r="B821" s="15">
        <v>0</v>
      </c>
      <c r="C821" t="s">
        <v>75</v>
      </c>
    </row>
    <row r="822" spans="1:3" x14ac:dyDescent="0.25">
      <c r="A822" s="10" t="s">
        <v>925</v>
      </c>
      <c r="B822" s="15">
        <v>0</v>
      </c>
      <c r="C822" t="s">
        <v>75</v>
      </c>
    </row>
    <row r="823" spans="1:3" x14ac:dyDescent="0.25">
      <c r="A823" s="10" t="s">
        <v>927</v>
      </c>
      <c r="B823" s="15">
        <v>0</v>
      </c>
      <c r="C823" t="s">
        <v>75</v>
      </c>
    </row>
    <row r="824" spans="1:3" x14ac:dyDescent="0.25">
      <c r="A824" s="10" t="s">
        <v>927</v>
      </c>
      <c r="B824" s="15">
        <v>0</v>
      </c>
      <c r="C824" t="s">
        <v>75</v>
      </c>
    </row>
    <row r="825" spans="1:3" x14ac:dyDescent="0.25">
      <c r="A825" s="10" t="s">
        <v>929</v>
      </c>
      <c r="B825" s="15">
        <v>0</v>
      </c>
      <c r="C825" t="s">
        <v>75</v>
      </c>
    </row>
    <row r="826" spans="1:3" x14ac:dyDescent="0.25">
      <c r="A826" s="10" t="s">
        <v>929</v>
      </c>
      <c r="B826" s="15">
        <v>0</v>
      </c>
      <c r="C826" t="s">
        <v>75</v>
      </c>
    </row>
    <row r="827" spans="1:3" x14ac:dyDescent="0.25">
      <c r="A827" s="10" t="s">
        <v>931</v>
      </c>
      <c r="B827" s="15">
        <v>0</v>
      </c>
      <c r="C827" t="s">
        <v>75</v>
      </c>
    </row>
    <row r="828" spans="1:3" x14ac:dyDescent="0.25">
      <c r="A828" s="10" t="s">
        <v>931</v>
      </c>
      <c r="B828" s="15">
        <v>0</v>
      </c>
      <c r="C828" t="s">
        <v>75</v>
      </c>
    </row>
    <row r="829" spans="1:3" x14ac:dyDescent="0.25">
      <c r="A829" s="10" t="s">
        <v>933</v>
      </c>
      <c r="B829" s="15">
        <v>0</v>
      </c>
      <c r="C829" t="s">
        <v>75</v>
      </c>
    </row>
    <row r="830" spans="1:3" x14ac:dyDescent="0.25">
      <c r="A830" s="10" t="s">
        <v>933</v>
      </c>
      <c r="B830" s="15">
        <v>0</v>
      </c>
      <c r="C830" t="s">
        <v>75</v>
      </c>
    </row>
    <row r="831" spans="1:3" x14ac:dyDescent="0.25">
      <c r="A831" s="10" t="s">
        <v>935</v>
      </c>
      <c r="B831" s="15">
        <v>0</v>
      </c>
      <c r="C831" t="s">
        <v>75</v>
      </c>
    </row>
    <row r="832" spans="1:3" x14ac:dyDescent="0.25">
      <c r="A832" s="10" t="s">
        <v>935</v>
      </c>
      <c r="B832" s="15">
        <v>0</v>
      </c>
      <c r="C832" t="s">
        <v>75</v>
      </c>
    </row>
    <row r="833" spans="1:3" x14ac:dyDescent="0.25">
      <c r="A833" s="10" t="s">
        <v>937</v>
      </c>
      <c r="B833" s="15">
        <v>0</v>
      </c>
      <c r="C833" t="s">
        <v>75</v>
      </c>
    </row>
    <row r="834" spans="1:3" x14ac:dyDescent="0.25">
      <c r="A834" s="10" t="s">
        <v>937</v>
      </c>
      <c r="B834" s="15">
        <v>0</v>
      </c>
      <c r="C834" t="s">
        <v>75</v>
      </c>
    </row>
    <row r="835" spans="1:3" x14ac:dyDescent="0.25">
      <c r="A835" s="10" t="s">
        <v>939</v>
      </c>
      <c r="B835" s="15">
        <v>0</v>
      </c>
      <c r="C835" t="s">
        <v>75</v>
      </c>
    </row>
    <row r="836" spans="1:3" x14ac:dyDescent="0.25">
      <c r="A836" s="10" t="s">
        <v>939</v>
      </c>
      <c r="B836" s="15">
        <v>0</v>
      </c>
      <c r="C836" t="s">
        <v>75</v>
      </c>
    </row>
    <row r="837" spans="1:3" x14ac:dyDescent="0.25">
      <c r="A837" s="10" t="s">
        <v>941</v>
      </c>
      <c r="B837" s="15">
        <v>0</v>
      </c>
      <c r="C837" t="s">
        <v>75</v>
      </c>
    </row>
    <row r="838" spans="1:3" x14ac:dyDescent="0.25">
      <c r="A838" s="10" t="s">
        <v>941</v>
      </c>
      <c r="B838" s="15">
        <v>0</v>
      </c>
      <c r="C838" t="s">
        <v>75</v>
      </c>
    </row>
    <row r="839" spans="1:3" x14ac:dyDescent="0.25">
      <c r="A839" s="10" t="s">
        <v>943</v>
      </c>
      <c r="B839" s="15">
        <v>0</v>
      </c>
      <c r="C839" t="s">
        <v>75</v>
      </c>
    </row>
    <row r="840" spans="1:3" x14ac:dyDescent="0.25">
      <c r="A840" s="10" t="s">
        <v>943</v>
      </c>
      <c r="B840" s="15">
        <v>0</v>
      </c>
      <c r="C840" t="s">
        <v>75</v>
      </c>
    </row>
    <row r="841" spans="1:3" x14ac:dyDescent="0.25">
      <c r="A841" s="10" t="s">
        <v>945</v>
      </c>
      <c r="B841" s="15">
        <v>0</v>
      </c>
      <c r="C841" t="s">
        <v>75</v>
      </c>
    </row>
    <row r="842" spans="1:3" x14ac:dyDescent="0.25">
      <c r="A842" s="10" t="s">
        <v>945</v>
      </c>
      <c r="B842" s="15">
        <v>0</v>
      </c>
      <c r="C842" t="s">
        <v>75</v>
      </c>
    </row>
    <row r="843" spans="1:3" x14ac:dyDescent="0.25">
      <c r="A843" s="10" t="s">
        <v>947</v>
      </c>
      <c r="B843" s="15">
        <v>0</v>
      </c>
      <c r="C843" t="s">
        <v>75</v>
      </c>
    </row>
    <row r="844" spans="1:3" x14ac:dyDescent="0.25">
      <c r="A844" s="10" t="s">
        <v>947</v>
      </c>
      <c r="B844" s="15">
        <v>0</v>
      </c>
      <c r="C844" t="s">
        <v>75</v>
      </c>
    </row>
    <row r="845" spans="1:3" x14ac:dyDescent="0.25">
      <c r="A845" s="10" t="s">
        <v>949</v>
      </c>
      <c r="B845" s="15">
        <v>0</v>
      </c>
      <c r="C845" t="s">
        <v>75</v>
      </c>
    </row>
    <row r="846" spans="1:3" x14ac:dyDescent="0.25">
      <c r="A846" s="10" t="s">
        <v>949</v>
      </c>
      <c r="B846" s="15">
        <v>0</v>
      </c>
      <c r="C846" t="s">
        <v>75</v>
      </c>
    </row>
    <row r="847" spans="1:3" x14ac:dyDescent="0.25">
      <c r="A847" s="10" t="s">
        <v>951</v>
      </c>
      <c r="B847" s="15">
        <v>0</v>
      </c>
      <c r="C847" t="s">
        <v>75</v>
      </c>
    </row>
    <row r="848" spans="1:3" x14ac:dyDescent="0.25">
      <c r="A848" s="10" t="s">
        <v>951</v>
      </c>
      <c r="B848" s="15">
        <v>0</v>
      </c>
      <c r="C848" t="s">
        <v>75</v>
      </c>
    </row>
    <row r="849" spans="1:3" x14ac:dyDescent="0.25">
      <c r="A849" s="10" t="s">
        <v>953</v>
      </c>
      <c r="B849" s="15">
        <v>0</v>
      </c>
      <c r="C849" t="s">
        <v>75</v>
      </c>
    </row>
    <row r="850" spans="1:3" x14ac:dyDescent="0.25">
      <c r="A850" s="10" t="s">
        <v>953</v>
      </c>
      <c r="B850" s="15">
        <v>0</v>
      </c>
      <c r="C850" t="s">
        <v>75</v>
      </c>
    </row>
    <row r="851" spans="1:3" x14ac:dyDescent="0.25">
      <c r="A851" s="10" t="s">
        <v>955</v>
      </c>
      <c r="B851" s="15">
        <v>0</v>
      </c>
      <c r="C851" t="s">
        <v>75</v>
      </c>
    </row>
    <row r="852" spans="1:3" x14ac:dyDescent="0.25">
      <c r="A852" s="10" t="s">
        <v>955</v>
      </c>
      <c r="B852" s="15">
        <v>0</v>
      </c>
      <c r="C852" t="s">
        <v>75</v>
      </c>
    </row>
    <row r="853" spans="1:3" x14ac:dyDescent="0.25">
      <c r="A853" s="10" t="s">
        <v>957</v>
      </c>
      <c r="B853" s="15">
        <v>0</v>
      </c>
      <c r="C853" t="s">
        <v>75</v>
      </c>
    </row>
    <row r="854" spans="1:3" x14ac:dyDescent="0.25">
      <c r="A854" s="10" t="s">
        <v>957</v>
      </c>
      <c r="B854" s="15">
        <v>0</v>
      </c>
      <c r="C854" t="s">
        <v>75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P10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6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6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403,32</v>
      </c>
      <c r="E2" s="14" t="str">
        <f>CONCATENATE("ABRIL",CHAR(10),"TOTAL: ",ROUND(SUM(E3:E1048576),2))</f>
        <v>ABRIL
TOTAL: 403,32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275</v>
      </c>
      <c r="I2" s="14" t="str">
        <f>CONCATENATE("AGOSTO",CHAR(10),"TOTAL: ",ROUND(SUM(I3:I1048576),2))</f>
        <v>AGOSTO
TOTAL: 275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6" x14ac:dyDescent="0.25">
      <c r="A3" s="10" t="s">
        <v>73</v>
      </c>
      <c r="C3" s="15">
        <v>0</v>
      </c>
      <c r="D3" s="15">
        <v>201.66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t="s">
        <v>75</v>
      </c>
    </row>
    <row r="4" spans="1:16" x14ac:dyDescent="0.25">
      <c r="A4" s="10" t="s">
        <v>74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137.5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t="s">
        <v>75</v>
      </c>
    </row>
    <row r="5" spans="1:16" x14ac:dyDescent="0.25">
      <c r="A5" s="10" t="s">
        <v>73</v>
      </c>
      <c r="C5" s="15">
        <v>0</v>
      </c>
      <c r="D5" s="15">
        <v>201.66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  <row r="6" spans="1:16" x14ac:dyDescent="0.25">
      <c r="A6" s="10" t="s">
        <v>74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137.5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6" x14ac:dyDescent="0.25">
      <c r="A7" s="10" t="s">
        <v>73</v>
      </c>
      <c r="C7" s="15">
        <v>0</v>
      </c>
      <c r="D7" s="15">
        <v>0</v>
      </c>
      <c r="E7" s="15">
        <v>201.66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t="s">
        <v>75</v>
      </c>
      <c r="P7" t="s">
        <v>75</v>
      </c>
    </row>
    <row r="8" spans="1:16" x14ac:dyDescent="0.25">
      <c r="A8" s="10" t="s">
        <v>74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137.5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t="s">
        <v>75</v>
      </c>
      <c r="P8" t="s">
        <v>75</v>
      </c>
    </row>
    <row r="9" spans="1:16" x14ac:dyDescent="0.25">
      <c r="A9" s="10" t="s">
        <v>73</v>
      </c>
      <c r="C9" s="15">
        <v>0</v>
      </c>
      <c r="D9" s="15">
        <v>0</v>
      </c>
      <c r="E9" s="15">
        <v>201.66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t="s">
        <v>75</v>
      </c>
      <c r="P9" t="s">
        <v>75</v>
      </c>
    </row>
    <row r="10" spans="1:16" x14ac:dyDescent="0.25">
      <c r="A10" s="10" t="s">
        <v>74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137.5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t="s">
        <v>75</v>
      </c>
      <c r="P10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O18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5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2445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5" x14ac:dyDescent="0.2">
      <c r="A3" s="10" t="s">
        <v>96</v>
      </c>
      <c r="B3" s="15">
        <v>0</v>
      </c>
      <c r="C3" s="15">
        <v>0</v>
      </c>
      <c r="D3" s="15">
        <v>163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s="9" t="s">
        <v>75</v>
      </c>
    </row>
    <row r="4" spans="1:15" x14ac:dyDescent="0.2">
      <c r="A4" s="10" t="s">
        <v>222</v>
      </c>
      <c r="B4" s="15">
        <v>0</v>
      </c>
      <c r="C4" s="15">
        <v>0</v>
      </c>
      <c r="D4" s="15">
        <v>163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s="9" t="s">
        <v>75</v>
      </c>
    </row>
    <row r="5" spans="1:15" x14ac:dyDescent="0.2">
      <c r="A5" s="10" t="s">
        <v>278</v>
      </c>
      <c r="B5" s="15">
        <v>0</v>
      </c>
      <c r="C5" s="15">
        <v>0</v>
      </c>
      <c r="D5" s="15">
        <v>163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s="9" t="s">
        <v>75</v>
      </c>
    </row>
    <row r="6" spans="1:15" x14ac:dyDescent="0.2">
      <c r="A6" s="10" t="s">
        <v>586</v>
      </c>
      <c r="B6" s="15">
        <v>0</v>
      </c>
      <c r="C6" s="15">
        <v>0</v>
      </c>
      <c r="D6" s="15">
        <v>163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s="9" t="s">
        <v>75</v>
      </c>
    </row>
    <row r="7" spans="1:15" x14ac:dyDescent="0.2">
      <c r="A7" s="10" t="s">
        <v>616</v>
      </c>
      <c r="B7" s="15">
        <v>0</v>
      </c>
      <c r="C7" s="15">
        <v>0</v>
      </c>
      <c r="D7" s="15">
        <v>163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 t="s">
        <v>75</v>
      </c>
      <c r="O7" s="9" t="s">
        <v>75</v>
      </c>
    </row>
    <row r="8" spans="1:15" x14ac:dyDescent="0.2">
      <c r="A8" s="10" t="s">
        <v>636</v>
      </c>
      <c r="B8" s="15">
        <v>0</v>
      </c>
      <c r="C8" s="15">
        <v>0</v>
      </c>
      <c r="D8" s="15">
        <v>163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 t="s">
        <v>75</v>
      </c>
      <c r="O8" s="9" t="s">
        <v>75</v>
      </c>
    </row>
    <row r="9" spans="1:15" x14ac:dyDescent="0.2">
      <c r="A9" s="10" t="s">
        <v>664</v>
      </c>
      <c r="B9" s="15">
        <v>0</v>
      </c>
      <c r="C9" s="15">
        <v>0</v>
      </c>
      <c r="D9" s="15">
        <v>163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 t="s">
        <v>75</v>
      </c>
      <c r="O9" s="9" t="s">
        <v>75</v>
      </c>
    </row>
    <row r="10" spans="1:15" x14ac:dyDescent="0.2">
      <c r="A10" s="10" t="s">
        <v>682</v>
      </c>
      <c r="B10" s="15">
        <v>0</v>
      </c>
      <c r="C10" s="15">
        <v>0</v>
      </c>
      <c r="D10" s="15">
        <v>163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 t="s">
        <v>75</v>
      </c>
      <c r="O10" s="9" t="s">
        <v>75</v>
      </c>
    </row>
    <row r="11" spans="1:15" x14ac:dyDescent="0.2">
      <c r="A11" s="10" t="s">
        <v>1097</v>
      </c>
      <c r="B11" s="15">
        <v>0</v>
      </c>
      <c r="C11" s="15">
        <v>0</v>
      </c>
      <c r="D11" s="15">
        <v>163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 t="s">
        <v>75</v>
      </c>
      <c r="O11" s="9" t="s">
        <v>75</v>
      </c>
    </row>
    <row r="12" spans="1:15" x14ac:dyDescent="0.2">
      <c r="A12" s="10" t="s">
        <v>812</v>
      </c>
      <c r="B12" s="15">
        <v>0</v>
      </c>
      <c r="C12" s="15">
        <v>0</v>
      </c>
      <c r="D12" s="15">
        <v>163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 t="s">
        <v>75</v>
      </c>
      <c r="O12" s="9" t="s">
        <v>75</v>
      </c>
    </row>
    <row r="13" spans="1:15" x14ac:dyDescent="0.2">
      <c r="A13" s="10" t="s">
        <v>862</v>
      </c>
      <c r="B13" s="15">
        <v>0</v>
      </c>
      <c r="C13" s="15">
        <v>0</v>
      </c>
      <c r="D13" s="15">
        <v>163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 t="s">
        <v>75</v>
      </c>
      <c r="O13" s="9" t="s">
        <v>75</v>
      </c>
    </row>
    <row r="14" spans="1:15" x14ac:dyDescent="0.2">
      <c r="A14" s="10" t="s">
        <v>885</v>
      </c>
      <c r="B14" s="15">
        <v>0</v>
      </c>
      <c r="C14" s="15">
        <v>0</v>
      </c>
      <c r="D14" s="15">
        <v>163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 t="s">
        <v>75</v>
      </c>
      <c r="O14" s="9" t="s">
        <v>75</v>
      </c>
    </row>
    <row r="15" spans="1:15" x14ac:dyDescent="0.2">
      <c r="A15" s="10" t="s">
        <v>887</v>
      </c>
      <c r="B15" s="15">
        <v>0</v>
      </c>
      <c r="C15" s="15">
        <v>0</v>
      </c>
      <c r="D15" s="15">
        <v>163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 t="s">
        <v>75</v>
      </c>
      <c r="O15" s="9" t="s">
        <v>75</v>
      </c>
    </row>
    <row r="16" spans="1:15" x14ac:dyDescent="0.2">
      <c r="A16" s="10" t="s">
        <v>905</v>
      </c>
      <c r="B16" s="15">
        <v>0</v>
      </c>
      <c r="C16" s="15">
        <v>0</v>
      </c>
      <c r="D16" s="15">
        <v>163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 t="s">
        <v>75</v>
      </c>
      <c r="O16" s="9" t="s">
        <v>75</v>
      </c>
    </row>
    <row r="17" spans="1:15" x14ac:dyDescent="0.2">
      <c r="A17" s="10" t="s">
        <v>941</v>
      </c>
      <c r="B17" s="15">
        <v>0</v>
      </c>
      <c r="C17" s="15">
        <v>0</v>
      </c>
      <c r="D17" s="15">
        <v>163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 t="s">
        <v>75</v>
      </c>
      <c r="O17" s="9" t="s">
        <v>75</v>
      </c>
    </row>
    <row r="18" spans="1:15" x14ac:dyDescent="0.2">
      <c r="B18" s="15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E17"/>
  <sheetViews>
    <sheetView topLeftCell="C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96</v>
      </c>
      <c r="B3" s="10" t="s">
        <v>96</v>
      </c>
      <c r="C3" s="9" t="s">
        <v>97</v>
      </c>
      <c r="D3" s="9" t="s">
        <v>75</v>
      </c>
      <c r="E3" t="s">
        <v>75</v>
      </c>
    </row>
    <row r="4" spans="1:5" x14ac:dyDescent="0.25">
      <c r="A4" s="10" t="s">
        <v>222</v>
      </c>
      <c r="B4" s="10" t="s">
        <v>222</v>
      </c>
      <c r="C4" s="9" t="s">
        <v>223</v>
      </c>
      <c r="D4" s="9" t="s">
        <v>75</v>
      </c>
      <c r="E4" t="s">
        <v>75</v>
      </c>
    </row>
    <row r="5" spans="1:5" x14ac:dyDescent="0.25">
      <c r="A5" s="10" t="s">
        <v>278</v>
      </c>
      <c r="B5" s="10" t="s">
        <v>278</v>
      </c>
      <c r="C5" s="9" t="s">
        <v>279</v>
      </c>
      <c r="D5" s="9" t="s">
        <v>75</v>
      </c>
      <c r="E5" t="s">
        <v>75</v>
      </c>
    </row>
    <row r="6" spans="1:5" x14ac:dyDescent="0.25">
      <c r="A6" s="10" t="s">
        <v>586</v>
      </c>
      <c r="B6" s="10" t="s">
        <v>586</v>
      </c>
      <c r="C6" s="9" t="s">
        <v>587</v>
      </c>
      <c r="D6" s="9" t="s">
        <v>75</v>
      </c>
      <c r="E6" t="s">
        <v>75</v>
      </c>
    </row>
    <row r="7" spans="1:5" x14ac:dyDescent="0.25">
      <c r="A7" s="10" t="s">
        <v>616</v>
      </c>
      <c r="B7" s="10" t="s">
        <v>616</v>
      </c>
      <c r="C7" s="9" t="s">
        <v>617</v>
      </c>
      <c r="D7" s="9" t="s">
        <v>75</v>
      </c>
      <c r="E7" t="s">
        <v>75</v>
      </c>
    </row>
    <row r="8" spans="1:5" x14ac:dyDescent="0.25">
      <c r="A8" s="10" t="s">
        <v>636</v>
      </c>
      <c r="B8" s="10" t="s">
        <v>636</v>
      </c>
      <c r="C8" s="9" t="s">
        <v>637</v>
      </c>
      <c r="D8" s="9" t="s">
        <v>75</v>
      </c>
      <c r="E8" t="s">
        <v>75</v>
      </c>
    </row>
    <row r="9" spans="1:5" x14ac:dyDescent="0.25">
      <c r="A9" s="10" t="s">
        <v>664</v>
      </c>
      <c r="B9" s="10" t="s">
        <v>664</v>
      </c>
      <c r="C9" s="9" t="s">
        <v>665</v>
      </c>
      <c r="D9" s="9" t="s">
        <v>75</v>
      </c>
      <c r="E9" t="s">
        <v>75</v>
      </c>
    </row>
    <row r="10" spans="1:5" x14ac:dyDescent="0.25">
      <c r="A10" s="10" t="s">
        <v>682</v>
      </c>
      <c r="B10" s="10" t="s">
        <v>682</v>
      </c>
      <c r="C10" s="9" t="s">
        <v>683</v>
      </c>
      <c r="D10" s="9" t="s">
        <v>75</v>
      </c>
      <c r="E10" t="s">
        <v>75</v>
      </c>
    </row>
    <row r="11" spans="1:5" x14ac:dyDescent="0.25">
      <c r="A11" s="10" t="s">
        <v>1097</v>
      </c>
      <c r="B11" s="10" t="s">
        <v>1097</v>
      </c>
      <c r="C11" s="9" t="s">
        <v>1098</v>
      </c>
      <c r="D11" s="9" t="s">
        <v>75</v>
      </c>
      <c r="E11" t="s">
        <v>75</v>
      </c>
    </row>
    <row r="12" spans="1:5" x14ac:dyDescent="0.25">
      <c r="A12" s="10" t="s">
        <v>812</v>
      </c>
      <c r="B12" s="10" t="s">
        <v>812</v>
      </c>
      <c r="C12" s="9" t="s">
        <v>813</v>
      </c>
      <c r="D12" s="9" t="s">
        <v>75</v>
      </c>
      <c r="E12" t="s">
        <v>75</v>
      </c>
    </row>
    <row r="13" spans="1:5" x14ac:dyDescent="0.25">
      <c r="A13" s="10" t="s">
        <v>862</v>
      </c>
      <c r="B13" s="10" t="s">
        <v>862</v>
      </c>
      <c r="C13" s="9" t="s">
        <v>863</v>
      </c>
      <c r="D13" s="9" t="s">
        <v>75</v>
      </c>
      <c r="E13" t="s">
        <v>75</v>
      </c>
    </row>
    <row r="14" spans="1:5" x14ac:dyDescent="0.25">
      <c r="A14" s="10" t="s">
        <v>885</v>
      </c>
      <c r="B14" s="10" t="s">
        <v>885</v>
      </c>
      <c r="C14" s="9" t="s">
        <v>886</v>
      </c>
      <c r="D14" s="9" t="s">
        <v>75</v>
      </c>
      <c r="E14" t="s">
        <v>75</v>
      </c>
    </row>
    <row r="15" spans="1:5" x14ac:dyDescent="0.25">
      <c r="A15" s="10" t="s">
        <v>887</v>
      </c>
      <c r="B15" s="10" t="s">
        <v>887</v>
      </c>
      <c r="C15" s="9" t="s">
        <v>888</v>
      </c>
      <c r="D15" s="9" t="s">
        <v>75</v>
      </c>
      <c r="E15" t="s">
        <v>75</v>
      </c>
    </row>
    <row r="16" spans="1:5" x14ac:dyDescent="0.25">
      <c r="A16" s="10" t="s">
        <v>905</v>
      </c>
      <c r="B16" s="10" t="s">
        <v>905</v>
      </c>
      <c r="C16" s="9" t="s">
        <v>906</v>
      </c>
      <c r="D16" s="9" t="s">
        <v>75</v>
      </c>
      <c r="E16" t="s">
        <v>75</v>
      </c>
    </row>
    <row r="17" spans="1:5" x14ac:dyDescent="0.25">
      <c r="A17" s="10" t="s">
        <v>941</v>
      </c>
      <c r="B17" s="10" t="s">
        <v>941</v>
      </c>
      <c r="C17" s="9" t="s">
        <v>942</v>
      </c>
      <c r="D17" s="9" t="s">
        <v>75</v>
      </c>
      <c r="E17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2" sqref="I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O9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7275,32</v>
      </c>
      <c r="C2" s="14" t="str">
        <f>CONCATENATE("FEVEREIRO",CHAR(10),"TOTAL: ",ROUND(SUM(C3:C1048576),2))</f>
        <v>FEVEREIRO
TOTAL: 6046,13</v>
      </c>
      <c r="D2" s="14" t="str">
        <f>CONCATENATE("MARÇO",CHAR(10),"TOTAL: ",ROUND(SUM(D3:D1048576),2))</f>
        <v>MARÇO
TOTAL: 17708</v>
      </c>
      <c r="E2" s="14" t="str">
        <f>CONCATENATE("ABRIL",CHAR(10),"TOTAL: ",ROUND(SUM(E3:E1048576),2))</f>
        <v>ABRIL
TOTAL: 21725,49</v>
      </c>
      <c r="F2" s="14" t="str">
        <f>CONCATENATE("MAIO",CHAR(10),"TOTAL: ",ROUND(SUM(F3:F1048576),2))</f>
        <v>MAIO
TOTAL: 9776</v>
      </c>
      <c r="G2" s="14" t="str">
        <f>CONCATENATE("JUNHO",CHAR(10),"TOTAL: ",ROUND(SUM(G3:G1048576),2))</f>
        <v>JUNHO
TOTAL: 19126,4</v>
      </c>
      <c r="H2" s="14" t="str">
        <f>CONCATENATE("JULHO",CHAR(10),"TOTAL: ",ROUND(SUM(H3:H1048576),2))</f>
        <v>JULHO
TOTAL: 30174,31</v>
      </c>
      <c r="I2" s="14" t="str">
        <f>CONCATENATE("AGOSTO",CHAR(10),"TOTAL: ",ROUND(SUM(I3:I1048576),2))</f>
        <v>AGOSTO
TOTAL: 4866,3</v>
      </c>
      <c r="J2" s="14" t="str">
        <f>CONCATENATE("SETEMBRO",CHAR(10),"TOTAL: ",ROUND(SUM(J3:J1048576),2))</f>
        <v>SETEMBRO
TOTAL: 27671,02</v>
      </c>
      <c r="K2" s="14" t="str">
        <f>CONCATENATE("OUTUBRO",CHAR(10),"TOTAL: ",ROUND(SUM(K3:K1048576),2))</f>
        <v>OUTUBRO
TOTAL: 6592,86</v>
      </c>
      <c r="L2" s="14" t="str">
        <f>CONCATENATE("NOVEMBRO",CHAR(10),"TOTAL: ",ROUND(SUM(L3:L1048576),2))</f>
        <v>NOVEMBRO
TOTAL: 5282,86</v>
      </c>
      <c r="M2" s="14" t="str">
        <f>CONCATENATE("DEZEMBRO",CHAR(10),"TOTAL: ",ROUND(SUM(M3:M1048576),2))</f>
        <v>DEZEMBRO
TOTAL: 27813,31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94</v>
      </c>
      <c r="B3" s="15">
        <v>0</v>
      </c>
      <c r="C3" s="15">
        <v>0</v>
      </c>
      <c r="D3" s="15">
        <v>3941.27</v>
      </c>
      <c r="E3" s="15">
        <v>0</v>
      </c>
      <c r="F3" s="15">
        <v>0</v>
      </c>
      <c r="G3" s="15">
        <v>0</v>
      </c>
      <c r="H3" s="15">
        <v>147.08000000000001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t="s">
        <v>75</v>
      </c>
    </row>
    <row r="4" spans="1:15" x14ac:dyDescent="0.25">
      <c r="A4" s="10" t="s">
        <v>104</v>
      </c>
      <c r="B4" s="15">
        <v>1004.88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t="s">
        <v>75</v>
      </c>
    </row>
    <row r="5" spans="1:15" x14ac:dyDescent="0.25">
      <c r="A5" s="10" t="s">
        <v>110</v>
      </c>
      <c r="B5" s="15">
        <v>0</v>
      </c>
      <c r="C5" s="15">
        <v>0</v>
      </c>
      <c r="D5" s="15">
        <v>2099.35</v>
      </c>
      <c r="E5" s="15">
        <v>0</v>
      </c>
      <c r="F5" s="15">
        <v>0</v>
      </c>
      <c r="G5" s="15">
        <v>0</v>
      </c>
      <c r="H5" s="15">
        <v>30.78</v>
      </c>
      <c r="I5" s="15">
        <v>0</v>
      </c>
      <c r="J5" s="15">
        <v>0</v>
      </c>
      <c r="K5" s="15">
        <v>0</v>
      </c>
      <c r="L5" s="15">
        <v>0</v>
      </c>
      <c r="M5" s="15">
        <v>2600.4299999999998</v>
      </c>
      <c r="N5" s="15" t="s">
        <v>75</v>
      </c>
      <c r="O5" t="s">
        <v>75</v>
      </c>
    </row>
    <row r="6" spans="1:15" x14ac:dyDescent="0.25">
      <c r="A6" s="10" t="s">
        <v>118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980.91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5" x14ac:dyDescent="0.25">
      <c r="A7" s="10" t="s">
        <v>122</v>
      </c>
      <c r="B7" s="15">
        <v>0</v>
      </c>
      <c r="C7" s="15">
        <v>0</v>
      </c>
      <c r="D7" s="15">
        <v>1294.1099999999999</v>
      </c>
      <c r="E7" s="15">
        <v>0</v>
      </c>
      <c r="F7" s="15">
        <v>0</v>
      </c>
      <c r="G7" s="15">
        <v>0</v>
      </c>
      <c r="H7" s="15">
        <v>138.41999999999999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 t="s">
        <v>75</v>
      </c>
      <c r="O7" t="s">
        <v>75</v>
      </c>
    </row>
    <row r="8" spans="1:15" x14ac:dyDescent="0.25">
      <c r="A8" s="10" t="s">
        <v>128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1063.44</v>
      </c>
      <c r="N8" s="15" t="s">
        <v>75</v>
      </c>
      <c r="O8" t="s">
        <v>75</v>
      </c>
    </row>
    <row r="9" spans="1:15" x14ac:dyDescent="0.25">
      <c r="A9" s="10" t="s">
        <v>130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2400.88</v>
      </c>
      <c r="H9" s="15">
        <v>258.52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 t="s">
        <v>75</v>
      </c>
      <c r="O9" t="s">
        <v>75</v>
      </c>
    </row>
    <row r="10" spans="1:15" x14ac:dyDescent="0.25">
      <c r="A10" s="10" t="s">
        <v>132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1209.21</v>
      </c>
      <c r="N10" s="15" t="s">
        <v>75</v>
      </c>
      <c r="O10" t="s">
        <v>75</v>
      </c>
    </row>
    <row r="11" spans="1:15" x14ac:dyDescent="0.25">
      <c r="A11" s="10" t="s">
        <v>150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917.24</v>
      </c>
      <c r="N11" s="15" t="s">
        <v>75</v>
      </c>
      <c r="O11" t="s">
        <v>75</v>
      </c>
    </row>
    <row r="12" spans="1:15" x14ac:dyDescent="0.25">
      <c r="A12" s="10" t="s">
        <v>156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1775.69</v>
      </c>
      <c r="J12" s="15">
        <v>0</v>
      </c>
      <c r="K12" s="15">
        <v>0</v>
      </c>
      <c r="L12" s="15">
        <v>0</v>
      </c>
      <c r="M12" s="15">
        <v>0</v>
      </c>
      <c r="N12" s="15" t="s">
        <v>75</v>
      </c>
      <c r="O12" t="s">
        <v>75</v>
      </c>
    </row>
    <row r="13" spans="1:15" x14ac:dyDescent="0.25">
      <c r="A13" s="10" t="s">
        <v>158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6236.89</v>
      </c>
      <c r="K13" s="15">
        <v>0</v>
      </c>
      <c r="L13" s="15">
        <v>0</v>
      </c>
      <c r="M13" s="15">
        <v>0</v>
      </c>
      <c r="N13" s="15" t="s">
        <v>75</v>
      </c>
      <c r="O13" t="s">
        <v>75</v>
      </c>
    </row>
    <row r="14" spans="1:15" x14ac:dyDescent="0.25">
      <c r="A14" s="10" t="s">
        <v>164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1701.01</v>
      </c>
      <c r="K14" s="15">
        <v>0</v>
      </c>
      <c r="L14" s="15">
        <v>0</v>
      </c>
      <c r="M14" s="15">
        <v>0</v>
      </c>
      <c r="N14" s="15" t="s">
        <v>75</v>
      </c>
      <c r="O14" t="s">
        <v>75</v>
      </c>
    </row>
    <row r="15" spans="1:15" x14ac:dyDescent="0.25">
      <c r="A15" s="10" t="s">
        <v>174</v>
      </c>
      <c r="B15" s="15">
        <v>0</v>
      </c>
      <c r="C15" s="15">
        <v>0</v>
      </c>
      <c r="D15" s="15">
        <v>0</v>
      </c>
      <c r="E15" s="15">
        <v>856.8</v>
      </c>
      <c r="F15" s="15">
        <v>0</v>
      </c>
      <c r="G15" s="15">
        <v>0</v>
      </c>
      <c r="H15" s="15">
        <v>92.24</v>
      </c>
      <c r="I15" s="15">
        <v>0</v>
      </c>
      <c r="J15" s="15">
        <v>0</v>
      </c>
      <c r="K15" s="15">
        <v>0</v>
      </c>
      <c r="L15" s="15">
        <v>0</v>
      </c>
      <c r="M15" s="15">
        <v>824.2</v>
      </c>
      <c r="N15" s="15" t="s">
        <v>75</v>
      </c>
      <c r="O15" t="s">
        <v>75</v>
      </c>
    </row>
    <row r="16" spans="1:15" x14ac:dyDescent="0.25">
      <c r="A16" s="10" t="s">
        <v>184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1819.81</v>
      </c>
      <c r="M16" s="15">
        <v>0</v>
      </c>
      <c r="N16" s="15" t="s">
        <v>75</v>
      </c>
      <c r="O16" t="s">
        <v>75</v>
      </c>
    </row>
    <row r="17" spans="1:15" x14ac:dyDescent="0.25">
      <c r="A17" s="10" t="s">
        <v>194</v>
      </c>
      <c r="B17" s="15">
        <v>579.95000000000005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 t="s">
        <v>75</v>
      </c>
      <c r="O17" t="s">
        <v>75</v>
      </c>
    </row>
    <row r="18" spans="1:15" x14ac:dyDescent="0.25">
      <c r="A18" s="10" t="s">
        <v>204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569.89</v>
      </c>
      <c r="H18" s="15">
        <v>62.34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 t="s">
        <v>75</v>
      </c>
      <c r="O18" t="s">
        <v>75</v>
      </c>
    </row>
    <row r="19" spans="1:15" x14ac:dyDescent="0.25">
      <c r="A19" s="10" t="s">
        <v>212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2967.53</v>
      </c>
      <c r="H19" s="15">
        <v>328.36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 t="s">
        <v>75</v>
      </c>
      <c r="O19" t="s">
        <v>75</v>
      </c>
    </row>
    <row r="20" spans="1:15" x14ac:dyDescent="0.25">
      <c r="A20" s="10" t="s">
        <v>214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879.72</v>
      </c>
      <c r="K20" s="15">
        <v>0</v>
      </c>
      <c r="L20" s="15">
        <v>0</v>
      </c>
      <c r="M20" s="15">
        <v>0</v>
      </c>
      <c r="N20" s="15" t="s">
        <v>75</v>
      </c>
      <c r="O20" t="s">
        <v>75</v>
      </c>
    </row>
    <row r="21" spans="1:15" x14ac:dyDescent="0.25">
      <c r="A21" s="10" t="s">
        <v>234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2248.64</v>
      </c>
      <c r="N21" s="15" t="s">
        <v>75</v>
      </c>
      <c r="O21" t="s">
        <v>75</v>
      </c>
    </row>
    <row r="22" spans="1:15" x14ac:dyDescent="0.25">
      <c r="A22" s="10" t="s">
        <v>248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820.15</v>
      </c>
      <c r="L22" s="15">
        <v>0</v>
      </c>
      <c r="M22" s="15">
        <v>0</v>
      </c>
      <c r="N22" s="15" t="s">
        <v>75</v>
      </c>
      <c r="O22" t="s">
        <v>75</v>
      </c>
    </row>
    <row r="23" spans="1:15" x14ac:dyDescent="0.25">
      <c r="A23" s="10" t="s">
        <v>252</v>
      </c>
      <c r="B23" s="15">
        <v>0</v>
      </c>
      <c r="C23" s="15">
        <v>722.49</v>
      </c>
      <c r="D23" s="15">
        <v>0</v>
      </c>
      <c r="E23" s="15">
        <v>0</v>
      </c>
      <c r="F23" s="15">
        <v>0</v>
      </c>
      <c r="G23" s="15">
        <v>0</v>
      </c>
      <c r="H23" s="15">
        <v>78.91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 t="s">
        <v>75</v>
      </c>
      <c r="O23" t="s">
        <v>75</v>
      </c>
    </row>
    <row r="24" spans="1:15" x14ac:dyDescent="0.25">
      <c r="A24" s="10" t="s">
        <v>256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1540.63</v>
      </c>
      <c r="J24" s="15">
        <v>0</v>
      </c>
      <c r="K24" s="15">
        <v>0</v>
      </c>
      <c r="L24" s="15">
        <v>0</v>
      </c>
      <c r="M24" s="15">
        <v>0</v>
      </c>
      <c r="N24" s="15" t="s">
        <v>75</v>
      </c>
      <c r="O24" t="s">
        <v>75</v>
      </c>
    </row>
    <row r="25" spans="1:15" x14ac:dyDescent="0.25">
      <c r="A25" s="10" t="s">
        <v>264</v>
      </c>
      <c r="B25" s="15">
        <v>0</v>
      </c>
      <c r="C25" s="15">
        <v>584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 t="s">
        <v>75</v>
      </c>
      <c r="O25" t="s">
        <v>75</v>
      </c>
    </row>
    <row r="26" spans="1:15" x14ac:dyDescent="0.25">
      <c r="A26" s="10" t="s">
        <v>270</v>
      </c>
      <c r="B26" s="15">
        <v>0</v>
      </c>
      <c r="C26" s="15">
        <v>0</v>
      </c>
      <c r="D26" s="15">
        <v>0</v>
      </c>
      <c r="E26" s="15">
        <v>0</v>
      </c>
      <c r="F26" s="15">
        <v>1876.39</v>
      </c>
      <c r="G26" s="15">
        <v>0</v>
      </c>
      <c r="H26" s="15">
        <v>203.38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 t="s">
        <v>75</v>
      </c>
      <c r="O26" t="s">
        <v>75</v>
      </c>
    </row>
    <row r="27" spans="1:15" x14ac:dyDescent="0.25">
      <c r="A27" s="10" t="s">
        <v>288</v>
      </c>
      <c r="B27" s="15">
        <v>0</v>
      </c>
      <c r="C27" s="15">
        <v>0</v>
      </c>
      <c r="D27" s="15">
        <v>0</v>
      </c>
      <c r="E27" s="15">
        <v>606.73</v>
      </c>
      <c r="F27" s="15">
        <v>0</v>
      </c>
      <c r="G27" s="15">
        <v>0</v>
      </c>
      <c r="H27" s="15">
        <v>65.349999999999994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 t="s">
        <v>75</v>
      </c>
      <c r="O27" t="s">
        <v>75</v>
      </c>
    </row>
    <row r="28" spans="1:15" x14ac:dyDescent="0.25">
      <c r="A28" s="10" t="s">
        <v>290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1441.41</v>
      </c>
      <c r="M28" s="15">
        <v>0</v>
      </c>
      <c r="N28" s="15" t="s">
        <v>75</v>
      </c>
      <c r="O28" t="s">
        <v>75</v>
      </c>
    </row>
    <row r="29" spans="1:15" x14ac:dyDescent="0.25">
      <c r="A29" s="10" t="s">
        <v>292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464.23</v>
      </c>
      <c r="L29" s="15">
        <v>0</v>
      </c>
      <c r="M29" s="15">
        <v>0</v>
      </c>
      <c r="N29" s="15" t="s">
        <v>75</v>
      </c>
      <c r="O29" t="s">
        <v>75</v>
      </c>
    </row>
    <row r="30" spans="1:15" x14ac:dyDescent="0.25">
      <c r="A30" s="10" t="s">
        <v>300</v>
      </c>
      <c r="B30" s="15">
        <v>0</v>
      </c>
      <c r="C30" s="15">
        <v>965.25</v>
      </c>
      <c r="D30" s="15">
        <v>0</v>
      </c>
      <c r="E30" s="15">
        <v>0</v>
      </c>
      <c r="F30" s="15">
        <v>0</v>
      </c>
      <c r="G30" s="15">
        <v>0</v>
      </c>
      <c r="H30" s="15">
        <v>102.47</v>
      </c>
      <c r="I30" s="15">
        <v>0</v>
      </c>
      <c r="J30" s="15">
        <v>0</v>
      </c>
      <c r="K30" s="15">
        <v>0</v>
      </c>
      <c r="L30" s="15">
        <v>0</v>
      </c>
      <c r="M30" s="15">
        <v>1092.03</v>
      </c>
      <c r="N30" s="15" t="s">
        <v>75</v>
      </c>
      <c r="O30" t="s">
        <v>75</v>
      </c>
    </row>
    <row r="31" spans="1:15" x14ac:dyDescent="0.25">
      <c r="A31" s="10" t="s">
        <v>310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970.16</v>
      </c>
      <c r="N31" s="15" t="s">
        <v>75</v>
      </c>
      <c r="O31" t="s">
        <v>75</v>
      </c>
    </row>
    <row r="32" spans="1:15" x14ac:dyDescent="0.25">
      <c r="A32" s="10" t="s">
        <v>322</v>
      </c>
      <c r="B32" s="15">
        <v>0</v>
      </c>
      <c r="C32" s="15">
        <v>0</v>
      </c>
      <c r="D32" s="15">
        <v>705.48</v>
      </c>
      <c r="E32" s="15">
        <v>0</v>
      </c>
      <c r="F32" s="15">
        <v>0</v>
      </c>
      <c r="G32" s="15">
        <v>0</v>
      </c>
      <c r="H32" s="15">
        <v>0</v>
      </c>
      <c r="I32" s="15">
        <v>74.92</v>
      </c>
      <c r="J32" s="15">
        <v>0</v>
      </c>
      <c r="K32" s="15">
        <v>0</v>
      </c>
      <c r="L32" s="15">
        <v>0</v>
      </c>
      <c r="M32" s="15">
        <v>0</v>
      </c>
      <c r="N32" s="15" t="s">
        <v>75</v>
      </c>
      <c r="O32" t="s">
        <v>75</v>
      </c>
    </row>
    <row r="33" spans="1:15" x14ac:dyDescent="0.25">
      <c r="A33" s="10" t="s">
        <v>332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1021.73</v>
      </c>
      <c r="J33" s="15">
        <v>0</v>
      </c>
      <c r="K33" s="15">
        <v>0</v>
      </c>
      <c r="L33" s="15">
        <v>0</v>
      </c>
      <c r="M33" s="15">
        <v>0</v>
      </c>
      <c r="N33" s="15" t="s">
        <v>75</v>
      </c>
      <c r="O33" t="s">
        <v>75</v>
      </c>
    </row>
    <row r="34" spans="1:15" x14ac:dyDescent="0.25">
      <c r="A34" s="10" t="s">
        <v>338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1399.44</v>
      </c>
      <c r="K34" s="15">
        <v>0</v>
      </c>
      <c r="L34" s="15">
        <v>0</v>
      </c>
      <c r="M34" s="15">
        <v>0</v>
      </c>
      <c r="N34" s="15" t="s">
        <v>75</v>
      </c>
      <c r="O34" t="s">
        <v>75</v>
      </c>
    </row>
    <row r="35" spans="1:15" x14ac:dyDescent="0.25">
      <c r="A35" s="10" t="s">
        <v>342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2102.96</v>
      </c>
      <c r="H35" s="15">
        <v>224.44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 t="s">
        <v>75</v>
      </c>
      <c r="O35" t="s">
        <v>75</v>
      </c>
    </row>
    <row r="36" spans="1:15" x14ac:dyDescent="0.25">
      <c r="A36" s="10" t="s">
        <v>352</v>
      </c>
      <c r="B36" s="15">
        <v>0</v>
      </c>
      <c r="C36" s="15">
        <v>0</v>
      </c>
      <c r="D36" s="15">
        <v>0</v>
      </c>
      <c r="E36" s="15">
        <v>5605.33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 t="s">
        <v>75</v>
      </c>
      <c r="O36" t="s">
        <v>75</v>
      </c>
    </row>
    <row r="37" spans="1:15" x14ac:dyDescent="0.25">
      <c r="A37" s="10" t="s">
        <v>360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1752.61</v>
      </c>
      <c r="N37" s="15" t="s">
        <v>75</v>
      </c>
      <c r="O37" t="s">
        <v>75</v>
      </c>
    </row>
    <row r="38" spans="1:15" x14ac:dyDescent="0.25">
      <c r="A38" s="10" t="s">
        <v>382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463.85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 t="s">
        <v>75</v>
      </c>
      <c r="O38" t="s">
        <v>75</v>
      </c>
    </row>
    <row r="39" spans="1:15" x14ac:dyDescent="0.25">
      <c r="A39" s="10" t="s">
        <v>398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858.36</v>
      </c>
      <c r="H39" s="15">
        <v>93.76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 t="s">
        <v>75</v>
      </c>
      <c r="O39" t="s">
        <v>75</v>
      </c>
    </row>
    <row r="40" spans="1:15" x14ac:dyDescent="0.25">
      <c r="A40" s="10" t="s">
        <v>406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543.51</v>
      </c>
      <c r="H40" s="15">
        <v>59.92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 t="s">
        <v>75</v>
      </c>
      <c r="O40" t="s">
        <v>75</v>
      </c>
    </row>
    <row r="41" spans="1:15" x14ac:dyDescent="0.25">
      <c r="A41" s="10" t="s">
        <v>428</v>
      </c>
      <c r="B41" s="15">
        <v>652.6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 t="s">
        <v>75</v>
      </c>
      <c r="O41" t="s">
        <v>75</v>
      </c>
    </row>
    <row r="42" spans="1:15" x14ac:dyDescent="0.25">
      <c r="A42" s="10" t="s">
        <v>444</v>
      </c>
      <c r="B42" s="15">
        <v>688.77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 t="s">
        <v>75</v>
      </c>
      <c r="O42" t="s">
        <v>75</v>
      </c>
    </row>
    <row r="43" spans="1:15" x14ac:dyDescent="0.25">
      <c r="A43" s="10" t="s">
        <v>466</v>
      </c>
      <c r="B43" s="15">
        <v>0</v>
      </c>
      <c r="C43" s="15">
        <v>0</v>
      </c>
      <c r="D43" s="15">
        <v>0</v>
      </c>
      <c r="E43" s="15">
        <v>1153.95</v>
      </c>
      <c r="F43" s="15">
        <v>0</v>
      </c>
      <c r="G43" s="15">
        <v>0</v>
      </c>
      <c r="H43" s="15">
        <v>125.78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 t="s">
        <v>75</v>
      </c>
      <c r="O43" t="s">
        <v>75</v>
      </c>
    </row>
    <row r="44" spans="1:15" x14ac:dyDescent="0.25">
      <c r="A44" s="10" t="s">
        <v>468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703.03</v>
      </c>
      <c r="H44" s="15">
        <v>76.819999999999993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 t="s">
        <v>75</v>
      </c>
      <c r="O44" t="s">
        <v>75</v>
      </c>
    </row>
    <row r="45" spans="1:15" x14ac:dyDescent="0.25">
      <c r="A45" s="10" t="s">
        <v>486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1126.28</v>
      </c>
      <c r="N45" s="15" t="s">
        <v>75</v>
      </c>
      <c r="O45" t="s">
        <v>75</v>
      </c>
    </row>
    <row r="46" spans="1:15" x14ac:dyDescent="0.25">
      <c r="A46" s="10" t="s">
        <v>488</v>
      </c>
      <c r="B46" s="15">
        <v>0</v>
      </c>
      <c r="C46" s="15">
        <v>0</v>
      </c>
      <c r="D46" s="15">
        <v>0</v>
      </c>
      <c r="E46" s="15">
        <v>605.64</v>
      </c>
      <c r="F46" s="15">
        <v>0</v>
      </c>
      <c r="G46" s="15">
        <v>0</v>
      </c>
      <c r="H46" s="15">
        <v>66.84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 t="s">
        <v>75</v>
      </c>
      <c r="O46" t="s">
        <v>75</v>
      </c>
    </row>
    <row r="47" spans="1:15" x14ac:dyDescent="0.25">
      <c r="A47" s="10" t="s">
        <v>494</v>
      </c>
      <c r="B47" s="15">
        <v>0</v>
      </c>
      <c r="C47" s="15">
        <v>0</v>
      </c>
      <c r="D47" s="15">
        <v>466.77</v>
      </c>
      <c r="E47" s="15">
        <v>0</v>
      </c>
      <c r="F47" s="15">
        <v>0</v>
      </c>
      <c r="G47" s="15">
        <v>0</v>
      </c>
      <c r="H47" s="15">
        <v>51.04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 t="s">
        <v>75</v>
      </c>
      <c r="O47" t="s">
        <v>75</v>
      </c>
    </row>
    <row r="48" spans="1:15" x14ac:dyDescent="0.25">
      <c r="A48" s="10" t="s">
        <v>512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696.45</v>
      </c>
      <c r="H48" s="15">
        <v>77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 t="s">
        <v>75</v>
      </c>
      <c r="O48" t="s">
        <v>75</v>
      </c>
    </row>
    <row r="49" spans="1:15" x14ac:dyDescent="0.25">
      <c r="A49" s="10" t="s">
        <v>526</v>
      </c>
      <c r="B49" s="15">
        <v>0</v>
      </c>
      <c r="C49" s="15">
        <v>0</v>
      </c>
      <c r="D49" s="15">
        <v>669.19</v>
      </c>
      <c r="E49" s="15">
        <v>0</v>
      </c>
      <c r="F49" s="15">
        <v>0</v>
      </c>
      <c r="G49" s="15">
        <v>0</v>
      </c>
      <c r="H49" s="15">
        <v>84.16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 t="s">
        <v>75</v>
      </c>
      <c r="O49" t="s">
        <v>75</v>
      </c>
    </row>
    <row r="50" spans="1:15" x14ac:dyDescent="0.25">
      <c r="A50" s="10" t="s">
        <v>548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543.47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 t="s">
        <v>75</v>
      </c>
      <c r="O50" t="s">
        <v>75</v>
      </c>
    </row>
    <row r="51" spans="1:15" x14ac:dyDescent="0.25">
      <c r="A51" s="10" t="s">
        <v>566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556.85</v>
      </c>
      <c r="K51" s="15">
        <v>0</v>
      </c>
      <c r="L51" s="15">
        <v>0</v>
      </c>
      <c r="M51" s="15">
        <v>0</v>
      </c>
      <c r="N51" s="15" t="s">
        <v>75</v>
      </c>
      <c r="O51" t="s">
        <v>75</v>
      </c>
    </row>
    <row r="52" spans="1:15" x14ac:dyDescent="0.25">
      <c r="A52" s="10" t="s">
        <v>580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3542.27</v>
      </c>
      <c r="K52" s="15">
        <v>0</v>
      </c>
      <c r="L52" s="15">
        <v>0</v>
      </c>
      <c r="M52" s="15">
        <v>0</v>
      </c>
      <c r="N52" s="15" t="s">
        <v>75</v>
      </c>
      <c r="O52" t="s">
        <v>75</v>
      </c>
    </row>
    <row r="53" spans="1:15" x14ac:dyDescent="0.25">
      <c r="A53" s="10" t="s">
        <v>598</v>
      </c>
      <c r="B53" s="15">
        <v>0</v>
      </c>
      <c r="C53" s="15">
        <v>0</v>
      </c>
      <c r="D53" s="15">
        <v>0</v>
      </c>
      <c r="E53" s="15">
        <v>11032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 t="s">
        <v>75</v>
      </c>
      <c r="O53" t="s">
        <v>75</v>
      </c>
    </row>
    <row r="54" spans="1:15" x14ac:dyDescent="0.25">
      <c r="A54" s="10" t="s">
        <v>612</v>
      </c>
      <c r="B54" s="15">
        <v>0</v>
      </c>
      <c r="C54" s="15">
        <v>0</v>
      </c>
      <c r="D54" s="15">
        <v>2886.89</v>
      </c>
      <c r="E54" s="15">
        <v>0</v>
      </c>
      <c r="F54" s="15">
        <v>0</v>
      </c>
      <c r="G54" s="15">
        <v>0</v>
      </c>
      <c r="H54" s="15">
        <v>3431.76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 t="s">
        <v>75</v>
      </c>
      <c r="O54" t="s">
        <v>75</v>
      </c>
    </row>
    <row r="55" spans="1:15" x14ac:dyDescent="0.25">
      <c r="A55" s="10" t="s">
        <v>628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2220.44</v>
      </c>
      <c r="H55" s="15">
        <v>245.79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 t="s">
        <v>75</v>
      </c>
      <c r="O55" t="s">
        <v>75</v>
      </c>
    </row>
    <row r="56" spans="1:15" x14ac:dyDescent="0.25">
      <c r="A56" s="10" t="s">
        <v>640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610.71</v>
      </c>
      <c r="H56" s="15">
        <v>66.900000000000006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 t="s">
        <v>75</v>
      </c>
      <c r="O56" t="s">
        <v>75</v>
      </c>
    </row>
    <row r="57" spans="1:15" x14ac:dyDescent="0.25">
      <c r="A57" s="10" t="s">
        <v>648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662.44</v>
      </c>
      <c r="N57" s="15" t="s">
        <v>75</v>
      </c>
      <c r="O57" t="s">
        <v>75</v>
      </c>
    </row>
    <row r="58" spans="1:15" x14ac:dyDescent="0.25">
      <c r="A58" s="10" t="s">
        <v>652</v>
      </c>
      <c r="B58" s="15">
        <v>0</v>
      </c>
      <c r="C58" s="15">
        <v>722.87</v>
      </c>
      <c r="D58" s="15">
        <v>0</v>
      </c>
      <c r="E58" s="15">
        <v>0</v>
      </c>
      <c r="F58" s="15">
        <v>0</v>
      </c>
      <c r="G58" s="15">
        <v>0</v>
      </c>
      <c r="H58" s="15">
        <v>77.040000000000006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 t="s">
        <v>75</v>
      </c>
      <c r="O58" t="s">
        <v>75</v>
      </c>
    </row>
    <row r="59" spans="1:15" x14ac:dyDescent="0.25">
      <c r="A59" s="10" t="s">
        <v>654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4389.8100000000004</v>
      </c>
      <c r="N59" s="15" t="s">
        <v>75</v>
      </c>
      <c r="O59" t="s">
        <v>75</v>
      </c>
    </row>
    <row r="60" spans="1:15" x14ac:dyDescent="0.25">
      <c r="A60" s="10" t="s">
        <v>660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1784.48</v>
      </c>
      <c r="H60" s="15">
        <v>185.43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 t="s">
        <v>75</v>
      </c>
      <c r="O60" t="s">
        <v>75</v>
      </c>
    </row>
    <row r="61" spans="1:15" x14ac:dyDescent="0.25">
      <c r="A61" s="10" t="s">
        <v>668</v>
      </c>
      <c r="B61" s="15">
        <v>863.84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 t="s">
        <v>75</v>
      </c>
      <c r="O61" t="s">
        <v>75</v>
      </c>
    </row>
    <row r="62" spans="1:15" x14ac:dyDescent="0.25">
      <c r="A62" s="10" t="s">
        <v>670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2466.23</v>
      </c>
      <c r="N62" s="15" t="s">
        <v>75</v>
      </c>
      <c r="O62" t="s">
        <v>75</v>
      </c>
    </row>
    <row r="63" spans="1:15" x14ac:dyDescent="0.25">
      <c r="A63" s="10" t="s">
        <v>684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732.85</v>
      </c>
      <c r="H63" s="15">
        <v>80.06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 t="s">
        <v>75</v>
      </c>
      <c r="O63" t="s">
        <v>75</v>
      </c>
    </row>
    <row r="64" spans="1:15" x14ac:dyDescent="0.25">
      <c r="A64" s="10" t="s">
        <v>700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5308.48</v>
      </c>
      <c r="L64" s="15">
        <v>0</v>
      </c>
      <c r="M64" s="15">
        <v>0</v>
      </c>
      <c r="N64" s="15" t="s">
        <v>75</v>
      </c>
      <c r="O64" t="s">
        <v>75</v>
      </c>
    </row>
    <row r="65" spans="1:15" x14ac:dyDescent="0.25">
      <c r="A65" s="10" t="s">
        <v>716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2021.64</v>
      </c>
      <c r="M65" s="15">
        <v>0</v>
      </c>
      <c r="N65" s="15" t="s">
        <v>75</v>
      </c>
      <c r="O65" t="s">
        <v>75</v>
      </c>
    </row>
    <row r="66" spans="1:15" x14ac:dyDescent="0.25">
      <c r="A66" s="10" t="s">
        <v>726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2103.2399999999998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 t="s">
        <v>75</v>
      </c>
      <c r="O66" t="s">
        <v>75</v>
      </c>
    </row>
    <row r="67" spans="1:15" x14ac:dyDescent="0.25">
      <c r="A67" s="10" t="s">
        <v>740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6676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 t="s">
        <v>75</v>
      </c>
      <c r="O67" t="s">
        <v>75</v>
      </c>
    </row>
    <row r="68" spans="1:15" x14ac:dyDescent="0.25">
      <c r="A68" s="10" t="s">
        <v>746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1262.21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 t="s">
        <v>75</v>
      </c>
      <c r="O68" t="s">
        <v>75</v>
      </c>
    </row>
    <row r="69" spans="1:15" x14ac:dyDescent="0.25">
      <c r="A69" s="10" t="s">
        <v>748</v>
      </c>
      <c r="B69" s="15">
        <v>0</v>
      </c>
      <c r="C69" s="15">
        <v>3051.52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3389.17</v>
      </c>
      <c r="N69" s="15" t="s">
        <v>75</v>
      </c>
      <c r="O69" t="s">
        <v>75</v>
      </c>
    </row>
    <row r="70" spans="1:15" x14ac:dyDescent="0.25">
      <c r="A70" s="10" t="s">
        <v>770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632.47</v>
      </c>
      <c r="K70" s="15">
        <v>0</v>
      </c>
      <c r="L70" s="15">
        <v>0</v>
      </c>
      <c r="M70" s="15">
        <v>0</v>
      </c>
      <c r="N70" s="15" t="s">
        <v>75</v>
      </c>
      <c r="O70" t="s">
        <v>75</v>
      </c>
    </row>
    <row r="71" spans="1:15" x14ac:dyDescent="0.25">
      <c r="A71" s="10" t="s">
        <v>776</v>
      </c>
      <c r="B71" s="15">
        <v>0</v>
      </c>
      <c r="C71" s="15">
        <v>0</v>
      </c>
      <c r="D71" s="15">
        <v>0</v>
      </c>
      <c r="E71" s="15">
        <v>593.52</v>
      </c>
      <c r="F71" s="15">
        <v>0</v>
      </c>
      <c r="G71" s="15">
        <v>0</v>
      </c>
      <c r="H71" s="15">
        <v>64.680000000000007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 t="s">
        <v>75</v>
      </c>
      <c r="O71" t="s">
        <v>75</v>
      </c>
    </row>
    <row r="72" spans="1:15" x14ac:dyDescent="0.25">
      <c r="A72" s="10" t="s">
        <v>778</v>
      </c>
      <c r="B72" s="15">
        <v>0</v>
      </c>
      <c r="C72" s="15">
        <v>0</v>
      </c>
      <c r="D72" s="15">
        <v>0</v>
      </c>
      <c r="E72" s="15">
        <v>0</v>
      </c>
      <c r="F72" s="15">
        <v>442.67</v>
      </c>
      <c r="G72" s="15">
        <v>0</v>
      </c>
      <c r="H72" s="15">
        <v>51.29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 t="s">
        <v>75</v>
      </c>
      <c r="O72" t="s">
        <v>75</v>
      </c>
    </row>
    <row r="73" spans="1:15" x14ac:dyDescent="0.25">
      <c r="A73" s="10" t="s">
        <v>780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733.16</v>
      </c>
      <c r="K73" s="15">
        <v>0</v>
      </c>
      <c r="L73" s="15">
        <v>0</v>
      </c>
      <c r="M73" s="15">
        <v>0</v>
      </c>
      <c r="N73" s="15" t="s">
        <v>75</v>
      </c>
      <c r="O73" t="s">
        <v>75</v>
      </c>
    </row>
    <row r="74" spans="1:15" x14ac:dyDescent="0.25">
      <c r="A74" s="10" t="s">
        <v>794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4268.7700000000004</v>
      </c>
      <c r="K74" s="15">
        <v>0</v>
      </c>
      <c r="L74" s="15">
        <v>0</v>
      </c>
      <c r="M74" s="15">
        <v>0</v>
      </c>
      <c r="N74" s="15" t="s">
        <v>75</v>
      </c>
      <c r="O74" t="s">
        <v>75</v>
      </c>
    </row>
    <row r="75" spans="1:15" x14ac:dyDescent="0.25">
      <c r="A75" s="10" t="s">
        <v>796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1188.5999999999999</v>
      </c>
      <c r="N75" s="15" t="s">
        <v>75</v>
      </c>
      <c r="O75" t="s">
        <v>75</v>
      </c>
    </row>
    <row r="76" spans="1:15" x14ac:dyDescent="0.25">
      <c r="A76" s="10" t="s">
        <v>798</v>
      </c>
      <c r="B76" s="15">
        <v>0</v>
      </c>
      <c r="C76" s="15">
        <v>0</v>
      </c>
      <c r="D76" s="15">
        <v>2105.77</v>
      </c>
      <c r="E76" s="15">
        <v>0</v>
      </c>
      <c r="F76" s="15">
        <v>0</v>
      </c>
      <c r="G76" s="15">
        <v>0</v>
      </c>
      <c r="H76" s="15">
        <v>85.22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 t="s">
        <v>75</v>
      </c>
      <c r="O76" t="s">
        <v>75</v>
      </c>
    </row>
    <row r="77" spans="1:15" x14ac:dyDescent="0.25">
      <c r="A77" s="10" t="s">
        <v>804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6236.89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 t="s">
        <v>75</v>
      </c>
      <c r="O77" t="s">
        <v>75</v>
      </c>
    </row>
    <row r="78" spans="1:15" x14ac:dyDescent="0.25">
      <c r="A78" s="10" t="s">
        <v>808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2658.51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 t="s">
        <v>75</v>
      </c>
      <c r="O78" t="s">
        <v>75</v>
      </c>
    </row>
    <row r="79" spans="1:15" x14ac:dyDescent="0.25">
      <c r="A79" s="10" t="s">
        <v>824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942.15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 t="s">
        <v>75</v>
      </c>
      <c r="O79" t="s">
        <v>75</v>
      </c>
    </row>
    <row r="80" spans="1:15" x14ac:dyDescent="0.25">
      <c r="A80" s="10" t="s">
        <v>836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453.33</v>
      </c>
      <c r="J80" s="15">
        <v>0</v>
      </c>
      <c r="K80" s="15">
        <v>0</v>
      </c>
      <c r="L80" s="15">
        <v>0</v>
      </c>
      <c r="M80" s="15">
        <v>0</v>
      </c>
      <c r="N80" s="15" t="s">
        <v>75</v>
      </c>
      <c r="O80" t="s">
        <v>75</v>
      </c>
    </row>
    <row r="81" spans="1:15" x14ac:dyDescent="0.25">
      <c r="A81" s="10" t="s">
        <v>840</v>
      </c>
      <c r="B81" s="15">
        <v>3485.28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 t="s">
        <v>75</v>
      </c>
      <c r="O81" t="s">
        <v>75</v>
      </c>
    </row>
    <row r="82" spans="1:15" x14ac:dyDescent="0.25">
      <c r="A82" s="10" t="s">
        <v>852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721.11</v>
      </c>
      <c r="N82" s="15" t="s">
        <v>75</v>
      </c>
      <c r="O82" t="s">
        <v>75</v>
      </c>
    </row>
    <row r="83" spans="1:15" x14ac:dyDescent="0.25">
      <c r="A83" s="10" t="s">
        <v>864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1572.24</v>
      </c>
      <c r="H83" s="15">
        <v>172.36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 t="s">
        <v>75</v>
      </c>
      <c r="O83" t="s">
        <v>75</v>
      </c>
    </row>
    <row r="84" spans="1:15" x14ac:dyDescent="0.25">
      <c r="A84" s="10" t="s">
        <v>889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1363.07</v>
      </c>
      <c r="H84" s="15">
        <v>140.01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 t="s">
        <v>75</v>
      </c>
      <c r="O84" t="s">
        <v>75</v>
      </c>
    </row>
    <row r="85" spans="1:15" x14ac:dyDescent="0.25">
      <c r="A85" s="10" t="s">
        <v>903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1191.71</v>
      </c>
      <c r="N85" s="15" t="s">
        <v>75</v>
      </c>
      <c r="O85" t="s">
        <v>75</v>
      </c>
    </row>
    <row r="86" spans="1:15" x14ac:dyDescent="0.25">
      <c r="A86" s="10" t="s">
        <v>917</v>
      </c>
      <c r="B86" s="15">
        <v>0</v>
      </c>
      <c r="C86" s="15">
        <v>0</v>
      </c>
      <c r="D86" s="15">
        <v>3539.17</v>
      </c>
      <c r="E86" s="15">
        <v>0</v>
      </c>
      <c r="F86" s="15">
        <v>0</v>
      </c>
      <c r="G86" s="15">
        <v>0</v>
      </c>
      <c r="H86" s="15">
        <v>382.88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 t="s">
        <v>75</v>
      </c>
      <c r="O86" t="s">
        <v>75</v>
      </c>
    </row>
    <row r="87" spans="1:15" x14ac:dyDescent="0.25">
      <c r="A87" s="10" t="s">
        <v>925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7720.44</v>
      </c>
      <c r="K87" s="15">
        <v>0</v>
      </c>
      <c r="L87" s="15">
        <v>0</v>
      </c>
      <c r="M87" s="15">
        <v>0</v>
      </c>
      <c r="N87" s="15" t="s">
        <v>75</v>
      </c>
      <c r="O87" t="s">
        <v>75</v>
      </c>
    </row>
    <row r="88" spans="1:15" x14ac:dyDescent="0.25">
      <c r="A88" s="10" t="s">
        <v>929</v>
      </c>
      <c r="B88" s="15">
        <v>0</v>
      </c>
      <c r="C88" s="15">
        <v>0</v>
      </c>
      <c r="D88" s="15">
        <v>0</v>
      </c>
      <c r="E88" s="15">
        <v>0</v>
      </c>
      <c r="F88" s="15">
        <v>1322.97</v>
      </c>
      <c r="G88" s="15">
        <v>0</v>
      </c>
      <c r="H88" s="15">
        <v>141.82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 t="s">
        <v>75</v>
      </c>
      <c r="O88" t="s">
        <v>75</v>
      </c>
    </row>
    <row r="89" spans="1:15" x14ac:dyDescent="0.25">
      <c r="A89" s="10" t="s">
        <v>939</v>
      </c>
      <c r="B89" s="15">
        <v>0</v>
      </c>
      <c r="C89" s="15">
        <v>0</v>
      </c>
      <c r="D89" s="15">
        <v>0</v>
      </c>
      <c r="E89" s="15">
        <v>0</v>
      </c>
      <c r="F89" s="15">
        <v>1220.8800000000001</v>
      </c>
      <c r="G89" s="15">
        <v>0</v>
      </c>
      <c r="H89" s="15">
        <v>132.71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 t="s">
        <v>75</v>
      </c>
      <c r="O89" t="s">
        <v>75</v>
      </c>
    </row>
    <row r="90" spans="1:15" x14ac:dyDescent="0.25">
      <c r="A90" s="10" t="s">
        <v>947</v>
      </c>
      <c r="B90" s="15">
        <v>0</v>
      </c>
      <c r="C90" s="15">
        <v>0</v>
      </c>
      <c r="D90" s="15">
        <v>0</v>
      </c>
      <c r="E90" s="15">
        <v>1271.52</v>
      </c>
      <c r="F90" s="15">
        <v>0</v>
      </c>
      <c r="G90" s="15">
        <v>0</v>
      </c>
      <c r="H90" s="15">
        <v>137.71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 t="s">
        <v>75</v>
      </c>
      <c r="O90" t="s">
        <v>75</v>
      </c>
    </row>
    <row r="91" spans="1:15" x14ac:dyDescent="0.25">
      <c r="A91" s="10" t="s">
        <v>953</v>
      </c>
      <c r="B91" s="15">
        <v>0</v>
      </c>
      <c r="C91" s="15">
        <v>0</v>
      </c>
      <c r="D91" s="15">
        <v>0</v>
      </c>
      <c r="E91" s="15">
        <v>0</v>
      </c>
      <c r="F91" s="15">
        <v>2220.44</v>
      </c>
      <c r="G91" s="15">
        <v>0</v>
      </c>
      <c r="H91" s="15">
        <v>245.79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 t="s">
        <v>75</v>
      </c>
      <c r="O91" t="s">
        <v>75</v>
      </c>
    </row>
    <row r="92" spans="1:15" x14ac:dyDescent="0.25">
      <c r="A92" s="10" t="s">
        <v>955</v>
      </c>
      <c r="B92" s="15">
        <v>0</v>
      </c>
      <c r="C92" s="15">
        <v>0</v>
      </c>
      <c r="D92" s="15">
        <v>0</v>
      </c>
      <c r="E92" s="15">
        <v>0</v>
      </c>
      <c r="F92" s="15">
        <v>2692.65</v>
      </c>
      <c r="G92" s="15">
        <v>0</v>
      </c>
      <c r="H92" s="15">
        <v>298.02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 t="s">
        <v>75</v>
      </c>
      <c r="O92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O89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90627,74</v>
      </c>
      <c r="C2" s="14" t="str">
        <f>CONCATENATE("FEVEREIRO",CHAR(10),"TOTAL: ",ROUND(SUM(C3:C1048576),2))</f>
        <v>FEVEREIRO
TOTAL: 16014,2</v>
      </c>
      <c r="D2" s="14" t="str">
        <f>CONCATENATE("MARÇO",CHAR(10),"TOTAL: ",ROUND(SUM(D3:D1048576),2))</f>
        <v>MARÇO
TOTAL: 163736,29</v>
      </c>
      <c r="E2" s="14" t="str">
        <f>CONCATENATE("ABRIL",CHAR(10),"TOTAL: ",ROUND(SUM(E3:E1048576),2))</f>
        <v>ABRIL
TOTAL: 44381,57</v>
      </c>
      <c r="F2" s="14" t="str">
        <f>CONCATENATE("MAIO",CHAR(10),"TOTAL: ",ROUND(SUM(F3:F1048576),2))</f>
        <v>MAIO
TOTAL: 26224,34</v>
      </c>
      <c r="G2" s="14" t="str">
        <f>CONCATENATE("JUNHO",CHAR(10),"TOTAL: ",ROUND(SUM(G3:G1048576),2))</f>
        <v>JUNHO
TOTAL: 6103,26</v>
      </c>
      <c r="H2" s="14" t="str">
        <f>CONCATENATE("JULHO",CHAR(10),"TOTAL: ",ROUND(SUM(H3:H1048576),2))</f>
        <v>JULHO
TOTAL: 26506,77</v>
      </c>
      <c r="I2" s="14" t="str">
        <f>CONCATENATE("AGOSTO",CHAR(10),"TOTAL: ",ROUND(SUM(I3:I1048576),2))</f>
        <v>AGOSTO
TOTAL: 178787,74</v>
      </c>
      <c r="J2" s="14" t="str">
        <f>CONCATENATE("SETEMBRO",CHAR(10),"TOTAL: ",ROUND(SUM(J3:J1048576),2))</f>
        <v>SETEMBRO
TOTAL: 113936,54</v>
      </c>
      <c r="K2" s="14" t="str">
        <f>CONCATENATE("OUTUBRO",CHAR(10),"TOTAL: ",ROUND(SUM(K3:K1048576),2))</f>
        <v>OUTUBRO
TOTAL: 22929,06</v>
      </c>
      <c r="L2" s="14" t="str">
        <f>CONCATENATE("NOVEMBRO",CHAR(10),"TOTAL: ",ROUND(SUM(L3:L1048576),2))</f>
        <v>NOVEMBRO
TOTAL: 129434,42</v>
      </c>
      <c r="M2" s="14" t="str">
        <f>CONCATENATE("DEZEMBRO",CHAR(10),"TOTAL: ",ROUND(SUM(M3:M1048576),2))</f>
        <v>DEZEMBRO
TOTAL: 27397,98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96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9609.1299999999992</v>
      </c>
      <c r="M3" s="15">
        <v>0</v>
      </c>
      <c r="N3" s="15" t="s">
        <v>75</v>
      </c>
      <c r="O3" t="s">
        <v>75</v>
      </c>
    </row>
    <row r="4" spans="1:15" x14ac:dyDescent="0.25">
      <c r="A4" s="10" t="s">
        <v>116</v>
      </c>
      <c r="B4" s="15">
        <v>3978.31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t="s">
        <v>75</v>
      </c>
    </row>
    <row r="5" spans="1:15" x14ac:dyDescent="0.25">
      <c r="A5" s="10" t="s">
        <v>124</v>
      </c>
      <c r="B5" s="15">
        <v>10716.95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  <row r="6" spans="1:15" x14ac:dyDescent="0.25">
      <c r="A6" s="10" t="s">
        <v>126</v>
      </c>
      <c r="B6" s="15">
        <v>0</v>
      </c>
      <c r="C6" s="15">
        <v>0</v>
      </c>
      <c r="D6" s="15">
        <v>0</v>
      </c>
      <c r="E6" s="15">
        <v>5710.41</v>
      </c>
      <c r="F6" s="15">
        <v>0</v>
      </c>
      <c r="G6" s="15">
        <v>0</v>
      </c>
      <c r="H6" s="15">
        <v>0</v>
      </c>
      <c r="I6" s="15">
        <v>312.01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5" x14ac:dyDescent="0.25">
      <c r="A7" s="10" t="s">
        <v>136</v>
      </c>
      <c r="B7" s="15">
        <v>0</v>
      </c>
      <c r="C7" s="15">
        <v>0</v>
      </c>
      <c r="D7" s="15">
        <v>3312.38</v>
      </c>
      <c r="E7" s="15">
        <v>0</v>
      </c>
      <c r="F7" s="15">
        <v>0</v>
      </c>
      <c r="G7" s="15">
        <v>0</v>
      </c>
      <c r="H7" s="15">
        <v>0</v>
      </c>
      <c r="I7" s="15">
        <v>123.49</v>
      </c>
      <c r="J7" s="15">
        <v>0</v>
      </c>
      <c r="K7" s="15">
        <v>0</v>
      </c>
      <c r="L7" s="15">
        <v>0</v>
      </c>
      <c r="M7" s="15">
        <v>0</v>
      </c>
      <c r="N7" s="15" t="s">
        <v>75</v>
      </c>
      <c r="O7" t="s">
        <v>75</v>
      </c>
    </row>
    <row r="8" spans="1:15" x14ac:dyDescent="0.25">
      <c r="A8" s="10" t="s">
        <v>154</v>
      </c>
      <c r="B8" s="15">
        <v>0</v>
      </c>
      <c r="C8" s="15">
        <v>0</v>
      </c>
      <c r="D8" s="15">
        <v>0</v>
      </c>
      <c r="E8" s="15">
        <v>4278.6899999999996</v>
      </c>
      <c r="F8" s="15">
        <v>0</v>
      </c>
      <c r="G8" s="15">
        <v>0</v>
      </c>
      <c r="H8" s="15">
        <v>0</v>
      </c>
      <c r="I8" s="15">
        <v>231.61</v>
      </c>
      <c r="J8" s="15">
        <v>0</v>
      </c>
      <c r="K8" s="15">
        <v>0</v>
      </c>
      <c r="L8" s="15">
        <v>0</v>
      </c>
      <c r="M8" s="15">
        <v>0</v>
      </c>
      <c r="N8" s="15" t="s">
        <v>75</v>
      </c>
      <c r="O8" t="s">
        <v>75</v>
      </c>
    </row>
    <row r="9" spans="1:15" x14ac:dyDescent="0.25">
      <c r="A9" s="10" t="s">
        <v>168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4259.8599999999997</v>
      </c>
      <c r="J9" s="15">
        <v>0</v>
      </c>
      <c r="K9" s="15">
        <v>0</v>
      </c>
      <c r="L9" s="15">
        <v>0</v>
      </c>
      <c r="M9" s="15">
        <v>0</v>
      </c>
      <c r="N9" s="15" t="s">
        <v>75</v>
      </c>
      <c r="O9" t="s">
        <v>75</v>
      </c>
    </row>
    <row r="10" spans="1:15" x14ac:dyDescent="0.25">
      <c r="A10" s="10" t="s">
        <v>176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8205.91</v>
      </c>
      <c r="N10" s="15" t="s">
        <v>75</v>
      </c>
      <c r="O10" t="s">
        <v>75</v>
      </c>
    </row>
    <row r="11" spans="1:15" x14ac:dyDescent="0.25">
      <c r="A11" s="10" t="s">
        <v>186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5323.57</v>
      </c>
      <c r="K11" s="15">
        <v>0</v>
      </c>
      <c r="L11" s="15">
        <v>0</v>
      </c>
      <c r="M11" s="15">
        <v>0</v>
      </c>
      <c r="N11" s="15" t="s">
        <v>75</v>
      </c>
      <c r="O11" t="s">
        <v>75</v>
      </c>
    </row>
    <row r="12" spans="1:15" x14ac:dyDescent="0.25">
      <c r="A12" s="10" t="s">
        <v>200</v>
      </c>
      <c r="B12" s="15">
        <v>1461.5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 t="s">
        <v>75</v>
      </c>
      <c r="O12" t="s">
        <v>75</v>
      </c>
    </row>
    <row r="13" spans="1:15" x14ac:dyDescent="0.25">
      <c r="A13" s="10" t="s">
        <v>202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12192.46</v>
      </c>
      <c r="K13" s="15">
        <v>0</v>
      </c>
      <c r="L13" s="15">
        <v>0</v>
      </c>
      <c r="M13" s="15">
        <v>0</v>
      </c>
      <c r="N13" s="15" t="s">
        <v>75</v>
      </c>
      <c r="O13" t="s">
        <v>75</v>
      </c>
    </row>
    <row r="14" spans="1:15" x14ac:dyDescent="0.25">
      <c r="A14" s="10" t="s">
        <v>208</v>
      </c>
      <c r="B14" s="15">
        <v>6361.45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 t="s">
        <v>75</v>
      </c>
      <c r="O14" t="s">
        <v>75</v>
      </c>
    </row>
    <row r="15" spans="1:15" x14ac:dyDescent="0.25">
      <c r="A15" s="10" t="s">
        <v>210</v>
      </c>
      <c r="B15" s="15">
        <v>0</v>
      </c>
      <c r="C15" s="15">
        <v>2414.64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 t="s">
        <v>75</v>
      </c>
      <c r="O15" t="s">
        <v>75</v>
      </c>
    </row>
    <row r="16" spans="1:15" x14ac:dyDescent="0.25">
      <c r="A16" s="10" t="s">
        <v>212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31596.34</v>
      </c>
      <c r="K16" s="15">
        <v>0</v>
      </c>
      <c r="L16" s="15">
        <v>0</v>
      </c>
      <c r="M16" s="15">
        <v>0</v>
      </c>
      <c r="N16" s="15" t="s">
        <v>75</v>
      </c>
      <c r="O16" t="s">
        <v>75</v>
      </c>
    </row>
    <row r="17" spans="1:15" x14ac:dyDescent="0.25">
      <c r="A17" s="10" t="s">
        <v>222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9278.81</v>
      </c>
      <c r="M17" s="15">
        <v>0</v>
      </c>
      <c r="N17" s="15" t="s">
        <v>75</v>
      </c>
      <c r="O17" t="s">
        <v>75</v>
      </c>
    </row>
    <row r="18" spans="1:15" x14ac:dyDescent="0.25">
      <c r="A18" s="10" t="s">
        <v>224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2355.9</v>
      </c>
      <c r="J18" s="15">
        <v>0</v>
      </c>
      <c r="K18" s="15">
        <v>0</v>
      </c>
      <c r="L18" s="15">
        <v>0</v>
      </c>
      <c r="M18" s="15">
        <v>0</v>
      </c>
      <c r="N18" s="15" t="s">
        <v>75</v>
      </c>
      <c r="O18" t="s">
        <v>75</v>
      </c>
    </row>
    <row r="19" spans="1:15" x14ac:dyDescent="0.25">
      <c r="A19" s="10" t="s">
        <v>236</v>
      </c>
      <c r="B19" s="15">
        <v>0</v>
      </c>
      <c r="C19" s="15">
        <v>0</v>
      </c>
      <c r="D19" s="15">
        <v>0</v>
      </c>
      <c r="E19" s="15">
        <v>7326.83</v>
      </c>
      <c r="F19" s="15">
        <v>0</v>
      </c>
      <c r="G19" s="15">
        <v>0</v>
      </c>
      <c r="H19" s="15">
        <v>0</v>
      </c>
      <c r="I19" s="15">
        <v>244.74</v>
      </c>
      <c r="J19" s="15">
        <v>0</v>
      </c>
      <c r="K19" s="15">
        <v>0</v>
      </c>
      <c r="L19" s="15">
        <v>0</v>
      </c>
      <c r="M19" s="15">
        <v>0</v>
      </c>
      <c r="N19" s="15" t="s">
        <v>75</v>
      </c>
      <c r="O19" t="s">
        <v>75</v>
      </c>
    </row>
    <row r="20" spans="1:15" x14ac:dyDescent="0.25">
      <c r="A20" s="10" t="s">
        <v>238</v>
      </c>
      <c r="B20" s="15">
        <v>0</v>
      </c>
      <c r="C20" s="15">
        <v>0</v>
      </c>
      <c r="D20" s="15">
        <v>0</v>
      </c>
      <c r="E20" s="15">
        <v>3538.56</v>
      </c>
      <c r="F20" s="15">
        <v>0</v>
      </c>
      <c r="G20" s="15">
        <v>0</v>
      </c>
      <c r="H20" s="15">
        <v>0</v>
      </c>
      <c r="I20" s="15">
        <v>163.08000000000001</v>
      </c>
      <c r="J20" s="15">
        <v>0</v>
      </c>
      <c r="K20" s="15">
        <v>0</v>
      </c>
      <c r="L20" s="15">
        <v>0</v>
      </c>
      <c r="M20" s="15">
        <v>0</v>
      </c>
      <c r="N20" s="15" t="s">
        <v>75</v>
      </c>
      <c r="O20" t="s">
        <v>75</v>
      </c>
    </row>
    <row r="21" spans="1:15" x14ac:dyDescent="0.25">
      <c r="A21" s="10" t="s">
        <v>246</v>
      </c>
      <c r="B21" s="15">
        <v>0</v>
      </c>
      <c r="C21" s="15">
        <v>0</v>
      </c>
      <c r="D21" s="15">
        <v>0</v>
      </c>
      <c r="E21" s="15">
        <v>0</v>
      </c>
      <c r="F21" s="15">
        <v>3299.16</v>
      </c>
      <c r="G21" s="15">
        <v>0</v>
      </c>
      <c r="H21" s="15">
        <v>0</v>
      </c>
      <c r="I21" s="15">
        <v>148.5</v>
      </c>
      <c r="J21" s="15">
        <v>0</v>
      </c>
      <c r="K21" s="15">
        <v>0</v>
      </c>
      <c r="L21" s="15">
        <v>0</v>
      </c>
      <c r="M21" s="15">
        <v>0</v>
      </c>
      <c r="N21" s="15" t="s">
        <v>75</v>
      </c>
      <c r="O21" t="s">
        <v>75</v>
      </c>
    </row>
    <row r="22" spans="1:15" x14ac:dyDescent="0.25">
      <c r="A22" s="10" t="s">
        <v>266</v>
      </c>
      <c r="B22" s="15">
        <v>4164.1099999999997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 t="s">
        <v>75</v>
      </c>
      <c r="O22" t="s">
        <v>75</v>
      </c>
    </row>
    <row r="23" spans="1:15" x14ac:dyDescent="0.25">
      <c r="A23" s="10" t="s">
        <v>278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8792.83</v>
      </c>
      <c r="M23" s="15">
        <v>0</v>
      </c>
      <c r="N23" s="15" t="s">
        <v>75</v>
      </c>
      <c r="O23" t="s">
        <v>75</v>
      </c>
    </row>
    <row r="24" spans="1:15" x14ac:dyDescent="0.25">
      <c r="A24" s="10" t="s">
        <v>322</v>
      </c>
      <c r="B24" s="15">
        <v>0</v>
      </c>
      <c r="C24" s="15">
        <v>0</v>
      </c>
      <c r="D24" s="15">
        <v>0</v>
      </c>
      <c r="E24" s="15">
        <v>0</v>
      </c>
      <c r="F24" s="15">
        <v>5180.59</v>
      </c>
      <c r="G24" s="15">
        <v>0</v>
      </c>
      <c r="H24" s="15">
        <v>0</v>
      </c>
      <c r="I24" s="15">
        <v>255.98</v>
      </c>
      <c r="J24" s="15">
        <v>0</v>
      </c>
      <c r="K24" s="15">
        <v>0</v>
      </c>
      <c r="L24" s="15">
        <v>0</v>
      </c>
      <c r="M24" s="15">
        <v>0</v>
      </c>
      <c r="N24" s="15" t="s">
        <v>75</v>
      </c>
      <c r="O24" t="s">
        <v>75</v>
      </c>
    </row>
    <row r="25" spans="1:15" x14ac:dyDescent="0.25">
      <c r="A25" s="10" t="s">
        <v>348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9084.75</v>
      </c>
      <c r="M25" s="15">
        <v>0</v>
      </c>
      <c r="N25" s="15" t="s">
        <v>75</v>
      </c>
      <c r="O25" t="s">
        <v>75</v>
      </c>
    </row>
    <row r="26" spans="1:15" x14ac:dyDescent="0.25">
      <c r="A26" s="10" t="s">
        <v>358</v>
      </c>
      <c r="B26" s="15">
        <v>0</v>
      </c>
      <c r="C26" s="15">
        <v>0</v>
      </c>
      <c r="D26" s="15">
        <v>16849.91</v>
      </c>
      <c r="E26" s="15">
        <v>0</v>
      </c>
      <c r="F26" s="15">
        <v>0</v>
      </c>
      <c r="G26" s="15">
        <v>0</v>
      </c>
      <c r="H26" s="15">
        <v>0</v>
      </c>
      <c r="I26" s="15">
        <v>456.45</v>
      </c>
      <c r="J26" s="15">
        <v>0</v>
      </c>
      <c r="K26" s="15">
        <v>0</v>
      </c>
      <c r="L26" s="15">
        <v>0</v>
      </c>
      <c r="M26" s="15">
        <v>0</v>
      </c>
      <c r="N26" s="15" t="s">
        <v>75</v>
      </c>
      <c r="O26" t="s">
        <v>75</v>
      </c>
    </row>
    <row r="27" spans="1:15" x14ac:dyDescent="0.25">
      <c r="A27" s="10" t="s">
        <v>362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3363.45</v>
      </c>
      <c r="K27" s="15">
        <v>0</v>
      </c>
      <c r="L27" s="15">
        <v>0</v>
      </c>
      <c r="M27" s="15">
        <v>0</v>
      </c>
      <c r="N27" s="15" t="s">
        <v>75</v>
      </c>
      <c r="O27" t="s">
        <v>75</v>
      </c>
    </row>
    <row r="28" spans="1:15" x14ac:dyDescent="0.25">
      <c r="A28" s="10" t="s">
        <v>366</v>
      </c>
      <c r="B28" s="15">
        <v>1642.21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 t="s">
        <v>75</v>
      </c>
      <c r="O28" t="s">
        <v>75</v>
      </c>
    </row>
    <row r="29" spans="1:15" x14ac:dyDescent="0.25">
      <c r="A29" s="10" t="s">
        <v>374</v>
      </c>
      <c r="B29" s="15">
        <v>0</v>
      </c>
      <c r="C29" s="15">
        <v>0</v>
      </c>
      <c r="D29" s="15">
        <v>0</v>
      </c>
      <c r="E29" s="15">
        <v>0</v>
      </c>
      <c r="F29" s="15">
        <v>1033.44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 t="s">
        <v>75</v>
      </c>
      <c r="O29" t="s">
        <v>75</v>
      </c>
    </row>
    <row r="30" spans="1:15" x14ac:dyDescent="0.25">
      <c r="A30" s="10" t="s">
        <v>384</v>
      </c>
      <c r="B30" s="15">
        <v>2747.19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 t="s">
        <v>75</v>
      </c>
      <c r="O30" t="s">
        <v>75</v>
      </c>
    </row>
    <row r="31" spans="1:15" x14ac:dyDescent="0.25">
      <c r="A31" s="10" t="s">
        <v>410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3574.24</v>
      </c>
      <c r="H31" s="15">
        <v>0</v>
      </c>
      <c r="I31" s="15">
        <v>206.81</v>
      </c>
      <c r="J31" s="15">
        <v>0</v>
      </c>
      <c r="K31" s="15">
        <v>0</v>
      </c>
      <c r="L31" s="15">
        <v>0</v>
      </c>
      <c r="M31" s="15">
        <v>0</v>
      </c>
      <c r="N31" s="15" t="s">
        <v>75</v>
      </c>
      <c r="O31" t="s">
        <v>75</v>
      </c>
    </row>
    <row r="32" spans="1:15" x14ac:dyDescent="0.25">
      <c r="A32" s="10" t="s">
        <v>412</v>
      </c>
      <c r="B32" s="15">
        <v>0</v>
      </c>
      <c r="C32" s="15">
        <v>3331.01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 t="s">
        <v>75</v>
      </c>
      <c r="O32" t="s">
        <v>75</v>
      </c>
    </row>
    <row r="33" spans="1:15" x14ac:dyDescent="0.25">
      <c r="A33" s="10" t="s">
        <v>418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150.52000000000001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 t="s">
        <v>75</v>
      </c>
      <c r="O33" t="s">
        <v>75</v>
      </c>
    </row>
    <row r="34" spans="1:15" x14ac:dyDescent="0.25">
      <c r="A34" s="10" t="s">
        <v>444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8029.11</v>
      </c>
      <c r="J34" s="15">
        <v>0</v>
      </c>
      <c r="K34" s="15">
        <v>0</v>
      </c>
      <c r="L34" s="15">
        <v>0</v>
      </c>
      <c r="M34" s="15">
        <v>0</v>
      </c>
      <c r="N34" s="15" t="s">
        <v>75</v>
      </c>
      <c r="O34" t="s">
        <v>75</v>
      </c>
    </row>
    <row r="35" spans="1:15" x14ac:dyDescent="0.25">
      <c r="A35" s="10" t="s">
        <v>448</v>
      </c>
      <c r="B35" s="15">
        <v>0</v>
      </c>
      <c r="C35" s="15">
        <v>374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 t="s">
        <v>75</v>
      </c>
      <c r="O35" t="s">
        <v>75</v>
      </c>
    </row>
    <row r="36" spans="1:15" x14ac:dyDescent="0.25">
      <c r="A36" s="10" t="s">
        <v>472</v>
      </c>
      <c r="B36" s="15">
        <v>0</v>
      </c>
      <c r="C36" s="15">
        <v>0</v>
      </c>
      <c r="D36" s="15">
        <v>2274.58</v>
      </c>
      <c r="E36" s="15">
        <v>0</v>
      </c>
      <c r="F36" s="15">
        <v>0</v>
      </c>
      <c r="G36" s="15">
        <v>0</v>
      </c>
      <c r="H36" s="15">
        <v>0</v>
      </c>
      <c r="I36" s="15">
        <v>113.95</v>
      </c>
      <c r="J36" s="15">
        <v>0</v>
      </c>
      <c r="K36" s="15">
        <v>0</v>
      </c>
      <c r="L36" s="15">
        <v>0</v>
      </c>
      <c r="M36" s="15">
        <v>0</v>
      </c>
      <c r="N36" s="15" t="s">
        <v>75</v>
      </c>
      <c r="O36" t="s">
        <v>75</v>
      </c>
    </row>
    <row r="37" spans="1:15" x14ac:dyDescent="0.25">
      <c r="A37" s="10" t="s">
        <v>490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415</v>
      </c>
      <c r="N37" s="15" t="s">
        <v>75</v>
      </c>
      <c r="O37" t="s">
        <v>75</v>
      </c>
    </row>
    <row r="38" spans="1:15" x14ac:dyDescent="0.25">
      <c r="A38" s="10" t="s">
        <v>504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680</v>
      </c>
      <c r="L38" s="15">
        <v>0</v>
      </c>
      <c r="M38" s="15">
        <v>0</v>
      </c>
      <c r="N38" s="15" t="s">
        <v>75</v>
      </c>
      <c r="O38" t="s">
        <v>75</v>
      </c>
    </row>
    <row r="39" spans="1:15" x14ac:dyDescent="0.25">
      <c r="A39" s="10" t="s">
        <v>516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542.5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 t="s">
        <v>75</v>
      </c>
      <c r="O39" t="s">
        <v>75</v>
      </c>
    </row>
    <row r="40" spans="1:15" x14ac:dyDescent="0.25">
      <c r="A40" s="10" t="s">
        <v>532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612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 t="s">
        <v>75</v>
      </c>
      <c r="O40" t="s">
        <v>75</v>
      </c>
    </row>
    <row r="41" spans="1:15" x14ac:dyDescent="0.25">
      <c r="A41" s="10" t="s">
        <v>534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612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 t="s">
        <v>75</v>
      </c>
      <c r="O41" t="s">
        <v>75</v>
      </c>
    </row>
    <row r="42" spans="1:15" x14ac:dyDescent="0.25">
      <c r="A42" s="10" t="s">
        <v>538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680</v>
      </c>
      <c r="L42" s="15">
        <v>0</v>
      </c>
      <c r="M42" s="15">
        <v>0</v>
      </c>
      <c r="N42" s="15" t="s">
        <v>75</v>
      </c>
      <c r="O42" t="s">
        <v>75</v>
      </c>
    </row>
    <row r="43" spans="1:15" x14ac:dyDescent="0.25">
      <c r="A43" s="10" t="s">
        <v>546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207.5</v>
      </c>
      <c r="J43" s="15">
        <v>0</v>
      </c>
      <c r="K43" s="15">
        <v>0</v>
      </c>
      <c r="L43" s="15">
        <v>0</v>
      </c>
      <c r="M43" s="15">
        <v>0</v>
      </c>
      <c r="N43" s="15" t="s">
        <v>75</v>
      </c>
      <c r="O43" t="s">
        <v>75</v>
      </c>
    </row>
    <row r="44" spans="1:15" x14ac:dyDescent="0.25">
      <c r="A44" s="10" t="s">
        <v>550</v>
      </c>
      <c r="B44" s="15">
        <v>0</v>
      </c>
      <c r="C44" s="15">
        <v>0</v>
      </c>
      <c r="D44" s="15">
        <v>2117.1799999999998</v>
      </c>
      <c r="E44" s="15">
        <v>0</v>
      </c>
      <c r="F44" s="15">
        <v>0</v>
      </c>
      <c r="G44" s="15">
        <v>0</v>
      </c>
      <c r="H44" s="15">
        <v>0</v>
      </c>
      <c r="I44" s="15">
        <v>108.91</v>
      </c>
      <c r="J44" s="15">
        <v>0</v>
      </c>
      <c r="K44" s="15">
        <v>0</v>
      </c>
      <c r="L44" s="15">
        <v>0</v>
      </c>
      <c r="M44" s="15">
        <v>0</v>
      </c>
      <c r="N44" s="15" t="s">
        <v>75</v>
      </c>
      <c r="O44" t="s">
        <v>75</v>
      </c>
    </row>
    <row r="45" spans="1:15" x14ac:dyDescent="0.25">
      <c r="A45" s="10" t="s">
        <v>554</v>
      </c>
      <c r="B45" s="15">
        <v>0</v>
      </c>
      <c r="C45" s="15">
        <v>0</v>
      </c>
      <c r="D45" s="15">
        <v>2424.96</v>
      </c>
      <c r="E45" s="15">
        <v>0</v>
      </c>
      <c r="F45" s="15">
        <v>0</v>
      </c>
      <c r="G45" s="15">
        <v>0</v>
      </c>
      <c r="H45" s="15">
        <v>0</v>
      </c>
      <c r="I45" s="15">
        <v>108.6</v>
      </c>
      <c r="J45" s="15">
        <v>0</v>
      </c>
      <c r="K45" s="15">
        <v>0</v>
      </c>
      <c r="L45" s="15">
        <v>0</v>
      </c>
      <c r="M45" s="15">
        <v>0</v>
      </c>
      <c r="N45" s="15" t="s">
        <v>75</v>
      </c>
      <c r="O45" t="s">
        <v>75</v>
      </c>
    </row>
    <row r="46" spans="1:15" x14ac:dyDescent="0.25">
      <c r="A46" s="10" t="s">
        <v>556</v>
      </c>
      <c r="B46" s="15">
        <v>0</v>
      </c>
      <c r="C46" s="15">
        <v>218.17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 t="s">
        <v>75</v>
      </c>
      <c r="O46" t="s">
        <v>75</v>
      </c>
    </row>
    <row r="47" spans="1:15" x14ac:dyDescent="0.25">
      <c r="A47" s="10" t="s">
        <v>560</v>
      </c>
      <c r="B47" s="15">
        <v>0</v>
      </c>
      <c r="C47" s="15">
        <v>0</v>
      </c>
      <c r="D47" s="15">
        <v>1923.63</v>
      </c>
      <c r="E47" s="15">
        <v>0</v>
      </c>
      <c r="F47" s="15">
        <v>0</v>
      </c>
      <c r="G47" s="15">
        <v>0</v>
      </c>
      <c r="H47" s="15">
        <v>0</v>
      </c>
      <c r="I47" s="15">
        <v>108.74</v>
      </c>
      <c r="J47" s="15">
        <v>0</v>
      </c>
      <c r="K47" s="15">
        <v>0</v>
      </c>
      <c r="L47" s="15">
        <v>0</v>
      </c>
      <c r="M47" s="15">
        <v>0</v>
      </c>
      <c r="N47" s="15" t="s">
        <v>75</v>
      </c>
      <c r="O47" t="s">
        <v>75</v>
      </c>
    </row>
    <row r="48" spans="1:15" x14ac:dyDescent="0.25">
      <c r="A48" s="10" t="s">
        <v>562</v>
      </c>
      <c r="B48" s="15">
        <v>0</v>
      </c>
      <c r="C48" s="15">
        <v>0</v>
      </c>
      <c r="D48" s="15">
        <v>0</v>
      </c>
      <c r="E48" s="15">
        <v>255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 t="s">
        <v>75</v>
      </c>
      <c r="O48" t="s">
        <v>75</v>
      </c>
    </row>
    <row r="49" spans="1:15" x14ac:dyDescent="0.25">
      <c r="A49" s="10" t="s">
        <v>582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21569.06</v>
      </c>
      <c r="L49" s="15">
        <v>0</v>
      </c>
      <c r="M49" s="15">
        <v>0</v>
      </c>
      <c r="N49" s="15" t="s">
        <v>75</v>
      </c>
      <c r="O49" t="s">
        <v>75</v>
      </c>
    </row>
    <row r="50" spans="1:15" x14ac:dyDescent="0.25">
      <c r="A50" s="10" t="s">
        <v>586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8773.73</v>
      </c>
      <c r="M50" s="15">
        <v>0</v>
      </c>
      <c r="N50" s="15" t="s">
        <v>75</v>
      </c>
      <c r="O50" t="s">
        <v>75</v>
      </c>
    </row>
    <row r="51" spans="1:15" x14ac:dyDescent="0.25">
      <c r="A51" s="10" t="s">
        <v>596</v>
      </c>
      <c r="B51" s="15">
        <v>0</v>
      </c>
      <c r="C51" s="15">
        <v>0</v>
      </c>
      <c r="D51" s="15">
        <v>10776.82</v>
      </c>
      <c r="E51" s="15">
        <v>0</v>
      </c>
      <c r="F51" s="15">
        <v>0</v>
      </c>
      <c r="G51" s="15">
        <v>0</v>
      </c>
      <c r="H51" s="15">
        <v>0</v>
      </c>
      <c r="I51" s="15">
        <v>576.89</v>
      </c>
      <c r="J51" s="15">
        <v>0</v>
      </c>
      <c r="K51" s="15">
        <v>0</v>
      </c>
      <c r="L51" s="15">
        <v>0</v>
      </c>
      <c r="M51" s="15">
        <v>0</v>
      </c>
      <c r="N51" s="15" t="s">
        <v>75</v>
      </c>
      <c r="O51" t="s">
        <v>75</v>
      </c>
    </row>
    <row r="52" spans="1:15" x14ac:dyDescent="0.25">
      <c r="A52" s="10" t="s">
        <v>614</v>
      </c>
      <c r="B52" s="15">
        <v>11173.65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 t="s">
        <v>75</v>
      </c>
      <c r="O52" t="s">
        <v>75</v>
      </c>
    </row>
    <row r="53" spans="1:15" x14ac:dyDescent="0.25">
      <c r="A53" s="10" t="s">
        <v>616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16483.09</v>
      </c>
      <c r="M53" s="15">
        <v>0</v>
      </c>
      <c r="N53" s="15" t="s">
        <v>75</v>
      </c>
      <c r="O53" t="s">
        <v>75</v>
      </c>
    </row>
    <row r="54" spans="1:15" x14ac:dyDescent="0.25">
      <c r="A54" s="10" t="s">
        <v>620</v>
      </c>
      <c r="B54" s="15">
        <v>28776.49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 t="s">
        <v>75</v>
      </c>
      <c r="O54" t="s">
        <v>75</v>
      </c>
    </row>
    <row r="55" spans="1:15" x14ac:dyDescent="0.25">
      <c r="A55" s="10" t="s">
        <v>624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5602.87</v>
      </c>
      <c r="K55" s="15">
        <v>0</v>
      </c>
      <c r="L55" s="15">
        <v>0</v>
      </c>
      <c r="M55" s="15">
        <v>0</v>
      </c>
      <c r="N55" s="15" t="s">
        <v>75</v>
      </c>
      <c r="O55" t="s">
        <v>75</v>
      </c>
    </row>
    <row r="56" spans="1:15" x14ac:dyDescent="0.25">
      <c r="A56" s="10" t="s">
        <v>630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22090.3</v>
      </c>
      <c r="J56" s="15">
        <v>0</v>
      </c>
      <c r="K56" s="15">
        <v>0</v>
      </c>
      <c r="L56" s="15">
        <v>0</v>
      </c>
      <c r="M56" s="15">
        <v>3790</v>
      </c>
      <c r="N56" s="15" t="s">
        <v>75</v>
      </c>
      <c r="O56" t="s">
        <v>75</v>
      </c>
    </row>
    <row r="57" spans="1:15" x14ac:dyDescent="0.25">
      <c r="A57" s="10" t="s">
        <v>636</v>
      </c>
      <c r="B57" s="15">
        <v>0</v>
      </c>
      <c r="C57" s="15">
        <v>0</v>
      </c>
      <c r="D57" s="15">
        <v>7200.57</v>
      </c>
      <c r="E57" s="15">
        <v>0</v>
      </c>
      <c r="F57" s="15">
        <v>1.43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 t="s">
        <v>75</v>
      </c>
      <c r="O57" t="s">
        <v>75</v>
      </c>
    </row>
    <row r="58" spans="1:15" x14ac:dyDescent="0.25">
      <c r="A58" s="10" t="s">
        <v>658</v>
      </c>
      <c r="B58" s="15">
        <v>0</v>
      </c>
      <c r="C58" s="15">
        <v>0</v>
      </c>
      <c r="D58" s="15">
        <v>108405.48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 t="s">
        <v>75</v>
      </c>
      <c r="O58" t="s">
        <v>75</v>
      </c>
    </row>
    <row r="59" spans="1:15" x14ac:dyDescent="0.25">
      <c r="A59" s="10" t="s">
        <v>664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11156.93</v>
      </c>
      <c r="M59" s="15">
        <v>0</v>
      </c>
      <c r="N59" s="15" t="s">
        <v>75</v>
      </c>
      <c r="O59" t="s">
        <v>75</v>
      </c>
    </row>
    <row r="60" spans="1:15" x14ac:dyDescent="0.25">
      <c r="A60" s="10" t="s">
        <v>672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26506.77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 t="s">
        <v>75</v>
      </c>
      <c r="O60" t="s">
        <v>75</v>
      </c>
    </row>
    <row r="61" spans="1:15" x14ac:dyDescent="0.25">
      <c r="A61" s="10" t="s">
        <v>682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7849.76</v>
      </c>
      <c r="M61" s="15">
        <v>0</v>
      </c>
      <c r="N61" s="15" t="s">
        <v>75</v>
      </c>
      <c r="O61" t="s">
        <v>75</v>
      </c>
    </row>
    <row r="62" spans="1:15" x14ac:dyDescent="0.25">
      <c r="A62" s="10" t="s">
        <v>692</v>
      </c>
      <c r="B62" s="15">
        <v>0</v>
      </c>
      <c r="C62" s="15">
        <v>0</v>
      </c>
      <c r="D62" s="15">
        <v>0</v>
      </c>
      <c r="E62" s="15">
        <v>0</v>
      </c>
      <c r="F62" s="15">
        <v>15113.53</v>
      </c>
      <c r="G62" s="15">
        <v>0</v>
      </c>
      <c r="H62" s="15">
        <v>0</v>
      </c>
      <c r="I62" s="15">
        <v>505.86</v>
      </c>
      <c r="J62" s="15">
        <v>0</v>
      </c>
      <c r="K62" s="15">
        <v>0</v>
      </c>
      <c r="L62" s="15">
        <v>0</v>
      </c>
      <c r="M62" s="15">
        <v>0</v>
      </c>
      <c r="N62" s="15" t="s">
        <v>75</v>
      </c>
      <c r="O62" t="s">
        <v>75</v>
      </c>
    </row>
    <row r="63" spans="1:15" x14ac:dyDescent="0.25">
      <c r="A63" s="10" t="s">
        <v>694</v>
      </c>
      <c r="B63" s="15">
        <v>8148.8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 t="s">
        <v>75</v>
      </c>
      <c r="O63" t="s">
        <v>75</v>
      </c>
    </row>
    <row r="64" spans="1:15" x14ac:dyDescent="0.25">
      <c r="A64" s="10" t="s">
        <v>712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4562.82</v>
      </c>
      <c r="J64" s="15">
        <v>0</v>
      </c>
      <c r="K64" s="15">
        <v>0</v>
      </c>
      <c r="L64" s="15">
        <v>0</v>
      </c>
      <c r="M64" s="15">
        <v>0</v>
      </c>
      <c r="N64" s="15" t="s">
        <v>75</v>
      </c>
      <c r="O64" t="s">
        <v>75</v>
      </c>
    </row>
    <row r="65" spans="1:15" x14ac:dyDescent="0.25">
      <c r="A65" s="10" t="s">
        <v>718</v>
      </c>
      <c r="B65" s="15">
        <v>10510.73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 t="s">
        <v>75</v>
      </c>
      <c r="O65" t="s">
        <v>75</v>
      </c>
    </row>
    <row r="66" spans="1:15" x14ac:dyDescent="0.25">
      <c r="A66" s="10" t="s">
        <v>732</v>
      </c>
      <c r="B66" s="15">
        <v>0</v>
      </c>
      <c r="C66" s="15">
        <v>4855.6400000000003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 t="s">
        <v>75</v>
      </c>
      <c r="O66" t="s">
        <v>75</v>
      </c>
    </row>
    <row r="67" spans="1:15" x14ac:dyDescent="0.25">
      <c r="A67" s="10" t="s">
        <v>766</v>
      </c>
      <c r="B67" s="15">
        <v>0</v>
      </c>
      <c r="C67" s="15">
        <v>0</v>
      </c>
      <c r="D67" s="15">
        <v>0</v>
      </c>
      <c r="E67" s="15">
        <v>19037.22</v>
      </c>
      <c r="F67" s="15">
        <v>1594.76</v>
      </c>
      <c r="G67" s="15">
        <v>0</v>
      </c>
      <c r="H67" s="15">
        <v>0</v>
      </c>
      <c r="I67" s="15">
        <v>828.47</v>
      </c>
      <c r="J67" s="15">
        <v>0</v>
      </c>
      <c r="K67" s="15">
        <v>0</v>
      </c>
      <c r="L67" s="15">
        <v>0</v>
      </c>
      <c r="M67" s="15">
        <v>0</v>
      </c>
      <c r="N67" s="15" t="s">
        <v>75</v>
      </c>
      <c r="O67" t="s">
        <v>75</v>
      </c>
    </row>
    <row r="68" spans="1:15" x14ac:dyDescent="0.25">
      <c r="A68" s="10" t="s">
        <v>774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14987.07</v>
      </c>
      <c r="N68" s="15" t="s">
        <v>75</v>
      </c>
      <c r="O68" t="s">
        <v>75</v>
      </c>
    </row>
    <row r="69" spans="1:15" x14ac:dyDescent="0.25">
      <c r="A69" s="10" t="s">
        <v>784</v>
      </c>
      <c r="B69" s="15">
        <v>0</v>
      </c>
      <c r="C69" s="15">
        <v>0</v>
      </c>
      <c r="D69" s="15">
        <v>1875.51</v>
      </c>
      <c r="E69" s="15">
        <v>0</v>
      </c>
      <c r="F69" s="15">
        <v>0</v>
      </c>
      <c r="G69" s="15">
        <v>0</v>
      </c>
      <c r="H69" s="15">
        <v>0</v>
      </c>
      <c r="I69" s="15">
        <v>110.1</v>
      </c>
      <c r="J69" s="15">
        <v>0</v>
      </c>
      <c r="K69" s="15">
        <v>0</v>
      </c>
      <c r="L69" s="15">
        <v>0</v>
      </c>
      <c r="M69" s="15">
        <v>0</v>
      </c>
      <c r="N69" s="15" t="s">
        <v>75</v>
      </c>
      <c r="O69" t="s">
        <v>75</v>
      </c>
    </row>
    <row r="70" spans="1:15" x14ac:dyDescent="0.25">
      <c r="A70" s="10" t="s">
        <v>812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11388.43</v>
      </c>
      <c r="M70" s="15">
        <v>0</v>
      </c>
      <c r="N70" s="15" t="s">
        <v>75</v>
      </c>
      <c r="O70" t="s">
        <v>75</v>
      </c>
    </row>
    <row r="71" spans="1:15" x14ac:dyDescent="0.25">
      <c r="A71" s="10" t="s">
        <v>814</v>
      </c>
      <c r="B71" s="15">
        <v>0</v>
      </c>
      <c r="C71" s="15">
        <v>0</v>
      </c>
      <c r="D71" s="15">
        <v>0</v>
      </c>
      <c r="E71" s="15">
        <v>4234.8599999999997</v>
      </c>
      <c r="F71" s="15">
        <v>0</v>
      </c>
      <c r="G71" s="15">
        <v>0</v>
      </c>
      <c r="H71" s="15">
        <v>0</v>
      </c>
      <c r="I71" s="15">
        <v>196.88</v>
      </c>
      <c r="J71" s="15">
        <v>0</v>
      </c>
      <c r="K71" s="15">
        <v>0</v>
      </c>
      <c r="L71" s="15">
        <v>0</v>
      </c>
      <c r="M71" s="15">
        <v>0</v>
      </c>
      <c r="N71" s="15" t="s">
        <v>75</v>
      </c>
      <c r="O71" t="s">
        <v>75</v>
      </c>
    </row>
    <row r="72" spans="1:15" x14ac:dyDescent="0.25">
      <c r="A72" s="10" t="s">
        <v>816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2023.26</v>
      </c>
      <c r="K72" s="15">
        <v>0</v>
      </c>
      <c r="L72" s="15">
        <v>0</v>
      </c>
      <c r="M72" s="15">
        <v>0</v>
      </c>
      <c r="N72" s="15" t="s">
        <v>75</v>
      </c>
      <c r="O72" t="s">
        <v>75</v>
      </c>
    </row>
    <row r="73" spans="1:15" x14ac:dyDescent="0.25">
      <c r="A73" s="10" t="s">
        <v>822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2417.9499999999998</v>
      </c>
      <c r="J73" s="15">
        <v>0</v>
      </c>
      <c r="K73" s="15">
        <v>0</v>
      </c>
      <c r="L73" s="15">
        <v>0</v>
      </c>
      <c r="M73" s="15">
        <v>0</v>
      </c>
      <c r="N73" s="15" t="s">
        <v>75</v>
      </c>
      <c r="O73" t="s">
        <v>75</v>
      </c>
    </row>
    <row r="74" spans="1:15" x14ac:dyDescent="0.25">
      <c r="A74" s="10" t="s">
        <v>840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75948.02</v>
      </c>
      <c r="J74" s="15">
        <v>0</v>
      </c>
      <c r="K74" s="15">
        <v>0</v>
      </c>
      <c r="L74" s="15">
        <v>0</v>
      </c>
      <c r="M74" s="15">
        <v>0</v>
      </c>
      <c r="N74" s="15" t="s">
        <v>75</v>
      </c>
      <c r="O74" t="s">
        <v>75</v>
      </c>
    </row>
    <row r="75" spans="1:15" x14ac:dyDescent="0.25">
      <c r="A75" s="10" t="s">
        <v>848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612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 t="s">
        <v>75</v>
      </c>
      <c r="O75" t="s">
        <v>75</v>
      </c>
    </row>
    <row r="76" spans="1:15" x14ac:dyDescent="0.25">
      <c r="A76" s="10" t="s">
        <v>862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3541.5</v>
      </c>
      <c r="M76" s="15">
        <v>0</v>
      </c>
      <c r="N76" s="15" t="s">
        <v>75</v>
      </c>
      <c r="O76" t="s">
        <v>75</v>
      </c>
    </row>
    <row r="77" spans="1:15" x14ac:dyDescent="0.25">
      <c r="A77" s="10" t="s">
        <v>874</v>
      </c>
      <c r="B77" s="15">
        <v>0</v>
      </c>
      <c r="C77" s="15">
        <v>1848.12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 t="s">
        <v>75</v>
      </c>
      <c r="O77" t="s">
        <v>75</v>
      </c>
    </row>
    <row r="78" spans="1:15" x14ac:dyDescent="0.25">
      <c r="A78" s="10" t="s">
        <v>880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51872.21</v>
      </c>
      <c r="J78" s="15">
        <v>0</v>
      </c>
      <c r="K78" s="15">
        <v>0</v>
      </c>
      <c r="L78" s="15">
        <v>0</v>
      </c>
      <c r="M78" s="15">
        <v>0</v>
      </c>
      <c r="N78" s="15" t="s">
        <v>75</v>
      </c>
      <c r="O78" t="s">
        <v>75</v>
      </c>
    </row>
    <row r="79" spans="1:15" x14ac:dyDescent="0.25">
      <c r="A79" s="10" t="s">
        <v>885</v>
      </c>
      <c r="B79" s="15">
        <v>0</v>
      </c>
      <c r="C79" s="15">
        <v>0</v>
      </c>
      <c r="D79" s="15">
        <v>6575.27</v>
      </c>
      <c r="E79" s="15">
        <v>0</v>
      </c>
      <c r="F79" s="15">
        <v>1.43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 t="s">
        <v>75</v>
      </c>
      <c r="O79" t="s">
        <v>75</v>
      </c>
    </row>
    <row r="80" spans="1:15" x14ac:dyDescent="0.25">
      <c r="A80" s="10" t="s">
        <v>887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5185.71</v>
      </c>
      <c r="M80" s="15">
        <v>0</v>
      </c>
      <c r="N80" s="15" t="s">
        <v>75</v>
      </c>
      <c r="O80" t="s">
        <v>75</v>
      </c>
    </row>
    <row r="81" spans="1:15" x14ac:dyDescent="0.25">
      <c r="A81" s="10" t="s">
        <v>891</v>
      </c>
      <c r="B81" s="15">
        <v>0</v>
      </c>
      <c r="C81" s="15">
        <v>2972.62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 t="s">
        <v>75</v>
      </c>
      <c r="O81" t="s">
        <v>75</v>
      </c>
    </row>
    <row r="82" spans="1:15" x14ac:dyDescent="0.25">
      <c r="A82" s="10" t="s">
        <v>899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28345.01</v>
      </c>
      <c r="K82" s="15">
        <v>0</v>
      </c>
      <c r="L82" s="15">
        <v>0</v>
      </c>
      <c r="M82" s="15">
        <v>0</v>
      </c>
      <c r="N82" s="15" t="s">
        <v>75</v>
      </c>
      <c r="O82" t="s">
        <v>75</v>
      </c>
    </row>
    <row r="83" spans="1:15" x14ac:dyDescent="0.25">
      <c r="A83" s="10" t="s">
        <v>905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17118.3</v>
      </c>
      <c r="M83" s="15">
        <v>0</v>
      </c>
      <c r="N83" s="15" t="s">
        <v>75</v>
      </c>
      <c r="O83" t="s">
        <v>75</v>
      </c>
    </row>
    <row r="84" spans="1:15" x14ac:dyDescent="0.25">
      <c r="A84" s="10" t="s">
        <v>935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6711.6</v>
      </c>
      <c r="K84" s="15">
        <v>0</v>
      </c>
      <c r="L84" s="15">
        <v>0</v>
      </c>
      <c r="M84" s="15">
        <v>0</v>
      </c>
      <c r="N84" s="15" t="s">
        <v>75</v>
      </c>
      <c r="O84" t="s">
        <v>75</v>
      </c>
    </row>
    <row r="85" spans="1:15" x14ac:dyDescent="0.25">
      <c r="A85" s="10" t="s">
        <v>937</v>
      </c>
      <c r="B85" s="15">
        <v>946.35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 t="s">
        <v>75</v>
      </c>
      <c r="O85" t="s">
        <v>75</v>
      </c>
    </row>
    <row r="86" spans="1:15" x14ac:dyDescent="0.25">
      <c r="A86" s="10" t="s">
        <v>941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11171.45</v>
      </c>
      <c r="M86" s="15">
        <v>0</v>
      </c>
      <c r="N86" s="15" t="s">
        <v>75</v>
      </c>
      <c r="O86" t="s">
        <v>75</v>
      </c>
    </row>
    <row r="87" spans="1:15" x14ac:dyDescent="0.25">
      <c r="A87" s="10" t="s">
        <v>945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1572.19</v>
      </c>
      <c r="K87" s="15">
        <v>0</v>
      </c>
      <c r="L87" s="15">
        <v>0</v>
      </c>
      <c r="M87" s="15">
        <v>0</v>
      </c>
      <c r="N87" s="15" t="s">
        <v>75</v>
      </c>
      <c r="O87" t="s">
        <v>75</v>
      </c>
    </row>
    <row r="88" spans="1:15" x14ac:dyDescent="0.25">
      <c r="A88" s="10" t="s">
        <v>953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17205.79</v>
      </c>
      <c r="K88" s="15">
        <v>0</v>
      </c>
      <c r="L88" s="15">
        <v>0</v>
      </c>
      <c r="M88" s="15">
        <v>0</v>
      </c>
      <c r="N88" s="15" t="s">
        <v>75</v>
      </c>
      <c r="O88" t="s">
        <v>75</v>
      </c>
    </row>
    <row r="89" spans="1:15" x14ac:dyDescent="0.25">
      <c r="A89" s="10" t="s">
        <v>955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2243</v>
      </c>
      <c r="J89" s="15">
        <v>0</v>
      </c>
      <c r="K89" s="15">
        <v>0</v>
      </c>
      <c r="L89" s="15">
        <v>0</v>
      </c>
      <c r="M89" s="15">
        <v>0</v>
      </c>
      <c r="N89" s="15" t="s">
        <v>75</v>
      </c>
      <c r="O89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O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2000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2000</v>
      </c>
      <c r="G2" s="14" t="str">
        <f>CONCATENATE("JUNHO",CHAR(10),"TOTAL: ",ROUND(SUM(G3:G1048576),2))</f>
        <v>JUNHO
TOTAL: 2000</v>
      </c>
      <c r="H2" s="14" t="str">
        <f>CONCATENATE("JULHO",CHAR(10),"TOTAL: ",ROUND(SUM(H3:H1048576),2))</f>
        <v>JULHO
TOTAL: 2000</v>
      </c>
      <c r="I2" s="14" t="str">
        <f>CONCATENATE("AGOSTO",CHAR(10),"TOTAL: ",ROUND(SUM(I3:I1048576),2))</f>
        <v>AGOSTO
TOTAL: 2000</v>
      </c>
      <c r="J2" s="14" t="str">
        <f>CONCATENATE("SETEMBRO",CHAR(10),"TOTAL: ",ROUND(SUM(J3:J1048576),2))</f>
        <v>SETEMBRO
TOTAL: 2000</v>
      </c>
      <c r="K2" s="14" t="str">
        <f>CONCATENATE("OUTUBRO",CHAR(10),"TOTAL: ",ROUND(SUM(K3:K1048576),2))</f>
        <v>OUTUBRO
TOTAL: 2000</v>
      </c>
      <c r="L2" s="14" t="str">
        <f>CONCATENATE("NOVEMBRO",CHAR(10),"TOTAL: ",ROUND(SUM(L3:L1048576),2))</f>
        <v>NOVEMBRO
TOTAL: 8000</v>
      </c>
      <c r="M2" s="14" t="str">
        <f>CONCATENATE("DEZEMBRO",CHAR(10),"TOTAL: ",ROUND(SUM(M3:M1048576),2))</f>
        <v>DEZEMBRO
TOTAL: 2000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598</v>
      </c>
      <c r="B3" s="15">
        <v>0</v>
      </c>
      <c r="C3" s="15">
        <v>0</v>
      </c>
      <c r="D3" s="15">
        <v>2000</v>
      </c>
      <c r="E3" s="15">
        <v>0</v>
      </c>
      <c r="F3" s="15">
        <v>2000</v>
      </c>
      <c r="G3" s="15">
        <v>2000</v>
      </c>
      <c r="H3" s="15">
        <v>2000</v>
      </c>
      <c r="I3" s="15">
        <v>2000</v>
      </c>
      <c r="J3" s="15">
        <v>2000</v>
      </c>
      <c r="K3" s="15">
        <v>2000</v>
      </c>
      <c r="L3" s="15">
        <v>2000</v>
      </c>
      <c r="M3" s="15">
        <v>2000</v>
      </c>
      <c r="N3" s="15" t="s">
        <v>75</v>
      </c>
      <c r="O3" t="s">
        <v>75</v>
      </c>
    </row>
    <row r="4" spans="1:15" x14ac:dyDescent="0.25">
      <c r="A4" s="10" t="s">
        <v>608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6000</v>
      </c>
      <c r="M4" s="15">
        <v>0</v>
      </c>
      <c r="N4" s="15" t="s">
        <v>75</v>
      </c>
      <c r="O4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O201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55630,8</v>
      </c>
      <c r="C2" s="14" t="str">
        <f>CONCATENATE("FEVEREIRO",CHAR(10),"TOTAL: ",ROUND(SUM(C3:C1048576),2))</f>
        <v>FEVEREIRO
TOTAL: 61330,94</v>
      </c>
      <c r="D2" s="14" t="str">
        <f>CONCATENATE("MARÇO",CHAR(10),"TOTAL: ",ROUND(SUM(D3:D1048576),2))</f>
        <v>MARÇO
TOTAL: 65105,59</v>
      </c>
      <c r="E2" s="14" t="str">
        <f>CONCATENATE("ABRIL",CHAR(10),"TOTAL: ",ROUND(SUM(E3:E1048576),2))</f>
        <v>ABRIL
TOTAL: 61208,23</v>
      </c>
      <c r="F2" s="14" t="str">
        <f>CONCATENATE("MAIO",CHAR(10),"TOTAL: ",ROUND(SUM(F3:F1048576),2))</f>
        <v>MAIO
TOTAL: 61296,04</v>
      </c>
      <c r="G2" s="14" t="str">
        <f>CONCATENATE("JUNHO",CHAR(10),"TOTAL: ",ROUND(SUM(G3:G1048576),2))</f>
        <v>JUNHO
TOTAL: 64115,85</v>
      </c>
      <c r="H2" s="14" t="str">
        <f>CONCATENATE("JULHO",CHAR(10),"TOTAL: ",ROUND(SUM(H3:H1048576),2))</f>
        <v>JULHO
TOTAL: 85080,64</v>
      </c>
      <c r="I2" s="14" t="str">
        <f>CONCATENATE("AGOSTO",CHAR(10),"TOTAL: ",ROUND(SUM(I3:I1048576),2))</f>
        <v>AGOSTO
TOTAL: 74623,53</v>
      </c>
      <c r="J2" s="14" t="str">
        <f>CONCATENATE("SETEMBRO",CHAR(10),"TOTAL: ",ROUND(SUM(J3:J1048576),2))</f>
        <v>SETEMBRO
TOTAL: 64966,85</v>
      </c>
      <c r="K2" s="14" t="str">
        <f>CONCATENATE("OUTUBRO",CHAR(10),"TOTAL: ",ROUND(SUM(K3:K1048576),2))</f>
        <v>OUTUBRO
TOTAL: 62493,97</v>
      </c>
      <c r="L2" s="14" t="str">
        <f>CONCATENATE("NOVEMBRO",CHAR(10),"TOTAL: ",ROUND(SUM(L3:L1048576),2))</f>
        <v>NOVEMBRO
TOTAL: 69160,62</v>
      </c>
      <c r="M2" s="14" t="str">
        <f>CONCATENATE("DEZEMBRO",CHAR(10),"TOTAL: ",ROUND(SUM(M3:M1048576),2))</f>
        <v>DEZEMBRO
TOTAL: 69064,12</v>
      </c>
      <c r="N2" s="14" t="str">
        <f>CONCATENATE("DEC. TERCEIRO",CHAR(10),"TOTAL: ",ROUND(SUM(N3:N1048576),2))</f>
        <v>DEC. TERCEIRO
TOTAL: 70499,92</v>
      </c>
    </row>
    <row r="3" spans="1:15" x14ac:dyDescent="0.25">
      <c r="A3" s="10" t="s">
        <v>92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34.56</v>
      </c>
      <c r="N3" s="15">
        <v>0</v>
      </c>
      <c r="O3" t="s">
        <v>75</v>
      </c>
    </row>
    <row r="4" spans="1:15" x14ac:dyDescent="0.25">
      <c r="A4" s="10" t="s">
        <v>94</v>
      </c>
      <c r="B4" s="15">
        <v>1307.93</v>
      </c>
      <c r="C4" s="15">
        <v>1370.55</v>
      </c>
      <c r="D4" s="15">
        <v>1806.82</v>
      </c>
      <c r="E4" s="15">
        <v>825.38</v>
      </c>
      <c r="F4" s="15">
        <v>1721.54</v>
      </c>
      <c r="G4" s="15">
        <v>1039.07</v>
      </c>
      <c r="H4" s="15">
        <v>2666</v>
      </c>
      <c r="I4" s="15">
        <v>1406.46</v>
      </c>
      <c r="J4" s="15">
        <v>2060.39</v>
      </c>
      <c r="K4" s="15">
        <v>1184.06</v>
      </c>
      <c r="L4" s="15">
        <v>2171.46</v>
      </c>
      <c r="M4" s="15">
        <v>1589.94</v>
      </c>
      <c r="N4" s="15">
        <v>1679.81</v>
      </c>
      <c r="O4" t="s">
        <v>75</v>
      </c>
    </row>
    <row r="5" spans="1:15" x14ac:dyDescent="0.25">
      <c r="A5" s="10" t="s">
        <v>96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92.11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t="s">
        <v>75</v>
      </c>
    </row>
    <row r="6" spans="1:15" x14ac:dyDescent="0.25">
      <c r="A6" s="10" t="s">
        <v>104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43.85</v>
      </c>
      <c r="I6" s="15">
        <v>32.92</v>
      </c>
      <c r="J6" s="15">
        <v>0</v>
      </c>
      <c r="K6" s="15">
        <v>0</v>
      </c>
      <c r="L6" s="15">
        <v>27.58</v>
      </c>
      <c r="M6" s="15">
        <v>140.27000000000001</v>
      </c>
      <c r="N6" s="15">
        <v>28.8</v>
      </c>
      <c r="O6" t="s">
        <v>75</v>
      </c>
    </row>
    <row r="7" spans="1:15" x14ac:dyDescent="0.25">
      <c r="A7" s="10" t="s">
        <v>106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105.27</v>
      </c>
      <c r="N7" s="15">
        <v>0</v>
      </c>
      <c r="O7" t="s">
        <v>75</v>
      </c>
    </row>
    <row r="8" spans="1:15" x14ac:dyDescent="0.25">
      <c r="A8" s="10" t="s">
        <v>110</v>
      </c>
      <c r="B8" s="15">
        <v>246.88</v>
      </c>
      <c r="C8" s="15">
        <v>319.27999999999997</v>
      </c>
      <c r="D8" s="15">
        <v>271.51</v>
      </c>
      <c r="E8" s="15">
        <v>240.17</v>
      </c>
      <c r="F8" s="15">
        <v>245.24</v>
      </c>
      <c r="G8" s="15">
        <v>240.17</v>
      </c>
      <c r="H8" s="15">
        <v>629.12</v>
      </c>
      <c r="I8" s="15">
        <v>473.6</v>
      </c>
      <c r="J8" s="15">
        <v>356.25</v>
      </c>
      <c r="K8" s="15">
        <v>350.15</v>
      </c>
      <c r="L8" s="15">
        <v>344.29</v>
      </c>
      <c r="M8" s="15">
        <v>405.61</v>
      </c>
      <c r="N8" s="15">
        <v>368.87</v>
      </c>
      <c r="O8" t="s">
        <v>75</v>
      </c>
    </row>
    <row r="9" spans="1:15" x14ac:dyDescent="0.25">
      <c r="A9" s="10" t="s">
        <v>118</v>
      </c>
      <c r="B9" s="15">
        <v>0</v>
      </c>
      <c r="C9" s="15">
        <v>0</v>
      </c>
      <c r="D9" s="15">
        <v>0</v>
      </c>
      <c r="E9" s="15">
        <v>11.1</v>
      </c>
      <c r="F9" s="15">
        <v>0</v>
      </c>
      <c r="G9" s="15">
        <v>0</v>
      </c>
      <c r="H9" s="15">
        <v>78.81</v>
      </c>
      <c r="I9" s="15">
        <v>0</v>
      </c>
      <c r="J9" s="15">
        <v>12.91</v>
      </c>
      <c r="K9" s="15">
        <v>12.74</v>
      </c>
      <c r="L9" s="15">
        <v>34.090000000000003</v>
      </c>
      <c r="M9" s="15">
        <v>12.24</v>
      </c>
      <c r="N9" s="15">
        <v>17.399999999999999</v>
      </c>
      <c r="O9" t="s">
        <v>75</v>
      </c>
    </row>
    <row r="10" spans="1:15" x14ac:dyDescent="0.25">
      <c r="A10" s="10" t="s">
        <v>122</v>
      </c>
      <c r="B10" s="15">
        <v>48.48</v>
      </c>
      <c r="C10" s="15">
        <v>36.03</v>
      </c>
      <c r="D10" s="15">
        <v>29.96</v>
      </c>
      <c r="E10" s="15">
        <v>28.49</v>
      </c>
      <c r="F10" s="15">
        <v>29.85</v>
      </c>
      <c r="G10" s="15">
        <v>29.66</v>
      </c>
      <c r="H10" s="15">
        <v>82.68</v>
      </c>
      <c r="I10" s="15">
        <v>81.37</v>
      </c>
      <c r="J10" s="15">
        <v>46.29</v>
      </c>
      <c r="K10" s="15">
        <v>46.39</v>
      </c>
      <c r="L10" s="15">
        <v>46.24</v>
      </c>
      <c r="M10" s="15">
        <v>86.02</v>
      </c>
      <c r="N10" s="15">
        <v>52.06</v>
      </c>
      <c r="O10" t="s">
        <v>75</v>
      </c>
    </row>
    <row r="11" spans="1:15" x14ac:dyDescent="0.25">
      <c r="A11" s="10" t="s">
        <v>128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42.04</v>
      </c>
      <c r="I11" s="15">
        <v>26.42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t="s">
        <v>75</v>
      </c>
    </row>
    <row r="12" spans="1:15" x14ac:dyDescent="0.25">
      <c r="A12" s="10" t="s">
        <v>130</v>
      </c>
      <c r="B12" s="15">
        <v>328.77</v>
      </c>
      <c r="C12" s="15">
        <v>276.39</v>
      </c>
      <c r="D12" s="15">
        <v>310.89999999999998</v>
      </c>
      <c r="E12" s="15">
        <v>276.39</v>
      </c>
      <c r="F12" s="15">
        <v>340.36</v>
      </c>
      <c r="G12" s="15">
        <v>355.31</v>
      </c>
      <c r="H12" s="15">
        <v>611.25</v>
      </c>
      <c r="I12" s="15">
        <v>588.09</v>
      </c>
      <c r="J12" s="15">
        <v>469.78</v>
      </c>
      <c r="K12" s="15">
        <v>377.43</v>
      </c>
      <c r="L12" s="15">
        <v>494.68</v>
      </c>
      <c r="M12" s="15">
        <v>377.43</v>
      </c>
      <c r="N12" s="15">
        <v>412.4</v>
      </c>
      <c r="O12" t="s">
        <v>75</v>
      </c>
    </row>
    <row r="13" spans="1:15" x14ac:dyDescent="0.25">
      <c r="A13" s="10" t="s">
        <v>132</v>
      </c>
      <c r="B13" s="15">
        <v>0</v>
      </c>
      <c r="C13" s="15">
        <v>0</v>
      </c>
      <c r="D13" s="15">
        <v>0</v>
      </c>
      <c r="E13" s="15">
        <v>0</v>
      </c>
      <c r="F13" s="15">
        <v>15.35</v>
      </c>
      <c r="G13" s="15">
        <v>10.33</v>
      </c>
      <c r="H13" s="15">
        <v>101.39</v>
      </c>
      <c r="I13" s="15">
        <v>16.78</v>
      </c>
      <c r="J13" s="15">
        <v>13.89</v>
      </c>
      <c r="K13" s="15">
        <v>0</v>
      </c>
      <c r="L13" s="15">
        <v>0</v>
      </c>
      <c r="M13" s="15">
        <v>0</v>
      </c>
      <c r="N13" s="15">
        <v>0</v>
      </c>
      <c r="O13" t="s">
        <v>75</v>
      </c>
    </row>
    <row r="14" spans="1:15" x14ac:dyDescent="0.25">
      <c r="A14" s="10" t="s">
        <v>134</v>
      </c>
      <c r="B14" s="15">
        <v>121.54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13.76</v>
      </c>
      <c r="I14" s="15">
        <v>0</v>
      </c>
      <c r="J14" s="15">
        <v>0</v>
      </c>
      <c r="K14" s="15">
        <v>0</v>
      </c>
      <c r="L14" s="15">
        <v>0</v>
      </c>
      <c r="M14" s="15">
        <v>25.88</v>
      </c>
      <c r="N14" s="15">
        <v>0</v>
      </c>
      <c r="O14" t="s">
        <v>75</v>
      </c>
    </row>
    <row r="15" spans="1:15" x14ac:dyDescent="0.25">
      <c r="A15" s="10" t="s">
        <v>138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349.2</v>
      </c>
      <c r="L15" s="15">
        <v>423.44</v>
      </c>
      <c r="M15" s="15">
        <v>423.44</v>
      </c>
      <c r="N15" s="15">
        <v>0</v>
      </c>
      <c r="O15" t="s">
        <v>75</v>
      </c>
    </row>
    <row r="16" spans="1:15" x14ac:dyDescent="0.25">
      <c r="A16" s="10" t="s">
        <v>140</v>
      </c>
      <c r="B16" s="15">
        <v>0</v>
      </c>
      <c r="C16" s="15">
        <v>0</v>
      </c>
      <c r="D16" s="15">
        <v>0</v>
      </c>
      <c r="E16" s="15">
        <v>91.67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t="s">
        <v>75</v>
      </c>
    </row>
    <row r="17" spans="1:15" x14ac:dyDescent="0.25">
      <c r="A17" s="10" t="s">
        <v>142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24.72</v>
      </c>
      <c r="I17" s="15">
        <v>15.94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t="s">
        <v>75</v>
      </c>
    </row>
    <row r="18" spans="1:15" x14ac:dyDescent="0.25">
      <c r="A18" s="10" t="s">
        <v>144</v>
      </c>
      <c r="B18" s="15">
        <v>33.53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t="s">
        <v>75</v>
      </c>
    </row>
    <row r="19" spans="1:15" x14ac:dyDescent="0.25">
      <c r="A19" s="10" t="s">
        <v>150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22.89</v>
      </c>
      <c r="I19" s="15">
        <v>15.94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t="s">
        <v>75</v>
      </c>
    </row>
    <row r="20" spans="1:15" x14ac:dyDescent="0.25">
      <c r="A20" s="10" t="s">
        <v>154</v>
      </c>
      <c r="B20" s="15">
        <v>0</v>
      </c>
      <c r="C20" s="15">
        <v>41.73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t="s">
        <v>75</v>
      </c>
    </row>
    <row r="21" spans="1:15" x14ac:dyDescent="0.25">
      <c r="A21" s="10" t="s">
        <v>156</v>
      </c>
      <c r="B21" s="15">
        <v>111.47</v>
      </c>
      <c r="C21" s="15">
        <v>111.47</v>
      </c>
      <c r="D21" s="15">
        <v>111.47</v>
      </c>
      <c r="E21" s="15">
        <v>111.47</v>
      </c>
      <c r="F21" s="15">
        <v>111.47</v>
      </c>
      <c r="G21" s="15">
        <v>111.47</v>
      </c>
      <c r="H21" s="15">
        <v>304.48</v>
      </c>
      <c r="I21" s="15">
        <v>328.56</v>
      </c>
      <c r="J21" s="15">
        <v>0</v>
      </c>
      <c r="K21" s="15">
        <v>163.12</v>
      </c>
      <c r="L21" s="15">
        <v>204.94</v>
      </c>
      <c r="M21" s="15">
        <v>163.12</v>
      </c>
      <c r="N21" s="15">
        <v>168.86</v>
      </c>
      <c r="O21" t="s">
        <v>75</v>
      </c>
    </row>
    <row r="22" spans="1:15" x14ac:dyDescent="0.25">
      <c r="A22" s="10" t="s">
        <v>158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2832.72</v>
      </c>
      <c r="J22" s="15">
        <v>2820.92</v>
      </c>
      <c r="K22" s="15">
        <v>2832.72</v>
      </c>
      <c r="L22" s="15">
        <v>2832.72</v>
      </c>
      <c r="M22" s="15">
        <v>2832.72</v>
      </c>
      <c r="N22" s="15">
        <v>2832.72</v>
      </c>
      <c r="O22" t="s">
        <v>75</v>
      </c>
    </row>
    <row r="23" spans="1:15" x14ac:dyDescent="0.25">
      <c r="A23" s="10" t="s">
        <v>160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29.87</v>
      </c>
      <c r="I23" s="15">
        <v>29.87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t="s">
        <v>75</v>
      </c>
    </row>
    <row r="24" spans="1:15" x14ac:dyDescent="0.25">
      <c r="A24" s="10" t="s">
        <v>162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20.83</v>
      </c>
      <c r="K24" s="15">
        <v>0</v>
      </c>
      <c r="L24" s="15">
        <v>0</v>
      </c>
      <c r="M24" s="15">
        <v>0</v>
      </c>
      <c r="N24" s="15">
        <v>0</v>
      </c>
      <c r="O24" t="s">
        <v>75</v>
      </c>
    </row>
    <row r="25" spans="1:15" x14ac:dyDescent="0.25">
      <c r="A25" s="10" t="s">
        <v>164</v>
      </c>
      <c r="B25" s="15">
        <v>0</v>
      </c>
      <c r="C25" s="15">
        <v>58.44</v>
      </c>
      <c r="D25" s="15">
        <v>177.68</v>
      </c>
      <c r="E25" s="15">
        <v>67.150000000000006</v>
      </c>
      <c r="F25" s="15">
        <v>315.85000000000002</v>
      </c>
      <c r="G25" s="15">
        <v>0</v>
      </c>
      <c r="H25" s="15">
        <v>187.14</v>
      </c>
      <c r="I25" s="15">
        <v>111.97</v>
      </c>
      <c r="J25" s="15">
        <v>70.930000000000007</v>
      </c>
      <c r="K25" s="15">
        <v>14.31</v>
      </c>
      <c r="L25" s="15">
        <v>115.33</v>
      </c>
      <c r="M25" s="15">
        <v>79</v>
      </c>
      <c r="N25" s="15">
        <v>184.39</v>
      </c>
      <c r="O25" t="s">
        <v>75</v>
      </c>
    </row>
    <row r="26" spans="1:15" x14ac:dyDescent="0.25">
      <c r="A26" s="10" t="s">
        <v>170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15.59</v>
      </c>
      <c r="L26" s="15">
        <v>0</v>
      </c>
      <c r="M26" s="15">
        <v>0</v>
      </c>
      <c r="N26" s="15">
        <v>0</v>
      </c>
      <c r="O26" t="s">
        <v>75</v>
      </c>
    </row>
    <row r="27" spans="1:15" x14ac:dyDescent="0.25">
      <c r="A27" s="10" t="s">
        <v>176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423.44</v>
      </c>
      <c r="M27" s="15">
        <v>25.11</v>
      </c>
      <c r="N27" s="15">
        <v>0</v>
      </c>
      <c r="O27" t="s">
        <v>75</v>
      </c>
    </row>
    <row r="28" spans="1:15" x14ac:dyDescent="0.25">
      <c r="A28" s="10" t="s">
        <v>178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10.93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t="s">
        <v>75</v>
      </c>
    </row>
    <row r="29" spans="1:15" x14ac:dyDescent="0.25">
      <c r="A29" s="10" t="s">
        <v>184</v>
      </c>
      <c r="B29" s="15">
        <v>0</v>
      </c>
      <c r="C29" s="15">
        <v>98.27</v>
      </c>
      <c r="D29" s="15">
        <v>233.31</v>
      </c>
      <c r="E29" s="15">
        <v>98.27</v>
      </c>
      <c r="F29" s="15">
        <v>113.45</v>
      </c>
      <c r="G29" s="15">
        <v>98.27</v>
      </c>
      <c r="H29" s="15">
        <v>297.27</v>
      </c>
      <c r="I29" s="15">
        <v>264.95</v>
      </c>
      <c r="J29" s="15">
        <v>182.94</v>
      </c>
      <c r="K29" s="15">
        <v>148.46</v>
      </c>
      <c r="L29" s="15">
        <v>131.09</v>
      </c>
      <c r="M29" s="15">
        <v>148.46</v>
      </c>
      <c r="N29" s="15">
        <v>165.95</v>
      </c>
      <c r="O29" t="s">
        <v>75</v>
      </c>
    </row>
    <row r="30" spans="1:15" x14ac:dyDescent="0.25">
      <c r="A30" s="10" t="s">
        <v>202</v>
      </c>
      <c r="B30" s="15">
        <v>49.3</v>
      </c>
      <c r="C30" s="15">
        <v>35.54</v>
      </c>
      <c r="D30" s="15">
        <v>58.08</v>
      </c>
      <c r="E30" s="15">
        <v>37.090000000000003</v>
      </c>
      <c r="F30" s="15">
        <v>50.05</v>
      </c>
      <c r="G30" s="15">
        <v>45.36</v>
      </c>
      <c r="H30" s="15">
        <v>150.33000000000001</v>
      </c>
      <c r="I30" s="15">
        <v>232.66</v>
      </c>
      <c r="J30" s="15">
        <v>0</v>
      </c>
      <c r="K30" s="15">
        <v>0</v>
      </c>
      <c r="L30" s="15">
        <v>0</v>
      </c>
      <c r="M30" s="15">
        <v>0</v>
      </c>
      <c r="N30" s="15">
        <v>35.47</v>
      </c>
      <c r="O30" t="s">
        <v>75</v>
      </c>
    </row>
    <row r="31" spans="1:15" x14ac:dyDescent="0.25">
      <c r="A31" s="10" t="s">
        <v>212</v>
      </c>
      <c r="B31" s="15">
        <v>757.83</v>
      </c>
      <c r="C31" s="15">
        <v>757.83</v>
      </c>
      <c r="D31" s="15">
        <v>809.8</v>
      </c>
      <c r="E31" s="15">
        <v>809.8</v>
      </c>
      <c r="F31" s="15">
        <v>809.8</v>
      </c>
      <c r="G31" s="15">
        <v>1244.03</v>
      </c>
      <c r="H31" s="15">
        <v>424.1</v>
      </c>
      <c r="I31" s="15">
        <v>1383.55</v>
      </c>
      <c r="J31" s="15">
        <v>140.19999999999999</v>
      </c>
      <c r="K31" s="15">
        <v>0</v>
      </c>
      <c r="L31" s="15">
        <v>0</v>
      </c>
      <c r="M31" s="15">
        <v>0</v>
      </c>
      <c r="N31" s="15">
        <v>673.09</v>
      </c>
      <c r="O31" t="s">
        <v>75</v>
      </c>
    </row>
    <row r="32" spans="1:15" x14ac:dyDescent="0.25">
      <c r="A32" s="10" t="s">
        <v>218</v>
      </c>
      <c r="B32" s="15">
        <v>341.77</v>
      </c>
      <c r="C32" s="15">
        <v>341.77</v>
      </c>
      <c r="D32" s="15">
        <v>341.77</v>
      </c>
      <c r="E32" s="15">
        <v>764.23</v>
      </c>
      <c r="F32" s="15">
        <v>40.479999999999997</v>
      </c>
      <c r="G32" s="15">
        <v>341.77</v>
      </c>
      <c r="H32" s="15">
        <v>700.87</v>
      </c>
      <c r="I32" s="15">
        <v>675.62</v>
      </c>
      <c r="J32" s="15">
        <v>465.25</v>
      </c>
      <c r="K32" s="15">
        <v>465.25</v>
      </c>
      <c r="L32" s="15">
        <v>465.25</v>
      </c>
      <c r="M32" s="15">
        <v>465.25</v>
      </c>
      <c r="N32" s="15">
        <v>465.25</v>
      </c>
      <c r="O32" t="s">
        <v>75</v>
      </c>
    </row>
    <row r="33" spans="1:15" x14ac:dyDescent="0.25">
      <c r="A33" s="10" t="s">
        <v>222</v>
      </c>
      <c r="B33" s="15">
        <v>33.619999999999997</v>
      </c>
      <c r="C33" s="15">
        <v>18.43</v>
      </c>
      <c r="D33" s="15">
        <v>42.89</v>
      </c>
      <c r="E33" s="15">
        <v>66.569999999999993</v>
      </c>
      <c r="F33" s="15">
        <v>0</v>
      </c>
      <c r="G33" s="15">
        <v>49.5</v>
      </c>
      <c r="H33" s="15">
        <v>115.08</v>
      </c>
      <c r="I33" s="15">
        <v>58.88</v>
      </c>
      <c r="J33" s="15">
        <v>51.75</v>
      </c>
      <c r="K33" s="15">
        <v>56.74</v>
      </c>
      <c r="L33" s="15">
        <v>0</v>
      </c>
      <c r="M33" s="15">
        <v>0</v>
      </c>
      <c r="N33" s="15">
        <v>27.13</v>
      </c>
      <c r="O33" t="s">
        <v>75</v>
      </c>
    </row>
    <row r="34" spans="1:15" x14ac:dyDescent="0.25">
      <c r="A34" s="10" t="s">
        <v>230</v>
      </c>
      <c r="B34" s="15">
        <v>0</v>
      </c>
      <c r="C34" s="15">
        <v>105.35</v>
      </c>
      <c r="D34" s="15">
        <v>0</v>
      </c>
      <c r="E34" s="15">
        <v>0</v>
      </c>
      <c r="F34" s="15">
        <v>0</v>
      </c>
      <c r="G34" s="15">
        <v>0</v>
      </c>
      <c r="H34" s="15">
        <v>58.98</v>
      </c>
      <c r="I34" s="15">
        <v>53.46</v>
      </c>
      <c r="J34" s="15">
        <v>19.940000000000001</v>
      </c>
      <c r="K34" s="15">
        <v>19.940000000000001</v>
      </c>
      <c r="L34" s="15">
        <v>19.940000000000001</v>
      </c>
      <c r="M34" s="15">
        <v>19.940000000000001</v>
      </c>
      <c r="N34" s="15">
        <v>21.37</v>
      </c>
      <c r="O34" t="s">
        <v>75</v>
      </c>
    </row>
    <row r="35" spans="1:15" x14ac:dyDescent="0.25">
      <c r="A35" s="10" t="s">
        <v>234</v>
      </c>
      <c r="B35" s="15">
        <v>0</v>
      </c>
      <c r="C35" s="15">
        <v>257.47000000000003</v>
      </c>
      <c r="D35" s="15">
        <v>669.67</v>
      </c>
      <c r="E35" s="15">
        <v>260.67</v>
      </c>
      <c r="F35" s="15">
        <v>265.73</v>
      </c>
      <c r="G35" s="15">
        <v>260.67</v>
      </c>
      <c r="H35" s="15">
        <v>739.45</v>
      </c>
      <c r="I35" s="15">
        <v>539.52</v>
      </c>
      <c r="J35" s="15">
        <v>360.02</v>
      </c>
      <c r="K35" s="15">
        <v>372.92</v>
      </c>
      <c r="L35" s="15">
        <v>375.12</v>
      </c>
      <c r="M35" s="15">
        <v>647.21</v>
      </c>
      <c r="N35" s="15">
        <v>407.65</v>
      </c>
      <c r="O35" t="s">
        <v>75</v>
      </c>
    </row>
    <row r="36" spans="1:15" x14ac:dyDescent="0.25">
      <c r="A36" s="10" t="s">
        <v>250</v>
      </c>
      <c r="B36" s="15">
        <v>0</v>
      </c>
      <c r="C36" s="15">
        <v>119.19</v>
      </c>
      <c r="D36" s="15">
        <v>221.8</v>
      </c>
      <c r="E36" s="15">
        <v>124.58</v>
      </c>
      <c r="F36" s="15">
        <v>424.09</v>
      </c>
      <c r="G36" s="15">
        <v>117.53</v>
      </c>
      <c r="H36" s="15">
        <v>551.66999999999996</v>
      </c>
      <c r="I36" s="15">
        <v>302.93</v>
      </c>
      <c r="J36" s="15">
        <v>236.27</v>
      </c>
      <c r="K36" s="15">
        <v>169.78</v>
      </c>
      <c r="L36" s="15">
        <v>218.95</v>
      </c>
      <c r="M36" s="15">
        <v>864.75</v>
      </c>
      <c r="N36" s="15">
        <v>228.76</v>
      </c>
      <c r="O36" t="s">
        <v>75</v>
      </c>
    </row>
    <row r="37" spans="1:15" x14ac:dyDescent="0.25">
      <c r="A37" s="10" t="s">
        <v>256</v>
      </c>
      <c r="B37" s="15">
        <v>61.24</v>
      </c>
      <c r="C37" s="15">
        <v>45.67</v>
      </c>
      <c r="D37" s="15">
        <v>80.64</v>
      </c>
      <c r="E37" s="15">
        <v>44.13</v>
      </c>
      <c r="F37" s="15">
        <v>96.22</v>
      </c>
      <c r="G37" s="15">
        <v>44.13</v>
      </c>
      <c r="H37" s="15">
        <v>265.58999999999997</v>
      </c>
      <c r="I37" s="15">
        <v>62.87</v>
      </c>
      <c r="J37" s="15">
        <v>62.66</v>
      </c>
      <c r="K37" s="15">
        <v>64.83</v>
      </c>
      <c r="L37" s="15">
        <v>75.84</v>
      </c>
      <c r="M37" s="15">
        <v>64.83</v>
      </c>
      <c r="N37" s="15">
        <v>91.94</v>
      </c>
      <c r="O37" t="s">
        <v>75</v>
      </c>
    </row>
    <row r="38" spans="1:15" x14ac:dyDescent="0.25">
      <c r="A38" s="10" t="s">
        <v>268</v>
      </c>
      <c r="B38" s="15">
        <v>0</v>
      </c>
      <c r="C38" s="15">
        <v>12.97</v>
      </c>
      <c r="D38" s="15">
        <v>12.97</v>
      </c>
      <c r="E38" s="15">
        <v>12.97</v>
      </c>
      <c r="F38" s="15">
        <v>12.97</v>
      </c>
      <c r="G38" s="15">
        <v>78.73</v>
      </c>
      <c r="H38" s="15">
        <v>0</v>
      </c>
      <c r="I38" s="15">
        <v>59.1</v>
      </c>
      <c r="J38" s="15">
        <v>31.11</v>
      </c>
      <c r="K38" s="15">
        <v>30.2</v>
      </c>
      <c r="L38" s="15">
        <v>119.1</v>
      </c>
      <c r="M38" s="15">
        <v>30.2</v>
      </c>
      <c r="N38" s="15">
        <v>32.25</v>
      </c>
      <c r="O38" t="s">
        <v>75</v>
      </c>
    </row>
    <row r="39" spans="1:15" x14ac:dyDescent="0.25">
      <c r="A39" s="10" t="s">
        <v>270</v>
      </c>
      <c r="B39" s="15">
        <v>206.16</v>
      </c>
      <c r="C39" s="15">
        <v>127.73</v>
      </c>
      <c r="D39" s="15">
        <v>244.26</v>
      </c>
      <c r="E39" s="15">
        <v>127.73</v>
      </c>
      <c r="F39" s="15">
        <v>163.09</v>
      </c>
      <c r="G39" s="15">
        <v>127.73</v>
      </c>
      <c r="H39" s="15">
        <v>371.36</v>
      </c>
      <c r="I39" s="15">
        <v>309.61</v>
      </c>
      <c r="J39" s="15">
        <v>192.92</v>
      </c>
      <c r="K39" s="15">
        <v>184.24</v>
      </c>
      <c r="L39" s="15">
        <v>186.95</v>
      </c>
      <c r="M39" s="15">
        <v>184.24</v>
      </c>
      <c r="N39" s="15">
        <v>233.26</v>
      </c>
      <c r="O39" t="s">
        <v>75</v>
      </c>
    </row>
    <row r="40" spans="1:15" x14ac:dyDescent="0.25">
      <c r="A40" s="10" t="s">
        <v>278</v>
      </c>
      <c r="B40" s="15">
        <v>60.81</v>
      </c>
      <c r="C40" s="15">
        <v>0</v>
      </c>
      <c r="D40" s="15">
        <v>0</v>
      </c>
      <c r="E40" s="15">
        <v>41.65</v>
      </c>
      <c r="F40" s="15">
        <v>49.89</v>
      </c>
      <c r="G40" s="15">
        <v>40.78</v>
      </c>
      <c r="H40" s="15">
        <v>74.3</v>
      </c>
      <c r="I40" s="15">
        <v>58.43</v>
      </c>
      <c r="J40" s="15">
        <v>17.36</v>
      </c>
      <c r="K40" s="15">
        <v>30.68</v>
      </c>
      <c r="L40" s="15">
        <v>0</v>
      </c>
      <c r="M40" s="15">
        <v>0</v>
      </c>
      <c r="N40" s="15">
        <v>19.809999999999999</v>
      </c>
      <c r="O40" t="s">
        <v>75</v>
      </c>
    </row>
    <row r="41" spans="1:15" x14ac:dyDescent="0.25">
      <c r="A41" s="10" t="s">
        <v>280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17.88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t="s">
        <v>75</v>
      </c>
    </row>
    <row r="42" spans="1:15" x14ac:dyDescent="0.25">
      <c r="A42" s="10" t="s">
        <v>284</v>
      </c>
      <c r="B42" s="15">
        <v>10.51</v>
      </c>
      <c r="C42" s="15">
        <v>10.51</v>
      </c>
      <c r="D42" s="15">
        <v>25.43</v>
      </c>
      <c r="E42" s="15">
        <v>10.51</v>
      </c>
      <c r="F42" s="15">
        <v>10.51</v>
      </c>
      <c r="G42" s="15">
        <v>10.51</v>
      </c>
      <c r="H42" s="15">
        <v>64.59</v>
      </c>
      <c r="I42" s="15">
        <v>156.96</v>
      </c>
      <c r="J42" s="15">
        <v>0</v>
      </c>
      <c r="K42" s="15">
        <v>27.46</v>
      </c>
      <c r="L42" s="15">
        <v>31.49</v>
      </c>
      <c r="M42" s="15">
        <v>27.46</v>
      </c>
      <c r="N42" s="15">
        <v>30.11</v>
      </c>
      <c r="O42" t="s">
        <v>75</v>
      </c>
    </row>
    <row r="43" spans="1:15" x14ac:dyDescent="0.25">
      <c r="A43" s="10" t="s">
        <v>290</v>
      </c>
      <c r="B43" s="15">
        <v>46.2</v>
      </c>
      <c r="C43" s="15">
        <v>46.2</v>
      </c>
      <c r="D43" s="15">
        <v>84.24</v>
      </c>
      <c r="E43" s="15">
        <v>46.2</v>
      </c>
      <c r="F43" s="15">
        <v>214.74</v>
      </c>
      <c r="G43" s="15">
        <v>46.2</v>
      </c>
      <c r="H43" s="15">
        <v>220.26</v>
      </c>
      <c r="I43" s="15">
        <v>146.16999999999999</v>
      </c>
      <c r="J43" s="15">
        <v>72.22</v>
      </c>
      <c r="K43" s="15">
        <v>67.099999999999994</v>
      </c>
      <c r="L43" s="15">
        <v>49.62</v>
      </c>
      <c r="M43" s="15">
        <v>46.11</v>
      </c>
      <c r="N43" s="15">
        <v>95.15</v>
      </c>
      <c r="O43" t="s">
        <v>75</v>
      </c>
    </row>
    <row r="44" spans="1:15" x14ac:dyDescent="0.25">
      <c r="A44" s="10" t="s">
        <v>294</v>
      </c>
      <c r="B44" s="15">
        <v>46.76</v>
      </c>
      <c r="C44" s="15">
        <v>46.76</v>
      </c>
      <c r="D44" s="15">
        <v>60.79</v>
      </c>
      <c r="E44" s="15">
        <v>46.76</v>
      </c>
      <c r="F44" s="15">
        <v>405.81</v>
      </c>
      <c r="G44" s="15">
        <v>0</v>
      </c>
      <c r="H44" s="15">
        <v>132.85</v>
      </c>
      <c r="I44" s="15">
        <v>135.11000000000001</v>
      </c>
      <c r="J44" s="15">
        <v>112.58</v>
      </c>
      <c r="K44" s="15">
        <v>82.61</v>
      </c>
      <c r="L44" s="15">
        <v>82.61</v>
      </c>
      <c r="M44" s="15">
        <v>82.61</v>
      </c>
      <c r="N44" s="15">
        <v>88.41</v>
      </c>
      <c r="O44" t="s">
        <v>75</v>
      </c>
    </row>
    <row r="45" spans="1:15" x14ac:dyDescent="0.25">
      <c r="A45" s="10" t="s">
        <v>300</v>
      </c>
      <c r="B45" s="15">
        <v>0</v>
      </c>
      <c r="C45" s="15">
        <v>0</v>
      </c>
      <c r="D45" s="15">
        <v>0</v>
      </c>
      <c r="E45" s="15">
        <v>0</v>
      </c>
      <c r="F45" s="15">
        <v>11.17</v>
      </c>
      <c r="G45" s="15">
        <v>0</v>
      </c>
      <c r="H45" s="15">
        <v>57.2</v>
      </c>
      <c r="I45" s="15">
        <v>42.6</v>
      </c>
      <c r="J45" s="15">
        <v>23.79</v>
      </c>
      <c r="K45" s="15">
        <v>21.06</v>
      </c>
      <c r="L45" s="15">
        <v>25.61</v>
      </c>
      <c r="M45" s="15">
        <v>21.06</v>
      </c>
      <c r="N45" s="15">
        <v>25.27</v>
      </c>
      <c r="O45" t="s">
        <v>75</v>
      </c>
    </row>
    <row r="46" spans="1:15" x14ac:dyDescent="0.25">
      <c r="A46" s="10" t="s">
        <v>304</v>
      </c>
      <c r="B46" s="15">
        <v>0</v>
      </c>
      <c r="C46" s="15">
        <v>0</v>
      </c>
      <c r="D46" s="15">
        <v>0</v>
      </c>
      <c r="E46" s="15">
        <v>0</v>
      </c>
      <c r="F46" s="15">
        <v>12.65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t="s">
        <v>75</v>
      </c>
    </row>
    <row r="47" spans="1:15" x14ac:dyDescent="0.25">
      <c r="A47" s="10" t="s">
        <v>306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18.28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  <c r="O47" t="s">
        <v>75</v>
      </c>
    </row>
    <row r="48" spans="1:15" x14ac:dyDescent="0.25">
      <c r="A48" s="10" t="s">
        <v>310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36.020000000000003</v>
      </c>
      <c r="I48" s="15">
        <v>26.42</v>
      </c>
      <c r="J48" s="15">
        <v>14.13</v>
      </c>
      <c r="K48" s="15">
        <v>0</v>
      </c>
      <c r="L48" s="15">
        <v>17.440000000000001</v>
      </c>
      <c r="M48" s="15">
        <v>0</v>
      </c>
      <c r="N48" s="15">
        <v>0</v>
      </c>
      <c r="O48" t="s">
        <v>75</v>
      </c>
    </row>
    <row r="49" spans="1:15" x14ac:dyDescent="0.25">
      <c r="A49" s="10" t="s">
        <v>312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12.71</v>
      </c>
      <c r="K49" s="15">
        <v>0</v>
      </c>
      <c r="L49" s="15">
        <v>0</v>
      </c>
      <c r="M49" s="15">
        <v>0</v>
      </c>
      <c r="N49" s="15">
        <v>0</v>
      </c>
      <c r="O49" t="s">
        <v>75</v>
      </c>
    </row>
    <row r="50" spans="1:15" x14ac:dyDescent="0.25">
      <c r="A50" s="10" t="s">
        <v>318</v>
      </c>
      <c r="B50" s="15">
        <v>131.13999999999999</v>
      </c>
      <c r="C50" s="15">
        <v>205.9</v>
      </c>
      <c r="D50" s="15">
        <v>205.9</v>
      </c>
      <c r="E50" s="15">
        <v>205.9</v>
      </c>
      <c r="F50" s="15">
        <v>205.9</v>
      </c>
      <c r="G50" s="15">
        <v>205.9</v>
      </c>
      <c r="H50" s="15">
        <v>512.27</v>
      </c>
      <c r="I50" s="15">
        <v>512.27</v>
      </c>
      <c r="J50" s="15">
        <v>298.02999999999997</v>
      </c>
      <c r="K50" s="15">
        <v>298.02999999999997</v>
      </c>
      <c r="L50" s="15">
        <v>298.02999999999997</v>
      </c>
      <c r="M50" s="15">
        <v>298.02999999999997</v>
      </c>
      <c r="N50" s="15">
        <v>298.02999999999997</v>
      </c>
      <c r="O50" t="s">
        <v>75</v>
      </c>
    </row>
    <row r="51" spans="1:15" x14ac:dyDescent="0.25">
      <c r="A51" s="10" t="s">
        <v>320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31.49</v>
      </c>
      <c r="I51" s="15">
        <v>16.100000000000001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t="s">
        <v>75</v>
      </c>
    </row>
    <row r="52" spans="1:15" x14ac:dyDescent="0.25">
      <c r="A52" s="10" t="s">
        <v>324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16.97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t="s">
        <v>75</v>
      </c>
    </row>
    <row r="53" spans="1:15" x14ac:dyDescent="0.25">
      <c r="A53" s="10" t="s">
        <v>332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29.88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t="s">
        <v>75</v>
      </c>
    </row>
    <row r="54" spans="1:15" x14ac:dyDescent="0.25">
      <c r="A54" s="10" t="s">
        <v>336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25.44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t="s">
        <v>75</v>
      </c>
    </row>
    <row r="55" spans="1:15" x14ac:dyDescent="0.25">
      <c r="A55" s="10" t="s">
        <v>338</v>
      </c>
      <c r="B55" s="15">
        <v>57.95</v>
      </c>
      <c r="C55" s="15">
        <v>42.63</v>
      </c>
      <c r="D55" s="15">
        <v>63.96</v>
      </c>
      <c r="E55" s="15">
        <v>42.63</v>
      </c>
      <c r="F55" s="15">
        <v>42.63</v>
      </c>
      <c r="G55" s="15">
        <v>42.63</v>
      </c>
      <c r="H55" s="15">
        <v>144.13999999999999</v>
      </c>
      <c r="I55" s="15">
        <v>139.41</v>
      </c>
      <c r="J55" s="15">
        <v>107.21</v>
      </c>
      <c r="K55" s="15">
        <v>0</v>
      </c>
      <c r="L55" s="15">
        <v>63.19</v>
      </c>
      <c r="M55" s="15">
        <v>63.19</v>
      </c>
      <c r="N55" s="15">
        <v>66.72</v>
      </c>
      <c r="O55" t="s">
        <v>75</v>
      </c>
    </row>
    <row r="56" spans="1:15" x14ac:dyDescent="0.25">
      <c r="A56" s="10" t="s">
        <v>340</v>
      </c>
      <c r="B56" s="15">
        <v>142.30000000000001</v>
      </c>
      <c r="C56" s="15">
        <v>136.71</v>
      </c>
      <c r="D56" s="15">
        <v>138.97</v>
      </c>
      <c r="E56" s="15">
        <v>139.51</v>
      </c>
      <c r="F56" s="15">
        <v>142.30000000000001</v>
      </c>
      <c r="G56" s="15">
        <v>499.66</v>
      </c>
      <c r="H56" s="15">
        <v>26.26</v>
      </c>
      <c r="I56" s="15">
        <v>294.8</v>
      </c>
      <c r="J56" s="15">
        <v>194.18</v>
      </c>
      <c r="K56" s="15">
        <v>201.29</v>
      </c>
      <c r="L56" s="15">
        <v>198.05</v>
      </c>
      <c r="M56" s="15">
        <v>192.55</v>
      </c>
      <c r="N56" s="15">
        <v>196.76</v>
      </c>
      <c r="O56" t="s">
        <v>75</v>
      </c>
    </row>
    <row r="57" spans="1:15" x14ac:dyDescent="0.25">
      <c r="A57" s="10" t="s">
        <v>342</v>
      </c>
      <c r="B57" s="15">
        <v>182.9</v>
      </c>
      <c r="C57" s="15">
        <v>156.16</v>
      </c>
      <c r="D57" s="15">
        <v>199.89</v>
      </c>
      <c r="E57" s="15">
        <v>156.16</v>
      </c>
      <c r="F57" s="15">
        <v>243.25</v>
      </c>
      <c r="G57" s="15">
        <v>222.71</v>
      </c>
      <c r="H57" s="15">
        <v>388.81</v>
      </c>
      <c r="I57" s="15">
        <v>355.01</v>
      </c>
      <c r="J57" s="15">
        <v>267.2</v>
      </c>
      <c r="K57" s="15">
        <v>215.09</v>
      </c>
      <c r="L57" s="15">
        <v>225.55</v>
      </c>
      <c r="M57" s="15">
        <v>215.09</v>
      </c>
      <c r="N57" s="15">
        <v>247.11</v>
      </c>
      <c r="O57" t="s">
        <v>75</v>
      </c>
    </row>
    <row r="58" spans="1:15" x14ac:dyDescent="0.25">
      <c r="A58" s="10" t="s">
        <v>346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31.17</v>
      </c>
      <c r="K58" s="15">
        <v>34.1</v>
      </c>
      <c r="L58" s="15">
        <v>47.22</v>
      </c>
      <c r="M58" s="15">
        <v>39.22</v>
      </c>
      <c r="N58" s="15">
        <v>0</v>
      </c>
      <c r="O58" t="s">
        <v>75</v>
      </c>
    </row>
    <row r="59" spans="1:15" x14ac:dyDescent="0.25">
      <c r="A59" s="10" t="s">
        <v>348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22.68</v>
      </c>
      <c r="K59" s="15">
        <v>0</v>
      </c>
      <c r="L59" s="15">
        <v>0</v>
      </c>
      <c r="M59" s="15">
        <v>0</v>
      </c>
      <c r="N59" s="15">
        <v>0</v>
      </c>
      <c r="O59" t="s">
        <v>75</v>
      </c>
    </row>
    <row r="60" spans="1:15" x14ac:dyDescent="0.25">
      <c r="A60" s="10" t="s">
        <v>350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113.5</v>
      </c>
      <c r="I60" s="15">
        <v>159.82</v>
      </c>
      <c r="J60" s="15">
        <v>37.49</v>
      </c>
      <c r="K60" s="15">
        <v>37.49</v>
      </c>
      <c r="L60" s="15">
        <v>79.81</v>
      </c>
      <c r="M60" s="15">
        <v>235.98</v>
      </c>
      <c r="N60" s="15">
        <v>49.91</v>
      </c>
      <c r="O60" t="s">
        <v>75</v>
      </c>
    </row>
    <row r="61" spans="1:15" x14ac:dyDescent="0.25">
      <c r="A61" s="10" t="s">
        <v>352</v>
      </c>
      <c r="B61" s="15">
        <v>1727.49</v>
      </c>
      <c r="C61" s="15">
        <v>1727.49</v>
      </c>
      <c r="D61" s="15">
        <v>1727.49</v>
      </c>
      <c r="E61" s="15">
        <v>4498.5200000000004</v>
      </c>
      <c r="F61" s="15">
        <v>309.77</v>
      </c>
      <c r="G61" s="15">
        <v>2441.94</v>
      </c>
      <c r="H61" s="15">
        <v>2441.94</v>
      </c>
      <c r="I61" s="15">
        <v>2441.94</v>
      </c>
      <c r="J61" s="15">
        <v>2441.94</v>
      </c>
      <c r="K61" s="15">
        <v>2441.94</v>
      </c>
      <c r="L61" s="15">
        <v>2441.94</v>
      </c>
      <c r="M61" s="15">
        <v>2441.94</v>
      </c>
      <c r="N61" s="15">
        <v>2441.94</v>
      </c>
      <c r="O61" t="s">
        <v>75</v>
      </c>
    </row>
    <row r="62" spans="1:15" x14ac:dyDescent="0.25">
      <c r="A62" s="10" t="s">
        <v>358</v>
      </c>
      <c r="B62" s="15">
        <v>29.39</v>
      </c>
      <c r="C62" s="15">
        <v>12.97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t="s">
        <v>75</v>
      </c>
    </row>
    <row r="63" spans="1:15" x14ac:dyDescent="0.25">
      <c r="A63" s="10" t="s">
        <v>360</v>
      </c>
      <c r="B63" s="15">
        <v>112.18</v>
      </c>
      <c r="C63" s="15">
        <v>112.18</v>
      </c>
      <c r="D63" s="15">
        <v>128.26</v>
      </c>
      <c r="E63" s="15">
        <v>112.18</v>
      </c>
      <c r="F63" s="15">
        <v>112.18</v>
      </c>
      <c r="G63" s="15">
        <v>112.18</v>
      </c>
      <c r="H63" s="15">
        <v>299.5</v>
      </c>
      <c r="I63" s="15">
        <v>296.83</v>
      </c>
      <c r="J63" s="15">
        <v>163.84</v>
      </c>
      <c r="K63" s="15">
        <v>163.84</v>
      </c>
      <c r="L63" s="15">
        <v>122.59</v>
      </c>
      <c r="M63" s="15">
        <v>113.15</v>
      </c>
      <c r="N63" s="15">
        <v>165.46</v>
      </c>
      <c r="O63" t="s">
        <v>75</v>
      </c>
    </row>
    <row r="64" spans="1:15" x14ac:dyDescent="0.25">
      <c r="A64" s="10" t="s">
        <v>364</v>
      </c>
      <c r="B64" s="15">
        <v>0</v>
      </c>
      <c r="C64" s="15">
        <v>24.06</v>
      </c>
      <c r="D64" s="15">
        <v>0</v>
      </c>
      <c r="E64" s="15">
        <v>0</v>
      </c>
      <c r="F64" s="15">
        <v>0</v>
      </c>
      <c r="G64" s="15">
        <v>0</v>
      </c>
      <c r="H64" s="15">
        <v>16.73</v>
      </c>
      <c r="I64" s="15">
        <v>13.35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t="s">
        <v>75</v>
      </c>
    </row>
    <row r="65" spans="1:15" x14ac:dyDescent="0.25">
      <c r="A65" s="10" t="s">
        <v>370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50.32</v>
      </c>
      <c r="H65" s="15">
        <v>0</v>
      </c>
      <c r="I65" s="15">
        <v>34.08</v>
      </c>
      <c r="J65" s="15">
        <v>21.08</v>
      </c>
      <c r="K65" s="15">
        <v>34.630000000000003</v>
      </c>
      <c r="L65" s="15">
        <v>51.72</v>
      </c>
      <c r="M65" s="15">
        <v>50.03</v>
      </c>
      <c r="N65" s="15">
        <v>53.24</v>
      </c>
      <c r="O65" t="s">
        <v>75</v>
      </c>
    </row>
    <row r="66" spans="1:15" x14ac:dyDescent="0.25">
      <c r="A66" s="10" t="s">
        <v>372</v>
      </c>
      <c r="B66" s="15">
        <v>53.02</v>
      </c>
      <c r="C66" s="15">
        <v>40.700000000000003</v>
      </c>
      <c r="D66" s="15">
        <v>162.19999999999999</v>
      </c>
      <c r="E66" s="15">
        <v>213.18</v>
      </c>
      <c r="F66" s="15">
        <v>0</v>
      </c>
      <c r="G66" s="15">
        <v>97.3</v>
      </c>
      <c r="H66" s="15">
        <v>126.05</v>
      </c>
      <c r="I66" s="15">
        <v>159.31</v>
      </c>
      <c r="J66" s="15">
        <v>48.3</v>
      </c>
      <c r="K66" s="15">
        <v>48.3</v>
      </c>
      <c r="L66" s="15">
        <v>48.3</v>
      </c>
      <c r="M66" s="15">
        <v>73.760000000000005</v>
      </c>
      <c r="N66" s="15">
        <v>93.9</v>
      </c>
      <c r="O66" t="s">
        <v>75</v>
      </c>
    </row>
    <row r="67" spans="1:15" x14ac:dyDescent="0.25">
      <c r="A67" s="10" t="s">
        <v>376</v>
      </c>
      <c r="B67" s="15">
        <v>0</v>
      </c>
      <c r="C67" s="15">
        <v>24.23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t="s">
        <v>75</v>
      </c>
    </row>
    <row r="68" spans="1:15" x14ac:dyDescent="0.25">
      <c r="A68" s="10" t="s">
        <v>380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12.04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t="s">
        <v>75</v>
      </c>
    </row>
    <row r="69" spans="1:15" x14ac:dyDescent="0.25">
      <c r="A69" s="10" t="s">
        <v>394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21.72</v>
      </c>
      <c r="I69" s="15">
        <v>15.48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t="s">
        <v>75</v>
      </c>
    </row>
    <row r="70" spans="1:15" x14ac:dyDescent="0.25">
      <c r="A70" s="10" t="s">
        <v>396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20.77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t="s">
        <v>75</v>
      </c>
    </row>
    <row r="71" spans="1:15" x14ac:dyDescent="0.25">
      <c r="A71" s="10" t="s">
        <v>398</v>
      </c>
      <c r="B71" s="15">
        <v>0</v>
      </c>
      <c r="C71" s="15">
        <v>0</v>
      </c>
      <c r="D71" s="15">
        <v>42.26</v>
      </c>
      <c r="E71" s="15">
        <v>12.04</v>
      </c>
      <c r="F71" s="15">
        <v>44.91</v>
      </c>
      <c r="G71" s="15">
        <v>0</v>
      </c>
      <c r="H71" s="15">
        <v>29.67</v>
      </c>
      <c r="I71" s="15">
        <v>15.53</v>
      </c>
      <c r="J71" s="15">
        <v>0</v>
      </c>
      <c r="K71" s="15">
        <v>0</v>
      </c>
      <c r="L71" s="15">
        <v>13.49</v>
      </c>
      <c r="M71" s="15">
        <v>0</v>
      </c>
      <c r="N71" s="15">
        <v>15.74</v>
      </c>
      <c r="O71" t="s">
        <v>75</v>
      </c>
    </row>
    <row r="72" spans="1:15" x14ac:dyDescent="0.25">
      <c r="A72" s="10" t="s">
        <v>404</v>
      </c>
      <c r="B72" s="15">
        <v>0</v>
      </c>
      <c r="C72" s="15">
        <v>1155.31</v>
      </c>
      <c r="D72" s="15">
        <v>6398.64</v>
      </c>
      <c r="E72" s="15">
        <v>3648.64</v>
      </c>
      <c r="F72" s="15">
        <v>3648.64</v>
      </c>
      <c r="G72" s="15">
        <v>3648.64</v>
      </c>
      <c r="H72" s="15">
        <v>3648.64</v>
      </c>
      <c r="I72" s="15">
        <v>3648.64</v>
      </c>
      <c r="J72" s="15">
        <v>3648.64</v>
      </c>
      <c r="K72" s="15">
        <v>3648.64</v>
      </c>
      <c r="L72" s="15">
        <v>3648.64</v>
      </c>
      <c r="M72" s="15">
        <v>3648.64</v>
      </c>
      <c r="N72" s="15">
        <v>2869.48</v>
      </c>
      <c r="O72" t="s">
        <v>75</v>
      </c>
    </row>
    <row r="73" spans="1:15" x14ac:dyDescent="0.25">
      <c r="A73" s="10" t="s">
        <v>426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15.13</v>
      </c>
      <c r="I73" s="15">
        <v>17.239999999999998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t="s">
        <v>75</v>
      </c>
    </row>
    <row r="74" spans="1:15" x14ac:dyDescent="0.25">
      <c r="A74" s="10" t="s">
        <v>430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49.23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t="s">
        <v>75</v>
      </c>
    </row>
    <row r="75" spans="1:15" x14ac:dyDescent="0.25">
      <c r="A75" s="10" t="s">
        <v>432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20.52</v>
      </c>
      <c r="N75" s="15">
        <v>0</v>
      </c>
      <c r="O75" t="s">
        <v>75</v>
      </c>
    </row>
    <row r="76" spans="1:15" x14ac:dyDescent="0.25">
      <c r="A76" s="10" t="s">
        <v>434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10.119999999999999</v>
      </c>
      <c r="M76" s="15">
        <v>0</v>
      </c>
      <c r="N76" s="15">
        <v>0</v>
      </c>
      <c r="O76" t="s">
        <v>75</v>
      </c>
    </row>
    <row r="77" spans="1:15" x14ac:dyDescent="0.25">
      <c r="A77" s="10" t="s">
        <v>446</v>
      </c>
      <c r="B77" s="15">
        <v>0</v>
      </c>
      <c r="C77" s="15">
        <v>0</v>
      </c>
      <c r="D77" s="15">
        <v>0</v>
      </c>
      <c r="E77" s="15">
        <v>24.44</v>
      </c>
      <c r="F77" s="15">
        <v>0</v>
      </c>
      <c r="G77" s="15">
        <v>0</v>
      </c>
      <c r="H77" s="15">
        <v>28.85</v>
      </c>
      <c r="I77" s="15">
        <v>17.27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t="s">
        <v>75</v>
      </c>
    </row>
    <row r="78" spans="1:15" x14ac:dyDescent="0.25">
      <c r="A78" s="10" t="s">
        <v>456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27.62</v>
      </c>
      <c r="N78" s="15">
        <v>0</v>
      </c>
      <c r="O78" t="s">
        <v>75</v>
      </c>
    </row>
    <row r="79" spans="1:15" x14ac:dyDescent="0.25">
      <c r="A79" s="10" t="s">
        <v>460</v>
      </c>
      <c r="B79" s="15">
        <v>10.68</v>
      </c>
      <c r="C79" s="15">
        <v>124.05</v>
      </c>
      <c r="D79" s="15">
        <v>0</v>
      </c>
      <c r="E79" s="15">
        <v>17.43</v>
      </c>
      <c r="F79" s="15">
        <v>39.01</v>
      </c>
      <c r="G79" s="15">
        <v>0</v>
      </c>
      <c r="H79" s="15">
        <v>123.24</v>
      </c>
      <c r="I79" s="15">
        <v>54.69</v>
      </c>
      <c r="J79" s="15">
        <v>49.6</v>
      </c>
      <c r="K79" s="15">
        <v>23.27</v>
      </c>
      <c r="L79" s="15">
        <v>32.39</v>
      </c>
      <c r="M79" s="15">
        <v>33.22</v>
      </c>
      <c r="N79" s="15">
        <v>39.28</v>
      </c>
      <c r="O79" t="s">
        <v>75</v>
      </c>
    </row>
    <row r="80" spans="1:15" x14ac:dyDescent="0.25">
      <c r="A80" s="10" t="s">
        <v>466</v>
      </c>
      <c r="B80" s="15">
        <v>0</v>
      </c>
      <c r="C80" s="15">
        <v>0</v>
      </c>
      <c r="D80" s="15">
        <v>41.51</v>
      </c>
      <c r="E80" s="15">
        <v>18.48</v>
      </c>
      <c r="F80" s="15">
        <v>46.59</v>
      </c>
      <c r="G80" s="15">
        <v>10.51</v>
      </c>
      <c r="H80" s="15">
        <v>72.05</v>
      </c>
      <c r="I80" s="15">
        <v>50.53</v>
      </c>
      <c r="J80" s="15">
        <v>39.54</v>
      </c>
      <c r="K80" s="15">
        <v>27.46</v>
      </c>
      <c r="L80" s="15">
        <v>36.83</v>
      </c>
      <c r="M80" s="15">
        <v>27.46</v>
      </c>
      <c r="N80" s="15">
        <v>36.46</v>
      </c>
      <c r="O80" t="s">
        <v>75</v>
      </c>
    </row>
    <row r="81" spans="1:15" x14ac:dyDescent="0.25">
      <c r="A81" s="10" t="s">
        <v>474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17.75</v>
      </c>
      <c r="I81" s="15">
        <v>12.9</v>
      </c>
      <c r="J81" s="15">
        <v>0</v>
      </c>
      <c r="K81" s="15">
        <v>0</v>
      </c>
      <c r="L81" s="15">
        <v>0</v>
      </c>
      <c r="M81" s="15">
        <v>18.690000000000001</v>
      </c>
      <c r="N81" s="15">
        <v>0</v>
      </c>
      <c r="O81" t="s">
        <v>75</v>
      </c>
    </row>
    <row r="82" spans="1:15" x14ac:dyDescent="0.25">
      <c r="A82" s="10" t="s">
        <v>480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10.14</v>
      </c>
      <c r="M82" s="15">
        <v>0</v>
      </c>
      <c r="N82" s="15">
        <v>0</v>
      </c>
      <c r="O82" t="s">
        <v>75</v>
      </c>
    </row>
    <row r="83" spans="1:15" x14ac:dyDescent="0.25">
      <c r="A83" s="10" t="s">
        <v>482</v>
      </c>
      <c r="B83" s="15">
        <v>0</v>
      </c>
      <c r="C83" s="15">
        <v>36.020000000000003</v>
      </c>
      <c r="D83" s="15">
        <v>0</v>
      </c>
      <c r="E83" s="15">
        <v>0</v>
      </c>
      <c r="F83" s="15">
        <v>48.57</v>
      </c>
      <c r="G83" s="15">
        <v>0</v>
      </c>
      <c r="H83" s="15">
        <v>27.3</v>
      </c>
      <c r="I83" s="15">
        <v>17.72</v>
      </c>
      <c r="J83" s="15">
        <v>0</v>
      </c>
      <c r="K83" s="15">
        <v>0</v>
      </c>
      <c r="L83" s="15">
        <v>0</v>
      </c>
      <c r="M83" s="15">
        <v>59.6</v>
      </c>
      <c r="N83" s="15">
        <v>0</v>
      </c>
      <c r="O83" t="s">
        <v>75</v>
      </c>
    </row>
    <row r="84" spans="1:15" x14ac:dyDescent="0.25">
      <c r="A84" s="10" t="s">
        <v>484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15.25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t="s">
        <v>75</v>
      </c>
    </row>
    <row r="85" spans="1:15" x14ac:dyDescent="0.25">
      <c r="A85" s="10" t="s">
        <v>486</v>
      </c>
      <c r="B85" s="15">
        <v>0</v>
      </c>
      <c r="C85" s="15">
        <v>0</v>
      </c>
      <c r="D85" s="15">
        <v>34.479999999999997</v>
      </c>
      <c r="E85" s="15">
        <v>0</v>
      </c>
      <c r="F85" s="15">
        <v>69.48</v>
      </c>
      <c r="G85" s="15">
        <v>0</v>
      </c>
      <c r="H85" s="15">
        <v>23.39</v>
      </c>
      <c r="I85" s="15">
        <v>23.87</v>
      </c>
      <c r="J85" s="15">
        <v>0</v>
      </c>
      <c r="K85" s="15">
        <v>0</v>
      </c>
      <c r="L85" s="15">
        <v>0</v>
      </c>
      <c r="M85" s="15">
        <v>0</v>
      </c>
      <c r="N85" s="15">
        <v>13.04</v>
      </c>
      <c r="O85" t="s">
        <v>75</v>
      </c>
    </row>
    <row r="86" spans="1:15" x14ac:dyDescent="0.25">
      <c r="A86" s="10" t="s">
        <v>506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19.760000000000002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t="s">
        <v>75</v>
      </c>
    </row>
    <row r="87" spans="1:15" x14ac:dyDescent="0.25">
      <c r="A87" s="10" t="s">
        <v>512</v>
      </c>
      <c r="B87" s="15">
        <v>0</v>
      </c>
      <c r="C87" s="15">
        <v>0</v>
      </c>
      <c r="D87" s="15">
        <v>0</v>
      </c>
      <c r="E87" s="15">
        <v>0</v>
      </c>
      <c r="F87" s="15">
        <v>18.34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  <c r="O87" t="s">
        <v>75</v>
      </c>
    </row>
    <row r="88" spans="1:15" x14ac:dyDescent="0.25">
      <c r="A88" s="10" t="s">
        <v>580</v>
      </c>
      <c r="B88" s="15">
        <v>955.87</v>
      </c>
      <c r="C88" s="15">
        <v>904.5</v>
      </c>
      <c r="D88" s="15">
        <v>964.53</v>
      </c>
      <c r="E88" s="15">
        <v>904.5</v>
      </c>
      <c r="F88" s="15">
        <v>1168.96</v>
      </c>
      <c r="G88" s="15">
        <v>904.5</v>
      </c>
      <c r="H88" s="15">
        <v>1695.55</v>
      </c>
      <c r="I88" s="15">
        <v>1499.95</v>
      </c>
      <c r="J88" s="15">
        <v>1056.3800000000001</v>
      </c>
      <c r="K88" s="15">
        <v>1118.25</v>
      </c>
      <c r="L88" s="15">
        <v>1327.63</v>
      </c>
      <c r="M88" s="15">
        <v>1130.47</v>
      </c>
      <c r="N88" s="15">
        <v>1212.29</v>
      </c>
      <c r="O88" t="s">
        <v>75</v>
      </c>
    </row>
    <row r="89" spans="1:15" x14ac:dyDescent="0.25">
      <c r="A89" s="10" t="s">
        <v>582</v>
      </c>
      <c r="B89" s="15">
        <v>0</v>
      </c>
      <c r="C89" s="15">
        <v>0</v>
      </c>
      <c r="D89" s="15">
        <v>0</v>
      </c>
      <c r="E89" s="15">
        <v>0</v>
      </c>
      <c r="F89" s="15">
        <v>69.64</v>
      </c>
      <c r="G89" s="15">
        <v>0</v>
      </c>
      <c r="H89" s="15">
        <v>50.98</v>
      </c>
      <c r="I89" s="15">
        <v>46.49</v>
      </c>
      <c r="J89" s="15">
        <v>37.82</v>
      </c>
      <c r="K89" s="15">
        <v>0</v>
      </c>
      <c r="L89" s="15">
        <v>0</v>
      </c>
      <c r="M89" s="15">
        <v>0</v>
      </c>
      <c r="N89" s="15">
        <v>13.58</v>
      </c>
      <c r="O89" t="s">
        <v>75</v>
      </c>
    </row>
    <row r="90" spans="1:15" x14ac:dyDescent="0.25">
      <c r="A90" s="10" t="s">
        <v>584</v>
      </c>
      <c r="B90" s="15">
        <v>53.74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51.15</v>
      </c>
      <c r="I90" s="15">
        <v>46.74</v>
      </c>
      <c r="J90" s="15">
        <v>18.77</v>
      </c>
      <c r="K90" s="15">
        <v>18.77</v>
      </c>
      <c r="L90" s="15">
        <v>18.77</v>
      </c>
      <c r="M90" s="15">
        <v>18.77</v>
      </c>
      <c r="N90" s="15">
        <v>18.77</v>
      </c>
      <c r="O90" t="s">
        <v>75</v>
      </c>
    </row>
    <row r="91" spans="1:15" x14ac:dyDescent="0.25">
      <c r="A91" s="10" t="s">
        <v>586</v>
      </c>
      <c r="B91" s="15">
        <v>30.86</v>
      </c>
      <c r="C91" s="15">
        <v>0</v>
      </c>
      <c r="D91" s="15">
        <v>10.6</v>
      </c>
      <c r="E91" s="15">
        <v>41.81</v>
      </c>
      <c r="F91" s="15">
        <v>32.68</v>
      </c>
      <c r="G91" s="15">
        <v>15.77</v>
      </c>
      <c r="H91" s="15">
        <v>137.44</v>
      </c>
      <c r="I91" s="15">
        <v>0</v>
      </c>
      <c r="J91" s="15">
        <v>52.77</v>
      </c>
      <c r="K91" s="15">
        <v>19.21</v>
      </c>
      <c r="L91" s="15">
        <v>0</v>
      </c>
      <c r="M91" s="15">
        <v>0</v>
      </c>
      <c r="N91" s="15">
        <v>19.38</v>
      </c>
      <c r="O91" t="s">
        <v>75</v>
      </c>
    </row>
    <row r="92" spans="1:15" x14ac:dyDescent="0.25">
      <c r="A92" s="10" t="s">
        <v>588</v>
      </c>
      <c r="B92" s="15">
        <v>0</v>
      </c>
      <c r="C92" s="15">
        <v>0</v>
      </c>
      <c r="D92" s="15">
        <v>0</v>
      </c>
      <c r="E92" s="15">
        <v>68.44</v>
      </c>
      <c r="F92" s="15">
        <v>314.45</v>
      </c>
      <c r="G92" s="15">
        <v>314.45</v>
      </c>
      <c r="H92" s="15">
        <v>615.94000000000005</v>
      </c>
      <c r="I92" s="15">
        <v>615.94000000000005</v>
      </c>
      <c r="J92" s="15">
        <v>423.44</v>
      </c>
      <c r="K92" s="15">
        <v>423.44</v>
      </c>
      <c r="L92" s="15">
        <v>423.44</v>
      </c>
      <c r="M92" s="15">
        <v>423.44</v>
      </c>
      <c r="N92" s="15">
        <v>173.05</v>
      </c>
      <c r="O92" t="s">
        <v>75</v>
      </c>
    </row>
    <row r="93" spans="1:15" x14ac:dyDescent="0.25">
      <c r="A93" s="10" t="s">
        <v>592</v>
      </c>
      <c r="B93" s="15">
        <v>136.63</v>
      </c>
      <c r="C93" s="15">
        <v>547.82000000000005</v>
      </c>
      <c r="D93" s="15">
        <v>0</v>
      </c>
      <c r="E93" s="15">
        <v>115.88</v>
      </c>
      <c r="F93" s="15">
        <v>139.9</v>
      </c>
      <c r="G93" s="15">
        <v>117.98</v>
      </c>
      <c r="H93" s="15">
        <v>351.4</v>
      </c>
      <c r="I93" s="15">
        <v>295.52999999999997</v>
      </c>
      <c r="J93" s="15">
        <v>206.17</v>
      </c>
      <c r="K93" s="15">
        <v>170.59</v>
      </c>
      <c r="L93" s="15">
        <v>218.73</v>
      </c>
      <c r="M93" s="15">
        <v>168.9</v>
      </c>
      <c r="N93" s="15">
        <v>193.12</v>
      </c>
      <c r="O93" t="s">
        <v>75</v>
      </c>
    </row>
    <row r="94" spans="1:15" x14ac:dyDescent="0.25">
      <c r="A94" s="10" t="s">
        <v>596</v>
      </c>
      <c r="B94" s="15">
        <v>364.31</v>
      </c>
      <c r="C94" s="15">
        <v>364.31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t="s">
        <v>75</v>
      </c>
    </row>
    <row r="95" spans="1:15" x14ac:dyDescent="0.25">
      <c r="A95" s="10" t="s">
        <v>598</v>
      </c>
      <c r="B95" s="15">
        <v>0</v>
      </c>
      <c r="C95" s="15">
        <v>0</v>
      </c>
      <c r="D95" s="15">
        <v>8943.2800000000007</v>
      </c>
      <c r="E95" s="15">
        <v>7690.52</v>
      </c>
      <c r="F95" s="15">
        <v>4637.17</v>
      </c>
      <c r="G95" s="15">
        <v>6193.28</v>
      </c>
      <c r="H95" s="15">
        <v>6193.28</v>
      </c>
      <c r="I95" s="15">
        <v>6193.28</v>
      </c>
      <c r="J95" s="15">
        <v>6193.28</v>
      </c>
      <c r="K95" s="15">
        <v>6193.28</v>
      </c>
      <c r="L95" s="15">
        <v>6193.28</v>
      </c>
      <c r="M95" s="15">
        <v>6193.28</v>
      </c>
      <c r="N95" s="15">
        <v>5643.28</v>
      </c>
      <c r="O95" t="s">
        <v>75</v>
      </c>
    </row>
    <row r="96" spans="1:15" x14ac:dyDescent="0.25">
      <c r="A96" s="10" t="s">
        <v>600</v>
      </c>
      <c r="B96" s="15">
        <v>0</v>
      </c>
      <c r="C96" s="15">
        <v>0</v>
      </c>
      <c r="D96" s="15">
        <v>0</v>
      </c>
      <c r="E96" s="15">
        <v>68.44</v>
      </c>
      <c r="F96" s="15">
        <v>314.45</v>
      </c>
      <c r="G96" s="15">
        <v>314.45</v>
      </c>
      <c r="H96" s="15">
        <v>615.94000000000005</v>
      </c>
      <c r="I96" s="15">
        <v>615.94000000000005</v>
      </c>
      <c r="J96" s="15">
        <v>423.44</v>
      </c>
      <c r="K96" s="15">
        <v>423.44</v>
      </c>
      <c r="L96" s="15">
        <v>423.44</v>
      </c>
      <c r="M96" s="15">
        <v>423.44</v>
      </c>
      <c r="N96" s="15">
        <v>173.05</v>
      </c>
      <c r="O96" t="s">
        <v>75</v>
      </c>
    </row>
    <row r="97" spans="1:15" x14ac:dyDescent="0.25">
      <c r="A97" s="10" t="s">
        <v>602</v>
      </c>
      <c r="B97" s="15">
        <v>0</v>
      </c>
      <c r="C97" s="15">
        <v>0</v>
      </c>
      <c r="D97" s="15">
        <v>98.7</v>
      </c>
      <c r="E97" s="15">
        <v>0</v>
      </c>
      <c r="F97" s="15">
        <v>0</v>
      </c>
      <c r="G97" s="15">
        <v>0</v>
      </c>
      <c r="H97" s="15">
        <v>47.29</v>
      </c>
      <c r="I97" s="15">
        <v>45.37</v>
      </c>
      <c r="J97" s="15">
        <v>20.94</v>
      </c>
      <c r="K97" s="15">
        <v>38.69</v>
      </c>
      <c r="L97" s="15">
        <v>29.54</v>
      </c>
      <c r="M97" s="15">
        <v>20.94</v>
      </c>
      <c r="N97" s="15">
        <v>23.87</v>
      </c>
      <c r="O97" t="s">
        <v>75</v>
      </c>
    </row>
    <row r="98" spans="1:15" x14ac:dyDescent="0.25">
      <c r="A98" s="10" t="s">
        <v>604</v>
      </c>
      <c r="B98" s="15">
        <v>66.209999999999994</v>
      </c>
      <c r="C98" s="15">
        <v>81.47</v>
      </c>
      <c r="D98" s="15">
        <v>77.94</v>
      </c>
      <c r="E98" s="15">
        <v>123.14</v>
      </c>
      <c r="F98" s="15">
        <v>63.93</v>
      </c>
      <c r="G98" s="15">
        <v>260.41000000000003</v>
      </c>
      <c r="H98" s="15">
        <v>18.07</v>
      </c>
      <c r="I98" s="15">
        <v>347.31</v>
      </c>
      <c r="J98" s="15">
        <v>146.46</v>
      </c>
      <c r="K98" s="15">
        <v>100.67</v>
      </c>
      <c r="L98" s="15">
        <v>152.49</v>
      </c>
      <c r="M98" s="15">
        <v>100.67</v>
      </c>
      <c r="N98" s="15">
        <v>142.30000000000001</v>
      </c>
      <c r="O98" t="s">
        <v>75</v>
      </c>
    </row>
    <row r="99" spans="1:15" x14ac:dyDescent="0.25">
      <c r="A99" s="10" t="s">
        <v>606</v>
      </c>
      <c r="B99" s="15">
        <v>11.3</v>
      </c>
      <c r="C99" s="15">
        <v>51.69</v>
      </c>
      <c r="D99" s="15">
        <v>238.84</v>
      </c>
      <c r="E99" s="15">
        <v>32.76</v>
      </c>
      <c r="F99" s="15">
        <v>44.54</v>
      </c>
      <c r="G99" s="15">
        <v>15.81</v>
      </c>
      <c r="H99" s="15">
        <v>102.26</v>
      </c>
      <c r="I99" s="15">
        <v>111.29</v>
      </c>
      <c r="J99" s="15">
        <v>148.94999999999999</v>
      </c>
      <c r="K99" s="15">
        <v>0</v>
      </c>
      <c r="L99" s="15">
        <v>67.86</v>
      </c>
      <c r="M99" s="15">
        <v>45.66</v>
      </c>
      <c r="N99" s="15">
        <v>52.13</v>
      </c>
      <c r="O99" t="s">
        <v>75</v>
      </c>
    </row>
    <row r="100" spans="1:15" x14ac:dyDescent="0.25">
      <c r="A100" s="10" t="s">
        <v>608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4039.81</v>
      </c>
      <c r="M100" s="15">
        <v>2389.81</v>
      </c>
      <c r="N100" s="15">
        <v>3346.4</v>
      </c>
      <c r="O100" t="s">
        <v>75</v>
      </c>
    </row>
    <row r="101" spans="1:15" x14ac:dyDescent="0.25">
      <c r="A101" s="10" t="s">
        <v>610</v>
      </c>
      <c r="B101" s="15">
        <v>16.86</v>
      </c>
      <c r="C101" s="15">
        <v>0</v>
      </c>
      <c r="D101" s="15">
        <v>79.03</v>
      </c>
      <c r="E101" s="15">
        <v>0</v>
      </c>
      <c r="F101" s="15">
        <v>0</v>
      </c>
      <c r="G101" s="15">
        <v>0</v>
      </c>
      <c r="H101" s="15">
        <v>69.930000000000007</v>
      </c>
      <c r="I101" s="15">
        <v>32.85</v>
      </c>
      <c r="J101" s="15">
        <v>80.540000000000006</v>
      </c>
      <c r="K101" s="15">
        <v>0</v>
      </c>
      <c r="L101" s="15">
        <v>189.27</v>
      </c>
      <c r="M101" s="15">
        <v>51.15</v>
      </c>
      <c r="N101" s="15">
        <v>64.84</v>
      </c>
      <c r="O101" t="s">
        <v>75</v>
      </c>
    </row>
    <row r="102" spans="1:15" x14ac:dyDescent="0.25">
      <c r="A102" s="10" t="s">
        <v>612</v>
      </c>
      <c r="B102" s="15">
        <v>1446.94</v>
      </c>
      <c r="C102" s="15">
        <v>569.73</v>
      </c>
      <c r="D102" s="15">
        <v>406.55</v>
      </c>
      <c r="E102" s="15">
        <v>272.73</v>
      </c>
      <c r="F102" s="15">
        <v>1007.46</v>
      </c>
      <c r="G102" s="15">
        <v>471.11</v>
      </c>
      <c r="H102" s="15">
        <v>1955.78</v>
      </c>
      <c r="I102" s="15">
        <v>68.66</v>
      </c>
      <c r="J102" s="15">
        <v>908.19</v>
      </c>
      <c r="K102" s="15">
        <v>401.4</v>
      </c>
      <c r="L102" s="15">
        <v>820.34</v>
      </c>
      <c r="M102" s="15">
        <v>588.07000000000005</v>
      </c>
      <c r="N102" s="15">
        <v>808.63</v>
      </c>
      <c r="O102" t="s">
        <v>75</v>
      </c>
    </row>
    <row r="103" spans="1:15" x14ac:dyDescent="0.25">
      <c r="A103" s="10" t="s">
        <v>616</v>
      </c>
      <c r="B103" s="15">
        <v>107.97</v>
      </c>
      <c r="C103" s="15">
        <v>0</v>
      </c>
      <c r="D103" s="15">
        <v>21.3</v>
      </c>
      <c r="E103" s="15">
        <v>46.51</v>
      </c>
      <c r="F103" s="15">
        <v>55.5</v>
      </c>
      <c r="G103" s="15">
        <v>46.2</v>
      </c>
      <c r="H103" s="15">
        <v>154.44999999999999</v>
      </c>
      <c r="I103" s="15">
        <v>71.900000000000006</v>
      </c>
      <c r="J103" s="15">
        <v>33.21</v>
      </c>
      <c r="K103" s="15">
        <v>65.430000000000007</v>
      </c>
      <c r="L103" s="15">
        <v>0</v>
      </c>
      <c r="M103" s="15">
        <v>0</v>
      </c>
      <c r="N103" s="15">
        <v>55.69</v>
      </c>
      <c r="O103" t="s">
        <v>75</v>
      </c>
    </row>
    <row r="104" spans="1:15" x14ac:dyDescent="0.25">
      <c r="A104" s="10" t="s">
        <v>622</v>
      </c>
      <c r="B104" s="15">
        <v>176.59</v>
      </c>
      <c r="C104" s="15">
        <v>101.64</v>
      </c>
      <c r="D104" s="15">
        <v>175.95</v>
      </c>
      <c r="E104" s="15">
        <v>92.03</v>
      </c>
      <c r="F104" s="15">
        <v>257.92</v>
      </c>
      <c r="G104" s="15">
        <v>92.03</v>
      </c>
      <c r="H104" s="15">
        <v>348.8</v>
      </c>
      <c r="I104" s="15">
        <v>263.10000000000002</v>
      </c>
      <c r="J104" s="15">
        <v>197.2</v>
      </c>
      <c r="K104" s="15">
        <v>692.23</v>
      </c>
      <c r="L104" s="15">
        <v>0</v>
      </c>
      <c r="M104" s="15">
        <v>191.7</v>
      </c>
      <c r="N104" s="15">
        <v>194.7</v>
      </c>
      <c r="O104" t="s">
        <v>75</v>
      </c>
    </row>
    <row r="105" spans="1:15" x14ac:dyDescent="0.25">
      <c r="A105" s="10" t="s">
        <v>624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25.06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t="s">
        <v>75</v>
      </c>
    </row>
    <row r="106" spans="1:15" x14ac:dyDescent="0.25">
      <c r="A106" s="10" t="s">
        <v>626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20.13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t="s">
        <v>75</v>
      </c>
    </row>
    <row r="107" spans="1:15" x14ac:dyDescent="0.25">
      <c r="A107" s="10" t="s">
        <v>628</v>
      </c>
      <c r="B107" s="15">
        <v>364.31</v>
      </c>
      <c r="C107" s="15">
        <v>364.31</v>
      </c>
      <c r="D107" s="15">
        <v>364.31</v>
      </c>
      <c r="E107" s="15">
        <v>364.31</v>
      </c>
      <c r="F107" s="15">
        <v>364.31</v>
      </c>
      <c r="G107" s="15">
        <v>344.82</v>
      </c>
      <c r="H107" s="15">
        <v>373.96</v>
      </c>
      <c r="I107" s="15">
        <v>775.89</v>
      </c>
      <c r="J107" s="15">
        <v>499.62</v>
      </c>
      <c r="K107" s="15">
        <v>499.62</v>
      </c>
      <c r="L107" s="15">
        <v>499.62</v>
      </c>
      <c r="M107" s="15">
        <v>499.62</v>
      </c>
      <c r="N107" s="15">
        <v>499.62</v>
      </c>
      <c r="O107" t="s">
        <v>75</v>
      </c>
    </row>
    <row r="108" spans="1:15" x14ac:dyDescent="0.25">
      <c r="A108" s="10" t="s">
        <v>630</v>
      </c>
      <c r="B108" s="15">
        <v>85.93</v>
      </c>
      <c r="C108" s="15">
        <v>85.93</v>
      </c>
      <c r="D108" s="15">
        <v>85.93</v>
      </c>
      <c r="E108" s="15">
        <v>85.93</v>
      </c>
      <c r="F108" s="15">
        <v>85.93</v>
      </c>
      <c r="G108" s="15">
        <v>85.93</v>
      </c>
      <c r="H108" s="15">
        <v>263.39999999999998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47.19</v>
      </c>
      <c r="O108" t="s">
        <v>75</v>
      </c>
    </row>
    <row r="109" spans="1:15" x14ac:dyDescent="0.25">
      <c r="A109" s="10" t="s">
        <v>632</v>
      </c>
      <c r="B109" s="15">
        <v>116.65</v>
      </c>
      <c r="C109" s="15">
        <v>0</v>
      </c>
      <c r="D109" s="15">
        <v>27.37</v>
      </c>
      <c r="E109" s="15">
        <v>26.59</v>
      </c>
      <c r="F109" s="15">
        <v>38.520000000000003</v>
      </c>
      <c r="G109" s="15">
        <v>26.59</v>
      </c>
      <c r="H109" s="15">
        <v>111.61</v>
      </c>
      <c r="I109" s="15">
        <v>78.58</v>
      </c>
      <c r="J109" s="15">
        <v>41.18</v>
      </c>
      <c r="K109" s="15">
        <v>41.18</v>
      </c>
      <c r="L109" s="15">
        <v>51.26</v>
      </c>
      <c r="M109" s="15">
        <v>41.18</v>
      </c>
      <c r="N109" s="15">
        <v>44.52</v>
      </c>
      <c r="O109" t="s">
        <v>75</v>
      </c>
    </row>
    <row r="110" spans="1:15" x14ac:dyDescent="0.25">
      <c r="A110" s="10" t="s">
        <v>634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17.809999999999999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t="s">
        <v>75</v>
      </c>
    </row>
    <row r="111" spans="1:15" x14ac:dyDescent="0.25">
      <c r="A111" s="10" t="s">
        <v>636</v>
      </c>
      <c r="B111" s="15">
        <v>21.41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t="s">
        <v>75</v>
      </c>
    </row>
    <row r="112" spans="1:15" x14ac:dyDescent="0.25">
      <c r="A112" s="10" t="s">
        <v>638</v>
      </c>
      <c r="B112" s="15">
        <v>13.94</v>
      </c>
      <c r="C112" s="15">
        <v>0</v>
      </c>
      <c r="D112" s="15">
        <v>25.98</v>
      </c>
      <c r="E112" s="15">
        <v>0</v>
      </c>
      <c r="F112" s="15">
        <v>25.79</v>
      </c>
      <c r="G112" s="15">
        <v>0</v>
      </c>
      <c r="H112" s="15">
        <v>76.260000000000005</v>
      </c>
      <c r="I112" s="15">
        <v>51.04</v>
      </c>
      <c r="J112" s="15">
        <v>31.05</v>
      </c>
      <c r="K112" s="15">
        <v>22.5</v>
      </c>
      <c r="L112" s="15">
        <v>33.39</v>
      </c>
      <c r="M112" s="15">
        <v>22.5</v>
      </c>
      <c r="N112" s="15">
        <v>30.62</v>
      </c>
      <c r="O112" t="s">
        <v>75</v>
      </c>
    </row>
    <row r="113" spans="1:15" x14ac:dyDescent="0.25">
      <c r="A113" s="10" t="s">
        <v>644</v>
      </c>
      <c r="B113" s="15">
        <v>0</v>
      </c>
      <c r="C113" s="15">
        <v>0</v>
      </c>
      <c r="D113" s="15">
        <v>0</v>
      </c>
      <c r="E113" s="15">
        <v>36.51</v>
      </c>
      <c r="F113" s="15">
        <v>0</v>
      </c>
      <c r="G113" s="15">
        <v>0</v>
      </c>
      <c r="H113" s="15">
        <v>0</v>
      </c>
      <c r="I113" s="15">
        <v>10.19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t="s">
        <v>75</v>
      </c>
    </row>
    <row r="114" spans="1:15" x14ac:dyDescent="0.25">
      <c r="A114" s="10" t="s">
        <v>650</v>
      </c>
      <c r="B114" s="15">
        <v>3750.67</v>
      </c>
      <c r="C114" s="15">
        <v>3750.67</v>
      </c>
      <c r="D114" s="15">
        <v>3750.67</v>
      </c>
      <c r="E114" s="15">
        <v>3750.67</v>
      </c>
      <c r="F114" s="15">
        <v>3750.67</v>
      </c>
      <c r="G114" s="15">
        <v>3750.67</v>
      </c>
      <c r="H114" s="15">
        <v>3750.67</v>
      </c>
      <c r="I114" s="15">
        <v>3750.67</v>
      </c>
      <c r="J114" s="15">
        <v>3750.67</v>
      </c>
      <c r="K114" s="15">
        <v>3750.67</v>
      </c>
      <c r="L114" s="15">
        <v>3750.67</v>
      </c>
      <c r="M114" s="15">
        <v>3750.67</v>
      </c>
      <c r="N114" s="15">
        <v>3750.67</v>
      </c>
      <c r="O114" t="s">
        <v>75</v>
      </c>
    </row>
    <row r="115" spans="1:15" x14ac:dyDescent="0.25">
      <c r="A115" s="10" t="s">
        <v>654</v>
      </c>
      <c r="B115" s="15">
        <v>1006.32</v>
      </c>
      <c r="C115" s="15">
        <v>1006.32</v>
      </c>
      <c r="D115" s="15">
        <v>1006.32</v>
      </c>
      <c r="E115" s="15">
        <v>1006.32</v>
      </c>
      <c r="F115" s="15">
        <v>1067.68</v>
      </c>
      <c r="G115" s="15">
        <v>1067.68</v>
      </c>
      <c r="H115" s="15">
        <v>1680.4</v>
      </c>
      <c r="I115" s="15">
        <v>1760.76</v>
      </c>
      <c r="J115" s="15">
        <v>1307.77</v>
      </c>
      <c r="K115" s="15">
        <v>1307.77</v>
      </c>
      <c r="L115" s="15">
        <v>1307.77</v>
      </c>
      <c r="M115" s="15">
        <v>1940.58</v>
      </c>
      <c r="N115" s="15">
        <v>1307.77</v>
      </c>
      <c r="O115" t="s">
        <v>75</v>
      </c>
    </row>
    <row r="116" spans="1:15" x14ac:dyDescent="0.25">
      <c r="A116" s="10" t="s">
        <v>658</v>
      </c>
      <c r="B116" s="15">
        <v>8101.28</v>
      </c>
      <c r="C116" s="15">
        <v>8101.28</v>
      </c>
      <c r="D116" s="15">
        <v>1369.45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1216.45</v>
      </c>
      <c r="O116" t="s">
        <v>75</v>
      </c>
    </row>
    <row r="117" spans="1:15" x14ac:dyDescent="0.25">
      <c r="A117" s="10" t="s">
        <v>660</v>
      </c>
      <c r="B117" s="15">
        <v>123.79</v>
      </c>
      <c r="C117" s="15">
        <v>0</v>
      </c>
      <c r="D117" s="15">
        <v>61.65</v>
      </c>
      <c r="E117" s="15">
        <v>0</v>
      </c>
      <c r="F117" s="15">
        <v>162.54</v>
      </c>
      <c r="G117" s="15">
        <v>12.01</v>
      </c>
      <c r="H117" s="15">
        <v>180.92</v>
      </c>
      <c r="I117" s="15">
        <v>65.84</v>
      </c>
      <c r="J117" s="15">
        <v>69.55</v>
      </c>
      <c r="K117" s="15">
        <v>12.7</v>
      </c>
      <c r="L117" s="15">
        <v>96.17</v>
      </c>
      <c r="M117" s="15">
        <v>47.78</v>
      </c>
      <c r="N117" s="15">
        <v>69.760000000000005</v>
      </c>
      <c r="O117" t="s">
        <v>75</v>
      </c>
    </row>
    <row r="118" spans="1:15" x14ac:dyDescent="0.25">
      <c r="A118" s="10" t="s">
        <v>664</v>
      </c>
      <c r="B118" s="15">
        <v>0</v>
      </c>
      <c r="C118" s="15">
        <v>0</v>
      </c>
      <c r="D118" s="15">
        <v>0</v>
      </c>
      <c r="E118" s="15">
        <v>19.32</v>
      </c>
      <c r="F118" s="15">
        <v>32.25</v>
      </c>
      <c r="G118" s="15">
        <v>23.75</v>
      </c>
      <c r="H118" s="15">
        <v>116.5</v>
      </c>
      <c r="I118" s="15">
        <v>0</v>
      </c>
      <c r="J118" s="15">
        <v>27.81</v>
      </c>
      <c r="K118" s="15">
        <v>51.39</v>
      </c>
      <c r="L118" s="15">
        <v>0</v>
      </c>
      <c r="M118" s="15">
        <v>0</v>
      </c>
      <c r="N118" s="15">
        <v>21.16</v>
      </c>
      <c r="O118" t="s">
        <v>75</v>
      </c>
    </row>
    <row r="119" spans="1:15" x14ac:dyDescent="0.25">
      <c r="A119" s="10" t="s">
        <v>666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47.92</v>
      </c>
      <c r="I119" s="15">
        <v>24.44</v>
      </c>
      <c r="J119" s="15">
        <v>0</v>
      </c>
      <c r="K119" s="15">
        <v>0</v>
      </c>
      <c r="L119" s="15">
        <v>0</v>
      </c>
      <c r="M119" s="15">
        <v>48.97</v>
      </c>
      <c r="N119" s="15">
        <v>0</v>
      </c>
      <c r="O119" t="s">
        <v>75</v>
      </c>
    </row>
    <row r="120" spans="1:15" x14ac:dyDescent="0.25">
      <c r="A120" s="10" t="s">
        <v>668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14.22</v>
      </c>
      <c r="I120" s="15">
        <v>12.71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t="s">
        <v>75</v>
      </c>
    </row>
    <row r="121" spans="1:15" x14ac:dyDescent="0.25">
      <c r="A121" s="10" t="s">
        <v>670</v>
      </c>
      <c r="B121" s="15">
        <v>364.31</v>
      </c>
      <c r="C121" s="15">
        <v>364.31</v>
      </c>
      <c r="D121" s="15">
        <v>364.31</v>
      </c>
      <c r="E121" s="15">
        <v>364.31</v>
      </c>
      <c r="F121" s="15">
        <v>364.31</v>
      </c>
      <c r="G121" s="15">
        <v>364.31</v>
      </c>
      <c r="H121" s="15">
        <v>803.77</v>
      </c>
      <c r="I121" s="15">
        <v>803.77</v>
      </c>
      <c r="J121" s="15">
        <v>499.62</v>
      </c>
      <c r="K121" s="15">
        <v>499.62</v>
      </c>
      <c r="L121" s="15">
        <v>499.62</v>
      </c>
      <c r="M121" s="15">
        <v>555.92999999999995</v>
      </c>
      <c r="N121" s="15">
        <v>499.62</v>
      </c>
      <c r="O121" t="s">
        <v>75</v>
      </c>
    </row>
    <row r="122" spans="1:15" x14ac:dyDescent="0.25">
      <c r="A122" s="10" t="s">
        <v>672</v>
      </c>
      <c r="B122" s="15">
        <v>2780.58</v>
      </c>
      <c r="C122" s="15">
        <v>2780.58</v>
      </c>
      <c r="D122" s="15">
        <v>2780.58</v>
      </c>
      <c r="E122" s="15">
        <v>2780.58</v>
      </c>
      <c r="F122" s="15">
        <v>2780.58</v>
      </c>
      <c r="G122" s="15">
        <v>2780.58</v>
      </c>
      <c r="H122" s="15">
        <v>2780.58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1172.6300000000001</v>
      </c>
      <c r="O122" t="s">
        <v>75</v>
      </c>
    </row>
    <row r="123" spans="1:15" x14ac:dyDescent="0.25">
      <c r="A123" s="10" t="s">
        <v>674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21.44</v>
      </c>
      <c r="I123" s="15">
        <v>16.8</v>
      </c>
      <c r="J123" s="15">
        <v>0</v>
      </c>
      <c r="K123" s="15">
        <v>0</v>
      </c>
      <c r="L123" s="15">
        <v>0</v>
      </c>
      <c r="M123" s="15">
        <v>44.99</v>
      </c>
      <c r="N123" s="15">
        <v>0</v>
      </c>
      <c r="O123" t="s">
        <v>75</v>
      </c>
    </row>
    <row r="124" spans="1:15" x14ac:dyDescent="0.25">
      <c r="A124" s="10" t="s">
        <v>676</v>
      </c>
      <c r="B124" s="15">
        <v>334.94</v>
      </c>
      <c r="C124" s="15">
        <v>235.54</v>
      </c>
      <c r="D124" s="15">
        <v>340.98</v>
      </c>
      <c r="E124" s="15">
        <v>222.58</v>
      </c>
      <c r="F124" s="15">
        <v>196.33</v>
      </c>
      <c r="G124" s="15">
        <v>717.07</v>
      </c>
      <c r="H124" s="15">
        <v>36.71</v>
      </c>
      <c r="I124" s="15">
        <v>470.46</v>
      </c>
      <c r="J124" s="15">
        <v>296.33</v>
      </c>
      <c r="K124" s="15">
        <v>294.83999999999997</v>
      </c>
      <c r="L124" s="15">
        <v>292.14</v>
      </c>
      <c r="M124" s="15">
        <v>293.97000000000003</v>
      </c>
      <c r="N124" s="15">
        <v>336.38</v>
      </c>
      <c r="O124" t="s">
        <v>75</v>
      </c>
    </row>
    <row r="125" spans="1:15" x14ac:dyDescent="0.25">
      <c r="A125" s="10" t="s">
        <v>682</v>
      </c>
      <c r="B125" s="15">
        <v>0</v>
      </c>
      <c r="C125" s="15">
        <v>56.82</v>
      </c>
      <c r="D125" s="15">
        <v>0</v>
      </c>
      <c r="E125" s="15">
        <v>19.55</v>
      </c>
      <c r="F125" s="15">
        <v>0</v>
      </c>
      <c r="G125" s="15">
        <v>15.75</v>
      </c>
      <c r="H125" s="15">
        <v>0</v>
      </c>
      <c r="I125" s="15">
        <v>41.39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  <c r="O125" t="s">
        <v>75</v>
      </c>
    </row>
    <row r="126" spans="1:15" x14ac:dyDescent="0.25">
      <c r="A126" s="10" t="s">
        <v>686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20.170000000000002</v>
      </c>
      <c r="I126" s="15">
        <v>0</v>
      </c>
      <c r="J126" s="15">
        <v>0</v>
      </c>
      <c r="K126" s="15">
        <v>0</v>
      </c>
      <c r="L126" s="15">
        <v>0</v>
      </c>
      <c r="M126" s="15">
        <v>42.85</v>
      </c>
      <c r="N126" s="15">
        <v>0</v>
      </c>
      <c r="O126" t="s">
        <v>75</v>
      </c>
    </row>
    <row r="127" spans="1:15" x14ac:dyDescent="0.25">
      <c r="A127" s="10" t="s">
        <v>690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41.9</v>
      </c>
      <c r="I127" s="15">
        <v>20.98</v>
      </c>
      <c r="J127" s="15">
        <v>78.33</v>
      </c>
      <c r="K127" s="15">
        <v>0</v>
      </c>
      <c r="L127" s="15">
        <v>0</v>
      </c>
      <c r="M127" s="15">
        <v>0</v>
      </c>
      <c r="N127" s="15">
        <v>0</v>
      </c>
      <c r="O127" t="s">
        <v>75</v>
      </c>
    </row>
    <row r="128" spans="1:15" x14ac:dyDescent="0.25">
      <c r="A128" s="10" t="s">
        <v>692</v>
      </c>
      <c r="B128" s="15">
        <v>57.98</v>
      </c>
      <c r="C128" s="15">
        <v>57.98</v>
      </c>
      <c r="D128" s="15">
        <v>57.98</v>
      </c>
      <c r="E128" s="15">
        <v>57.98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t="s">
        <v>75</v>
      </c>
    </row>
    <row r="129" spans="1:15" x14ac:dyDescent="0.25">
      <c r="A129" s="10" t="s">
        <v>696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20.98</v>
      </c>
      <c r="K129" s="15">
        <v>0</v>
      </c>
      <c r="L129" s="15">
        <v>0</v>
      </c>
      <c r="M129" s="15">
        <v>0</v>
      </c>
      <c r="N129" s="15">
        <v>0</v>
      </c>
      <c r="O129" t="s">
        <v>75</v>
      </c>
    </row>
    <row r="130" spans="1:15" x14ac:dyDescent="0.25">
      <c r="A130" s="10" t="s">
        <v>700</v>
      </c>
      <c r="B130" s="15">
        <v>1847.21</v>
      </c>
      <c r="C130" s="15">
        <v>1847.21</v>
      </c>
      <c r="D130" s="15">
        <v>1847.21</v>
      </c>
      <c r="E130" s="15">
        <v>1930.91</v>
      </c>
      <c r="F130" s="15">
        <v>1930.91</v>
      </c>
      <c r="G130" s="15">
        <v>1930.91</v>
      </c>
      <c r="H130" s="15">
        <v>2940.77</v>
      </c>
      <c r="I130" s="15">
        <v>2875.92</v>
      </c>
      <c r="J130" s="15">
        <v>2258.27</v>
      </c>
      <c r="K130" s="15">
        <v>2247.79</v>
      </c>
      <c r="L130" s="15">
        <v>2154.0100000000002</v>
      </c>
      <c r="M130" s="15">
        <v>2258.27</v>
      </c>
      <c r="N130" s="15">
        <v>2258.27</v>
      </c>
      <c r="O130" t="s">
        <v>75</v>
      </c>
    </row>
    <row r="131" spans="1:15" x14ac:dyDescent="0.25">
      <c r="A131" s="10" t="s">
        <v>702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31.79</v>
      </c>
      <c r="I131" s="15">
        <v>31.46</v>
      </c>
      <c r="J131" s="15">
        <v>20.059999999999999</v>
      </c>
      <c r="K131" s="15">
        <v>14.44</v>
      </c>
      <c r="L131" s="15">
        <v>27.14</v>
      </c>
      <c r="M131" s="15">
        <v>14.44</v>
      </c>
      <c r="N131" s="15">
        <v>0</v>
      </c>
      <c r="O131" t="s">
        <v>75</v>
      </c>
    </row>
    <row r="132" spans="1:15" x14ac:dyDescent="0.25">
      <c r="A132" s="10" t="s">
        <v>706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14.22</v>
      </c>
      <c r="I132" s="15">
        <v>12.71</v>
      </c>
      <c r="J132" s="15">
        <v>57.3</v>
      </c>
      <c r="K132" s="15">
        <v>0</v>
      </c>
      <c r="L132" s="15">
        <v>0</v>
      </c>
      <c r="M132" s="15">
        <v>0</v>
      </c>
      <c r="N132" s="15">
        <v>0</v>
      </c>
      <c r="O132" t="s">
        <v>75</v>
      </c>
    </row>
    <row r="133" spans="1:15" x14ac:dyDescent="0.25">
      <c r="A133" s="10" t="s">
        <v>710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16.920000000000002</v>
      </c>
      <c r="K133" s="15">
        <v>0</v>
      </c>
      <c r="L133" s="15">
        <v>0</v>
      </c>
      <c r="M133" s="15">
        <v>0</v>
      </c>
      <c r="N133" s="15">
        <v>0</v>
      </c>
      <c r="O133" t="s">
        <v>75</v>
      </c>
    </row>
    <row r="134" spans="1:15" x14ac:dyDescent="0.25">
      <c r="A134" s="10" t="s">
        <v>712</v>
      </c>
      <c r="B134" s="15">
        <v>0</v>
      </c>
      <c r="C134" s="15">
        <v>0</v>
      </c>
      <c r="D134" s="15">
        <v>0</v>
      </c>
      <c r="E134" s="15">
        <v>0</v>
      </c>
      <c r="F134" s="15">
        <v>24.58</v>
      </c>
      <c r="G134" s="15">
        <v>14.85</v>
      </c>
      <c r="H134" s="15">
        <v>62.05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t="s">
        <v>75</v>
      </c>
    </row>
    <row r="135" spans="1:15" x14ac:dyDescent="0.25">
      <c r="A135" s="10" t="s">
        <v>714</v>
      </c>
      <c r="B135" s="15">
        <v>16.79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  <c r="O135" t="s">
        <v>75</v>
      </c>
    </row>
    <row r="136" spans="1:15" x14ac:dyDescent="0.25">
      <c r="A136" s="10" t="s">
        <v>716</v>
      </c>
      <c r="B136" s="15">
        <v>188.75</v>
      </c>
      <c r="C136" s="15">
        <v>188.75</v>
      </c>
      <c r="D136" s="15">
        <v>188.75</v>
      </c>
      <c r="E136" s="15">
        <v>188.75</v>
      </c>
      <c r="F136" s="15">
        <v>188.75</v>
      </c>
      <c r="G136" s="15">
        <v>188.75</v>
      </c>
      <c r="H136" s="15">
        <v>472.75</v>
      </c>
      <c r="I136" s="15">
        <v>458.29</v>
      </c>
      <c r="J136" s="15">
        <v>269.54000000000002</v>
      </c>
      <c r="K136" s="15">
        <v>269.54000000000002</v>
      </c>
      <c r="L136" s="15">
        <v>193.16</v>
      </c>
      <c r="M136" s="15">
        <v>188.6</v>
      </c>
      <c r="N136" s="15">
        <v>269.54000000000002</v>
      </c>
      <c r="O136" t="s">
        <v>75</v>
      </c>
    </row>
    <row r="137" spans="1:15" x14ac:dyDescent="0.25">
      <c r="A137" s="10" t="s">
        <v>720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14.07</v>
      </c>
      <c r="J137" s="15">
        <v>0</v>
      </c>
      <c r="K137" s="15">
        <v>0</v>
      </c>
      <c r="L137" s="15">
        <v>28.61</v>
      </c>
      <c r="M137" s="15">
        <v>0</v>
      </c>
      <c r="N137" s="15">
        <v>0</v>
      </c>
      <c r="O137" t="s">
        <v>75</v>
      </c>
    </row>
    <row r="138" spans="1:15" x14ac:dyDescent="0.25">
      <c r="A138" s="10" t="s">
        <v>722</v>
      </c>
      <c r="B138" s="15">
        <v>0</v>
      </c>
      <c r="C138" s="15">
        <v>0</v>
      </c>
      <c r="D138" s="15">
        <v>18.34</v>
      </c>
      <c r="E138" s="15">
        <v>0</v>
      </c>
      <c r="F138" s="15">
        <v>68.45</v>
      </c>
      <c r="G138" s="15">
        <v>0</v>
      </c>
      <c r="H138" s="15">
        <v>63.69</v>
      </c>
      <c r="I138" s="15">
        <v>26.3</v>
      </c>
      <c r="J138" s="15">
        <v>0</v>
      </c>
      <c r="K138" s="15">
        <v>119.91</v>
      </c>
      <c r="L138" s="15">
        <v>0</v>
      </c>
      <c r="M138" s="15">
        <v>0</v>
      </c>
      <c r="N138" s="15">
        <v>11.04</v>
      </c>
      <c r="O138" t="s">
        <v>75</v>
      </c>
    </row>
    <row r="139" spans="1:15" x14ac:dyDescent="0.25">
      <c r="A139" s="10" t="s">
        <v>724</v>
      </c>
      <c r="B139" s="15">
        <v>0</v>
      </c>
      <c r="C139" s="15">
        <v>26.79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  <c r="O139" t="s">
        <v>75</v>
      </c>
    </row>
    <row r="140" spans="1:15" x14ac:dyDescent="0.25">
      <c r="A140" s="10" t="s">
        <v>726</v>
      </c>
      <c r="B140" s="15">
        <v>110.58</v>
      </c>
      <c r="C140" s="15">
        <v>110.58</v>
      </c>
      <c r="D140" s="15">
        <v>110.58</v>
      </c>
      <c r="E140" s="15">
        <v>110.58</v>
      </c>
      <c r="F140" s="15">
        <v>112.69</v>
      </c>
      <c r="G140" s="15">
        <v>289.58</v>
      </c>
      <c r="H140" s="15">
        <v>216.31</v>
      </c>
      <c r="I140" s="15">
        <v>317.08999999999997</v>
      </c>
      <c r="J140" s="15">
        <v>185.3</v>
      </c>
      <c r="K140" s="15">
        <v>0</v>
      </c>
      <c r="L140" s="15">
        <v>0</v>
      </c>
      <c r="M140" s="15">
        <v>0</v>
      </c>
      <c r="N140" s="15">
        <v>0</v>
      </c>
      <c r="O140" t="s">
        <v>75</v>
      </c>
    </row>
    <row r="141" spans="1:15" x14ac:dyDescent="0.25">
      <c r="A141" s="10" t="s">
        <v>728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34.51</v>
      </c>
      <c r="I141" s="15">
        <v>30.46</v>
      </c>
      <c r="J141" s="15">
        <v>0</v>
      </c>
      <c r="K141" s="15">
        <v>0</v>
      </c>
      <c r="L141" s="15">
        <v>74.739999999999995</v>
      </c>
      <c r="M141" s="15">
        <v>0</v>
      </c>
      <c r="N141" s="15">
        <v>0</v>
      </c>
      <c r="O141" t="s">
        <v>75</v>
      </c>
    </row>
    <row r="142" spans="1:15" x14ac:dyDescent="0.25">
      <c r="A142" s="10" t="s">
        <v>734</v>
      </c>
      <c r="B142" s="15">
        <v>7443.57</v>
      </c>
      <c r="C142" s="15">
        <v>8732.9599999999991</v>
      </c>
      <c r="D142" s="15">
        <v>8732.9599999999991</v>
      </c>
      <c r="E142" s="15">
        <v>8732.9599999999991</v>
      </c>
      <c r="F142" s="15">
        <v>8732.9599999999991</v>
      </c>
      <c r="G142" s="15">
        <v>10263.06</v>
      </c>
      <c r="H142" s="15">
        <v>10263.06</v>
      </c>
      <c r="I142" s="15">
        <v>10263.06</v>
      </c>
      <c r="J142" s="15">
        <v>10263.06</v>
      </c>
      <c r="K142" s="15">
        <v>10263.06</v>
      </c>
      <c r="L142" s="15">
        <v>10263.06</v>
      </c>
      <c r="M142" s="15">
        <v>10263.06</v>
      </c>
      <c r="N142" s="15">
        <v>10263.06</v>
      </c>
      <c r="O142" t="s">
        <v>75</v>
      </c>
    </row>
    <row r="143" spans="1:15" x14ac:dyDescent="0.25">
      <c r="A143" s="10" t="s">
        <v>736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25.52</v>
      </c>
      <c r="K143" s="15">
        <v>0</v>
      </c>
      <c r="L143" s="15">
        <v>0</v>
      </c>
      <c r="M143" s="15">
        <v>0</v>
      </c>
      <c r="N143" s="15">
        <v>0</v>
      </c>
      <c r="O143" t="s">
        <v>75</v>
      </c>
    </row>
    <row r="144" spans="1:15" x14ac:dyDescent="0.25">
      <c r="A144" s="10" t="s">
        <v>738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20.47</v>
      </c>
      <c r="N144" s="15">
        <v>0</v>
      </c>
      <c r="O144" t="s">
        <v>75</v>
      </c>
    </row>
    <row r="145" spans="1:15" x14ac:dyDescent="0.25">
      <c r="A145" s="10" t="s">
        <v>740</v>
      </c>
      <c r="B145" s="15">
        <v>3104.42</v>
      </c>
      <c r="C145" s="15">
        <v>3104.42</v>
      </c>
      <c r="D145" s="15">
        <v>3104.42</v>
      </c>
      <c r="E145" s="15">
        <v>3104.42</v>
      </c>
      <c r="F145" s="15">
        <v>3104.42</v>
      </c>
      <c r="G145" s="15">
        <v>3104.42</v>
      </c>
      <c r="H145" s="15">
        <v>3153</v>
      </c>
      <c r="I145" s="15">
        <v>3104.42</v>
      </c>
      <c r="J145" s="15">
        <v>3648.64</v>
      </c>
      <c r="K145" s="15">
        <v>3648.64</v>
      </c>
      <c r="L145" s="15">
        <v>3648.64</v>
      </c>
      <c r="M145" s="15">
        <v>3648.64</v>
      </c>
      <c r="N145" s="15">
        <v>3648.64</v>
      </c>
      <c r="O145" t="s">
        <v>75</v>
      </c>
    </row>
    <row r="146" spans="1:15" x14ac:dyDescent="0.25">
      <c r="A146" s="10" t="s">
        <v>742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89.23</v>
      </c>
      <c r="I146" s="15">
        <v>40.520000000000003</v>
      </c>
      <c r="J146" s="15">
        <v>0</v>
      </c>
      <c r="K146" s="15">
        <v>0</v>
      </c>
      <c r="L146" s="15">
        <v>0</v>
      </c>
      <c r="M146" s="15">
        <v>125.97</v>
      </c>
      <c r="N146" s="15">
        <v>12.36</v>
      </c>
      <c r="O146" t="s">
        <v>75</v>
      </c>
    </row>
    <row r="147" spans="1:15" x14ac:dyDescent="0.25">
      <c r="A147" s="10" t="s">
        <v>746</v>
      </c>
      <c r="B147" s="15">
        <v>34.17</v>
      </c>
      <c r="C147" s="15">
        <v>23.18</v>
      </c>
      <c r="D147" s="15">
        <v>50.04</v>
      </c>
      <c r="E147" s="15">
        <v>29.3</v>
      </c>
      <c r="F147" s="15">
        <v>23.18</v>
      </c>
      <c r="G147" s="15">
        <v>23.18</v>
      </c>
      <c r="H147" s="15">
        <v>37</v>
      </c>
      <c r="I147" s="15">
        <v>19.34</v>
      </c>
      <c r="J147" s="15">
        <v>60.45</v>
      </c>
      <c r="K147" s="15">
        <v>37.49</v>
      </c>
      <c r="L147" s="15">
        <v>50.16</v>
      </c>
      <c r="M147" s="15">
        <v>93.75</v>
      </c>
      <c r="N147" s="15">
        <v>48.28</v>
      </c>
      <c r="O147" t="s">
        <v>75</v>
      </c>
    </row>
    <row r="148" spans="1:15" x14ac:dyDescent="0.25">
      <c r="A148" s="10" t="s">
        <v>748</v>
      </c>
      <c r="B148" s="15">
        <v>757.49</v>
      </c>
      <c r="C148" s="15">
        <v>664.85</v>
      </c>
      <c r="D148" s="15">
        <v>468.97</v>
      </c>
      <c r="E148" s="15">
        <v>757.49</v>
      </c>
      <c r="F148" s="15">
        <v>757.49</v>
      </c>
      <c r="G148" s="15">
        <v>757.49</v>
      </c>
      <c r="H148" s="15">
        <v>1399.92</v>
      </c>
      <c r="I148" s="15">
        <v>1333.8</v>
      </c>
      <c r="J148" s="15">
        <v>966.42</v>
      </c>
      <c r="K148" s="15">
        <v>966.42</v>
      </c>
      <c r="L148" s="15">
        <v>966.42</v>
      </c>
      <c r="M148" s="15">
        <v>1699.83</v>
      </c>
      <c r="N148" s="15">
        <v>966.42</v>
      </c>
      <c r="O148" t="s">
        <v>75</v>
      </c>
    </row>
    <row r="149" spans="1:15" x14ac:dyDescent="0.25">
      <c r="A149" s="10" t="s">
        <v>750</v>
      </c>
      <c r="B149" s="15">
        <v>32.299999999999997</v>
      </c>
      <c r="C149" s="15">
        <v>402.88</v>
      </c>
      <c r="D149" s="15">
        <v>0</v>
      </c>
      <c r="E149" s="15">
        <v>16.37</v>
      </c>
      <c r="F149" s="15">
        <v>16.809999999999999</v>
      </c>
      <c r="G149" s="15">
        <v>0</v>
      </c>
      <c r="H149" s="15">
        <v>66.25</v>
      </c>
      <c r="I149" s="15">
        <v>57.93</v>
      </c>
      <c r="J149" s="15">
        <v>27.45</v>
      </c>
      <c r="K149" s="15">
        <v>26.77</v>
      </c>
      <c r="L149" s="15">
        <v>26.83</v>
      </c>
      <c r="M149" s="15">
        <v>246.46</v>
      </c>
      <c r="N149" s="15">
        <v>31.8</v>
      </c>
      <c r="O149" t="s">
        <v>75</v>
      </c>
    </row>
    <row r="150" spans="1:15" x14ac:dyDescent="0.25">
      <c r="A150" s="10" t="s">
        <v>764</v>
      </c>
      <c r="B150" s="15">
        <v>0</v>
      </c>
      <c r="C150" s="15">
        <v>0</v>
      </c>
      <c r="D150" s="15">
        <v>0</v>
      </c>
      <c r="E150" s="15">
        <v>289.89999999999998</v>
      </c>
      <c r="F150" s="15">
        <v>2441.94</v>
      </c>
      <c r="G150" s="15">
        <v>2441.94</v>
      </c>
      <c r="H150" s="15">
        <v>2441.94</v>
      </c>
      <c r="I150" s="15">
        <v>2441.94</v>
      </c>
      <c r="J150" s="15">
        <v>2441.94</v>
      </c>
      <c r="K150" s="15">
        <v>2441.94</v>
      </c>
      <c r="L150" s="15">
        <v>2441.94</v>
      </c>
      <c r="M150" s="15">
        <v>2441.94</v>
      </c>
      <c r="N150" s="15">
        <v>1285.8399999999999</v>
      </c>
      <c r="O150" t="s">
        <v>75</v>
      </c>
    </row>
    <row r="151" spans="1:15" x14ac:dyDescent="0.25">
      <c r="A151" s="10" t="s">
        <v>766</v>
      </c>
      <c r="B151" s="15">
        <v>365.32</v>
      </c>
      <c r="C151" s="15">
        <v>365.32</v>
      </c>
      <c r="D151" s="15">
        <v>365.32</v>
      </c>
      <c r="E151" s="15">
        <v>32.97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t="s">
        <v>75</v>
      </c>
    </row>
    <row r="152" spans="1:15" x14ac:dyDescent="0.25">
      <c r="A152" s="10" t="s">
        <v>772</v>
      </c>
      <c r="B152" s="15">
        <v>131</v>
      </c>
      <c r="C152" s="15">
        <v>125.41</v>
      </c>
      <c r="D152" s="15">
        <v>145.84</v>
      </c>
      <c r="E152" s="15">
        <v>128.21</v>
      </c>
      <c r="F152" s="15">
        <v>131</v>
      </c>
      <c r="G152" s="15">
        <v>128.21</v>
      </c>
      <c r="H152" s="15">
        <v>645.6</v>
      </c>
      <c r="I152" s="15">
        <v>0</v>
      </c>
      <c r="J152" s="15">
        <v>181.63</v>
      </c>
      <c r="K152" s="15">
        <v>188.74</v>
      </c>
      <c r="L152" s="15">
        <v>185.51</v>
      </c>
      <c r="M152" s="15">
        <v>180.03</v>
      </c>
      <c r="N152" s="15">
        <v>184.83</v>
      </c>
      <c r="O152" t="s">
        <v>75</v>
      </c>
    </row>
    <row r="153" spans="1:15" x14ac:dyDescent="0.25">
      <c r="A153" s="10" t="s">
        <v>774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61.32</v>
      </c>
      <c r="I153" s="15">
        <v>30.08</v>
      </c>
      <c r="J153" s="15">
        <v>0</v>
      </c>
      <c r="K153" s="15">
        <v>11.33</v>
      </c>
      <c r="L153" s="15">
        <v>23.37</v>
      </c>
      <c r="M153" s="15">
        <v>0</v>
      </c>
      <c r="N153" s="15">
        <v>31.45</v>
      </c>
      <c r="O153" t="s">
        <v>75</v>
      </c>
    </row>
    <row r="154" spans="1:15" x14ac:dyDescent="0.25">
      <c r="A154" s="10" t="s">
        <v>782</v>
      </c>
      <c r="B154" s="15">
        <v>0</v>
      </c>
      <c r="C154" s="15">
        <v>0</v>
      </c>
      <c r="D154" s="15">
        <v>0</v>
      </c>
      <c r="E154" s="15">
        <v>14.38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t="s">
        <v>75</v>
      </c>
    </row>
    <row r="155" spans="1:15" x14ac:dyDescent="0.25">
      <c r="A155" s="10" t="s">
        <v>786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16.98</v>
      </c>
      <c r="N155" s="15">
        <v>0</v>
      </c>
      <c r="O155" t="s">
        <v>75</v>
      </c>
    </row>
    <row r="156" spans="1:15" x14ac:dyDescent="0.25">
      <c r="A156" s="10" t="s">
        <v>790</v>
      </c>
      <c r="B156" s="15">
        <v>148.51</v>
      </c>
      <c r="C156" s="15">
        <v>37.61</v>
      </c>
      <c r="D156" s="15">
        <v>170.54</v>
      </c>
      <c r="E156" s="15">
        <v>45.73</v>
      </c>
      <c r="F156" s="15">
        <v>260.91000000000003</v>
      </c>
      <c r="G156" s="15">
        <v>0</v>
      </c>
      <c r="H156" s="15">
        <v>353.63</v>
      </c>
      <c r="I156" s="15">
        <v>105.59</v>
      </c>
      <c r="J156" s="15">
        <v>77.67</v>
      </c>
      <c r="K156" s="15">
        <v>20.22</v>
      </c>
      <c r="L156" s="15">
        <v>40.51</v>
      </c>
      <c r="M156" s="15">
        <v>20.22</v>
      </c>
      <c r="N156" s="15">
        <v>77.61</v>
      </c>
      <c r="O156" t="s">
        <v>75</v>
      </c>
    </row>
    <row r="157" spans="1:15" x14ac:dyDescent="0.25">
      <c r="A157" s="10" t="s">
        <v>792</v>
      </c>
      <c r="B157" s="15">
        <v>0</v>
      </c>
      <c r="C157" s="15">
        <v>0</v>
      </c>
      <c r="D157" s="15">
        <v>13.67</v>
      </c>
      <c r="E157" s="15">
        <v>0</v>
      </c>
      <c r="F157" s="15">
        <v>175.22</v>
      </c>
      <c r="G157" s="15">
        <v>112.45</v>
      </c>
      <c r="H157" s="15">
        <v>735.9</v>
      </c>
      <c r="I157" s="15">
        <v>657.74</v>
      </c>
      <c r="J157" s="15">
        <v>164.11</v>
      </c>
      <c r="K157" s="15">
        <v>164.11</v>
      </c>
      <c r="L157" s="15">
        <v>164.11</v>
      </c>
      <c r="M157" s="15">
        <v>164.11</v>
      </c>
      <c r="N157" s="15">
        <v>181.75</v>
      </c>
      <c r="O157" t="s">
        <v>75</v>
      </c>
    </row>
    <row r="158" spans="1:15" x14ac:dyDescent="0.25">
      <c r="A158" s="10" t="s">
        <v>794</v>
      </c>
      <c r="B158" s="15">
        <v>1351.81</v>
      </c>
      <c r="C158" s="15">
        <v>1351.81</v>
      </c>
      <c r="D158" s="15">
        <v>1351.81</v>
      </c>
      <c r="E158" s="15">
        <v>1351.81</v>
      </c>
      <c r="F158" s="15">
        <v>1351.81</v>
      </c>
      <c r="G158" s="15">
        <v>1351.81</v>
      </c>
      <c r="H158" s="15">
        <v>2156.56</v>
      </c>
      <c r="I158" s="15">
        <v>2125.9</v>
      </c>
      <c r="J158" s="15">
        <v>1515.87</v>
      </c>
      <c r="K158" s="15">
        <v>1532.14</v>
      </c>
      <c r="L158" s="15">
        <v>1614.95</v>
      </c>
      <c r="M158" s="15">
        <v>1614.95</v>
      </c>
      <c r="N158" s="15">
        <v>1614.95</v>
      </c>
      <c r="O158" t="s">
        <v>75</v>
      </c>
    </row>
    <row r="159" spans="1:15" x14ac:dyDescent="0.25">
      <c r="A159" s="10" t="s">
        <v>796</v>
      </c>
      <c r="B159" s="15">
        <v>0</v>
      </c>
      <c r="C159" s="15">
        <v>0</v>
      </c>
      <c r="D159" s="15">
        <v>0</v>
      </c>
      <c r="E159" s="15">
        <v>0</v>
      </c>
      <c r="F159" s="15">
        <v>13.36</v>
      </c>
      <c r="G159" s="15">
        <v>14.88</v>
      </c>
      <c r="H159" s="15">
        <v>166.91</v>
      </c>
      <c r="I159" s="15">
        <v>151.33000000000001</v>
      </c>
      <c r="J159" s="15">
        <v>52.39</v>
      </c>
      <c r="K159" s="15">
        <v>32.32</v>
      </c>
      <c r="L159" s="15">
        <v>51.85</v>
      </c>
      <c r="M159" s="15">
        <v>48.19</v>
      </c>
      <c r="N159" s="15">
        <v>36.29</v>
      </c>
      <c r="O159" t="s">
        <v>75</v>
      </c>
    </row>
    <row r="160" spans="1:15" x14ac:dyDescent="0.25">
      <c r="A160" s="10" t="s">
        <v>798</v>
      </c>
      <c r="B160" s="15">
        <v>189.6</v>
      </c>
      <c r="C160" s="15">
        <v>119.42</v>
      </c>
      <c r="D160" s="15">
        <v>207.2</v>
      </c>
      <c r="E160" s="15">
        <v>53.55</v>
      </c>
      <c r="F160" s="15">
        <v>259.57</v>
      </c>
      <c r="G160" s="15">
        <v>130.80000000000001</v>
      </c>
      <c r="H160" s="15">
        <v>271.31</v>
      </c>
      <c r="I160" s="15">
        <v>194.23</v>
      </c>
      <c r="J160" s="15">
        <v>138.93</v>
      </c>
      <c r="K160" s="15">
        <v>117.91</v>
      </c>
      <c r="L160" s="15">
        <v>139</v>
      </c>
      <c r="M160" s="15">
        <v>117.91</v>
      </c>
      <c r="N160" s="15">
        <v>182.13</v>
      </c>
      <c r="O160" t="s">
        <v>75</v>
      </c>
    </row>
    <row r="161" spans="1:15" x14ac:dyDescent="0.25">
      <c r="A161" s="10" t="s">
        <v>802</v>
      </c>
      <c r="B161" s="15">
        <v>182.82</v>
      </c>
      <c r="C161" s="15">
        <v>216.43</v>
      </c>
      <c r="D161" s="15">
        <v>943.35</v>
      </c>
      <c r="E161" s="15">
        <v>65.25</v>
      </c>
      <c r="F161" s="15">
        <v>289.69</v>
      </c>
      <c r="G161" s="15">
        <v>155.91999999999999</v>
      </c>
      <c r="H161" s="15">
        <v>534.35</v>
      </c>
      <c r="I161" s="15">
        <v>362.47</v>
      </c>
      <c r="J161" s="15">
        <v>224.19</v>
      </c>
      <c r="K161" s="15">
        <v>224.19</v>
      </c>
      <c r="L161" s="15">
        <v>224.19</v>
      </c>
      <c r="M161" s="15">
        <v>224.19</v>
      </c>
      <c r="N161" s="15">
        <v>268.69</v>
      </c>
      <c r="O161" t="s">
        <v>75</v>
      </c>
    </row>
    <row r="162" spans="1:15" x14ac:dyDescent="0.25">
      <c r="A162" s="10" t="s">
        <v>804</v>
      </c>
      <c r="B162" s="15">
        <v>2832.72</v>
      </c>
      <c r="C162" s="15">
        <v>6951.8</v>
      </c>
      <c r="D162" s="15">
        <v>0</v>
      </c>
      <c r="E162" s="15">
        <v>2832.72</v>
      </c>
      <c r="F162" s="15">
        <v>2832.72</v>
      </c>
      <c r="G162" s="15">
        <v>2832.72</v>
      </c>
      <c r="H162" s="15">
        <v>2820.92</v>
      </c>
      <c r="I162" s="15">
        <v>2832.72</v>
      </c>
      <c r="J162" s="15">
        <v>2832.72</v>
      </c>
      <c r="K162" s="15">
        <v>2832.72</v>
      </c>
      <c r="L162" s="15">
        <v>2832.72</v>
      </c>
      <c r="M162" s="15">
        <v>2832.72</v>
      </c>
      <c r="N162" s="15">
        <v>2832.72</v>
      </c>
      <c r="O162" t="s">
        <v>75</v>
      </c>
    </row>
    <row r="163" spans="1:15" x14ac:dyDescent="0.25">
      <c r="A163" s="10" t="s">
        <v>808</v>
      </c>
      <c r="B163" s="15">
        <v>291.69</v>
      </c>
      <c r="C163" s="15">
        <v>245.22</v>
      </c>
      <c r="D163" s="15">
        <v>378.97</v>
      </c>
      <c r="E163" s="15">
        <v>216.31</v>
      </c>
      <c r="F163" s="15">
        <v>332.17</v>
      </c>
      <c r="G163" s="15">
        <v>216.31</v>
      </c>
      <c r="H163" s="15">
        <v>566.99</v>
      </c>
      <c r="I163" s="15">
        <v>529.97</v>
      </c>
      <c r="J163" s="15">
        <v>315.44</v>
      </c>
      <c r="K163" s="15">
        <v>315.44</v>
      </c>
      <c r="L163" s="15">
        <v>372.01</v>
      </c>
      <c r="M163" s="15">
        <v>315.44</v>
      </c>
      <c r="N163" s="15">
        <v>375.94</v>
      </c>
      <c r="O163" t="s">
        <v>75</v>
      </c>
    </row>
    <row r="164" spans="1:15" x14ac:dyDescent="0.25">
      <c r="A164" s="10" t="s">
        <v>812</v>
      </c>
      <c r="B164" s="15">
        <v>22.44</v>
      </c>
      <c r="C164" s="15">
        <v>16.03</v>
      </c>
      <c r="D164" s="15">
        <v>0</v>
      </c>
      <c r="E164" s="15">
        <v>40.75</v>
      </c>
      <c r="F164" s="15">
        <v>58.35</v>
      </c>
      <c r="G164" s="15">
        <v>0</v>
      </c>
      <c r="H164" s="15">
        <v>64.349999999999994</v>
      </c>
      <c r="I164" s="15">
        <v>47.95</v>
      </c>
      <c r="J164" s="15">
        <v>18.07</v>
      </c>
      <c r="K164" s="15">
        <v>59.53</v>
      </c>
      <c r="L164" s="15">
        <v>0</v>
      </c>
      <c r="M164" s="15">
        <v>0</v>
      </c>
      <c r="N164" s="15">
        <v>20.309999999999999</v>
      </c>
      <c r="O164" t="s">
        <v>75</v>
      </c>
    </row>
    <row r="165" spans="1:15" x14ac:dyDescent="0.25">
      <c r="A165" s="10" t="s">
        <v>824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39.04</v>
      </c>
      <c r="J165" s="15">
        <v>13.96</v>
      </c>
      <c r="K165" s="15">
        <v>13.96</v>
      </c>
      <c r="L165" s="15">
        <v>13.96</v>
      </c>
      <c r="M165" s="15">
        <v>13.96</v>
      </c>
      <c r="N165" s="15">
        <v>15.88</v>
      </c>
      <c r="O165" t="s">
        <v>75</v>
      </c>
    </row>
    <row r="166" spans="1:15" x14ac:dyDescent="0.25">
      <c r="A166" s="10" t="s">
        <v>828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11.06</v>
      </c>
      <c r="K166" s="15">
        <v>0</v>
      </c>
      <c r="L166" s="15">
        <v>0</v>
      </c>
      <c r="M166" s="15">
        <v>0</v>
      </c>
      <c r="N166" s="15">
        <v>0</v>
      </c>
      <c r="O166" t="s">
        <v>75</v>
      </c>
    </row>
    <row r="167" spans="1:15" x14ac:dyDescent="0.25">
      <c r="A167" s="10" t="s">
        <v>830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23.47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  <c r="O167" t="s">
        <v>75</v>
      </c>
    </row>
    <row r="168" spans="1:15" x14ac:dyDescent="0.25">
      <c r="A168" s="10" t="s">
        <v>840</v>
      </c>
      <c r="B168" s="15">
        <v>1506.17</v>
      </c>
      <c r="C168" s="15">
        <v>171.86</v>
      </c>
      <c r="D168" s="15">
        <v>994.46</v>
      </c>
      <c r="E168" s="15">
        <v>994.46</v>
      </c>
      <c r="F168" s="15">
        <v>994.46</v>
      </c>
      <c r="G168" s="15">
        <v>994.46</v>
      </c>
      <c r="H168" s="15">
        <v>1602.48</v>
      </c>
      <c r="I168" s="15">
        <v>33.43</v>
      </c>
      <c r="J168" s="15">
        <v>0</v>
      </c>
      <c r="K168" s="15">
        <v>0</v>
      </c>
      <c r="L168" s="15">
        <v>0</v>
      </c>
      <c r="M168" s="15">
        <v>0</v>
      </c>
      <c r="N168" s="15">
        <v>828.83</v>
      </c>
      <c r="O168" t="s">
        <v>75</v>
      </c>
    </row>
    <row r="169" spans="1:15" x14ac:dyDescent="0.25">
      <c r="A169" s="10" t="s">
        <v>850</v>
      </c>
      <c r="B169" s="15">
        <v>39.19</v>
      </c>
      <c r="C169" s="15">
        <v>260.25</v>
      </c>
      <c r="D169" s="15">
        <v>0</v>
      </c>
      <c r="E169" s="15">
        <v>61.06</v>
      </c>
      <c r="F169" s="15">
        <v>48.24</v>
      </c>
      <c r="G169" s="15">
        <v>33.21</v>
      </c>
      <c r="H169" s="15">
        <v>109.13</v>
      </c>
      <c r="I169" s="15">
        <v>90.4</v>
      </c>
      <c r="J169" s="15">
        <v>48.38</v>
      </c>
      <c r="K169" s="15">
        <v>48.38</v>
      </c>
      <c r="L169" s="15">
        <v>48.38</v>
      </c>
      <c r="M169" s="15">
        <v>219.95</v>
      </c>
      <c r="N169" s="15">
        <v>54.88</v>
      </c>
      <c r="O169" t="s">
        <v>75</v>
      </c>
    </row>
    <row r="170" spans="1:15" x14ac:dyDescent="0.25">
      <c r="A170" s="10" t="s">
        <v>862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23.69</v>
      </c>
      <c r="K170" s="15">
        <v>0</v>
      </c>
      <c r="L170" s="15">
        <v>0</v>
      </c>
      <c r="M170" s="15">
        <v>0</v>
      </c>
      <c r="N170" s="15">
        <v>0</v>
      </c>
      <c r="O170" t="s">
        <v>75</v>
      </c>
    </row>
    <row r="171" spans="1:15" x14ac:dyDescent="0.25">
      <c r="A171" s="10" t="s">
        <v>864</v>
      </c>
      <c r="B171" s="15">
        <v>54.36</v>
      </c>
      <c r="C171" s="15">
        <v>54.36</v>
      </c>
      <c r="D171" s="15">
        <v>54.36</v>
      </c>
      <c r="E171" s="15">
        <v>71.2</v>
      </c>
      <c r="F171" s="15">
        <v>54.36</v>
      </c>
      <c r="G171" s="15">
        <v>38.65</v>
      </c>
      <c r="H171" s="15">
        <v>181.25</v>
      </c>
      <c r="I171" s="15">
        <v>161.74</v>
      </c>
      <c r="J171" s="15">
        <v>89.42</v>
      </c>
      <c r="K171" s="15">
        <v>89.42</v>
      </c>
      <c r="L171" s="15">
        <v>89.42</v>
      </c>
      <c r="M171" s="15">
        <v>89.42</v>
      </c>
      <c r="N171" s="15">
        <v>92.97</v>
      </c>
      <c r="O171" t="s">
        <v>75</v>
      </c>
    </row>
    <row r="172" spans="1:15" x14ac:dyDescent="0.25">
      <c r="A172" s="10" t="s">
        <v>876</v>
      </c>
      <c r="B172" s="15">
        <v>0</v>
      </c>
      <c r="C172" s="15">
        <v>865.1</v>
      </c>
      <c r="D172" s="15">
        <v>865.1</v>
      </c>
      <c r="E172" s="15">
        <v>865.1</v>
      </c>
      <c r="F172" s="15">
        <v>865.1</v>
      </c>
      <c r="G172" s="15">
        <v>1530.35</v>
      </c>
      <c r="H172" s="15">
        <v>1121.4100000000001</v>
      </c>
      <c r="I172" s="15">
        <v>1406.92</v>
      </c>
      <c r="J172" s="15">
        <v>1086.02</v>
      </c>
      <c r="K172" s="15">
        <v>1086.02</v>
      </c>
      <c r="L172" s="15">
        <v>1086.02</v>
      </c>
      <c r="M172" s="15">
        <v>1086.02</v>
      </c>
      <c r="N172" s="15">
        <v>1086.02</v>
      </c>
      <c r="O172" t="s">
        <v>75</v>
      </c>
    </row>
    <row r="173" spans="1:15" x14ac:dyDescent="0.25">
      <c r="A173" s="10" t="s">
        <v>878</v>
      </c>
      <c r="B173" s="15">
        <v>0</v>
      </c>
      <c r="C173" s="15">
        <v>57.69</v>
      </c>
      <c r="D173" s="15">
        <v>191.97</v>
      </c>
      <c r="E173" s="15">
        <v>92.03</v>
      </c>
      <c r="F173" s="15">
        <v>297.33</v>
      </c>
      <c r="G173" s="15">
        <v>92.03</v>
      </c>
      <c r="H173" s="15">
        <v>743.41</v>
      </c>
      <c r="I173" s="15">
        <v>264.07</v>
      </c>
      <c r="J173" s="15">
        <v>256.69</v>
      </c>
      <c r="K173" s="15">
        <v>147.76</v>
      </c>
      <c r="L173" s="15">
        <v>228.92</v>
      </c>
      <c r="M173" s="15">
        <v>147.76</v>
      </c>
      <c r="N173" s="15">
        <v>224.09</v>
      </c>
      <c r="O173" t="s">
        <v>75</v>
      </c>
    </row>
    <row r="174" spans="1:15" x14ac:dyDescent="0.25">
      <c r="A174" s="10" t="s">
        <v>880</v>
      </c>
      <c r="B174" s="15">
        <v>2197.12</v>
      </c>
      <c r="C174" s="15">
        <v>2197.12</v>
      </c>
      <c r="D174" s="15">
        <v>2197.12</v>
      </c>
      <c r="E174" s="15">
        <v>2197.12</v>
      </c>
      <c r="F174" s="15">
        <v>2197.12</v>
      </c>
      <c r="G174" s="15">
        <v>2197.12</v>
      </c>
      <c r="H174" s="15">
        <v>2197.12</v>
      </c>
      <c r="I174" s="15">
        <v>257.91000000000003</v>
      </c>
      <c r="J174" s="15">
        <v>0</v>
      </c>
      <c r="K174" s="15">
        <v>0</v>
      </c>
      <c r="L174" s="15">
        <v>0</v>
      </c>
      <c r="M174" s="15">
        <v>0</v>
      </c>
      <c r="N174" s="15">
        <v>1494.22</v>
      </c>
      <c r="O174" t="s">
        <v>75</v>
      </c>
    </row>
    <row r="175" spans="1:15" x14ac:dyDescent="0.25">
      <c r="A175" s="10" t="s">
        <v>885</v>
      </c>
      <c r="B175" s="15">
        <v>31.06</v>
      </c>
      <c r="C175" s="15">
        <v>17.79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  <c r="O175" t="s">
        <v>75</v>
      </c>
    </row>
    <row r="176" spans="1:15" x14ac:dyDescent="0.25">
      <c r="A176" s="10" t="s">
        <v>889</v>
      </c>
      <c r="B176" s="15">
        <v>11.68</v>
      </c>
      <c r="C176" s="15">
        <v>0</v>
      </c>
      <c r="D176" s="15">
        <v>0</v>
      </c>
      <c r="E176" s="15">
        <v>0</v>
      </c>
      <c r="F176" s="15">
        <v>53.97</v>
      </c>
      <c r="G176" s="15">
        <v>41.01</v>
      </c>
      <c r="H176" s="15">
        <v>0</v>
      </c>
      <c r="I176" s="15">
        <v>63.41</v>
      </c>
      <c r="J176" s="15">
        <v>23.99</v>
      </c>
      <c r="K176" s="15">
        <v>28.01</v>
      </c>
      <c r="L176" s="15">
        <v>80.36</v>
      </c>
      <c r="M176" s="15">
        <v>24.85</v>
      </c>
      <c r="N176" s="15">
        <v>34.479999999999997</v>
      </c>
      <c r="O176" t="s">
        <v>75</v>
      </c>
    </row>
    <row r="177" spans="1:15" x14ac:dyDescent="0.25">
      <c r="A177" s="10" t="s">
        <v>895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14.3</v>
      </c>
      <c r="L177" s="15">
        <v>25.52</v>
      </c>
      <c r="M177" s="15">
        <v>19.2</v>
      </c>
      <c r="N177" s="15">
        <v>23.12</v>
      </c>
      <c r="O177" t="s">
        <v>75</v>
      </c>
    </row>
    <row r="178" spans="1:15" x14ac:dyDescent="0.25">
      <c r="A178" s="10" t="s">
        <v>899</v>
      </c>
      <c r="B178" s="15">
        <v>136.33000000000001</v>
      </c>
      <c r="C178" s="15">
        <v>111.19</v>
      </c>
      <c r="D178" s="15">
        <v>148.25</v>
      </c>
      <c r="E178" s="15">
        <v>111.19</v>
      </c>
      <c r="F178" s="15">
        <v>326.06</v>
      </c>
      <c r="G178" s="15">
        <v>132.34</v>
      </c>
      <c r="H178" s="15">
        <v>582.53</v>
      </c>
      <c r="I178" s="15">
        <v>388.3</v>
      </c>
      <c r="J178" s="15">
        <v>56.19</v>
      </c>
      <c r="K178" s="15">
        <v>0</v>
      </c>
      <c r="L178" s="15">
        <v>0</v>
      </c>
      <c r="M178" s="15">
        <v>0</v>
      </c>
      <c r="N178" s="15">
        <v>138.01</v>
      </c>
      <c r="O178" t="s">
        <v>75</v>
      </c>
    </row>
    <row r="179" spans="1:15" x14ac:dyDescent="0.25">
      <c r="A179" s="10" t="s">
        <v>901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32.24</v>
      </c>
      <c r="I179" s="15">
        <v>26.98</v>
      </c>
      <c r="J179" s="15">
        <v>0</v>
      </c>
      <c r="K179" s="15">
        <v>0</v>
      </c>
      <c r="L179" s="15">
        <v>0</v>
      </c>
      <c r="M179" s="15">
        <v>59.97</v>
      </c>
      <c r="N179" s="15">
        <v>0</v>
      </c>
      <c r="O179" t="s">
        <v>75</v>
      </c>
    </row>
    <row r="180" spans="1:15" x14ac:dyDescent="0.25">
      <c r="A180" s="10" t="s">
        <v>903</v>
      </c>
      <c r="B180" s="15">
        <v>0</v>
      </c>
      <c r="C180" s="15">
        <v>0</v>
      </c>
      <c r="D180" s="15">
        <v>0</v>
      </c>
      <c r="E180" s="15">
        <v>0</v>
      </c>
      <c r="F180" s="15">
        <v>44.03</v>
      </c>
      <c r="G180" s="15">
        <v>0</v>
      </c>
      <c r="H180" s="15">
        <v>189.8</v>
      </c>
      <c r="I180" s="15">
        <v>20.38</v>
      </c>
      <c r="J180" s="15">
        <v>24.99</v>
      </c>
      <c r="K180" s="15">
        <v>0</v>
      </c>
      <c r="L180" s="15">
        <v>52.9</v>
      </c>
      <c r="M180" s="15">
        <v>16.29</v>
      </c>
      <c r="N180" s="15">
        <v>32.11</v>
      </c>
      <c r="O180" t="s">
        <v>75</v>
      </c>
    </row>
    <row r="181" spans="1:15" x14ac:dyDescent="0.25">
      <c r="A181" s="10" t="s">
        <v>905</v>
      </c>
      <c r="B181" s="15">
        <v>22.3</v>
      </c>
      <c r="C181" s="15">
        <v>0</v>
      </c>
      <c r="D181" s="15">
        <v>122.31</v>
      </c>
      <c r="E181" s="15">
        <v>0</v>
      </c>
      <c r="F181" s="15">
        <v>63.79</v>
      </c>
      <c r="G181" s="15">
        <v>50.4</v>
      </c>
      <c r="H181" s="15">
        <v>50.01</v>
      </c>
      <c r="I181" s="15">
        <v>76.08</v>
      </c>
      <c r="J181" s="15">
        <v>33.21</v>
      </c>
      <c r="K181" s="15">
        <v>64.260000000000005</v>
      </c>
      <c r="L181" s="15">
        <v>0</v>
      </c>
      <c r="M181" s="15">
        <v>0</v>
      </c>
      <c r="N181" s="15">
        <v>42.79</v>
      </c>
      <c r="O181" t="s">
        <v>75</v>
      </c>
    </row>
    <row r="182" spans="1:15" x14ac:dyDescent="0.25">
      <c r="A182" s="10" t="s">
        <v>907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15.55</v>
      </c>
      <c r="I182" s="15">
        <v>0</v>
      </c>
      <c r="J182" s="15">
        <v>0</v>
      </c>
      <c r="K182" s="15">
        <v>0</v>
      </c>
      <c r="L182" s="15">
        <v>0</v>
      </c>
      <c r="M182" s="15">
        <v>30.7</v>
      </c>
      <c r="N182" s="15">
        <v>0</v>
      </c>
      <c r="O182" t="s">
        <v>75</v>
      </c>
    </row>
    <row r="183" spans="1:15" x14ac:dyDescent="0.25">
      <c r="A183" s="10" t="s">
        <v>909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17.14</v>
      </c>
      <c r="K183" s="15">
        <v>0</v>
      </c>
      <c r="L183" s="15">
        <v>0</v>
      </c>
      <c r="M183" s="15">
        <v>0</v>
      </c>
      <c r="N183" s="15">
        <v>0</v>
      </c>
      <c r="O183" t="s">
        <v>75</v>
      </c>
    </row>
    <row r="184" spans="1:15" x14ac:dyDescent="0.25">
      <c r="A184" s="10" t="s">
        <v>915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55.82</v>
      </c>
      <c r="H184" s="15">
        <v>0</v>
      </c>
      <c r="I184" s="15">
        <v>35.28</v>
      </c>
      <c r="J184" s="15">
        <v>0</v>
      </c>
      <c r="K184" s="15">
        <v>0</v>
      </c>
      <c r="L184" s="15">
        <v>20.92</v>
      </c>
      <c r="M184" s="15">
        <v>0</v>
      </c>
      <c r="N184" s="15">
        <v>12.76</v>
      </c>
      <c r="O184" t="s">
        <v>75</v>
      </c>
    </row>
    <row r="185" spans="1:15" x14ac:dyDescent="0.25">
      <c r="A185" s="10" t="s">
        <v>917</v>
      </c>
      <c r="B185" s="15">
        <v>829.89</v>
      </c>
      <c r="C185" s="15">
        <v>829.89</v>
      </c>
      <c r="D185" s="15">
        <v>1015.1</v>
      </c>
      <c r="E185" s="15">
        <v>716.61</v>
      </c>
      <c r="F185" s="15">
        <v>829.89</v>
      </c>
      <c r="G185" s="15">
        <v>829.89</v>
      </c>
      <c r="H185" s="15">
        <v>1439.54</v>
      </c>
      <c r="I185" s="15">
        <v>1439.54</v>
      </c>
      <c r="J185" s="15">
        <v>1097.17</v>
      </c>
      <c r="K185" s="15">
        <v>1097.17</v>
      </c>
      <c r="L185" s="15">
        <v>1097.17</v>
      </c>
      <c r="M185" s="15">
        <v>1097.17</v>
      </c>
      <c r="N185" s="15">
        <v>1097.17</v>
      </c>
      <c r="O185" t="s">
        <v>75</v>
      </c>
    </row>
    <row r="186" spans="1:15" x14ac:dyDescent="0.25">
      <c r="A186" s="10" t="s">
        <v>923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72.709999999999994</v>
      </c>
      <c r="I186" s="15">
        <v>55.54</v>
      </c>
      <c r="J186" s="15">
        <v>12.65</v>
      </c>
      <c r="K186" s="15">
        <v>0</v>
      </c>
      <c r="L186" s="15">
        <v>0</v>
      </c>
      <c r="M186" s="15">
        <v>0</v>
      </c>
      <c r="N186" s="15">
        <v>0</v>
      </c>
      <c r="O186" t="s">
        <v>75</v>
      </c>
    </row>
    <row r="187" spans="1:15" x14ac:dyDescent="0.25">
      <c r="A187" s="10" t="s">
        <v>925</v>
      </c>
      <c r="B187" s="15">
        <v>3750.67</v>
      </c>
      <c r="C187" s="15">
        <v>3750.67</v>
      </c>
      <c r="D187" s="15">
        <v>3750.67</v>
      </c>
      <c r="E187" s="15">
        <v>3750.67</v>
      </c>
      <c r="F187" s="15">
        <v>3750.67</v>
      </c>
      <c r="G187" s="15">
        <v>3750.67</v>
      </c>
      <c r="H187" s="15">
        <v>3750.67</v>
      </c>
      <c r="I187" s="15">
        <v>3750.67</v>
      </c>
      <c r="J187" s="15">
        <v>4096.87</v>
      </c>
      <c r="K187" s="15">
        <v>3596.67</v>
      </c>
      <c r="L187" s="15">
        <v>3750.67</v>
      </c>
      <c r="M187" s="15">
        <v>3750.67</v>
      </c>
      <c r="N187" s="15">
        <v>3750.67</v>
      </c>
      <c r="O187" t="s">
        <v>75</v>
      </c>
    </row>
    <row r="188" spans="1:15" x14ac:dyDescent="0.25">
      <c r="A188" s="10" t="s">
        <v>927</v>
      </c>
      <c r="B188" s="15">
        <v>0</v>
      </c>
      <c r="C188" s="15">
        <v>0</v>
      </c>
      <c r="D188" s="15">
        <v>39.049999999999997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t="s">
        <v>75</v>
      </c>
    </row>
    <row r="189" spans="1:15" x14ac:dyDescent="0.25">
      <c r="A189" s="10" t="s">
        <v>929</v>
      </c>
      <c r="B189" s="15">
        <v>92.9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72.02</v>
      </c>
      <c r="I189" s="15">
        <v>62.02</v>
      </c>
      <c r="J189" s="15">
        <v>74.72</v>
      </c>
      <c r="K189" s="15">
        <v>16.82</v>
      </c>
      <c r="L189" s="15">
        <v>71.84</v>
      </c>
      <c r="M189" s="15">
        <v>32.44</v>
      </c>
      <c r="N189" s="15">
        <v>43.4</v>
      </c>
      <c r="O189" t="s">
        <v>75</v>
      </c>
    </row>
    <row r="190" spans="1:15" x14ac:dyDescent="0.25">
      <c r="A190" s="10" t="s">
        <v>931</v>
      </c>
      <c r="B190" s="15">
        <v>272.89999999999998</v>
      </c>
      <c r="C190" s="15">
        <v>127.09</v>
      </c>
      <c r="D190" s="15">
        <v>691.16</v>
      </c>
      <c r="E190" s="15">
        <v>56.72</v>
      </c>
      <c r="F190" s="15">
        <v>163.02000000000001</v>
      </c>
      <c r="G190" s="15">
        <v>138.43</v>
      </c>
      <c r="H190" s="15">
        <v>636.38</v>
      </c>
      <c r="I190" s="15">
        <v>304.83999999999997</v>
      </c>
      <c r="J190" s="15">
        <v>223.03</v>
      </c>
      <c r="K190" s="15">
        <v>193.02</v>
      </c>
      <c r="L190" s="15">
        <v>206.17</v>
      </c>
      <c r="M190" s="15">
        <v>193.02</v>
      </c>
      <c r="N190" s="15">
        <v>241.54</v>
      </c>
      <c r="O190" t="s">
        <v>75</v>
      </c>
    </row>
    <row r="191" spans="1:15" x14ac:dyDescent="0.25">
      <c r="A191" s="10" t="s">
        <v>933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41.38</v>
      </c>
      <c r="N191" s="15">
        <v>0</v>
      </c>
      <c r="O191" t="s">
        <v>75</v>
      </c>
    </row>
    <row r="192" spans="1:15" x14ac:dyDescent="0.25">
      <c r="A192" s="10" t="s">
        <v>935</v>
      </c>
      <c r="B192" s="15">
        <v>0</v>
      </c>
      <c r="C192" s="15">
        <v>14.85</v>
      </c>
      <c r="D192" s="15">
        <v>14.85</v>
      </c>
      <c r="E192" s="15">
        <v>23.18</v>
      </c>
      <c r="F192" s="15">
        <v>23.18</v>
      </c>
      <c r="G192" s="15">
        <v>33.840000000000003</v>
      </c>
      <c r="H192" s="15">
        <v>224.09</v>
      </c>
      <c r="I192" s="15">
        <v>146.72</v>
      </c>
      <c r="J192" s="15">
        <v>0</v>
      </c>
      <c r="K192" s="15">
        <v>0</v>
      </c>
      <c r="L192" s="15">
        <v>0</v>
      </c>
      <c r="M192" s="15">
        <v>0</v>
      </c>
      <c r="N192" s="15">
        <v>23.1</v>
      </c>
      <c r="O192" t="s">
        <v>75</v>
      </c>
    </row>
    <row r="193" spans="1:15" x14ac:dyDescent="0.25">
      <c r="A193" s="10" t="s">
        <v>939</v>
      </c>
      <c r="B193" s="15">
        <v>28.29</v>
      </c>
      <c r="C193" s="15">
        <v>24.01</v>
      </c>
      <c r="D193" s="15">
        <v>42.94</v>
      </c>
      <c r="E193" s="15">
        <v>24.01</v>
      </c>
      <c r="F193" s="15">
        <v>21.1</v>
      </c>
      <c r="G193" s="15">
        <v>0</v>
      </c>
      <c r="H193" s="15">
        <v>162.9</v>
      </c>
      <c r="I193" s="15">
        <v>76.73</v>
      </c>
      <c r="J193" s="15">
        <v>64.48</v>
      </c>
      <c r="K193" s="15">
        <v>43.71</v>
      </c>
      <c r="L193" s="15">
        <v>71.41</v>
      </c>
      <c r="M193" s="15">
        <v>58.42</v>
      </c>
      <c r="N193" s="15">
        <v>70.84</v>
      </c>
      <c r="O193" t="s">
        <v>75</v>
      </c>
    </row>
    <row r="194" spans="1:15" x14ac:dyDescent="0.25">
      <c r="A194" s="10" t="s">
        <v>941</v>
      </c>
      <c r="B194" s="15">
        <v>0</v>
      </c>
      <c r="C194" s="15">
        <v>0</v>
      </c>
      <c r="D194" s="15">
        <v>29.75</v>
      </c>
      <c r="E194" s="15">
        <v>28.35</v>
      </c>
      <c r="F194" s="15">
        <v>15.77</v>
      </c>
      <c r="G194" s="15">
        <v>0</v>
      </c>
      <c r="H194" s="15">
        <v>33.020000000000003</v>
      </c>
      <c r="I194" s="15">
        <v>26.29</v>
      </c>
      <c r="J194" s="15">
        <v>0</v>
      </c>
      <c r="K194" s="15">
        <v>19.36</v>
      </c>
      <c r="L194" s="15">
        <v>0</v>
      </c>
      <c r="M194" s="15">
        <v>0</v>
      </c>
      <c r="N194" s="15">
        <v>0</v>
      </c>
      <c r="O194" t="s">
        <v>75</v>
      </c>
    </row>
    <row r="195" spans="1:15" x14ac:dyDescent="0.25">
      <c r="A195" s="10" t="s">
        <v>943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26.43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  <c r="O195" t="s">
        <v>75</v>
      </c>
    </row>
    <row r="196" spans="1:15" x14ac:dyDescent="0.25">
      <c r="A196" s="10" t="s">
        <v>947</v>
      </c>
      <c r="B196" s="15">
        <v>33.78</v>
      </c>
      <c r="C196" s="15">
        <v>33.78</v>
      </c>
      <c r="D196" s="15">
        <v>37</v>
      </c>
      <c r="E196" s="15">
        <v>26.94</v>
      </c>
      <c r="F196" s="15">
        <v>36.39</v>
      </c>
      <c r="G196" s="15">
        <v>34.93</v>
      </c>
      <c r="H196" s="15">
        <v>105.15</v>
      </c>
      <c r="I196" s="15">
        <v>101.86</v>
      </c>
      <c r="J196" s="15">
        <v>54.6</v>
      </c>
      <c r="K196" s="15">
        <v>54.6</v>
      </c>
      <c r="L196" s="15">
        <v>54.6</v>
      </c>
      <c r="M196" s="15">
        <v>54.6</v>
      </c>
      <c r="N196" s="15">
        <v>56.02</v>
      </c>
      <c r="O196" t="s">
        <v>75</v>
      </c>
    </row>
    <row r="197" spans="1:15" x14ac:dyDescent="0.25">
      <c r="A197" s="10" t="s">
        <v>949</v>
      </c>
      <c r="B197" s="15">
        <v>24.64</v>
      </c>
      <c r="C197" s="15">
        <v>24.64</v>
      </c>
      <c r="D197" s="15">
        <v>24.64</v>
      </c>
      <c r="E197" s="15">
        <v>24.64</v>
      </c>
      <c r="F197" s="15">
        <v>36.32</v>
      </c>
      <c r="G197" s="15">
        <v>24.64</v>
      </c>
      <c r="H197" s="15">
        <v>157.16</v>
      </c>
      <c r="I197" s="15">
        <v>19.809999999999999</v>
      </c>
      <c r="J197" s="15">
        <v>44.9</v>
      </c>
      <c r="K197" s="15">
        <v>39.11</v>
      </c>
      <c r="L197" s="15">
        <v>58.96</v>
      </c>
      <c r="M197" s="15">
        <v>39.11</v>
      </c>
      <c r="N197" s="15">
        <v>45.18</v>
      </c>
      <c r="O197" t="s">
        <v>75</v>
      </c>
    </row>
    <row r="198" spans="1:15" x14ac:dyDescent="0.25">
      <c r="A198" s="10" t="s">
        <v>951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17.05</v>
      </c>
      <c r="N198" s="15">
        <v>0</v>
      </c>
      <c r="O198" t="s">
        <v>75</v>
      </c>
    </row>
    <row r="199" spans="1:15" x14ac:dyDescent="0.25">
      <c r="A199" s="10" t="s">
        <v>953</v>
      </c>
      <c r="B199" s="15">
        <v>364.31</v>
      </c>
      <c r="C199" s="15">
        <v>364.31</v>
      </c>
      <c r="D199" s="15">
        <v>364.31</v>
      </c>
      <c r="E199" s="15">
        <v>364.31</v>
      </c>
      <c r="F199" s="15">
        <v>641.74</v>
      </c>
      <c r="G199" s="15">
        <v>0</v>
      </c>
      <c r="H199" s="15">
        <v>753.08</v>
      </c>
      <c r="I199" s="15">
        <v>753.08</v>
      </c>
      <c r="J199" s="15">
        <v>42.39</v>
      </c>
      <c r="K199" s="15">
        <v>0</v>
      </c>
      <c r="L199" s="15">
        <v>0</v>
      </c>
      <c r="M199" s="15">
        <v>0</v>
      </c>
      <c r="N199" s="15">
        <v>301.3</v>
      </c>
      <c r="O199" t="s">
        <v>75</v>
      </c>
    </row>
    <row r="200" spans="1:15" x14ac:dyDescent="0.25">
      <c r="A200" s="10" t="s">
        <v>955</v>
      </c>
      <c r="B200" s="15">
        <v>434.78</v>
      </c>
      <c r="C200" s="15">
        <v>434.78</v>
      </c>
      <c r="D200" s="15">
        <v>434.78</v>
      </c>
      <c r="E200" s="15">
        <v>434.78</v>
      </c>
      <c r="F200" s="15">
        <v>319.13</v>
      </c>
      <c r="G200" s="15">
        <v>483.31</v>
      </c>
      <c r="H200" s="15">
        <v>973.24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83.9</v>
      </c>
      <c r="O200" t="s">
        <v>75</v>
      </c>
    </row>
    <row r="201" spans="1:15" x14ac:dyDescent="0.25">
      <c r="A201" s="10" t="s">
        <v>957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27.31</v>
      </c>
      <c r="I201" s="15">
        <v>0</v>
      </c>
      <c r="J201" s="15">
        <v>0</v>
      </c>
      <c r="K201" s="15">
        <v>0</v>
      </c>
      <c r="L201" s="15">
        <v>0</v>
      </c>
      <c r="M201" s="15">
        <v>39.21</v>
      </c>
      <c r="N201" s="15">
        <v>0</v>
      </c>
      <c r="O201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P8"/>
  <sheetViews>
    <sheetView workbookViewId="0">
      <selection activeCell="C14" sqref="C14"/>
    </sheetView>
  </sheetViews>
  <sheetFormatPr defaultRowHeight="15" x14ac:dyDescent="0.25"/>
  <cols>
    <col min="1" max="1" width="10.5" style="10" bestFit="1" customWidth="1"/>
    <col min="2" max="2" width="12.625" style="10" bestFit="1" customWidth="1"/>
    <col min="3" max="14" width="10.875" style="15" customWidth="1"/>
    <col min="15" max="15" width="10.875" customWidth="1"/>
  </cols>
  <sheetData>
    <row r="1" spans="1:16" ht="47.85" customHeight="1" x14ac:dyDescent="0.25">
      <c r="A1" s="28" t="s">
        <v>34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43.5" customHeight="1" x14ac:dyDescent="0.25">
      <c r="A2" s="12" t="s">
        <v>72</v>
      </c>
      <c r="B2" s="12" t="s">
        <v>63</v>
      </c>
      <c r="C2" s="14" t="str">
        <f>CONCATENATE("JANEIRO",CHAR(10),"TOTAL: ",ROUND(SUM(C3:C1048576),2))</f>
        <v>JANEIRO
TOTAL: 4498,07</v>
      </c>
      <c r="D2" s="14" t="str">
        <f>CONCATENATE("FEVEREIRO",CHAR(10),"TOTAL: ",ROUND(SUM(D3:D1048576),2))</f>
        <v>FEVEREIRO
TOTAL: 4375,17</v>
      </c>
      <c r="E2" s="14" t="str">
        <f>CONCATENATE("MARÇO",CHAR(10),"TOTAL: ",ROUND(SUM(E3:E1048576),2))</f>
        <v>MARÇO
TOTAL: 4529,84</v>
      </c>
      <c r="F2" s="14" t="str">
        <f>CONCATENATE("ABRIL",CHAR(10),"TOTAL: ",ROUND(SUM(F3:F1048576),2))</f>
        <v>ABRIL
TOTAL: 4250,02</v>
      </c>
      <c r="G2" s="14" t="str">
        <f>CONCATENATE("MAIO",CHAR(10),"TOTAL: ",ROUND(SUM(G3:G1048576),2))</f>
        <v>MAIO
TOTAL: 4551,25</v>
      </c>
      <c r="H2" s="14" t="str">
        <f>CONCATENATE("JUNHO",CHAR(10),"TOTAL: ",ROUND(SUM(H3:H1048576),2))</f>
        <v>JUNHO
TOTAL: 4192,25</v>
      </c>
      <c r="I2" s="14" t="str">
        <f>CONCATENATE("JULHO",CHAR(10),"TOTAL: ",ROUND(SUM(I3:I1048576),2))</f>
        <v>JULHO
TOTAL: 5450,14</v>
      </c>
      <c r="J2" s="14" t="str">
        <f>CONCATENATE("AGOSTO",CHAR(10),"TOTAL: ",ROUND(SUM(J3:J1048576),2))</f>
        <v>AGOSTO
TOTAL: 2663,73</v>
      </c>
      <c r="K2" s="14" t="str">
        <f>CONCATENATE("SETEMBRO",CHAR(10),"TOTAL: ",ROUND(SUM(K3:K1048576),2))</f>
        <v>SETEMBRO
TOTAL: 2355,68</v>
      </c>
      <c r="L2" s="14" t="str">
        <f>CONCATENATE("OUTUBRO",CHAR(10),"TOTAL: ",ROUND(SUM(L3:L1048576),2))</f>
        <v>OUTUBRO
TOTAL: 2314,9</v>
      </c>
      <c r="M2" s="14" t="str">
        <f>CONCATENATE("NOVEMBRO",CHAR(10),"TOTAL: ",ROUND(SUM(M3:M1048576),2))</f>
        <v>NOVEMBRO
TOTAL: 1813,71</v>
      </c>
      <c r="N2" s="14" t="str">
        <f>CONCATENATE("DEZEMBRO",CHAR(10),"TOTAL: ",ROUND(SUM(N3:N1048576),2))</f>
        <v>DEZEMBRO
TOTAL: 2625,86</v>
      </c>
      <c r="O2" s="14" t="str">
        <f>CONCATENATE("DEC. TERCEIRO",CHAR(10),"TOTAL: ",ROUND(SUM(O3:O1048576),2))</f>
        <v>DEC. TERCEIRO
TOTAL: 1783,92</v>
      </c>
    </row>
    <row r="3" spans="1:16" x14ac:dyDescent="0.25">
      <c r="A3" s="10" t="s">
        <v>96</v>
      </c>
      <c r="B3" s="10" t="s">
        <v>100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673.54</v>
      </c>
      <c r="K3" s="15">
        <v>568.59</v>
      </c>
      <c r="L3" s="15">
        <v>651.13</v>
      </c>
      <c r="M3" s="15">
        <v>0</v>
      </c>
      <c r="N3" s="15">
        <v>0</v>
      </c>
      <c r="O3">
        <v>0</v>
      </c>
      <c r="P3" t="s">
        <v>75</v>
      </c>
    </row>
    <row r="4" spans="1:16" x14ac:dyDescent="0.25">
      <c r="A4" s="10" t="s">
        <v>96</v>
      </c>
      <c r="B4" s="10" t="s">
        <v>101</v>
      </c>
      <c r="C4" s="15">
        <v>664.25</v>
      </c>
      <c r="D4" s="15">
        <v>600.24</v>
      </c>
      <c r="E4" s="15">
        <v>610.4</v>
      </c>
      <c r="F4" s="15">
        <v>637.02</v>
      </c>
      <c r="G4" s="15">
        <v>661.19</v>
      </c>
      <c r="H4" s="15">
        <v>254.09</v>
      </c>
      <c r="I4" s="15">
        <v>454.6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>
        <v>0</v>
      </c>
      <c r="P4" t="s">
        <v>75</v>
      </c>
    </row>
    <row r="5" spans="1:16" x14ac:dyDescent="0.25">
      <c r="A5" s="10" t="s">
        <v>238</v>
      </c>
      <c r="B5" s="10" t="s">
        <v>100</v>
      </c>
      <c r="C5" s="15">
        <v>11.05</v>
      </c>
      <c r="D5" s="15">
        <v>156.52000000000001</v>
      </c>
      <c r="E5" s="15">
        <v>167.7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>
        <v>0</v>
      </c>
      <c r="P5" t="s">
        <v>75</v>
      </c>
    </row>
    <row r="6" spans="1:16" x14ac:dyDescent="0.25">
      <c r="A6" s="10" t="s">
        <v>654</v>
      </c>
      <c r="B6" s="10" t="s">
        <v>100</v>
      </c>
      <c r="C6" s="15">
        <v>1059.51</v>
      </c>
      <c r="D6" s="15">
        <v>1059.51</v>
      </c>
      <c r="E6" s="15">
        <v>1059.51</v>
      </c>
      <c r="F6" s="15">
        <v>1059.51</v>
      </c>
      <c r="G6" s="15">
        <v>1088.06</v>
      </c>
      <c r="H6" s="15">
        <v>1088.06</v>
      </c>
      <c r="I6" s="15">
        <v>1869.96</v>
      </c>
      <c r="J6" s="15">
        <v>1410.51</v>
      </c>
      <c r="K6" s="15">
        <v>1199.76</v>
      </c>
      <c r="L6" s="15">
        <v>1199.76</v>
      </c>
      <c r="M6" s="15">
        <v>1199.76</v>
      </c>
      <c r="N6" s="15">
        <v>2085.5</v>
      </c>
      <c r="O6">
        <v>1199.76</v>
      </c>
      <c r="P6" t="s">
        <v>75</v>
      </c>
    </row>
    <row r="7" spans="1:16" x14ac:dyDescent="0.25">
      <c r="A7" s="10" t="s">
        <v>660</v>
      </c>
      <c r="B7" s="10" t="s">
        <v>100</v>
      </c>
      <c r="C7" s="15">
        <v>641.58000000000004</v>
      </c>
      <c r="D7" s="15">
        <v>437.22</v>
      </c>
      <c r="E7" s="15">
        <v>570.54999999999995</v>
      </c>
      <c r="F7" s="15">
        <v>431.81</v>
      </c>
      <c r="G7" s="15">
        <v>680.32</v>
      </c>
      <c r="H7" s="15">
        <v>728.42</v>
      </c>
      <c r="I7" s="15">
        <v>1003.9</v>
      </c>
      <c r="J7" s="15">
        <v>579.67999999999995</v>
      </c>
      <c r="K7" s="15">
        <v>587.33000000000004</v>
      </c>
      <c r="L7" s="15">
        <v>464.01</v>
      </c>
      <c r="M7" s="15">
        <v>613.95000000000005</v>
      </c>
      <c r="N7" s="15">
        <v>540.36</v>
      </c>
      <c r="O7">
        <v>584.16</v>
      </c>
      <c r="P7" t="s">
        <v>75</v>
      </c>
    </row>
    <row r="8" spans="1:16" x14ac:dyDescent="0.25">
      <c r="A8" s="10" t="s">
        <v>880</v>
      </c>
      <c r="B8" s="10" t="s">
        <v>882</v>
      </c>
      <c r="C8" s="15">
        <v>2121.6799999999998</v>
      </c>
      <c r="D8" s="15">
        <v>2121.6799999999998</v>
      </c>
      <c r="E8" s="15">
        <v>2121.6799999999998</v>
      </c>
      <c r="F8" s="15">
        <v>2121.6799999999998</v>
      </c>
      <c r="G8" s="15">
        <v>2121.6799999999998</v>
      </c>
      <c r="H8" s="15">
        <v>2121.6799999999998</v>
      </c>
      <c r="I8" s="15">
        <v>2121.6799999999998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>
        <v>0</v>
      </c>
      <c r="P8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5"/>
  <dimension ref="A1:F8"/>
  <sheetViews>
    <sheetView workbookViewId="0">
      <selection activeCell="B4" sqref="B4"/>
    </sheetView>
  </sheetViews>
  <sheetFormatPr defaultRowHeight="15" x14ac:dyDescent="0.25"/>
  <cols>
    <col min="1" max="1" width="10.5" style="10" bestFit="1" customWidth="1"/>
    <col min="2" max="3" width="11.875" style="10" customWidth="1"/>
    <col min="4" max="4" width="41.625" style="9" customWidth="1"/>
    <col min="5" max="5" width="9.375" style="9" customWidth="1"/>
  </cols>
  <sheetData>
    <row r="1" spans="1:6" ht="47.85" customHeight="1" x14ac:dyDescent="0.25">
      <c r="A1" s="30" t="s">
        <v>76</v>
      </c>
      <c r="B1" s="31"/>
      <c r="C1" s="31"/>
      <c r="D1" s="31"/>
      <c r="E1" s="31"/>
    </row>
    <row r="2" spans="1:6" ht="24" x14ac:dyDescent="0.25">
      <c r="A2" s="12" t="s">
        <v>72</v>
      </c>
      <c r="B2" s="12" t="s">
        <v>63</v>
      </c>
      <c r="C2" s="12" t="s">
        <v>64</v>
      </c>
      <c r="D2" s="12" t="s">
        <v>23</v>
      </c>
      <c r="E2" s="12" t="s">
        <v>65</v>
      </c>
    </row>
    <row r="3" spans="1:6" x14ac:dyDescent="0.25">
      <c r="A3" s="10" t="s">
        <v>96</v>
      </c>
      <c r="B3" s="10" t="s">
        <v>75</v>
      </c>
      <c r="C3" s="10" t="s">
        <v>98</v>
      </c>
      <c r="D3" s="9" t="s">
        <v>99</v>
      </c>
      <c r="E3" s="9">
        <v>4</v>
      </c>
      <c r="F3" t="s">
        <v>75</v>
      </c>
    </row>
    <row r="4" spans="1:6" x14ac:dyDescent="0.25">
      <c r="A4" s="10" t="s">
        <v>96</v>
      </c>
      <c r="B4" s="10" t="s">
        <v>101</v>
      </c>
      <c r="C4" s="10" t="s">
        <v>102</v>
      </c>
      <c r="D4" s="9" t="s">
        <v>103</v>
      </c>
      <c r="E4" s="9">
        <v>10</v>
      </c>
      <c r="F4" t="s">
        <v>75</v>
      </c>
    </row>
    <row r="5" spans="1:6" x14ac:dyDescent="0.25">
      <c r="A5" s="10" t="s">
        <v>238</v>
      </c>
      <c r="B5" s="10" t="s">
        <v>75</v>
      </c>
      <c r="C5" s="10" t="s">
        <v>240</v>
      </c>
      <c r="D5" s="9" t="s">
        <v>241</v>
      </c>
      <c r="E5" s="9">
        <v>4</v>
      </c>
      <c r="F5" t="s">
        <v>75</v>
      </c>
    </row>
    <row r="6" spans="1:6" x14ac:dyDescent="0.25">
      <c r="A6" s="10" t="s">
        <v>654</v>
      </c>
      <c r="B6" s="10" t="s">
        <v>75</v>
      </c>
      <c r="C6" s="10" t="s">
        <v>656</v>
      </c>
      <c r="D6" s="9" t="s">
        <v>657</v>
      </c>
      <c r="E6" s="9">
        <v>4</v>
      </c>
      <c r="F6" t="s">
        <v>75</v>
      </c>
    </row>
    <row r="7" spans="1:6" x14ac:dyDescent="0.25">
      <c r="A7" s="10" t="s">
        <v>660</v>
      </c>
      <c r="B7" s="10" t="s">
        <v>75</v>
      </c>
      <c r="C7" s="10" t="s">
        <v>662</v>
      </c>
      <c r="D7" s="9" t="s">
        <v>663</v>
      </c>
      <c r="E7" s="9">
        <v>4</v>
      </c>
      <c r="F7" t="s">
        <v>75</v>
      </c>
    </row>
    <row r="8" spans="1:6" x14ac:dyDescent="0.25">
      <c r="A8" s="10" t="s">
        <v>880</v>
      </c>
      <c r="B8" s="10" t="s">
        <v>882</v>
      </c>
      <c r="C8" s="10" t="s">
        <v>883</v>
      </c>
      <c r="D8" s="9" t="s">
        <v>884</v>
      </c>
      <c r="E8" s="9">
        <v>4</v>
      </c>
      <c r="F8" t="s">
        <v>75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6BF9830-EEC2-424E-8A31-517ED2B21BD4}">
            <xm:f>AND((VALUE(DIRF!$C$3)-VALUE(LEFT($C3,4)))&gt;=18,$B3="")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A3:E1048576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O7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22750,8</v>
      </c>
      <c r="C2" s="14" t="str">
        <f>CONCATENATE("FEVEREIRO",CHAR(10),"TOTAL: ",ROUND(SUM(C3:C1048576),2))</f>
        <v>FEVEREIRO
TOTAL: 22182,03</v>
      </c>
      <c r="D2" s="14" t="str">
        <f>CONCATENATE("MARÇO",CHAR(10),"TOTAL: ",ROUND(SUM(D3:D1048576),2))</f>
        <v>MARÇO
TOTAL: 22750,8</v>
      </c>
      <c r="E2" s="14" t="str">
        <f>CONCATENATE("ABRIL",CHAR(10),"TOTAL: ",ROUND(SUM(E3:E1048576),2))</f>
        <v>ABRIL
TOTAL: 22182,03</v>
      </c>
      <c r="F2" s="14" t="str">
        <f>CONCATENATE("MAIO",CHAR(10),"TOTAL: ",ROUND(SUM(F3:F1048576),2))</f>
        <v>MAIO
TOTAL: 22750,8</v>
      </c>
      <c r="G2" s="14" t="str">
        <f>CONCATENATE("JUNHO",CHAR(10),"TOTAL: ",ROUND(SUM(G3:G1048576),2))</f>
        <v>JUNHO
TOTAL: 24077,93</v>
      </c>
      <c r="H2" s="14" t="str">
        <f>CONCATENATE("JULHO",CHAR(10),"TOTAL: ",ROUND(SUM(H3:H1048576),2))</f>
        <v>JULHO
TOTAL: 28817,68</v>
      </c>
      <c r="I2" s="14" t="str">
        <f>CONCATENATE("AGOSTO",CHAR(10),"TOTAL: ",ROUND(SUM(I3:I1048576),2))</f>
        <v>AGOSTO
TOTAL: 22750,8</v>
      </c>
      <c r="J2" s="14" t="str">
        <f>CONCATENATE("SETEMBRO",CHAR(10),"TOTAL: ",ROUND(SUM(J3:J1048576),2))</f>
        <v>SETEMBRO
TOTAL: 21802,85</v>
      </c>
      <c r="K2" s="14" t="str">
        <f>CONCATENATE("OUTUBRO",CHAR(10),"TOTAL: ",ROUND(SUM(K3:K1048576),2))</f>
        <v>OUTUBRO
TOTAL: 20475,72</v>
      </c>
      <c r="L2" s="14" t="str">
        <f>CONCATENATE("NOVEMBRO",CHAR(10),"TOTAL: ",ROUND(SUM(L3:L1048576),2))</f>
        <v>NOVEMBRO
TOTAL: 19148,59</v>
      </c>
      <c r="M2" s="14" t="str">
        <f>CONCATENATE("DEZEMBRO",CHAR(10),"TOTAL: ",ROUND(SUM(M3:M1048576),2))</f>
        <v>DEZEMBRO
TOTAL: 20854,9</v>
      </c>
      <c r="N2" s="14" t="str">
        <f>CONCATENATE("DEC. TERCEIRO",CHAR(10),"TOTAL: ",ROUND(SUM(N3:N1048576),2))</f>
        <v>DEC. TERCEIRO
TOTAL: 23319,57</v>
      </c>
    </row>
    <row r="3" spans="1:15" x14ac:dyDescent="0.25">
      <c r="A3" s="10" t="s">
        <v>104</v>
      </c>
      <c r="B3" s="15">
        <v>379.18</v>
      </c>
      <c r="C3" s="15">
        <v>189.59</v>
      </c>
      <c r="D3" s="15">
        <v>189.59</v>
      </c>
      <c r="E3" s="15">
        <v>189.59</v>
      </c>
      <c r="F3" s="15">
        <v>189.59</v>
      </c>
      <c r="G3" s="15">
        <v>189.59</v>
      </c>
      <c r="H3" s="15">
        <v>189.59</v>
      </c>
      <c r="I3" s="15">
        <v>189.59</v>
      </c>
      <c r="J3" s="15">
        <v>189.59</v>
      </c>
      <c r="K3" s="15">
        <v>189.59</v>
      </c>
      <c r="L3" s="15">
        <v>189.59</v>
      </c>
      <c r="M3" s="15">
        <v>379.18</v>
      </c>
      <c r="N3" s="15">
        <v>189.59</v>
      </c>
      <c r="O3" t="s">
        <v>75</v>
      </c>
    </row>
    <row r="4" spans="1:15" x14ac:dyDescent="0.25">
      <c r="A4" s="10" t="s">
        <v>116</v>
      </c>
      <c r="B4" s="15">
        <v>189.59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189.59</v>
      </c>
      <c r="O4" t="s">
        <v>75</v>
      </c>
    </row>
    <row r="5" spans="1:15" x14ac:dyDescent="0.25">
      <c r="A5" s="10" t="s">
        <v>124</v>
      </c>
      <c r="B5" s="15">
        <v>189.59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189.59</v>
      </c>
      <c r="O5" t="s">
        <v>75</v>
      </c>
    </row>
    <row r="6" spans="1:15" x14ac:dyDescent="0.25">
      <c r="A6" s="10" t="s">
        <v>126</v>
      </c>
      <c r="B6" s="15">
        <v>568.77</v>
      </c>
      <c r="C6" s="15">
        <v>568.77</v>
      </c>
      <c r="D6" s="15">
        <v>568.77</v>
      </c>
      <c r="E6" s="15">
        <v>568.77</v>
      </c>
      <c r="F6" s="15">
        <v>0</v>
      </c>
      <c r="G6" s="15">
        <v>0</v>
      </c>
      <c r="H6" s="15">
        <v>0</v>
      </c>
      <c r="I6" s="15">
        <v>1137.54</v>
      </c>
      <c r="J6" s="15">
        <v>0</v>
      </c>
      <c r="K6" s="15">
        <v>0</v>
      </c>
      <c r="L6" s="15">
        <v>0</v>
      </c>
      <c r="M6" s="15">
        <v>0</v>
      </c>
      <c r="N6" s="15">
        <v>568.77</v>
      </c>
      <c r="O6" t="s">
        <v>75</v>
      </c>
    </row>
    <row r="7" spans="1:15" x14ac:dyDescent="0.25">
      <c r="A7" s="10" t="s">
        <v>132</v>
      </c>
      <c r="B7" s="15">
        <v>568.77</v>
      </c>
      <c r="C7" s="15">
        <v>568.77</v>
      </c>
      <c r="D7" s="15">
        <v>568.77</v>
      </c>
      <c r="E7" s="15">
        <v>568.77</v>
      </c>
      <c r="F7" s="15">
        <v>568.77</v>
      </c>
      <c r="G7" s="15">
        <v>568.77</v>
      </c>
      <c r="H7" s="15">
        <v>568.77</v>
      </c>
      <c r="I7" s="15">
        <v>568.77</v>
      </c>
      <c r="J7" s="15">
        <v>568.77</v>
      </c>
      <c r="K7" s="15">
        <v>568.77</v>
      </c>
      <c r="L7" s="15">
        <v>568.77</v>
      </c>
      <c r="M7" s="15">
        <v>1137.54</v>
      </c>
      <c r="N7" s="15">
        <v>568.77</v>
      </c>
      <c r="O7" t="s">
        <v>75</v>
      </c>
    </row>
    <row r="8" spans="1:15" x14ac:dyDescent="0.25">
      <c r="A8" s="10" t="s">
        <v>164</v>
      </c>
      <c r="B8" s="15">
        <v>189.59</v>
      </c>
      <c r="C8" s="15">
        <v>189.59</v>
      </c>
      <c r="D8" s="15">
        <v>189.59</v>
      </c>
      <c r="E8" s="15">
        <v>189.59</v>
      </c>
      <c r="F8" s="15">
        <v>189.59</v>
      </c>
      <c r="G8" s="15">
        <v>189.59</v>
      </c>
      <c r="H8" s="15">
        <v>189.59</v>
      </c>
      <c r="I8" s="15">
        <v>189.59</v>
      </c>
      <c r="J8" s="15">
        <v>379.18</v>
      </c>
      <c r="K8" s="15">
        <v>189.59</v>
      </c>
      <c r="L8" s="15">
        <v>189.59</v>
      </c>
      <c r="M8" s="15">
        <v>189.59</v>
      </c>
      <c r="N8" s="15">
        <v>189.59</v>
      </c>
      <c r="O8" t="s">
        <v>75</v>
      </c>
    </row>
    <row r="9" spans="1:15" x14ac:dyDescent="0.25">
      <c r="A9" s="10" t="s">
        <v>170</v>
      </c>
      <c r="B9" s="15">
        <v>379.18</v>
      </c>
      <c r="C9" s="15">
        <v>379.18</v>
      </c>
      <c r="D9" s="15">
        <v>379.18</v>
      </c>
      <c r="E9" s="15">
        <v>758.36</v>
      </c>
      <c r="F9" s="15">
        <v>379.18</v>
      </c>
      <c r="G9" s="15">
        <v>379.18</v>
      </c>
      <c r="H9" s="15">
        <v>758.36</v>
      </c>
      <c r="I9" s="15">
        <v>379.18</v>
      </c>
      <c r="J9" s="15">
        <v>379.18</v>
      </c>
      <c r="K9" s="15">
        <v>379.18</v>
      </c>
      <c r="L9" s="15">
        <v>379.18</v>
      </c>
      <c r="M9" s="15">
        <v>379.18</v>
      </c>
      <c r="N9" s="15">
        <v>379.18</v>
      </c>
      <c r="O9" t="s">
        <v>75</v>
      </c>
    </row>
    <row r="10" spans="1:15" x14ac:dyDescent="0.25">
      <c r="A10" s="10" t="s">
        <v>182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189.59</v>
      </c>
      <c r="I10" s="15">
        <v>189.59</v>
      </c>
      <c r="J10" s="15">
        <v>189.59</v>
      </c>
      <c r="K10" s="15">
        <v>189.59</v>
      </c>
      <c r="L10" s="15">
        <v>189.59</v>
      </c>
      <c r="M10" s="15">
        <v>189.59</v>
      </c>
      <c r="N10" s="15">
        <v>189.59</v>
      </c>
      <c r="O10" t="s">
        <v>75</v>
      </c>
    </row>
    <row r="11" spans="1:15" x14ac:dyDescent="0.25">
      <c r="A11" s="10" t="s">
        <v>216</v>
      </c>
      <c r="B11" s="15">
        <v>379.18</v>
      </c>
      <c r="C11" s="15">
        <v>379.18</v>
      </c>
      <c r="D11" s="15">
        <v>379.18</v>
      </c>
      <c r="E11" s="15">
        <v>379.18</v>
      </c>
      <c r="F11" s="15">
        <v>379.18</v>
      </c>
      <c r="G11" s="15">
        <v>379.18</v>
      </c>
      <c r="H11" s="15">
        <v>379.18</v>
      </c>
      <c r="I11" s="15">
        <v>379.18</v>
      </c>
      <c r="J11" s="15">
        <v>379.18</v>
      </c>
      <c r="K11" s="15">
        <v>379.18</v>
      </c>
      <c r="L11" s="15">
        <v>379.18</v>
      </c>
      <c r="M11" s="15">
        <v>758.36</v>
      </c>
      <c r="N11" s="15">
        <v>379.18</v>
      </c>
      <c r="O11" t="s">
        <v>75</v>
      </c>
    </row>
    <row r="12" spans="1:15" x14ac:dyDescent="0.25">
      <c r="A12" s="10" t="s">
        <v>230</v>
      </c>
      <c r="B12" s="15">
        <v>379.18</v>
      </c>
      <c r="C12" s="15">
        <v>758.36</v>
      </c>
      <c r="D12" s="15">
        <v>379.18</v>
      </c>
      <c r="E12" s="15">
        <v>379.18</v>
      </c>
      <c r="F12" s="15">
        <v>379.18</v>
      </c>
      <c r="G12" s="15">
        <v>379.18</v>
      </c>
      <c r="H12" s="15">
        <v>379.18</v>
      </c>
      <c r="I12" s="15">
        <v>379.18</v>
      </c>
      <c r="J12" s="15">
        <v>379.18</v>
      </c>
      <c r="K12" s="15">
        <v>379.18</v>
      </c>
      <c r="L12" s="15">
        <v>379.18</v>
      </c>
      <c r="M12" s="15">
        <v>379.18</v>
      </c>
      <c r="N12" s="15">
        <v>379.18</v>
      </c>
      <c r="O12" t="s">
        <v>75</v>
      </c>
    </row>
    <row r="13" spans="1:15" x14ac:dyDescent="0.25">
      <c r="A13" s="10" t="s">
        <v>244</v>
      </c>
      <c r="B13" s="15">
        <v>379.18</v>
      </c>
      <c r="C13" s="15">
        <v>379.18</v>
      </c>
      <c r="D13" s="15">
        <v>379.18</v>
      </c>
      <c r="E13" s="15">
        <v>379.18</v>
      </c>
      <c r="F13" s="15">
        <v>379.18</v>
      </c>
      <c r="G13" s="15">
        <v>758.36</v>
      </c>
      <c r="H13" s="15">
        <v>758.36</v>
      </c>
      <c r="I13" s="15">
        <v>379.18</v>
      </c>
      <c r="J13" s="15">
        <v>379.18</v>
      </c>
      <c r="K13" s="15">
        <v>379.18</v>
      </c>
      <c r="L13" s="15">
        <v>758.36</v>
      </c>
      <c r="M13" s="15">
        <v>379.18</v>
      </c>
      <c r="N13" s="15">
        <v>379.18</v>
      </c>
      <c r="O13" t="s">
        <v>75</v>
      </c>
    </row>
    <row r="14" spans="1:15" x14ac:dyDescent="0.25">
      <c r="A14" s="10" t="s">
        <v>270</v>
      </c>
      <c r="B14" s="15">
        <v>189.59</v>
      </c>
      <c r="C14" s="15">
        <v>189.59</v>
      </c>
      <c r="D14" s="15">
        <v>189.59</v>
      </c>
      <c r="E14" s="15">
        <v>189.59</v>
      </c>
      <c r="F14" s="15">
        <v>379.18</v>
      </c>
      <c r="G14" s="15">
        <v>189.59</v>
      </c>
      <c r="H14" s="15">
        <v>379.18</v>
      </c>
      <c r="I14" s="15">
        <v>189.59</v>
      </c>
      <c r="J14" s="15">
        <v>189.59</v>
      </c>
      <c r="K14" s="15">
        <v>189.59</v>
      </c>
      <c r="L14" s="15">
        <v>189.59</v>
      </c>
      <c r="M14" s="15">
        <v>189.59</v>
      </c>
      <c r="N14" s="15">
        <v>189.59</v>
      </c>
      <c r="O14" t="s">
        <v>75</v>
      </c>
    </row>
    <row r="15" spans="1:15" x14ac:dyDescent="0.25">
      <c r="A15" s="10" t="s">
        <v>294</v>
      </c>
      <c r="B15" s="15">
        <v>189.59</v>
      </c>
      <c r="C15" s="15">
        <v>189.59</v>
      </c>
      <c r="D15" s="15">
        <v>189.59</v>
      </c>
      <c r="E15" s="15">
        <v>189.59</v>
      </c>
      <c r="F15" s="15">
        <v>379.18</v>
      </c>
      <c r="G15" s="15">
        <v>189.59</v>
      </c>
      <c r="H15" s="15">
        <v>379.18</v>
      </c>
      <c r="I15" s="15">
        <v>189.59</v>
      </c>
      <c r="J15" s="15">
        <v>189.59</v>
      </c>
      <c r="K15" s="15">
        <v>189.59</v>
      </c>
      <c r="L15" s="15">
        <v>189.59</v>
      </c>
      <c r="M15" s="15">
        <v>189.59</v>
      </c>
      <c r="N15" s="15">
        <v>189.59</v>
      </c>
      <c r="O15" t="s">
        <v>75</v>
      </c>
    </row>
    <row r="16" spans="1:15" x14ac:dyDescent="0.25">
      <c r="A16" s="10" t="s">
        <v>328</v>
      </c>
      <c r="B16" s="15">
        <v>189.59</v>
      </c>
      <c r="C16" s="15">
        <v>189.59</v>
      </c>
      <c r="D16" s="15">
        <v>189.59</v>
      </c>
      <c r="E16" s="15">
        <v>189.59</v>
      </c>
      <c r="F16" s="15">
        <v>189.59</v>
      </c>
      <c r="G16" s="15">
        <v>189.59</v>
      </c>
      <c r="H16" s="15">
        <v>189.59</v>
      </c>
      <c r="I16" s="15">
        <v>189.59</v>
      </c>
      <c r="J16" s="15">
        <v>189.59</v>
      </c>
      <c r="K16" s="15">
        <v>379.18</v>
      </c>
      <c r="L16" s="15">
        <v>189.59</v>
      </c>
      <c r="M16" s="15">
        <v>189.59</v>
      </c>
      <c r="N16" s="15">
        <v>189.59</v>
      </c>
      <c r="O16" t="s">
        <v>75</v>
      </c>
    </row>
    <row r="17" spans="1:15" x14ac:dyDescent="0.25">
      <c r="A17" s="10" t="s">
        <v>348</v>
      </c>
      <c r="B17" s="15">
        <v>189.59</v>
      </c>
      <c r="C17" s="15">
        <v>189.59</v>
      </c>
      <c r="D17" s="15">
        <v>189.59</v>
      </c>
      <c r="E17" s="15">
        <v>189.59</v>
      </c>
      <c r="F17" s="15">
        <v>189.59</v>
      </c>
      <c r="G17" s="15">
        <v>189.59</v>
      </c>
      <c r="H17" s="15">
        <v>189.59</v>
      </c>
      <c r="I17" s="15">
        <v>189.59</v>
      </c>
      <c r="J17" s="15">
        <v>379.18</v>
      </c>
      <c r="K17" s="15">
        <v>189.59</v>
      </c>
      <c r="L17" s="15">
        <v>189.59</v>
      </c>
      <c r="M17" s="15">
        <v>0</v>
      </c>
      <c r="N17" s="15">
        <v>189.59</v>
      </c>
      <c r="O17" t="s">
        <v>75</v>
      </c>
    </row>
    <row r="18" spans="1:15" x14ac:dyDescent="0.25">
      <c r="A18" s="10" t="s">
        <v>388</v>
      </c>
      <c r="B18" s="15">
        <v>568.77</v>
      </c>
      <c r="C18" s="15">
        <v>568.77</v>
      </c>
      <c r="D18" s="15">
        <v>568.77</v>
      </c>
      <c r="E18" s="15">
        <v>568.77</v>
      </c>
      <c r="F18" s="15">
        <v>568.77</v>
      </c>
      <c r="G18" s="15">
        <v>568.77</v>
      </c>
      <c r="H18" s="15">
        <v>568.77</v>
      </c>
      <c r="I18" s="15">
        <v>568.77</v>
      </c>
      <c r="J18" s="15">
        <v>1137.54</v>
      </c>
      <c r="K18" s="15">
        <v>568.77</v>
      </c>
      <c r="L18" s="15">
        <v>568.77</v>
      </c>
      <c r="M18" s="15">
        <v>568.77</v>
      </c>
      <c r="N18" s="15">
        <v>568.77</v>
      </c>
      <c r="O18" t="s">
        <v>75</v>
      </c>
    </row>
    <row r="19" spans="1:15" x14ac:dyDescent="0.25">
      <c r="A19" s="10" t="s">
        <v>390</v>
      </c>
      <c r="B19" s="15">
        <v>379.18</v>
      </c>
      <c r="C19" s="15">
        <v>379.18</v>
      </c>
      <c r="D19" s="15">
        <v>379.18</v>
      </c>
      <c r="E19" s="15">
        <v>379.18</v>
      </c>
      <c r="F19" s="15">
        <v>379.18</v>
      </c>
      <c r="G19" s="15">
        <v>379.18</v>
      </c>
      <c r="H19" s="15">
        <v>379.18</v>
      </c>
      <c r="I19" s="15">
        <v>379.18</v>
      </c>
      <c r="J19" s="15">
        <v>379.18</v>
      </c>
      <c r="K19" s="15">
        <v>379.18</v>
      </c>
      <c r="L19" s="15">
        <v>379.18</v>
      </c>
      <c r="M19" s="15">
        <v>758.36</v>
      </c>
      <c r="N19" s="15">
        <v>379.18</v>
      </c>
      <c r="O19" t="s">
        <v>75</v>
      </c>
    </row>
    <row r="20" spans="1:15" x14ac:dyDescent="0.25">
      <c r="A20" s="10" t="s">
        <v>418</v>
      </c>
      <c r="B20" s="15">
        <v>0</v>
      </c>
      <c r="C20" s="15">
        <v>0</v>
      </c>
      <c r="D20" s="15">
        <v>0</v>
      </c>
      <c r="E20" s="15">
        <v>189.59</v>
      </c>
      <c r="F20" s="15">
        <v>189.59</v>
      </c>
      <c r="G20" s="15">
        <v>189.59</v>
      </c>
      <c r="H20" s="15">
        <v>0</v>
      </c>
      <c r="I20" s="15">
        <v>379.18</v>
      </c>
      <c r="J20" s="15">
        <v>0</v>
      </c>
      <c r="K20" s="15">
        <v>0</v>
      </c>
      <c r="L20" s="15">
        <v>0</v>
      </c>
      <c r="M20" s="15">
        <v>0</v>
      </c>
      <c r="N20" s="15">
        <v>189.59</v>
      </c>
      <c r="O20" t="s">
        <v>75</v>
      </c>
    </row>
    <row r="21" spans="1:15" x14ac:dyDescent="0.25">
      <c r="A21" s="10" t="s">
        <v>428</v>
      </c>
      <c r="B21" s="15">
        <v>758.36</v>
      </c>
      <c r="C21" s="15">
        <v>379.18</v>
      </c>
      <c r="D21" s="15">
        <v>379.18</v>
      </c>
      <c r="E21" s="15">
        <v>379.18</v>
      </c>
      <c r="F21" s="15">
        <v>379.18</v>
      </c>
      <c r="G21" s="15">
        <v>379.18</v>
      </c>
      <c r="H21" s="15">
        <v>379.18</v>
      </c>
      <c r="I21" s="15">
        <v>379.18</v>
      </c>
      <c r="J21" s="15">
        <v>379.18</v>
      </c>
      <c r="K21" s="15">
        <v>379.18</v>
      </c>
      <c r="L21" s="15">
        <v>379.18</v>
      </c>
      <c r="M21" s="15">
        <v>379.18</v>
      </c>
      <c r="N21" s="15">
        <v>379.18</v>
      </c>
      <c r="O21" t="s">
        <v>75</v>
      </c>
    </row>
    <row r="22" spans="1:15" x14ac:dyDescent="0.25">
      <c r="A22" s="10" t="s">
        <v>460</v>
      </c>
      <c r="B22" s="15">
        <v>189.59</v>
      </c>
      <c r="C22" s="15">
        <v>379.18</v>
      </c>
      <c r="D22" s="15">
        <v>189.59</v>
      </c>
      <c r="E22" s="15">
        <v>189.59</v>
      </c>
      <c r="F22" s="15">
        <v>189.59</v>
      </c>
      <c r="G22" s="15">
        <v>189.59</v>
      </c>
      <c r="H22" s="15">
        <v>189.59</v>
      </c>
      <c r="I22" s="15">
        <v>189.59</v>
      </c>
      <c r="J22" s="15">
        <v>189.59</v>
      </c>
      <c r="K22" s="15">
        <v>189.59</v>
      </c>
      <c r="L22" s="15">
        <v>189.59</v>
      </c>
      <c r="M22" s="15">
        <v>189.59</v>
      </c>
      <c r="N22" s="15">
        <v>189.59</v>
      </c>
      <c r="O22" t="s">
        <v>75</v>
      </c>
    </row>
    <row r="23" spans="1:15" x14ac:dyDescent="0.25">
      <c r="A23" s="10" t="s">
        <v>468</v>
      </c>
      <c r="B23" s="15">
        <v>189.59</v>
      </c>
      <c r="C23" s="15">
        <v>189.59</v>
      </c>
      <c r="D23" s="15">
        <v>189.59</v>
      </c>
      <c r="E23" s="15">
        <v>189.59</v>
      </c>
      <c r="F23" s="15">
        <v>189.59</v>
      </c>
      <c r="G23" s="15">
        <v>379.18</v>
      </c>
      <c r="H23" s="15">
        <v>379.18</v>
      </c>
      <c r="I23" s="15">
        <v>189.59</v>
      </c>
      <c r="J23" s="15">
        <v>189.59</v>
      </c>
      <c r="K23" s="15">
        <v>189.59</v>
      </c>
      <c r="L23" s="15">
        <v>189.59</v>
      </c>
      <c r="M23" s="15">
        <v>189.59</v>
      </c>
      <c r="N23" s="15">
        <v>189.59</v>
      </c>
      <c r="O23" t="s">
        <v>75</v>
      </c>
    </row>
    <row r="24" spans="1:15" x14ac:dyDescent="0.25">
      <c r="A24" s="10" t="s">
        <v>488</v>
      </c>
      <c r="B24" s="15">
        <v>379.18</v>
      </c>
      <c r="C24" s="15">
        <v>379.18</v>
      </c>
      <c r="D24" s="15">
        <v>379.18</v>
      </c>
      <c r="E24" s="15">
        <v>758.36</v>
      </c>
      <c r="F24" s="15">
        <v>379.18</v>
      </c>
      <c r="G24" s="15">
        <v>379.18</v>
      </c>
      <c r="H24" s="15">
        <v>758.36</v>
      </c>
      <c r="I24" s="15">
        <v>379.18</v>
      </c>
      <c r="J24" s="15">
        <v>379.18</v>
      </c>
      <c r="K24" s="15">
        <v>379.18</v>
      </c>
      <c r="L24" s="15">
        <v>379.18</v>
      </c>
      <c r="M24" s="15">
        <v>379.18</v>
      </c>
      <c r="N24" s="15">
        <v>379.18</v>
      </c>
      <c r="O24" t="s">
        <v>75</v>
      </c>
    </row>
    <row r="25" spans="1:15" x14ac:dyDescent="0.25">
      <c r="A25" s="10" t="s">
        <v>582</v>
      </c>
      <c r="B25" s="15">
        <v>379.18</v>
      </c>
      <c r="C25" s="15">
        <v>379.18</v>
      </c>
      <c r="D25" s="15">
        <v>379.18</v>
      </c>
      <c r="E25" s="15">
        <v>379.18</v>
      </c>
      <c r="F25" s="15">
        <v>758.36</v>
      </c>
      <c r="G25" s="15">
        <v>379.18</v>
      </c>
      <c r="H25" s="15">
        <v>758.36</v>
      </c>
      <c r="I25" s="15">
        <v>379.18</v>
      </c>
      <c r="J25" s="15">
        <v>379.18</v>
      </c>
      <c r="K25" s="15">
        <v>379.18</v>
      </c>
      <c r="L25" s="15">
        <v>0</v>
      </c>
      <c r="M25" s="15">
        <v>0</v>
      </c>
      <c r="N25" s="15">
        <v>379.18</v>
      </c>
      <c r="O25" t="s">
        <v>75</v>
      </c>
    </row>
    <row r="26" spans="1:15" x14ac:dyDescent="0.25">
      <c r="A26" s="10" t="s">
        <v>584</v>
      </c>
      <c r="B26" s="15">
        <v>379.18</v>
      </c>
      <c r="C26" s="15">
        <v>189.59</v>
      </c>
      <c r="D26" s="15">
        <v>189.59</v>
      </c>
      <c r="E26" s="15">
        <v>189.59</v>
      </c>
      <c r="F26" s="15">
        <v>189.59</v>
      </c>
      <c r="G26" s="15">
        <v>189.59</v>
      </c>
      <c r="H26" s="15">
        <v>189.59</v>
      </c>
      <c r="I26" s="15">
        <v>189.59</v>
      </c>
      <c r="J26" s="15">
        <v>189.59</v>
      </c>
      <c r="K26" s="15">
        <v>189.59</v>
      </c>
      <c r="L26" s="15">
        <v>189.59</v>
      </c>
      <c r="M26" s="15">
        <v>189.59</v>
      </c>
      <c r="N26" s="15">
        <v>189.59</v>
      </c>
      <c r="O26" t="s">
        <v>75</v>
      </c>
    </row>
    <row r="27" spans="1:15" x14ac:dyDescent="0.25">
      <c r="A27" s="10" t="s">
        <v>598</v>
      </c>
      <c r="B27" s="15">
        <v>0</v>
      </c>
      <c r="C27" s="15">
        <v>0</v>
      </c>
      <c r="D27" s="15">
        <v>568.77</v>
      </c>
      <c r="E27" s="15">
        <v>1137.54</v>
      </c>
      <c r="F27" s="15">
        <v>568.77</v>
      </c>
      <c r="G27" s="15">
        <v>568.77</v>
      </c>
      <c r="H27" s="15">
        <v>568.77</v>
      </c>
      <c r="I27" s="15">
        <v>568.77</v>
      </c>
      <c r="J27" s="15">
        <v>568.77</v>
      </c>
      <c r="K27" s="15">
        <v>568.77</v>
      </c>
      <c r="L27" s="15">
        <v>568.77</v>
      </c>
      <c r="M27" s="15">
        <v>568.77</v>
      </c>
      <c r="N27" s="15">
        <v>568.77</v>
      </c>
      <c r="O27" t="s">
        <v>75</v>
      </c>
    </row>
    <row r="28" spans="1:15" x14ac:dyDescent="0.25">
      <c r="A28" s="10" t="s">
        <v>602</v>
      </c>
      <c r="B28" s="15">
        <v>189.59</v>
      </c>
      <c r="C28" s="15">
        <v>189.59</v>
      </c>
      <c r="D28" s="15">
        <v>379.18</v>
      </c>
      <c r="E28" s="15">
        <v>189.59</v>
      </c>
      <c r="F28" s="15">
        <v>189.59</v>
      </c>
      <c r="G28" s="15">
        <v>189.59</v>
      </c>
      <c r="H28" s="15">
        <v>379.18</v>
      </c>
      <c r="I28" s="15">
        <v>189.59</v>
      </c>
      <c r="J28" s="15">
        <v>189.59</v>
      </c>
      <c r="K28" s="15">
        <v>189.59</v>
      </c>
      <c r="L28" s="15">
        <v>189.59</v>
      </c>
      <c r="M28" s="15">
        <v>189.59</v>
      </c>
      <c r="N28" s="15">
        <v>189.59</v>
      </c>
      <c r="O28" t="s">
        <v>75</v>
      </c>
    </row>
    <row r="29" spans="1:15" x14ac:dyDescent="0.25">
      <c r="A29" s="10" t="s">
        <v>604</v>
      </c>
      <c r="B29" s="15">
        <v>189.59</v>
      </c>
      <c r="C29" s="15">
        <v>189.59</v>
      </c>
      <c r="D29" s="15">
        <v>189.59</v>
      </c>
      <c r="E29" s="15">
        <v>189.59</v>
      </c>
      <c r="F29" s="15">
        <v>189.59</v>
      </c>
      <c r="G29" s="15">
        <v>379.18</v>
      </c>
      <c r="H29" s="15">
        <v>379.18</v>
      </c>
      <c r="I29" s="15">
        <v>189.59</v>
      </c>
      <c r="J29" s="15">
        <v>189.59</v>
      </c>
      <c r="K29" s="15">
        <v>189.59</v>
      </c>
      <c r="L29" s="15">
        <v>189.59</v>
      </c>
      <c r="M29" s="15">
        <v>189.59</v>
      </c>
      <c r="N29" s="15">
        <v>189.59</v>
      </c>
      <c r="O29" t="s">
        <v>75</v>
      </c>
    </row>
    <row r="30" spans="1:15" x14ac:dyDescent="0.25">
      <c r="A30" s="10" t="s">
        <v>606</v>
      </c>
      <c r="B30" s="15">
        <v>189.59</v>
      </c>
      <c r="C30" s="15">
        <v>189.59</v>
      </c>
      <c r="D30" s="15">
        <v>189.59</v>
      </c>
      <c r="E30" s="15">
        <v>189.59</v>
      </c>
      <c r="F30" s="15">
        <v>189.59</v>
      </c>
      <c r="G30" s="15">
        <v>189.59</v>
      </c>
      <c r="H30" s="15">
        <v>189.59</v>
      </c>
      <c r="I30" s="15">
        <v>189.59</v>
      </c>
      <c r="J30" s="15">
        <v>379.18</v>
      </c>
      <c r="K30" s="15">
        <v>189.59</v>
      </c>
      <c r="L30" s="15">
        <v>189.59</v>
      </c>
      <c r="M30" s="15">
        <v>189.59</v>
      </c>
      <c r="N30" s="15">
        <v>189.59</v>
      </c>
      <c r="O30" t="s">
        <v>75</v>
      </c>
    </row>
    <row r="31" spans="1:15" x14ac:dyDescent="0.25">
      <c r="A31" s="10" t="s">
        <v>608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189.59</v>
      </c>
      <c r="M31" s="15">
        <v>189.59</v>
      </c>
      <c r="N31" s="15">
        <v>189.59</v>
      </c>
      <c r="O31" t="s">
        <v>75</v>
      </c>
    </row>
    <row r="32" spans="1:15" x14ac:dyDescent="0.25">
      <c r="A32" s="10" t="s">
        <v>610</v>
      </c>
      <c r="B32" s="15">
        <v>189.59</v>
      </c>
      <c r="C32" s="15">
        <v>189.59</v>
      </c>
      <c r="D32" s="15">
        <v>379.18</v>
      </c>
      <c r="E32" s="15">
        <v>189.59</v>
      </c>
      <c r="F32" s="15">
        <v>189.59</v>
      </c>
      <c r="G32" s="15">
        <v>189.59</v>
      </c>
      <c r="H32" s="15">
        <v>379.18</v>
      </c>
      <c r="I32" s="15">
        <v>189.59</v>
      </c>
      <c r="J32" s="15">
        <v>189.59</v>
      </c>
      <c r="K32" s="15">
        <v>189.59</v>
      </c>
      <c r="L32" s="15">
        <v>189.59</v>
      </c>
      <c r="M32" s="15">
        <v>189.59</v>
      </c>
      <c r="N32" s="15">
        <v>189.59</v>
      </c>
      <c r="O32" t="s">
        <v>75</v>
      </c>
    </row>
    <row r="33" spans="1:15" x14ac:dyDescent="0.25">
      <c r="A33" s="10" t="s">
        <v>612</v>
      </c>
      <c r="B33" s="15">
        <v>568.77</v>
      </c>
      <c r="C33" s="15">
        <v>568.77</v>
      </c>
      <c r="D33" s="15">
        <v>1137.54</v>
      </c>
      <c r="E33" s="15">
        <v>568.77</v>
      </c>
      <c r="F33" s="15">
        <v>568.77</v>
      </c>
      <c r="G33" s="15">
        <v>568.77</v>
      </c>
      <c r="H33" s="15">
        <v>1137.54</v>
      </c>
      <c r="I33" s="15">
        <v>568.77</v>
      </c>
      <c r="J33" s="15">
        <v>568.77</v>
      </c>
      <c r="K33" s="15">
        <v>568.77</v>
      </c>
      <c r="L33" s="15">
        <v>568.77</v>
      </c>
      <c r="M33" s="15">
        <v>568.77</v>
      </c>
      <c r="N33" s="15">
        <v>568.77</v>
      </c>
      <c r="O33" t="s">
        <v>75</v>
      </c>
    </row>
    <row r="34" spans="1:15" x14ac:dyDescent="0.25">
      <c r="A34" s="10" t="s">
        <v>614</v>
      </c>
      <c r="B34" s="15">
        <v>379.18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379.18</v>
      </c>
      <c r="O34" t="s">
        <v>75</v>
      </c>
    </row>
    <row r="35" spans="1:15" x14ac:dyDescent="0.25">
      <c r="A35" s="10" t="s">
        <v>620</v>
      </c>
      <c r="B35" s="15">
        <v>379.18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379.18</v>
      </c>
      <c r="O35" t="s">
        <v>75</v>
      </c>
    </row>
    <row r="36" spans="1:15" x14ac:dyDescent="0.25">
      <c r="A36" s="10" t="s">
        <v>622</v>
      </c>
      <c r="B36" s="15">
        <v>379.18</v>
      </c>
      <c r="C36" s="15">
        <v>379.18</v>
      </c>
      <c r="D36" s="15">
        <v>379.18</v>
      </c>
      <c r="E36" s="15">
        <v>379.18</v>
      </c>
      <c r="F36" s="15">
        <v>379.18</v>
      </c>
      <c r="G36" s="15">
        <v>379.18</v>
      </c>
      <c r="H36" s="15">
        <v>379.18</v>
      </c>
      <c r="I36" s="15">
        <v>379.18</v>
      </c>
      <c r="J36" s="15">
        <v>379.18</v>
      </c>
      <c r="K36" s="15">
        <v>758.36</v>
      </c>
      <c r="L36" s="15">
        <v>379.18</v>
      </c>
      <c r="M36" s="15">
        <v>379.18</v>
      </c>
      <c r="N36" s="15">
        <v>379.18</v>
      </c>
      <c r="O36" t="s">
        <v>75</v>
      </c>
    </row>
    <row r="37" spans="1:15" x14ac:dyDescent="0.25">
      <c r="A37" s="10" t="s">
        <v>630</v>
      </c>
      <c r="B37" s="15">
        <v>189.59</v>
      </c>
      <c r="C37" s="15">
        <v>189.59</v>
      </c>
      <c r="D37" s="15">
        <v>189.59</v>
      </c>
      <c r="E37" s="15">
        <v>189.59</v>
      </c>
      <c r="F37" s="15">
        <v>189.59</v>
      </c>
      <c r="G37" s="15">
        <v>189.59</v>
      </c>
      <c r="H37" s="15">
        <v>189.59</v>
      </c>
      <c r="I37" s="15">
        <v>189.59</v>
      </c>
      <c r="J37" s="15">
        <v>0</v>
      </c>
      <c r="K37" s="15">
        <v>0</v>
      </c>
      <c r="L37" s="15">
        <v>0</v>
      </c>
      <c r="M37" s="15">
        <v>0</v>
      </c>
      <c r="N37" s="15">
        <v>189.59</v>
      </c>
      <c r="O37" t="s">
        <v>75</v>
      </c>
    </row>
    <row r="38" spans="1:15" x14ac:dyDescent="0.25">
      <c r="A38" s="10" t="s">
        <v>654</v>
      </c>
      <c r="B38" s="15">
        <v>189.59</v>
      </c>
      <c r="C38" s="15">
        <v>189.59</v>
      </c>
      <c r="D38" s="15">
        <v>189.59</v>
      </c>
      <c r="E38" s="15">
        <v>189.59</v>
      </c>
      <c r="F38" s="15">
        <v>189.59</v>
      </c>
      <c r="G38" s="15">
        <v>189.59</v>
      </c>
      <c r="H38" s="15">
        <v>189.59</v>
      </c>
      <c r="I38" s="15">
        <v>189.59</v>
      </c>
      <c r="J38" s="15">
        <v>189.59</v>
      </c>
      <c r="K38" s="15">
        <v>189.59</v>
      </c>
      <c r="L38" s="15">
        <v>189.59</v>
      </c>
      <c r="M38" s="15">
        <v>379.18</v>
      </c>
      <c r="N38" s="15">
        <v>189.59</v>
      </c>
      <c r="O38" t="s">
        <v>75</v>
      </c>
    </row>
    <row r="39" spans="1:15" x14ac:dyDescent="0.25">
      <c r="A39" s="10" t="s">
        <v>658</v>
      </c>
      <c r="B39" s="15">
        <v>189.59</v>
      </c>
      <c r="C39" s="15">
        <v>189.59</v>
      </c>
      <c r="D39" s="15">
        <v>189.59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189.59</v>
      </c>
      <c r="O39" t="s">
        <v>75</v>
      </c>
    </row>
    <row r="40" spans="1:15" x14ac:dyDescent="0.25">
      <c r="A40" s="10" t="s">
        <v>660</v>
      </c>
      <c r="B40" s="15">
        <v>568.77</v>
      </c>
      <c r="C40" s="15">
        <v>568.77</v>
      </c>
      <c r="D40" s="15">
        <v>568.77</v>
      </c>
      <c r="E40" s="15">
        <v>568.77</v>
      </c>
      <c r="F40" s="15">
        <v>568.77</v>
      </c>
      <c r="G40" s="15">
        <v>1137.54</v>
      </c>
      <c r="H40" s="15">
        <v>1137.54</v>
      </c>
      <c r="I40" s="15">
        <v>568.77</v>
      </c>
      <c r="J40" s="15">
        <v>568.77</v>
      </c>
      <c r="K40" s="15">
        <v>568.77</v>
      </c>
      <c r="L40" s="15">
        <v>568.77</v>
      </c>
      <c r="M40" s="15">
        <v>568.77</v>
      </c>
      <c r="N40" s="15">
        <v>568.77</v>
      </c>
      <c r="O40" t="s">
        <v>75</v>
      </c>
    </row>
    <row r="41" spans="1:15" x14ac:dyDescent="0.25">
      <c r="A41" s="10" t="s">
        <v>664</v>
      </c>
      <c r="B41" s="15">
        <v>379.18</v>
      </c>
      <c r="C41" s="15">
        <v>379.18</v>
      </c>
      <c r="D41" s="15">
        <v>379.18</v>
      </c>
      <c r="E41" s="15">
        <v>379.18</v>
      </c>
      <c r="F41" s="15">
        <v>379.18</v>
      </c>
      <c r="G41" s="15">
        <v>379.18</v>
      </c>
      <c r="H41" s="15">
        <v>379.18</v>
      </c>
      <c r="I41" s="15">
        <v>379.18</v>
      </c>
      <c r="J41" s="15">
        <v>379.18</v>
      </c>
      <c r="K41" s="15">
        <v>758.36</v>
      </c>
      <c r="L41" s="15">
        <v>379.18</v>
      </c>
      <c r="M41" s="15">
        <v>0</v>
      </c>
      <c r="N41" s="15">
        <v>379.18</v>
      </c>
      <c r="O41" t="s">
        <v>75</v>
      </c>
    </row>
    <row r="42" spans="1:15" x14ac:dyDescent="0.25">
      <c r="A42" s="10" t="s">
        <v>666</v>
      </c>
      <c r="B42" s="15">
        <v>189.59</v>
      </c>
      <c r="C42" s="15">
        <v>189.59</v>
      </c>
      <c r="D42" s="15">
        <v>189.59</v>
      </c>
      <c r="E42" s="15">
        <v>189.59</v>
      </c>
      <c r="F42" s="15">
        <v>189.59</v>
      </c>
      <c r="G42" s="15">
        <v>189.59</v>
      </c>
      <c r="H42" s="15">
        <v>189.59</v>
      </c>
      <c r="I42" s="15">
        <v>189.59</v>
      </c>
      <c r="J42" s="15">
        <v>189.59</v>
      </c>
      <c r="K42" s="15">
        <v>189.59</v>
      </c>
      <c r="L42" s="15">
        <v>189.59</v>
      </c>
      <c r="M42" s="15">
        <v>379.18</v>
      </c>
      <c r="N42" s="15">
        <v>189.59</v>
      </c>
      <c r="O42" t="s">
        <v>75</v>
      </c>
    </row>
    <row r="43" spans="1:15" x14ac:dyDescent="0.25">
      <c r="A43" s="10" t="s">
        <v>672</v>
      </c>
      <c r="B43" s="15">
        <v>189.59</v>
      </c>
      <c r="C43" s="15">
        <v>189.59</v>
      </c>
      <c r="D43" s="15">
        <v>189.59</v>
      </c>
      <c r="E43" s="15">
        <v>189.59</v>
      </c>
      <c r="F43" s="15">
        <v>189.59</v>
      </c>
      <c r="G43" s="15">
        <v>189.59</v>
      </c>
      <c r="H43" s="15">
        <v>189.59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189.59</v>
      </c>
      <c r="O43" t="s">
        <v>75</v>
      </c>
    </row>
    <row r="44" spans="1:15" x14ac:dyDescent="0.25">
      <c r="A44" s="10" t="s">
        <v>676</v>
      </c>
      <c r="B44" s="15">
        <v>379.18</v>
      </c>
      <c r="C44" s="15">
        <v>379.18</v>
      </c>
      <c r="D44" s="15">
        <v>379.18</v>
      </c>
      <c r="E44" s="15">
        <v>379.18</v>
      </c>
      <c r="F44" s="15">
        <v>379.18</v>
      </c>
      <c r="G44" s="15">
        <v>758.36</v>
      </c>
      <c r="H44" s="15">
        <v>758.36</v>
      </c>
      <c r="I44" s="15">
        <v>379.18</v>
      </c>
      <c r="J44" s="15">
        <v>379.18</v>
      </c>
      <c r="K44" s="15">
        <v>379.18</v>
      </c>
      <c r="L44" s="15">
        <v>379.18</v>
      </c>
      <c r="M44" s="15">
        <v>379.18</v>
      </c>
      <c r="N44" s="15">
        <v>379.18</v>
      </c>
      <c r="O44" t="s">
        <v>75</v>
      </c>
    </row>
    <row r="45" spans="1:15" x14ac:dyDescent="0.25">
      <c r="A45" s="10" t="s">
        <v>682</v>
      </c>
      <c r="B45" s="15">
        <v>379.18</v>
      </c>
      <c r="C45" s="15">
        <v>758.36</v>
      </c>
      <c r="D45" s="15">
        <v>379.18</v>
      </c>
      <c r="E45" s="15">
        <v>379.18</v>
      </c>
      <c r="F45" s="15">
        <v>379.18</v>
      </c>
      <c r="G45" s="15">
        <v>379.18</v>
      </c>
      <c r="H45" s="15">
        <v>379.18</v>
      </c>
      <c r="I45" s="15">
        <v>758.36</v>
      </c>
      <c r="J45" s="15">
        <v>379.18</v>
      </c>
      <c r="K45" s="15">
        <v>379.18</v>
      </c>
      <c r="L45" s="15">
        <v>379.18</v>
      </c>
      <c r="M45" s="15">
        <v>0</v>
      </c>
      <c r="N45" s="15">
        <v>379.18</v>
      </c>
      <c r="O45" t="s">
        <v>75</v>
      </c>
    </row>
    <row r="46" spans="1:15" x14ac:dyDescent="0.25">
      <c r="A46" s="10" t="s">
        <v>690</v>
      </c>
      <c r="B46" s="15">
        <v>568.77</v>
      </c>
      <c r="C46" s="15">
        <v>568.77</v>
      </c>
      <c r="D46" s="15">
        <v>568.77</v>
      </c>
      <c r="E46" s="15">
        <v>568.77</v>
      </c>
      <c r="F46" s="15">
        <v>568.77</v>
      </c>
      <c r="G46" s="15">
        <v>568.77</v>
      </c>
      <c r="H46" s="15">
        <v>568.77</v>
      </c>
      <c r="I46" s="15">
        <v>568.77</v>
      </c>
      <c r="J46" s="15">
        <v>1137.54</v>
      </c>
      <c r="K46" s="15">
        <v>568.77</v>
      </c>
      <c r="L46" s="15">
        <v>568.77</v>
      </c>
      <c r="M46" s="15">
        <v>568.77</v>
      </c>
      <c r="N46" s="15">
        <v>568.77</v>
      </c>
      <c r="O46" t="s">
        <v>75</v>
      </c>
    </row>
    <row r="47" spans="1:15" x14ac:dyDescent="0.25">
      <c r="A47" s="10" t="s">
        <v>692</v>
      </c>
      <c r="B47" s="15">
        <v>379.18</v>
      </c>
      <c r="C47" s="15">
        <v>379.18</v>
      </c>
      <c r="D47" s="15">
        <v>379.18</v>
      </c>
      <c r="E47" s="15">
        <v>379.18</v>
      </c>
      <c r="F47" s="15">
        <v>379.18</v>
      </c>
      <c r="G47" s="15">
        <v>0</v>
      </c>
      <c r="H47" s="15">
        <v>0</v>
      </c>
      <c r="I47" s="15">
        <v>758.36</v>
      </c>
      <c r="J47" s="15">
        <v>0</v>
      </c>
      <c r="K47" s="15">
        <v>0</v>
      </c>
      <c r="L47" s="15">
        <v>0</v>
      </c>
      <c r="M47" s="15">
        <v>0</v>
      </c>
      <c r="N47" s="15">
        <v>379.18</v>
      </c>
      <c r="O47" t="s">
        <v>75</v>
      </c>
    </row>
    <row r="48" spans="1:15" x14ac:dyDescent="0.25">
      <c r="A48" s="10" t="s">
        <v>696</v>
      </c>
      <c r="B48" s="15">
        <v>379.18</v>
      </c>
      <c r="C48" s="15">
        <v>379.18</v>
      </c>
      <c r="D48" s="15">
        <v>379.18</v>
      </c>
      <c r="E48" s="15">
        <v>379.18</v>
      </c>
      <c r="F48" s="15">
        <v>379.18</v>
      </c>
      <c r="G48" s="15">
        <v>379.18</v>
      </c>
      <c r="H48" s="15">
        <v>379.18</v>
      </c>
      <c r="I48" s="15">
        <v>379.18</v>
      </c>
      <c r="J48" s="15">
        <v>758.36</v>
      </c>
      <c r="K48" s="15">
        <v>379.18</v>
      </c>
      <c r="L48" s="15">
        <v>379.18</v>
      </c>
      <c r="M48" s="15">
        <v>379.18</v>
      </c>
      <c r="N48" s="15">
        <v>379.18</v>
      </c>
      <c r="O48" t="s">
        <v>75</v>
      </c>
    </row>
    <row r="49" spans="1:15" x14ac:dyDescent="0.25">
      <c r="A49" s="10" t="s">
        <v>718</v>
      </c>
      <c r="B49" s="15">
        <v>189.59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189.59</v>
      </c>
      <c r="O49" t="s">
        <v>75</v>
      </c>
    </row>
    <row r="50" spans="1:15" x14ac:dyDescent="0.25">
      <c r="A50" s="10" t="s">
        <v>722</v>
      </c>
      <c r="B50" s="15">
        <v>568.77</v>
      </c>
      <c r="C50" s="15">
        <v>568.77</v>
      </c>
      <c r="D50" s="15">
        <v>568.77</v>
      </c>
      <c r="E50" s="15">
        <v>568.77</v>
      </c>
      <c r="F50" s="15">
        <v>568.77</v>
      </c>
      <c r="G50" s="15">
        <v>568.77</v>
      </c>
      <c r="H50" s="15">
        <v>568.77</v>
      </c>
      <c r="I50" s="15">
        <v>568.77</v>
      </c>
      <c r="J50" s="15">
        <v>568.77</v>
      </c>
      <c r="K50" s="15">
        <v>1137.54</v>
      </c>
      <c r="L50" s="15">
        <v>0</v>
      </c>
      <c r="M50" s="15">
        <v>568.77</v>
      </c>
      <c r="N50" s="15">
        <v>568.77</v>
      </c>
      <c r="O50" t="s">
        <v>75</v>
      </c>
    </row>
    <row r="51" spans="1:15" x14ac:dyDescent="0.25">
      <c r="A51" s="10" t="s">
        <v>728</v>
      </c>
      <c r="B51" s="15">
        <v>568.77</v>
      </c>
      <c r="C51" s="15">
        <v>568.77</v>
      </c>
      <c r="D51" s="15">
        <v>568.77</v>
      </c>
      <c r="E51" s="15">
        <v>568.77</v>
      </c>
      <c r="F51" s="15">
        <v>568.77</v>
      </c>
      <c r="G51" s="15">
        <v>568.77</v>
      </c>
      <c r="H51" s="15">
        <v>568.77</v>
      </c>
      <c r="I51" s="15">
        <v>568.77</v>
      </c>
      <c r="J51" s="15">
        <v>568.77</v>
      </c>
      <c r="K51" s="15">
        <v>568.77</v>
      </c>
      <c r="L51" s="15">
        <v>1137.54</v>
      </c>
      <c r="M51" s="15">
        <v>568.77</v>
      </c>
      <c r="N51" s="15">
        <v>568.77</v>
      </c>
      <c r="O51" t="s">
        <v>75</v>
      </c>
    </row>
    <row r="52" spans="1:15" x14ac:dyDescent="0.25">
      <c r="A52" s="10" t="s">
        <v>734</v>
      </c>
      <c r="B52" s="15">
        <v>189.59</v>
      </c>
      <c r="C52" s="15">
        <v>189.59</v>
      </c>
      <c r="D52" s="15">
        <v>189.59</v>
      </c>
      <c r="E52" s="15">
        <v>189.59</v>
      </c>
      <c r="F52" s="15">
        <v>189.59</v>
      </c>
      <c r="G52" s="15">
        <v>189.59</v>
      </c>
      <c r="H52" s="15">
        <v>189.59</v>
      </c>
      <c r="I52" s="15">
        <v>189.59</v>
      </c>
      <c r="J52" s="15">
        <v>189.59</v>
      </c>
      <c r="K52" s="15">
        <v>189.59</v>
      </c>
      <c r="L52" s="15">
        <v>189.59</v>
      </c>
      <c r="M52" s="15">
        <v>189.59</v>
      </c>
      <c r="N52" s="15">
        <v>189.59</v>
      </c>
      <c r="O52" t="s">
        <v>75</v>
      </c>
    </row>
    <row r="53" spans="1:15" x14ac:dyDescent="0.25">
      <c r="A53" s="10" t="s">
        <v>742</v>
      </c>
      <c r="B53" s="15">
        <v>379.18</v>
      </c>
      <c r="C53" s="15">
        <v>379.18</v>
      </c>
      <c r="D53" s="15">
        <v>379.18</v>
      </c>
      <c r="E53" s="15">
        <v>379.18</v>
      </c>
      <c r="F53" s="15">
        <v>379.18</v>
      </c>
      <c r="G53" s="15">
        <v>379.18</v>
      </c>
      <c r="H53" s="15">
        <v>379.18</v>
      </c>
      <c r="I53" s="15">
        <v>379.18</v>
      </c>
      <c r="J53" s="15">
        <v>379.18</v>
      </c>
      <c r="K53" s="15">
        <v>379.18</v>
      </c>
      <c r="L53" s="15">
        <v>379.18</v>
      </c>
      <c r="M53" s="15">
        <v>758.36</v>
      </c>
      <c r="N53" s="15">
        <v>379.18</v>
      </c>
      <c r="O53" t="s">
        <v>75</v>
      </c>
    </row>
    <row r="54" spans="1:15" x14ac:dyDescent="0.25">
      <c r="A54" s="10" t="s">
        <v>748</v>
      </c>
      <c r="B54" s="15">
        <v>379.18</v>
      </c>
      <c r="C54" s="15">
        <v>758.36</v>
      </c>
      <c r="D54" s="15">
        <v>379.18</v>
      </c>
      <c r="E54" s="15">
        <v>379.18</v>
      </c>
      <c r="F54" s="15">
        <v>379.18</v>
      </c>
      <c r="G54" s="15">
        <v>379.18</v>
      </c>
      <c r="H54" s="15">
        <v>379.18</v>
      </c>
      <c r="I54" s="15">
        <v>379.18</v>
      </c>
      <c r="J54" s="15">
        <v>379.18</v>
      </c>
      <c r="K54" s="15">
        <v>379.18</v>
      </c>
      <c r="L54" s="15">
        <v>379.18</v>
      </c>
      <c r="M54" s="15">
        <v>758.36</v>
      </c>
      <c r="N54" s="15">
        <v>379.18</v>
      </c>
      <c r="O54" t="s">
        <v>75</v>
      </c>
    </row>
    <row r="55" spans="1:15" x14ac:dyDescent="0.25">
      <c r="A55" s="10" t="s">
        <v>750</v>
      </c>
      <c r="B55" s="15">
        <v>379.18</v>
      </c>
      <c r="C55" s="15">
        <v>758.36</v>
      </c>
      <c r="D55" s="15">
        <v>379.18</v>
      </c>
      <c r="E55" s="15">
        <v>379.18</v>
      </c>
      <c r="F55" s="15">
        <v>379.18</v>
      </c>
      <c r="G55" s="15">
        <v>379.18</v>
      </c>
      <c r="H55" s="15">
        <v>379.18</v>
      </c>
      <c r="I55" s="15">
        <v>379.18</v>
      </c>
      <c r="J55" s="15">
        <v>379.18</v>
      </c>
      <c r="K55" s="15">
        <v>379.18</v>
      </c>
      <c r="L55" s="15">
        <v>379.18</v>
      </c>
      <c r="M55" s="15">
        <v>758.36</v>
      </c>
      <c r="N55" s="15">
        <v>379.18</v>
      </c>
      <c r="O55" t="s">
        <v>75</v>
      </c>
    </row>
    <row r="56" spans="1:15" x14ac:dyDescent="0.25">
      <c r="A56" s="10" t="s">
        <v>768</v>
      </c>
      <c r="B56" s="15">
        <v>189.59</v>
      </c>
      <c r="C56" s="15">
        <v>189.59</v>
      </c>
      <c r="D56" s="15">
        <v>189.59</v>
      </c>
      <c r="E56" s="15">
        <v>189.59</v>
      </c>
      <c r="F56" s="15">
        <v>379.18</v>
      </c>
      <c r="G56" s="15">
        <v>189.59</v>
      </c>
      <c r="H56" s="15">
        <v>379.18</v>
      </c>
      <c r="I56" s="15">
        <v>189.59</v>
      </c>
      <c r="J56" s="15">
        <v>189.59</v>
      </c>
      <c r="K56" s="15">
        <v>189.59</v>
      </c>
      <c r="L56" s="15">
        <v>189.59</v>
      </c>
      <c r="M56" s="15">
        <v>189.59</v>
      </c>
      <c r="N56" s="15">
        <v>189.59</v>
      </c>
      <c r="O56" t="s">
        <v>75</v>
      </c>
    </row>
    <row r="57" spans="1:15" x14ac:dyDescent="0.25">
      <c r="A57" s="10" t="s">
        <v>774</v>
      </c>
      <c r="B57" s="15">
        <v>189.59</v>
      </c>
      <c r="C57" s="15">
        <v>189.59</v>
      </c>
      <c r="D57" s="15">
        <v>189.59</v>
      </c>
      <c r="E57" s="15">
        <v>189.59</v>
      </c>
      <c r="F57" s="15">
        <v>189.59</v>
      </c>
      <c r="G57" s="15">
        <v>189.59</v>
      </c>
      <c r="H57" s="15">
        <v>189.59</v>
      </c>
      <c r="I57" s="15">
        <v>189.59</v>
      </c>
      <c r="J57" s="15">
        <v>189.59</v>
      </c>
      <c r="K57" s="15">
        <v>189.59</v>
      </c>
      <c r="L57" s="15">
        <v>189.59</v>
      </c>
      <c r="M57" s="15">
        <v>189.59</v>
      </c>
      <c r="N57" s="15">
        <v>189.59</v>
      </c>
      <c r="O57" t="s">
        <v>75</v>
      </c>
    </row>
    <row r="58" spans="1:15" x14ac:dyDescent="0.25">
      <c r="A58" s="10" t="s">
        <v>790</v>
      </c>
      <c r="B58" s="15">
        <v>0</v>
      </c>
      <c r="C58" s="15">
        <v>0</v>
      </c>
      <c r="D58" s="15">
        <v>0</v>
      </c>
      <c r="E58" s="15">
        <v>0</v>
      </c>
      <c r="F58" s="15">
        <v>379.18</v>
      </c>
      <c r="G58" s="15">
        <v>189.59</v>
      </c>
      <c r="H58" s="15">
        <v>379.18</v>
      </c>
      <c r="I58" s="15">
        <v>189.59</v>
      </c>
      <c r="J58" s="15">
        <v>189.59</v>
      </c>
      <c r="K58" s="15">
        <v>189.59</v>
      </c>
      <c r="L58" s="15">
        <v>189.59</v>
      </c>
      <c r="M58" s="15">
        <v>379.18</v>
      </c>
      <c r="N58" s="15">
        <v>379.18</v>
      </c>
      <c r="O58" t="s">
        <v>75</v>
      </c>
    </row>
    <row r="59" spans="1:15" x14ac:dyDescent="0.25">
      <c r="A59" s="10" t="s">
        <v>798</v>
      </c>
      <c r="B59" s="15">
        <v>189.59</v>
      </c>
      <c r="C59" s="15">
        <v>189.59</v>
      </c>
      <c r="D59" s="15">
        <v>379.18</v>
      </c>
      <c r="E59" s="15">
        <v>189.59</v>
      </c>
      <c r="F59" s="15">
        <v>189.59</v>
      </c>
      <c r="G59" s="15">
        <v>189.59</v>
      </c>
      <c r="H59" s="15">
        <v>379.18</v>
      </c>
      <c r="I59" s="15">
        <v>189.59</v>
      </c>
      <c r="J59" s="15">
        <v>189.59</v>
      </c>
      <c r="K59" s="15">
        <v>189.59</v>
      </c>
      <c r="L59" s="15">
        <v>189.59</v>
      </c>
      <c r="M59" s="15">
        <v>189.59</v>
      </c>
      <c r="N59" s="15">
        <v>189.59</v>
      </c>
      <c r="O59" t="s">
        <v>75</v>
      </c>
    </row>
    <row r="60" spans="1:15" x14ac:dyDescent="0.25">
      <c r="A60" s="10" t="s">
        <v>800</v>
      </c>
      <c r="B60" s="15">
        <v>189.59</v>
      </c>
      <c r="C60" s="15">
        <v>189.59</v>
      </c>
      <c r="D60" s="15">
        <v>189.59</v>
      </c>
      <c r="E60" s="15">
        <v>189.59</v>
      </c>
      <c r="F60" s="15">
        <v>189.59</v>
      </c>
      <c r="G60" s="15">
        <v>379.18</v>
      </c>
      <c r="H60" s="15">
        <v>379.18</v>
      </c>
      <c r="I60" s="15">
        <v>189.59</v>
      </c>
      <c r="J60" s="15">
        <v>189.59</v>
      </c>
      <c r="K60" s="15">
        <v>189.59</v>
      </c>
      <c r="L60" s="15">
        <v>189.59</v>
      </c>
      <c r="M60" s="15">
        <v>189.59</v>
      </c>
      <c r="N60" s="15">
        <v>189.59</v>
      </c>
      <c r="O60" t="s">
        <v>75</v>
      </c>
    </row>
    <row r="61" spans="1:15" x14ac:dyDescent="0.25">
      <c r="A61" s="10" t="s">
        <v>802</v>
      </c>
      <c r="B61" s="15">
        <v>379.18</v>
      </c>
      <c r="C61" s="15">
        <v>379.18</v>
      </c>
      <c r="D61" s="15">
        <v>758.36</v>
      </c>
      <c r="E61" s="15">
        <v>379.18</v>
      </c>
      <c r="F61" s="15">
        <v>379.18</v>
      </c>
      <c r="G61" s="15">
        <v>379.18</v>
      </c>
      <c r="H61" s="15">
        <v>758.36</v>
      </c>
      <c r="I61" s="15">
        <v>379.18</v>
      </c>
      <c r="J61" s="15">
        <v>379.18</v>
      </c>
      <c r="K61" s="15">
        <v>379.18</v>
      </c>
      <c r="L61" s="15">
        <v>379.18</v>
      </c>
      <c r="M61" s="15">
        <v>379.18</v>
      </c>
      <c r="N61" s="15">
        <v>379.18</v>
      </c>
      <c r="O61" t="s">
        <v>75</v>
      </c>
    </row>
    <row r="62" spans="1:15" x14ac:dyDescent="0.25">
      <c r="A62" s="10" t="s">
        <v>808</v>
      </c>
      <c r="B62" s="15">
        <v>189.59</v>
      </c>
      <c r="C62" s="15">
        <v>189.59</v>
      </c>
      <c r="D62" s="15">
        <v>189.59</v>
      </c>
      <c r="E62" s="15">
        <v>189.59</v>
      </c>
      <c r="F62" s="15">
        <v>189.59</v>
      </c>
      <c r="G62" s="15">
        <v>189.59</v>
      </c>
      <c r="H62" s="15">
        <v>379.18</v>
      </c>
      <c r="I62" s="15">
        <v>189.59</v>
      </c>
      <c r="J62" s="15">
        <v>189.59</v>
      </c>
      <c r="K62" s="15">
        <v>189.59</v>
      </c>
      <c r="L62" s="15">
        <v>189.59</v>
      </c>
      <c r="M62" s="15">
        <v>189.59</v>
      </c>
      <c r="N62" s="15">
        <v>189.59</v>
      </c>
      <c r="O62" t="s">
        <v>75</v>
      </c>
    </row>
    <row r="63" spans="1:15" x14ac:dyDescent="0.25">
      <c r="A63" s="10" t="s">
        <v>840</v>
      </c>
      <c r="B63" s="15">
        <v>379.18</v>
      </c>
      <c r="C63" s="15">
        <v>189.59</v>
      </c>
      <c r="D63" s="15">
        <v>189.59</v>
      </c>
      <c r="E63" s="15">
        <v>189.59</v>
      </c>
      <c r="F63" s="15">
        <v>189.59</v>
      </c>
      <c r="G63" s="15">
        <v>189.59</v>
      </c>
      <c r="H63" s="15">
        <v>189.59</v>
      </c>
      <c r="I63" s="15">
        <v>189.59</v>
      </c>
      <c r="J63" s="15">
        <v>0</v>
      </c>
      <c r="K63" s="15">
        <v>0</v>
      </c>
      <c r="L63" s="15">
        <v>0</v>
      </c>
      <c r="M63" s="15">
        <v>0</v>
      </c>
      <c r="N63" s="15">
        <v>189.59</v>
      </c>
      <c r="O63" t="s">
        <v>75</v>
      </c>
    </row>
    <row r="64" spans="1:15" x14ac:dyDescent="0.25">
      <c r="A64" s="10" t="s">
        <v>864</v>
      </c>
      <c r="B64" s="15">
        <v>379.18</v>
      </c>
      <c r="C64" s="15">
        <v>379.18</v>
      </c>
      <c r="D64" s="15">
        <v>379.18</v>
      </c>
      <c r="E64" s="15">
        <v>379.18</v>
      </c>
      <c r="F64" s="15">
        <v>379.18</v>
      </c>
      <c r="G64" s="15">
        <v>758.36</v>
      </c>
      <c r="H64" s="15">
        <v>758.36</v>
      </c>
      <c r="I64" s="15">
        <v>379.18</v>
      </c>
      <c r="J64" s="15">
        <v>379.18</v>
      </c>
      <c r="K64" s="15">
        <v>379.18</v>
      </c>
      <c r="L64" s="15">
        <v>379.18</v>
      </c>
      <c r="M64" s="15">
        <v>379.18</v>
      </c>
      <c r="N64" s="15">
        <v>379.18</v>
      </c>
      <c r="O64" t="s">
        <v>75</v>
      </c>
    </row>
    <row r="65" spans="1:15" x14ac:dyDescent="0.25">
      <c r="A65" s="10" t="s">
        <v>876</v>
      </c>
      <c r="B65" s="15">
        <v>379.18</v>
      </c>
      <c r="C65" s="15">
        <v>379.18</v>
      </c>
      <c r="D65" s="15">
        <v>379.18</v>
      </c>
      <c r="E65" s="15">
        <v>379.18</v>
      </c>
      <c r="F65" s="15">
        <v>379.18</v>
      </c>
      <c r="G65" s="15">
        <v>758.36</v>
      </c>
      <c r="H65" s="15">
        <v>758.36</v>
      </c>
      <c r="I65" s="15">
        <v>379.18</v>
      </c>
      <c r="J65" s="15">
        <v>379.18</v>
      </c>
      <c r="K65" s="15">
        <v>379.18</v>
      </c>
      <c r="L65" s="15">
        <v>379.18</v>
      </c>
      <c r="M65" s="15">
        <v>379.18</v>
      </c>
      <c r="N65" s="15">
        <v>379.18</v>
      </c>
      <c r="O65" t="s">
        <v>75</v>
      </c>
    </row>
    <row r="66" spans="1:15" x14ac:dyDescent="0.25">
      <c r="A66" s="10" t="s">
        <v>878</v>
      </c>
      <c r="B66" s="15">
        <v>379.18</v>
      </c>
      <c r="C66" s="15">
        <v>379.18</v>
      </c>
      <c r="D66" s="15">
        <v>379.18</v>
      </c>
      <c r="E66" s="15">
        <v>379.18</v>
      </c>
      <c r="F66" s="15">
        <v>379.18</v>
      </c>
      <c r="G66" s="15">
        <v>379.18</v>
      </c>
      <c r="H66" s="15">
        <v>379.18</v>
      </c>
      <c r="I66" s="15">
        <v>379.18</v>
      </c>
      <c r="J66" s="15">
        <v>379.18</v>
      </c>
      <c r="K66" s="15">
        <v>379.18</v>
      </c>
      <c r="L66" s="15">
        <v>379.18</v>
      </c>
      <c r="M66" s="15">
        <v>379.18</v>
      </c>
      <c r="N66" s="15">
        <v>379.18</v>
      </c>
      <c r="O66" t="s">
        <v>75</v>
      </c>
    </row>
    <row r="67" spans="1:15" x14ac:dyDescent="0.25">
      <c r="A67" s="10" t="s">
        <v>880</v>
      </c>
      <c r="B67" s="15">
        <v>189.59</v>
      </c>
      <c r="C67" s="15">
        <v>189.59</v>
      </c>
      <c r="D67" s="15">
        <v>189.59</v>
      </c>
      <c r="E67" s="15">
        <v>189.59</v>
      </c>
      <c r="F67" s="15">
        <v>189.59</v>
      </c>
      <c r="G67" s="15">
        <v>189.59</v>
      </c>
      <c r="H67" s="15">
        <v>189.59</v>
      </c>
      <c r="I67" s="15">
        <v>189.59</v>
      </c>
      <c r="J67" s="15">
        <v>0</v>
      </c>
      <c r="K67" s="15">
        <v>0</v>
      </c>
      <c r="L67" s="15">
        <v>0</v>
      </c>
      <c r="M67" s="15">
        <v>0</v>
      </c>
      <c r="N67" s="15">
        <v>189.59</v>
      </c>
      <c r="O67" t="s">
        <v>75</v>
      </c>
    </row>
    <row r="68" spans="1:15" x14ac:dyDescent="0.25">
      <c r="A68" s="10" t="s">
        <v>895</v>
      </c>
      <c r="B68" s="15">
        <v>189.59</v>
      </c>
      <c r="C68" s="15">
        <v>189.59</v>
      </c>
      <c r="D68" s="15">
        <v>379.18</v>
      </c>
      <c r="E68" s="15">
        <v>0</v>
      </c>
      <c r="F68" s="15">
        <v>189.59</v>
      </c>
      <c r="G68" s="15">
        <v>189.59</v>
      </c>
      <c r="H68" s="15">
        <v>379.18</v>
      </c>
      <c r="I68" s="15">
        <v>189.59</v>
      </c>
      <c r="J68" s="15">
        <v>189.59</v>
      </c>
      <c r="K68" s="15">
        <v>189.59</v>
      </c>
      <c r="L68" s="15">
        <v>189.59</v>
      </c>
      <c r="M68" s="15">
        <v>189.59</v>
      </c>
      <c r="N68" s="15">
        <v>189.59</v>
      </c>
      <c r="O68" t="s">
        <v>75</v>
      </c>
    </row>
    <row r="69" spans="1:15" x14ac:dyDescent="0.25">
      <c r="A69" s="10" t="s">
        <v>911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189.59</v>
      </c>
      <c r="K69" s="15">
        <v>0</v>
      </c>
      <c r="L69" s="15">
        <v>0</v>
      </c>
      <c r="M69" s="15">
        <v>0</v>
      </c>
      <c r="N69" s="15">
        <v>0</v>
      </c>
      <c r="O69" t="s">
        <v>75</v>
      </c>
    </row>
    <row r="70" spans="1:15" x14ac:dyDescent="0.25">
      <c r="A70" s="10" t="s">
        <v>913</v>
      </c>
      <c r="B70" s="15">
        <v>568.77</v>
      </c>
      <c r="C70" s="15">
        <v>568.77</v>
      </c>
      <c r="D70" s="15">
        <v>568.77</v>
      </c>
      <c r="E70" s="15">
        <v>568.77</v>
      </c>
      <c r="F70" s="15">
        <v>568.77</v>
      </c>
      <c r="G70" s="15">
        <v>568.77</v>
      </c>
      <c r="H70" s="15">
        <v>568.77</v>
      </c>
      <c r="I70" s="15">
        <v>568.77</v>
      </c>
      <c r="J70" s="15">
        <v>1137.54</v>
      </c>
      <c r="K70" s="15">
        <v>568.77</v>
      </c>
      <c r="L70" s="15">
        <v>568.77</v>
      </c>
      <c r="M70" s="15">
        <v>568.77</v>
      </c>
      <c r="N70" s="15">
        <v>568.77</v>
      </c>
      <c r="O70" t="s">
        <v>75</v>
      </c>
    </row>
    <row r="71" spans="1:15" x14ac:dyDescent="0.25">
      <c r="A71" s="10" t="s">
        <v>929</v>
      </c>
      <c r="B71" s="15">
        <v>379.18</v>
      </c>
      <c r="C71" s="15">
        <v>379.18</v>
      </c>
      <c r="D71" s="15">
        <v>379.18</v>
      </c>
      <c r="E71" s="15">
        <v>379.18</v>
      </c>
      <c r="F71" s="15">
        <v>758.36</v>
      </c>
      <c r="G71" s="15">
        <v>379.18</v>
      </c>
      <c r="H71" s="15">
        <v>758.36</v>
      </c>
      <c r="I71" s="15">
        <v>379.18</v>
      </c>
      <c r="J71" s="15">
        <v>379.18</v>
      </c>
      <c r="K71" s="15">
        <v>379.18</v>
      </c>
      <c r="L71" s="15">
        <v>379.18</v>
      </c>
      <c r="M71" s="15">
        <v>379.18</v>
      </c>
      <c r="N71" s="15">
        <v>379.18</v>
      </c>
      <c r="O71" t="s">
        <v>75</v>
      </c>
    </row>
    <row r="72" spans="1:15" x14ac:dyDescent="0.25">
      <c r="A72" s="10" t="s">
        <v>933</v>
      </c>
      <c r="B72" s="15">
        <v>758.36</v>
      </c>
      <c r="C72" s="15">
        <v>758.36</v>
      </c>
      <c r="D72" s="15">
        <v>758.36</v>
      </c>
      <c r="E72" s="15">
        <v>758.36</v>
      </c>
      <c r="F72" s="15">
        <v>758.36</v>
      </c>
      <c r="G72" s="15">
        <v>1516.72</v>
      </c>
      <c r="H72" s="15">
        <v>1516.72</v>
      </c>
      <c r="I72" s="15">
        <v>758.36</v>
      </c>
      <c r="J72" s="15">
        <v>758.36</v>
      </c>
      <c r="K72" s="15">
        <v>758.36</v>
      </c>
      <c r="L72" s="15">
        <v>758.36</v>
      </c>
      <c r="M72" s="15">
        <v>758.36</v>
      </c>
      <c r="N72" s="15">
        <v>758.36</v>
      </c>
      <c r="O72" t="s">
        <v>75</v>
      </c>
    </row>
    <row r="73" spans="1:15" x14ac:dyDescent="0.25">
      <c r="A73" s="10" t="s">
        <v>941</v>
      </c>
      <c r="B73" s="15">
        <v>189.59</v>
      </c>
      <c r="C73" s="15">
        <v>189.59</v>
      </c>
      <c r="D73" s="15">
        <v>189.59</v>
      </c>
      <c r="E73" s="15">
        <v>189.59</v>
      </c>
      <c r="F73" s="15">
        <v>189.59</v>
      </c>
      <c r="G73" s="15">
        <v>189.59</v>
      </c>
      <c r="H73" s="15">
        <v>189.59</v>
      </c>
      <c r="I73" s="15">
        <v>189.59</v>
      </c>
      <c r="J73" s="15">
        <v>189.59</v>
      </c>
      <c r="K73" s="15">
        <v>189.59</v>
      </c>
      <c r="L73" s="15">
        <v>189.59</v>
      </c>
      <c r="M73" s="15">
        <v>0</v>
      </c>
      <c r="N73" s="15">
        <v>189.59</v>
      </c>
      <c r="O73" t="s">
        <v>75</v>
      </c>
    </row>
    <row r="74" spans="1:15" x14ac:dyDescent="0.25">
      <c r="A74" s="10" t="s">
        <v>943</v>
      </c>
      <c r="B74" s="15">
        <v>379.18</v>
      </c>
      <c r="C74" s="15">
        <v>379.18</v>
      </c>
      <c r="D74" s="15">
        <v>379.18</v>
      </c>
      <c r="E74" s="15">
        <v>379.18</v>
      </c>
      <c r="F74" s="15">
        <v>379.18</v>
      </c>
      <c r="G74" s="15">
        <v>758.36</v>
      </c>
      <c r="H74" s="15">
        <v>758.36</v>
      </c>
      <c r="I74" s="15">
        <v>379.18</v>
      </c>
      <c r="J74" s="15">
        <v>379.18</v>
      </c>
      <c r="K74" s="15">
        <v>379.18</v>
      </c>
      <c r="L74" s="15">
        <v>379.18</v>
      </c>
      <c r="M74" s="15">
        <v>379.18</v>
      </c>
      <c r="N74" s="15">
        <v>379.18</v>
      </c>
      <c r="O74" t="s">
        <v>75</v>
      </c>
    </row>
    <row r="75" spans="1:15" x14ac:dyDescent="0.25">
      <c r="A75" s="10" t="s">
        <v>955</v>
      </c>
      <c r="B75" s="15">
        <v>568.77</v>
      </c>
      <c r="C75" s="15">
        <v>568.77</v>
      </c>
      <c r="D75" s="15">
        <v>568.77</v>
      </c>
      <c r="E75" s="15">
        <v>568.77</v>
      </c>
      <c r="F75" s="15">
        <v>1137.54</v>
      </c>
      <c r="G75" s="15">
        <v>568.77</v>
      </c>
      <c r="H75" s="15">
        <v>1137.54</v>
      </c>
      <c r="I75" s="15">
        <v>568.77</v>
      </c>
      <c r="J75" s="15">
        <v>0</v>
      </c>
      <c r="K75" s="15">
        <v>0</v>
      </c>
      <c r="L75" s="15">
        <v>0</v>
      </c>
      <c r="M75" s="15">
        <v>0</v>
      </c>
      <c r="N75" s="15">
        <v>568.77</v>
      </c>
      <c r="O75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O422"/>
  <sheetViews>
    <sheetView workbookViewId="0">
      <selection activeCell="F9" sqref="F9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5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67678,99</v>
      </c>
      <c r="C2" s="14" t="str">
        <f>CONCATENATE("FEVEREIRO",CHAR(10),"TOTAL: ",ROUND(SUM(C3:C1048576),2))</f>
        <v>FEVEREIRO
TOTAL: 69988,74</v>
      </c>
      <c r="D2" s="14" t="str">
        <f>CONCATENATE("MARÇO",CHAR(10),"TOTAL: ",ROUND(SUM(D3:D1048576),2))</f>
        <v>MARÇO
TOTAL: 70267,28</v>
      </c>
      <c r="E2" s="14" t="str">
        <f>CONCATENATE("ABRIL",CHAR(10),"TOTAL: ",ROUND(SUM(E3:E1048576),2))</f>
        <v>ABRIL
TOTAL: 68598,2</v>
      </c>
      <c r="F2" s="14" t="str">
        <f>CONCATENATE("MAIO",CHAR(10),"TOTAL: ",ROUND(SUM(F3:F1048576),2))</f>
        <v>MAIO
TOTAL: 70924,01</v>
      </c>
      <c r="G2" s="14" t="str">
        <f>CONCATENATE("JUNHO",CHAR(10),"TOTAL: ",ROUND(SUM(G3:G1048576),2))</f>
        <v>JUNHO
TOTAL: 72587,2</v>
      </c>
      <c r="H2" s="14" t="str">
        <f>CONCATENATE("JULHO",CHAR(10),"TOTAL: ",ROUND(SUM(H3:H1048576),2))</f>
        <v>JULHO
TOTAL: 92564,08</v>
      </c>
      <c r="I2" s="14" t="str">
        <f>CONCATENATE("AGOSTO",CHAR(10),"TOTAL: ",ROUND(SUM(I3:I1048576),2))</f>
        <v>AGOSTO
TOTAL: 84884,2</v>
      </c>
      <c r="J2" s="14" t="str">
        <f>CONCATENATE("SETEMBRO",CHAR(10),"TOTAL: ",ROUND(SUM(J3:J1048576),2))</f>
        <v>SETEMBRO
TOTAL: 75851,94</v>
      </c>
      <c r="K2" s="14" t="str">
        <f>CONCATENATE("OUTUBRO",CHAR(10),"TOTAL: ",ROUND(SUM(K3:K1048576),2))</f>
        <v>OUTUBRO
TOTAL: 68283,84</v>
      </c>
      <c r="L2" s="14" t="str">
        <f>CONCATENATE("NOVEMBRO",CHAR(10),"TOTAL: ",ROUND(SUM(L3:L1048576),2))</f>
        <v>NOVEMBRO
TOTAL: 70991,05</v>
      </c>
      <c r="M2" s="14" t="str">
        <f>CONCATENATE("DEZEMBRO",CHAR(10),"TOTAL: ",ROUND(SUM(M3:M1048576),2))</f>
        <v>DEZEMBRO
TOTAL: 81620,19</v>
      </c>
      <c r="N2" s="14" t="str">
        <f>CONCATENATE("DEC. TERCEIRO",CHAR(10),"TOTAL: ",ROUND(SUM(N3:N1048576),2))</f>
        <v>DEC. TERCEIRO
TOTAL: 75948,99</v>
      </c>
    </row>
    <row r="3" spans="1:15" x14ac:dyDescent="0.25">
      <c r="A3" s="10" t="s">
        <v>92</v>
      </c>
      <c r="B3" s="15">
        <v>120.64</v>
      </c>
      <c r="C3" s="15">
        <v>120.64</v>
      </c>
      <c r="D3" s="15">
        <v>121.07</v>
      </c>
      <c r="E3" s="15">
        <v>120.84</v>
      </c>
      <c r="F3" s="15">
        <v>171.91</v>
      </c>
      <c r="G3" s="15">
        <v>149.97</v>
      </c>
      <c r="H3" s="15">
        <v>195.96</v>
      </c>
      <c r="I3" s="15">
        <v>180.81</v>
      </c>
      <c r="J3" s="15">
        <v>159.4</v>
      </c>
      <c r="K3" s="15">
        <v>150.75</v>
      </c>
      <c r="L3" s="15">
        <v>184.51</v>
      </c>
      <c r="M3" s="15">
        <v>315.14</v>
      </c>
      <c r="N3" s="15">
        <v>160.19</v>
      </c>
      <c r="O3" t="s">
        <v>75</v>
      </c>
    </row>
    <row r="4" spans="1:15" x14ac:dyDescent="0.25">
      <c r="A4" s="10" t="s">
        <v>94</v>
      </c>
      <c r="B4" s="15">
        <v>570.88</v>
      </c>
      <c r="C4" s="15">
        <v>570.88</v>
      </c>
      <c r="D4" s="15">
        <v>570.88</v>
      </c>
      <c r="E4" s="15">
        <v>570.88</v>
      </c>
      <c r="F4" s="15">
        <v>570.88</v>
      </c>
      <c r="G4" s="15">
        <v>570.88</v>
      </c>
      <c r="H4" s="15">
        <v>570.88</v>
      </c>
      <c r="I4" s="15">
        <v>570.88</v>
      </c>
      <c r="J4" s="15">
        <v>570.88</v>
      </c>
      <c r="K4" s="15">
        <v>570.88</v>
      </c>
      <c r="L4" s="15">
        <v>570.88</v>
      </c>
      <c r="M4" s="15">
        <v>570.88</v>
      </c>
      <c r="N4" s="15">
        <v>570.88</v>
      </c>
      <c r="O4" t="s">
        <v>75</v>
      </c>
    </row>
    <row r="5" spans="1:15" x14ac:dyDescent="0.25">
      <c r="A5" s="10" t="s">
        <v>96</v>
      </c>
      <c r="B5" s="15">
        <v>218.98</v>
      </c>
      <c r="C5" s="15">
        <v>197.88</v>
      </c>
      <c r="D5" s="15">
        <v>201.23</v>
      </c>
      <c r="E5" s="15">
        <v>210</v>
      </c>
      <c r="F5" s="15">
        <v>217.97</v>
      </c>
      <c r="G5" s="15">
        <v>443.1</v>
      </c>
      <c r="H5" s="15">
        <v>214.1</v>
      </c>
      <c r="I5" s="15">
        <v>222.04</v>
      </c>
      <c r="J5" s="15">
        <v>187.45</v>
      </c>
      <c r="K5" s="15">
        <v>214.65</v>
      </c>
      <c r="L5" s="15">
        <v>29.13</v>
      </c>
      <c r="M5" s="15">
        <v>0</v>
      </c>
      <c r="N5" s="15">
        <v>172.52</v>
      </c>
      <c r="O5" t="s">
        <v>75</v>
      </c>
    </row>
    <row r="6" spans="1:15" x14ac:dyDescent="0.25">
      <c r="A6" s="10" t="s">
        <v>104</v>
      </c>
      <c r="B6" s="15">
        <v>297.36</v>
      </c>
      <c r="C6" s="15">
        <v>142.37</v>
      </c>
      <c r="D6" s="15">
        <v>196.43</v>
      </c>
      <c r="E6" s="15">
        <v>194.13</v>
      </c>
      <c r="F6" s="15">
        <v>198.17</v>
      </c>
      <c r="G6" s="15">
        <v>194.13</v>
      </c>
      <c r="H6" s="15">
        <v>331.03</v>
      </c>
      <c r="I6" s="15">
        <v>313.01</v>
      </c>
      <c r="J6" s="15">
        <v>215.6</v>
      </c>
      <c r="K6" s="15">
        <v>215.6</v>
      </c>
      <c r="L6" s="15">
        <v>304.2</v>
      </c>
      <c r="M6" s="15">
        <v>712.83</v>
      </c>
      <c r="N6" s="15">
        <v>306.20999999999998</v>
      </c>
      <c r="O6" t="s">
        <v>75</v>
      </c>
    </row>
    <row r="7" spans="1:15" x14ac:dyDescent="0.25">
      <c r="A7" s="10" t="s">
        <v>106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382.18</v>
      </c>
      <c r="N7" s="15">
        <v>20.99</v>
      </c>
      <c r="O7" t="s">
        <v>75</v>
      </c>
    </row>
    <row r="8" spans="1:15" x14ac:dyDescent="0.25">
      <c r="A8" s="10" t="s">
        <v>108</v>
      </c>
      <c r="B8" s="15">
        <v>88.08</v>
      </c>
      <c r="C8" s="15">
        <v>88.08</v>
      </c>
      <c r="D8" s="15">
        <v>88.12</v>
      </c>
      <c r="E8" s="15">
        <v>94.57</v>
      </c>
      <c r="F8" s="15">
        <v>88.08</v>
      </c>
      <c r="G8" s="15">
        <v>95.09</v>
      </c>
      <c r="H8" s="15">
        <v>148</v>
      </c>
      <c r="I8" s="15">
        <v>140.31</v>
      </c>
      <c r="J8" s="15">
        <v>112.48</v>
      </c>
      <c r="K8" s="15">
        <v>98</v>
      </c>
      <c r="L8" s="15">
        <v>147.03</v>
      </c>
      <c r="M8" s="15">
        <v>109.19</v>
      </c>
      <c r="N8" s="15">
        <v>104.96</v>
      </c>
      <c r="O8" t="s">
        <v>75</v>
      </c>
    </row>
    <row r="9" spans="1:15" x14ac:dyDescent="0.25">
      <c r="A9" s="10" t="s">
        <v>110</v>
      </c>
      <c r="B9" s="15">
        <v>485.04</v>
      </c>
      <c r="C9" s="15">
        <v>524.80999999999995</v>
      </c>
      <c r="D9" s="15">
        <v>570.88</v>
      </c>
      <c r="E9" s="15">
        <v>481.36</v>
      </c>
      <c r="F9" s="15">
        <v>484.14</v>
      </c>
      <c r="G9" s="15">
        <v>481.36</v>
      </c>
      <c r="H9" s="15">
        <v>570.88</v>
      </c>
      <c r="I9" s="15">
        <v>570.88</v>
      </c>
      <c r="J9" s="15">
        <v>545.13</v>
      </c>
      <c r="K9" s="15">
        <v>541.77</v>
      </c>
      <c r="L9" s="15">
        <v>538.54999999999995</v>
      </c>
      <c r="M9" s="15">
        <v>570.88</v>
      </c>
      <c r="N9" s="15">
        <v>549.04</v>
      </c>
      <c r="O9" t="s">
        <v>75</v>
      </c>
    </row>
    <row r="10" spans="1:15" x14ac:dyDescent="0.25">
      <c r="A10" s="10" t="s">
        <v>112</v>
      </c>
      <c r="B10" s="15">
        <v>115.84</v>
      </c>
      <c r="C10" s="15">
        <v>115.3</v>
      </c>
      <c r="D10" s="15">
        <v>116.37</v>
      </c>
      <c r="E10" s="15">
        <v>113.89</v>
      </c>
      <c r="F10" s="15">
        <v>110.15</v>
      </c>
      <c r="G10" s="15">
        <v>109.77</v>
      </c>
      <c r="H10" s="15">
        <v>167.86</v>
      </c>
      <c r="I10" s="15">
        <v>163.15</v>
      </c>
      <c r="J10" s="15">
        <v>122.1</v>
      </c>
      <c r="K10" s="15">
        <v>122.01</v>
      </c>
      <c r="L10" s="15">
        <v>121.68</v>
      </c>
      <c r="M10" s="15">
        <v>161.59</v>
      </c>
      <c r="N10" s="15">
        <v>123.87</v>
      </c>
      <c r="O10" t="s">
        <v>75</v>
      </c>
    </row>
    <row r="11" spans="1:15" x14ac:dyDescent="0.25">
      <c r="A11" s="10" t="s">
        <v>114</v>
      </c>
      <c r="B11" s="15">
        <v>0</v>
      </c>
      <c r="C11" s="15">
        <v>0</v>
      </c>
      <c r="D11" s="15">
        <v>0</v>
      </c>
      <c r="E11" s="15">
        <v>0</v>
      </c>
      <c r="F11" s="15">
        <v>53.85</v>
      </c>
      <c r="G11" s="15">
        <v>73.44</v>
      </c>
      <c r="H11" s="15">
        <v>89.55</v>
      </c>
      <c r="I11" s="15">
        <v>89.55</v>
      </c>
      <c r="J11" s="15">
        <v>81.599999999999994</v>
      </c>
      <c r="K11" s="15">
        <v>81.599999999999994</v>
      </c>
      <c r="L11" s="15">
        <v>81.599999999999994</v>
      </c>
      <c r="M11" s="15">
        <v>81.599999999999994</v>
      </c>
      <c r="N11" s="15">
        <v>54.4</v>
      </c>
      <c r="O11" t="s">
        <v>75</v>
      </c>
    </row>
    <row r="12" spans="1:15" x14ac:dyDescent="0.25">
      <c r="A12" s="10" t="s">
        <v>116</v>
      </c>
      <c r="B12" s="15">
        <v>12.6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t="s">
        <v>75</v>
      </c>
    </row>
    <row r="13" spans="1:15" x14ac:dyDescent="0.25">
      <c r="A13" s="10" t="s">
        <v>118</v>
      </c>
      <c r="B13" s="15">
        <v>172.93</v>
      </c>
      <c r="C13" s="15">
        <v>163.44</v>
      </c>
      <c r="D13" s="15">
        <v>192.12</v>
      </c>
      <c r="E13" s="15">
        <v>202.95</v>
      </c>
      <c r="F13" s="15">
        <v>170.34</v>
      </c>
      <c r="G13" s="15">
        <v>177.63</v>
      </c>
      <c r="H13" s="15">
        <v>573.08000000000004</v>
      </c>
      <c r="I13" s="15">
        <v>120.39</v>
      </c>
      <c r="J13" s="15">
        <v>205.33</v>
      </c>
      <c r="K13" s="15">
        <v>205.11</v>
      </c>
      <c r="L13" s="15">
        <v>233.26</v>
      </c>
      <c r="M13" s="15">
        <v>206.11</v>
      </c>
      <c r="N13" s="15">
        <v>209.6</v>
      </c>
      <c r="O13" t="s">
        <v>75</v>
      </c>
    </row>
    <row r="14" spans="1:15" x14ac:dyDescent="0.25">
      <c r="A14" s="10" t="s">
        <v>120</v>
      </c>
      <c r="B14" s="15">
        <v>71.010000000000005</v>
      </c>
      <c r="C14" s="15">
        <v>101.73</v>
      </c>
      <c r="D14" s="15">
        <v>104.8</v>
      </c>
      <c r="E14" s="15">
        <v>100.3</v>
      </c>
      <c r="F14" s="15">
        <v>97.56</v>
      </c>
      <c r="G14" s="15">
        <v>97.72</v>
      </c>
      <c r="H14" s="15">
        <v>148.07</v>
      </c>
      <c r="I14" s="15">
        <v>144.78</v>
      </c>
      <c r="J14" s="15">
        <v>108.03</v>
      </c>
      <c r="K14" s="15">
        <v>107.26</v>
      </c>
      <c r="L14" s="15">
        <v>189.35</v>
      </c>
      <c r="M14" s="15">
        <v>84.44</v>
      </c>
      <c r="N14" s="15">
        <v>109.33</v>
      </c>
      <c r="O14" t="s">
        <v>75</v>
      </c>
    </row>
    <row r="15" spans="1:15" x14ac:dyDescent="0.25">
      <c r="A15" s="10" t="s">
        <v>122</v>
      </c>
      <c r="B15" s="15">
        <v>315.22000000000003</v>
      </c>
      <c r="C15" s="15">
        <v>294.7</v>
      </c>
      <c r="D15" s="15">
        <v>396.4</v>
      </c>
      <c r="E15" s="15">
        <v>225.88</v>
      </c>
      <c r="F15" s="15">
        <v>227.67</v>
      </c>
      <c r="G15" s="15">
        <v>227.42</v>
      </c>
      <c r="H15" s="15">
        <v>394.68</v>
      </c>
      <c r="I15" s="15">
        <v>359.39</v>
      </c>
      <c r="J15" s="15">
        <v>311.61</v>
      </c>
      <c r="K15" s="15">
        <v>311.77</v>
      </c>
      <c r="L15" s="15">
        <v>311.52999999999997</v>
      </c>
      <c r="M15" s="15">
        <v>369.47</v>
      </c>
      <c r="N15" s="15">
        <v>314.88</v>
      </c>
      <c r="O15" t="s">
        <v>75</v>
      </c>
    </row>
    <row r="16" spans="1:15" x14ac:dyDescent="0.25">
      <c r="A16" s="10" t="s">
        <v>124</v>
      </c>
      <c r="B16" s="15">
        <v>85.8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t="s">
        <v>75</v>
      </c>
    </row>
    <row r="17" spans="1:15" x14ac:dyDescent="0.25">
      <c r="A17" s="10" t="s">
        <v>126</v>
      </c>
      <c r="B17" s="15">
        <v>218.88</v>
      </c>
      <c r="C17" s="15">
        <v>218.88</v>
      </c>
      <c r="D17" s="15">
        <v>299.25</v>
      </c>
      <c r="E17" s="15">
        <v>77.819999999999993</v>
      </c>
      <c r="F17" s="15">
        <v>0</v>
      </c>
      <c r="G17" s="15">
        <v>0</v>
      </c>
      <c r="H17" s="15">
        <v>0</v>
      </c>
      <c r="I17" s="15">
        <v>32.68</v>
      </c>
      <c r="J17" s="15">
        <v>0</v>
      </c>
      <c r="K17" s="15">
        <v>0</v>
      </c>
      <c r="L17" s="15">
        <v>0</v>
      </c>
      <c r="M17" s="15">
        <v>0</v>
      </c>
      <c r="N17" s="15">
        <v>55.59</v>
      </c>
      <c r="O17" t="s">
        <v>75</v>
      </c>
    </row>
    <row r="18" spans="1:15" x14ac:dyDescent="0.25">
      <c r="A18" s="10" t="s">
        <v>128</v>
      </c>
      <c r="B18" s="15">
        <v>104.2</v>
      </c>
      <c r="C18" s="15">
        <v>168.34</v>
      </c>
      <c r="D18" s="15">
        <v>192.15</v>
      </c>
      <c r="E18" s="15">
        <v>168.34</v>
      </c>
      <c r="F18" s="15">
        <v>197.39</v>
      </c>
      <c r="G18" s="15">
        <v>168.34</v>
      </c>
      <c r="H18" s="15">
        <v>304.61</v>
      </c>
      <c r="I18" s="15">
        <v>223.15</v>
      </c>
      <c r="J18" s="15">
        <v>199.17</v>
      </c>
      <c r="K18" s="15">
        <v>186.97</v>
      </c>
      <c r="L18" s="15">
        <v>190.18</v>
      </c>
      <c r="M18" s="15">
        <v>420.92</v>
      </c>
      <c r="N18" s="15">
        <v>197.95</v>
      </c>
      <c r="O18" t="s">
        <v>75</v>
      </c>
    </row>
    <row r="19" spans="1:15" x14ac:dyDescent="0.25">
      <c r="A19" s="10" t="s">
        <v>130</v>
      </c>
      <c r="B19" s="15">
        <v>530.03</v>
      </c>
      <c r="C19" s="15">
        <v>501.26</v>
      </c>
      <c r="D19" s="15">
        <v>520.21</v>
      </c>
      <c r="E19" s="15">
        <v>501.26</v>
      </c>
      <c r="F19" s="15">
        <v>536.39</v>
      </c>
      <c r="G19" s="15">
        <v>623.69000000000005</v>
      </c>
      <c r="H19" s="15">
        <v>518.07000000000005</v>
      </c>
      <c r="I19" s="15">
        <v>570.88</v>
      </c>
      <c r="J19" s="15">
        <v>570.88</v>
      </c>
      <c r="K19" s="15">
        <v>556.76</v>
      </c>
      <c r="L19" s="15">
        <v>570.88</v>
      </c>
      <c r="M19" s="15">
        <v>556.76</v>
      </c>
      <c r="N19" s="15">
        <v>570.88</v>
      </c>
      <c r="O19" t="s">
        <v>75</v>
      </c>
    </row>
    <row r="20" spans="1:15" x14ac:dyDescent="0.25">
      <c r="A20" s="10" t="s">
        <v>132</v>
      </c>
      <c r="B20" s="15">
        <v>226.35</v>
      </c>
      <c r="C20" s="15">
        <v>216.3</v>
      </c>
      <c r="D20" s="15">
        <v>206.45</v>
      </c>
      <c r="E20" s="15">
        <v>205.6</v>
      </c>
      <c r="F20" s="15">
        <v>330.92</v>
      </c>
      <c r="G20" s="15">
        <v>322.64</v>
      </c>
      <c r="H20" s="15">
        <v>446.19</v>
      </c>
      <c r="I20" s="15">
        <v>333.29</v>
      </c>
      <c r="J20" s="15">
        <v>328.52</v>
      </c>
      <c r="K20" s="15">
        <v>228.41</v>
      </c>
      <c r="L20" s="15">
        <v>228.41</v>
      </c>
      <c r="M20" s="15">
        <v>572.39</v>
      </c>
      <c r="N20" s="15">
        <v>309.67</v>
      </c>
      <c r="O20" t="s">
        <v>75</v>
      </c>
    </row>
    <row r="21" spans="1:15" x14ac:dyDescent="0.25">
      <c r="A21" s="10" t="s">
        <v>134</v>
      </c>
      <c r="B21" s="15">
        <v>510.53</v>
      </c>
      <c r="C21" s="15">
        <v>5.54</v>
      </c>
      <c r="D21" s="15">
        <v>134.35</v>
      </c>
      <c r="E21" s="15">
        <v>120.72</v>
      </c>
      <c r="F21" s="15">
        <v>120.72</v>
      </c>
      <c r="G21" s="15">
        <v>120.72</v>
      </c>
      <c r="H21" s="15">
        <v>206.46</v>
      </c>
      <c r="I21" s="15">
        <v>180.64</v>
      </c>
      <c r="J21" s="15">
        <v>150.84</v>
      </c>
      <c r="K21" s="15">
        <v>155.36000000000001</v>
      </c>
      <c r="L21" s="15">
        <v>171.35</v>
      </c>
      <c r="M21" s="15">
        <v>237.97</v>
      </c>
      <c r="N21" s="15">
        <v>159.21</v>
      </c>
      <c r="O21" t="s">
        <v>75</v>
      </c>
    </row>
    <row r="22" spans="1:15" x14ac:dyDescent="0.25">
      <c r="A22" s="10" t="s">
        <v>136</v>
      </c>
      <c r="B22" s="15">
        <v>73.44</v>
      </c>
      <c r="C22" s="15">
        <v>73.44</v>
      </c>
      <c r="D22" s="15">
        <v>53.85</v>
      </c>
      <c r="E22" s="15">
        <v>0</v>
      </c>
      <c r="F22" s="15">
        <v>0</v>
      </c>
      <c r="G22" s="15">
        <v>0</v>
      </c>
      <c r="H22" s="15">
        <v>0</v>
      </c>
      <c r="I22" s="15">
        <v>5.98</v>
      </c>
      <c r="J22" s="15">
        <v>0</v>
      </c>
      <c r="K22" s="15">
        <v>0</v>
      </c>
      <c r="L22" s="15">
        <v>0</v>
      </c>
      <c r="M22" s="15">
        <v>0</v>
      </c>
      <c r="N22" s="15">
        <v>20.399999999999999</v>
      </c>
      <c r="O22" t="s">
        <v>75</v>
      </c>
    </row>
    <row r="23" spans="1:15" x14ac:dyDescent="0.25">
      <c r="A23" s="10" t="s">
        <v>138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541.25</v>
      </c>
      <c r="L23" s="15">
        <v>570.88</v>
      </c>
      <c r="M23" s="15">
        <v>570.88</v>
      </c>
      <c r="N23" s="15">
        <v>105.44</v>
      </c>
      <c r="O23" t="s">
        <v>75</v>
      </c>
    </row>
    <row r="24" spans="1:15" x14ac:dyDescent="0.25">
      <c r="A24" s="10" t="s">
        <v>140</v>
      </c>
      <c r="B24" s="15">
        <v>166.13</v>
      </c>
      <c r="C24" s="15">
        <v>167.89</v>
      </c>
      <c r="D24" s="15">
        <v>163.44</v>
      </c>
      <c r="E24" s="15">
        <v>430.5</v>
      </c>
      <c r="F24" s="15">
        <v>82.47</v>
      </c>
      <c r="G24" s="15">
        <v>160</v>
      </c>
      <c r="H24" s="15">
        <v>290.04000000000002</v>
      </c>
      <c r="I24" s="15">
        <v>201.16</v>
      </c>
      <c r="J24" s="15">
        <v>177.14</v>
      </c>
      <c r="K24" s="15">
        <v>181.11</v>
      </c>
      <c r="L24" s="15">
        <v>181.56</v>
      </c>
      <c r="M24" s="15">
        <v>183.03</v>
      </c>
      <c r="N24" s="15">
        <v>184.39</v>
      </c>
      <c r="O24" t="s">
        <v>75</v>
      </c>
    </row>
    <row r="25" spans="1:15" x14ac:dyDescent="0.25">
      <c r="A25" s="10" t="s">
        <v>142</v>
      </c>
      <c r="B25" s="15">
        <v>181.86</v>
      </c>
      <c r="C25" s="15">
        <v>157.22999999999999</v>
      </c>
      <c r="D25" s="15">
        <v>177.47</v>
      </c>
      <c r="E25" s="15">
        <v>157.22999999999999</v>
      </c>
      <c r="F25" s="15">
        <v>171.13</v>
      </c>
      <c r="G25" s="15">
        <v>157.22999999999999</v>
      </c>
      <c r="H25" s="15">
        <v>220.9</v>
      </c>
      <c r="I25" s="15">
        <v>209.34</v>
      </c>
      <c r="J25" s="15">
        <v>174.6</v>
      </c>
      <c r="K25" s="15">
        <v>174.6</v>
      </c>
      <c r="L25" s="15">
        <v>174.6</v>
      </c>
      <c r="M25" s="15">
        <v>174.6</v>
      </c>
      <c r="N25" s="15">
        <v>180.9</v>
      </c>
      <c r="O25" t="s">
        <v>75</v>
      </c>
    </row>
    <row r="26" spans="1:15" x14ac:dyDescent="0.25">
      <c r="A26" s="10" t="s">
        <v>144</v>
      </c>
      <c r="B26" s="15">
        <v>372.87</v>
      </c>
      <c r="C26" s="15">
        <v>62.83</v>
      </c>
      <c r="D26" s="15">
        <v>134.13</v>
      </c>
      <c r="E26" s="15">
        <v>124.15</v>
      </c>
      <c r="F26" s="15">
        <v>120.27</v>
      </c>
      <c r="G26" s="15">
        <v>120.42</v>
      </c>
      <c r="H26" s="15">
        <v>196.81</v>
      </c>
      <c r="I26" s="15">
        <v>176.1</v>
      </c>
      <c r="J26" s="15">
        <v>156.63</v>
      </c>
      <c r="K26" s="15">
        <v>150.88999999999999</v>
      </c>
      <c r="L26" s="15">
        <v>170.32</v>
      </c>
      <c r="M26" s="15">
        <v>150.88</v>
      </c>
      <c r="N26" s="15">
        <v>155.21</v>
      </c>
      <c r="O26" t="s">
        <v>75</v>
      </c>
    </row>
    <row r="27" spans="1:15" x14ac:dyDescent="0.25">
      <c r="A27" s="10" t="s">
        <v>146</v>
      </c>
      <c r="B27" s="15">
        <v>116.32</v>
      </c>
      <c r="C27" s="15">
        <v>111.2</v>
      </c>
      <c r="D27" s="15">
        <v>3.7</v>
      </c>
      <c r="E27" s="15">
        <v>22.24</v>
      </c>
      <c r="F27" s="15">
        <v>123.67</v>
      </c>
      <c r="G27" s="15">
        <v>111.2</v>
      </c>
      <c r="H27" s="15">
        <v>187.07</v>
      </c>
      <c r="I27" s="15">
        <v>154.47</v>
      </c>
      <c r="J27" s="15">
        <v>158.37</v>
      </c>
      <c r="K27" s="15">
        <v>123.52</v>
      </c>
      <c r="L27" s="15">
        <v>164.56</v>
      </c>
      <c r="M27" s="15">
        <v>321</v>
      </c>
      <c r="N27" s="15">
        <v>109.62</v>
      </c>
      <c r="O27" t="s">
        <v>75</v>
      </c>
    </row>
    <row r="28" spans="1:15" x14ac:dyDescent="0.25">
      <c r="A28" s="10" t="s">
        <v>148</v>
      </c>
      <c r="B28" s="15">
        <v>105.68</v>
      </c>
      <c r="C28" s="15">
        <v>105.68</v>
      </c>
      <c r="D28" s="15">
        <v>105.68</v>
      </c>
      <c r="E28" s="15">
        <v>105.68</v>
      </c>
      <c r="F28" s="15">
        <v>105.68</v>
      </c>
      <c r="G28" s="15">
        <v>105.68</v>
      </c>
      <c r="H28" s="15">
        <v>356.58</v>
      </c>
      <c r="I28" s="15">
        <v>26.28</v>
      </c>
      <c r="J28" s="15">
        <v>117.36</v>
      </c>
      <c r="K28" s="15">
        <v>117.36</v>
      </c>
      <c r="L28" s="15">
        <v>150.86000000000001</v>
      </c>
      <c r="M28" s="15">
        <v>117.36</v>
      </c>
      <c r="N28" s="15">
        <v>119.65</v>
      </c>
      <c r="O28" t="s">
        <v>75</v>
      </c>
    </row>
    <row r="29" spans="1:15" x14ac:dyDescent="0.25">
      <c r="A29" s="10" t="s">
        <v>150</v>
      </c>
      <c r="B29" s="15">
        <v>166.79</v>
      </c>
      <c r="C29" s="15">
        <v>157.22999999999999</v>
      </c>
      <c r="D29" s="15">
        <v>164.73</v>
      </c>
      <c r="E29" s="15">
        <v>157.22999999999999</v>
      </c>
      <c r="F29" s="15">
        <v>178.69</v>
      </c>
      <c r="G29" s="15">
        <v>157.22999999999999</v>
      </c>
      <c r="H29" s="15">
        <v>218.49</v>
      </c>
      <c r="I29" s="15">
        <v>209.34</v>
      </c>
      <c r="J29" s="15">
        <v>199.53</v>
      </c>
      <c r="K29" s="15">
        <v>174.6</v>
      </c>
      <c r="L29" s="15">
        <v>197.45</v>
      </c>
      <c r="M29" s="15">
        <v>223.3</v>
      </c>
      <c r="N29" s="15">
        <v>182.84</v>
      </c>
      <c r="O29" t="s">
        <v>75</v>
      </c>
    </row>
    <row r="30" spans="1:15" x14ac:dyDescent="0.25">
      <c r="A30" s="10" t="s">
        <v>152</v>
      </c>
      <c r="B30" s="15">
        <v>85.81</v>
      </c>
      <c r="C30" s="15">
        <v>105.76</v>
      </c>
      <c r="D30" s="15">
        <v>105.76</v>
      </c>
      <c r="E30" s="15">
        <v>105.76</v>
      </c>
      <c r="F30" s="15">
        <v>105.76</v>
      </c>
      <c r="G30" s="15">
        <v>105.76</v>
      </c>
      <c r="H30" s="15">
        <v>158.4</v>
      </c>
      <c r="I30" s="15">
        <v>158.4</v>
      </c>
      <c r="J30" s="15">
        <v>117.44</v>
      </c>
      <c r="K30" s="15">
        <v>117.44</v>
      </c>
      <c r="L30" s="15">
        <v>117.44</v>
      </c>
      <c r="M30" s="15">
        <v>187.5</v>
      </c>
      <c r="N30" s="15">
        <v>117.5</v>
      </c>
      <c r="O30" t="s">
        <v>75</v>
      </c>
    </row>
    <row r="31" spans="1:15" x14ac:dyDescent="0.25">
      <c r="A31" s="10" t="s">
        <v>154</v>
      </c>
      <c r="B31" s="15">
        <v>149.07</v>
      </c>
      <c r="C31" s="15">
        <v>315.39999999999998</v>
      </c>
      <c r="D31" s="15">
        <v>62.5</v>
      </c>
      <c r="E31" s="15">
        <v>85.41</v>
      </c>
      <c r="F31" s="15">
        <v>0</v>
      </c>
      <c r="G31" s="15">
        <v>0</v>
      </c>
      <c r="H31" s="15">
        <v>0</v>
      </c>
      <c r="I31" s="15">
        <v>15.62</v>
      </c>
      <c r="J31" s="15">
        <v>0</v>
      </c>
      <c r="K31" s="15">
        <v>0</v>
      </c>
      <c r="L31" s="15">
        <v>0</v>
      </c>
      <c r="M31" s="15">
        <v>0</v>
      </c>
      <c r="N31" s="15">
        <v>45.59</v>
      </c>
      <c r="O31" t="s">
        <v>75</v>
      </c>
    </row>
    <row r="32" spans="1:15" x14ac:dyDescent="0.25">
      <c r="A32" s="10" t="s">
        <v>156</v>
      </c>
      <c r="B32" s="15">
        <v>384.19</v>
      </c>
      <c r="C32" s="15">
        <v>384.19</v>
      </c>
      <c r="D32" s="15">
        <v>384.19</v>
      </c>
      <c r="E32" s="15">
        <v>384.19</v>
      </c>
      <c r="F32" s="15">
        <v>384.19</v>
      </c>
      <c r="G32" s="15">
        <v>384.19</v>
      </c>
      <c r="H32" s="15">
        <v>516.69000000000005</v>
      </c>
      <c r="I32" s="15">
        <v>855.02</v>
      </c>
      <c r="J32" s="15">
        <v>204.53</v>
      </c>
      <c r="K32" s="15">
        <v>426.75</v>
      </c>
      <c r="L32" s="15">
        <v>461.21</v>
      </c>
      <c r="M32" s="15">
        <v>426.75</v>
      </c>
      <c r="N32" s="15">
        <v>431.47</v>
      </c>
      <c r="O32" t="s">
        <v>75</v>
      </c>
    </row>
    <row r="33" spans="1:15" x14ac:dyDescent="0.25">
      <c r="A33" s="10" t="s">
        <v>158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570.88</v>
      </c>
      <c r="J33" s="15">
        <v>570.88</v>
      </c>
      <c r="K33" s="15">
        <v>570.88</v>
      </c>
      <c r="L33" s="15">
        <v>570.88</v>
      </c>
      <c r="M33" s="15">
        <v>570.88</v>
      </c>
      <c r="N33" s="15">
        <v>570.88</v>
      </c>
      <c r="O33" t="s">
        <v>75</v>
      </c>
    </row>
    <row r="34" spans="1:15" x14ac:dyDescent="0.25">
      <c r="A34" s="10" t="s">
        <v>160</v>
      </c>
      <c r="B34" s="15">
        <v>61.39</v>
      </c>
      <c r="C34" s="15">
        <v>159.38999999999999</v>
      </c>
      <c r="D34" s="15">
        <v>159.43</v>
      </c>
      <c r="E34" s="15">
        <v>167.85</v>
      </c>
      <c r="F34" s="15">
        <v>167.85</v>
      </c>
      <c r="G34" s="15">
        <v>167.85</v>
      </c>
      <c r="H34" s="15">
        <v>227.7</v>
      </c>
      <c r="I34" s="15">
        <v>227.7</v>
      </c>
      <c r="J34" s="15">
        <v>195.91</v>
      </c>
      <c r="K34" s="15">
        <v>186.39</v>
      </c>
      <c r="L34" s="15">
        <v>188.1</v>
      </c>
      <c r="M34" s="15">
        <v>186.39</v>
      </c>
      <c r="N34" s="15">
        <v>171.79</v>
      </c>
      <c r="O34" t="s">
        <v>75</v>
      </c>
    </row>
    <row r="35" spans="1:15" x14ac:dyDescent="0.25">
      <c r="A35" s="10" t="s">
        <v>162</v>
      </c>
      <c r="B35" s="15">
        <v>154.37</v>
      </c>
      <c r="C35" s="15">
        <v>147.38</v>
      </c>
      <c r="D35" s="15">
        <v>146.02000000000001</v>
      </c>
      <c r="E35" s="15">
        <v>145.59</v>
      </c>
      <c r="F35" s="15">
        <v>140.47999999999999</v>
      </c>
      <c r="G35" s="15">
        <v>141.07</v>
      </c>
      <c r="H35" s="15">
        <v>190</v>
      </c>
      <c r="I35" s="15">
        <v>184.92</v>
      </c>
      <c r="J35" s="15">
        <v>370.44</v>
      </c>
      <c r="K35" s="15">
        <v>7.19</v>
      </c>
      <c r="L35" s="15">
        <v>147.47</v>
      </c>
      <c r="M35" s="15">
        <v>155.68</v>
      </c>
      <c r="N35" s="15">
        <v>157.38999999999999</v>
      </c>
      <c r="O35" t="s">
        <v>75</v>
      </c>
    </row>
    <row r="36" spans="1:15" x14ac:dyDescent="0.25">
      <c r="A36" s="10" t="s">
        <v>164</v>
      </c>
      <c r="B36" s="15">
        <v>193.53</v>
      </c>
      <c r="C36" s="15">
        <v>355.07</v>
      </c>
      <c r="D36" s="15">
        <v>462.18</v>
      </c>
      <c r="E36" s="15">
        <v>369.42</v>
      </c>
      <c r="F36" s="15">
        <v>546.36</v>
      </c>
      <c r="G36" s="15">
        <v>205.26</v>
      </c>
      <c r="H36" s="15">
        <v>469.97</v>
      </c>
      <c r="I36" s="15">
        <v>408.04</v>
      </c>
      <c r="J36" s="15">
        <v>570.88</v>
      </c>
      <c r="K36" s="15">
        <v>225.93</v>
      </c>
      <c r="L36" s="15">
        <v>410.8</v>
      </c>
      <c r="M36" s="15">
        <v>388.49</v>
      </c>
      <c r="N36" s="15">
        <v>460.09</v>
      </c>
      <c r="O36" t="s">
        <v>75</v>
      </c>
    </row>
    <row r="37" spans="1:15" x14ac:dyDescent="0.25">
      <c r="A37" s="10" t="s">
        <v>166</v>
      </c>
      <c r="B37" s="15">
        <v>105.68</v>
      </c>
      <c r="C37" s="15">
        <v>105.68</v>
      </c>
      <c r="D37" s="15">
        <v>105.68</v>
      </c>
      <c r="E37" s="15">
        <v>105.68</v>
      </c>
      <c r="F37" s="15">
        <v>105.68</v>
      </c>
      <c r="G37" s="15">
        <v>113.49</v>
      </c>
      <c r="H37" s="15">
        <v>159.28</v>
      </c>
      <c r="I37" s="15">
        <v>158.31</v>
      </c>
      <c r="J37" s="15">
        <v>117.36</v>
      </c>
      <c r="K37" s="15">
        <v>117.36</v>
      </c>
      <c r="L37" s="15">
        <v>117.36</v>
      </c>
      <c r="M37" s="15">
        <v>339.51</v>
      </c>
      <c r="N37" s="15">
        <v>118.14</v>
      </c>
      <c r="O37" t="s">
        <v>75</v>
      </c>
    </row>
    <row r="38" spans="1:15" x14ac:dyDescent="0.25">
      <c r="A38" s="10" t="s">
        <v>168</v>
      </c>
      <c r="B38" s="15">
        <v>114.85</v>
      </c>
      <c r="C38" s="15">
        <v>116.1</v>
      </c>
      <c r="D38" s="15">
        <v>115.92</v>
      </c>
      <c r="E38" s="15">
        <v>113.78</v>
      </c>
      <c r="F38" s="15">
        <v>105.01</v>
      </c>
      <c r="G38" s="15">
        <v>109.78</v>
      </c>
      <c r="H38" s="15">
        <v>166.04</v>
      </c>
      <c r="I38" s="15">
        <v>109.64</v>
      </c>
      <c r="J38" s="15">
        <v>0</v>
      </c>
      <c r="K38" s="15">
        <v>0</v>
      </c>
      <c r="L38" s="15">
        <v>0</v>
      </c>
      <c r="M38" s="15">
        <v>0</v>
      </c>
      <c r="N38" s="15">
        <v>83.27</v>
      </c>
      <c r="O38" t="s">
        <v>75</v>
      </c>
    </row>
    <row r="39" spans="1:15" x14ac:dyDescent="0.25">
      <c r="A39" s="10" t="s">
        <v>170</v>
      </c>
      <c r="B39" s="15">
        <v>178.28</v>
      </c>
      <c r="C39" s="15">
        <v>171.21</v>
      </c>
      <c r="D39" s="15">
        <v>176.68</v>
      </c>
      <c r="E39" s="15">
        <v>469</v>
      </c>
      <c r="F39" s="15">
        <v>3.57</v>
      </c>
      <c r="G39" s="15">
        <v>159.9</v>
      </c>
      <c r="H39" s="15">
        <v>233.48</v>
      </c>
      <c r="I39" s="15">
        <v>203.52</v>
      </c>
      <c r="J39" s="15">
        <v>177.03</v>
      </c>
      <c r="K39" s="15">
        <v>307.89</v>
      </c>
      <c r="L39" s="15">
        <v>190.84</v>
      </c>
      <c r="M39" s="15">
        <v>186.39</v>
      </c>
      <c r="N39" s="15">
        <v>193.03</v>
      </c>
      <c r="O39" t="s">
        <v>75</v>
      </c>
    </row>
    <row r="40" spans="1:15" x14ac:dyDescent="0.25">
      <c r="A40" s="10" t="s">
        <v>172</v>
      </c>
      <c r="B40" s="15">
        <v>104.08</v>
      </c>
      <c r="C40" s="15">
        <v>83.6</v>
      </c>
      <c r="D40" s="15">
        <v>111.1</v>
      </c>
      <c r="E40" s="15">
        <v>83.9</v>
      </c>
      <c r="F40" s="15">
        <v>96.04</v>
      </c>
      <c r="G40" s="15">
        <v>144.13</v>
      </c>
      <c r="H40" s="15">
        <v>145.77000000000001</v>
      </c>
      <c r="I40" s="15">
        <v>109.19</v>
      </c>
      <c r="J40" s="15">
        <v>92.88</v>
      </c>
      <c r="K40" s="15">
        <v>92.88</v>
      </c>
      <c r="L40" s="15">
        <v>92.88</v>
      </c>
      <c r="M40" s="15">
        <v>101.58</v>
      </c>
      <c r="N40" s="15">
        <v>100.02</v>
      </c>
      <c r="O40" t="s">
        <v>75</v>
      </c>
    </row>
    <row r="41" spans="1:15" x14ac:dyDescent="0.25">
      <c r="A41" s="10" t="s">
        <v>174</v>
      </c>
      <c r="B41" s="15">
        <v>105.76</v>
      </c>
      <c r="C41" s="15">
        <v>105.76</v>
      </c>
      <c r="D41" s="15">
        <v>107.7</v>
      </c>
      <c r="E41" s="15">
        <v>276.70999999999998</v>
      </c>
      <c r="F41" s="15">
        <v>52.2</v>
      </c>
      <c r="G41" s="15">
        <v>120.64</v>
      </c>
      <c r="H41" s="15">
        <v>202.36</v>
      </c>
      <c r="I41" s="15">
        <v>184.16</v>
      </c>
      <c r="J41" s="15">
        <v>150.75</v>
      </c>
      <c r="K41" s="15">
        <v>150.75</v>
      </c>
      <c r="L41" s="15">
        <v>150.75</v>
      </c>
      <c r="M41" s="15">
        <v>322.83999999999997</v>
      </c>
      <c r="N41" s="15">
        <v>151.91999999999999</v>
      </c>
      <c r="O41" t="s">
        <v>75</v>
      </c>
    </row>
    <row r="42" spans="1:15" x14ac:dyDescent="0.25">
      <c r="A42" s="10" t="s">
        <v>176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570.88</v>
      </c>
      <c r="M42" s="15">
        <v>221.42</v>
      </c>
      <c r="N42" s="15">
        <v>35.15</v>
      </c>
      <c r="O42" t="s">
        <v>75</v>
      </c>
    </row>
    <row r="43" spans="1:15" x14ac:dyDescent="0.25">
      <c r="A43" s="10" t="s">
        <v>178</v>
      </c>
      <c r="B43" s="15">
        <v>105.68</v>
      </c>
      <c r="C43" s="15">
        <v>105.68</v>
      </c>
      <c r="D43" s="15">
        <v>106.22</v>
      </c>
      <c r="E43" s="15">
        <v>105.86</v>
      </c>
      <c r="F43" s="15">
        <v>165.37</v>
      </c>
      <c r="G43" s="15">
        <v>116.18</v>
      </c>
      <c r="H43" s="15">
        <v>367.56</v>
      </c>
      <c r="I43" s="15">
        <v>26.28</v>
      </c>
      <c r="J43" s="15">
        <v>117.36</v>
      </c>
      <c r="K43" s="15">
        <v>117.36</v>
      </c>
      <c r="L43" s="15">
        <v>183.64</v>
      </c>
      <c r="M43" s="15">
        <v>154.4</v>
      </c>
      <c r="N43" s="15">
        <v>142.24</v>
      </c>
      <c r="O43" t="s">
        <v>75</v>
      </c>
    </row>
    <row r="44" spans="1:15" x14ac:dyDescent="0.25">
      <c r="A44" s="10" t="s">
        <v>180</v>
      </c>
      <c r="B44" s="15">
        <v>80.459999999999994</v>
      </c>
      <c r="C44" s="15">
        <v>80.62</v>
      </c>
      <c r="D44" s="15">
        <v>80.52</v>
      </c>
      <c r="E44" s="15">
        <v>79.14</v>
      </c>
      <c r="F44" s="15">
        <v>75.59</v>
      </c>
      <c r="G44" s="15">
        <v>76.55</v>
      </c>
      <c r="H44" s="15">
        <v>104.42</v>
      </c>
      <c r="I44" s="15">
        <v>102.8</v>
      </c>
      <c r="J44" s="15">
        <v>84.88</v>
      </c>
      <c r="K44" s="15">
        <v>84.86</v>
      </c>
      <c r="L44" s="15">
        <v>134.59</v>
      </c>
      <c r="M44" s="15">
        <v>66.239999999999995</v>
      </c>
      <c r="N44" s="15">
        <v>85.82</v>
      </c>
      <c r="O44" t="s">
        <v>75</v>
      </c>
    </row>
    <row r="45" spans="1:15" x14ac:dyDescent="0.25">
      <c r="A45" s="10" t="s">
        <v>182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90.43</v>
      </c>
      <c r="I45" s="15">
        <v>100.48</v>
      </c>
      <c r="J45" s="15">
        <v>117.36</v>
      </c>
      <c r="K45" s="15">
        <v>144.26</v>
      </c>
      <c r="L45" s="15">
        <v>162.38</v>
      </c>
      <c r="M45" s="15">
        <v>154.47</v>
      </c>
      <c r="N45" s="15">
        <v>61.83</v>
      </c>
      <c r="O45" t="s">
        <v>75</v>
      </c>
    </row>
    <row r="46" spans="1:15" x14ac:dyDescent="0.25">
      <c r="A46" s="10" t="s">
        <v>184</v>
      </c>
      <c r="B46" s="15">
        <v>224</v>
      </c>
      <c r="C46" s="15">
        <v>373.32</v>
      </c>
      <c r="D46" s="15">
        <v>477.6</v>
      </c>
      <c r="E46" s="15">
        <v>373.32</v>
      </c>
      <c r="F46" s="15">
        <v>385.82</v>
      </c>
      <c r="G46" s="15">
        <v>373.32</v>
      </c>
      <c r="H46" s="15">
        <v>512.73</v>
      </c>
      <c r="I46" s="15">
        <v>494.97</v>
      </c>
      <c r="J46" s="15">
        <v>443.08</v>
      </c>
      <c r="K46" s="15">
        <v>414.67</v>
      </c>
      <c r="L46" s="15">
        <v>538.58000000000004</v>
      </c>
      <c r="M46" s="15">
        <v>414.67</v>
      </c>
      <c r="N46" s="15">
        <v>429.08</v>
      </c>
      <c r="O46" t="s">
        <v>75</v>
      </c>
    </row>
    <row r="47" spans="1:15" x14ac:dyDescent="0.25">
      <c r="A47" s="10" t="s">
        <v>186</v>
      </c>
      <c r="B47" s="15">
        <v>140.57</v>
      </c>
      <c r="C47" s="15">
        <v>148.51</v>
      </c>
      <c r="D47" s="15">
        <v>144.82</v>
      </c>
      <c r="E47" s="15">
        <v>155.38</v>
      </c>
      <c r="F47" s="15">
        <v>121.05</v>
      </c>
      <c r="G47" s="15">
        <v>123.73</v>
      </c>
      <c r="H47" s="15">
        <v>188.21</v>
      </c>
      <c r="I47" s="15">
        <v>184.19</v>
      </c>
      <c r="J47" s="15">
        <v>74.97</v>
      </c>
      <c r="K47" s="15">
        <v>0</v>
      </c>
      <c r="L47" s="15">
        <v>0</v>
      </c>
      <c r="M47" s="15">
        <v>0</v>
      </c>
      <c r="N47" s="15">
        <v>106.02</v>
      </c>
      <c r="O47" t="s">
        <v>75</v>
      </c>
    </row>
    <row r="48" spans="1:15" x14ac:dyDescent="0.25">
      <c r="A48" s="10" t="s">
        <v>188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75.06</v>
      </c>
      <c r="I48" s="15">
        <v>91.21</v>
      </c>
      <c r="J48" s="15">
        <v>84.7</v>
      </c>
      <c r="K48" s="15">
        <v>84.27</v>
      </c>
      <c r="L48" s="15">
        <v>84.55</v>
      </c>
      <c r="M48" s="15">
        <v>84.58</v>
      </c>
      <c r="N48" s="15">
        <v>42.5</v>
      </c>
      <c r="O48" t="s">
        <v>75</v>
      </c>
    </row>
    <row r="49" spans="1:15" x14ac:dyDescent="0.25">
      <c r="A49" s="10" t="s">
        <v>190</v>
      </c>
      <c r="B49" s="15">
        <v>0</v>
      </c>
      <c r="C49" s="15">
        <v>0</v>
      </c>
      <c r="D49" s="15">
        <v>0</v>
      </c>
      <c r="E49" s="15">
        <v>26.92</v>
      </c>
      <c r="F49" s="15">
        <v>95.71</v>
      </c>
      <c r="G49" s="15">
        <v>73.44</v>
      </c>
      <c r="H49" s="15">
        <v>104.48</v>
      </c>
      <c r="I49" s="15">
        <v>92.46</v>
      </c>
      <c r="J49" s="15">
        <v>81.599999999999994</v>
      </c>
      <c r="K49" s="15">
        <v>90.44</v>
      </c>
      <c r="L49" s="15">
        <v>122.99</v>
      </c>
      <c r="M49" s="15">
        <v>98.7</v>
      </c>
      <c r="N49" s="15">
        <v>61.61</v>
      </c>
      <c r="O49" t="s">
        <v>75</v>
      </c>
    </row>
    <row r="50" spans="1:15" x14ac:dyDescent="0.25">
      <c r="A50" s="10" t="s">
        <v>192</v>
      </c>
      <c r="B50" s="15">
        <v>102.36</v>
      </c>
      <c r="C50" s="15">
        <v>101.87</v>
      </c>
      <c r="D50" s="15">
        <v>108.77</v>
      </c>
      <c r="E50" s="15">
        <v>99.81</v>
      </c>
      <c r="F50" s="15">
        <v>97.24</v>
      </c>
      <c r="G50" s="15">
        <v>97.59</v>
      </c>
      <c r="H50" s="15">
        <v>148.68</v>
      </c>
      <c r="I50" s="15">
        <v>144.69</v>
      </c>
      <c r="J50" s="15">
        <v>108.27</v>
      </c>
      <c r="K50" s="15">
        <v>107.91</v>
      </c>
      <c r="L50" s="15">
        <v>108.02</v>
      </c>
      <c r="M50" s="15">
        <v>280.69</v>
      </c>
      <c r="N50" s="15">
        <v>110.14</v>
      </c>
      <c r="O50" t="s">
        <v>75</v>
      </c>
    </row>
    <row r="51" spans="1:15" x14ac:dyDescent="0.25">
      <c r="A51" s="10" t="s">
        <v>194</v>
      </c>
      <c r="B51" s="15">
        <v>158</v>
      </c>
      <c r="C51" s="15">
        <v>70.239999999999995</v>
      </c>
      <c r="D51" s="15">
        <v>102.21</v>
      </c>
      <c r="E51" s="15">
        <v>99.28</v>
      </c>
      <c r="F51" s="15">
        <v>97.3</v>
      </c>
      <c r="G51" s="15">
        <v>97.35</v>
      </c>
      <c r="H51" s="15">
        <v>147.38</v>
      </c>
      <c r="I51" s="15">
        <v>145.22</v>
      </c>
      <c r="J51" s="15">
        <v>108.5</v>
      </c>
      <c r="K51" s="15">
        <v>108.28</v>
      </c>
      <c r="L51" s="15">
        <v>108.08</v>
      </c>
      <c r="M51" s="15">
        <v>114.91</v>
      </c>
      <c r="N51" s="15">
        <v>108.89</v>
      </c>
      <c r="O51" t="s">
        <v>75</v>
      </c>
    </row>
    <row r="52" spans="1:15" x14ac:dyDescent="0.25">
      <c r="A52" s="10" t="s">
        <v>196</v>
      </c>
      <c r="B52" s="15">
        <v>0</v>
      </c>
      <c r="C52" s="15">
        <v>0</v>
      </c>
      <c r="D52" s="15">
        <v>0</v>
      </c>
      <c r="E52" s="15">
        <v>0</v>
      </c>
      <c r="F52" s="15">
        <v>60.37</v>
      </c>
      <c r="G52" s="15">
        <v>73.44</v>
      </c>
      <c r="H52" s="15">
        <v>90.28</v>
      </c>
      <c r="I52" s="15">
        <v>89.55</v>
      </c>
      <c r="J52" s="15">
        <v>81.599999999999994</v>
      </c>
      <c r="K52" s="15">
        <v>81.599999999999994</v>
      </c>
      <c r="L52" s="15">
        <v>81.599999999999994</v>
      </c>
      <c r="M52" s="15">
        <v>81.599999999999994</v>
      </c>
      <c r="N52" s="15">
        <v>55.05</v>
      </c>
      <c r="O52" t="s">
        <v>75</v>
      </c>
    </row>
    <row r="53" spans="1:15" x14ac:dyDescent="0.25">
      <c r="A53" s="10" t="s">
        <v>198</v>
      </c>
      <c r="B53" s="15">
        <v>0</v>
      </c>
      <c r="C53" s="15">
        <v>0</v>
      </c>
      <c r="D53" s="15">
        <v>0</v>
      </c>
      <c r="E53" s="15">
        <v>26.92</v>
      </c>
      <c r="F53" s="15">
        <v>98.43</v>
      </c>
      <c r="G53" s="15">
        <v>74.95</v>
      </c>
      <c r="H53" s="15">
        <v>120.21</v>
      </c>
      <c r="I53" s="15">
        <v>92.46</v>
      </c>
      <c r="J53" s="15">
        <v>85.17</v>
      </c>
      <c r="K53" s="15">
        <v>84.01</v>
      </c>
      <c r="L53" s="15">
        <v>107.56</v>
      </c>
      <c r="M53" s="15">
        <v>94.39</v>
      </c>
      <c r="N53" s="15">
        <v>61.78</v>
      </c>
      <c r="O53" t="s">
        <v>75</v>
      </c>
    </row>
    <row r="54" spans="1:15" x14ac:dyDescent="0.25">
      <c r="A54" s="10" t="s">
        <v>202</v>
      </c>
      <c r="B54" s="15">
        <v>316.58</v>
      </c>
      <c r="C54" s="15">
        <v>293.89999999999998</v>
      </c>
      <c r="D54" s="15">
        <v>331.05</v>
      </c>
      <c r="E54" s="15">
        <v>296.45999999999998</v>
      </c>
      <c r="F54" s="15">
        <v>317.8</v>
      </c>
      <c r="G54" s="15">
        <v>310.08</v>
      </c>
      <c r="H54" s="15">
        <v>416.21</v>
      </c>
      <c r="I54" s="15">
        <v>625.20000000000005</v>
      </c>
      <c r="J54" s="15">
        <v>102.71</v>
      </c>
      <c r="K54" s="15">
        <v>0</v>
      </c>
      <c r="L54" s="15">
        <v>0</v>
      </c>
      <c r="M54" s="15">
        <v>0</v>
      </c>
      <c r="N54" s="15">
        <v>209.5</v>
      </c>
      <c r="O54" t="s">
        <v>75</v>
      </c>
    </row>
    <row r="55" spans="1:15" x14ac:dyDescent="0.25">
      <c r="A55" s="10" t="s">
        <v>204</v>
      </c>
      <c r="B55" s="15">
        <v>101.71</v>
      </c>
      <c r="C55" s="15">
        <v>100.46</v>
      </c>
      <c r="D55" s="15">
        <v>105.78</v>
      </c>
      <c r="E55" s="15">
        <v>99.41</v>
      </c>
      <c r="F55" s="15">
        <v>97.48</v>
      </c>
      <c r="G55" s="15">
        <v>188.89</v>
      </c>
      <c r="H55" s="15">
        <v>90.09</v>
      </c>
      <c r="I55" s="15">
        <v>144.03</v>
      </c>
      <c r="J55" s="15">
        <v>108.15</v>
      </c>
      <c r="K55" s="15">
        <v>108.14</v>
      </c>
      <c r="L55" s="15">
        <v>107.79</v>
      </c>
      <c r="M55" s="15">
        <v>108.34</v>
      </c>
      <c r="N55" s="15">
        <v>109.38</v>
      </c>
      <c r="O55" t="s">
        <v>75</v>
      </c>
    </row>
    <row r="56" spans="1:15" x14ac:dyDescent="0.25">
      <c r="A56" s="10" t="s">
        <v>206</v>
      </c>
      <c r="B56" s="15">
        <v>149.02000000000001</v>
      </c>
      <c r="C56" s="15">
        <v>124.25</v>
      </c>
      <c r="D56" s="15">
        <v>262.56</v>
      </c>
      <c r="E56" s="15">
        <v>83.88</v>
      </c>
      <c r="F56" s="15">
        <v>144.66999999999999</v>
      </c>
      <c r="G56" s="15">
        <v>124.25</v>
      </c>
      <c r="H56" s="15">
        <v>202.36</v>
      </c>
      <c r="I56" s="15">
        <v>177.81</v>
      </c>
      <c r="J56" s="15">
        <v>155.27000000000001</v>
      </c>
      <c r="K56" s="15">
        <v>155.27000000000001</v>
      </c>
      <c r="L56" s="15">
        <v>155.27000000000001</v>
      </c>
      <c r="M56" s="15">
        <v>155.27000000000001</v>
      </c>
      <c r="N56" s="15">
        <v>157.34</v>
      </c>
      <c r="O56" t="s">
        <v>75</v>
      </c>
    </row>
    <row r="57" spans="1:15" x14ac:dyDescent="0.25">
      <c r="A57" s="10" t="s">
        <v>208</v>
      </c>
      <c r="B57" s="15">
        <v>3.87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  <c r="O57" t="s">
        <v>75</v>
      </c>
    </row>
    <row r="58" spans="1:15" x14ac:dyDescent="0.25">
      <c r="A58" s="10" t="s">
        <v>210</v>
      </c>
      <c r="B58" s="15">
        <v>73.44</v>
      </c>
      <c r="C58" s="15">
        <v>44.06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12.24</v>
      </c>
      <c r="O58" t="s">
        <v>75</v>
      </c>
    </row>
    <row r="59" spans="1:15" x14ac:dyDescent="0.25">
      <c r="A59" s="10" t="s">
        <v>212</v>
      </c>
      <c r="B59" s="15">
        <v>570.88</v>
      </c>
      <c r="C59" s="15">
        <v>570.88</v>
      </c>
      <c r="D59" s="15">
        <v>570.88</v>
      </c>
      <c r="E59" s="15">
        <v>570.88</v>
      </c>
      <c r="F59" s="15">
        <v>570.88</v>
      </c>
      <c r="G59" s="15">
        <v>875.34</v>
      </c>
      <c r="H59" s="15">
        <v>266.42</v>
      </c>
      <c r="I59" s="15">
        <v>570.88</v>
      </c>
      <c r="J59" s="15">
        <v>407.86</v>
      </c>
      <c r="K59" s="15">
        <v>0</v>
      </c>
      <c r="L59" s="15">
        <v>0</v>
      </c>
      <c r="M59" s="15">
        <v>0</v>
      </c>
      <c r="N59" s="15">
        <v>570.88</v>
      </c>
      <c r="O59" t="s">
        <v>75</v>
      </c>
    </row>
    <row r="60" spans="1:15" x14ac:dyDescent="0.25">
      <c r="A60" s="10" t="s">
        <v>214</v>
      </c>
      <c r="B60" s="15">
        <v>151.16999999999999</v>
      </c>
      <c r="C60" s="15">
        <v>152.54</v>
      </c>
      <c r="D60" s="15">
        <v>151.83000000000001</v>
      </c>
      <c r="E60" s="15">
        <v>141.69</v>
      </c>
      <c r="F60" s="15">
        <v>124.25</v>
      </c>
      <c r="G60" s="15">
        <v>124.25</v>
      </c>
      <c r="H60" s="15">
        <v>188.68</v>
      </c>
      <c r="I60" s="15">
        <v>185.33</v>
      </c>
      <c r="J60" s="15">
        <v>210.1</v>
      </c>
      <c r="K60" s="15">
        <v>155.27000000000001</v>
      </c>
      <c r="L60" s="15">
        <v>155.27000000000001</v>
      </c>
      <c r="M60" s="15">
        <v>181.32</v>
      </c>
      <c r="N60" s="15">
        <v>158.94999999999999</v>
      </c>
      <c r="O60" t="s">
        <v>75</v>
      </c>
    </row>
    <row r="61" spans="1:15" x14ac:dyDescent="0.25">
      <c r="A61" s="10" t="s">
        <v>216</v>
      </c>
      <c r="B61" s="15">
        <v>144.15</v>
      </c>
      <c r="C61" s="15">
        <v>144.71</v>
      </c>
      <c r="D61" s="15">
        <v>147.38999999999999</v>
      </c>
      <c r="E61" s="15">
        <v>144.66</v>
      </c>
      <c r="F61" s="15">
        <v>151.94</v>
      </c>
      <c r="G61" s="15">
        <v>150.52000000000001</v>
      </c>
      <c r="H61" s="15">
        <v>205.83</v>
      </c>
      <c r="I61" s="15">
        <v>196.92</v>
      </c>
      <c r="J61" s="15">
        <v>164.31</v>
      </c>
      <c r="K61" s="15">
        <v>164.31</v>
      </c>
      <c r="L61" s="15">
        <v>166.5</v>
      </c>
      <c r="M61" s="15">
        <v>389.68</v>
      </c>
      <c r="N61" s="15">
        <v>166.53</v>
      </c>
      <c r="O61" t="s">
        <v>75</v>
      </c>
    </row>
    <row r="62" spans="1:15" x14ac:dyDescent="0.25">
      <c r="A62" s="10" t="s">
        <v>218</v>
      </c>
      <c r="B62" s="15">
        <v>537.16999999999996</v>
      </c>
      <c r="C62" s="15">
        <v>537.16999999999996</v>
      </c>
      <c r="D62" s="15">
        <v>537.16999999999996</v>
      </c>
      <c r="E62" s="15">
        <v>818.26</v>
      </c>
      <c r="F62" s="15">
        <v>323.5</v>
      </c>
      <c r="G62" s="15">
        <v>537.16999999999996</v>
      </c>
      <c r="H62" s="15">
        <v>570.88</v>
      </c>
      <c r="I62" s="15">
        <v>570.88</v>
      </c>
      <c r="J62" s="15">
        <v>570.88</v>
      </c>
      <c r="K62" s="15">
        <v>570.88</v>
      </c>
      <c r="L62" s="15">
        <v>570.88</v>
      </c>
      <c r="M62" s="15">
        <v>570.88</v>
      </c>
      <c r="N62" s="15">
        <v>570.88</v>
      </c>
      <c r="O62" t="s">
        <v>75</v>
      </c>
    </row>
    <row r="63" spans="1:15" x14ac:dyDescent="0.25">
      <c r="A63" s="10" t="s">
        <v>220</v>
      </c>
      <c r="B63" s="15">
        <v>80.53</v>
      </c>
      <c r="C63" s="15">
        <v>79.75</v>
      </c>
      <c r="D63" s="15">
        <v>80.86</v>
      </c>
      <c r="E63" s="15">
        <v>78.930000000000007</v>
      </c>
      <c r="F63" s="15">
        <v>76.75</v>
      </c>
      <c r="G63" s="15">
        <v>76.45</v>
      </c>
      <c r="H63" s="15">
        <v>105.77</v>
      </c>
      <c r="I63" s="15">
        <v>102.74</v>
      </c>
      <c r="J63" s="15">
        <v>84.44</v>
      </c>
      <c r="K63" s="15">
        <v>84.96</v>
      </c>
      <c r="L63" s="15">
        <v>84.95</v>
      </c>
      <c r="M63" s="15">
        <v>201.88</v>
      </c>
      <c r="N63" s="15">
        <v>86.08</v>
      </c>
      <c r="O63" t="s">
        <v>75</v>
      </c>
    </row>
    <row r="64" spans="1:15" x14ac:dyDescent="0.25">
      <c r="A64" s="10" t="s">
        <v>222</v>
      </c>
      <c r="B64" s="15">
        <v>232.64</v>
      </c>
      <c r="C64" s="15">
        <v>212.61</v>
      </c>
      <c r="D64" s="15">
        <v>306.01</v>
      </c>
      <c r="E64" s="15">
        <v>441.25</v>
      </c>
      <c r="F64" s="15">
        <v>101.33</v>
      </c>
      <c r="G64" s="15">
        <v>316.89999999999998</v>
      </c>
      <c r="H64" s="15">
        <v>387.17</v>
      </c>
      <c r="I64" s="15">
        <v>332.37</v>
      </c>
      <c r="J64" s="15">
        <v>320.61</v>
      </c>
      <c r="K64" s="15">
        <v>328.83</v>
      </c>
      <c r="L64" s="15">
        <v>29.13</v>
      </c>
      <c r="M64" s="15">
        <v>0</v>
      </c>
      <c r="N64" s="15">
        <v>201.9</v>
      </c>
      <c r="O64" t="s">
        <v>75</v>
      </c>
    </row>
    <row r="65" spans="1:15" x14ac:dyDescent="0.25">
      <c r="A65" s="10" t="s">
        <v>224</v>
      </c>
      <c r="B65" s="15">
        <v>70.989999999999995</v>
      </c>
      <c r="C65" s="15">
        <v>61.2</v>
      </c>
      <c r="D65" s="15">
        <v>70.989999999999995</v>
      </c>
      <c r="E65" s="15">
        <v>73.44</v>
      </c>
      <c r="F65" s="15">
        <v>70.989999999999995</v>
      </c>
      <c r="G65" s="15">
        <v>151.77000000000001</v>
      </c>
      <c r="H65" s="15">
        <v>40.799999999999997</v>
      </c>
      <c r="I65" s="15">
        <v>65.28</v>
      </c>
      <c r="J65" s="15">
        <v>0</v>
      </c>
      <c r="K65" s="15">
        <v>0</v>
      </c>
      <c r="L65" s="15">
        <v>0</v>
      </c>
      <c r="M65" s="15">
        <v>0</v>
      </c>
      <c r="N65" s="15">
        <v>54.4</v>
      </c>
      <c r="O65" t="s">
        <v>75</v>
      </c>
    </row>
    <row r="66" spans="1:15" x14ac:dyDescent="0.25">
      <c r="A66" s="10" t="s">
        <v>226</v>
      </c>
      <c r="B66" s="15">
        <v>152.66</v>
      </c>
      <c r="C66" s="15">
        <v>124.1</v>
      </c>
      <c r="D66" s="15">
        <v>120.64</v>
      </c>
      <c r="E66" s="15">
        <v>120.64</v>
      </c>
      <c r="F66" s="15">
        <v>120.64</v>
      </c>
      <c r="G66" s="15">
        <v>209.84</v>
      </c>
      <c r="H66" s="15">
        <v>170.04</v>
      </c>
      <c r="I66" s="15">
        <v>186.89</v>
      </c>
      <c r="J66" s="15">
        <v>164.87</v>
      </c>
      <c r="K66" s="15">
        <v>163.97</v>
      </c>
      <c r="L66" s="15">
        <v>165.74</v>
      </c>
      <c r="M66" s="15">
        <v>167.77</v>
      </c>
      <c r="N66" s="15">
        <v>157.19999999999999</v>
      </c>
      <c r="O66" t="s">
        <v>75</v>
      </c>
    </row>
    <row r="67" spans="1:15" x14ac:dyDescent="0.25">
      <c r="A67" s="10" t="s">
        <v>228</v>
      </c>
      <c r="B67" s="15">
        <v>140.35</v>
      </c>
      <c r="C67" s="15">
        <v>111.2</v>
      </c>
      <c r="D67" s="15">
        <v>111.2</v>
      </c>
      <c r="E67" s="15">
        <v>111.2</v>
      </c>
      <c r="F67" s="15">
        <v>111.2</v>
      </c>
      <c r="G67" s="15">
        <v>111.2</v>
      </c>
      <c r="H67" s="15">
        <v>166.68</v>
      </c>
      <c r="I67" s="15">
        <v>166.68</v>
      </c>
      <c r="J67" s="15">
        <v>123.52</v>
      </c>
      <c r="K67" s="15">
        <v>123.52</v>
      </c>
      <c r="L67" s="15">
        <v>140.63</v>
      </c>
      <c r="M67" s="15">
        <v>123.52</v>
      </c>
      <c r="N67" s="15">
        <v>140.47999999999999</v>
      </c>
      <c r="O67" t="s">
        <v>75</v>
      </c>
    </row>
    <row r="68" spans="1:15" x14ac:dyDescent="0.25">
      <c r="A68" s="10" t="s">
        <v>230</v>
      </c>
      <c r="B68" s="15">
        <v>232.1</v>
      </c>
      <c r="C68" s="15">
        <v>501.66</v>
      </c>
      <c r="D68" s="15">
        <v>229.93</v>
      </c>
      <c r="E68" s="15">
        <v>232.1</v>
      </c>
      <c r="F68" s="15">
        <v>232.54</v>
      </c>
      <c r="G68" s="15">
        <v>232.1</v>
      </c>
      <c r="H68" s="15">
        <v>379.39</v>
      </c>
      <c r="I68" s="15">
        <v>370.28</v>
      </c>
      <c r="J68" s="15">
        <v>315.05</v>
      </c>
      <c r="K68" s="15">
        <v>315.05</v>
      </c>
      <c r="L68" s="15">
        <v>315.05</v>
      </c>
      <c r="M68" s="15">
        <v>315.05</v>
      </c>
      <c r="N68" s="15">
        <v>317.39999999999998</v>
      </c>
      <c r="O68" t="s">
        <v>75</v>
      </c>
    </row>
    <row r="69" spans="1:15" x14ac:dyDescent="0.25">
      <c r="A69" s="10" t="s">
        <v>232</v>
      </c>
      <c r="B69" s="15">
        <v>79.790000000000006</v>
      </c>
      <c r="C69" s="15">
        <v>80.34</v>
      </c>
      <c r="D69" s="15">
        <v>80.92</v>
      </c>
      <c r="E69" s="15">
        <v>79.099999999999994</v>
      </c>
      <c r="F69" s="15">
        <v>75.900000000000006</v>
      </c>
      <c r="G69" s="15">
        <v>75.94</v>
      </c>
      <c r="H69" s="15">
        <v>105.23</v>
      </c>
      <c r="I69" s="15">
        <v>102.57</v>
      </c>
      <c r="J69" s="15">
        <v>84.5</v>
      </c>
      <c r="K69" s="15">
        <v>84.57</v>
      </c>
      <c r="L69" s="15">
        <v>84.49</v>
      </c>
      <c r="M69" s="15">
        <v>201.42</v>
      </c>
      <c r="N69" s="15">
        <v>85.84</v>
      </c>
      <c r="O69" t="s">
        <v>75</v>
      </c>
    </row>
    <row r="70" spans="1:15" x14ac:dyDescent="0.25">
      <c r="A70" s="10" t="s">
        <v>234</v>
      </c>
      <c r="B70" s="15">
        <v>228.88</v>
      </c>
      <c r="C70" s="15">
        <v>490.86</v>
      </c>
      <c r="D70" s="15">
        <v>570.88</v>
      </c>
      <c r="E70" s="15">
        <v>492.62</v>
      </c>
      <c r="F70" s="15">
        <v>495.4</v>
      </c>
      <c r="G70" s="15">
        <v>492.62</v>
      </c>
      <c r="H70" s="15">
        <v>570.88</v>
      </c>
      <c r="I70" s="15">
        <v>570.88</v>
      </c>
      <c r="J70" s="15">
        <v>547.19000000000005</v>
      </c>
      <c r="K70" s="15">
        <v>554.28</v>
      </c>
      <c r="L70" s="15">
        <v>555.49</v>
      </c>
      <c r="M70" s="15">
        <v>935.44</v>
      </c>
      <c r="N70" s="15">
        <v>564.08000000000004</v>
      </c>
      <c r="O70" t="s">
        <v>75</v>
      </c>
    </row>
    <row r="71" spans="1:15" x14ac:dyDescent="0.25">
      <c r="A71" s="10" t="s">
        <v>236</v>
      </c>
      <c r="B71" s="15">
        <v>171.16</v>
      </c>
      <c r="C71" s="15">
        <v>157.22999999999999</v>
      </c>
      <c r="D71" s="15">
        <v>169.65</v>
      </c>
      <c r="E71" s="15">
        <v>55.9</v>
      </c>
      <c r="F71" s="15">
        <v>0</v>
      </c>
      <c r="G71" s="15">
        <v>0</v>
      </c>
      <c r="H71" s="15">
        <v>0</v>
      </c>
      <c r="I71" s="15">
        <v>22.83</v>
      </c>
      <c r="J71" s="15">
        <v>0</v>
      </c>
      <c r="K71" s="15">
        <v>0</v>
      </c>
      <c r="L71" s="15">
        <v>0</v>
      </c>
      <c r="M71" s="15">
        <v>0</v>
      </c>
      <c r="N71" s="15">
        <v>40.39</v>
      </c>
      <c r="O71" t="s">
        <v>75</v>
      </c>
    </row>
    <row r="72" spans="1:15" x14ac:dyDescent="0.25">
      <c r="A72" s="10" t="s">
        <v>238</v>
      </c>
      <c r="B72" s="15">
        <v>7.03</v>
      </c>
      <c r="C72" s="15">
        <v>87.36</v>
      </c>
      <c r="D72" s="15">
        <v>93.6</v>
      </c>
      <c r="E72" s="15">
        <v>46.8</v>
      </c>
      <c r="F72" s="15">
        <v>0</v>
      </c>
      <c r="G72" s="15">
        <v>0</v>
      </c>
      <c r="H72" s="15">
        <v>0</v>
      </c>
      <c r="I72" s="15">
        <v>15.6</v>
      </c>
      <c r="J72" s="15">
        <v>0</v>
      </c>
      <c r="K72" s="15">
        <v>0</v>
      </c>
      <c r="L72" s="15">
        <v>0</v>
      </c>
      <c r="M72" s="15">
        <v>0</v>
      </c>
      <c r="N72" s="15">
        <v>34.659999999999997</v>
      </c>
      <c r="O72" t="s">
        <v>75</v>
      </c>
    </row>
    <row r="73" spans="1:15" x14ac:dyDescent="0.25">
      <c r="A73" s="10" t="s">
        <v>242</v>
      </c>
      <c r="B73" s="15">
        <v>73.44</v>
      </c>
      <c r="C73" s="15">
        <v>73.44</v>
      </c>
      <c r="D73" s="15">
        <v>73.44</v>
      </c>
      <c r="E73" s="15">
        <v>73.44</v>
      </c>
      <c r="F73" s="15">
        <v>73.44</v>
      </c>
      <c r="G73" s="15">
        <v>73.44</v>
      </c>
      <c r="H73" s="15">
        <v>99.96</v>
      </c>
      <c r="I73" s="15">
        <v>99.96</v>
      </c>
      <c r="J73" s="15">
        <v>81.599999999999994</v>
      </c>
      <c r="K73" s="15">
        <v>81.599999999999994</v>
      </c>
      <c r="L73" s="15">
        <v>81.599999999999994</v>
      </c>
      <c r="M73" s="15">
        <v>144.11000000000001</v>
      </c>
      <c r="N73" s="15">
        <v>81.599999999999994</v>
      </c>
      <c r="O73" t="s">
        <v>75</v>
      </c>
    </row>
    <row r="74" spans="1:15" x14ac:dyDescent="0.25">
      <c r="A74" s="10" t="s">
        <v>244</v>
      </c>
      <c r="B74" s="15">
        <v>105.76</v>
      </c>
      <c r="C74" s="15">
        <v>105.76</v>
      </c>
      <c r="D74" s="15">
        <v>105.76</v>
      </c>
      <c r="E74" s="15">
        <v>105.76</v>
      </c>
      <c r="F74" s="15">
        <v>105.76</v>
      </c>
      <c r="G74" s="15">
        <v>206.36</v>
      </c>
      <c r="H74" s="15">
        <v>139.19</v>
      </c>
      <c r="I74" s="15">
        <v>153.80000000000001</v>
      </c>
      <c r="J74" s="15">
        <v>120.96</v>
      </c>
      <c r="K74" s="15">
        <v>120.96</v>
      </c>
      <c r="L74" s="15">
        <v>210.58</v>
      </c>
      <c r="M74" s="15">
        <v>108.86</v>
      </c>
      <c r="N74" s="15">
        <v>120.96</v>
      </c>
      <c r="O74" t="s">
        <v>75</v>
      </c>
    </row>
    <row r="75" spans="1:15" x14ac:dyDescent="0.25">
      <c r="A75" s="10" t="s">
        <v>246</v>
      </c>
      <c r="B75" s="15">
        <v>93.6</v>
      </c>
      <c r="C75" s="15">
        <v>93.6</v>
      </c>
      <c r="D75" s="15">
        <v>93.6</v>
      </c>
      <c r="E75" s="15">
        <v>93.6</v>
      </c>
      <c r="F75" s="15">
        <v>34.32</v>
      </c>
      <c r="G75" s="15">
        <v>0</v>
      </c>
      <c r="H75" s="15">
        <v>0</v>
      </c>
      <c r="I75" s="15">
        <v>24.61</v>
      </c>
      <c r="J75" s="15">
        <v>0</v>
      </c>
      <c r="K75" s="15">
        <v>0</v>
      </c>
      <c r="L75" s="15">
        <v>0</v>
      </c>
      <c r="M75" s="15">
        <v>0</v>
      </c>
      <c r="N75" s="15">
        <v>34.659999999999997</v>
      </c>
      <c r="O75" t="s">
        <v>75</v>
      </c>
    </row>
    <row r="76" spans="1:15" x14ac:dyDescent="0.25">
      <c r="A76" s="10" t="s">
        <v>248</v>
      </c>
      <c r="B76" s="15">
        <v>148.08000000000001</v>
      </c>
      <c r="C76" s="15">
        <v>147.69</v>
      </c>
      <c r="D76" s="15">
        <v>151.25</v>
      </c>
      <c r="E76" s="15">
        <v>145.27000000000001</v>
      </c>
      <c r="F76" s="15">
        <v>140.79</v>
      </c>
      <c r="G76" s="15">
        <v>140.99</v>
      </c>
      <c r="H76" s="15">
        <v>190.11</v>
      </c>
      <c r="I76" s="15">
        <v>186.37</v>
      </c>
      <c r="J76" s="15">
        <v>156.55000000000001</v>
      </c>
      <c r="K76" s="15">
        <v>263.70999999999998</v>
      </c>
      <c r="L76" s="15">
        <v>91.66</v>
      </c>
      <c r="M76" s="15">
        <v>171.32</v>
      </c>
      <c r="N76" s="15">
        <v>158.47</v>
      </c>
      <c r="O76" t="s">
        <v>75</v>
      </c>
    </row>
    <row r="77" spans="1:15" x14ac:dyDescent="0.25">
      <c r="A77" s="10" t="s">
        <v>250</v>
      </c>
      <c r="B77" s="15">
        <v>126.27</v>
      </c>
      <c r="C77" s="15">
        <v>390.55</v>
      </c>
      <c r="D77" s="15">
        <v>471.27</v>
      </c>
      <c r="E77" s="15">
        <v>395</v>
      </c>
      <c r="F77" s="15">
        <v>570.88</v>
      </c>
      <c r="G77" s="15">
        <v>389.18</v>
      </c>
      <c r="H77" s="15">
        <v>570.88</v>
      </c>
      <c r="I77" s="15">
        <v>515.83000000000004</v>
      </c>
      <c r="J77" s="15">
        <v>479.22</v>
      </c>
      <c r="K77" s="15">
        <v>432.23</v>
      </c>
      <c r="L77" s="15">
        <v>469.7</v>
      </c>
      <c r="M77" s="15">
        <v>1003.11</v>
      </c>
      <c r="N77" s="15">
        <v>475.09</v>
      </c>
      <c r="O77" t="s">
        <v>75</v>
      </c>
    </row>
    <row r="78" spans="1:15" x14ac:dyDescent="0.25">
      <c r="A78" s="10" t="s">
        <v>252</v>
      </c>
      <c r="B78" s="15">
        <v>120.64</v>
      </c>
      <c r="C78" s="15">
        <v>250.68</v>
      </c>
      <c r="D78" s="15">
        <v>45.24</v>
      </c>
      <c r="E78" s="15">
        <v>120.64</v>
      </c>
      <c r="F78" s="15">
        <v>120.64</v>
      </c>
      <c r="G78" s="15">
        <v>120.64</v>
      </c>
      <c r="H78" s="15">
        <v>190</v>
      </c>
      <c r="I78" s="15">
        <v>175.79</v>
      </c>
      <c r="J78" s="15">
        <v>150.75</v>
      </c>
      <c r="K78" s="15">
        <v>150.75</v>
      </c>
      <c r="L78" s="15">
        <v>150.75</v>
      </c>
      <c r="M78" s="15">
        <v>363.82</v>
      </c>
      <c r="N78" s="15">
        <v>150.75</v>
      </c>
      <c r="O78" t="s">
        <v>75</v>
      </c>
    </row>
    <row r="79" spans="1:15" x14ac:dyDescent="0.25">
      <c r="A79" s="10" t="s">
        <v>254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118.24</v>
      </c>
      <c r="L79" s="15">
        <v>227.97</v>
      </c>
      <c r="M79" s="15">
        <v>106.92</v>
      </c>
      <c r="N79" s="15">
        <v>29.64</v>
      </c>
      <c r="O79" t="s">
        <v>75</v>
      </c>
    </row>
    <row r="80" spans="1:15" x14ac:dyDescent="0.25">
      <c r="A80" s="10" t="s">
        <v>256</v>
      </c>
      <c r="B80" s="15">
        <v>336.24</v>
      </c>
      <c r="C80" s="15">
        <v>310.60000000000002</v>
      </c>
      <c r="D80" s="15">
        <v>358.79</v>
      </c>
      <c r="E80" s="15">
        <v>308.06</v>
      </c>
      <c r="F80" s="15">
        <v>371.62</v>
      </c>
      <c r="G80" s="15">
        <v>308.06</v>
      </c>
      <c r="H80" s="15">
        <v>495.33</v>
      </c>
      <c r="I80" s="15">
        <v>553.41</v>
      </c>
      <c r="J80" s="15">
        <v>338.61</v>
      </c>
      <c r="K80" s="15">
        <v>342.16</v>
      </c>
      <c r="L80" s="15">
        <v>354.84</v>
      </c>
      <c r="M80" s="15">
        <v>342.16</v>
      </c>
      <c r="N80" s="15">
        <v>368.1</v>
      </c>
      <c r="O80" t="s">
        <v>75</v>
      </c>
    </row>
    <row r="81" spans="1:15" x14ac:dyDescent="0.25">
      <c r="A81" s="10" t="s">
        <v>258</v>
      </c>
      <c r="B81" s="15">
        <v>113.88</v>
      </c>
      <c r="C81" s="15">
        <v>96.36</v>
      </c>
      <c r="D81" s="15">
        <v>108.81</v>
      </c>
      <c r="E81" s="15">
        <v>102.03</v>
      </c>
      <c r="F81" s="15">
        <v>98.9</v>
      </c>
      <c r="G81" s="15">
        <v>91.82</v>
      </c>
      <c r="H81" s="15">
        <v>153.07</v>
      </c>
      <c r="I81" s="15">
        <v>216.98</v>
      </c>
      <c r="J81" s="15">
        <v>79.75</v>
      </c>
      <c r="K81" s="15">
        <v>103.01</v>
      </c>
      <c r="L81" s="15">
        <v>106.38</v>
      </c>
      <c r="M81" s="15">
        <v>109.16</v>
      </c>
      <c r="N81" s="15">
        <v>108.64</v>
      </c>
      <c r="O81" t="s">
        <v>75</v>
      </c>
    </row>
    <row r="82" spans="1:15" x14ac:dyDescent="0.25">
      <c r="A82" s="10" t="s">
        <v>260</v>
      </c>
      <c r="B82" s="15">
        <v>93.6</v>
      </c>
      <c r="C82" s="15">
        <v>93.6</v>
      </c>
      <c r="D82" s="15">
        <v>96.72</v>
      </c>
      <c r="E82" s="15">
        <v>18.72</v>
      </c>
      <c r="F82" s="15">
        <v>0</v>
      </c>
      <c r="G82" s="15">
        <v>0</v>
      </c>
      <c r="H82" s="15">
        <v>6.41</v>
      </c>
      <c r="I82" s="15">
        <v>6.41</v>
      </c>
      <c r="J82" s="15">
        <v>0</v>
      </c>
      <c r="K82" s="15">
        <v>104</v>
      </c>
      <c r="L82" s="15">
        <v>208.58</v>
      </c>
      <c r="M82" s="15">
        <v>83.2</v>
      </c>
      <c r="N82" s="15">
        <v>52.6</v>
      </c>
      <c r="O82" t="s">
        <v>75</v>
      </c>
    </row>
    <row r="83" spans="1:15" x14ac:dyDescent="0.25">
      <c r="A83" s="10" t="s">
        <v>262</v>
      </c>
      <c r="B83" s="15">
        <v>73.44</v>
      </c>
      <c r="C83" s="15">
        <v>73.44</v>
      </c>
      <c r="D83" s="15">
        <v>73.44</v>
      </c>
      <c r="E83" s="15">
        <v>73.44</v>
      </c>
      <c r="F83" s="15">
        <v>73.44</v>
      </c>
      <c r="G83" s="15">
        <v>172.69</v>
      </c>
      <c r="H83" s="15">
        <v>49.92</v>
      </c>
      <c r="I83" s="15">
        <v>94.51</v>
      </c>
      <c r="J83" s="15">
        <v>81.599999999999994</v>
      </c>
      <c r="K83" s="15">
        <v>81.599999999999994</v>
      </c>
      <c r="L83" s="15">
        <v>81.599999999999994</v>
      </c>
      <c r="M83" s="15">
        <v>81.599999999999994</v>
      </c>
      <c r="N83" s="15">
        <v>81.599999999999994</v>
      </c>
      <c r="O83" t="s">
        <v>75</v>
      </c>
    </row>
    <row r="84" spans="1:15" x14ac:dyDescent="0.25">
      <c r="A84" s="10" t="s">
        <v>264</v>
      </c>
      <c r="B84" s="15">
        <v>102.97</v>
      </c>
      <c r="C84" s="15">
        <v>141.9</v>
      </c>
      <c r="D84" s="15">
        <v>89.38</v>
      </c>
      <c r="E84" s="15">
        <v>92.28</v>
      </c>
      <c r="F84" s="15">
        <v>107.06</v>
      </c>
      <c r="G84" s="15">
        <v>92.28</v>
      </c>
      <c r="H84" s="15">
        <v>182.27</v>
      </c>
      <c r="I84" s="15">
        <v>121.51</v>
      </c>
      <c r="J84" s="15">
        <v>110.94</v>
      </c>
      <c r="K84" s="15">
        <v>102.5</v>
      </c>
      <c r="L84" s="15">
        <v>102.69</v>
      </c>
      <c r="M84" s="15">
        <v>102.5</v>
      </c>
      <c r="N84" s="15">
        <v>110.34</v>
      </c>
      <c r="O84" t="s">
        <v>75</v>
      </c>
    </row>
    <row r="85" spans="1:15" x14ac:dyDescent="0.25">
      <c r="A85" s="10" t="s">
        <v>266</v>
      </c>
      <c r="B85" s="15">
        <v>20.100000000000001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t="s">
        <v>75</v>
      </c>
    </row>
    <row r="86" spans="1:15" x14ac:dyDescent="0.25">
      <c r="A86" s="10" t="s">
        <v>268</v>
      </c>
      <c r="B86" s="15">
        <v>175.75</v>
      </c>
      <c r="C86" s="15">
        <v>205.42</v>
      </c>
      <c r="D86" s="15">
        <v>205.42</v>
      </c>
      <c r="E86" s="15">
        <v>205.42</v>
      </c>
      <c r="F86" s="15">
        <v>205.42</v>
      </c>
      <c r="G86" s="15">
        <v>549.13</v>
      </c>
      <c r="H86" s="15">
        <v>94.94</v>
      </c>
      <c r="I86" s="15">
        <v>332.73</v>
      </c>
      <c r="J86" s="15">
        <v>229.34</v>
      </c>
      <c r="K86" s="15">
        <v>228.13</v>
      </c>
      <c r="L86" s="15">
        <v>390.48</v>
      </c>
      <c r="M86" s="15">
        <v>228.13</v>
      </c>
      <c r="N86" s="15">
        <v>288.48</v>
      </c>
      <c r="O86" t="s">
        <v>75</v>
      </c>
    </row>
    <row r="87" spans="1:15" x14ac:dyDescent="0.25">
      <c r="A87" s="10" t="s">
        <v>270</v>
      </c>
      <c r="B87" s="15">
        <v>485.65</v>
      </c>
      <c r="C87" s="15">
        <v>421.02</v>
      </c>
      <c r="D87" s="15">
        <v>507.04</v>
      </c>
      <c r="E87" s="15">
        <v>421.02</v>
      </c>
      <c r="F87" s="15">
        <v>570.88</v>
      </c>
      <c r="G87" s="15">
        <v>421.02</v>
      </c>
      <c r="H87" s="15">
        <v>570.88</v>
      </c>
      <c r="I87" s="15">
        <v>542.92999999999995</v>
      </c>
      <c r="J87" s="15">
        <v>474.74</v>
      </c>
      <c r="K87" s="15">
        <v>467.58</v>
      </c>
      <c r="L87" s="15">
        <v>469.82</v>
      </c>
      <c r="M87" s="15">
        <v>467.58</v>
      </c>
      <c r="N87" s="15">
        <v>500.99</v>
      </c>
      <c r="O87" t="s">
        <v>75</v>
      </c>
    </row>
    <row r="88" spans="1:15" x14ac:dyDescent="0.25">
      <c r="A88" s="10" t="s">
        <v>272</v>
      </c>
      <c r="B88" s="15">
        <v>63.64</v>
      </c>
      <c r="C88" s="15">
        <v>58.75</v>
      </c>
      <c r="D88" s="15">
        <v>15.55</v>
      </c>
      <c r="E88" s="15">
        <v>9.7899999999999991</v>
      </c>
      <c r="F88" s="15">
        <v>24.48</v>
      </c>
      <c r="G88" s="15">
        <v>9.7899999999999991</v>
      </c>
      <c r="H88" s="15">
        <v>0</v>
      </c>
      <c r="I88" s="15">
        <v>29.74</v>
      </c>
      <c r="J88" s="15">
        <v>0</v>
      </c>
      <c r="K88" s="15">
        <v>0</v>
      </c>
      <c r="L88" s="15">
        <v>0</v>
      </c>
      <c r="M88" s="15">
        <v>0</v>
      </c>
      <c r="N88" s="15">
        <v>13.62</v>
      </c>
      <c r="O88" t="s">
        <v>75</v>
      </c>
    </row>
    <row r="89" spans="1:15" x14ac:dyDescent="0.25">
      <c r="A89" s="10" t="s">
        <v>274</v>
      </c>
      <c r="B89" s="15">
        <v>73.44</v>
      </c>
      <c r="C89" s="15">
        <v>73.44</v>
      </c>
      <c r="D89" s="15">
        <v>73.44</v>
      </c>
      <c r="E89" s="15">
        <v>74.569999999999993</v>
      </c>
      <c r="F89" s="15">
        <v>103.85</v>
      </c>
      <c r="G89" s="15">
        <v>91.44</v>
      </c>
      <c r="H89" s="15">
        <v>110.69</v>
      </c>
      <c r="I89" s="15">
        <v>99.96</v>
      </c>
      <c r="J89" s="15">
        <v>81.599999999999994</v>
      </c>
      <c r="K89" s="15">
        <v>87.11</v>
      </c>
      <c r="L89" s="15">
        <v>89.92</v>
      </c>
      <c r="M89" s="15">
        <v>190.41</v>
      </c>
      <c r="N89" s="15">
        <v>88.15</v>
      </c>
      <c r="O89" t="s">
        <v>75</v>
      </c>
    </row>
    <row r="90" spans="1:15" x14ac:dyDescent="0.25">
      <c r="A90" s="10" t="s">
        <v>276</v>
      </c>
      <c r="B90" s="15">
        <v>102.21</v>
      </c>
      <c r="C90" s="15">
        <v>101.2</v>
      </c>
      <c r="D90" s="15">
        <v>101.43</v>
      </c>
      <c r="E90" s="15">
        <v>100.75</v>
      </c>
      <c r="F90" s="15">
        <v>97.23</v>
      </c>
      <c r="G90" s="15">
        <v>97.57</v>
      </c>
      <c r="H90" s="15">
        <v>148.28</v>
      </c>
      <c r="I90" s="15">
        <v>144.47</v>
      </c>
      <c r="J90" s="15">
        <v>107.83</v>
      </c>
      <c r="K90" s="15">
        <v>276.81</v>
      </c>
      <c r="L90" s="15">
        <v>2.38</v>
      </c>
      <c r="M90" s="15">
        <v>106.25</v>
      </c>
      <c r="N90" s="15">
        <v>109.25</v>
      </c>
      <c r="O90" t="s">
        <v>75</v>
      </c>
    </row>
    <row r="91" spans="1:15" x14ac:dyDescent="0.25">
      <c r="A91" s="10" t="s">
        <v>278</v>
      </c>
      <c r="B91" s="15">
        <v>531.52</v>
      </c>
      <c r="C91" s="15">
        <v>36.47</v>
      </c>
      <c r="D91" s="15">
        <v>175.17</v>
      </c>
      <c r="E91" s="15">
        <v>303.97000000000003</v>
      </c>
      <c r="F91" s="15">
        <v>317.54000000000002</v>
      </c>
      <c r="G91" s="15">
        <v>302.54000000000002</v>
      </c>
      <c r="H91" s="15">
        <v>353.56</v>
      </c>
      <c r="I91" s="15">
        <v>331.61</v>
      </c>
      <c r="J91" s="15">
        <v>211.2</v>
      </c>
      <c r="K91" s="15">
        <v>228.77</v>
      </c>
      <c r="L91" s="15">
        <v>29.13</v>
      </c>
      <c r="M91" s="15">
        <v>0</v>
      </c>
      <c r="N91" s="15">
        <v>193.2</v>
      </c>
      <c r="O91" t="s">
        <v>75</v>
      </c>
    </row>
    <row r="92" spans="1:15" x14ac:dyDescent="0.25">
      <c r="A92" s="10" t="s">
        <v>280</v>
      </c>
      <c r="B92" s="15">
        <v>73.44</v>
      </c>
      <c r="C92" s="15">
        <v>70.510000000000005</v>
      </c>
      <c r="D92" s="15">
        <v>73.44</v>
      </c>
      <c r="E92" s="15">
        <v>73.44</v>
      </c>
      <c r="F92" s="15">
        <v>98.29</v>
      </c>
      <c r="G92" s="15">
        <v>111.63</v>
      </c>
      <c r="H92" s="15">
        <v>211.89</v>
      </c>
      <c r="I92" s="15">
        <v>174.42</v>
      </c>
      <c r="J92" s="15">
        <v>124.55</v>
      </c>
      <c r="K92" s="15">
        <v>104</v>
      </c>
      <c r="L92" s="15">
        <v>114.25</v>
      </c>
      <c r="M92" s="15">
        <v>104</v>
      </c>
      <c r="N92" s="15">
        <v>113.75</v>
      </c>
      <c r="O92" t="s">
        <v>75</v>
      </c>
    </row>
    <row r="93" spans="1:15" x14ac:dyDescent="0.25">
      <c r="A93" s="10" t="s">
        <v>282</v>
      </c>
      <c r="B93" s="15">
        <v>39.659999999999997</v>
      </c>
      <c r="C93" s="15">
        <v>105.76</v>
      </c>
      <c r="D93" s="15">
        <v>105.76</v>
      </c>
      <c r="E93" s="15">
        <v>105.76</v>
      </c>
      <c r="F93" s="15">
        <v>105.76</v>
      </c>
      <c r="G93" s="15">
        <v>105.76</v>
      </c>
      <c r="H93" s="15">
        <v>158.4</v>
      </c>
      <c r="I93" s="15">
        <v>158.4</v>
      </c>
      <c r="J93" s="15">
        <v>120.96</v>
      </c>
      <c r="K93" s="15">
        <v>314.04000000000002</v>
      </c>
      <c r="L93" s="15">
        <v>0</v>
      </c>
      <c r="M93" s="15">
        <v>156.99</v>
      </c>
      <c r="N93" s="15">
        <v>120.96</v>
      </c>
      <c r="O93" t="s">
        <v>75</v>
      </c>
    </row>
    <row r="94" spans="1:15" x14ac:dyDescent="0.25">
      <c r="A94" s="10" t="s">
        <v>284</v>
      </c>
      <c r="B94" s="15">
        <v>202.17</v>
      </c>
      <c r="C94" s="15">
        <v>202.17</v>
      </c>
      <c r="D94" s="15">
        <v>221.84</v>
      </c>
      <c r="E94" s="15">
        <v>202.17</v>
      </c>
      <c r="F94" s="15">
        <v>202.17</v>
      </c>
      <c r="G94" s="15">
        <v>202.17</v>
      </c>
      <c r="H94" s="15">
        <v>341.77</v>
      </c>
      <c r="I94" s="15">
        <v>703.05</v>
      </c>
      <c r="J94" s="15">
        <v>0</v>
      </c>
      <c r="K94" s="15">
        <v>224.51</v>
      </c>
      <c r="L94" s="15">
        <v>287.22000000000003</v>
      </c>
      <c r="M94" s="15">
        <v>224.51</v>
      </c>
      <c r="N94" s="15">
        <v>228.02</v>
      </c>
      <c r="O94" t="s">
        <v>75</v>
      </c>
    </row>
    <row r="95" spans="1:15" x14ac:dyDescent="0.25">
      <c r="A95" s="10" t="s">
        <v>286</v>
      </c>
      <c r="B95" s="15">
        <v>88.08</v>
      </c>
      <c r="C95" s="15">
        <v>167.68</v>
      </c>
      <c r="D95" s="15">
        <v>44.04</v>
      </c>
      <c r="E95" s="15">
        <v>88.08</v>
      </c>
      <c r="F95" s="15">
        <v>101.92</v>
      </c>
      <c r="G95" s="15">
        <v>88.08</v>
      </c>
      <c r="H95" s="15">
        <v>122.95</v>
      </c>
      <c r="I95" s="15">
        <v>114.92</v>
      </c>
      <c r="J95" s="15">
        <v>100.88</v>
      </c>
      <c r="K95" s="15">
        <v>97.84</v>
      </c>
      <c r="L95" s="15">
        <v>104.27</v>
      </c>
      <c r="M95" s="15">
        <v>97.84</v>
      </c>
      <c r="N95" s="15">
        <v>100.55</v>
      </c>
      <c r="O95" t="s">
        <v>75</v>
      </c>
    </row>
    <row r="96" spans="1:15" x14ac:dyDescent="0.25">
      <c r="A96" s="10" t="s">
        <v>288</v>
      </c>
      <c r="B96" s="15">
        <v>101.33</v>
      </c>
      <c r="C96" s="15">
        <v>102.62</v>
      </c>
      <c r="D96" s="15">
        <v>107.32</v>
      </c>
      <c r="E96" s="15">
        <v>211.2</v>
      </c>
      <c r="F96" s="15">
        <v>36.619999999999997</v>
      </c>
      <c r="G96" s="15">
        <v>96.56</v>
      </c>
      <c r="H96" s="15">
        <v>155.28</v>
      </c>
      <c r="I96" s="15">
        <v>140.6</v>
      </c>
      <c r="J96" s="15">
        <v>107.99</v>
      </c>
      <c r="K96" s="15">
        <v>107.94</v>
      </c>
      <c r="L96" s="15">
        <v>107.55</v>
      </c>
      <c r="M96" s="15">
        <v>122.97</v>
      </c>
      <c r="N96" s="15">
        <v>109.71</v>
      </c>
      <c r="O96" t="s">
        <v>75</v>
      </c>
    </row>
    <row r="97" spans="1:15" x14ac:dyDescent="0.25">
      <c r="A97" s="10" t="s">
        <v>290</v>
      </c>
      <c r="B97" s="15">
        <v>311.45999999999998</v>
      </c>
      <c r="C97" s="15">
        <v>311.45999999999998</v>
      </c>
      <c r="D97" s="15">
        <v>361.75</v>
      </c>
      <c r="E97" s="15">
        <v>311.45999999999998</v>
      </c>
      <c r="F97" s="15">
        <v>467.39</v>
      </c>
      <c r="G97" s="15">
        <v>311.45999999999998</v>
      </c>
      <c r="H97" s="15">
        <v>470.42</v>
      </c>
      <c r="I97" s="15">
        <v>412.78</v>
      </c>
      <c r="J97" s="15">
        <v>351.85</v>
      </c>
      <c r="K97" s="15">
        <v>345.9</v>
      </c>
      <c r="L97" s="15">
        <v>474.06</v>
      </c>
      <c r="M97" s="15">
        <v>311.31</v>
      </c>
      <c r="N97" s="15">
        <v>370.74</v>
      </c>
      <c r="O97" t="s">
        <v>75</v>
      </c>
    </row>
    <row r="98" spans="1:15" x14ac:dyDescent="0.25">
      <c r="A98" s="10" t="s">
        <v>292</v>
      </c>
      <c r="B98" s="15">
        <v>73.44</v>
      </c>
      <c r="C98" s="15">
        <v>73.44</v>
      </c>
      <c r="D98" s="15">
        <v>80.599999999999994</v>
      </c>
      <c r="E98" s="15">
        <v>73.44</v>
      </c>
      <c r="F98" s="15">
        <v>75.11</v>
      </c>
      <c r="G98" s="15">
        <v>76.14</v>
      </c>
      <c r="H98" s="15">
        <v>104.38</v>
      </c>
      <c r="I98" s="15">
        <v>103.01</v>
      </c>
      <c r="J98" s="15">
        <v>84.73</v>
      </c>
      <c r="K98" s="15">
        <v>158.94999999999999</v>
      </c>
      <c r="L98" s="15">
        <v>28.76</v>
      </c>
      <c r="M98" s="15">
        <v>91.54</v>
      </c>
      <c r="N98" s="15">
        <v>83.92</v>
      </c>
      <c r="O98" t="s">
        <v>75</v>
      </c>
    </row>
    <row r="99" spans="1:15" x14ac:dyDescent="0.25">
      <c r="A99" s="10" t="s">
        <v>294</v>
      </c>
      <c r="B99" s="15">
        <v>335.82</v>
      </c>
      <c r="C99" s="15">
        <v>335.82</v>
      </c>
      <c r="D99" s="15">
        <v>358.95</v>
      </c>
      <c r="E99" s="15">
        <v>335.82</v>
      </c>
      <c r="F99" s="15">
        <v>754.37</v>
      </c>
      <c r="G99" s="15">
        <v>179.1</v>
      </c>
      <c r="H99" s="15">
        <v>496.77</v>
      </c>
      <c r="I99" s="15">
        <v>427.1</v>
      </c>
      <c r="J99" s="15">
        <v>408.54</v>
      </c>
      <c r="K99" s="15">
        <v>383.84</v>
      </c>
      <c r="L99" s="15">
        <v>383.84</v>
      </c>
      <c r="M99" s="15">
        <v>383.84</v>
      </c>
      <c r="N99" s="15">
        <v>388.63</v>
      </c>
      <c r="O99" t="s">
        <v>75</v>
      </c>
    </row>
    <row r="100" spans="1:15" x14ac:dyDescent="0.25">
      <c r="A100" s="10" t="s">
        <v>296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67.53</v>
      </c>
      <c r="I100" s="15">
        <v>87.5</v>
      </c>
      <c r="J100" s="15">
        <v>81.599999999999994</v>
      </c>
      <c r="K100" s="15">
        <v>81.599999999999994</v>
      </c>
      <c r="L100" s="15">
        <v>81.599999999999994</v>
      </c>
      <c r="M100" s="15">
        <v>81.599999999999994</v>
      </c>
      <c r="N100" s="15">
        <v>40.799999999999997</v>
      </c>
      <c r="O100" t="s">
        <v>75</v>
      </c>
    </row>
    <row r="101" spans="1:15" x14ac:dyDescent="0.25">
      <c r="A101" s="10" t="s">
        <v>298</v>
      </c>
      <c r="B101" s="15">
        <v>36.72</v>
      </c>
      <c r="C101" s="15">
        <v>36.72</v>
      </c>
      <c r="D101" s="15">
        <v>36.72</v>
      </c>
      <c r="E101" s="15">
        <v>36.72</v>
      </c>
      <c r="F101" s="15">
        <v>36.72</v>
      </c>
      <c r="G101" s="15">
        <v>36.72</v>
      </c>
      <c r="H101" s="15">
        <v>48.96</v>
      </c>
      <c r="I101" s="15">
        <v>48.96</v>
      </c>
      <c r="J101" s="15">
        <v>29.92</v>
      </c>
      <c r="K101" s="15">
        <v>0</v>
      </c>
      <c r="L101" s="15">
        <v>0</v>
      </c>
      <c r="M101" s="15">
        <v>0</v>
      </c>
      <c r="N101" s="15">
        <v>30.6</v>
      </c>
      <c r="O101" t="s">
        <v>75</v>
      </c>
    </row>
    <row r="102" spans="1:15" x14ac:dyDescent="0.25">
      <c r="A102" s="10" t="s">
        <v>300</v>
      </c>
      <c r="B102" s="15">
        <v>189.01</v>
      </c>
      <c r="C102" s="15">
        <v>401.36</v>
      </c>
      <c r="D102" s="15">
        <v>106.16</v>
      </c>
      <c r="E102" s="15">
        <v>189.01</v>
      </c>
      <c r="F102" s="15">
        <v>203.04</v>
      </c>
      <c r="G102" s="15">
        <v>194.52</v>
      </c>
      <c r="H102" s="15">
        <v>355.29</v>
      </c>
      <c r="I102" s="15">
        <v>305.52999999999997</v>
      </c>
      <c r="J102" s="15">
        <v>219.69</v>
      </c>
      <c r="K102" s="15">
        <v>216.08</v>
      </c>
      <c r="L102" s="15">
        <v>222.08</v>
      </c>
      <c r="M102" s="15">
        <v>456.32</v>
      </c>
      <c r="N102" s="15">
        <v>221.64</v>
      </c>
      <c r="O102" t="s">
        <v>75</v>
      </c>
    </row>
    <row r="103" spans="1:15" x14ac:dyDescent="0.25">
      <c r="A103" s="10" t="s">
        <v>302</v>
      </c>
      <c r="B103" s="15">
        <v>79.819999999999993</v>
      </c>
      <c r="C103" s="15">
        <v>79.41</v>
      </c>
      <c r="D103" s="15">
        <v>80.52</v>
      </c>
      <c r="E103" s="15">
        <v>78.819999999999993</v>
      </c>
      <c r="F103" s="15">
        <v>76.89</v>
      </c>
      <c r="G103" s="15">
        <v>76.260000000000005</v>
      </c>
      <c r="H103" s="15">
        <v>105.28</v>
      </c>
      <c r="I103" s="15">
        <v>102.69</v>
      </c>
      <c r="J103" s="15">
        <v>155.63999999999999</v>
      </c>
      <c r="K103" s="15">
        <v>52.01</v>
      </c>
      <c r="L103" s="15">
        <v>84.41</v>
      </c>
      <c r="M103" s="15">
        <v>85.06</v>
      </c>
      <c r="N103" s="15">
        <v>85.58</v>
      </c>
      <c r="O103" t="s">
        <v>75</v>
      </c>
    </row>
    <row r="104" spans="1:15" x14ac:dyDescent="0.25">
      <c r="A104" s="10" t="s">
        <v>304</v>
      </c>
      <c r="B104" s="15">
        <v>124.34</v>
      </c>
      <c r="C104" s="15">
        <v>124.34</v>
      </c>
      <c r="D104" s="15">
        <v>164.62</v>
      </c>
      <c r="E104" s="15">
        <v>124.34</v>
      </c>
      <c r="F104" s="15">
        <v>329.33</v>
      </c>
      <c r="G104" s="15">
        <v>14.38</v>
      </c>
      <c r="H104" s="15">
        <v>205.88</v>
      </c>
      <c r="I104" s="15">
        <v>177.91</v>
      </c>
      <c r="J104" s="15">
        <v>155.36000000000001</v>
      </c>
      <c r="K104" s="15">
        <v>159.88999999999999</v>
      </c>
      <c r="L104" s="15">
        <v>159.88999999999999</v>
      </c>
      <c r="M104" s="15">
        <v>159.88999999999999</v>
      </c>
      <c r="N104" s="15">
        <v>163.99</v>
      </c>
      <c r="O104" t="s">
        <v>75</v>
      </c>
    </row>
    <row r="105" spans="1:15" x14ac:dyDescent="0.25">
      <c r="A105" s="10" t="s">
        <v>306</v>
      </c>
      <c r="B105" s="15">
        <v>92.44</v>
      </c>
      <c r="C105" s="15">
        <v>91.52</v>
      </c>
      <c r="D105" s="15">
        <v>114.55</v>
      </c>
      <c r="E105" s="15">
        <v>105.2</v>
      </c>
      <c r="F105" s="15">
        <v>113.74</v>
      </c>
      <c r="G105" s="15">
        <v>193.43</v>
      </c>
      <c r="H105" s="15">
        <v>295.42</v>
      </c>
      <c r="I105" s="15">
        <v>212.41</v>
      </c>
      <c r="J105" s="15">
        <v>150.75</v>
      </c>
      <c r="K105" s="15">
        <v>150.75</v>
      </c>
      <c r="L105" s="15">
        <v>165.61</v>
      </c>
      <c r="M105" s="15">
        <v>168.93</v>
      </c>
      <c r="N105" s="15">
        <v>160.74</v>
      </c>
      <c r="O105" t="s">
        <v>75</v>
      </c>
    </row>
    <row r="106" spans="1:15" x14ac:dyDescent="0.25">
      <c r="A106" s="10" t="s">
        <v>308</v>
      </c>
      <c r="B106" s="15">
        <v>73.44</v>
      </c>
      <c r="C106" s="15">
        <v>73.44</v>
      </c>
      <c r="D106" s="15">
        <v>73.44</v>
      </c>
      <c r="E106" s="15">
        <v>73.44</v>
      </c>
      <c r="F106" s="15">
        <v>73.44</v>
      </c>
      <c r="G106" s="15">
        <v>73.44</v>
      </c>
      <c r="H106" s="15">
        <v>99.96</v>
      </c>
      <c r="I106" s="15">
        <v>99.96</v>
      </c>
      <c r="J106" s="15">
        <v>81.599999999999994</v>
      </c>
      <c r="K106" s="15">
        <v>81.599999999999994</v>
      </c>
      <c r="L106" s="15">
        <v>81.599999999999994</v>
      </c>
      <c r="M106" s="15">
        <v>81.599999999999994</v>
      </c>
      <c r="N106" s="15">
        <v>81.599999999999994</v>
      </c>
      <c r="O106" t="s">
        <v>75</v>
      </c>
    </row>
    <row r="107" spans="1:15" x14ac:dyDescent="0.25">
      <c r="A107" s="10" t="s">
        <v>310</v>
      </c>
      <c r="B107" s="15">
        <v>20.72</v>
      </c>
      <c r="C107" s="15">
        <v>168.34</v>
      </c>
      <c r="D107" s="15">
        <v>184.53</v>
      </c>
      <c r="E107" s="15">
        <v>168.34</v>
      </c>
      <c r="F107" s="15">
        <v>184.59</v>
      </c>
      <c r="G107" s="15">
        <v>168.34</v>
      </c>
      <c r="H107" s="15">
        <v>294.69</v>
      </c>
      <c r="I107" s="15">
        <v>223.15</v>
      </c>
      <c r="J107" s="15">
        <v>206.93</v>
      </c>
      <c r="K107" s="15">
        <v>186.97</v>
      </c>
      <c r="L107" s="15">
        <v>211.31</v>
      </c>
      <c r="M107" s="15">
        <v>400.4</v>
      </c>
      <c r="N107" s="15">
        <v>195.13</v>
      </c>
      <c r="O107" t="s">
        <v>75</v>
      </c>
    </row>
    <row r="108" spans="1:15" x14ac:dyDescent="0.25">
      <c r="A108" s="10" t="s">
        <v>312</v>
      </c>
      <c r="B108" s="15">
        <v>120</v>
      </c>
      <c r="C108" s="15">
        <v>120</v>
      </c>
      <c r="D108" s="15">
        <v>141.84</v>
      </c>
      <c r="E108" s="15">
        <v>120</v>
      </c>
      <c r="F108" s="15">
        <v>146.41999999999999</v>
      </c>
      <c r="G108" s="15">
        <v>120</v>
      </c>
      <c r="H108" s="15">
        <v>190.1</v>
      </c>
      <c r="I108" s="15">
        <v>179.82</v>
      </c>
      <c r="J108" s="15">
        <v>358.04</v>
      </c>
      <c r="K108" s="15">
        <v>4.99</v>
      </c>
      <c r="L108" s="15">
        <v>151.65</v>
      </c>
      <c r="M108" s="15">
        <v>149.94</v>
      </c>
      <c r="N108" s="15">
        <v>153.26</v>
      </c>
      <c r="O108" t="s">
        <v>75</v>
      </c>
    </row>
    <row r="109" spans="1:15" x14ac:dyDescent="0.25">
      <c r="A109" s="10" t="s">
        <v>314</v>
      </c>
      <c r="B109" s="15">
        <v>9.0500000000000007</v>
      </c>
      <c r="C109" s="15">
        <v>111.22</v>
      </c>
      <c r="D109" s="15">
        <v>120.64</v>
      </c>
      <c r="E109" s="15">
        <v>120.64</v>
      </c>
      <c r="F109" s="15">
        <v>144.77000000000001</v>
      </c>
      <c r="G109" s="15">
        <v>120.64</v>
      </c>
      <c r="H109" s="15">
        <v>181.81</v>
      </c>
      <c r="I109" s="15">
        <v>180.81</v>
      </c>
      <c r="J109" s="15">
        <v>150.75</v>
      </c>
      <c r="K109" s="15">
        <v>150.75</v>
      </c>
      <c r="L109" s="15">
        <v>150.75</v>
      </c>
      <c r="M109" s="15">
        <v>150.75</v>
      </c>
      <c r="N109" s="15">
        <v>151.65</v>
      </c>
      <c r="O109" t="s">
        <v>75</v>
      </c>
    </row>
    <row r="110" spans="1:15" x14ac:dyDescent="0.25">
      <c r="A110" s="10" t="s">
        <v>316</v>
      </c>
      <c r="B110" s="15">
        <v>93.6</v>
      </c>
      <c r="C110" s="15">
        <v>245.68</v>
      </c>
      <c r="D110" s="15">
        <v>0</v>
      </c>
      <c r="E110" s="15">
        <v>93.6</v>
      </c>
      <c r="F110" s="15">
        <v>93.6</v>
      </c>
      <c r="G110" s="15">
        <v>93.6</v>
      </c>
      <c r="H110" s="15">
        <v>151.13999999999999</v>
      </c>
      <c r="I110" s="15">
        <v>119.6</v>
      </c>
      <c r="J110" s="15">
        <v>104</v>
      </c>
      <c r="K110" s="15">
        <v>104</v>
      </c>
      <c r="L110" s="15">
        <v>104</v>
      </c>
      <c r="M110" s="15">
        <v>104</v>
      </c>
      <c r="N110" s="15">
        <v>104</v>
      </c>
      <c r="O110" t="s">
        <v>75</v>
      </c>
    </row>
    <row r="111" spans="1:15" x14ac:dyDescent="0.25">
      <c r="A111" s="10" t="s">
        <v>318</v>
      </c>
      <c r="B111" s="15">
        <v>400.4</v>
      </c>
      <c r="C111" s="15">
        <v>462</v>
      </c>
      <c r="D111" s="15">
        <v>462</v>
      </c>
      <c r="E111" s="15">
        <v>462</v>
      </c>
      <c r="F111" s="15">
        <v>462</v>
      </c>
      <c r="G111" s="15">
        <v>462</v>
      </c>
      <c r="H111" s="15">
        <v>570.88</v>
      </c>
      <c r="I111" s="15">
        <v>570.88</v>
      </c>
      <c r="J111" s="15">
        <v>513.15</v>
      </c>
      <c r="K111" s="15">
        <v>513.15</v>
      </c>
      <c r="L111" s="15">
        <v>513.15</v>
      </c>
      <c r="M111" s="15">
        <v>513.15</v>
      </c>
      <c r="N111" s="15">
        <v>513.15</v>
      </c>
      <c r="O111" t="s">
        <v>75</v>
      </c>
    </row>
    <row r="112" spans="1:15" x14ac:dyDescent="0.25">
      <c r="A112" s="10" t="s">
        <v>320</v>
      </c>
      <c r="B112" s="15">
        <v>259.32</v>
      </c>
      <c r="C112" s="15">
        <v>9.32</v>
      </c>
      <c r="D112" s="15">
        <v>111.29</v>
      </c>
      <c r="E112" s="15">
        <v>116.74</v>
      </c>
      <c r="F112" s="15">
        <v>119.46</v>
      </c>
      <c r="G112" s="15">
        <v>158.61000000000001</v>
      </c>
      <c r="H112" s="15">
        <v>287.22000000000003</v>
      </c>
      <c r="I112" s="15">
        <v>209.54</v>
      </c>
      <c r="J112" s="15">
        <v>172.48</v>
      </c>
      <c r="K112" s="15">
        <v>161.97999999999999</v>
      </c>
      <c r="L112" s="15">
        <v>188.97</v>
      </c>
      <c r="M112" s="15">
        <v>166.04</v>
      </c>
      <c r="N112" s="15">
        <v>174.69</v>
      </c>
      <c r="O112" t="s">
        <v>75</v>
      </c>
    </row>
    <row r="113" spans="1:15" x14ac:dyDescent="0.25">
      <c r="A113" s="10" t="s">
        <v>322</v>
      </c>
      <c r="B113" s="15">
        <v>182.02</v>
      </c>
      <c r="C113" s="15">
        <v>114.21</v>
      </c>
      <c r="D113" s="15">
        <v>171.7</v>
      </c>
      <c r="E113" s="15">
        <v>105.86</v>
      </c>
      <c r="F113" s="15">
        <v>38.81</v>
      </c>
      <c r="G113" s="15">
        <v>0</v>
      </c>
      <c r="H113" s="15">
        <v>0</v>
      </c>
      <c r="I113" s="15">
        <v>32.020000000000003</v>
      </c>
      <c r="J113" s="15">
        <v>0</v>
      </c>
      <c r="K113" s="15">
        <v>0</v>
      </c>
      <c r="L113" s="15">
        <v>0</v>
      </c>
      <c r="M113" s="15">
        <v>0</v>
      </c>
      <c r="N113" s="15">
        <v>44.27</v>
      </c>
      <c r="O113" t="s">
        <v>75</v>
      </c>
    </row>
    <row r="114" spans="1:15" x14ac:dyDescent="0.25">
      <c r="A114" s="10" t="s">
        <v>324</v>
      </c>
      <c r="B114" s="15">
        <v>98.07</v>
      </c>
      <c r="C114" s="15">
        <v>97.04</v>
      </c>
      <c r="D114" s="15">
        <v>115.57</v>
      </c>
      <c r="E114" s="15">
        <v>113.31</v>
      </c>
      <c r="F114" s="15">
        <v>115.79</v>
      </c>
      <c r="G114" s="15">
        <v>250.79</v>
      </c>
      <c r="H114" s="15">
        <v>251.96</v>
      </c>
      <c r="I114" s="15">
        <v>210.69</v>
      </c>
      <c r="J114" s="15">
        <v>168.1</v>
      </c>
      <c r="K114" s="15">
        <v>156.44</v>
      </c>
      <c r="L114" s="15">
        <v>173.54</v>
      </c>
      <c r="M114" s="15">
        <v>156.27000000000001</v>
      </c>
      <c r="N114" s="15">
        <v>163.04</v>
      </c>
      <c r="O114" t="s">
        <v>75</v>
      </c>
    </row>
    <row r="115" spans="1:15" x14ac:dyDescent="0.25">
      <c r="A115" s="10" t="s">
        <v>326</v>
      </c>
      <c r="B115" s="15">
        <v>74.06</v>
      </c>
      <c r="C115" s="15">
        <v>51.4</v>
      </c>
      <c r="D115" s="15">
        <v>34.270000000000003</v>
      </c>
      <c r="E115" s="15">
        <v>9.7899999999999991</v>
      </c>
      <c r="F115" s="15">
        <v>0</v>
      </c>
      <c r="G115" s="15">
        <v>0</v>
      </c>
      <c r="H115" s="15">
        <v>0</v>
      </c>
      <c r="I115" s="15">
        <v>13.6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t="s">
        <v>75</v>
      </c>
    </row>
    <row r="116" spans="1:15" x14ac:dyDescent="0.25">
      <c r="A116" s="10" t="s">
        <v>328</v>
      </c>
      <c r="B116" s="15">
        <v>102.14</v>
      </c>
      <c r="C116" s="15">
        <v>102.93</v>
      </c>
      <c r="D116" s="15">
        <v>102.28</v>
      </c>
      <c r="E116" s="15">
        <v>101.16</v>
      </c>
      <c r="F116" s="15">
        <v>106.21</v>
      </c>
      <c r="G116" s="15">
        <v>97.64</v>
      </c>
      <c r="H116" s="15">
        <v>148.71</v>
      </c>
      <c r="I116" s="15">
        <v>144.44</v>
      </c>
      <c r="J116" s="15">
        <v>107.99</v>
      </c>
      <c r="K116" s="15">
        <v>276.64999999999998</v>
      </c>
      <c r="L116" s="15">
        <v>2.2799999999999998</v>
      </c>
      <c r="M116" s="15">
        <v>120.35</v>
      </c>
      <c r="N116" s="15">
        <v>110.38</v>
      </c>
      <c r="O116" t="s">
        <v>75</v>
      </c>
    </row>
    <row r="117" spans="1:15" x14ac:dyDescent="0.25">
      <c r="A117" s="10" t="s">
        <v>330</v>
      </c>
      <c r="B117" s="15">
        <v>77.28</v>
      </c>
      <c r="C117" s="15">
        <v>77.28</v>
      </c>
      <c r="D117" s="15">
        <v>77.599999999999994</v>
      </c>
      <c r="E117" s="15">
        <v>121.52</v>
      </c>
      <c r="F117" s="15">
        <v>83.6</v>
      </c>
      <c r="G117" s="15">
        <v>83.6</v>
      </c>
      <c r="H117" s="15">
        <v>114.84</v>
      </c>
      <c r="I117" s="15">
        <v>115.43</v>
      </c>
      <c r="J117" s="15">
        <v>92.88</v>
      </c>
      <c r="K117" s="15">
        <v>92.88</v>
      </c>
      <c r="L117" s="15">
        <v>92.88</v>
      </c>
      <c r="M117" s="15">
        <v>245.95</v>
      </c>
      <c r="N117" s="15">
        <v>93</v>
      </c>
      <c r="O117" t="s">
        <v>75</v>
      </c>
    </row>
    <row r="118" spans="1:15" x14ac:dyDescent="0.25">
      <c r="A118" s="10" t="s">
        <v>332</v>
      </c>
      <c r="B118" s="15">
        <v>103.46</v>
      </c>
      <c r="C118" s="15">
        <v>103.31</v>
      </c>
      <c r="D118" s="15">
        <v>104.53</v>
      </c>
      <c r="E118" s="15">
        <v>101.4</v>
      </c>
      <c r="F118" s="15">
        <v>107.8</v>
      </c>
      <c r="G118" s="15">
        <v>120.64</v>
      </c>
      <c r="H118" s="15">
        <v>227.72</v>
      </c>
      <c r="I118" s="15">
        <v>410.05</v>
      </c>
      <c r="J118" s="15">
        <v>100.5</v>
      </c>
      <c r="K118" s="15">
        <v>150.75</v>
      </c>
      <c r="L118" s="15">
        <v>150.75</v>
      </c>
      <c r="M118" s="15">
        <v>162.15</v>
      </c>
      <c r="N118" s="15">
        <v>156.41999999999999</v>
      </c>
      <c r="O118" t="s">
        <v>75</v>
      </c>
    </row>
    <row r="119" spans="1:15" x14ac:dyDescent="0.25">
      <c r="A119" s="10" t="s">
        <v>334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65.12</v>
      </c>
      <c r="M119" s="15">
        <v>103.32</v>
      </c>
      <c r="N119" s="15">
        <v>15.5</v>
      </c>
      <c r="O119" t="s">
        <v>75</v>
      </c>
    </row>
    <row r="120" spans="1:15" x14ac:dyDescent="0.25">
      <c r="A120" s="10" t="s">
        <v>336</v>
      </c>
      <c r="B120" s="15">
        <v>119.65</v>
      </c>
      <c r="C120" s="15">
        <v>105.68</v>
      </c>
      <c r="D120" s="15">
        <v>121.16</v>
      </c>
      <c r="E120" s="15">
        <v>114.79</v>
      </c>
      <c r="F120" s="15">
        <v>116.16</v>
      </c>
      <c r="G120" s="15">
        <v>105.68</v>
      </c>
      <c r="H120" s="15">
        <v>221.86</v>
      </c>
      <c r="I120" s="15">
        <v>158.31</v>
      </c>
      <c r="J120" s="15">
        <v>215.23</v>
      </c>
      <c r="K120" s="15">
        <v>101.71</v>
      </c>
      <c r="L120" s="15">
        <v>163.63999999999999</v>
      </c>
      <c r="M120" s="15">
        <v>117.36</v>
      </c>
      <c r="N120" s="15">
        <v>146.34</v>
      </c>
      <c r="O120" t="s">
        <v>75</v>
      </c>
    </row>
    <row r="121" spans="1:15" x14ac:dyDescent="0.25">
      <c r="A121" s="10" t="s">
        <v>338</v>
      </c>
      <c r="B121" s="15">
        <v>330.83</v>
      </c>
      <c r="C121" s="15">
        <v>305.58</v>
      </c>
      <c r="D121" s="15">
        <v>340.73</v>
      </c>
      <c r="E121" s="15">
        <v>305.58</v>
      </c>
      <c r="F121" s="15">
        <v>305.58</v>
      </c>
      <c r="G121" s="15">
        <v>305.58</v>
      </c>
      <c r="H121" s="15">
        <v>411.11</v>
      </c>
      <c r="I121" s="15">
        <v>407.22</v>
      </c>
      <c r="J121" s="15">
        <v>647.33000000000004</v>
      </c>
      <c r="K121" s="15">
        <v>113.16</v>
      </c>
      <c r="L121" s="15">
        <v>339.46</v>
      </c>
      <c r="M121" s="15">
        <v>339.46</v>
      </c>
      <c r="N121" s="15">
        <v>345.27</v>
      </c>
      <c r="O121" t="s">
        <v>75</v>
      </c>
    </row>
    <row r="122" spans="1:15" x14ac:dyDescent="0.25">
      <c r="A122" s="10" t="s">
        <v>340</v>
      </c>
      <c r="B122" s="15">
        <v>409.59</v>
      </c>
      <c r="C122" s="15">
        <v>404.99</v>
      </c>
      <c r="D122" s="15">
        <v>406.85</v>
      </c>
      <c r="E122" s="15">
        <v>407.29</v>
      </c>
      <c r="F122" s="15">
        <v>409.59</v>
      </c>
      <c r="G122" s="15">
        <v>867.06</v>
      </c>
      <c r="H122" s="15">
        <v>185.11</v>
      </c>
      <c r="I122" s="15">
        <v>511.37</v>
      </c>
      <c r="J122" s="15">
        <v>452.34</v>
      </c>
      <c r="K122" s="15">
        <v>458.2</v>
      </c>
      <c r="L122" s="15">
        <v>455.53</v>
      </c>
      <c r="M122" s="15">
        <v>458.68</v>
      </c>
      <c r="N122" s="15">
        <v>446.79</v>
      </c>
      <c r="O122" t="s">
        <v>75</v>
      </c>
    </row>
    <row r="123" spans="1:15" x14ac:dyDescent="0.25">
      <c r="A123" s="10" t="s">
        <v>342</v>
      </c>
      <c r="B123" s="15">
        <v>443.05</v>
      </c>
      <c r="C123" s="15">
        <v>421.02</v>
      </c>
      <c r="D123" s="15">
        <v>457.05</v>
      </c>
      <c r="E123" s="15">
        <v>421.02</v>
      </c>
      <c r="F123" s="15">
        <v>483.05</v>
      </c>
      <c r="G123" s="15">
        <v>617.14</v>
      </c>
      <c r="H123" s="15">
        <v>524.62</v>
      </c>
      <c r="I123" s="15">
        <v>544.44000000000005</v>
      </c>
      <c r="J123" s="15">
        <v>496.21</v>
      </c>
      <c r="K123" s="15">
        <v>467.58</v>
      </c>
      <c r="L123" s="15">
        <v>473.33</v>
      </c>
      <c r="M123" s="15">
        <v>467.58</v>
      </c>
      <c r="N123" s="15">
        <v>485.17</v>
      </c>
      <c r="O123" t="s">
        <v>75</v>
      </c>
    </row>
    <row r="124" spans="1:15" x14ac:dyDescent="0.25">
      <c r="A124" s="10" t="s">
        <v>344</v>
      </c>
      <c r="B124" s="15">
        <v>73.44</v>
      </c>
      <c r="C124" s="15">
        <v>73.44</v>
      </c>
      <c r="D124" s="15">
        <v>73.44</v>
      </c>
      <c r="E124" s="15">
        <v>78.510000000000005</v>
      </c>
      <c r="F124" s="15">
        <v>73.44</v>
      </c>
      <c r="G124" s="15">
        <v>173.2</v>
      </c>
      <c r="H124" s="15">
        <v>29.92</v>
      </c>
      <c r="I124" s="15">
        <v>92.47</v>
      </c>
      <c r="J124" s="15">
        <v>81.599999999999994</v>
      </c>
      <c r="K124" s="15">
        <v>81.599999999999994</v>
      </c>
      <c r="L124" s="15">
        <v>93.04</v>
      </c>
      <c r="M124" s="15">
        <v>113.96</v>
      </c>
      <c r="N124" s="15">
        <v>104.61</v>
      </c>
      <c r="O124" t="s">
        <v>75</v>
      </c>
    </row>
    <row r="125" spans="1:15" x14ac:dyDescent="0.25">
      <c r="A125" s="10" t="s">
        <v>346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110.59</v>
      </c>
      <c r="J125" s="15">
        <v>286.7</v>
      </c>
      <c r="K125" s="15">
        <v>233.28</v>
      </c>
      <c r="L125" s="15">
        <v>313.14999999999998</v>
      </c>
      <c r="M125" s="15">
        <v>299.97000000000003</v>
      </c>
      <c r="N125" s="15">
        <v>91.79</v>
      </c>
      <c r="O125" t="s">
        <v>75</v>
      </c>
    </row>
    <row r="126" spans="1:15" x14ac:dyDescent="0.25">
      <c r="A126" s="10" t="s">
        <v>348</v>
      </c>
      <c r="B126" s="15">
        <v>174.36</v>
      </c>
      <c r="C126" s="15">
        <v>155.37</v>
      </c>
      <c r="D126" s="15">
        <v>174.53</v>
      </c>
      <c r="E126" s="15">
        <v>155.37</v>
      </c>
      <c r="F126" s="15">
        <v>170.18</v>
      </c>
      <c r="G126" s="15">
        <v>155.37</v>
      </c>
      <c r="H126" s="15">
        <v>219.72</v>
      </c>
      <c r="I126" s="15">
        <v>206.3</v>
      </c>
      <c r="J126" s="15">
        <v>260.3</v>
      </c>
      <c r="K126" s="15">
        <v>149.59</v>
      </c>
      <c r="L126" s="15">
        <v>88.73</v>
      </c>
      <c r="M126" s="15">
        <v>0</v>
      </c>
      <c r="N126" s="15">
        <v>164.97</v>
      </c>
      <c r="O126" t="s">
        <v>75</v>
      </c>
    </row>
    <row r="127" spans="1:15" x14ac:dyDescent="0.25">
      <c r="A127" s="10" t="s">
        <v>350</v>
      </c>
      <c r="B127" s="15">
        <v>147.51</v>
      </c>
      <c r="C127" s="15">
        <v>148.06</v>
      </c>
      <c r="D127" s="15">
        <v>148.78</v>
      </c>
      <c r="E127" s="15">
        <v>146.29</v>
      </c>
      <c r="F127" s="15">
        <v>162.59</v>
      </c>
      <c r="G127" s="15">
        <v>187.19</v>
      </c>
      <c r="H127" s="15">
        <v>385.86</v>
      </c>
      <c r="I127" s="15">
        <v>424.03</v>
      </c>
      <c r="J127" s="15">
        <v>297.11</v>
      </c>
      <c r="K127" s="15">
        <v>297.11</v>
      </c>
      <c r="L127" s="15">
        <v>358.11</v>
      </c>
      <c r="M127" s="15">
        <v>766.33</v>
      </c>
      <c r="N127" s="15">
        <v>315.45999999999998</v>
      </c>
      <c r="O127" t="s">
        <v>75</v>
      </c>
    </row>
    <row r="128" spans="1:15" x14ac:dyDescent="0.25">
      <c r="A128" s="10" t="s">
        <v>352</v>
      </c>
      <c r="B128" s="15">
        <v>570.88</v>
      </c>
      <c r="C128" s="15">
        <v>570.88</v>
      </c>
      <c r="D128" s="15">
        <v>570.88</v>
      </c>
      <c r="E128" s="15">
        <v>1141.76</v>
      </c>
      <c r="F128" s="15">
        <v>0</v>
      </c>
      <c r="G128" s="15">
        <v>570.88</v>
      </c>
      <c r="H128" s="15">
        <v>570.88</v>
      </c>
      <c r="I128" s="15">
        <v>570.88</v>
      </c>
      <c r="J128" s="15">
        <v>570.88</v>
      </c>
      <c r="K128" s="15">
        <v>570.88</v>
      </c>
      <c r="L128" s="15">
        <v>570.88</v>
      </c>
      <c r="M128" s="15">
        <v>570.88</v>
      </c>
      <c r="N128" s="15">
        <v>570.88</v>
      </c>
      <c r="O128" t="s">
        <v>75</v>
      </c>
    </row>
    <row r="129" spans="1:15" x14ac:dyDescent="0.25">
      <c r="A129" s="10" t="s">
        <v>354</v>
      </c>
      <c r="B129" s="15">
        <v>116.67</v>
      </c>
      <c r="C129" s="15">
        <v>241.94</v>
      </c>
      <c r="D129" s="15">
        <v>61.28</v>
      </c>
      <c r="E129" s="15">
        <v>74.66</v>
      </c>
      <c r="F129" s="15">
        <v>0</v>
      </c>
      <c r="G129" s="15">
        <v>0</v>
      </c>
      <c r="H129" s="15">
        <v>99.99</v>
      </c>
      <c r="I129" s="15">
        <v>148.32</v>
      </c>
      <c r="J129" s="15">
        <v>140.97999999999999</v>
      </c>
      <c r="K129" s="15">
        <v>144.30000000000001</v>
      </c>
      <c r="L129" s="15">
        <v>144.58000000000001</v>
      </c>
      <c r="M129" s="15">
        <v>144.69999999999999</v>
      </c>
      <c r="N129" s="15">
        <v>106.04</v>
      </c>
      <c r="O129" t="s">
        <v>75</v>
      </c>
    </row>
    <row r="130" spans="1:15" x14ac:dyDescent="0.25">
      <c r="A130" s="10" t="s">
        <v>356</v>
      </c>
      <c r="B130" s="15">
        <v>178.27</v>
      </c>
      <c r="C130" s="15">
        <v>2.4500000000000002</v>
      </c>
      <c r="D130" s="15">
        <v>76.39</v>
      </c>
      <c r="E130" s="15">
        <v>73.44</v>
      </c>
      <c r="F130" s="15">
        <v>73.44</v>
      </c>
      <c r="G130" s="15">
        <v>73.44</v>
      </c>
      <c r="H130" s="15">
        <v>95.66</v>
      </c>
      <c r="I130" s="15">
        <v>97.78</v>
      </c>
      <c r="J130" s="15">
        <v>81.599999999999994</v>
      </c>
      <c r="K130" s="15">
        <v>81.599999999999994</v>
      </c>
      <c r="L130" s="15">
        <v>82.78</v>
      </c>
      <c r="M130" s="15">
        <v>81.599999999999994</v>
      </c>
      <c r="N130" s="15">
        <v>82.24</v>
      </c>
      <c r="O130" t="s">
        <v>75</v>
      </c>
    </row>
    <row r="131" spans="1:15" x14ac:dyDescent="0.25">
      <c r="A131" s="10" t="s">
        <v>358</v>
      </c>
      <c r="B131" s="15">
        <v>227.07</v>
      </c>
      <c r="C131" s="15">
        <v>205.42</v>
      </c>
      <c r="D131" s="15">
        <v>12.17</v>
      </c>
      <c r="E131" s="15">
        <v>0</v>
      </c>
      <c r="F131" s="15">
        <v>0</v>
      </c>
      <c r="G131" s="15">
        <v>0</v>
      </c>
      <c r="H131" s="15">
        <v>0</v>
      </c>
      <c r="I131" s="15">
        <v>1.34</v>
      </c>
      <c r="J131" s="15">
        <v>0</v>
      </c>
      <c r="K131" s="15">
        <v>0</v>
      </c>
      <c r="L131" s="15">
        <v>0</v>
      </c>
      <c r="M131" s="15">
        <v>0</v>
      </c>
      <c r="N131" s="15">
        <v>34.979999999999997</v>
      </c>
      <c r="O131" t="s">
        <v>75</v>
      </c>
    </row>
    <row r="132" spans="1:15" x14ac:dyDescent="0.25">
      <c r="A132" s="10" t="s">
        <v>360</v>
      </c>
      <c r="B132" s="15">
        <v>384.78</v>
      </c>
      <c r="C132" s="15">
        <v>384.78</v>
      </c>
      <c r="D132" s="15">
        <v>398.03</v>
      </c>
      <c r="E132" s="15">
        <v>384.78</v>
      </c>
      <c r="F132" s="15">
        <v>384.78</v>
      </c>
      <c r="G132" s="15">
        <v>384.78</v>
      </c>
      <c r="H132" s="15">
        <v>513.95000000000005</v>
      </c>
      <c r="I132" s="15">
        <v>512.49</v>
      </c>
      <c r="J132" s="15">
        <v>427.35</v>
      </c>
      <c r="K132" s="15">
        <v>427.35</v>
      </c>
      <c r="L132" s="15">
        <v>393.35</v>
      </c>
      <c r="M132" s="15">
        <v>627.73</v>
      </c>
      <c r="N132" s="15">
        <v>428.67</v>
      </c>
      <c r="O132" t="s">
        <v>75</v>
      </c>
    </row>
    <row r="133" spans="1:15" x14ac:dyDescent="0.25">
      <c r="A133" s="10" t="s">
        <v>362</v>
      </c>
      <c r="B133" s="15">
        <v>78.959999999999994</v>
      </c>
      <c r="C133" s="15">
        <v>73.44</v>
      </c>
      <c r="D133" s="15">
        <v>73.44</v>
      </c>
      <c r="E133" s="15">
        <v>73.44</v>
      </c>
      <c r="F133" s="15">
        <v>73.44</v>
      </c>
      <c r="G133" s="15">
        <v>73.44</v>
      </c>
      <c r="H133" s="15">
        <v>99.96</v>
      </c>
      <c r="I133" s="15">
        <v>99.96</v>
      </c>
      <c r="J133" s="15">
        <v>43.52</v>
      </c>
      <c r="K133" s="15">
        <v>0</v>
      </c>
      <c r="L133" s="15">
        <v>0</v>
      </c>
      <c r="M133" s="15">
        <v>0</v>
      </c>
      <c r="N133" s="15">
        <v>61.92</v>
      </c>
      <c r="O133" t="s">
        <v>75</v>
      </c>
    </row>
    <row r="134" spans="1:15" x14ac:dyDescent="0.25">
      <c r="A134" s="10" t="s">
        <v>364</v>
      </c>
      <c r="B134" s="15">
        <v>159.12</v>
      </c>
      <c r="C134" s="15">
        <v>299.60000000000002</v>
      </c>
      <c r="D134" s="15">
        <v>79.56</v>
      </c>
      <c r="E134" s="15">
        <v>159.12</v>
      </c>
      <c r="F134" s="15">
        <v>167.8</v>
      </c>
      <c r="G134" s="15">
        <v>159.12</v>
      </c>
      <c r="H134" s="15">
        <v>210.37</v>
      </c>
      <c r="I134" s="15">
        <v>205.91</v>
      </c>
      <c r="J134" s="15">
        <v>176.77</v>
      </c>
      <c r="K134" s="15">
        <v>176.77</v>
      </c>
      <c r="L134" s="15">
        <v>176.77</v>
      </c>
      <c r="M134" s="15">
        <v>193.3</v>
      </c>
      <c r="N134" s="15">
        <v>177.68</v>
      </c>
      <c r="O134" t="s">
        <v>75</v>
      </c>
    </row>
    <row r="135" spans="1:15" x14ac:dyDescent="0.25">
      <c r="A135" s="10" t="s">
        <v>366</v>
      </c>
      <c r="B135" s="15">
        <v>7.34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  <c r="O135" t="s">
        <v>75</v>
      </c>
    </row>
    <row r="136" spans="1:15" x14ac:dyDescent="0.25">
      <c r="A136" s="10" t="s">
        <v>368</v>
      </c>
      <c r="B136" s="15">
        <v>98.46</v>
      </c>
      <c r="C136" s="15">
        <v>95.02</v>
      </c>
      <c r="D136" s="15">
        <v>96.45</v>
      </c>
      <c r="E136" s="15">
        <v>94.03</v>
      </c>
      <c r="F136" s="15">
        <v>90.94</v>
      </c>
      <c r="G136" s="15">
        <v>91.63</v>
      </c>
      <c r="H136" s="15">
        <v>286.64999999999998</v>
      </c>
      <c r="I136" s="15">
        <v>23.88</v>
      </c>
      <c r="J136" s="15">
        <v>99.77</v>
      </c>
      <c r="K136" s="15">
        <v>101.73</v>
      </c>
      <c r="L136" s="15">
        <v>101.52</v>
      </c>
      <c r="M136" s="15">
        <v>102.33</v>
      </c>
      <c r="N136" s="15">
        <v>102.85</v>
      </c>
      <c r="O136" t="s">
        <v>75</v>
      </c>
    </row>
    <row r="137" spans="1:15" x14ac:dyDescent="0.25">
      <c r="A137" s="10" t="s">
        <v>370</v>
      </c>
      <c r="B137" s="15">
        <v>185.64</v>
      </c>
      <c r="C137" s="15">
        <v>185.64</v>
      </c>
      <c r="D137" s="15">
        <v>185.64</v>
      </c>
      <c r="E137" s="15">
        <v>185.64</v>
      </c>
      <c r="F137" s="15">
        <v>198.28</v>
      </c>
      <c r="G137" s="15">
        <v>499.56</v>
      </c>
      <c r="H137" s="15">
        <v>131.91999999999999</v>
      </c>
      <c r="I137" s="15">
        <v>296.26</v>
      </c>
      <c r="J137" s="15">
        <v>216.1</v>
      </c>
      <c r="K137" s="15">
        <v>292.39</v>
      </c>
      <c r="L137" s="15">
        <v>320.57</v>
      </c>
      <c r="M137" s="15">
        <v>318.29000000000002</v>
      </c>
      <c r="N137" s="15">
        <v>322.56</v>
      </c>
      <c r="O137" t="s">
        <v>75</v>
      </c>
    </row>
    <row r="138" spans="1:15" x14ac:dyDescent="0.25">
      <c r="A138" s="10" t="s">
        <v>372</v>
      </c>
      <c r="B138" s="15">
        <v>322.7</v>
      </c>
      <c r="C138" s="15">
        <v>302.41000000000003</v>
      </c>
      <c r="D138" s="15">
        <v>425.99</v>
      </c>
      <c r="E138" s="15">
        <v>660.3</v>
      </c>
      <c r="F138" s="15">
        <v>199.31</v>
      </c>
      <c r="G138" s="15">
        <v>372.51</v>
      </c>
      <c r="H138" s="15">
        <v>452.07</v>
      </c>
      <c r="I138" s="15">
        <v>423.61</v>
      </c>
      <c r="J138" s="15">
        <v>314.93</v>
      </c>
      <c r="K138" s="15">
        <v>314.93</v>
      </c>
      <c r="L138" s="15">
        <v>314.93</v>
      </c>
      <c r="M138" s="15">
        <v>356.91</v>
      </c>
      <c r="N138" s="15">
        <v>365.92</v>
      </c>
      <c r="O138" t="s">
        <v>75</v>
      </c>
    </row>
    <row r="139" spans="1:15" x14ac:dyDescent="0.25">
      <c r="A139" s="10" t="s">
        <v>374</v>
      </c>
      <c r="B139" s="15">
        <v>73.44</v>
      </c>
      <c r="C139" s="15">
        <v>73.44</v>
      </c>
      <c r="D139" s="15">
        <v>75.98</v>
      </c>
      <c r="E139" s="15">
        <v>12.24</v>
      </c>
      <c r="F139" s="15">
        <v>2.44</v>
      </c>
      <c r="G139" s="15">
        <v>0</v>
      </c>
      <c r="H139" s="15">
        <v>0</v>
      </c>
      <c r="I139" s="15">
        <v>10.07</v>
      </c>
      <c r="J139" s="15">
        <v>0</v>
      </c>
      <c r="K139" s="15">
        <v>0</v>
      </c>
      <c r="L139" s="15">
        <v>0</v>
      </c>
      <c r="M139" s="15">
        <v>0</v>
      </c>
      <c r="N139" s="15">
        <v>20.399999999999999</v>
      </c>
      <c r="O139" t="s">
        <v>75</v>
      </c>
    </row>
    <row r="140" spans="1:15" x14ac:dyDescent="0.25">
      <c r="A140" s="10" t="s">
        <v>376</v>
      </c>
      <c r="B140" s="15">
        <v>115.84</v>
      </c>
      <c r="C140" s="15">
        <v>287.62</v>
      </c>
      <c r="D140" s="15">
        <v>61.27</v>
      </c>
      <c r="E140" s="15">
        <v>116.79</v>
      </c>
      <c r="F140" s="15">
        <v>112.71</v>
      </c>
      <c r="G140" s="15">
        <v>113.05</v>
      </c>
      <c r="H140" s="15">
        <v>167.34</v>
      </c>
      <c r="I140" s="15">
        <v>162.22999999999999</v>
      </c>
      <c r="J140" s="15">
        <v>140.41999999999999</v>
      </c>
      <c r="K140" s="15">
        <v>124.46</v>
      </c>
      <c r="L140" s="15">
        <v>124.43</v>
      </c>
      <c r="M140" s="15">
        <v>151.91999999999999</v>
      </c>
      <c r="N140" s="15">
        <v>141.25</v>
      </c>
      <c r="O140" t="s">
        <v>75</v>
      </c>
    </row>
    <row r="141" spans="1:15" x14ac:dyDescent="0.25">
      <c r="A141" s="10" t="s">
        <v>378</v>
      </c>
      <c r="B141" s="15">
        <v>109.01</v>
      </c>
      <c r="C141" s="15">
        <v>109.01</v>
      </c>
      <c r="D141" s="15">
        <v>116.66</v>
      </c>
      <c r="E141" s="15">
        <v>109.01</v>
      </c>
      <c r="F141" s="15">
        <v>109.01</v>
      </c>
      <c r="G141" s="15">
        <v>254.94</v>
      </c>
      <c r="H141" s="15">
        <v>99.85</v>
      </c>
      <c r="I141" s="15">
        <v>160.04</v>
      </c>
      <c r="J141" s="15">
        <v>121.04</v>
      </c>
      <c r="K141" s="15">
        <v>121.04</v>
      </c>
      <c r="L141" s="15">
        <v>121.04</v>
      </c>
      <c r="M141" s="15">
        <v>121.04</v>
      </c>
      <c r="N141" s="15">
        <v>122.16</v>
      </c>
      <c r="O141" t="s">
        <v>75</v>
      </c>
    </row>
    <row r="142" spans="1:15" x14ac:dyDescent="0.25">
      <c r="A142" s="10" t="s">
        <v>380</v>
      </c>
      <c r="B142" s="15">
        <v>73.44</v>
      </c>
      <c r="C142" s="15">
        <v>73.44</v>
      </c>
      <c r="D142" s="15">
        <v>73.44</v>
      </c>
      <c r="E142" s="15">
        <v>73.44</v>
      </c>
      <c r="F142" s="15">
        <v>107.39</v>
      </c>
      <c r="G142" s="15">
        <v>110.98</v>
      </c>
      <c r="H142" s="15">
        <v>204.18</v>
      </c>
      <c r="I142" s="15">
        <v>174.42</v>
      </c>
      <c r="J142" s="15">
        <v>270.72000000000003</v>
      </c>
      <c r="K142" s="15">
        <v>3.9</v>
      </c>
      <c r="L142" s="15">
        <v>101.11</v>
      </c>
      <c r="M142" s="15">
        <v>104</v>
      </c>
      <c r="N142" s="15">
        <v>111.61</v>
      </c>
      <c r="O142" t="s">
        <v>75</v>
      </c>
    </row>
    <row r="143" spans="1:15" x14ac:dyDescent="0.25">
      <c r="A143" s="10" t="s">
        <v>382</v>
      </c>
      <c r="B143" s="15">
        <v>73.44</v>
      </c>
      <c r="C143" s="15">
        <v>73.44</v>
      </c>
      <c r="D143" s="15">
        <v>73.44</v>
      </c>
      <c r="E143" s="15">
        <v>73.44</v>
      </c>
      <c r="F143" s="15">
        <v>73.44</v>
      </c>
      <c r="G143" s="15">
        <v>73.44</v>
      </c>
      <c r="H143" s="15">
        <v>119.78</v>
      </c>
      <c r="I143" s="15">
        <v>99.96</v>
      </c>
      <c r="J143" s="15">
        <v>81.599999999999994</v>
      </c>
      <c r="K143" s="15">
        <v>81.599999999999994</v>
      </c>
      <c r="L143" s="15">
        <v>81.599999999999994</v>
      </c>
      <c r="M143" s="15">
        <v>87.97</v>
      </c>
      <c r="N143" s="15">
        <v>81.599999999999994</v>
      </c>
      <c r="O143" t="s">
        <v>75</v>
      </c>
    </row>
    <row r="144" spans="1:15" x14ac:dyDescent="0.25">
      <c r="A144" s="10" t="s">
        <v>384</v>
      </c>
      <c r="B144" s="15">
        <v>20.100000000000001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t="s">
        <v>75</v>
      </c>
    </row>
    <row r="145" spans="1:15" x14ac:dyDescent="0.25">
      <c r="A145" s="10" t="s">
        <v>386</v>
      </c>
      <c r="B145" s="15">
        <v>105.68</v>
      </c>
      <c r="C145" s="15">
        <v>105.68</v>
      </c>
      <c r="D145" s="15">
        <v>114.03</v>
      </c>
      <c r="E145" s="15">
        <v>105.68</v>
      </c>
      <c r="F145" s="15">
        <v>107.19</v>
      </c>
      <c r="G145" s="15">
        <v>105.68</v>
      </c>
      <c r="H145" s="15">
        <v>170.58</v>
      </c>
      <c r="I145" s="15">
        <v>158.31</v>
      </c>
      <c r="J145" s="15">
        <v>198.15</v>
      </c>
      <c r="K145" s="15">
        <v>101.71</v>
      </c>
      <c r="L145" s="15">
        <v>120.43</v>
      </c>
      <c r="M145" s="15">
        <v>117.36</v>
      </c>
      <c r="N145" s="15">
        <v>119.83</v>
      </c>
      <c r="O145" t="s">
        <v>75</v>
      </c>
    </row>
    <row r="146" spans="1:15" x14ac:dyDescent="0.25">
      <c r="A146" s="10" t="s">
        <v>388</v>
      </c>
      <c r="B146" s="15">
        <v>91.37</v>
      </c>
      <c r="C146" s="15">
        <v>143.19</v>
      </c>
      <c r="D146" s="15">
        <v>119.35</v>
      </c>
      <c r="E146" s="15">
        <v>94.26</v>
      </c>
      <c r="F146" s="15">
        <v>108.35</v>
      </c>
      <c r="G146" s="15">
        <v>124.25</v>
      </c>
      <c r="H146" s="15">
        <v>319.97000000000003</v>
      </c>
      <c r="I146" s="15">
        <v>226.77</v>
      </c>
      <c r="J146" s="15">
        <v>344.94</v>
      </c>
      <c r="K146" s="15">
        <v>151.09</v>
      </c>
      <c r="L146" s="15">
        <v>172.24</v>
      </c>
      <c r="M146" s="15">
        <v>155.27000000000001</v>
      </c>
      <c r="N146" s="15">
        <v>168.5</v>
      </c>
      <c r="O146" t="s">
        <v>75</v>
      </c>
    </row>
    <row r="147" spans="1:15" x14ac:dyDescent="0.25">
      <c r="A147" s="10" t="s">
        <v>390</v>
      </c>
      <c r="B147" s="15">
        <v>73.44</v>
      </c>
      <c r="C147" s="15">
        <v>73.44</v>
      </c>
      <c r="D147" s="15">
        <v>73.44</v>
      </c>
      <c r="E147" s="15">
        <v>87.98</v>
      </c>
      <c r="F147" s="15">
        <v>78.349999999999994</v>
      </c>
      <c r="G147" s="15">
        <v>75.64</v>
      </c>
      <c r="H147" s="15">
        <v>102.77</v>
      </c>
      <c r="I147" s="15">
        <v>100.36</v>
      </c>
      <c r="J147" s="15">
        <v>84.04</v>
      </c>
      <c r="K147" s="15">
        <v>84.04</v>
      </c>
      <c r="L147" s="15">
        <v>84.04</v>
      </c>
      <c r="M147" s="15">
        <v>202.73</v>
      </c>
      <c r="N147" s="15">
        <v>86.04</v>
      </c>
      <c r="O147" t="s">
        <v>75</v>
      </c>
    </row>
    <row r="148" spans="1:15" x14ac:dyDescent="0.25">
      <c r="A148" s="10" t="s">
        <v>392</v>
      </c>
      <c r="B148" s="15">
        <v>79.790000000000006</v>
      </c>
      <c r="C148" s="15">
        <v>80.400000000000006</v>
      </c>
      <c r="D148" s="15">
        <v>80.81</v>
      </c>
      <c r="E148" s="15">
        <v>78.680000000000007</v>
      </c>
      <c r="F148" s="15">
        <v>76.77</v>
      </c>
      <c r="G148" s="15">
        <v>76.66</v>
      </c>
      <c r="H148" s="15">
        <v>183.11</v>
      </c>
      <c r="I148" s="15">
        <v>75.81</v>
      </c>
      <c r="J148" s="15">
        <v>84.9</v>
      </c>
      <c r="K148" s="15">
        <v>84.69</v>
      </c>
      <c r="L148" s="15">
        <v>84.37</v>
      </c>
      <c r="M148" s="15">
        <v>84.96</v>
      </c>
      <c r="N148" s="15">
        <v>85.75</v>
      </c>
      <c r="O148" t="s">
        <v>75</v>
      </c>
    </row>
    <row r="149" spans="1:15" x14ac:dyDescent="0.25">
      <c r="A149" s="10" t="s">
        <v>394</v>
      </c>
      <c r="B149" s="15">
        <v>51.54</v>
      </c>
      <c r="C149" s="15">
        <v>163.47999999999999</v>
      </c>
      <c r="D149" s="15">
        <v>167.89</v>
      </c>
      <c r="E149" s="15">
        <v>165.73</v>
      </c>
      <c r="F149" s="15">
        <v>159.34</v>
      </c>
      <c r="G149" s="15">
        <v>160.44</v>
      </c>
      <c r="H149" s="15">
        <v>216.95</v>
      </c>
      <c r="I149" s="15">
        <v>208.73</v>
      </c>
      <c r="J149" s="15">
        <v>176.53</v>
      </c>
      <c r="K149" s="15">
        <v>176.36</v>
      </c>
      <c r="L149" s="15">
        <v>176.75</v>
      </c>
      <c r="M149" s="15">
        <v>177.63</v>
      </c>
      <c r="N149" s="15">
        <v>178.23</v>
      </c>
      <c r="O149" t="s">
        <v>75</v>
      </c>
    </row>
    <row r="150" spans="1:15" x14ac:dyDescent="0.25">
      <c r="A150" s="10" t="s">
        <v>396</v>
      </c>
      <c r="B150" s="15">
        <v>147.47999999999999</v>
      </c>
      <c r="C150" s="15">
        <v>124.25</v>
      </c>
      <c r="D150" s="15">
        <v>169.43</v>
      </c>
      <c r="E150" s="15">
        <v>143.86000000000001</v>
      </c>
      <c r="F150" s="15">
        <v>158.55000000000001</v>
      </c>
      <c r="G150" s="15">
        <v>340.38</v>
      </c>
      <c r="H150" s="15">
        <v>126.67</v>
      </c>
      <c r="I150" s="15">
        <v>188.85</v>
      </c>
      <c r="J150" s="15">
        <v>172.79</v>
      </c>
      <c r="K150" s="15">
        <v>148.57</v>
      </c>
      <c r="L150" s="15">
        <v>176.58</v>
      </c>
      <c r="M150" s="15">
        <v>159.79</v>
      </c>
      <c r="N150" s="15">
        <v>167.84</v>
      </c>
      <c r="O150" t="s">
        <v>75</v>
      </c>
    </row>
    <row r="151" spans="1:15" x14ac:dyDescent="0.25">
      <c r="A151" s="10" t="s">
        <v>398</v>
      </c>
      <c r="B151" s="15">
        <v>183.84</v>
      </c>
      <c r="C151" s="15">
        <v>157.22999999999999</v>
      </c>
      <c r="D151" s="15">
        <v>304.95999999999998</v>
      </c>
      <c r="E151" s="15">
        <v>204.18</v>
      </c>
      <c r="F151" s="15">
        <v>309.33999999999997</v>
      </c>
      <c r="G151" s="15">
        <v>206.91</v>
      </c>
      <c r="H151" s="15">
        <v>307.39999999999998</v>
      </c>
      <c r="I151" s="15">
        <v>208.78</v>
      </c>
      <c r="J151" s="15">
        <v>179.83</v>
      </c>
      <c r="K151" s="15">
        <v>179.83</v>
      </c>
      <c r="L151" s="15">
        <v>206.09</v>
      </c>
      <c r="M151" s="15">
        <v>179.83</v>
      </c>
      <c r="N151" s="15">
        <v>209.07</v>
      </c>
      <c r="O151" t="s">
        <v>75</v>
      </c>
    </row>
    <row r="152" spans="1:15" x14ac:dyDescent="0.25">
      <c r="A152" s="10" t="s">
        <v>400</v>
      </c>
      <c r="B152" s="15">
        <v>79.040000000000006</v>
      </c>
      <c r="C152" s="15">
        <v>78.86</v>
      </c>
      <c r="D152" s="15">
        <v>77.06</v>
      </c>
      <c r="E152" s="15">
        <v>76.94</v>
      </c>
      <c r="F152" s="15">
        <v>95.46</v>
      </c>
      <c r="G152" s="15">
        <v>100.98</v>
      </c>
      <c r="H152" s="15">
        <v>167.57</v>
      </c>
      <c r="I152" s="15">
        <v>163.08000000000001</v>
      </c>
      <c r="J152" s="15">
        <v>221.96</v>
      </c>
      <c r="K152" s="15">
        <v>46.8</v>
      </c>
      <c r="L152" s="15">
        <v>104</v>
      </c>
      <c r="M152" s="15">
        <v>104</v>
      </c>
      <c r="N152" s="15">
        <v>107.21</v>
      </c>
      <c r="O152" t="s">
        <v>75</v>
      </c>
    </row>
    <row r="153" spans="1:15" x14ac:dyDescent="0.25">
      <c r="A153" s="10" t="s">
        <v>402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22.32</v>
      </c>
      <c r="L153" s="15">
        <v>111.6</v>
      </c>
      <c r="M153" s="15">
        <v>122.73</v>
      </c>
      <c r="N153" s="15">
        <v>18.600000000000001</v>
      </c>
      <c r="O153" t="s">
        <v>75</v>
      </c>
    </row>
    <row r="154" spans="1:15" x14ac:dyDescent="0.25">
      <c r="A154" s="10" t="s">
        <v>404</v>
      </c>
      <c r="B154" s="15">
        <v>0</v>
      </c>
      <c r="C154" s="15">
        <v>570.88</v>
      </c>
      <c r="D154" s="15">
        <v>570.88</v>
      </c>
      <c r="E154" s="15">
        <v>570.88</v>
      </c>
      <c r="F154" s="15">
        <v>570.88</v>
      </c>
      <c r="G154" s="15">
        <v>570.88</v>
      </c>
      <c r="H154" s="15">
        <v>570.88</v>
      </c>
      <c r="I154" s="15">
        <v>570.88</v>
      </c>
      <c r="J154" s="15">
        <v>570.88</v>
      </c>
      <c r="K154" s="15">
        <v>570.88</v>
      </c>
      <c r="L154" s="15">
        <v>570.88</v>
      </c>
      <c r="M154" s="15">
        <v>570.88</v>
      </c>
      <c r="N154" s="15">
        <v>570.88</v>
      </c>
      <c r="O154" t="s">
        <v>75</v>
      </c>
    </row>
    <row r="155" spans="1:15" x14ac:dyDescent="0.25">
      <c r="A155" s="10" t="s">
        <v>406</v>
      </c>
      <c r="B155" s="15">
        <v>90.48</v>
      </c>
      <c r="C155" s="15">
        <v>93.6</v>
      </c>
      <c r="D155" s="15">
        <v>93.6</v>
      </c>
      <c r="E155" s="15">
        <v>93.6</v>
      </c>
      <c r="F155" s="15">
        <v>93.6</v>
      </c>
      <c r="G155" s="15">
        <v>180.56</v>
      </c>
      <c r="H155" s="15">
        <v>84.05</v>
      </c>
      <c r="I155" s="15">
        <v>140.4</v>
      </c>
      <c r="J155" s="15">
        <v>104</v>
      </c>
      <c r="K155" s="15">
        <v>104</v>
      </c>
      <c r="L155" s="15">
        <v>104</v>
      </c>
      <c r="M155" s="15">
        <v>104</v>
      </c>
      <c r="N155" s="15">
        <v>104</v>
      </c>
      <c r="O155" t="s">
        <v>75</v>
      </c>
    </row>
    <row r="156" spans="1:15" x14ac:dyDescent="0.25">
      <c r="A156" s="10" t="s">
        <v>408</v>
      </c>
      <c r="B156" s="15">
        <v>73.44</v>
      </c>
      <c r="C156" s="15">
        <v>73.44</v>
      </c>
      <c r="D156" s="15">
        <v>73.44</v>
      </c>
      <c r="E156" s="15">
        <v>79.36</v>
      </c>
      <c r="F156" s="15">
        <v>73.44</v>
      </c>
      <c r="G156" s="15">
        <v>73.44</v>
      </c>
      <c r="H156" s="15">
        <v>100.62</v>
      </c>
      <c r="I156" s="15">
        <v>99.96</v>
      </c>
      <c r="J156" s="15">
        <v>191.64</v>
      </c>
      <c r="K156" s="15">
        <v>2.72</v>
      </c>
      <c r="L156" s="15">
        <v>77.81</v>
      </c>
      <c r="M156" s="15">
        <v>81.599999999999994</v>
      </c>
      <c r="N156" s="15">
        <v>82.37</v>
      </c>
      <c r="O156" t="s">
        <v>75</v>
      </c>
    </row>
    <row r="157" spans="1:15" x14ac:dyDescent="0.25">
      <c r="A157" s="10" t="s">
        <v>410</v>
      </c>
      <c r="B157" s="15">
        <v>120.64</v>
      </c>
      <c r="C157" s="15">
        <v>120.64</v>
      </c>
      <c r="D157" s="15">
        <v>120.64</v>
      </c>
      <c r="E157" s="15">
        <v>120.64</v>
      </c>
      <c r="F157" s="15">
        <v>120.64</v>
      </c>
      <c r="G157" s="15">
        <v>0</v>
      </c>
      <c r="H157" s="15">
        <v>0</v>
      </c>
      <c r="I157" s="15">
        <v>39.56</v>
      </c>
      <c r="J157" s="15">
        <v>0</v>
      </c>
      <c r="K157" s="15">
        <v>0</v>
      </c>
      <c r="L157" s="15">
        <v>0</v>
      </c>
      <c r="M157" s="15">
        <v>0</v>
      </c>
      <c r="N157" s="15">
        <v>55.82</v>
      </c>
      <c r="O157" t="s">
        <v>75</v>
      </c>
    </row>
    <row r="158" spans="1:15" x14ac:dyDescent="0.25">
      <c r="A158" s="10" t="s">
        <v>412</v>
      </c>
      <c r="B158" s="15">
        <v>94.3</v>
      </c>
      <c r="C158" s="15">
        <v>73.52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16.309999999999999</v>
      </c>
      <c r="O158" t="s">
        <v>75</v>
      </c>
    </row>
    <row r="159" spans="1:15" x14ac:dyDescent="0.25">
      <c r="A159" s="10" t="s">
        <v>414</v>
      </c>
      <c r="B159" s="15">
        <v>75.53</v>
      </c>
      <c r="C159" s="15">
        <v>73.44</v>
      </c>
      <c r="D159" s="15">
        <v>73.44</v>
      </c>
      <c r="E159" s="15">
        <v>73.569999999999993</v>
      </c>
      <c r="F159" s="15">
        <v>119.79</v>
      </c>
      <c r="G159" s="15">
        <v>103.43</v>
      </c>
      <c r="H159" s="15">
        <v>178.99</v>
      </c>
      <c r="I159" s="15">
        <v>163.08000000000001</v>
      </c>
      <c r="J159" s="15">
        <v>104</v>
      </c>
      <c r="K159" s="15">
        <v>104</v>
      </c>
      <c r="L159" s="15">
        <v>104</v>
      </c>
      <c r="M159" s="15">
        <v>218.8</v>
      </c>
      <c r="N159" s="15">
        <v>108.7</v>
      </c>
      <c r="O159" t="s">
        <v>75</v>
      </c>
    </row>
    <row r="160" spans="1:15" x14ac:dyDescent="0.25">
      <c r="A160" s="10" t="s">
        <v>416</v>
      </c>
      <c r="B160" s="15">
        <v>110.53</v>
      </c>
      <c r="C160" s="15">
        <v>114.15</v>
      </c>
      <c r="D160" s="15">
        <v>116.49</v>
      </c>
      <c r="E160" s="15">
        <v>111.77</v>
      </c>
      <c r="F160" s="15">
        <v>108.22</v>
      </c>
      <c r="G160" s="15">
        <v>291.52</v>
      </c>
      <c r="H160" s="15">
        <v>50.15</v>
      </c>
      <c r="I160" s="15">
        <v>160.22999999999999</v>
      </c>
      <c r="J160" s="15">
        <v>121.56</v>
      </c>
      <c r="K160" s="15">
        <v>121.79</v>
      </c>
      <c r="L160" s="15">
        <v>140.57</v>
      </c>
      <c r="M160" s="15">
        <v>156.87</v>
      </c>
      <c r="N160" s="15">
        <v>141.61000000000001</v>
      </c>
      <c r="O160" t="s">
        <v>75</v>
      </c>
    </row>
    <row r="161" spans="1:15" x14ac:dyDescent="0.25">
      <c r="A161" s="10" t="s">
        <v>418</v>
      </c>
      <c r="B161" s="15">
        <v>0</v>
      </c>
      <c r="C161" s="15">
        <v>0</v>
      </c>
      <c r="D161" s="15">
        <v>0</v>
      </c>
      <c r="E161" s="15">
        <v>36.840000000000003</v>
      </c>
      <c r="F161" s="15">
        <v>116.25</v>
      </c>
      <c r="G161" s="15">
        <v>3.34</v>
      </c>
      <c r="H161" s="15">
        <v>0</v>
      </c>
      <c r="I161" s="15">
        <v>17.309999999999999</v>
      </c>
      <c r="J161" s="15">
        <v>0</v>
      </c>
      <c r="K161" s="15">
        <v>0</v>
      </c>
      <c r="L161" s="15">
        <v>0</v>
      </c>
      <c r="M161" s="15">
        <v>0</v>
      </c>
      <c r="N161" s="15">
        <v>10.01</v>
      </c>
      <c r="O161" t="s">
        <v>75</v>
      </c>
    </row>
    <row r="162" spans="1:15" x14ac:dyDescent="0.25">
      <c r="A162" s="10" t="s">
        <v>420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13.46</v>
      </c>
      <c r="H162" s="15">
        <v>42.29</v>
      </c>
      <c r="I162" s="15">
        <v>40.799999999999997</v>
      </c>
      <c r="J162" s="15">
        <v>40.799999999999997</v>
      </c>
      <c r="K162" s="15">
        <v>40.799999999999997</v>
      </c>
      <c r="L162" s="15">
        <v>40.799999999999997</v>
      </c>
      <c r="M162" s="15">
        <v>40.799999999999997</v>
      </c>
      <c r="N162" s="15">
        <v>20.399999999999999</v>
      </c>
      <c r="O162" t="s">
        <v>75</v>
      </c>
    </row>
    <row r="163" spans="1:15" x14ac:dyDescent="0.25">
      <c r="A163" s="10" t="s">
        <v>422</v>
      </c>
      <c r="B163" s="15">
        <v>104.08</v>
      </c>
      <c r="C163" s="15">
        <v>105.79</v>
      </c>
      <c r="D163" s="15">
        <v>142.37</v>
      </c>
      <c r="E163" s="15">
        <v>118.53</v>
      </c>
      <c r="F163" s="15">
        <v>145.08000000000001</v>
      </c>
      <c r="G163" s="15">
        <v>235.3</v>
      </c>
      <c r="H163" s="15">
        <v>131.47</v>
      </c>
      <c r="I163" s="15">
        <v>172.24</v>
      </c>
      <c r="J163" s="15">
        <v>161.83000000000001</v>
      </c>
      <c r="K163" s="15">
        <v>150.9</v>
      </c>
      <c r="L163" s="15">
        <v>160.49</v>
      </c>
      <c r="M163" s="15">
        <v>142.04</v>
      </c>
      <c r="N163" s="15">
        <v>151.63</v>
      </c>
      <c r="O163" t="s">
        <v>75</v>
      </c>
    </row>
    <row r="164" spans="1:15" x14ac:dyDescent="0.25">
      <c r="A164" s="10" t="s">
        <v>424</v>
      </c>
      <c r="B164" s="15">
        <v>95.44</v>
      </c>
      <c r="C164" s="15">
        <v>96.18</v>
      </c>
      <c r="D164" s="15">
        <v>99.52</v>
      </c>
      <c r="E164" s="15">
        <v>94.72</v>
      </c>
      <c r="F164" s="15">
        <v>96.36</v>
      </c>
      <c r="G164" s="15">
        <v>91.9</v>
      </c>
      <c r="H164" s="15">
        <v>140.5</v>
      </c>
      <c r="I164" s="15">
        <v>121.48</v>
      </c>
      <c r="J164" s="15">
        <v>102.41</v>
      </c>
      <c r="K164" s="15">
        <v>260.27999999999997</v>
      </c>
      <c r="L164" s="15">
        <v>5.61</v>
      </c>
      <c r="M164" s="15">
        <v>103.26</v>
      </c>
      <c r="N164" s="15">
        <v>106.93</v>
      </c>
      <c r="O164" t="s">
        <v>75</v>
      </c>
    </row>
    <row r="165" spans="1:15" x14ac:dyDescent="0.25">
      <c r="A165" s="10" t="s">
        <v>426</v>
      </c>
      <c r="B165" s="15">
        <v>101.75</v>
      </c>
      <c r="C165" s="15">
        <v>98.65</v>
      </c>
      <c r="D165" s="15">
        <v>251.03</v>
      </c>
      <c r="E165" s="15">
        <v>5.65</v>
      </c>
      <c r="F165" s="15">
        <v>93.92</v>
      </c>
      <c r="G165" s="15">
        <v>118.88</v>
      </c>
      <c r="H165" s="15">
        <v>347.62</v>
      </c>
      <c r="I165" s="15">
        <v>211.05</v>
      </c>
      <c r="J165" s="15">
        <v>150.75</v>
      </c>
      <c r="K165" s="15">
        <v>150.75</v>
      </c>
      <c r="L165" s="15">
        <v>150.75</v>
      </c>
      <c r="M165" s="15">
        <v>162.29</v>
      </c>
      <c r="N165" s="15">
        <v>156.26</v>
      </c>
      <c r="O165" t="s">
        <v>75</v>
      </c>
    </row>
    <row r="166" spans="1:15" x14ac:dyDescent="0.25">
      <c r="A166" s="10" t="s">
        <v>428</v>
      </c>
      <c r="B166" s="15">
        <v>223.14</v>
      </c>
      <c r="C166" s="15">
        <v>39.630000000000003</v>
      </c>
      <c r="D166" s="15">
        <v>105.68</v>
      </c>
      <c r="E166" s="15">
        <v>105.68</v>
      </c>
      <c r="F166" s="15">
        <v>102.15</v>
      </c>
      <c r="G166" s="15">
        <v>105.68</v>
      </c>
      <c r="H166" s="15">
        <v>157.87</v>
      </c>
      <c r="I166" s="15">
        <v>162.36000000000001</v>
      </c>
      <c r="J166" s="15">
        <v>120.96</v>
      </c>
      <c r="K166" s="15">
        <v>120.96</v>
      </c>
      <c r="L166" s="15">
        <v>120.96</v>
      </c>
      <c r="M166" s="15">
        <v>160.34</v>
      </c>
      <c r="N166" s="15">
        <v>120.96</v>
      </c>
      <c r="O166" t="s">
        <v>75</v>
      </c>
    </row>
    <row r="167" spans="1:15" x14ac:dyDescent="0.25">
      <c r="A167" s="10" t="s">
        <v>430</v>
      </c>
      <c r="B167" s="15">
        <v>155.53</v>
      </c>
      <c r="C167" s="15">
        <v>108.85</v>
      </c>
      <c r="D167" s="15">
        <v>154.86000000000001</v>
      </c>
      <c r="E167" s="15">
        <v>115.23</v>
      </c>
      <c r="F167" s="15">
        <v>175.99</v>
      </c>
      <c r="G167" s="15">
        <v>108.85</v>
      </c>
      <c r="H167" s="15">
        <v>381.63</v>
      </c>
      <c r="I167" s="15">
        <v>120.16</v>
      </c>
      <c r="J167" s="15">
        <v>143.66999999999999</v>
      </c>
      <c r="K167" s="15">
        <v>158.79</v>
      </c>
      <c r="L167" s="15">
        <v>170.58</v>
      </c>
      <c r="M167" s="15">
        <v>148.88999999999999</v>
      </c>
      <c r="N167" s="15">
        <v>154.15</v>
      </c>
      <c r="O167" t="s">
        <v>75</v>
      </c>
    </row>
    <row r="168" spans="1:15" x14ac:dyDescent="0.25">
      <c r="A168" s="10" t="s">
        <v>432</v>
      </c>
      <c r="B168" s="15">
        <v>148.43</v>
      </c>
      <c r="C168" s="15">
        <v>149.12</v>
      </c>
      <c r="D168" s="15">
        <v>150.13</v>
      </c>
      <c r="E168" s="15">
        <v>145.86000000000001</v>
      </c>
      <c r="F168" s="15">
        <v>141.28</v>
      </c>
      <c r="G168" s="15">
        <v>141.62</v>
      </c>
      <c r="H168" s="15">
        <v>190.87</v>
      </c>
      <c r="I168" s="15">
        <v>186.39</v>
      </c>
      <c r="J168" s="15">
        <v>157.09</v>
      </c>
      <c r="K168" s="15">
        <v>157.09</v>
      </c>
      <c r="L168" s="15">
        <v>155.87</v>
      </c>
      <c r="M168" s="15">
        <v>234.51</v>
      </c>
      <c r="N168" s="15">
        <v>159.19</v>
      </c>
      <c r="O168" t="s">
        <v>75</v>
      </c>
    </row>
    <row r="169" spans="1:15" x14ac:dyDescent="0.25">
      <c r="A169" s="10" t="s">
        <v>434</v>
      </c>
      <c r="B169" s="15">
        <v>77.28</v>
      </c>
      <c r="C169" s="15">
        <v>77.28</v>
      </c>
      <c r="D169" s="15">
        <v>77.28</v>
      </c>
      <c r="E169" s="15">
        <v>90.54</v>
      </c>
      <c r="F169" s="15">
        <v>109.17</v>
      </c>
      <c r="G169" s="15">
        <v>112.55</v>
      </c>
      <c r="H169" s="15">
        <v>194.28</v>
      </c>
      <c r="I169" s="15">
        <v>183.78</v>
      </c>
      <c r="J169" s="15">
        <v>117.52</v>
      </c>
      <c r="K169" s="15">
        <v>117.52</v>
      </c>
      <c r="L169" s="15">
        <v>228.1</v>
      </c>
      <c r="M169" s="15">
        <v>116.55</v>
      </c>
      <c r="N169" s="15">
        <v>119.42</v>
      </c>
      <c r="O169" t="s">
        <v>75</v>
      </c>
    </row>
    <row r="170" spans="1:15" x14ac:dyDescent="0.25">
      <c r="A170" s="10" t="s">
        <v>436</v>
      </c>
      <c r="B170" s="15">
        <v>104.4</v>
      </c>
      <c r="C170" s="15">
        <v>183.94</v>
      </c>
      <c r="D170" s="15">
        <v>89.06</v>
      </c>
      <c r="E170" s="15">
        <v>104.4</v>
      </c>
      <c r="F170" s="15">
        <v>108.28</v>
      </c>
      <c r="G170" s="15">
        <v>104.4</v>
      </c>
      <c r="H170" s="15">
        <v>155.97999999999999</v>
      </c>
      <c r="I170" s="15">
        <v>155.25</v>
      </c>
      <c r="J170" s="15">
        <v>115.92</v>
      </c>
      <c r="K170" s="15">
        <v>115.92</v>
      </c>
      <c r="L170" s="15">
        <v>120.51</v>
      </c>
      <c r="M170" s="15">
        <v>115.92</v>
      </c>
      <c r="N170" s="15">
        <v>116.89</v>
      </c>
      <c r="O170" t="s">
        <v>75</v>
      </c>
    </row>
    <row r="171" spans="1:15" x14ac:dyDescent="0.25">
      <c r="A171" s="10" t="s">
        <v>438</v>
      </c>
      <c r="B171" s="15">
        <v>101.76</v>
      </c>
      <c r="C171" s="15">
        <v>101.87</v>
      </c>
      <c r="D171" s="15">
        <v>103.39</v>
      </c>
      <c r="E171" s="15">
        <v>100.78</v>
      </c>
      <c r="F171" s="15">
        <v>97.45</v>
      </c>
      <c r="G171" s="15">
        <v>97.6</v>
      </c>
      <c r="H171" s="15">
        <v>148.59</v>
      </c>
      <c r="I171" s="15">
        <v>144.72</v>
      </c>
      <c r="J171" s="15">
        <v>108.22</v>
      </c>
      <c r="K171" s="15">
        <v>107.71</v>
      </c>
      <c r="L171" s="15">
        <v>107.91</v>
      </c>
      <c r="M171" s="15">
        <v>287.16000000000003</v>
      </c>
      <c r="N171" s="15">
        <v>109.67</v>
      </c>
      <c r="O171" t="s">
        <v>75</v>
      </c>
    </row>
    <row r="172" spans="1:15" x14ac:dyDescent="0.25">
      <c r="A172" s="10" t="s">
        <v>440</v>
      </c>
      <c r="B172" s="15">
        <v>63.64</v>
      </c>
      <c r="C172" s="15">
        <v>73.44</v>
      </c>
      <c r="D172" s="15">
        <v>90.34</v>
      </c>
      <c r="E172" s="15">
        <v>79.349999999999994</v>
      </c>
      <c r="F172" s="15">
        <v>77.03</v>
      </c>
      <c r="G172" s="15">
        <v>75.959999999999994</v>
      </c>
      <c r="H172" s="15">
        <v>100.24</v>
      </c>
      <c r="I172" s="15">
        <v>102.52</v>
      </c>
      <c r="J172" s="15">
        <v>84.86</v>
      </c>
      <c r="K172" s="15">
        <v>84.42</v>
      </c>
      <c r="L172" s="15">
        <v>81.44</v>
      </c>
      <c r="M172" s="15">
        <v>84.96</v>
      </c>
      <c r="N172" s="15">
        <v>85.06</v>
      </c>
      <c r="O172" t="s">
        <v>75</v>
      </c>
    </row>
    <row r="173" spans="1:15" x14ac:dyDescent="0.25">
      <c r="A173" s="10" t="s">
        <v>442</v>
      </c>
      <c r="B173" s="15">
        <v>79.459999999999994</v>
      </c>
      <c r="C173" s="15">
        <v>79.67</v>
      </c>
      <c r="D173" s="15">
        <v>81.34</v>
      </c>
      <c r="E173" s="15">
        <v>78.989999999999995</v>
      </c>
      <c r="F173" s="15">
        <v>79.31</v>
      </c>
      <c r="G173" s="15">
        <v>76.36</v>
      </c>
      <c r="H173" s="15">
        <v>104.79</v>
      </c>
      <c r="I173" s="15">
        <v>102.61</v>
      </c>
      <c r="J173" s="15">
        <v>252.85</v>
      </c>
      <c r="K173" s="15">
        <v>4.8</v>
      </c>
      <c r="L173" s="15">
        <v>80.12</v>
      </c>
      <c r="M173" s="15">
        <v>84.42</v>
      </c>
      <c r="N173" s="15">
        <v>85.83</v>
      </c>
      <c r="O173" t="s">
        <v>75</v>
      </c>
    </row>
    <row r="174" spans="1:15" x14ac:dyDescent="0.25">
      <c r="A174" s="10" t="s">
        <v>444</v>
      </c>
      <c r="B174" s="15">
        <v>227.83</v>
      </c>
      <c r="C174" s="15">
        <v>72.42</v>
      </c>
      <c r="D174" s="15">
        <v>114.54</v>
      </c>
      <c r="E174" s="15">
        <v>116.49</v>
      </c>
      <c r="F174" s="15">
        <v>112.09</v>
      </c>
      <c r="G174" s="15">
        <v>112.79</v>
      </c>
      <c r="H174" s="15">
        <v>171.01</v>
      </c>
      <c r="I174" s="15">
        <v>115.09</v>
      </c>
      <c r="J174" s="15">
        <v>0</v>
      </c>
      <c r="K174" s="15">
        <v>0</v>
      </c>
      <c r="L174" s="15">
        <v>0</v>
      </c>
      <c r="M174" s="15">
        <v>0</v>
      </c>
      <c r="N174" s="15">
        <v>84.73</v>
      </c>
      <c r="O174" t="s">
        <v>75</v>
      </c>
    </row>
    <row r="175" spans="1:15" x14ac:dyDescent="0.25">
      <c r="A175" s="10" t="s">
        <v>446</v>
      </c>
      <c r="B175" s="15">
        <v>152.58000000000001</v>
      </c>
      <c r="C175" s="15">
        <v>155.6</v>
      </c>
      <c r="D175" s="15">
        <v>155.86000000000001</v>
      </c>
      <c r="E175" s="15">
        <v>305.14</v>
      </c>
      <c r="F175" s="15">
        <v>69.03</v>
      </c>
      <c r="G175" s="15">
        <v>168.01</v>
      </c>
      <c r="H175" s="15">
        <v>318.70999999999998</v>
      </c>
      <c r="I175" s="15">
        <v>211.08</v>
      </c>
      <c r="J175" s="15">
        <v>185.8</v>
      </c>
      <c r="K175" s="15">
        <v>185.94</v>
      </c>
      <c r="L175" s="15">
        <v>185.2</v>
      </c>
      <c r="M175" s="15">
        <v>185.9</v>
      </c>
      <c r="N175" s="15">
        <v>188.11</v>
      </c>
      <c r="O175" t="s">
        <v>75</v>
      </c>
    </row>
    <row r="176" spans="1:15" x14ac:dyDescent="0.25">
      <c r="A176" s="10" t="s">
        <v>450</v>
      </c>
      <c r="B176" s="15">
        <v>73.44</v>
      </c>
      <c r="C176" s="15">
        <v>73.44</v>
      </c>
      <c r="D176" s="15">
        <v>73.44</v>
      </c>
      <c r="E176" s="15">
        <v>73.44</v>
      </c>
      <c r="F176" s="15">
        <v>73.44</v>
      </c>
      <c r="G176" s="15">
        <v>174.78</v>
      </c>
      <c r="H176" s="15">
        <v>50.35</v>
      </c>
      <c r="I176" s="15">
        <v>94.51</v>
      </c>
      <c r="J176" s="15">
        <v>81.599999999999994</v>
      </c>
      <c r="K176" s="15">
        <v>81.599999999999994</v>
      </c>
      <c r="L176" s="15">
        <v>93.04</v>
      </c>
      <c r="M176" s="15">
        <v>114.74</v>
      </c>
      <c r="N176" s="15">
        <v>104</v>
      </c>
      <c r="O176" t="s">
        <v>75</v>
      </c>
    </row>
    <row r="177" spans="1:15" x14ac:dyDescent="0.25">
      <c r="A177" s="10" t="s">
        <v>452</v>
      </c>
      <c r="B177" s="15">
        <v>0</v>
      </c>
      <c r="C177" s="15">
        <v>0</v>
      </c>
      <c r="D177" s="15">
        <v>0</v>
      </c>
      <c r="E177" s="15">
        <v>55.84</v>
      </c>
      <c r="F177" s="15">
        <v>104.11</v>
      </c>
      <c r="G177" s="15">
        <v>83.76</v>
      </c>
      <c r="H177" s="15">
        <v>116.05</v>
      </c>
      <c r="I177" s="15">
        <v>106.77</v>
      </c>
      <c r="J177" s="15">
        <v>102.36</v>
      </c>
      <c r="K177" s="15">
        <v>98</v>
      </c>
      <c r="L177" s="15">
        <v>98</v>
      </c>
      <c r="M177" s="15">
        <v>116.79</v>
      </c>
      <c r="N177" s="15">
        <v>76.59</v>
      </c>
      <c r="O177" t="s">
        <v>75</v>
      </c>
    </row>
    <row r="178" spans="1:15" x14ac:dyDescent="0.25">
      <c r="A178" s="10" t="s">
        <v>454</v>
      </c>
      <c r="B178" s="15">
        <v>116.23</v>
      </c>
      <c r="C178" s="15">
        <v>88.08</v>
      </c>
      <c r="D178" s="15">
        <v>109.77</v>
      </c>
      <c r="E178" s="15">
        <v>113.8</v>
      </c>
      <c r="F178" s="15">
        <v>188.3</v>
      </c>
      <c r="G178" s="15">
        <v>88.08</v>
      </c>
      <c r="H178" s="15">
        <v>147.82</v>
      </c>
      <c r="I178" s="15">
        <v>117.36</v>
      </c>
      <c r="J178" s="15">
        <v>283.62</v>
      </c>
      <c r="K178" s="15">
        <v>3.67</v>
      </c>
      <c r="L178" s="15">
        <v>94.73</v>
      </c>
      <c r="M178" s="15">
        <v>98</v>
      </c>
      <c r="N178" s="15">
        <v>113.26</v>
      </c>
      <c r="O178" t="s">
        <v>75</v>
      </c>
    </row>
    <row r="179" spans="1:15" x14ac:dyDescent="0.25">
      <c r="A179" s="10" t="s">
        <v>456</v>
      </c>
      <c r="B179" s="15">
        <v>141.91999999999999</v>
      </c>
      <c r="C179" s="15">
        <v>146.26</v>
      </c>
      <c r="D179" s="15">
        <v>149.72</v>
      </c>
      <c r="E179" s="15">
        <v>165.61</v>
      </c>
      <c r="F179" s="15">
        <v>146.96</v>
      </c>
      <c r="G179" s="15">
        <v>145.55000000000001</v>
      </c>
      <c r="H179" s="15">
        <v>197.06</v>
      </c>
      <c r="I179" s="15">
        <v>190.41</v>
      </c>
      <c r="J179" s="15">
        <v>161.35</v>
      </c>
      <c r="K179" s="15">
        <v>160.91999999999999</v>
      </c>
      <c r="L179" s="15">
        <v>160.22999999999999</v>
      </c>
      <c r="M179" s="15">
        <v>244.33</v>
      </c>
      <c r="N179" s="15">
        <v>162.97</v>
      </c>
      <c r="O179" t="s">
        <v>75</v>
      </c>
    </row>
    <row r="180" spans="1:15" x14ac:dyDescent="0.25">
      <c r="A180" s="10" t="s">
        <v>458</v>
      </c>
      <c r="B180" s="15">
        <v>78.540000000000006</v>
      </c>
      <c r="C180" s="15">
        <v>73.44</v>
      </c>
      <c r="D180" s="15">
        <v>78.17</v>
      </c>
      <c r="E180" s="15">
        <v>73.44</v>
      </c>
      <c r="F180" s="15">
        <v>85.12</v>
      </c>
      <c r="G180" s="15">
        <v>73.44</v>
      </c>
      <c r="H180" s="15">
        <v>107.58</v>
      </c>
      <c r="I180" s="15">
        <v>99.96</v>
      </c>
      <c r="J180" s="15">
        <v>81.599999999999994</v>
      </c>
      <c r="K180" s="15">
        <v>81.599999999999994</v>
      </c>
      <c r="L180" s="15">
        <v>81.599999999999994</v>
      </c>
      <c r="M180" s="15">
        <v>81.599999999999994</v>
      </c>
      <c r="N180" s="15">
        <v>84.19</v>
      </c>
      <c r="O180" t="s">
        <v>75</v>
      </c>
    </row>
    <row r="181" spans="1:15" x14ac:dyDescent="0.25">
      <c r="A181" s="10" t="s">
        <v>460</v>
      </c>
      <c r="B181" s="15">
        <v>221.14</v>
      </c>
      <c r="C181" s="15">
        <v>551.74</v>
      </c>
      <c r="D181" s="15">
        <v>133.76</v>
      </c>
      <c r="E181" s="15">
        <v>230.04</v>
      </c>
      <c r="F181" s="15">
        <v>323.05</v>
      </c>
      <c r="G181" s="15">
        <v>218.88</v>
      </c>
      <c r="H181" s="15">
        <v>417.32</v>
      </c>
      <c r="I181" s="15">
        <v>348.89</v>
      </c>
      <c r="J181" s="15">
        <v>340.5</v>
      </c>
      <c r="K181" s="15">
        <v>297.11</v>
      </c>
      <c r="L181" s="15">
        <v>312.13</v>
      </c>
      <c r="M181" s="15">
        <v>314.23</v>
      </c>
      <c r="N181" s="15">
        <v>322.77</v>
      </c>
      <c r="O181" t="s">
        <v>75</v>
      </c>
    </row>
    <row r="182" spans="1:15" x14ac:dyDescent="0.25">
      <c r="A182" s="10" t="s">
        <v>462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18.600000000000001</v>
      </c>
      <c r="L182" s="15">
        <v>93.04</v>
      </c>
      <c r="M182" s="15">
        <v>102.57</v>
      </c>
      <c r="N182" s="15">
        <v>15.5</v>
      </c>
      <c r="O182" t="s">
        <v>75</v>
      </c>
    </row>
    <row r="183" spans="1:15" x14ac:dyDescent="0.25">
      <c r="A183" s="10" t="s">
        <v>464</v>
      </c>
      <c r="B183" s="15">
        <v>87.08</v>
      </c>
      <c r="C183" s="15">
        <v>100.48</v>
      </c>
      <c r="D183" s="15">
        <v>100.48</v>
      </c>
      <c r="E183" s="15">
        <v>105.68</v>
      </c>
      <c r="F183" s="15">
        <v>151.02000000000001</v>
      </c>
      <c r="G183" s="15">
        <v>105.68</v>
      </c>
      <c r="H183" s="15">
        <v>155.05000000000001</v>
      </c>
      <c r="I183" s="15">
        <v>151.49</v>
      </c>
      <c r="J183" s="15">
        <v>117.36</v>
      </c>
      <c r="K183" s="15">
        <v>117.36</v>
      </c>
      <c r="L183" s="15">
        <v>121.03</v>
      </c>
      <c r="M183" s="15">
        <v>143.27000000000001</v>
      </c>
      <c r="N183" s="15">
        <v>120.27</v>
      </c>
      <c r="O183" t="s">
        <v>75</v>
      </c>
    </row>
    <row r="184" spans="1:15" x14ac:dyDescent="0.25">
      <c r="A184" s="10" t="s">
        <v>466</v>
      </c>
      <c r="B184" s="15">
        <v>119.17</v>
      </c>
      <c r="C184" s="15">
        <v>156.88999999999999</v>
      </c>
      <c r="D184" s="15">
        <v>303.74</v>
      </c>
      <c r="E184" s="15">
        <v>336.23</v>
      </c>
      <c r="F184" s="15">
        <v>312.10000000000002</v>
      </c>
      <c r="G184" s="15">
        <v>202.17</v>
      </c>
      <c r="H184" s="15">
        <v>382.81</v>
      </c>
      <c r="I184" s="15">
        <v>318.58999999999997</v>
      </c>
      <c r="J184" s="15">
        <v>300.5</v>
      </c>
      <c r="K184" s="15">
        <v>224.51</v>
      </c>
      <c r="L184" s="15">
        <v>296.02</v>
      </c>
      <c r="M184" s="15">
        <v>224.51</v>
      </c>
      <c r="N184" s="15">
        <v>295.42</v>
      </c>
      <c r="O184" t="s">
        <v>75</v>
      </c>
    </row>
    <row r="185" spans="1:15" x14ac:dyDescent="0.25">
      <c r="A185" s="10" t="s">
        <v>468</v>
      </c>
      <c r="B185" s="15">
        <v>117</v>
      </c>
      <c r="C185" s="15">
        <v>117</v>
      </c>
      <c r="D185" s="15">
        <v>121.78</v>
      </c>
      <c r="E185" s="15">
        <v>117</v>
      </c>
      <c r="F185" s="15">
        <v>118.8</v>
      </c>
      <c r="G185" s="15">
        <v>225.13</v>
      </c>
      <c r="H185" s="15">
        <v>116.86</v>
      </c>
      <c r="I185" s="15">
        <v>173.5</v>
      </c>
      <c r="J185" s="15">
        <v>147.53</v>
      </c>
      <c r="K185" s="15">
        <v>146.18</v>
      </c>
      <c r="L185" s="15">
        <v>146.57</v>
      </c>
      <c r="M185" s="15">
        <v>146.18</v>
      </c>
      <c r="N185" s="15">
        <v>147.52000000000001</v>
      </c>
      <c r="O185" t="s">
        <v>75</v>
      </c>
    </row>
    <row r="186" spans="1:15" x14ac:dyDescent="0.25">
      <c r="A186" s="10" t="s">
        <v>470</v>
      </c>
      <c r="B186" s="15">
        <v>7.11</v>
      </c>
      <c r="C186" s="15">
        <v>70.099999999999994</v>
      </c>
      <c r="D186" s="15">
        <v>80.099999999999994</v>
      </c>
      <c r="E186" s="15">
        <v>82.85</v>
      </c>
      <c r="F186" s="15">
        <v>70.510000000000005</v>
      </c>
      <c r="G186" s="15">
        <v>70.510000000000005</v>
      </c>
      <c r="H186" s="15">
        <v>101.1</v>
      </c>
      <c r="I186" s="15">
        <v>99.96</v>
      </c>
      <c r="J186" s="15">
        <v>81.599999999999994</v>
      </c>
      <c r="K186" s="15">
        <v>81.599999999999994</v>
      </c>
      <c r="L186" s="15">
        <v>78.349999999999994</v>
      </c>
      <c r="M186" s="15">
        <v>194.48</v>
      </c>
      <c r="N186" s="15">
        <v>83.55</v>
      </c>
      <c r="O186" t="s">
        <v>75</v>
      </c>
    </row>
    <row r="187" spans="1:15" x14ac:dyDescent="0.25">
      <c r="A187" s="10" t="s">
        <v>472</v>
      </c>
      <c r="B187" s="15">
        <v>78.89</v>
      </c>
      <c r="C187" s="15">
        <v>76.02</v>
      </c>
      <c r="D187" s="15">
        <v>34.06</v>
      </c>
      <c r="E187" s="15">
        <v>0</v>
      </c>
      <c r="F187" s="15">
        <v>0</v>
      </c>
      <c r="G187" s="15">
        <v>0</v>
      </c>
      <c r="H187" s="15">
        <v>0</v>
      </c>
      <c r="I187" s="15">
        <v>3.78</v>
      </c>
      <c r="J187" s="15">
        <v>0</v>
      </c>
      <c r="K187" s="15">
        <v>0</v>
      </c>
      <c r="L187" s="15">
        <v>0</v>
      </c>
      <c r="M187" s="15">
        <v>0</v>
      </c>
      <c r="N187" s="15">
        <v>14.51</v>
      </c>
      <c r="O187" t="s">
        <v>75</v>
      </c>
    </row>
    <row r="188" spans="1:15" x14ac:dyDescent="0.25">
      <c r="A188" s="10" t="s">
        <v>474</v>
      </c>
      <c r="B188" s="15">
        <v>91.52</v>
      </c>
      <c r="C188" s="15">
        <v>191.08</v>
      </c>
      <c r="D188" s="15">
        <v>68.260000000000005</v>
      </c>
      <c r="E188" s="15">
        <v>105.2</v>
      </c>
      <c r="F188" s="15">
        <v>117.76</v>
      </c>
      <c r="G188" s="15">
        <v>120.64</v>
      </c>
      <c r="H188" s="15">
        <v>211.71</v>
      </c>
      <c r="I188" s="15">
        <v>205.31</v>
      </c>
      <c r="J188" s="15">
        <v>150.75</v>
      </c>
      <c r="K188" s="15">
        <v>159.61000000000001</v>
      </c>
      <c r="L188" s="15">
        <v>150.75</v>
      </c>
      <c r="M188" s="15">
        <v>383.57</v>
      </c>
      <c r="N188" s="15">
        <v>159.81</v>
      </c>
      <c r="O188" t="s">
        <v>75</v>
      </c>
    </row>
    <row r="189" spans="1:15" x14ac:dyDescent="0.25">
      <c r="A189" s="10" t="s">
        <v>476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67.53</v>
      </c>
      <c r="I189" s="15">
        <v>87.5</v>
      </c>
      <c r="J189" s="15">
        <v>81.599999999999994</v>
      </c>
      <c r="K189" s="15">
        <v>81.599999999999994</v>
      </c>
      <c r="L189" s="15">
        <v>87.12</v>
      </c>
      <c r="M189" s="15">
        <v>81.599999999999994</v>
      </c>
      <c r="N189" s="15">
        <v>41.26</v>
      </c>
      <c r="O189" t="s">
        <v>75</v>
      </c>
    </row>
    <row r="190" spans="1:15" x14ac:dyDescent="0.25">
      <c r="A190" s="10" t="s">
        <v>478</v>
      </c>
      <c r="B190" s="15">
        <v>91.25</v>
      </c>
      <c r="C190" s="15">
        <v>158.84</v>
      </c>
      <c r="D190" s="15">
        <v>61.8</v>
      </c>
      <c r="E190" s="15">
        <v>89.75</v>
      </c>
      <c r="F190" s="15">
        <v>111.58</v>
      </c>
      <c r="G190" s="15">
        <v>89.6</v>
      </c>
      <c r="H190" s="15">
        <v>120.38</v>
      </c>
      <c r="I190" s="15">
        <v>117.7</v>
      </c>
      <c r="J190" s="15">
        <v>100.1</v>
      </c>
      <c r="K190" s="15">
        <v>99.52</v>
      </c>
      <c r="L190" s="15">
        <v>99.52</v>
      </c>
      <c r="M190" s="15">
        <v>99.52</v>
      </c>
      <c r="N190" s="15">
        <v>102.43</v>
      </c>
      <c r="O190" t="s">
        <v>75</v>
      </c>
    </row>
    <row r="191" spans="1:15" x14ac:dyDescent="0.25">
      <c r="A191" s="10" t="s">
        <v>480</v>
      </c>
      <c r="B191" s="15">
        <v>120.64</v>
      </c>
      <c r="C191" s="15">
        <v>120.64</v>
      </c>
      <c r="D191" s="15">
        <v>120.64</v>
      </c>
      <c r="E191" s="15">
        <v>120.64</v>
      </c>
      <c r="F191" s="15">
        <v>120.64</v>
      </c>
      <c r="G191" s="15">
        <v>120.64</v>
      </c>
      <c r="H191" s="15">
        <v>180.81</v>
      </c>
      <c r="I191" s="15">
        <v>182.65</v>
      </c>
      <c r="J191" s="15">
        <v>155.61000000000001</v>
      </c>
      <c r="K191" s="15">
        <v>155.55000000000001</v>
      </c>
      <c r="L191" s="15">
        <v>234.67</v>
      </c>
      <c r="M191" s="15">
        <v>121.85</v>
      </c>
      <c r="N191" s="15">
        <v>151.94</v>
      </c>
      <c r="O191" t="s">
        <v>75</v>
      </c>
    </row>
    <row r="192" spans="1:15" x14ac:dyDescent="0.25">
      <c r="A192" s="10" t="s">
        <v>482</v>
      </c>
      <c r="B192" s="15">
        <v>164.17</v>
      </c>
      <c r="C192" s="15">
        <v>289.77999999999997</v>
      </c>
      <c r="D192" s="15">
        <v>107.96</v>
      </c>
      <c r="E192" s="15">
        <v>162.85</v>
      </c>
      <c r="F192" s="15">
        <v>315.37</v>
      </c>
      <c r="G192" s="15">
        <v>161.94</v>
      </c>
      <c r="H192" s="15">
        <v>224.3</v>
      </c>
      <c r="I192" s="15">
        <v>211.68</v>
      </c>
      <c r="J192" s="15">
        <v>183.25</v>
      </c>
      <c r="K192" s="15">
        <v>179.83</v>
      </c>
      <c r="L192" s="15">
        <v>190.2</v>
      </c>
      <c r="M192" s="15">
        <v>513.38</v>
      </c>
      <c r="N192" s="15">
        <v>191.13</v>
      </c>
      <c r="O192" t="s">
        <v>75</v>
      </c>
    </row>
    <row r="193" spans="1:15" x14ac:dyDescent="0.25">
      <c r="A193" s="10" t="s">
        <v>484</v>
      </c>
      <c r="B193" s="15">
        <v>143.91999999999999</v>
      </c>
      <c r="C193" s="15">
        <v>140.85</v>
      </c>
      <c r="D193" s="15">
        <v>151.22</v>
      </c>
      <c r="E193" s="15">
        <v>123.05</v>
      </c>
      <c r="F193" s="15">
        <v>120.1</v>
      </c>
      <c r="G193" s="15">
        <v>144.56</v>
      </c>
      <c r="H193" s="15">
        <v>394.69</v>
      </c>
      <c r="I193" s="15">
        <v>84.16</v>
      </c>
      <c r="J193" s="15">
        <v>147.22999999999999</v>
      </c>
      <c r="K193" s="15">
        <v>148.62</v>
      </c>
      <c r="L193" s="15">
        <v>146.27000000000001</v>
      </c>
      <c r="M193" s="15">
        <v>143.87</v>
      </c>
      <c r="N193" s="15">
        <v>153.31</v>
      </c>
      <c r="O193" t="s">
        <v>75</v>
      </c>
    </row>
    <row r="194" spans="1:15" x14ac:dyDescent="0.25">
      <c r="A194" s="10" t="s">
        <v>486</v>
      </c>
      <c r="B194" s="15">
        <v>170.61</v>
      </c>
      <c r="C194" s="15">
        <v>167.85</v>
      </c>
      <c r="D194" s="15">
        <v>261.75</v>
      </c>
      <c r="E194" s="15">
        <v>139.87</v>
      </c>
      <c r="F194" s="15">
        <v>349.59</v>
      </c>
      <c r="G194" s="15">
        <v>167.85</v>
      </c>
      <c r="H194" s="15">
        <v>309.12</v>
      </c>
      <c r="I194" s="15">
        <v>219.79</v>
      </c>
      <c r="J194" s="15">
        <v>191.98</v>
      </c>
      <c r="K194" s="15">
        <v>191.98</v>
      </c>
      <c r="L194" s="15">
        <v>196.95</v>
      </c>
      <c r="M194" s="15">
        <v>375.85</v>
      </c>
      <c r="N194" s="15">
        <v>204.74</v>
      </c>
      <c r="O194" t="s">
        <v>75</v>
      </c>
    </row>
    <row r="195" spans="1:15" x14ac:dyDescent="0.25">
      <c r="A195" s="10" t="s">
        <v>488</v>
      </c>
      <c r="B195" s="15">
        <v>109.01</v>
      </c>
      <c r="C195" s="15">
        <v>109.01</v>
      </c>
      <c r="D195" s="15">
        <v>144.91999999999999</v>
      </c>
      <c r="E195" s="15">
        <v>218.02</v>
      </c>
      <c r="F195" s="15">
        <v>42.4</v>
      </c>
      <c r="G195" s="15">
        <v>109.01</v>
      </c>
      <c r="H195" s="15">
        <v>174.04</v>
      </c>
      <c r="I195" s="15">
        <v>158.07</v>
      </c>
      <c r="J195" s="15">
        <v>121.04</v>
      </c>
      <c r="K195" s="15">
        <v>121.04</v>
      </c>
      <c r="L195" s="15">
        <v>121.04</v>
      </c>
      <c r="M195" s="15">
        <v>121.04</v>
      </c>
      <c r="N195" s="15">
        <v>123.21</v>
      </c>
      <c r="O195" t="s">
        <v>75</v>
      </c>
    </row>
    <row r="196" spans="1:15" x14ac:dyDescent="0.25">
      <c r="A196" s="10" t="s">
        <v>492</v>
      </c>
      <c r="B196" s="15">
        <v>93.6</v>
      </c>
      <c r="C196" s="15">
        <v>93.6</v>
      </c>
      <c r="D196" s="15">
        <v>93.9</v>
      </c>
      <c r="E196" s="15">
        <v>93.6</v>
      </c>
      <c r="F196" s="15">
        <v>90.48</v>
      </c>
      <c r="G196" s="15">
        <v>93.6</v>
      </c>
      <c r="H196" s="15">
        <v>124.48</v>
      </c>
      <c r="I196" s="15">
        <v>140.4</v>
      </c>
      <c r="J196" s="15">
        <v>104</v>
      </c>
      <c r="K196" s="15">
        <v>104</v>
      </c>
      <c r="L196" s="15">
        <v>104</v>
      </c>
      <c r="M196" s="15">
        <v>289.07</v>
      </c>
      <c r="N196" s="15">
        <v>104.03</v>
      </c>
      <c r="O196" t="s">
        <v>75</v>
      </c>
    </row>
    <row r="197" spans="1:15" x14ac:dyDescent="0.25">
      <c r="A197" s="10" t="s">
        <v>494</v>
      </c>
      <c r="B197" s="15">
        <v>77.36</v>
      </c>
      <c r="C197" s="15">
        <v>77.36</v>
      </c>
      <c r="D197" s="15">
        <v>127.29</v>
      </c>
      <c r="E197" s="15">
        <v>54.16</v>
      </c>
      <c r="F197" s="15">
        <v>82.69</v>
      </c>
      <c r="G197" s="15">
        <v>77.36</v>
      </c>
      <c r="H197" s="15">
        <v>116.01</v>
      </c>
      <c r="I197" s="15">
        <v>102.76</v>
      </c>
      <c r="J197" s="15">
        <v>88.49</v>
      </c>
      <c r="K197" s="15">
        <v>88.49</v>
      </c>
      <c r="L197" s="15">
        <v>88.49</v>
      </c>
      <c r="M197" s="15">
        <v>193.4</v>
      </c>
      <c r="N197" s="15">
        <v>89.98</v>
      </c>
      <c r="O197" t="s">
        <v>75</v>
      </c>
    </row>
    <row r="198" spans="1:15" x14ac:dyDescent="0.25">
      <c r="A198" s="10" t="s">
        <v>496</v>
      </c>
      <c r="B198" s="15">
        <v>64.92</v>
      </c>
      <c r="C198" s="15">
        <v>81.94</v>
      </c>
      <c r="D198" s="15">
        <v>83.35</v>
      </c>
      <c r="E198" s="15">
        <v>87.56</v>
      </c>
      <c r="F198" s="15">
        <v>78.239999999999995</v>
      </c>
      <c r="G198" s="15">
        <v>78.83</v>
      </c>
      <c r="H198" s="15">
        <v>107.09</v>
      </c>
      <c r="I198" s="15">
        <v>103.13</v>
      </c>
      <c r="J198" s="15">
        <v>87.16</v>
      </c>
      <c r="K198" s="15">
        <v>86.94</v>
      </c>
      <c r="L198" s="15">
        <v>98.19</v>
      </c>
      <c r="M198" s="15">
        <v>171.25</v>
      </c>
      <c r="N198" s="15">
        <v>112.88</v>
      </c>
      <c r="O198" t="s">
        <v>75</v>
      </c>
    </row>
    <row r="199" spans="1:15" x14ac:dyDescent="0.25">
      <c r="A199" s="10" t="s">
        <v>498</v>
      </c>
      <c r="B199" s="15">
        <v>93.6</v>
      </c>
      <c r="C199" s="15">
        <v>93.6</v>
      </c>
      <c r="D199" s="15">
        <v>93.6</v>
      </c>
      <c r="E199" s="15">
        <v>93.6</v>
      </c>
      <c r="F199" s="15">
        <v>93.6</v>
      </c>
      <c r="G199" s="15">
        <v>93.6</v>
      </c>
      <c r="H199" s="15">
        <v>300.14999999999998</v>
      </c>
      <c r="I199" s="15">
        <v>23.4</v>
      </c>
      <c r="J199" s="15">
        <v>104</v>
      </c>
      <c r="K199" s="15">
        <v>104</v>
      </c>
      <c r="L199" s="15">
        <v>104</v>
      </c>
      <c r="M199" s="15">
        <v>104</v>
      </c>
      <c r="N199" s="15">
        <v>104</v>
      </c>
      <c r="O199" t="s">
        <v>75</v>
      </c>
    </row>
    <row r="200" spans="1:15" x14ac:dyDescent="0.25">
      <c r="A200" s="10" t="s">
        <v>500</v>
      </c>
      <c r="B200" s="15">
        <v>88.08</v>
      </c>
      <c r="C200" s="15">
        <v>88.08</v>
      </c>
      <c r="D200" s="15">
        <v>88.08</v>
      </c>
      <c r="E200" s="15">
        <v>88.08</v>
      </c>
      <c r="F200" s="15">
        <v>88.08</v>
      </c>
      <c r="G200" s="15">
        <v>88.08</v>
      </c>
      <c r="H200" s="15">
        <v>117.36</v>
      </c>
      <c r="I200" s="15">
        <v>117.36</v>
      </c>
      <c r="J200" s="15">
        <v>98</v>
      </c>
      <c r="K200" s="15">
        <v>98</v>
      </c>
      <c r="L200" s="15">
        <v>98</v>
      </c>
      <c r="M200" s="15">
        <v>98</v>
      </c>
      <c r="N200" s="15">
        <v>98</v>
      </c>
      <c r="O200" t="s">
        <v>75</v>
      </c>
    </row>
    <row r="201" spans="1:15" x14ac:dyDescent="0.25">
      <c r="A201" s="10" t="s">
        <v>502</v>
      </c>
      <c r="B201" s="15">
        <v>90.72</v>
      </c>
      <c r="C201" s="15">
        <v>90.72</v>
      </c>
      <c r="D201" s="15">
        <v>96.12</v>
      </c>
      <c r="E201" s="15">
        <v>90.72</v>
      </c>
      <c r="F201" s="15">
        <v>102.56</v>
      </c>
      <c r="G201" s="15">
        <v>90.72</v>
      </c>
      <c r="H201" s="15">
        <v>150.91999999999999</v>
      </c>
      <c r="I201" s="15">
        <v>120.29</v>
      </c>
      <c r="J201" s="15">
        <v>100.77</v>
      </c>
      <c r="K201" s="15">
        <v>181.97</v>
      </c>
      <c r="L201" s="15">
        <v>78.38</v>
      </c>
      <c r="M201" s="15">
        <v>100.77</v>
      </c>
      <c r="N201" s="15">
        <v>103.84</v>
      </c>
      <c r="O201" t="s">
        <v>75</v>
      </c>
    </row>
    <row r="202" spans="1:15" x14ac:dyDescent="0.25">
      <c r="A202" s="10" t="s">
        <v>504</v>
      </c>
      <c r="B202" s="15">
        <v>2.4500000000000002</v>
      </c>
      <c r="C202" s="15">
        <v>34.270000000000003</v>
      </c>
      <c r="D202" s="15">
        <v>36.72</v>
      </c>
      <c r="E202" s="15">
        <v>36.72</v>
      </c>
      <c r="F202" s="15">
        <v>36.72</v>
      </c>
      <c r="G202" s="15">
        <v>36.72</v>
      </c>
      <c r="H202" s="15">
        <v>23.12</v>
      </c>
      <c r="I202" s="15">
        <v>8.16</v>
      </c>
      <c r="J202" s="15">
        <v>40.799999999999997</v>
      </c>
      <c r="K202" s="15">
        <v>5.44</v>
      </c>
      <c r="L202" s="15">
        <v>0</v>
      </c>
      <c r="M202" s="15">
        <v>0</v>
      </c>
      <c r="N202" s="15">
        <v>23.8</v>
      </c>
      <c r="O202" t="s">
        <v>75</v>
      </c>
    </row>
    <row r="203" spans="1:15" x14ac:dyDescent="0.25">
      <c r="A203" s="10" t="s">
        <v>506</v>
      </c>
      <c r="B203" s="15">
        <v>73.44</v>
      </c>
      <c r="C203" s="15">
        <v>73.44</v>
      </c>
      <c r="D203" s="15">
        <v>81.38</v>
      </c>
      <c r="E203" s="15">
        <v>73.58</v>
      </c>
      <c r="F203" s="15">
        <v>118.58</v>
      </c>
      <c r="G203" s="15">
        <v>109.81</v>
      </c>
      <c r="H203" s="15">
        <v>400.48</v>
      </c>
      <c r="I203" s="15">
        <v>103.96</v>
      </c>
      <c r="J203" s="15">
        <v>106.53</v>
      </c>
      <c r="K203" s="15">
        <v>104</v>
      </c>
      <c r="L203" s="15">
        <v>110.48</v>
      </c>
      <c r="M203" s="15">
        <v>104</v>
      </c>
      <c r="N203" s="15">
        <v>111.11</v>
      </c>
      <c r="O203" t="s">
        <v>75</v>
      </c>
    </row>
    <row r="204" spans="1:15" x14ac:dyDescent="0.25">
      <c r="A204" s="10" t="s">
        <v>508</v>
      </c>
      <c r="B204" s="15">
        <v>99.95</v>
      </c>
      <c r="C204" s="15">
        <v>99.95</v>
      </c>
      <c r="D204" s="15">
        <v>108.85</v>
      </c>
      <c r="E204" s="15">
        <v>108.85</v>
      </c>
      <c r="F204" s="15">
        <v>141.35</v>
      </c>
      <c r="G204" s="15">
        <v>108.85</v>
      </c>
      <c r="H204" s="15">
        <v>189.54</v>
      </c>
      <c r="I204" s="15">
        <v>162.27000000000001</v>
      </c>
      <c r="J204" s="15">
        <v>309.06</v>
      </c>
      <c r="K204" s="15">
        <v>22.7</v>
      </c>
      <c r="L204" s="15">
        <v>149.88999999999999</v>
      </c>
      <c r="M204" s="15">
        <v>150.9</v>
      </c>
      <c r="N204" s="15">
        <v>142.26</v>
      </c>
      <c r="O204" t="s">
        <v>75</v>
      </c>
    </row>
    <row r="205" spans="1:15" x14ac:dyDescent="0.25">
      <c r="A205" s="10" t="s">
        <v>510</v>
      </c>
      <c r="B205" s="15">
        <v>74.290000000000006</v>
      </c>
      <c r="C205" s="15">
        <v>88.08</v>
      </c>
      <c r="D205" s="15">
        <v>88.08</v>
      </c>
      <c r="E205" s="15">
        <v>88.08</v>
      </c>
      <c r="F205" s="15">
        <v>88.08</v>
      </c>
      <c r="G205" s="15">
        <v>95.82</v>
      </c>
      <c r="H205" s="15">
        <v>143.13999999999999</v>
      </c>
      <c r="I205" s="15">
        <v>150.38</v>
      </c>
      <c r="J205" s="15">
        <v>106.88</v>
      </c>
      <c r="K205" s="15">
        <v>98</v>
      </c>
      <c r="L205" s="15">
        <v>112.48</v>
      </c>
      <c r="M205" s="15">
        <v>191.14</v>
      </c>
      <c r="N205" s="15">
        <v>102.92</v>
      </c>
      <c r="O205" t="s">
        <v>75</v>
      </c>
    </row>
    <row r="206" spans="1:15" x14ac:dyDescent="0.25">
      <c r="A206" s="10" t="s">
        <v>512</v>
      </c>
      <c r="B206" s="15">
        <v>124.25</v>
      </c>
      <c r="C206" s="15">
        <v>124.25</v>
      </c>
      <c r="D206" s="15">
        <v>151.27000000000001</v>
      </c>
      <c r="E206" s="15">
        <v>124.25</v>
      </c>
      <c r="F206" s="15">
        <v>212.49</v>
      </c>
      <c r="G206" s="15">
        <v>303.3</v>
      </c>
      <c r="H206" s="15">
        <v>212.44</v>
      </c>
      <c r="I206" s="15">
        <v>185.33</v>
      </c>
      <c r="J206" s="15">
        <v>158.69</v>
      </c>
      <c r="K206" s="15">
        <v>155.27000000000001</v>
      </c>
      <c r="L206" s="15">
        <v>155.27000000000001</v>
      </c>
      <c r="M206" s="15">
        <v>155.27000000000001</v>
      </c>
      <c r="N206" s="15">
        <v>171.5</v>
      </c>
      <c r="O206" t="s">
        <v>75</v>
      </c>
    </row>
    <row r="207" spans="1:15" x14ac:dyDescent="0.25">
      <c r="A207" s="10" t="s">
        <v>514</v>
      </c>
      <c r="B207" s="15">
        <v>73.44</v>
      </c>
      <c r="C207" s="15">
        <v>70.989999999999995</v>
      </c>
      <c r="D207" s="15">
        <v>73.44</v>
      </c>
      <c r="E207" s="15">
        <v>73.44</v>
      </c>
      <c r="F207" s="15">
        <v>73.44</v>
      </c>
      <c r="G207" s="15">
        <v>73.44</v>
      </c>
      <c r="H207" s="15">
        <v>97.92</v>
      </c>
      <c r="I207" s="15">
        <v>97.92</v>
      </c>
      <c r="J207" s="15">
        <v>81.599999999999994</v>
      </c>
      <c r="K207" s="15">
        <v>81.599999999999994</v>
      </c>
      <c r="L207" s="15">
        <v>163.19</v>
      </c>
      <c r="M207" s="15">
        <v>27.2</v>
      </c>
      <c r="N207" s="15">
        <v>81.599999999999994</v>
      </c>
      <c r="O207" t="s">
        <v>75</v>
      </c>
    </row>
    <row r="208" spans="1:15" x14ac:dyDescent="0.25">
      <c r="A208" s="10" t="s">
        <v>516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30.71</v>
      </c>
      <c r="H208" s="15">
        <v>86.19</v>
      </c>
      <c r="I208" s="15">
        <v>105.99</v>
      </c>
      <c r="J208" s="15">
        <v>104.01</v>
      </c>
      <c r="K208" s="15">
        <v>97.84</v>
      </c>
      <c r="L208" s="15">
        <v>97.84</v>
      </c>
      <c r="M208" s="15">
        <v>97.84</v>
      </c>
      <c r="N208" s="15">
        <v>49.68</v>
      </c>
      <c r="O208" t="s">
        <v>75</v>
      </c>
    </row>
    <row r="209" spans="1:15" x14ac:dyDescent="0.25">
      <c r="A209" s="10" t="s">
        <v>518</v>
      </c>
      <c r="B209" s="15">
        <v>4.9000000000000004</v>
      </c>
      <c r="C209" s="15">
        <v>68.55</v>
      </c>
      <c r="D209" s="15">
        <v>73.44</v>
      </c>
      <c r="E209" s="15">
        <v>73.44</v>
      </c>
      <c r="F209" s="15">
        <v>73.44</v>
      </c>
      <c r="G209" s="15">
        <v>73.44</v>
      </c>
      <c r="H209" s="15">
        <v>108.39</v>
      </c>
      <c r="I209" s="15">
        <v>97.92</v>
      </c>
      <c r="J209" s="15">
        <v>81.66</v>
      </c>
      <c r="K209" s="15">
        <v>81.599999999999994</v>
      </c>
      <c r="L209" s="15">
        <v>81.599999999999994</v>
      </c>
      <c r="M209" s="15">
        <v>191.63</v>
      </c>
      <c r="N209" s="15">
        <v>82.47</v>
      </c>
      <c r="O209" t="s">
        <v>75</v>
      </c>
    </row>
    <row r="210" spans="1:15" x14ac:dyDescent="0.25">
      <c r="A210" s="10" t="s">
        <v>520</v>
      </c>
      <c r="B210" s="15">
        <v>7.94</v>
      </c>
      <c r="C210" s="15">
        <v>98.79</v>
      </c>
      <c r="D210" s="15">
        <v>105.84</v>
      </c>
      <c r="E210" s="15">
        <v>105.84</v>
      </c>
      <c r="F210" s="15">
        <v>105.84</v>
      </c>
      <c r="G210" s="15">
        <v>105.84</v>
      </c>
      <c r="H210" s="15">
        <v>158.49</v>
      </c>
      <c r="I210" s="15">
        <v>158.49</v>
      </c>
      <c r="J210" s="15">
        <v>117.52</v>
      </c>
      <c r="K210" s="15">
        <v>117.52</v>
      </c>
      <c r="L210" s="15">
        <v>117.52</v>
      </c>
      <c r="M210" s="15">
        <v>117.52</v>
      </c>
      <c r="N210" s="15">
        <v>117.52</v>
      </c>
      <c r="O210" t="s">
        <v>75</v>
      </c>
    </row>
    <row r="211" spans="1:15" x14ac:dyDescent="0.25">
      <c r="A211" s="10" t="s">
        <v>522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13.46</v>
      </c>
      <c r="H211" s="15">
        <v>42.29</v>
      </c>
      <c r="I211" s="15">
        <v>40.799999999999997</v>
      </c>
      <c r="J211" s="15">
        <v>40.799999999999997</v>
      </c>
      <c r="K211" s="15">
        <v>40.799999999999997</v>
      </c>
      <c r="L211" s="15">
        <v>40.799999999999997</v>
      </c>
      <c r="M211" s="15">
        <v>40.799999999999997</v>
      </c>
      <c r="N211" s="15">
        <v>20.399999999999999</v>
      </c>
      <c r="O211" t="s">
        <v>75</v>
      </c>
    </row>
    <row r="212" spans="1:15" x14ac:dyDescent="0.25">
      <c r="A212" s="10" t="s">
        <v>524</v>
      </c>
      <c r="B212" s="15">
        <v>81.73</v>
      </c>
      <c r="C212" s="15">
        <v>79.599999999999994</v>
      </c>
      <c r="D212" s="15">
        <v>83.47</v>
      </c>
      <c r="E212" s="15">
        <v>79.599999999999994</v>
      </c>
      <c r="F212" s="15">
        <v>80.84</v>
      </c>
      <c r="G212" s="15">
        <v>142.29</v>
      </c>
      <c r="H212" s="15">
        <v>100.35</v>
      </c>
      <c r="I212" s="15">
        <v>105.09</v>
      </c>
      <c r="J212" s="15">
        <v>90.4</v>
      </c>
      <c r="K212" s="15">
        <v>88.4</v>
      </c>
      <c r="L212" s="15">
        <v>94.91</v>
      </c>
      <c r="M212" s="15">
        <v>88.4</v>
      </c>
      <c r="N212" s="15">
        <v>89.97</v>
      </c>
      <c r="O212" t="s">
        <v>75</v>
      </c>
    </row>
    <row r="213" spans="1:15" x14ac:dyDescent="0.25">
      <c r="A213" s="10" t="s">
        <v>526</v>
      </c>
      <c r="B213" s="15">
        <v>107.94</v>
      </c>
      <c r="C213" s="15">
        <v>102.96</v>
      </c>
      <c r="D213" s="15">
        <v>233.54</v>
      </c>
      <c r="E213" s="15">
        <v>45.81</v>
      </c>
      <c r="F213" s="15">
        <v>108.8</v>
      </c>
      <c r="G213" s="15">
        <v>113.01</v>
      </c>
      <c r="H213" s="15">
        <v>180.98</v>
      </c>
      <c r="I213" s="15">
        <v>162.55000000000001</v>
      </c>
      <c r="J213" s="15">
        <v>141.07</v>
      </c>
      <c r="K213" s="15">
        <v>140.84</v>
      </c>
      <c r="L213" s="15">
        <v>140.65</v>
      </c>
      <c r="M213" s="15">
        <v>154.33000000000001</v>
      </c>
      <c r="N213" s="15">
        <v>140.91999999999999</v>
      </c>
      <c r="O213" t="s">
        <v>75</v>
      </c>
    </row>
    <row r="214" spans="1:15" x14ac:dyDescent="0.25">
      <c r="A214" s="10" t="s">
        <v>528</v>
      </c>
      <c r="B214" s="15">
        <v>70.989999999999995</v>
      </c>
      <c r="C214" s="15">
        <v>68.760000000000005</v>
      </c>
      <c r="D214" s="15">
        <v>73.44</v>
      </c>
      <c r="E214" s="15">
        <v>73.44</v>
      </c>
      <c r="F214" s="15">
        <v>73.44</v>
      </c>
      <c r="G214" s="15">
        <v>73.44</v>
      </c>
      <c r="H214" s="15">
        <v>99.96</v>
      </c>
      <c r="I214" s="15">
        <v>144.84</v>
      </c>
      <c r="J214" s="15">
        <v>65.28</v>
      </c>
      <c r="K214" s="15">
        <v>81.599999999999994</v>
      </c>
      <c r="L214" s="15">
        <v>78.349999999999994</v>
      </c>
      <c r="M214" s="15">
        <v>81.599999999999994</v>
      </c>
      <c r="N214" s="15">
        <v>81.599999999999994</v>
      </c>
      <c r="O214" t="s">
        <v>75</v>
      </c>
    </row>
    <row r="215" spans="1:15" x14ac:dyDescent="0.25">
      <c r="A215" s="10" t="s">
        <v>530</v>
      </c>
      <c r="B215" s="15">
        <v>73.44</v>
      </c>
      <c r="C215" s="15">
        <v>73.44</v>
      </c>
      <c r="D215" s="15">
        <v>73.44</v>
      </c>
      <c r="E215" s="15">
        <v>73.44</v>
      </c>
      <c r="F215" s="15">
        <v>73.44</v>
      </c>
      <c r="G215" s="15">
        <v>73.44</v>
      </c>
      <c r="H215" s="15">
        <v>209.68</v>
      </c>
      <c r="I215" s="15">
        <v>32.33</v>
      </c>
      <c r="J215" s="15">
        <v>81.599999999999994</v>
      </c>
      <c r="K215" s="15">
        <v>81.599999999999994</v>
      </c>
      <c r="L215" s="15">
        <v>92.9</v>
      </c>
      <c r="M215" s="15">
        <v>89.32</v>
      </c>
      <c r="N215" s="15">
        <v>82.54</v>
      </c>
      <c r="O215" t="s">
        <v>75</v>
      </c>
    </row>
    <row r="216" spans="1:15" x14ac:dyDescent="0.25">
      <c r="A216" s="10" t="s">
        <v>532</v>
      </c>
      <c r="B216" s="15">
        <v>36.72</v>
      </c>
      <c r="C216" s="15">
        <v>36.72</v>
      </c>
      <c r="D216" s="15">
        <v>85.67</v>
      </c>
      <c r="E216" s="15">
        <v>3.67</v>
      </c>
      <c r="F216" s="15">
        <v>33.049999999999997</v>
      </c>
      <c r="G216" s="15">
        <v>12.24</v>
      </c>
      <c r="H216" s="15">
        <v>0</v>
      </c>
      <c r="I216" s="15">
        <v>14.96</v>
      </c>
      <c r="J216" s="15">
        <v>0</v>
      </c>
      <c r="K216" s="15">
        <v>0</v>
      </c>
      <c r="L216" s="15">
        <v>0</v>
      </c>
      <c r="M216" s="15">
        <v>0</v>
      </c>
      <c r="N216" s="15">
        <v>17</v>
      </c>
      <c r="O216" t="s">
        <v>75</v>
      </c>
    </row>
    <row r="217" spans="1:15" x14ac:dyDescent="0.25">
      <c r="A217" s="10" t="s">
        <v>534</v>
      </c>
      <c r="B217" s="15">
        <v>36.72</v>
      </c>
      <c r="C217" s="15">
        <v>36.72</v>
      </c>
      <c r="D217" s="15">
        <v>36.72</v>
      </c>
      <c r="E217" s="15">
        <v>85.68</v>
      </c>
      <c r="F217" s="15">
        <v>0</v>
      </c>
      <c r="G217" s="15">
        <v>12.24</v>
      </c>
      <c r="H217" s="15">
        <v>0</v>
      </c>
      <c r="I217" s="15">
        <v>14.96</v>
      </c>
      <c r="J217" s="15">
        <v>0</v>
      </c>
      <c r="K217" s="15">
        <v>0</v>
      </c>
      <c r="L217" s="15">
        <v>0</v>
      </c>
      <c r="M217" s="15">
        <v>0</v>
      </c>
      <c r="N217" s="15">
        <v>17</v>
      </c>
      <c r="O217" t="s">
        <v>75</v>
      </c>
    </row>
    <row r="218" spans="1:15" x14ac:dyDescent="0.25">
      <c r="A218" s="10" t="s">
        <v>536</v>
      </c>
      <c r="B218" s="15">
        <v>0</v>
      </c>
      <c r="C218" s="15">
        <v>0</v>
      </c>
      <c r="D218" s="15">
        <v>0</v>
      </c>
      <c r="E218" s="15">
        <v>0</v>
      </c>
      <c r="F218" s="15">
        <v>0</v>
      </c>
      <c r="G218" s="15">
        <v>13.46</v>
      </c>
      <c r="H218" s="15">
        <v>42.29</v>
      </c>
      <c r="I218" s="15">
        <v>40.799999999999997</v>
      </c>
      <c r="J218" s="15">
        <v>40.799999999999997</v>
      </c>
      <c r="K218" s="15">
        <v>40.799999999999997</v>
      </c>
      <c r="L218" s="15">
        <v>40.799999999999997</v>
      </c>
      <c r="M218" s="15">
        <v>40.799999999999997</v>
      </c>
      <c r="N218" s="15">
        <v>20.399999999999999</v>
      </c>
      <c r="O218" t="s">
        <v>75</v>
      </c>
    </row>
    <row r="219" spans="1:15" x14ac:dyDescent="0.25">
      <c r="A219" s="10" t="s">
        <v>538</v>
      </c>
      <c r="B219" s="15">
        <v>36.72</v>
      </c>
      <c r="C219" s="15">
        <v>36.72</v>
      </c>
      <c r="D219" s="15">
        <v>36.72</v>
      </c>
      <c r="E219" s="15">
        <v>36.72</v>
      </c>
      <c r="F219" s="15">
        <v>36.72</v>
      </c>
      <c r="G219" s="15">
        <v>55.08</v>
      </c>
      <c r="H219" s="15">
        <v>45.9</v>
      </c>
      <c r="I219" s="15">
        <v>47.26</v>
      </c>
      <c r="J219" s="15">
        <v>40.799999999999997</v>
      </c>
      <c r="K219" s="15">
        <v>5.44</v>
      </c>
      <c r="L219" s="15">
        <v>0</v>
      </c>
      <c r="M219" s="15">
        <v>0</v>
      </c>
      <c r="N219" s="15">
        <v>30.6</v>
      </c>
      <c r="O219" t="s">
        <v>75</v>
      </c>
    </row>
    <row r="220" spans="1:15" x14ac:dyDescent="0.25">
      <c r="A220" s="10" t="s">
        <v>540</v>
      </c>
      <c r="B220" s="15">
        <v>0</v>
      </c>
      <c r="C220" s="15">
        <v>0</v>
      </c>
      <c r="D220" s="15">
        <v>0</v>
      </c>
      <c r="E220" s="15">
        <v>0</v>
      </c>
      <c r="F220" s="15">
        <v>0</v>
      </c>
      <c r="G220" s="15">
        <v>13.46</v>
      </c>
      <c r="H220" s="15">
        <v>42.29</v>
      </c>
      <c r="I220" s="15">
        <v>40.799999999999997</v>
      </c>
      <c r="J220" s="15">
        <v>40.799999999999997</v>
      </c>
      <c r="K220" s="15">
        <v>40.799999999999997</v>
      </c>
      <c r="L220" s="15">
        <v>40.799999999999997</v>
      </c>
      <c r="M220" s="15">
        <v>40.799999999999997</v>
      </c>
      <c r="N220" s="15">
        <v>20.399999999999999</v>
      </c>
      <c r="O220" t="s">
        <v>75</v>
      </c>
    </row>
    <row r="221" spans="1:15" x14ac:dyDescent="0.25">
      <c r="A221" s="10" t="s">
        <v>542</v>
      </c>
      <c r="B221" s="15">
        <v>86.99</v>
      </c>
      <c r="C221" s="15">
        <v>165.92</v>
      </c>
      <c r="D221" s="15">
        <v>99.81</v>
      </c>
      <c r="E221" s="15">
        <v>96.98</v>
      </c>
      <c r="F221" s="15">
        <v>96.6</v>
      </c>
      <c r="G221" s="15">
        <v>164.11</v>
      </c>
      <c r="H221" s="15">
        <v>140.71</v>
      </c>
      <c r="I221" s="15">
        <v>123.29</v>
      </c>
      <c r="J221" s="15">
        <v>107.15</v>
      </c>
      <c r="K221" s="15">
        <v>105.96</v>
      </c>
      <c r="L221" s="15">
        <v>106.79</v>
      </c>
      <c r="M221" s="15">
        <v>108.02</v>
      </c>
      <c r="N221" s="15">
        <v>107.35</v>
      </c>
      <c r="O221" t="s">
        <v>75</v>
      </c>
    </row>
    <row r="222" spans="1:15" x14ac:dyDescent="0.25">
      <c r="A222" s="10" t="s">
        <v>544</v>
      </c>
      <c r="B222" s="15">
        <v>0</v>
      </c>
      <c r="C222" s="15">
        <v>0</v>
      </c>
      <c r="D222" s="15">
        <v>0</v>
      </c>
      <c r="E222" s="15">
        <v>0</v>
      </c>
      <c r="F222" s="15">
        <v>0</v>
      </c>
      <c r="G222" s="15">
        <v>13.46</v>
      </c>
      <c r="H222" s="15">
        <v>42.29</v>
      </c>
      <c r="I222" s="15">
        <v>40.799999999999997</v>
      </c>
      <c r="J222" s="15">
        <v>40.799999999999997</v>
      </c>
      <c r="K222" s="15">
        <v>40.799999999999997</v>
      </c>
      <c r="L222" s="15">
        <v>40.799999999999997</v>
      </c>
      <c r="M222" s="15">
        <v>40.799999999999997</v>
      </c>
      <c r="N222" s="15">
        <v>20.399999999999999</v>
      </c>
      <c r="O222" t="s">
        <v>75</v>
      </c>
    </row>
    <row r="223" spans="1:15" x14ac:dyDescent="0.25">
      <c r="A223" s="10" t="s">
        <v>548</v>
      </c>
      <c r="B223" s="15">
        <v>92.3</v>
      </c>
      <c r="C223" s="15">
        <v>86.05</v>
      </c>
      <c r="D223" s="15">
        <v>94.68</v>
      </c>
      <c r="E223" s="15">
        <v>83.6</v>
      </c>
      <c r="F223" s="15">
        <v>83.6</v>
      </c>
      <c r="G223" s="15">
        <v>83.6</v>
      </c>
      <c r="H223" s="15">
        <v>169.83</v>
      </c>
      <c r="I223" s="15">
        <v>111.44</v>
      </c>
      <c r="J223" s="15">
        <v>98.09</v>
      </c>
      <c r="K223" s="15">
        <v>92.88</v>
      </c>
      <c r="L223" s="15">
        <v>97.37</v>
      </c>
      <c r="M223" s="15">
        <v>92.88</v>
      </c>
      <c r="N223" s="15">
        <v>96.92</v>
      </c>
      <c r="O223" t="s">
        <v>75</v>
      </c>
    </row>
    <row r="224" spans="1:15" x14ac:dyDescent="0.25">
      <c r="A224" s="10" t="s">
        <v>550</v>
      </c>
      <c r="B224" s="15">
        <v>73.44</v>
      </c>
      <c r="C224" s="15">
        <v>73.44</v>
      </c>
      <c r="D224" s="15">
        <v>53.85</v>
      </c>
      <c r="E224" s="15">
        <v>0</v>
      </c>
      <c r="F224" s="15">
        <v>0</v>
      </c>
      <c r="G224" s="15">
        <v>0</v>
      </c>
      <c r="H224" s="15">
        <v>0</v>
      </c>
      <c r="I224" s="15">
        <v>5.98</v>
      </c>
      <c r="J224" s="15">
        <v>0</v>
      </c>
      <c r="K224" s="15">
        <v>0</v>
      </c>
      <c r="L224" s="15">
        <v>0</v>
      </c>
      <c r="M224" s="15">
        <v>0</v>
      </c>
      <c r="N224" s="15">
        <v>20.399999999999999</v>
      </c>
      <c r="O224" t="s">
        <v>75</v>
      </c>
    </row>
    <row r="225" spans="1:15" x14ac:dyDescent="0.25">
      <c r="A225" s="10" t="s">
        <v>552</v>
      </c>
      <c r="B225" s="15">
        <v>73.44</v>
      </c>
      <c r="C225" s="15">
        <v>73.709999999999994</v>
      </c>
      <c r="D225" s="15">
        <v>76.819999999999993</v>
      </c>
      <c r="E225" s="15">
        <v>73.44</v>
      </c>
      <c r="F225" s="15">
        <v>88.7</v>
      </c>
      <c r="G225" s="15">
        <v>182.12</v>
      </c>
      <c r="H225" s="15">
        <v>75.239999999999995</v>
      </c>
      <c r="I225" s="15">
        <v>92.43</v>
      </c>
      <c r="J225" s="15">
        <v>82.75</v>
      </c>
      <c r="K225" s="15">
        <v>81.599999999999994</v>
      </c>
      <c r="L225" s="15">
        <v>81.599999999999994</v>
      </c>
      <c r="M225" s="15">
        <v>81.599999999999994</v>
      </c>
      <c r="N225" s="15">
        <v>85.31</v>
      </c>
      <c r="O225" t="s">
        <v>75</v>
      </c>
    </row>
    <row r="226" spans="1:15" x14ac:dyDescent="0.25">
      <c r="A226" s="10" t="s">
        <v>554</v>
      </c>
      <c r="B226" s="15">
        <v>73.44</v>
      </c>
      <c r="C226" s="15">
        <v>73.44</v>
      </c>
      <c r="D226" s="15">
        <v>53.85</v>
      </c>
      <c r="E226" s="15">
        <v>0</v>
      </c>
      <c r="F226" s="15">
        <v>0</v>
      </c>
      <c r="G226" s="15">
        <v>0</v>
      </c>
      <c r="H226" s="15">
        <v>0</v>
      </c>
      <c r="I226" s="15">
        <v>3.26</v>
      </c>
      <c r="J226" s="15">
        <v>0</v>
      </c>
      <c r="K226" s="15">
        <v>0</v>
      </c>
      <c r="L226" s="15">
        <v>0</v>
      </c>
      <c r="M226" s="15">
        <v>0</v>
      </c>
      <c r="N226" s="15">
        <v>20.399999999999999</v>
      </c>
      <c r="O226" t="s">
        <v>75</v>
      </c>
    </row>
    <row r="227" spans="1:15" x14ac:dyDescent="0.25">
      <c r="A227" s="10" t="s">
        <v>556</v>
      </c>
      <c r="B227" s="15">
        <v>0</v>
      </c>
      <c r="C227" s="15">
        <v>0</v>
      </c>
      <c r="D227" s="15">
        <v>36.72</v>
      </c>
      <c r="E227" s="15">
        <v>36.72</v>
      </c>
      <c r="F227" s="15">
        <v>36.72</v>
      </c>
      <c r="G227" s="15">
        <v>36.72</v>
      </c>
      <c r="H227" s="15">
        <v>48.96</v>
      </c>
      <c r="I227" s="15">
        <v>48.96</v>
      </c>
      <c r="J227" s="15">
        <v>40.799999999999997</v>
      </c>
      <c r="K227" s="15">
        <v>40.799999999999997</v>
      </c>
      <c r="L227" s="15">
        <v>40.799999999999997</v>
      </c>
      <c r="M227" s="15">
        <v>40.799999999999997</v>
      </c>
      <c r="N227" s="15">
        <v>34</v>
      </c>
      <c r="O227" t="s">
        <v>75</v>
      </c>
    </row>
    <row r="228" spans="1:15" x14ac:dyDescent="0.25">
      <c r="A228" s="10" t="s">
        <v>558</v>
      </c>
      <c r="B228" s="15">
        <v>0</v>
      </c>
      <c r="C228" s="15">
        <v>0</v>
      </c>
      <c r="D228" s="15">
        <v>0</v>
      </c>
      <c r="E228" s="15">
        <v>0</v>
      </c>
      <c r="F228" s="15">
        <v>0</v>
      </c>
      <c r="G228" s="15">
        <v>13.46</v>
      </c>
      <c r="H228" s="15">
        <v>42.29</v>
      </c>
      <c r="I228" s="15">
        <v>40.799999999999997</v>
      </c>
      <c r="J228" s="15">
        <v>40.799999999999997</v>
      </c>
      <c r="K228" s="15">
        <v>40.799999999999997</v>
      </c>
      <c r="L228" s="15">
        <v>40.799999999999997</v>
      </c>
      <c r="M228" s="15">
        <v>40.799999999999997</v>
      </c>
      <c r="N228" s="15">
        <v>20.399999999999999</v>
      </c>
      <c r="O228" t="s">
        <v>75</v>
      </c>
    </row>
    <row r="229" spans="1:15" x14ac:dyDescent="0.25">
      <c r="A229" s="10" t="s">
        <v>560</v>
      </c>
      <c r="B229" s="15">
        <v>66.09</v>
      </c>
      <c r="C229" s="15">
        <v>70.989999999999995</v>
      </c>
      <c r="D229" s="15">
        <v>53.85</v>
      </c>
      <c r="E229" s="15">
        <v>0</v>
      </c>
      <c r="F229" s="15">
        <v>0</v>
      </c>
      <c r="G229" s="15">
        <v>0</v>
      </c>
      <c r="H229" s="15">
        <v>0</v>
      </c>
      <c r="I229" s="15">
        <v>5.98</v>
      </c>
      <c r="J229" s="15">
        <v>0</v>
      </c>
      <c r="K229" s="15">
        <v>0</v>
      </c>
      <c r="L229" s="15">
        <v>0</v>
      </c>
      <c r="M229" s="15">
        <v>0</v>
      </c>
      <c r="N229" s="15">
        <v>20.399999999999999</v>
      </c>
      <c r="O229" t="s">
        <v>75</v>
      </c>
    </row>
    <row r="230" spans="1:15" x14ac:dyDescent="0.25">
      <c r="A230" s="10" t="s">
        <v>562</v>
      </c>
      <c r="B230" s="15">
        <v>2.4500000000000002</v>
      </c>
      <c r="C230" s="15">
        <v>34.270000000000003</v>
      </c>
      <c r="D230" s="15">
        <v>36.72</v>
      </c>
      <c r="E230" s="15">
        <v>1.22</v>
      </c>
      <c r="F230" s="15">
        <v>0</v>
      </c>
      <c r="G230" s="15">
        <v>0</v>
      </c>
      <c r="H230" s="15">
        <v>0</v>
      </c>
      <c r="I230" s="15">
        <v>4.21</v>
      </c>
      <c r="J230" s="15">
        <v>0</v>
      </c>
      <c r="K230" s="15">
        <v>0</v>
      </c>
      <c r="L230" s="15">
        <v>0</v>
      </c>
      <c r="M230" s="15">
        <v>0</v>
      </c>
      <c r="N230" s="15">
        <v>10.199999999999999</v>
      </c>
      <c r="O230" t="s">
        <v>75</v>
      </c>
    </row>
    <row r="231" spans="1:15" x14ac:dyDescent="0.25">
      <c r="A231" s="10" t="s">
        <v>564</v>
      </c>
      <c r="B231" s="15">
        <v>0</v>
      </c>
      <c r="C231" s="15">
        <v>0</v>
      </c>
      <c r="D231" s="15">
        <v>0</v>
      </c>
      <c r="E231" s="15">
        <v>0</v>
      </c>
      <c r="F231" s="15">
        <v>0</v>
      </c>
      <c r="G231" s="15">
        <v>13.46</v>
      </c>
      <c r="H231" s="15">
        <v>42.29</v>
      </c>
      <c r="I231" s="15">
        <v>40.799999999999997</v>
      </c>
      <c r="J231" s="15">
        <v>40.799999999999997</v>
      </c>
      <c r="K231" s="15">
        <v>40.799999999999997</v>
      </c>
      <c r="L231" s="15">
        <v>40.799999999999997</v>
      </c>
      <c r="M231" s="15">
        <v>40.799999999999997</v>
      </c>
      <c r="N231" s="15">
        <v>20.399999999999999</v>
      </c>
      <c r="O231" t="s">
        <v>75</v>
      </c>
    </row>
    <row r="232" spans="1:15" x14ac:dyDescent="0.25">
      <c r="A232" s="10" t="s">
        <v>566</v>
      </c>
      <c r="B232" s="15">
        <v>90.88</v>
      </c>
      <c r="C232" s="15">
        <v>89.94</v>
      </c>
      <c r="D232" s="15">
        <v>90.37</v>
      </c>
      <c r="E232" s="15">
        <v>89.72</v>
      </c>
      <c r="F232" s="15">
        <v>87.01</v>
      </c>
      <c r="G232" s="15">
        <v>87.12</v>
      </c>
      <c r="H232" s="15">
        <v>141.44999999999999</v>
      </c>
      <c r="I232" s="15">
        <v>113.63</v>
      </c>
      <c r="J232" s="15">
        <v>185.93</v>
      </c>
      <c r="K232" s="15">
        <v>33.18</v>
      </c>
      <c r="L232" s="15">
        <v>95.63</v>
      </c>
      <c r="M232" s="15">
        <v>96.36</v>
      </c>
      <c r="N232" s="15">
        <v>98.04</v>
      </c>
      <c r="O232" t="s">
        <v>75</v>
      </c>
    </row>
    <row r="233" spans="1:15" x14ac:dyDescent="0.25">
      <c r="A233" s="10" t="s">
        <v>568</v>
      </c>
      <c r="B233" s="15">
        <v>0</v>
      </c>
      <c r="C233" s="15">
        <v>0</v>
      </c>
      <c r="D233" s="15">
        <v>0</v>
      </c>
      <c r="E233" s="15">
        <v>0</v>
      </c>
      <c r="F233" s="15">
        <v>0</v>
      </c>
      <c r="G233" s="15">
        <v>13.46</v>
      </c>
      <c r="H233" s="15">
        <v>42.29</v>
      </c>
      <c r="I233" s="15">
        <v>40.799999999999997</v>
      </c>
      <c r="J233" s="15">
        <v>40.799999999999997</v>
      </c>
      <c r="K233" s="15">
        <v>40.799999999999997</v>
      </c>
      <c r="L233" s="15">
        <v>40.799999999999997</v>
      </c>
      <c r="M233" s="15">
        <v>40.799999999999997</v>
      </c>
      <c r="N233" s="15">
        <v>20.399999999999999</v>
      </c>
      <c r="O233" t="s">
        <v>75</v>
      </c>
    </row>
    <row r="234" spans="1:15" x14ac:dyDescent="0.25">
      <c r="A234" s="10" t="s">
        <v>570</v>
      </c>
      <c r="B234" s="15">
        <v>73.44</v>
      </c>
      <c r="C234" s="15">
        <v>73.44</v>
      </c>
      <c r="D234" s="15">
        <v>73.44</v>
      </c>
      <c r="E234" s="15">
        <v>73.44</v>
      </c>
      <c r="F234" s="15">
        <v>73.44</v>
      </c>
      <c r="G234" s="15">
        <v>87.47</v>
      </c>
      <c r="H234" s="15">
        <v>108.79</v>
      </c>
      <c r="I234" s="15">
        <v>97.92</v>
      </c>
      <c r="J234" s="15">
        <v>81.599999999999994</v>
      </c>
      <c r="K234" s="15">
        <v>88.12</v>
      </c>
      <c r="L234" s="15">
        <v>121.19</v>
      </c>
      <c r="M234" s="15">
        <v>220.75</v>
      </c>
      <c r="N234" s="15">
        <v>87.62</v>
      </c>
      <c r="O234" t="s">
        <v>75</v>
      </c>
    </row>
    <row r="235" spans="1:15" x14ac:dyDescent="0.25">
      <c r="A235" s="10" t="s">
        <v>574</v>
      </c>
      <c r="B235" s="15">
        <v>0</v>
      </c>
      <c r="C235" s="15">
        <v>0</v>
      </c>
      <c r="D235" s="15">
        <v>0</v>
      </c>
      <c r="E235" s="15">
        <v>0</v>
      </c>
      <c r="F235" s="15">
        <v>53.85</v>
      </c>
      <c r="G235" s="15">
        <v>73.44</v>
      </c>
      <c r="H235" s="15">
        <v>89.55</v>
      </c>
      <c r="I235" s="15">
        <v>89.55</v>
      </c>
      <c r="J235" s="15">
        <v>81.599999999999994</v>
      </c>
      <c r="K235" s="15">
        <v>81.599999999999994</v>
      </c>
      <c r="L235" s="15">
        <v>81.599999999999994</v>
      </c>
      <c r="M235" s="15">
        <v>95.2</v>
      </c>
      <c r="N235" s="15">
        <v>54.4</v>
      </c>
      <c r="O235" t="s">
        <v>75</v>
      </c>
    </row>
    <row r="236" spans="1:15" x14ac:dyDescent="0.25">
      <c r="A236" s="10" t="s">
        <v>576</v>
      </c>
      <c r="B236" s="15">
        <v>0</v>
      </c>
      <c r="C236" s="15">
        <v>0</v>
      </c>
      <c r="D236" s="15">
        <v>0</v>
      </c>
      <c r="E236" s="15">
        <v>0</v>
      </c>
      <c r="F236" s="15">
        <v>0</v>
      </c>
      <c r="G236" s="15">
        <v>13.46</v>
      </c>
      <c r="H236" s="15">
        <v>42.29</v>
      </c>
      <c r="I236" s="15">
        <v>40.799999999999997</v>
      </c>
      <c r="J236" s="15">
        <v>40.799999999999997</v>
      </c>
      <c r="K236" s="15">
        <v>40.799999999999997</v>
      </c>
      <c r="L236" s="15">
        <v>40.799999999999997</v>
      </c>
      <c r="M236" s="15">
        <v>40.799999999999997</v>
      </c>
      <c r="N236" s="15">
        <v>20.399999999999999</v>
      </c>
      <c r="O236" t="s">
        <v>75</v>
      </c>
    </row>
    <row r="237" spans="1:15" x14ac:dyDescent="0.25">
      <c r="A237" s="10" t="s">
        <v>580</v>
      </c>
      <c r="B237" s="15">
        <v>570.88</v>
      </c>
      <c r="C237" s="15">
        <v>570.88</v>
      </c>
      <c r="D237" s="15">
        <v>570.88</v>
      </c>
      <c r="E237" s="15">
        <v>570.88</v>
      </c>
      <c r="F237" s="15">
        <v>570.88</v>
      </c>
      <c r="G237" s="15">
        <v>570.88</v>
      </c>
      <c r="H237" s="15">
        <v>570.88</v>
      </c>
      <c r="I237" s="15">
        <v>570.88</v>
      </c>
      <c r="J237" s="15">
        <v>570.88</v>
      </c>
      <c r="K237" s="15">
        <v>570.88</v>
      </c>
      <c r="L237" s="15">
        <v>570.88</v>
      </c>
      <c r="M237" s="15">
        <v>570.88</v>
      </c>
      <c r="N237" s="15">
        <v>570.88</v>
      </c>
      <c r="O237" t="s">
        <v>75</v>
      </c>
    </row>
    <row r="238" spans="1:15" x14ac:dyDescent="0.25">
      <c r="A238" s="10" t="s">
        <v>582</v>
      </c>
      <c r="B238" s="15">
        <v>232.49</v>
      </c>
      <c r="C238" s="15">
        <v>232.49</v>
      </c>
      <c r="D238" s="15">
        <v>232.49</v>
      </c>
      <c r="E238" s="15">
        <v>232.49</v>
      </c>
      <c r="F238" s="15">
        <v>661.2</v>
      </c>
      <c r="G238" s="15">
        <v>18.95</v>
      </c>
      <c r="H238" s="15">
        <v>415.03</v>
      </c>
      <c r="I238" s="15">
        <v>358.8</v>
      </c>
      <c r="J238" s="15">
        <v>344.51</v>
      </c>
      <c r="K238" s="15">
        <v>84.15</v>
      </c>
      <c r="L238" s="15">
        <v>0</v>
      </c>
      <c r="M238" s="15">
        <v>0</v>
      </c>
      <c r="N238" s="15">
        <v>195.88</v>
      </c>
      <c r="O238" t="s">
        <v>75</v>
      </c>
    </row>
    <row r="239" spans="1:15" x14ac:dyDescent="0.25">
      <c r="A239" s="10" t="s">
        <v>584</v>
      </c>
      <c r="B239" s="15">
        <v>553.62</v>
      </c>
      <c r="C239" s="15">
        <v>8.5</v>
      </c>
      <c r="D239" s="15">
        <v>201.71</v>
      </c>
      <c r="E239" s="15">
        <v>208.66</v>
      </c>
      <c r="F239" s="15">
        <v>208.66</v>
      </c>
      <c r="G239" s="15">
        <v>208.66</v>
      </c>
      <c r="H239" s="15">
        <v>343.05</v>
      </c>
      <c r="I239" s="15">
        <v>335.79</v>
      </c>
      <c r="J239" s="15">
        <v>231.81</v>
      </c>
      <c r="K239" s="15">
        <v>231.81</v>
      </c>
      <c r="L239" s="15">
        <v>231.81</v>
      </c>
      <c r="M239" s="15">
        <v>231.81</v>
      </c>
      <c r="N239" s="15">
        <v>231.81</v>
      </c>
      <c r="O239" t="s">
        <v>75</v>
      </c>
    </row>
    <row r="240" spans="1:15" x14ac:dyDescent="0.25">
      <c r="A240" s="10" t="s">
        <v>586</v>
      </c>
      <c r="B240" s="15">
        <v>286.18</v>
      </c>
      <c r="C240" s="15">
        <v>199.96</v>
      </c>
      <c r="D240" s="15">
        <v>202.29</v>
      </c>
      <c r="E240" s="15">
        <v>304.23</v>
      </c>
      <c r="F240" s="15">
        <v>231.4</v>
      </c>
      <c r="G240" s="15">
        <v>209.1</v>
      </c>
      <c r="H240" s="15">
        <v>628.12</v>
      </c>
      <c r="I240" s="15">
        <v>106.09</v>
      </c>
      <c r="J240" s="15">
        <v>322.29000000000002</v>
      </c>
      <c r="K240" s="15">
        <v>213.64</v>
      </c>
      <c r="L240" s="15">
        <v>29.13</v>
      </c>
      <c r="M240" s="15">
        <v>0</v>
      </c>
      <c r="N240" s="15">
        <v>192.69</v>
      </c>
      <c r="O240" t="s">
        <v>75</v>
      </c>
    </row>
    <row r="241" spans="1:15" x14ac:dyDescent="0.25">
      <c r="A241" s="10" t="s">
        <v>588</v>
      </c>
      <c r="B241" s="15">
        <v>0</v>
      </c>
      <c r="C241" s="15">
        <v>0</v>
      </c>
      <c r="D241" s="15">
        <v>0</v>
      </c>
      <c r="E241" s="15">
        <v>348.11</v>
      </c>
      <c r="F241" s="15">
        <v>522.16999999999996</v>
      </c>
      <c r="G241" s="15">
        <v>522.16999999999996</v>
      </c>
      <c r="H241" s="15">
        <v>570.88</v>
      </c>
      <c r="I241" s="15">
        <v>570.88</v>
      </c>
      <c r="J241" s="15">
        <v>570.88</v>
      </c>
      <c r="K241" s="15">
        <v>570.88</v>
      </c>
      <c r="L241" s="15">
        <v>570.88</v>
      </c>
      <c r="M241" s="15">
        <v>570.88</v>
      </c>
      <c r="N241" s="15">
        <v>434.94</v>
      </c>
      <c r="O241" t="s">
        <v>75</v>
      </c>
    </row>
    <row r="242" spans="1:15" x14ac:dyDescent="0.25">
      <c r="A242" s="10" t="s">
        <v>590</v>
      </c>
      <c r="B242" s="15">
        <v>143.38999999999999</v>
      </c>
      <c r="C242" s="15">
        <v>140.22</v>
      </c>
      <c r="D242" s="15">
        <v>140.22</v>
      </c>
      <c r="E242" s="15">
        <v>335.38</v>
      </c>
      <c r="F242" s="15">
        <v>0</v>
      </c>
      <c r="G242" s="15">
        <v>140.22</v>
      </c>
      <c r="H242" s="15">
        <v>210.52</v>
      </c>
      <c r="I242" s="15">
        <v>178.92</v>
      </c>
      <c r="J242" s="15">
        <v>155.69999999999999</v>
      </c>
      <c r="K242" s="15">
        <v>155.69999999999999</v>
      </c>
      <c r="L242" s="15">
        <v>171.51</v>
      </c>
      <c r="M242" s="15">
        <v>160.37</v>
      </c>
      <c r="N242" s="15">
        <v>162.47999999999999</v>
      </c>
      <c r="O242" t="s">
        <v>75</v>
      </c>
    </row>
    <row r="243" spans="1:15" x14ac:dyDescent="0.25">
      <c r="A243" s="10" t="s">
        <v>592</v>
      </c>
      <c r="B243" s="15">
        <v>404.92</v>
      </c>
      <c r="C243" s="15">
        <v>976.29</v>
      </c>
      <c r="D243" s="15">
        <v>10.130000000000001</v>
      </c>
      <c r="E243" s="15">
        <v>387.83</v>
      </c>
      <c r="F243" s="15">
        <v>407.62</v>
      </c>
      <c r="G243" s="15">
        <v>389.56</v>
      </c>
      <c r="H243" s="15">
        <v>542.46</v>
      </c>
      <c r="I243" s="15">
        <v>511.77</v>
      </c>
      <c r="J243" s="15">
        <v>462.22</v>
      </c>
      <c r="K243" s="15">
        <v>432.9</v>
      </c>
      <c r="L243" s="15">
        <v>469.58</v>
      </c>
      <c r="M243" s="15">
        <v>433.08</v>
      </c>
      <c r="N243" s="15">
        <v>449.9</v>
      </c>
      <c r="O243" t="s">
        <v>75</v>
      </c>
    </row>
    <row r="244" spans="1:15" x14ac:dyDescent="0.25">
      <c r="A244" s="10" t="s">
        <v>594</v>
      </c>
      <c r="B244" s="15">
        <v>105.76</v>
      </c>
      <c r="C244" s="15">
        <v>105.76</v>
      </c>
      <c r="D244" s="15">
        <v>109.28</v>
      </c>
      <c r="E244" s="15">
        <v>21.15</v>
      </c>
      <c r="F244" s="15">
        <v>0</v>
      </c>
      <c r="G244" s="15">
        <v>0</v>
      </c>
      <c r="H244" s="15">
        <v>7.2</v>
      </c>
      <c r="I244" s="15">
        <v>7.2</v>
      </c>
      <c r="J244" s="15">
        <v>0</v>
      </c>
      <c r="K244" s="15">
        <v>0</v>
      </c>
      <c r="L244" s="15">
        <v>0</v>
      </c>
      <c r="M244" s="15">
        <v>0</v>
      </c>
      <c r="N244" s="15">
        <v>30.24</v>
      </c>
      <c r="O244" t="s">
        <v>75</v>
      </c>
    </row>
    <row r="245" spans="1:15" x14ac:dyDescent="0.25">
      <c r="A245" s="10" t="s">
        <v>596</v>
      </c>
      <c r="B245" s="15">
        <v>549.55999999999995</v>
      </c>
      <c r="C245" s="15">
        <v>549.55999999999995</v>
      </c>
      <c r="D245" s="15">
        <v>39.96</v>
      </c>
      <c r="E245" s="15">
        <v>0</v>
      </c>
      <c r="F245" s="15">
        <v>0</v>
      </c>
      <c r="G245" s="15">
        <v>0</v>
      </c>
      <c r="H245" s="15">
        <v>0</v>
      </c>
      <c r="I245" s="15">
        <v>4.42</v>
      </c>
      <c r="J245" s="15">
        <v>0</v>
      </c>
      <c r="K245" s="15">
        <v>0</v>
      </c>
      <c r="L245" s="15">
        <v>0</v>
      </c>
      <c r="M245" s="15">
        <v>0</v>
      </c>
      <c r="N245" s="15">
        <v>73.98</v>
      </c>
      <c r="O245" t="s">
        <v>75</v>
      </c>
    </row>
    <row r="246" spans="1:15" x14ac:dyDescent="0.25">
      <c r="A246" s="10" t="s">
        <v>598</v>
      </c>
      <c r="B246" s="15">
        <v>0</v>
      </c>
      <c r="C246" s="15">
        <v>0</v>
      </c>
      <c r="D246" s="15">
        <v>570.88</v>
      </c>
      <c r="E246" s="15">
        <v>704.08</v>
      </c>
      <c r="F246" s="15">
        <v>437.68</v>
      </c>
      <c r="G246" s="15">
        <v>570.88</v>
      </c>
      <c r="H246" s="15">
        <v>570.88</v>
      </c>
      <c r="I246" s="15">
        <v>570.88</v>
      </c>
      <c r="J246" s="15">
        <v>570.88</v>
      </c>
      <c r="K246" s="15">
        <v>570.88</v>
      </c>
      <c r="L246" s="15">
        <v>570.88</v>
      </c>
      <c r="M246" s="15">
        <v>570.88</v>
      </c>
      <c r="N246" s="15">
        <v>570.88</v>
      </c>
      <c r="O246" t="s">
        <v>75</v>
      </c>
    </row>
    <row r="247" spans="1:15" x14ac:dyDescent="0.25">
      <c r="A247" s="10" t="s">
        <v>600</v>
      </c>
      <c r="B247" s="15">
        <v>0</v>
      </c>
      <c r="C247" s="15">
        <v>0</v>
      </c>
      <c r="D247" s="15">
        <v>0</v>
      </c>
      <c r="E247" s="15">
        <v>348.11</v>
      </c>
      <c r="F247" s="15">
        <v>522.16999999999996</v>
      </c>
      <c r="G247" s="15">
        <v>522.16999999999996</v>
      </c>
      <c r="H247" s="15">
        <v>570.88</v>
      </c>
      <c r="I247" s="15">
        <v>570.88</v>
      </c>
      <c r="J247" s="15">
        <v>570.88</v>
      </c>
      <c r="K247" s="15">
        <v>570.88</v>
      </c>
      <c r="L247" s="15">
        <v>570.88</v>
      </c>
      <c r="M247" s="15">
        <v>570.88</v>
      </c>
      <c r="N247" s="15">
        <v>434.94</v>
      </c>
      <c r="O247" t="s">
        <v>75</v>
      </c>
    </row>
    <row r="248" spans="1:15" x14ac:dyDescent="0.25">
      <c r="A248" s="10" t="s">
        <v>602</v>
      </c>
      <c r="B248" s="15">
        <v>216.01</v>
      </c>
      <c r="C248" s="15">
        <v>216.01</v>
      </c>
      <c r="D248" s="15">
        <v>602.29</v>
      </c>
      <c r="E248" s="15">
        <v>26.4</v>
      </c>
      <c r="F248" s="15">
        <v>194.42</v>
      </c>
      <c r="G248" s="15">
        <v>216.01</v>
      </c>
      <c r="H248" s="15">
        <v>384.93</v>
      </c>
      <c r="I248" s="15">
        <v>333.53</v>
      </c>
      <c r="J248" s="15">
        <v>293.27</v>
      </c>
      <c r="K248" s="15">
        <v>322.52999999999997</v>
      </c>
      <c r="L248" s="15">
        <v>307.43</v>
      </c>
      <c r="M248" s="15">
        <v>293.27</v>
      </c>
      <c r="N248" s="15">
        <v>298.10000000000002</v>
      </c>
      <c r="O248" t="s">
        <v>75</v>
      </c>
    </row>
    <row r="249" spans="1:15" x14ac:dyDescent="0.25">
      <c r="A249" s="10" t="s">
        <v>604</v>
      </c>
      <c r="B249" s="15">
        <v>367.88</v>
      </c>
      <c r="C249" s="15">
        <v>382.9</v>
      </c>
      <c r="D249" s="15">
        <v>380</v>
      </c>
      <c r="E249" s="15">
        <v>417.24</v>
      </c>
      <c r="F249" s="15">
        <v>364.12</v>
      </c>
      <c r="G249" s="15">
        <v>743.28</v>
      </c>
      <c r="H249" s="15">
        <v>244.14</v>
      </c>
      <c r="I249" s="15">
        <v>563.65</v>
      </c>
      <c r="J249" s="15">
        <v>436.45</v>
      </c>
      <c r="K249" s="15">
        <v>398.72</v>
      </c>
      <c r="L249" s="15">
        <v>441.42</v>
      </c>
      <c r="M249" s="15">
        <v>398.72</v>
      </c>
      <c r="N249" s="15">
        <v>433.02</v>
      </c>
      <c r="O249" t="s">
        <v>75</v>
      </c>
    </row>
    <row r="250" spans="1:15" x14ac:dyDescent="0.25">
      <c r="A250" s="10" t="s">
        <v>606</v>
      </c>
      <c r="B250" s="15">
        <v>221.96</v>
      </c>
      <c r="C250" s="15">
        <v>343.95</v>
      </c>
      <c r="D250" s="15">
        <v>504.06</v>
      </c>
      <c r="E250" s="15">
        <v>312.75</v>
      </c>
      <c r="F250" s="15">
        <v>332.15</v>
      </c>
      <c r="G250" s="15">
        <v>227.9</v>
      </c>
      <c r="H250" s="15">
        <v>400.03</v>
      </c>
      <c r="I250" s="15">
        <v>407.48</v>
      </c>
      <c r="J250" s="15">
        <v>479.75</v>
      </c>
      <c r="K250" s="15">
        <v>268.17</v>
      </c>
      <c r="L250" s="15">
        <v>370.59</v>
      </c>
      <c r="M250" s="15">
        <v>336.63</v>
      </c>
      <c r="N250" s="15">
        <v>342.05</v>
      </c>
      <c r="O250" t="s">
        <v>75</v>
      </c>
    </row>
    <row r="251" spans="1:15" x14ac:dyDescent="0.25">
      <c r="A251" s="10" t="s">
        <v>608</v>
      </c>
      <c r="B251" s="15">
        <v>0</v>
      </c>
      <c r="C251" s="15">
        <v>0</v>
      </c>
      <c r="D251" s="15">
        <v>0</v>
      </c>
      <c r="E251" s="15">
        <v>0</v>
      </c>
      <c r="F251" s="15">
        <v>0</v>
      </c>
      <c r="G251" s="15">
        <v>0</v>
      </c>
      <c r="H251" s="15">
        <v>0</v>
      </c>
      <c r="I251" s="15">
        <v>0</v>
      </c>
      <c r="J251" s="15">
        <v>0</v>
      </c>
      <c r="K251" s="15">
        <v>0</v>
      </c>
      <c r="L251" s="15">
        <v>570.88</v>
      </c>
      <c r="M251" s="15">
        <v>570.88</v>
      </c>
      <c r="N251" s="15">
        <v>570.88</v>
      </c>
      <c r="O251" t="s">
        <v>75</v>
      </c>
    </row>
    <row r="252" spans="1:15" x14ac:dyDescent="0.25">
      <c r="A252" s="10" t="s">
        <v>610</v>
      </c>
      <c r="B252" s="15">
        <v>229.3</v>
      </c>
      <c r="C252" s="15">
        <v>185.64</v>
      </c>
      <c r="D252" s="15">
        <v>581.95000000000005</v>
      </c>
      <c r="E252" s="15">
        <v>22.69</v>
      </c>
      <c r="F252" s="15">
        <v>191.71</v>
      </c>
      <c r="G252" s="15">
        <v>190.9</v>
      </c>
      <c r="H252" s="15">
        <v>412.11</v>
      </c>
      <c r="I252" s="15">
        <v>312.89999999999998</v>
      </c>
      <c r="J252" s="15">
        <v>382.14</v>
      </c>
      <c r="K252" s="15">
        <v>215.82</v>
      </c>
      <c r="L252" s="15">
        <v>471.73</v>
      </c>
      <c r="M252" s="15">
        <v>346.13</v>
      </c>
      <c r="N252" s="15">
        <v>362.53</v>
      </c>
      <c r="O252" t="s">
        <v>75</v>
      </c>
    </row>
    <row r="253" spans="1:15" x14ac:dyDescent="0.25">
      <c r="A253" s="10" t="s">
        <v>612</v>
      </c>
      <c r="B253" s="15">
        <v>570.88</v>
      </c>
      <c r="C253" s="15">
        <v>570.88</v>
      </c>
      <c r="D253" s="15">
        <v>570.88</v>
      </c>
      <c r="E253" s="15">
        <v>569.54</v>
      </c>
      <c r="F253" s="15">
        <v>570.88</v>
      </c>
      <c r="G253" s="15">
        <v>570.88</v>
      </c>
      <c r="H253" s="15">
        <v>1141.76</v>
      </c>
      <c r="I253" s="15">
        <v>0</v>
      </c>
      <c r="J253" s="15">
        <v>570.88</v>
      </c>
      <c r="K253" s="15">
        <v>570.88</v>
      </c>
      <c r="L253" s="15">
        <v>570.88</v>
      </c>
      <c r="M253" s="15">
        <v>570.88</v>
      </c>
      <c r="N253" s="15">
        <v>570.88</v>
      </c>
      <c r="O253" t="s">
        <v>75</v>
      </c>
    </row>
    <row r="254" spans="1:15" x14ac:dyDescent="0.25">
      <c r="A254" s="10" t="s">
        <v>614</v>
      </c>
      <c r="B254" s="15">
        <v>83.63</v>
      </c>
      <c r="C254" s="15">
        <v>0</v>
      </c>
      <c r="D254" s="15">
        <v>0</v>
      </c>
      <c r="E254" s="15">
        <v>0</v>
      </c>
      <c r="F254" s="15">
        <v>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t="s">
        <v>75</v>
      </c>
    </row>
    <row r="255" spans="1:15" x14ac:dyDescent="0.25">
      <c r="A255" s="10" t="s">
        <v>616</v>
      </c>
      <c r="B255" s="15">
        <v>581.80999999999995</v>
      </c>
      <c r="C255" s="15">
        <v>92.92</v>
      </c>
      <c r="D255" s="15">
        <v>216.4</v>
      </c>
      <c r="E255" s="15">
        <v>311.98</v>
      </c>
      <c r="F255" s="15">
        <v>326.77999999999997</v>
      </c>
      <c r="G255" s="15">
        <v>311.45999999999998</v>
      </c>
      <c r="H255" s="15">
        <v>419.61</v>
      </c>
      <c r="I255" s="15">
        <v>351.59</v>
      </c>
      <c r="J255" s="15">
        <v>232.1</v>
      </c>
      <c r="K255" s="15">
        <v>343.15</v>
      </c>
      <c r="L255" s="15">
        <v>29.84</v>
      </c>
      <c r="M255" s="15">
        <v>0</v>
      </c>
      <c r="N255" s="15">
        <v>214.59</v>
      </c>
      <c r="O255" t="s">
        <v>75</v>
      </c>
    </row>
    <row r="256" spans="1:15" x14ac:dyDescent="0.25">
      <c r="A256" s="10" t="s">
        <v>618</v>
      </c>
      <c r="B256" s="15">
        <v>147.66999999999999</v>
      </c>
      <c r="C256" s="15">
        <v>147.26</v>
      </c>
      <c r="D256" s="15">
        <v>149.49</v>
      </c>
      <c r="E256" s="15">
        <v>144.24</v>
      </c>
      <c r="F256" s="15">
        <v>141.07</v>
      </c>
      <c r="G256" s="15">
        <v>141.19</v>
      </c>
      <c r="H256" s="15">
        <v>190.55</v>
      </c>
      <c r="I256" s="15">
        <v>186.33</v>
      </c>
      <c r="J256" s="15">
        <v>155.44</v>
      </c>
      <c r="K256" s="15">
        <v>156.82</v>
      </c>
      <c r="L256" s="15">
        <v>156.04</v>
      </c>
      <c r="M256" s="15">
        <v>170.28</v>
      </c>
      <c r="N256" s="15">
        <v>158.51</v>
      </c>
      <c r="O256" t="s">
        <v>75</v>
      </c>
    </row>
    <row r="257" spans="1:15" x14ac:dyDescent="0.25">
      <c r="A257" s="10" t="s">
        <v>620</v>
      </c>
      <c r="B257" s="15">
        <v>36.340000000000003</v>
      </c>
      <c r="C257" s="15">
        <v>0</v>
      </c>
      <c r="D257" s="15">
        <v>0</v>
      </c>
      <c r="E257" s="15">
        <v>0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0</v>
      </c>
      <c r="M257" s="15">
        <v>0</v>
      </c>
      <c r="N257" s="15">
        <v>0</v>
      </c>
      <c r="O257" t="s">
        <v>75</v>
      </c>
    </row>
    <row r="258" spans="1:15" x14ac:dyDescent="0.25">
      <c r="A258" s="10" t="s">
        <v>622</v>
      </c>
      <c r="B258" s="15">
        <v>484.71</v>
      </c>
      <c r="C258" s="15">
        <v>422.96</v>
      </c>
      <c r="D258" s="15">
        <v>484.19</v>
      </c>
      <c r="E258" s="15">
        <v>415.04</v>
      </c>
      <c r="F258" s="15">
        <v>537.97</v>
      </c>
      <c r="G258" s="15">
        <v>415.04</v>
      </c>
      <c r="H258" s="15">
        <v>570.88</v>
      </c>
      <c r="I258" s="15">
        <v>540.82000000000005</v>
      </c>
      <c r="J258" s="15">
        <v>501.7</v>
      </c>
      <c r="K258" s="15">
        <v>875.34</v>
      </c>
      <c r="L258" s="15">
        <v>266.42</v>
      </c>
      <c r="M258" s="15">
        <v>501.02</v>
      </c>
      <c r="N258" s="15">
        <v>495.77</v>
      </c>
      <c r="O258" t="s">
        <v>75</v>
      </c>
    </row>
    <row r="259" spans="1:15" x14ac:dyDescent="0.25">
      <c r="A259" s="10" t="s">
        <v>624</v>
      </c>
      <c r="B259" s="15">
        <v>148.91999999999999</v>
      </c>
      <c r="C259" s="15">
        <v>120.64</v>
      </c>
      <c r="D259" s="15">
        <v>145.09</v>
      </c>
      <c r="E259" s="15">
        <v>120.64</v>
      </c>
      <c r="F259" s="15">
        <v>120.64</v>
      </c>
      <c r="G259" s="15">
        <v>120.64</v>
      </c>
      <c r="H259" s="15">
        <v>321.66000000000003</v>
      </c>
      <c r="I259" s="15">
        <v>160.56</v>
      </c>
      <c r="J259" s="15">
        <v>71.459999999999994</v>
      </c>
      <c r="K259" s="15">
        <v>0</v>
      </c>
      <c r="L259" s="15">
        <v>0</v>
      </c>
      <c r="M259" s="15">
        <v>0</v>
      </c>
      <c r="N259" s="15">
        <v>102.4</v>
      </c>
      <c r="O259" t="s">
        <v>75</v>
      </c>
    </row>
    <row r="260" spans="1:15" x14ac:dyDescent="0.25">
      <c r="A260" s="10" t="s">
        <v>626</v>
      </c>
      <c r="B260" s="15">
        <v>120.64</v>
      </c>
      <c r="C260" s="15">
        <v>120.64</v>
      </c>
      <c r="D260" s="15">
        <v>150.11000000000001</v>
      </c>
      <c r="E260" s="15">
        <v>120.64</v>
      </c>
      <c r="F260" s="15">
        <v>179.28</v>
      </c>
      <c r="G260" s="15">
        <v>148.37</v>
      </c>
      <c r="H260" s="15">
        <v>214.86</v>
      </c>
      <c r="I260" s="15">
        <v>180.81</v>
      </c>
      <c r="J260" s="15">
        <v>180.12</v>
      </c>
      <c r="K260" s="15">
        <v>159.93</v>
      </c>
      <c r="L260" s="15">
        <v>166.04</v>
      </c>
      <c r="M260" s="15">
        <v>165.99</v>
      </c>
      <c r="N260" s="15">
        <v>164.49</v>
      </c>
      <c r="O260" t="s">
        <v>75</v>
      </c>
    </row>
    <row r="261" spans="1:15" x14ac:dyDescent="0.25">
      <c r="A261" s="10" t="s">
        <v>628</v>
      </c>
      <c r="B261" s="15">
        <v>549.55999999999995</v>
      </c>
      <c r="C261" s="15">
        <v>549.55999999999995</v>
      </c>
      <c r="D261" s="15">
        <v>549.55999999999995</v>
      </c>
      <c r="E261" s="15">
        <v>549.55999999999995</v>
      </c>
      <c r="F261" s="15">
        <v>549.55999999999995</v>
      </c>
      <c r="G261" s="15">
        <v>742.14</v>
      </c>
      <c r="H261" s="15">
        <v>399.62</v>
      </c>
      <c r="I261" s="15">
        <v>570.88</v>
      </c>
      <c r="J261" s="15">
        <v>570.88</v>
      </c>
      <c r="K261" s="15">
        <v>570.88</v>
      </c>
      <c r="L261" s="15">
        <v>570.88</v>
      </c>
      <c r="M261" s="15">
        <v>570.88</v>
      </c>
      <c r="N261" s="15">
        <v>570.88</v>
      </c>
      <c r="O261" t="s">
        <v>75</v>
      </c>
    </row>
    <row r="262" spans="1:15" x14ac:dyDescent="0.25">
      <c r="A262" s="10" t="s">
        <v>630</v>
      </c>
      <c r="B262" s="15">
        <v>386.57</v>
      </c>
      <c r="C262" s="15">
        <v>386.57</v>
      </c>
      <c r="D262" s="15">
        <v>386.57</v>
      </c>
      <c r="E262" s="15">
        <v>386.57</v>
      </c>
      <c r="F262" s="15">
        <v>386.57</v>
      </c>
      <c r="G262" s="15">
        <v>386.57</v>
      </c>
      <c r="H262" s="15">
        <v>517.54999999999995</v>
      </c>
      <c r="I262" s="15">
        <v>112.52</v>
      </c>
      <c r="J262" s="15">
        <v>0</v>
      </c>
      <c r="K262" s="15">
        <v>0</v>
      </c>
      <c r="L262" s="15">
        <v>0</v>
      </c>
      <c r="M262" s="15">
        <v>0</v>
      </c>
      <c r="N262" s="15">
        <v>204.94</v>
      </c>
      <c r="O262" t="s">
        <v>75</v>
      </c>
    </row>
    <row r="263" spans="1:15" x14ac:dyDescent="0.25">
      <c r="A263" s="10" t="s">
        <v>632</v>
      </c>
      <c r="B263" s="15">
        <v>506.76</v>
      </c>
      <c r="C263" s="15">
        <v>154.71</v>
      </c>
      <c r="D263" s="15">
        <v>224.4</v>
      </c>
      <c r="E263" s="15">
        <v>223.37</v>
      </c>
      <c r="F263" s="15">
        <v>298.82</v>
      </c>
      <c r="G263" s="15">
        <v>223.37</v>
      </c>
      <c r="H263" s="15">
        <v>384.3</v>
      </c>
      <c r="I263" s="15">
        <v>357.09</v>
      </c>
      <c r="J263" s="15">
        <v>303.19</v>
      </c>
      <c r="K263" s="15">
        <v>303.19</v>
      </c>
      <c r="L263" s="15">
        <v>319.79000000000002</v>
      </c>
      <c r="M263" s="15">
        <v>303.19</v>
      </c>
      <c r="N263" s="15">
        <v>308.69</v>
      </c>
      <c r="O263" t="s">
        <v>75</v>
      </c>
    </row>
    <row r="264" spans="1:15" x14ac:dyDescent="0.25">
      <c r="A264" s="10" t="s">
        <v>634</v>
      </c>
      <c r="B264" s="15">
        <v>0</v>
      </c>
      <c r="C264" s="15">
        <v>64.34</v>
      </c>
      <c r="D264" s="15">
        <v>120.64</v>
      </c>
      <c r="E264" s="15">
        <v>120.64</v>
      </c>
      <c r="F264" s="15">
        <v>152.06</v>
      </c>
      <c r="G264" s="15">
        <v>120.64</v>
      </c>
      <c r="H264" s="15">
        <v>182.61</v>
      </c>
      <c r="I264" s="15">
        <v>307.17</v>
      </c>
      <c r="J264" s="15">
        <v>85.43</v>
      </c>
      <c r="K264" s="15">
        <v>150.75</v>
      </c>
      <c r="L264" s="15">
        <v>150.75</v>
      </c>
      <c r="M264" s="15">
        <v>161.27000000000001</v>
      </c>
      <c r="N264" s="15">
        <v>124.28</v>
      </c>
      <c r="O264" t="s">
        <v>75</v>
      </c>
    </row>
    <row r="265" spans="1:15" x14ac:dyDescent="0.25">
      <c r="A265" s="10" t="s">
        <v>636</v>
      </c>
      <c r="B265" s="15">
        <v>216.54</v>
      </c>
      <c r="C265" s="15">
        <v>197.68</v>
      </c>
      <c r="D265" s="15">
        <v>161.97999999999999</v>
      </c>
      <c r="E265" s="15">
        <v>0</v>
      </c>
      <c r="F265" s="15">
        <v>3.58</v>
      </c>
      <c r="G265" s="15">
        <v>0</v>
      </c>
      <c r="H265" s="15">
        <v>0</v>
      </c>
      <c r="I265" s="15">
        <v>0</v>
      </c>
      <c r="J265" s="15">
        <v>0</v>
      </c>
      <c r="K265" s="15">
        <v>0</v>
      </c>
      <c r="L265" s="15">
        <v>0</v>
      </c>
      <c r="M265" s="15">
        <v>0</v>
      </c>
      <c r="N265" s="15">
        <v>44.78</v>
      </c>
      <c r="O265" t="s">
        <v>75</v>
      </c>
    </row>
    <row r="266" spans="1:15" x14ac:dyDescent="0.25">
      <c r="A266" s="10" t="s">
        <v>638</v>
      </c>
      <c r="B266" s="15">
        <v>206.69</v>
      </c>
      <c r="C266" s="15">
        <v>196.29</v>
      </c>
      <c r="D266" s="15">
        <v>222.57</v>
      </c>
      <c r="E266" s="15">
        <v>196.29</v>
      </c>
      <c r="F266" s="15">
        <v>222.32</v>
      </c>
      <c r="G266" s="15">
        <v>196.29</v>
      </c>
      <c r="H266" s="15">
        <v>355.18</v>
      </c>
      <c r="I266" s="15">
        <v>319.44</v>
      </c>
      <c r="J266" s="15">
        <v>229.25</v>
      </c>
      <c r="K266" s="15">
        <v>217.98</v>
      </c>
      <c r="L266" s="15">
        <v>290.35000000000002</v>
      </c>
      <c r="M266" s="15">
        <v>217.98</v>
      </c>
      <c r="N266" s="15">
        <v>228.68</v>
      </c>
      <c r="O266" t="s">
        <v>75</v>
      </c>
    </row>
    <row r="267" spans="1:15" x14ac:dyDescent="0.25">
      <c r="A267" s="10" t="s">
        <v>640</v>
      </c>
      <c r="B267" s="15">
        <v>105.76</v>
      </c>
      <c r="C267" s="15">
        <v>105.76</v>
      </c>
      <c r="D267" s="15">
        <v>105.76</v>
      </c>
      <c r="E267" s="15">
        <v>105.76</v>
      </c>
      <c r="F267" s="15">
        <v>105.76</v>
      </c>
      <c r="G267" s="15">
        <v>192.21</v>
      </c>
      <c r="H267" s="15">
        <v>135.27000000000001</v>
      </c>
      <c r="I267" s="15">
        <v>155.99</v>
      </c>
      <c r="J267" s="15">
        <v>117.44</v>
      </c>
      <c r="K267" s="15">
        <v>117.44</v>
      </c>
      <c r="L267" s="15">
        <v>117.44</v>
      </c>
      <c r="M267" s="15">
        <v>159.26</v>
      </c>
      <c r="N267" s="15">
        <v>118.54</v>
      </c>
      <c r="O267" t="s">
        <v>75</v>
      </c>
    </row>
    <row r="268" spans="1:15" x14ac:dyDescent="0.25">
      <c r="A268" s="10" t="s">
        <v>642</v>
      </c>
      <c r="B268" s="15">
        <v>80.599999999999994</v>
      </c>
      <c r="C268" s="15">
        <v>79.400000000000006</v>
      </c>
      <c r="D268" s="15">
        <v>81.05</v>
      </c>
      <c r="E268" s="15">
        <v>78.83</v>
      </c>
      <c r="F268" s="15">
        <v>76.52</v>
      </c>
      <c r="G268" s="15">
        <v>76.56</v>
      </c>
      <c r="H268" s="15">
        <v>105.38</v>
      </c>
      <c r="I268" s="15">
        <v>103.1</v>
      </c>
      <c r="J268" s="15">
        <v>63.31</v>
      </c>
      <c r="K268" s="15">
        <v>0</v>
      </c>
      <c r="L268" s="15">
        <v>0</v>
      </c>
      <c r="M268" s="15">
        <v>0</v>
      </c>
      <c r="N268" s="15">
        <v>86.56</v>
      </c>
      <c r="O268" t="s">
        <v>75</v>
      </c>
    </row>
    <row r="269" spans="1:15" x14ac:dyDescent="0.25">
      <c r="A269" s="10" t="s">
        <v>644</v>
      </c>
      <c r="B269" s="15">
        <v>168.29</v>
      </c>
      <c r="C269" s="15">
        <v>168.24</v>
      </c>
      <c r="D269" s="15">
        <v>169.11</v>
      </c>
      <c r="E269" s="15">
        <v>461.8</v>
      </c>
      <c r="F269" s="15">
        <v>3.21</v>
      </c>
      <c r="G269" s="15">
        <v>157.96</v>
      </c>
      <c r="H269" s="15">
        <v>286.11</v>
      </c>
      <c r="I269" s="15">
        <v>201.75</v>
      </c>
      <c r="J269" s="15">
        <v>177.82</v>
      </c>
      <c r="K269" s="15">
        <v>177.5</v>
      </c>
      <c r="L269" s="15">
        <v>178</v>
      </c>
      <c r="M269" s="15">
        <v>178.8</v>
      </c>
      <c r="N269" s="15">
        <v>180.12</v>
      </c>
      <c r="O269" t="s">
        <v>75</v>
      </c>
    </row>
    <row r="270" spans="1:15" x14ac:dyDescent="0.25">
      <c r="A270" s="10" t="s">
        <v>646</v>
      </c>
      <c r="B270" s="15">
        <v>105.68</v>
      </c>
      <c r="C270" s="15">
        <v>105.68</v>
      </c>
      <c r="D270" s="15">
        <v>265.57</v>
      </c>
      <c r="E270" s="15">
        <v>0</v>
      </c>
      <c r="F270" s="15">
        <v>105.68</v>
      </c>
      <c r="G270" s="15">
        <v>105.68</v>
      </c>
      <c r="H270" s="15">
        <v>169.38</v>
      </c>
      <c r="I270" s="15">
        <v>151.74</v>
      </c>
      <c r="J270" s="15">
        <v>117.36</v>
      </c>
      <c r="K270" s="15">
        <v>117.36</v>
      </c>
      <c r="L270" s="15">
        <v>117.36</v>
      </c>
      <c r="M270" s="15">
        <v>117.36</v>
      </c>
      <c r="N270" s="15">
        <v>117.36</v>
      </c>
      <c r="O270" t="s">
        <v>75</v>
      </c>
    </row>
    <row r="271" spans="1:15" x14ac:dyDescent="0.25">
      <c r="A271" s="10" t="s">
        <v>648</v>
      </c>
      <c r="B271" s="15">
        <v>107.38</v>
      </c>
      <c r="C271" s="15">
        <v>104.15</v>
      </c>
      <c r="D271" s="15">
        <v>114.31</v>
      </c>
      <c r="E271" s="15">
        <v>103.04</v>
      </c>
      <c r="F271" s="15">
        <v>119.01</v>
      </c>
      <c r="G271" s="15">
        <v>103.04</v>
      </c>
      <c r="H271" s="15">
        <v>163.47999999999999</v>
      </c>
      <c r="I271" s="15">
        <v>154.53</v>
      </c>
      <c r="J271" s="15">
        <v>146.53</v>
      </c>
      <c r="K271" s="15">
        <v>114.48</v>
      </c>
      <c r="L271" s="15">
        <v>124.46</v>
      </c>
      <c r="M271" s="15">
        <v>162.16999999999999</v>
      </c>
      <c r="N271" s="15">
        <v>120.26</v>
      </c>
      <c r="O271" t="s">
        <v>75</v>
      </c>
    </row>
    <row r="272" spans="1:15" x14ac:dyDescent="0.25">
      <c r="A272" s="10" t="s">
        <v>650</v>
      </c>
      <c r="B272" s="15">
        <v>570.88</v>
      </c>
      <c r="C272" s="15">
        <v>570.88</v>
      </c>
      <c r="D272" s="15">
        <v>570.88</v>
      </c>
      <c r="E272" s="15">
        <v>570.88</v>
      </c>
      <c r="F272" s="15">
        <v>570.88</v>
      </c>
      <c r="G272" s="15">
        <v>570.88</v>
      </c>
      <c r="H272" s="15">
        <v>570.88</v>
      </c>
      <c r="I272" s="15">
        <v>570.88</v>
      </c>
      <c r="J272" s="15">
        <v>570.88</v>
      </c>
      <c r="K272" s="15">
        <v>570.88</v>
      </c>
      <c r="L272" s="15">
        <v>570.88</v>
      </c>
      <c r="M272" s="15">
        <v>570.88</v>
      </c>
      <c r="N272" s="15">
        <v>570.88</v>
      </c>
      <c r="O272" t="s">
        <v>75</v>
      </c>
    </row>
    <row r="273" spans="1:15" x14ac:dyDescent="0.25">
      <c r="A273" s="10" t="s">
        <v>652</v>
      </c>
      <c r="B273" s="15">
        <v>155.57</v>
      </c>
      <c r="C273" s="15">
        <v>247.37</v>
      </c>
      <c r="D273" s="15">
        <v>60.08</v>
      </c>
      <c r="E273" s="15">
        <v>111.71</v>
      </c>
      <c r="F273" s="15">
        <v>160.65</v>
      </c>
      <c r="G273" s="15">
        <v>119.95</v>
      </c>
      <c r="H273" s="15">
        <v>182.77</v>
      </c>
      <c r="I273" s="15">
        <v>160.08000000000001</v>
      </c>
      <c r="J273" s="15">
        <v>154.54</v>
      </c>
      <c r="K273" s="15">
        <v>122.61</v>
      </c>
      <c r="L273" s="15">
        <v>123.63</v>
      </c>
      <c r="M273" s="15">
        <v>168.1</v>
      </c>
      <c r="N273" s="15">
        <v>149</v>
      </c>
      <c r="O273" t="s">
        <v>75</v>
      </c>
    </row>
    <row r="274" spans="1:15" x14ac:dyDescent="0.25">
      <c r="A274" s="10" t="s">
        <v>654</v>
      </c>
      <c r="B274" s="15">
        <v>570.88</v>
      </c>
      <c r="C274" s="15">
        <v>570.88</v>
      </c>
      <c r="D274" s="15">
        <v>570.88</v>
      </c>
      <c r="E274" s="15">
        <v>570.88</v>
      </c>
      <c r="F274" s="15">
        <v>570.88</v>
      </c>
      <c r="G274" s="15">
        <v>570.88</v>
      </c>
      <c r="H274" s="15">
        <v>570.88</v>
      </c>
      <c r="I274" s="15">
        <v>570.88</v>
      </c>
      <c r="J274" s="15">
        <v>570.88</v>
      </c>
      <c r="K274" s="15">
        <v>570.88</v>
      </c>
      <c r="L274" s="15">
        <v>570.88</v>
      </c>
      <c r="M274" s="15">
        <v>837.29</v>
      </c>
      <c r="N274" s="15">
        <v>570.88</v>
      </c>
      <c r="O274" t="s">
        <v>75</v>
      </c>
    </row>
    <row r="275" spans="1:15" x14ac:dyDescent="0.25">
      <c r="A275" s="10" t="s">
        <v>658</v>
      </c>
      <c r="B275" s="15">
        <v>570.88</v>
      </c>
      <c r="C275" s="15">
        <v>570.88</v>
      </c>
      <c r="D275" s="15">
        <v>570.88</v>
      </c>
      <c r="E275" s="15">
        <v>0</v>
      </c>
      <c r="F275" s="15">
        <v>0</v>
      </c>
      <c r="G275" s="15">
        <v>0</v>
      </c>
      <c r="H275" s="15">
        <v>0</v>
      </c>
      <c r="I275" s="15">
        <v>0</v>
      </c>
      <c r="J275" s="15">
        <v>0</v>
      </c>
      <c r="K275" s="15">
        <v>0</v>
      </c>
      <c r="L275" s="15">
        <v>0</v>
      </c>
      <c r="M275" s="15">
        <v>0</v>
      </c>
      <c r="N275" s="15">
        <v>570.88</v>
      </c>
      <c r="O275" t="s">
        <v>75</v>
      </c>
    </row>
    <row r="276" spans="1:15" x14ac:dyDescent="0.25">
      <c r="A276" s="10" t="s">
        <v>660</v>
      </c>
      <c r="B276" s="15">
        <v>543.94000000000005</v>
      </c>
      <c r="C276" s="15">
        <v>360.26</v>
      </c>
      <c r="D276" s="15">
        <v>477.73</v>
      </c>
      <c r="E276" s="15">
        <v>355.79</v>
      </c>
      <c r="F276" s="15">
        <v>570.88</v>
      </c>
      <c r="G276" s="15">
        <v>545.05999999999995</v>
      </c>
      <c r="H276" s="15">
        <v>570.88</v>
      </c>
      <c r="I276" s="15">
        <v>485.78</v>
      </c>
      <c r="J276" s="15">
        <v>492.54</v>
      </c>
      <c r="K276" s="15">
        <v>383.9</v>
      </c>
      <c r="L276" s="15">
        <v>517.76</v>
      </c>
      <c r="M276" s="15">
        <v>462.19</v>
      </c>
      <c r="N276" s="15">
        <v>479.9</v>
      </c>
      <c r="O276" t="s">
        <v>75</v>
      </c>
    </row>
    <row r="277" spans="1:15" x14ac:dyDescent="0.25">
      <c r="A277" s="10" t="s">
        <v>664</v>
      </c>
      <c r="B277" s="15">
        <v>217.05</v>
      </c>
      <c r="C277" s="15">
        <v>210.43</v>
      </c>
      <c r="D277" s="15">
        <v>180.34</v>
      </c>
      <c r="E277" s="15">
        <v>314.02999999999997</v>
      </c>
      <c r="F277" s="15">
        <v>335.34</v>
      </c>
      <c r="G277" s="15">
        <v>321.32</v>
      </c>
      <c r="H277" s="15">
        <v>435.2</v>
      </c>
      <c r="I277" s="15">
        <v>205.42</v>
      </c>
      <c r="J277" s="15">
        <v>328.02</v>
      </c>
      <c r="K277" s="15">
        <v>568.07000000000005</v>
      </c>
      <c r="L277" s="15">
        <v>5.36</v>
      </c>
      <c r="M277" s="15">
        <v>0</v>
      </c>
      <c r="N277" s="15">
        <v>230.67</v>
      </c>
      <c r="O277" t="s">
        <v>75</v>
      </c>
    </row>
    <row r="278" spans="1:15" x14ac:dyDescent="0.25">
      <c r="A278" s="10" t="s">
        <v>666</v>
      </c>
      <c r="B278" s="15">
        <v>45.99</v>
      </c>
      <c r="C278" s="15">
        <v>136.83000000000001</v>
      </c>
      <c r="D278" s="15">
        <v>176.17</v>
      </c>
      <c r="E278" s="15">
        <v>166.12</v>
      </c>
      <c r="F278" s="15">
        <v>159.36000000000001</v>
      </c>
      <c r="G278" s="15">
        <v>164.77</v>
      </c>
      <c r="H278" s="15">
        <v>337.73</v>
      </c>
      <c r="I278" s="15">
        <v>299.04000000000002</v>
      </c>
      <c r="J278" s="15">
        <v>170.35</v>
      </c>
      <c r="K278" s="15">
        <v>167.69</v>
      </c>
      <c r="L278" s="15">
        <v>202.43</v>
      </c>
      <c r="M278" s="15">
        <v>524.22</v>
      </c>
      <c r="N278" s="15">
        <v>189.43</v>
      </c>
      <c r="O278" t="s">
        <v>75</v>
      </c>
    </row>
    <row r="279" spans="1:15" x14ac:dyDescent="0.25">
      <c r="A279" s="10" t="s">
        <v>668</v>
      </c>
      <c r="B279" s="15">
        <v>207.03</v>
      </c>
      <c r="C279" s="15">
        <v>154.62</v>
      </c>
      <c r="D279" s="15">
        <v>154.62</v>
      </c>
      <c r="E279" s="15">
        <v>154.62</v>
      </c>
      <c r="F279" s="15">
        <v>154.62</v>
      </c>
      <c r="G279" s="15">
        <v>154.62</v>
      </c>
      <c r="H279" s="15">
        <v>207.07</v>
      </c>
      <c r="I279" s="15">
        <v>205.07</v>
      </c>
      <c r="J279" s="15">
        <v>171.77</v>
      </c>
      <c r="K279" s="15">
        <v>171.77</v>
      </c>
      <c r="L279" s="15">
        <v>171.77</v>
      </c>
      <c r="M279" s="15">
        <v>330.09</v>
      </c>
      <c r="N279" s="15">
        <v>171.77</v>
      </c>
      <c r="O279" t="s">
        <v>75</v>
      </c>
    </row>
    <row r="280" spans="1:15" x14ac:dyDescent="0.25">
      <c r="A280" s="10" t="s">
        <v>670</v>
      </c>
      <c r="B280" s="15">
        <v>549.55999999999995</v>
      </c>
      <c r="C280" s="15">
        <v>549.55999999999995</v>
      </c>
      <c r="D280" s="15">
        <v>549.55999999999995</v>
      </c>
      <c r="E280" s="15">
        <v>549.55999999999995</v>
      </c>
      <c r="F280" s="15">
        <v>549.55999999999995</v>
      </c>
      <c r="G280" s="15">
        <v>549.55999999999995</v>
      </c>
      <c r="H280" s="15">
        <v>570.88</v>
      </c>
      <c r="I280" s="15">
        <v>570.88</v>
      </c>
      <c r="J280" s="15">
        <v>570.88</v>
      </c>
      <c r="K280" s="15">
        <v>570.88</v>
      </c>
      <c r="L280" s="15">
        <v>570.88</v>
      </c>
      <c r="M280" s="15">
        <v>780.2</v>
      </c>
      <c r="N280" s="15">
        <v>570.88</v>
      </c>
      <c r="O280" t="s">
        <v>75</v>
      </c>
    </row>
    <row r="281" spans="1:15" x14ac:dyDescent="0.25">
      <c r="A281" s="10" t="s">
        <v>672</v>
      </c>
      <c r="B281" s="15">
        <v>570.88</v>
      </c>
      <c r="C281" s="15">
        <v>570.88</v>
      </c>
      <c r="D281" s="15">
        <v>570.88</v>
      </c>
      <c r="E281" s="15">
        <v>570.88</v>
      </c>
      <c r="F281" s="15">
        <v>570.88</v>
      </c>
      <c r="G281" s="15">
        <v>570.88</v>
      </c>
      <c r="H281" s="15">
        <v>570.88</v>
      </c>
      <c r="I281" s="15">
        <v>0</v>
      </c>
      <c r="J281" s="15">
        <v>0</v>
      </c>
      <c r="K281" s="15">
        <v>0</v>
      </c>
      <c r="L281" s="15">
        <v>0</v>
      </c>
      <c r="M281" s="15">
        <v>0</v>
      </c>
      <c r="N281" s="15">
        <v>570.88</v>
      </c>
      <c r="O281" t="s">
        <v>75</v>
      </c>
    </row>
    <row r="282" spans="1:15" x14ac:dyDescent="0.25">
      <c r="A282" s="10" t="s">
        <v>674</v>
      </c>
      <c r="B282" s="15">
        <v>112.87</v>
      </c>
      <c r="C282" s="15">
        <v>166.62</v>
      </c>
      <c r="D282" s="15">
        <v>168.75</v>
      </c>
      <c r="E282" s="15">
        <v>163.9</v>
      </c>
      <c r="F282" s="15">
        <v>159.53</v>
      </c>
      <c r="G282" s="15">
        <v>160.6</v>
      </c>
      <c r="H282" s="15">
        <v>216.58</v>
      </c>
      <c r="I282" s="15">
        <v>210.47</v>
      </c>
      <c r="J282" s="15">
        <v>178</v>
      </c>
      <c r="K282" s="15">
        <v>175.86</v>
      </c>
      <c r="L282" s="15">
        <v>182.05</v>
      </c>
      <c r="M282" s="15">
        <v>395.17</v>
      </c>
      <c r="N282" s="15">
        <v>184.3</v>
      </c>
      <c r="O282" t="s">
        <v>75</v>
      </c>
    </row>
    <row r="283" spans="1:15" x14ac:dyDescent="0.25">
      <c r="A283" s="10" t="s">
        <v>676</v>
      </c>
      <c r="B283" s="15">
        <v>570.88</v>
      </c>
      <c r="C283" s="15">
        <v>525.67999999999995</v>
      </c>
      <c r="D283" s="15">
        <v>570.88</v>
      </c>
      <c r="E283" s="15">
        <v>518.55999999999995</v>
      </c>
      <c r="F283" s="15">
        <v>500.98</v>
      </c>
      <c r="G283" s="15">
        <v>932.43</v>
      </c>
      <c r="H283" s="15">
        <v>209.33</v>
      </c>
      <c r="I283" s="15">
        <v>570.88</v>
      </c>
      <c r="J283" s="15">
        <v>559.07000000000005</v>
      </c>
      <c r="K283" s="15">
        <v>558.26</v>
      </c>
      <c r="L283" s="15">
        <v>556.78</v>
      </c>
      <c r="M283" s="15">
        <v>559.72</v>
      </c>
      <c r="N283" s="15">
        <v>570.88</v>
      </c>
      <c r="O283" t="s">
        <v>75</v>
      </c>
    </row>
    <row r="284" spans="1:15" x14ac:dyDescent="0.25">
      <c r="A284" s="10" t="s">
        <v>678</v>
      </c>
      <c r="B284" s="15">
        <v>120.64</v>
      </c>
      <c r="C284" s="15">
        <v>120.64</v>
      </c>
      <c r="D284" s="15">
        <v>120.64</v>
      </c>
      <c r="E284" s="15">
        <v>120.64</v>
      </c>
      <c r="F284" s="15">
        <v>120.64</v>
      </c>
      <c r="G284" s="15">
        <v>120.64</v>
      </c>
      <c r="H284" s="15">
        <v>180.81</v>
      </c>
      <c r="I284" s="15">
        <v>180.81</v>
      </c>
      <c r="J284" s="15">
        <v>150.75</v>
      </c>
      <c r="K284" s="15">
        <v>150.75</v>
      </c>
      <c r="L284" s="15">
        <v>150.75</v>
      </c>
      <c r="M284" s="15">
        <v>163.31</v>
      </c>
      <c r="N284" s="15">
        <v>150.75</v>
      </c>
      <c r="O284" t="s">
        <v>75</v>
      </c>
    </row>
    <row r="285" spans="1:15" x14ac:dyDescent="0.25">
      <c r="A285" s="10" t="s">
        <v>680</v>
      </c>
      <c r="B285" s="15">
        <v>63.64</v>
      </c>
      <c r="C285" s="15">
        <v>73.44</v>
      </c>
      <c r="D285" s="15">
        <v>73.44</v>
      </c>
      <c r="E285" s="15">
        <v>73.44</v>
      </c>
      <c r="F285" s="15">
        <v>73.44</v>
      </c>
      <c r="G285" s="15">
        <v>73.44</v>
      </c>
      <c r="H285" s="15">
        <v>99.96</v>
      </c>
      <c r="I285" s="15">
        <v>99.96</v>
      </c>
      <c r="J285" s="15">
        <v>81.599999999999994</v>
      </c>
      <c r="K285" s="15">
        <v>81.599999999999994</v>
      </c>
      <c r="L285" s="15">
        <v>81.599999999999994</v>
      </c>
      <c r="M285" s="15">
        <v>81.599999999999994</v>
      </c>
      <c r="N285" s="15">
        <v>81.599999999999994</v>
      </c>
      <c r="O285" t="s">
        <v>75</v>
      </c>
    </row>
    <row r="286" spans="1:15" x14ac:dyDescent="0.25">
      <c r="A286" s="10" t="s">
        <v>682</v>
      </c>
      <c r="B286" s="15">
        <v>220.68</v>
      </c>
      <c r="C286" s="15">
        <v>481.28</v>
      </c>
      <c r="D286" s="15">
        <v>73.58</v>
      </c>
      <c r="E286" s="15">
        <v>314.41000000000003</v>
      </c>
      <c r="F286" s="15">
        <v>221.42</v>
      </c>
      <c r="G286" s="15">
        <v>308.14</v>
      </c>
      <c r="H286" s="15">
        <v>297.8</v>
      </c>
      <c r="I286" s="15">
        <v>541.66999999999996</v>
      </c>
      <c r="J286" s="15">
        <v>97.5</v>
      </c>
      <c r="K286" s="15">
        <v>220.98</v>
      </c>
      <c r="L286" s="15">
        <v>29.56</v>
      </c>
      <c r="M286" s="15">
        <v>0</v>
      </c>
      <c r="N286" s="15">
        <v>188.86</v>
      </c>
      <c r="O286" t="s">
        <v>75</v>
      </c>
    </row>
    <row r="287" spans="1:15" x14ac:dyDescent="0.25">
      <c r="A287" s="10" t="s">
        <v>684</v>
      </c>
      <c r="B287" s="15">
        <v>148.03</v>
      </c>
      <c r="C287" s="15">
        <v>147.22999999999999</v>
      </c>
      <c r="D287" s="15">
        <v>148.91</v>
      </c>
      <c r="E287" s="15">
        <v>146.82</v>
      </c>
      <c r="F287" s="15">
        <v>141.44</v>
      </c>
      <c r="G287" s="15">
        <v>223.64</v>
      </c>
      <c r="H287" s="15">
        <v>153.18</v>
      </c>
      <c r="I287" s="15">
        <v>183.82</v>
      </c>
      <c r="J287" s="15">
        <v>157.36000000000001</v>
      </c>
      <c r="K287" s="15">
        <v>156.83000000000001</v>
      </c>
      <c r="L287" s="15">
        <v>156.12</v>
      </c>
      <c r="M287" s="15">
        <v>171.81</v>
      </c>
      <c r="N287" s="15">
        <v>158.65</v>
      </c>
      <c r="O287" t="s">
        <v>75</v>
      </c>
    </row>
    <row r="288" spans="1:15" x14ac:dyDescent="0.25">
      <c r="A288" s="10" t="s">
        <v>686</v>
      </c>
      <c r="B288" s="15">
        <v>158.83000000000001</v>
      </c>
      <c r="C288" s="15">
        <v>120.64</v>
      </c>
      <c r="D288" s="15">
        <v>164.44</v>
      </c>
      <c r="E288" s="15">
        <v>120.94</v>
      </c>
      <c r="F288" s="15">
        <v>166.98</v>
      </c>
      <c r="G288" s="15">
        <v>150.34</v>
      </c>
      <c r="H288" s="15">
        <v>214.91</v>
      </c>
      <c r="I288" s="15">
        <v>180.81</v>
      </c>
      <c r="J288" s="15">
        <v>150.75</v>
      </c>
      <c r="K288" s="15">
        <v>150.75</v>
      </c>
      <c r="L288" s="15">
        <v>167.34</v>
      </c>
      <c r="M288" s="15">
        <v>484.74</v>
      </c>
      <c r="N288" s="15">
        <v>163.89</v>
      </c>
      <c r="O288" t="s">
        <v>75</v>
      </c>
    </row>
    <row r="289" spans="1:15" x14ac:dyDescent="0.25">
      <c r="A289" s="10" t="s">
        <v>688</v>
      </c>
      <c r="B289" s="15">
        <v>70.989999999999995</v>
      </c>
      <c r="C289" s="15">
        <v>73.44</v>
      </c>
      <c r="D289" s="15">
        <v>75.09</v>
      </c>
      <c r="E289" s="15">
        <v>73.44</v>
      </c>
      <c r="F289" s="15">
        <v>73.44</v>
      </c>
      <c r="G289" s="15">
        <v>73.44</v>
      </c>
      <c r="H289" s="15">
        <v>100.14</v>
      </c>
      <c r="I289" s="15">
        <v>99.96</v>
      </c>
      <c r="J289" s="15">
        <v>81.599999999999994</v>
      </c>
      <c r="K289" s="15">
        <v>78.88</v>
      </c>
      <c r="L289" s="15">
        <v>81.599999999999994</v>
      </c>
      <c r="M289" s="15">
        <v>190.62</v>
      </c>
      <c r="N289" s="15">
        <v>81.760000000000005</v>
      </c>
      <c r="O289" t="s">
        <v>75</v>
      </c>
    </row>
    <row r="290" spans="1:15" x14ac:dyDescent="0.25">
      <c r="A290" s="10" t="s">
        <v>690</v>
      </c>
      <c r="B290" s="15">
        <v>221.36</v>
      </c>
      <c r="C290" s="15">
        <v>222.75</v>
      </c>
      <c r="D290" s="15">
        <v>226.23</v>
      </c>
      <c r="E290" s="15">
        <v>222.67</v>
      </c>
      <c r="F290" s="15">
        <v>227.14</v>
      </c>
      <c r="G290" s="15">
        <v>212.9</v>
      </c>
      <c r="H290" s="15">
        <v>374.67</v>
      </c>
      <c r="I290" s="15">
        <v>340.2</v>
      </c>
      <c r="J290" s="15">
        <v>734.74</v>
      </c>
      <c r="K290" s="15">
        <v>15.64</v>
      </c>
      <c r="L290" s="15">
        <v>283.52999999999997</v>
      </c>
      <c r="M290" s="15">
        <v>286.69</v>
      </c>
      <c r="N290" s="15">
        <v>298.08999999999997</v>
      </c>
      <c r="O290" t="s">
        <v>75</v>
      </c>
    </row>
    <row r="291" spans="1:15" x14ac:dyDescent="0.25">
      <c r="A291" s="10" t="s">
        <v>692</v>
      </c>
      <c r="B291" s="15">
        <v>377.74</v>
      </c>
      <c r="C291" s="15">
        <v>377.74</v>
      </c>
      <c r="D291" s="15">
        <v>377.74</v>
      </c>
      <c r="E291" s="15">
        <v>377.74</v>
      </c>
      <c r="F291" s="15">
        <v>109.88</v>
      </c>
      <c r="G291" s="15">
        <v>0</v>
      </c>
      <c r="H291" s="15">
        <v>0</v>
      </c>
      <c r="I291" s="15">
        <v>72.959999999999994</v>
      </c>
      <c r="J291" s="15">
        <v>0</v>
      </c>
      <c r="K291" s="15">
        <v>0</v>
      </c>
      <c r="L291" s="15">
        <v>0</v>
      </c>
      <c r="M291" s="15">
        <v>0</v>
      </c>
      <c r="N291" s="15">
        <v>101.7</v>
      </c>
      <c r="O291" t="s">
        <v>75</v>
      </c>
    </row>
    <row r="292" spans="1:15" x14ac:dyDescent="0.25">
      <c r="A292" s="10" t="s">
        <v>694</v>
      </c>
      <c r="B292" s="15">
        <v>83.48</v>
      </c>
      <c r="C292" s="15">
        <v>0</v>
      </c>
      <c r="D292" s="15">
        <v>0</v>
      </c>
      <c r="E292" s="15">
        <v>0</v>
      </c>
      <c r="F292" s="15">
        <v>0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t="s">
        <v>75</v>
      </c>
    </row>
    <row r="293" spans="1:15" x14ac:dyDescent="0.25">
      <c r="A293" s="10" t="s">
        <v>696</v>
      </c>
      <c r="B293" s="15">
        <v>186.31</v>
      </c>
      <c r="C293" s="15">
        <v>150.12</v>
      </c>
      <c r="D293" s="15">
        <v>178.76</v>
      </c>
      <c r="E293" s="15">
        <v>150.12</v>
      </c>
      <c r="F293" s="15">
        <v>165.66</v>
      </c>
      <c r="G293" s="15">
        <v>150.12</v>
      </c>
      <c r="H293" s="15">
        <v>204.97</v>
      </c>
      <c r="I293" s="15">
        <v>200.07</v>
      </c>
      <c r="J293" s="15">
        <v>481.38</v>
      </c>
      <c r="K293" s="15">
        <v>6.8</v>
      </c>
      <c r="L293" s="15">
        <v>161.21</v>
      </c>
      <c r="M293" s="15">
        <v>171.77</v>
      </c>
      <c r="N293" s="15">
        <v>179.67</v>
      </c>
      <c r="O293" t="s">
        <v>75</v>
      </c>
    </row>
    <row r="294" spans="1:15" x14ac:dyDescent="0.25">
      <c r="A294" s="10" t="s">
        <v>698</v>
      </c>
      <c r="B294" s="15">
        <v>114.87</v>
      </c>
      <c r="C294" s="15">
        <v>114.56</v>
      </c>
      <c r="D294" s="15">
        <v>116.26</v>
      </c>
      <c r="E294" s="15">
        <v>113.88</v>
      </c>
      <c r="F294" s="15">
        <v>110.14</v>
      </c>
      <c r="G294" s="15">
        <v>109.89</v>
      </c>
      <c r="H294" s="15">
        <v>167.51</v>
      </c>
      <c r="I294" s="15">
        <v>163.21</v>
      </c>
      <c r="J294" s="15">
        <v>279.13</v>
      </c>
      <c r="K294" s="15">
        <v>53.08</v>
      </c>
      <c r="L294" s="15">
        <v>121.39</v>
      </c>
      <c r="M294" s="15">
        <v>161.97999999999999</v>
      </c>
      <c r="N294" s="15">
        <v>123.3</v>
      </c>
      <c r="O294" t="s">
        <v>75</v>
      </c>
    </row>
    <row r="295" spans="1:15" x14ac:dyDescent="0.25">
      <c r="A295" s="10" t="s">
        <v>700</v>
      </c>
      <c r="B295" s="15">
        <v>570.88</v>
      </c>
      <c r="C295" s="15">
        <v>570.88</v>
      </c>
      <c r="D295" s="15">
        <v>570.88</v>
      </c>
      <c r="E295" s="15">
        <v>570.88</v>
      </c>
      <c r="F295" s="15">
        <v>570.88</v>
      </c>
      <c r="G295" s="15">
        <v>570.88</v>
      </c>
      <c r="H295" s="15">
        <v>570.88</v>
      </c>
      <c r="I295" s="15">
        <v>570.88</v>
      </c>
      <c r="J295" s="15">
        <v>570.88</v>
      </c>
      <c r="K295" s="15">
        <v>589.9</v>
      </c>
      <c r="L295" s="15">
        <v>551.86</v>
      </c>
      <c r="M295" s="15">
        <v>570.88</v>
      </c>
      <c r="N295" s="15">
        <v>570.88</v>
      </c>
      <c r="O295" t="s">
        <v>75</v>
      </c>
    </row>
    <row r="296" spans="1:15" x14ac:dyDescent="0.25">
      <c r="A296" s="10" t="s">
        <v>702</v>
      </c>
      <c r="B296" s="15">
        <v>0</v>
      </c>
      <c r="C296" s="15">
        <v>0</v>
      </c>
      <c r="D296" s="15">
        <v>0</v>
      </c>
      <c r="E296" s="15">
        <v>110.61</v>
      </c>
      <c r="F296" s="15">
        <v>190.7</v>
      </c>
      <c r="G296" s="15">
        <v>186.66</v>
      </c>
      <c r="H296" s="15">
        <v>287.72000000000003</v>
      </c>
      <c r="I296" s="15">
        <v>287.17</v>
      </c>
      <c r="J296" s="15">
        <v>214.76</v>
      </c>
      <c r="K296" s="15">
        <v>207.36</v>
      </c>
      <c r="L296" s="15">
        <v>224.1</v>
      </c>
      <c r="M296" s="15">
        <v>207.36</v>
      </c>
      <c r="N296" s="15">
        <v>157.93</v>
      </c>
      <c r="O296" t="s">
        <v>75</v>
      </c>
    </row>
    <row r="297" spans="1:15" x14ac:dyDescent="0.25">
      <c r="A297" s="10" t="s">
        <v>704</v>
      </c>
      <c r="B297" s="15">
        <v>15.84</v>
      </c>
      <c r="C297" s="15">
        <v>87.36</v>
      </c>
      <c r="D297" s="15">
        <v>99.58</v>
      </c>
      <c r="E297" s="15">
        <v>97.92</v>
      </c>
      <c r="F297" s="15">
        <v>120.46</v>
      </c>
      <c r="G297" s="15">
        <v>103.76</v>
      </c>
      <c r="H297" s="15">
        <v>146.31</v>
      </c>
      <c r="I297" s="15">
        <v>140.4</v>
      </c>
      <c r="J297" s="15">
        <v>104</v>
      </c>
      <c r="K297" s="15">
        <v>104</v>
      </c>
      <c r="L297" s="15">
        <v>107.67</v>
      </c>
      <c r="M297" s="15">
        <v>252.63</v>
      </c>
      <c r="N297" s="15">
        <v>109.75</v>
      </c>
      <c r="O297" t="s">
        <v>75</v>
      </c>
    </row>
    <row r="298" spans="1:15" x14ac:dyDescent="0.25">
      <c r="A298" s="10" t="s">
        <v>706</v>
      </c>
      <c r="B298" s="15">
        <v>154.62</v>
      </c>
      <c r="C298" s="15">
        <v>154.62</v>
      </c>
      <c r="D298" s="15">
        <v>154.62</v>
      </c>
      <c r="E298" s="15">
        <v>154.62</v>
      </c>
      <c r="F298" s="15">
        <v>154.62</v>
      </c>
      <c r="G298" s="15">
        <v>154.62</v>
      </c>
      <c r="H298" s="15">
        <v>207.07</v>
      </c>
      <c r="I298" s="15">
        <v>205.07</v>
      </c>
      <c r="J298" s="15">
        <v>499.28</v>
      </c>
      <c r="K298" s="15">
        <v>7</v>
      </c>
      <c r="L298" s="15">
        <v>174.84</v>
      </c>
      <c r="M298" s="15">
        <v>192.4</v>
      </c>
      <c r="N298" s="15">
        <v>177.54</v>
      </c>
      <c r="O298" t="s">
        <v>75</v>
      </c>
    </row>
    <row r="299" spans="1:15" x14ac:dyDescent="0.25">
      <c r="A299" s="10" t="s">
        <v>708</v>
      </c>
      <c r="B299" s="15">
        <v>105.76</v>
      </c>
      <c r="C299" s="15">
        <v>105.76</v>
      </c>
      <c r="D299" s="15">
        <v>105.76</v>
      </c>
      <c r="E299" s="15">
        <v>105.76</v>
      </c>
      <c r="F299" s="15">
        <v>105.76</v>
      </c>
      <c r="G299" s="15">
        <v>105.76</v>
      </c>
      <c r="H299" s="15">
        <v>158.4</v>
      </c>
      <c r="I299" s="15">
        <v>158.4</v>
      </c>
      <c r="J299" s="15">
        <v>117.44</v>
      </c>
      <c r="K299" s="15">
        <v>117.44</v>
      </c>
      <c r="L299" s="15">
        <v>117.44</v>
      </c>
      <c r="M299" s="15">
        <v>294.61</v>
      </c>
      <c r="N299" s="15">
        <v>117.44</v>
      </c>
      <c r="O299" t="s">
        <v>75</v>
      </c>
    </row>
    <row r="300" spans="1:15" x14ac:dyDescent="0.25">
      <c r="A300" s="10" t="s">
        <v>710</v>
      </c>
      <c r="B300" s="15">
        <v>124.5</v>
      </c>
      <c r="C300" s="15">
        <v>124.5</v>
      </c>
      <c r="D300" s="15">
        <v>124.5</v>
      </c>
      <c r="E300" s="15">
        <v>124.5</v>
      </c>
      <c r="F300" s="15">
        <v>146.19</v>
      </c>
      <c r="G300" s="15">
        <v>124.5</v>
      </c>
      <c r="H300" s="15">
        <v>188.09</v>
      </c>
      <c r="I300" s="15">
        <v>185.61</v>
      </c>
      <c r="J300" s="15">
        <v>369.74</v>
      </c>
      <c r="K300" s="15">
        <v>5.19</v>
      </c>
      <c r="L300" s="15">
        <v>152.52000000000001</v>
      </c>
      <c r="M300" s="15">
        <v>155.55000000000001</v>
      </c>
      <c r="N300" s="15">
        <v>156.66</v>
      </c>
      <c r="O300" t="s">
        <v>75</v>
      </c>
    </row>
    <row r="301" spans="1:15" x14ac:dyDescent="0.25">
      <c r="A301" s="10" t="s">
        <v>712</v>
      </c>
      <c r="B301" s="15">
        <v>0</v>
      </c>
      <c r="C301" s="15">
        <v>0</v>
      </c>
      <c r="D301" s="15">
        <v>0</v>
      </c>
      <c r="E301" s="15">
        <v>123.2</v>
      </c>
      <c r="F301" s="15">
        <v>220.73</v>
      </c>
      <c r="G301" s="15">
        <v>207.9</v>
      </c>
      <c r="H301" s="15">
        <v>337.58</v>
      </c>
      <c r="I301" s="15">
        <v>146.19</v>
      </c>
      <c r="J301" s="15">
        <v>0</v>
      </c>
      <c r="K301" s="15">
        <v>0</v>
      </c>
      <c r="L301" s="15">
        <v>0</v>
      </c>
      <c r="M301" s="15">
        <v>0</v>
      </c>
      <c r="N301" s="15">
        <v>70.11</v>
      </c>
      <c r="O301" t="s">
        <v>75</v>
      </c>
    </row>
    <row r="302" spans="1:15" x14ac:dyDescent="0.25">
      <c r="A302" s="10" t="s">
        <v>714</v>
      </c>
      <c r="B302" s="15">
        <v>251.16</v>
      </c>
      <c r="C302" s="15">
        <v>95</v>
      </c>
      <c r="D302" s="15">
        <v>120.64</v>
      </c>
      <c r="E302" s="15">
        <v>165.09</v>
      </c>
      <c r="F302" s="15">
        <v>186.59</v>
      </c>
      <c r="G302" s="15">
        <v>141.22999999999999</v>
      </c>
      <c r="H302" s="15">
        <v>195.83</v>
      </c>
      <c r="I302" s="15">
        <v>186.71</v>
      </c>
      <c r="J302" s="15">
        <v>157.61000000000001</v>
      </c>
      <c r="K302" s="15">
        <v>156.72999999999999</v>
      </c>
      <c r="L302" s="15">
        <v>156.22999999999999</v>
      </c>
      <c r="M302" s="15">
        <v>178.81</v>
      </c>
      <c r="N302" s="15">
        <v>161.81</v>
      </c>
      <c r="O302" t="s">
        <v>75</v>
      </c>
    </row>
    <row r="303" spans="1:15" x14ac:dyDescent="0.25">
      <c r="A303" s="10" t="s">
        <v>716</v>
      </c>
      <c r="B303" s="15">
        <v>447.87</v>
      </c>
      <c r="C303" s="15">
        <v>447.87</v>
      </c>
      <c r="D303" s="15">
        <v>447.87</v>
      </c>
      <c r="E303" s="15">
        <v>447.87</v>
      </c>
      <c r="F303" s="15">
        <v>447.87</v>
      </c>
      <c r="G303" s="15">
        <v>447.87</v>
      </c>
      <c r="H303" s="15">
        <v>570.88</v>
      </c>
      <c r="I303" s="15">
        <v>570.88</v>
      </c>
      <c r="J303" s="15">
        <v>497.5</v>
      </c>
      <c r="K303" s="15">
        <v>497.5</v>
      </c>
      <c r="L303" s="15">
        <v>637.59</v>
      </c>
      <c r="M303" s="15">
        <v>447.75</v>
      </c>
      <c r="N303" s="15">
        <v>497.5</v>
      </c>
      <c r="O303" t="s">
        <v>75</v>
      </c>
    </row>
    <row r="304" spans="1:15" x14ac:dyDescent="0.25">
      <c r="A304" s="10" t="s">
        <v>718</v>
      </c>
      <c r="B304" s="15">
        <v>82.47</v>
      </c>
      <c r="C304" s="15">
        <v>0</v>
      </c>
      <c r="D304" s="15">
        <v>0</v>
      </c>
      <c r="E304" s="15">
        <v>0</v>
      </c>
      <c r="F304" s="15">
        <v>0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t="s">
        <v>75</v>
      </c>
    </row>
    <row r="305" spans="1:15" x14ac:dyDescent="0.25">
      <c r="A305" s="10" t="s">
        <v>720</v>
      </c>
      <c r="B305" s="15">
        <v>239.37</v>
      </c>
      <c r="C305" s="15">
        <v>88</v>
      </c>
      <c r="D305" s="15">
        <v>123.04</v>
      </c>
      <c r="E305" s="15">
        <v>143.57</v>
      </c>
      <c r="F305" s="15">
        <v>167.01</v>
      </c>
      <c r="G305" s="15">
        <v>142.44</v>
      </c>
      <c r="H305" s="15">
        <v>197.04</v>
      </c>
      <c r="I305" s="15">
        <v>206.86</v>
      </c>
      <c r="J305" s="15">
        <v>173.37</v>
      </c>
      <c r="K305" s="15">
        <v>174.79</v>
      </c>
      <c r="L305" s="15">
        <v>226.03</v>
      </c>
      <c r="M305" s="15">
        <v>148.77000000000001</v>
      </c>
      <c r="N305" s="15">
        <v>167.19</v>
      </c>
      <c r="O305" t="s">
        <v>75</v>
      </c>
    </row>
    <row r="306" spans="1:15" x14ac:dyDescent="0.25">
      <c r="A306" s="10" t="s">
        <v>722</v>
      </c>
      <c r="B306" s="15">
        <v>205.72</v>
      </c>
      <c r="C306" s="15">
        <v>215.43</v>
      </c>
      <c r="D306" s="15">
        <v>335.85</v>
      </c>
      <c r="E306" s="15">
        <v>293.57</v>
      </c>
      <c r="F306" s="15">
        <v>418.42</v>
      </c>
      <c r="G306" s="15">
        <v>215.43</v>
      </c>
      <c r="H306" s="15">
        <v>410.58</v>
      </c>
      <c r="I306" s="15">
        <v>348.96</v>
      </c>
      <c r="J306" s="15">
        <v>299.56</v>
      </c>
      <c r="K306" s="15">
        <v>753.86</v>
      </c>
      <c r="L306" s="15">
        <v>0</v>
      </c>
      <c r="M306" s="15">
        <v>292.42</v>
      </c>
      <c r="N306" s="15">
        <v>323.83</v>
      </c>
      <c r="O306" t="s">
        <v>75</v>
      </c>
    </row>
    <row r="307" spans="1:15" x14ac:dyDescent="0.25">
      <c r="A307" s="10" t="s">
        <v>724</v>
      </c>
      <c r="B307" s="15">
        <v>117.47</v>
      </c>
      <c r="C307" s="15">
        <v>433.87</v>
      </c>
      <c r="D307" s="15">
        <v>101.36</v>
      </c>
      <c r="E307" s="15">
        <v>150.41</v>
      </c>
      <c r="F307" s="15">
        <v>145.02000000000001</v>
      </c>
      <c r="G307" s="15">
        <v>145.31</v>
      </c>
      <c r="H307" s="15">
        <v>191.38</v>
      </c>
      <c r="I307" s="15">
        <v>186.72</v>
      </c>
      <c r="J307" s="15">
        <v>161.36000000000001</v>
      </c>
      <c r="K307" s="15">
        <v>165.93</v>
      </c>
      <c r="L307" s="15">
        <v>165.43</v>
      </c>
      <c r="M307" s="15">
        <v>165.98</v>
      </c>
      <c r="N307" s="15">
        <v>166.83</v>
      </c>
      <c r="O307" t="s">
        <v>75</v>
      </c>
    </row>
    <row r="308" spans="1:15" x14ac:dyDescent="0.25">
      <c r="A308" s="10" t="s">
        <v>726</v>
      </c>
      <c r="B308" s="15">
        <v>383.46</v>
      </c>
      <c r="C308" s="15">
        <v>383.46</v>
      </c>
      <c r="D308" s="15">
        <v>383.46</v>
      </c>
      <c r="E308" s="15">
        <v>383.46</v>
      </c>
      <c r="F308" s="15">
        <v>385.2</v>
      </c>
      <c r="G308" s="15">
        <v>508.5</v>
      </c>
      <c r="H308" s="15">
        <v>570.88</v>
      </c>
      <c r="I308" s="15">
        <v>523.61</v>
      </c>
      <c r="J308" s="15">
        <v>445.02</v>
      </c>
      <c r="K308" s="15">
        <v>0</v>
      </c>
      <c r="L308" s="15">
        <v>0</v>
      </c>
      <c r="M308" s="15">
        <v>0</v>
      </c>
      <c r="N308" s="15">
        <v>0</v>
      </c>
      <c r="O308" t="s">
        <v>75</v>
      </c>
    </row>
    <row r="309" spans="1:15" x14ac:dyDescent="0.25">
      <c r="A309" s="10" t="s">
        <v>728</v>
      </c>
      <c r="B309" s="15">
        <v>174.64</v>
      </c>
      <c r="C309" s="15">
        <v>204.12</v>
      </c>
      <c r="D309" s="15">
        <v>215.26</v>
      </c>
      <c r="E309" s="15">
        <v>204.12</v>
      </c>
      <c r="F309" s="15">
        <v>213.52</v>
      </c>
      <c r="G309" s="15">
        <v>224.66</v>
      </c>
      <c r="H309" s="15">
        <v>362.49</v>
      </c>
      <c r="I309" s="15">
        <v>355.83</v>
      </c>
      <c r="J309" s="15">
        <v>226.74</v>
      </c>
      <c r="K309" s="15">
        <v>300.98</v>
      </c>
      <c r="L309" s="15">
        <v>609.54</v>
      </c>
      <c r="M309" s="15">
        <v>92.38</v>
      </c>
      <c r="N309" s="15">
        <v>288.45</v>
      </c>
      <c r="O309" t="s">
        <v>75</v>
      </c>
    </row>
    <row r="310" spans="1:15" x14ac:dyDescent="0.25">
      <c r="A310" s="10" t="s">
        <v>730</v>
      </c>
      <c r="B310" s="15">
        <v>120.64</v>
      </c>
      <c r="C310" s="15">
        <v>120.64</v>
      </c>
      <c r="D310" s="15">
        <v>120.64</v>
      </c>
      <c r="E310" s="15">
        <v>143.83000000000001</v>
      </c>
      <c r="F310" s="15">
        <v>166.54</v>
      </c>
      <c r="G310" s="15">
        <v>120.64</v>
      </c>
      <c r="H310" s="15">
        <v>185.12</v>
      </c>
      <c r="I310" s="15">
        <v>180.81</v>
      </c>
      <c r="J310" s="15">
        <v>150.75</v>
      </c>
      <c r="K310" s="15">
        <v>150.75</v>
      </c>
      <c r="L310" s="15">
        <v>150.75</v>
      </c>
      <c r="M310" s="15">
        <v>188.5</v>
      </c>
      <c r="N310" s="15">
        <v>154.63999999999999</v>
      </c>
      <c r="O310" t="s">
        <v>75</v>
      </c>
    </row>
    <row r="311" spans="1:15" x14ac:dyDescent="0.25">
      <c r="A311" s="10" t="s">
        <v>732</v>
      </c>
      <c r="B311" s="15">
        <v>107.09</v>
      </c>
      <c r="C311" s="15">
        <v>41.33</v>
      </c>
      <c r="D311" s="15">
        <v>0</v>
      </c>
      <c r="E311" s="15">
        <v>0</v>
      </c>
      <c r="F311" s="15">
        <v>0</v>
      </c>
      <c r="G311" s="15">
        <v>0</v>
      </c>
      <c r="H311" s="15">
        <v>0</v>
      </c>
      <c r="I311" s="15">
        <v>0</v>
      </c>
      <c r="J311" s="15">
        <v>0</v>
      </c>
      <c r="K311" s="15">
        <v>0</v>
      </c>
      <c r="L311" s="15">
        <v>0</v>
      </c>
      <c r="M311" s="15">
        <v>0</v>
      </c>
      <c r="N311" s="15">
        <v>17.239999999999998</v>
      </c>
      <c r="O311" t="s">
        <v>75</v>
      </c>
    </row>
    <row r="312" spans="1:15" x14ac:dyDescent="0.25">
      <c r="A312" s="10" t="s">
        <v>734</v>
      </c>
      <c r="B312" s="15">
        <v>502.48</v>
      </c>
      <c r="C312" s="15">
        <v>570.88</v>
      </c>
      <c r="D312" s="15">
        <v>570.88</v>
      </c>
      <c r="E312" s="15">
        <v>570.88</v>
      </c>
      <c r="F312" s="15">
        <v>570.88</v>
      </c>
      <c r="G312" s="15">
        <v>570.88</v>
      </c>
      <c r="H312" s="15">
        <v>570.88</v>
      </c>
      <c r="I312" s="15">
        <v>570.88</v>
      </c>
      <c r="J312" s="15">
        <v>570.88</v>
      </c>
      <c r="K312" s="15">
        <v>570.88</v>
      </c>
      <c r="L312" s="15">
        <v>570.88</v>
      </c>
      <c r="M312" s="15">
        <v>570.88</v>
      </c>
      <c r="N312" s="15">
        <v>570.88</v>
      </c>
      <c r="O312" t="s">
        <v>75</v>
      </c>
    </row>
    <row r="313" spans="1:15" x14ac:dyDescent="0.25">
      <c r="A313" s="10" t="s">
        <v>736</v>
      </c>
      <c r="B313" s="15">
        <v>120.64</v>
      </c>
      <c r="C313" s="15">
        <v>120.64</v>
      </c>
      <c r="D313" s="15">
        <v>120.64</v>
      </c>
      <c r="E313" s="15">
        <v>120.64</v>
      </c>
      <c r="F313" s="15">
        <v>120.64</v>
      </c>
      <c r="G313" s="15">
        <v>145.38</v>
      </c>
      <c r="H313" s="15">
        <v>181.88</v>
      </c>
      <c r="I313" s="15">
        <v>180.81</v>
      </c>
      <c r="J313" s="15">
        <v>242.05</v>
      </c>
      <c r="K313" s="15">
        <v>130.65</v>
      </c>
      <c r="L313" s="15">
        <v>150.75</v>
      </c>
      <c r="M313" s="15">
        <v>150.75</v>
      </c>
      <c r="N313" s="15">
        <v>151.71</v>
      </c>
      <c r="O313" t="s">
        <v>75</v>
      </c>
    </row>
    <row r="314" spans="1:15" x14ac:dyDescent="0.25">
      <c r="A314" s="10" t="s">
        <v>738</v>
      </c>
      <c r="B314" s="15">
        <v>125.52</v>
      </c>
      <c r="C314" s="15">
        <v>115.11</v>
      </c>
      <c r="D314" s="15">
        <v>118.59</v>
      </c>
      <c r="E314" s="15">
        <v>115.11</v>
      </c>
      <c r="F314" s="15">
        <v>158.75</v>
      </c>
      <c r="G314" s="15">
        <v>115.11</v>
      </c>
      <c r="H314" s="15">
        <v>180.08</v>
      </c>
      <c r="I314" s="15">
        <v>171.77</v>
      </c>
      <c r="J314" s="15">
        <v>148.37</v>
      </c>
      <c r="K314" s="15">
        <v>143.87</v>
      </c>
      <c r="L314" s="15">
        <v>143.87</v>
      </c>
      <c r="M314" s="15">
        <v>229.69</v>
      </c>
      <c r="N314" s="15">
        <v>149.53</v>
      </c>
      <c r="O314" t="s">
        <v>75</v>
      </c>
    </row>
    <row r="315" spans="1:15" x14ac:dyDescent="0.25">
      <c r="A315" s="10" t="s">
        <v>740</v>
      </c>
      <c r="B315" s="15">
        <v>570.88</v>
      </c>
      <c r="C315" s="15">
        <v>570.88</v>
      </c>
      <c r="D315" s="15">
        <v>570.88</v>
      </c>
      <c r="E315" s="15">
        <v>570.88</v>
      </c>
      <c r="F315" s="15">
        <v>570.88</v>
      </c>
      <c r="G315" s="15">
        <v>570.88</v>
      </c>
      <c r="H315" s="15">
        <v>570.88</v>
      </c>
      <c r="I315" s="15">
        <v>570.88</v>
      </c>
      <c r="J315" s="15">
        <v>570.88</v>
      </c>
      <c r="K315" s="15">
        <v>570.88</v>
      </c>
      <c r="L315" s="15">
        <v>570.88</v>
      </c>
      <c r="M315" s="15">
        <v>570.88</v>
      </c>
      <c r="N315" s="15">
        <v>570.88</v>
      </c>
      <c r="O315" t="s">
        <v>75</v>
      </c>
    </row>
    <row r="316" spans="1:15" x14ac:dyDescent="0.25">
      <c r="A316" s="10" t="s">
        <v>742</v>
      </c>
      <c r="B316" s="15">
        <v>121.89</v>
      </c>
      <c r="C316" s="15">
        <v>215.43</v>
      </c>
      <c r="D316" s="15">
        <v>224.83</v>
      </c>
      <c r="E316" s="15">
        <v>215.43</v>
      </c>
      <c r="F316" s="15">
        <v>221.94</v>
      </c>
      <c r="G316" s="15">
        <v>215.43</v>
      </c>
      <c r="H316" s="15">
        <v>412.73</v>
      </c>
      <c r="I316" s="15">
        <v>348.96</v>
      </c>
      <c r="J316" s="15">
        <v>292.42</v>
      </c>
      <c r="K316" s="15">
        <v>292.42</v>
      </c>
      <c r="L316" s="15">
        <v>292.42</v>
      </c>
      <c r="M316" s="15">
        <v>735.42</v>
      </c>
      <c r="N316" s="15">
        <v>302.56</v>
      </c>
      <c r="O316" t="s">
        <v>75</v>
      </c>
    </row>
    <row r="317" spans="1:15" x14ac:dyDescent="0.25">
      <c r="A317" s="10" t="s">
        <v>744</v>
      </c>
      <c r="B317" s="15">
        <v>181.44</v>
      </c>
      <c r="C317" s="15">
        <v>2.4500000000000002</v>
      </c>
      <c r="D317" s="15">
        <v>70.989999999999995</v>
      </c>
      <c r="E317" s="15">
        <v>73.44</v>
      </c>
      <c r="F317" s="15">
        <v>93.6</v>
      </c>
      <c r="G317" s="15">
        <v>93.6</v>
      </c>
      <c r="H317" s="15">
        <v>162.65</v>
      </c>
      <c r="I317" s="15">
        <v>162.5</v>
      </c>
      <c r="J317" s="15">
        <v>104</v>
      </c>
      <c r="K317" s="15">
        <v>104</v>
      </c>
      <c r="L317" s="15">
        <v>104.66</v>
      </c>
      <c r="M317" s="15">
        <v>104</v>
      </c>
      <c r="N317" s="15">
        <v>104.06</v>
      </c>
      <c r="O317" t="s">
        <v>75</v>
      </c>
    </row>
    <row r="318" spans="1:15" x14ac:dyDescent="0.25">
      <c r="A318" s="10" t="s">
        <v>746</v>
      </c>
      <c r="B318" s="15">
        <v>233.37</v>
      </c>
      <c r="C318" s="15">
        <v>218.88</v>
      </c>
      <c r="D318" s="15">
        <v>317.77999999999997</v>
      </c>
      <c r="E318" s="15">
        <v>226.95</v>
      </c>
      <c r="F318" s="15">
        <v>218.88</v>
      </c>
      <c r="G318" s="15">
        <v>218.88</v>
      </c>
      <c r="H318" s="15">
        <v>519.72</v>
      </c>
      <c r="I318" s="15">
        <v>266.77</v>
      </c>
      <c r="J318" s="15">
        <v>334.95</v>
      </c>
      <c r="K318" s="15">
        <v>297.11</v>
      </c>
      <c r="L318" s="15">
        <v>318</v>
      </c>
      <c r="M318" s="15">
        <v>376.45</v>
      </c>
      <c r="N318" s="15">
        <v>308.02999999999997</v>
      </c>
      <c r="O318" t="s">
        <v>75</v>
      </c>
    </row>
    <row r="319" spans="1:15" x14ac:dyDescent="0.25">
      <c r="A319" s="10" t="s">
        <v>748</v>
      </c>
      <c r="B319" s="15">
        <v>570.88</v>
      </c>
      <c r="C319" s="15">
        <v>666.02</v>
      </c>
      <c r="D319" s="15">
        <v>475.74</v>
      </c>
      <c r="E319" s="15">
        <v>570.88</v>
      </c>
      <c r="F319" s="15">
        <v>570.88</v>
      </c>
      <c r="G319" s="15">
        <v>570.88</v>
      </c>
      <c r="H319" s="15">
        <v>570.88</v>
      </c>
      <c r="I319" s="15">
        <v>570.88</v>
      </c>
      <c r="J319" s="15">
        <v>570.88</v>
      </c>
      <c r="K319" s="15">
        <v>570.88</v>
      </c>
      <c r="L319" s="15">
        <v>570.88</v>
      </c>
      <c r="M319" s="15">
        <v>1141.76</v>
      </c>
      <c r="N319" s="15">
        <v>570.88</v>
      </c>
      <c r="O319" t="s">
        <v>75</v>
      </c>
    </row>
    <row r="320" spans="1:15" x14ac:dyDescent="0.25">
      <c r="A320" s="10" t="s">
        <v>750</v>
      </c>
      <c r="B320" s="15">
        <v>335.42</v>
      </c>
      <c r="C320" s="15">
        <v>783.49</v>
      </c>
      <c r="D320" s="15">
        <v>141.84</v>
      </c>
      <c r="E320" s="15">
        <v>309.16000000000003</v>
      </c>
      <c r="F320" s="15">
        <v>309.89999999999998</v>
      </c>
      <c r="G320" s="15">
        <v>293.85000000000002</v>
      </c>
      <c r="H320" s="15">
        <v>391.38</v>
      </c>
      <c r="I320" s="15">
        <v>377.65</v>
      </c>
      <c r="J320" s="15">
        <v>327.43</v>
      </c>
      <c r="K320" s="15">
        <v>326.31</v>
      </c>
      <c r="L320" s="15">
        <v>326.41000000000003</v>
      </c>
      <c r="M320" s="15">
        <v>843.64</v>
      </c>
      <c r="N320" s="15">
        <v>333.58</v>
      </c>
      <c r="O320" t="s">
        <v>75</v>
      </c>
    </row>
    <row r="321" spans="1:15" x14ac:dyDescent="0.25">
      <c r="A321" s="10" t="s">
        <v>752</v>
      </c>
      <c r="B321" s="15">
        <v>89.6</v>
      </c>
      <c r="C321" s="15">
        <v>89.6</v>
      </c>
      <c r="D321" s="15">
        <v>89.6</v>
      </c>
      <c r="E321" s="15">
        <v>221.48</v>
      </c>
      <c r="F321" s="15">
        <v>33.46</v>
      </c>
      <c r="G321" s="15">
        <v>89.6</v>
      </c>
      <c r="H321" s="15">
        <v>159.49</v>
      </c>
      <c r="I321" s="15">
        <v>114.4</v>
      </c>
      <c r="J321" s="15">
        <v>104.12</v>
      </c>
      <c r="K321" s="15">
        <v>99.52</v>
      </c>
      <c r="L321" s="15">
        <v>99.52</v>
      </c>
      <c r="M321" s="15">
        <v>99.52</v>
      </c>
      <c r="N321" s="15">
        <v>102.02</v>
      </c>
      <c r="O321" t="s">
        <v>75</v>
      </c>
    </row>
    <row r="322" spans="1:15" x14ac:dyDescent="0.25">
      <c r="A322" s="10" t="s">
        <v>754</v>
      </c>
      <c r="B322" s="15">
        <v>79.400000000000006</v>
      </c>
      <c r="C322" s="15">
        <v>113.91</v>
      </c>
      <c r="D322" s="15">
        <v>116.71</v>
      </c>
      <c r="E322" s="15">
        <v>114.67</v>
      </c>
      <c r="F322" s="15">
        <v>109.47</v>
      </c>
      <c r="G322" s="15">
        <v>109.87</v>
      </c>
      <c r="H322" s="15">
        <v>165.83</v>
      </c>
      <c r="I322" s="15">
        <v>162.26</v>
      </c>
      <c r="J322" s="15">
        <v>117.44</v>
      </c>
      <c r="K322" s="15">
        <v>113.52</v>
      </c>
      <c r="L322" s="15">
        <v>109.61</v>
      </c>
      <c r="M322" s="15">
        <v>197.37</v>
      </c>
      <c r="N322" s="15">
        <v>121.81</v>
      </c>
      <c r="O322" t="s">
        <v>75</v>
      </c>
    </row>
    <row r="323" spans="1:15" x14ac:dyDescent="0.25">
      <c r="A323" s="10" t="s">
        <v>756</v>
      </c>
      <c r="B323" s="15">
        <v>0</v>
      </c>
      <c r="C323" s="15">
        <v>0</v>
      </c>
      <c r="D323" s="15">
        <v>0</v>
      </c>
      <c r="E323" s="15">
        <v>0</v>
      </c>
      <c r="F323" s="15">
        <v>0</v>
      </c>
      <c r="G323" s="15">
        <v>70.989999999999995</v>
      </c>
      <c r="H323" s="15">
        <v>86.03</v>
      </c>
      <c r="I323" s="15">
        <v>86.03</v>
      </c>
      <c r="J323" s="15">
        <v>81.599999999999994</v>
      </c>
      <c r="K323" s="15">
        <v>81.599999999999994</v>
      </c>
      <c r="L323" s="15">
        <v>81.599999999999994</v>
      </c>
      <c r="M323" s="15">
        <v>81.599999999999994</v>
      </c>
      <c r="N323" s="15">
        <v>47.6</v>
      </c>
      <c r="O323" t="s">
        <v>75</v>
      </c>
    </row>
    <row r="324" spans="1:15" x14ac:dyDescent="0.25">
      <c r="A324" s="10" t="s">
        <v>758</v>
      </c>
      <c r="B324" s="15">
        <v>63.64</v>
      </c>
      <c r="C324" s="15">
        <v>73.44</v>
      </c>
      <c r="D324" s="15">
        <v>73.44</v>
      </c>
      <c r="E324" s="15">
        <v>73.44</v>
      </c>
      <c r="F324" s="15">
        <v>73.44</v>
      </c>
      <c r="G324" s="15">
        <v>73.44</v>
      </c>
      <c r="H324" s="15">
        <v>99.96</v>
      </c>
      <c r="I324" s="15">
        <v>99.96</v>
      </c>
      <c r="J324" s="15">
        <v>81.599999999999994</v>
      </c>
      <c r="K324" s="15">
        <v>81.599999999999994</v>
      </c>
      <c r="L324" s="15">
        <v>81.599999999999994</v>
      </c>
      <c r="M324" s="15">
        <v>81.599999999999994</v>
      </c>
      <c r="N324" s="15">
        <v>81.599999999999994</v>
      </c>
      <c r="O324" t="s">
        <v>75</v>
      </c>
    </row>
    <row r="325" spans="1:15" x14ac:dyDescent="0.25">
      <c r="A325" s="10" t="s">
        <v>760</v>
      </c>
      <c r="B325" s="15">
        <v>0</v>
      </c>
      <c r="C325" s="15">
        <v>0</v>
      </c>
      <c r="D325" s="15">
        <v>0</v>
      </c>
      <c r="E325" s="15">
        <v>0</v>
      </c>
      <c r="F325" s="15">
        <v>0</v>
      </c>
      <c r="G325" s="15">
        <v>70.989999999999995</v>
      </c>
      <c r="H325" s="15">
        <v>86.03</v>
      </c>
      <c r="I325" s="15">
        <v>86.03</v>
      </c>
      <c r="J325" s="15">
        <v>81.599999999999994</v>
      </c>
      <c r="K325" s="15">
        <v>81.599999999999994</v>
      </c>
      <c r="L325" s="15">
        <v>81.599999999999994</v>
      </c>
      <c r="M325" s="15">
        <v>81.599999999999994</v>
      </c>
      <c r="N325" s="15">
        <v>47.6</v>
      </c>
      <c r="O325" t="s">
        <v>75</v>
      </c>
    </row>
    <row r="326" spans="1:15" x14ac:dyDescent="0.25">
      <c r="A326" s="10" t="s">
        <v>762</v>
      </c>
      <c r="B326" s="15">
        <v>79.760000000000005</v>
      </c>
      <c r="C326" s="15">
        <v>78.489999999999995</v>
      </c>
      <c r="D326" s="15">
        <v>80.59</v>
      </c>
      <c r="E326" s="15">
        <v>77.989999999999995</v>
      </c>
      <c r="F326" s="15">
        <v>76.14</v>
      </c>
      <c r="G326" s="15">
        <v>76.5</v>
      </c>
      <c r="H326" s="15">
        <v>105.19</v>
      </c>
      <c r="I326" s="15">
        <v>102.92</v>
      </c>
      <c r="J326" s="15">
        <v>84.94</v>
      </c>
      <c r="K326" s="15">
        <v>200.67</v>
      </c>
      <c r="L326" s="15">
        <v>1.48</v>
      </c>
      <c r="M326" s="15">
        <v>83.39</v>
      </c>
      <c r="N326" s="15">
        <v>85.57</v>
      </c>
      <c r="O326" t="s">
        <v>75</v>
      </c>
    </row>
    <row r="327" spans="1:15" x14ac:dyDescent="0.25">
      <c r="A327" s="10" t="s">
        <v>764</v>
      </c>
      <c r="B327" s="15">
        <v>0</v>
      </c>
      <c r="C327" s="15">
        <v>0</v>
      </c>
      <c r="D327" s="15">
        <v>0</v>
      </c>
      <c r="E327" s="15">
        <v>508.68</v>
      </c>
      <c r="F327" s="15">
        <v>570.88</v>
      </c>
      <c r="G327" s="15">
        <v>570.88</v>
      </c>
      <c r="H327" s="15">
        <v>570.88</v>
      </c>
      <c r="I327" s="15">
        <v>570.88</v>
      </c>
      <c r="J327" s="15">
        <v>570.88</v>
      </c>
      <c r="K327" s="15">
        <v>570.88</v>
      </c>
      <c r="L327" s="15">
        <v>570.88</v>
      </c>
      <c r="M327" s="15">
        <v>570.88</v>
      </c>
      <c r="N327" s="15">
        <v>570.88</v>
      </c>
      <c r="O327" t="s">
        <v>75</v>
      </c>
    </row>
    <row r="328" spans="1:15" x14ac:dyDescent="0.25">
      <c r="A328" s="10" t="s">
        <v>766</v>
      </c>
      <c r="B328" s="15">
        <v>550.11</v>
      </c>
      <c r="C328" s="15">
        <v>550.11</v>
      </c>
      <c r="D328" s="15">
        <v>550.11</v>
      </c>
      <c r="E328" s="15">
        <v>231.79</v>
      </c>
      <c r="F328" s="15">
        <v>0</v>
      </c>
      <c r="G328" s="15">
        <v>0</v>
      </c>
      <c r="H328" s="15">
        <v>0</v>
      </c>
      <c r="I328" s="15">
        <v>67.14</v>
      </c>
      <c r="J328" s="15">
        <v>0</v>
      </c>
      <c r="K328" s="15">
        <v>0</v>
      </c>
      <c r="L328" s="15">
        <v>0</v>
      </c>
      <c r="M328" s="15">
        <v>0</v>
      </c>
      <c r="N328" s="15">
        <v>169.74</v>
      </c>
      <c r="O328" t="s">
        <v>75</v>
      </c>
    </row>
    <row r="329" spans="1:15" x14ac:dyDescent="0.25">
      <c r="A329" s="10" t="s">
        <v>768</v>
      </c>
      <c r="B329" s="15">
        <v>96.4</v>
      </c>
      <c r="C329" s="15">
        <v>96.4</v>
      </c>
      <c r="D329" s="15">
        <v>96.4</v>
      </c>
      <c r="E329" s="15">
        <v>96.4</v>
      </c>
      <c r="F329" s="15">
        <v>172.12</v>
      </c>
      <c r="G329" s="15">
        <v>73.91</v>
      </c>
      <c r="H329" s="15">
        <v>155.69999999999999</v>
      </c>
      <c r="I329" s="15">
        <v>122.72</v>
      </c>
      <c r="J329" s="15">
        <v>107.12</v>
      </c>
      <c r="K329" s="15">
        <v>107.12</v>
      </c>
      <c r="L329" s="15">
        <v>107.12</v>
      </c>
      <c r="M329" s="15">
        <v>107.12</v>
      </c>
      <c r="N329" s="15">
        <v>107.12</v>
      </c>
      <c r="O329" t="s">
        <v>75</v>
      </c>
    </row>
    <row r="330" spans="1:15" x14ac:dyDescent="0.25">
      <c r="A330" s="10" t="s">
        <v>770</v>
      </c>
      <c r="B330" s="15">
        <v>102.54</v>
      </c>
      <c r="C330" s="15">
        <v>99.7</v>
      </c>
      <c r="D330" s="15">
        <v>102.25</v>
      </c>
      <c r="E330" s="15">
        <v>99.42</v>
      </c>
      <c r="F330" s="15">
        <v>97.08</v>
      </c>
      <c r="G330" s="15">
        <v>97.39</v>
      </c>
      <c r="H330" s="15">
        <v>147.31</v>
      </c>
      <c r="I330" s="15">
        <v>144.69</v>
      </c>
      <c r="J330" s="15">
        <v>160.02000000000001</v>
      </c>
      <c r="K330" s="15">
        <v>102.38</v>
      </c>
      <c r="L330" s="15">
        <v>107.93</v>
      </c>
      <c r="M330" s="15">
        <v>118.49</v>
      </c>
      <c r="N330" s="15">
        <v>108.95</v>
      </c>
      <c r="O330" t="s">
        <v>75</v>
      </c>
    </row>
    <row r="331" spans="1:15" x14ac:dyDescent="0.25">
      <c r="A331" s="10" t="s">
        <v>772</v>
      </c>
      <c r="B331" s="15">
        <v>400.28</v>
      </c>
      <c r="C331" s="15">
        <v>395.68</v>
      </c>
      <c r="D331" s="15">
        <v>412.51</v>
      </c>
      <c r="E331" s="15">
        <v>397.98</v>
      </c>
      <c r="F331" s="15">
        <v>400.28</v>
      </c>
      <c r="G331" s="15">
        <v>397.98</v>
      </c>
      <c r="H331" s="15">
        <v>980.51</v>
      </c>
      <c r="I331" s="15">
        <v>117.52</v>
      </c>
      <c r="J331" s="15">
        <v>442</v>
      </c>
      <c r="K331" s="15">
        <v>447.86</v>
      </c>
      <c r="L331" s="15">
        <v>445.19</v>
      </c>
      <c r="M331" s="15">
        <v>448.18</v>
      </c>
      <c r="N331" s="15">
        <v>437.14</v>
      </c>
      <c r="O331" t="s">
        <v>75</v>
      </c>
    </row>
    <row r="332" spans="1:15" x14ac:dyDescent="0.25">
      <c r="A332" s="10" t="s">
        <v>774</v>
      </c>
      <c r="B332" s="15">
        <v>198.33</v>
      </c>
      <c r="C332" s="15">
        <v>195.99</v>
      </c>
      <c r="D332" s="15">
        <v>206.59</v>
      </c>
      <c r="E332" s="15">
        <v>197.16</v>
      </c>
      <c r="F332" s="15">
        <v>206.21</v>
      </c>
      <c r="G332" s="15">
        <v>197.16</v>
      </c>
      <c r="H332" s="15">
        <v>359.81</v>
      </c>
      <c r="I332" s="15">
        <v>308.33</v>
      </c>
      <c r="J332" s="15">
        <v>219.03</v>
      </c>
      <c r="K332" s="15">
        <v>222</v>
      </c>
      <c r="L332" s="15">
        <v>297.26</v>
      </c>
      <c r="M332" s="15">
        <v>58.02</v>
      </c>
      <c r="N332" s="15">
        <v>207.14</v>
      </c>
      <c r="O332" t="s">
        <v>75</v>
      </c>
    </row>
    <row r="333" spans="1:15" x14ac:dyDescent="0.25">
      <c r="A333" s="10" t="s">
        <v>776</v>
      </c>
      <c r="B333" s="15">
        <v>99.71</v>
      </c>
      <c r="C333" s="15">
        <v>102.54</v>
      </c>
      <c r="D333" s="15">
        <v>106.1</v>
      </c>
      <c r="E333" s="15">
        <v>156.62</v>
      </c>
      <c r="F333" s="15">
        <v>74.989999999999995</v>
      </c>
      <c r="G333" s="15">
        <v>100.83</v>
      </c>
      <c r="H333" s="15">
        <v>161.1</v>
      </c>
      <c r="I333" s="15">
        <v>144.81</v>
      </c>
      <c r="J333" s="15">
        <v>111.91</v>
      </c>
      <c r="K333" s="15">
        <v>111.18</v>
      </c>
      <c r="L333" s="15">
        <v>110.96</v>
      </c>
      <c r="M333" s="15">
        <v>141.36000000000001</v>
      </c>
      <c r="N333" s="15">
        <v>112.67</v>
      </c>
      <c r="O333" t="s">
        <v>75</v>
      </c>
    </row>
    <row r="334" spans="1:15" x14ac:dyDescent="0.25">
      <c r="A334" s="10" t="s">
        <v>778</v>
      </c>
      <c r="B334" s="15">
        <v>80.19</v>
      </c>
      <c r="C334" s="15">
        <v>80.010000000000005</v>
      </c>
      <c r="D334" s="15">
        <v>81.02</v>
      </c>
      <c r="E334" s="15">
        <v>78.98</v>
      </c>
      <c r="F334" s="15">
        <v>97.32</v>
      </c>
      <c r="G334" s="15">
        <v>75.34</v>
      </c>
      <c r="H334" s="15">
        <v>108.32</v>
      </c>
      <c r="I334" s="15">
        <v>98.31</v>
      </c>
      <c r="J334" s="15">
        <v>85.1</v>
      </c>
      <c r="K334" s="15">
        <v>84.95</v>
      </c>
      <c r="L334" s="15">
        <v>84.87</v>
      </c>
      <c r="M334" s="15">
        <v>85.5</v>
      </c>
      <c r="N334" s="15">
        <v>85.88</v>
      </c>
      <c r="O334" t="s">
        <v>75</v>
      </c>
    </row>
    <row r="335" spans="1:15" x14ac:dyDescent="0.25">
      <c r="A335" s="10" t="s">
        <v>780</v>
      </c>
      <c r="B335" s="15">
        <v>105.68</v>
      </c>
      <c r="C335" s="15">
        <v>105.68</v>
      </c>
      <c r="D335" s="15">
        <v>109.91</v>
      </c>
      <c r="E335" s="15">
        <v>105.68</v>
      </c>
      <c r="F335" s="15">
        <v>105.68</v>
      </c>
      <c r="G335" s="15">
        <v>144.07</v>
      </c>
      <c r="H335" s="15">
        <v>194.67</v>
      </c>
      <c r="I335" s="15">
        <v>158.31</v>
      </c>
      <c r="J335" s="15">
        <v>175.97</v>
      </c>
      <c r="K335" s="15">
        <v>117.36</v>
      </c>
      <c r="L335" s="15">
        <v>154.02000000000001</v>
      </c>
      <c r="M335" s="15">
        <v>158.22999999999999</v>
      </c>
      <c r="N335" s="15">
        <v>124.1</v>
      </c>
      <c r="O335" t="s">
        <v>75</v>
      </c>
    </row>
    <row r="336" spans="1:15" x14ac:dyDescent="0.25">
      <c r="A336" s="10" t="s">
        <v>782</v>
      </c>
      <c r="B336" s="15">
        <v>120.64</v>
      </c>
      <c r="C336" s="15">
        <v>120.64</v>
      </c>
      <c r="D336" s="15">
        <v>144.41999999999999</v>
      </c>
      <c r="E336" s="15">
        <v>327.91</v>
      </c>
      <c r="F336" s="15">
        <v>0</v>
      </c>
      <c r="G336" s="15">
        <v>120.64</v>
      </c>
      <c r="H336" s="15">
        <v>199.14</v>
      </c>
      <c r="I336" s="15">
        <v>173.29</v>
      </c>
      <c r="J336" s="15">
        <v>152.69999999999999</v>
      </c>
      <c r="K336" s="15">
        <v>150.75</v>
      </c>
      <c r="L336" s="15">
        <v>159.06</v>
      </c>
      <c r="M336" s="15">
        <v>152.66999999999999</v>
      </c>
      <c r="N336" s="15">
        <v>152.68</v>
      </c>
      <c r="O336" t="s">
        <v>75</v>
      </c>
    </row>
    <row r="337" spans="1:15" x14ac:dyDescent="0.25">
      <c r="A337" s="10" t="s">
        <v>784</v>
      </c>
      <c r="B337" s="15">
        <v>73.44</v>
      </c>
      <c r="C337" s="15">
        <v>68.540000000000006</v>
      </c>
      <c r="D337" s="15">
        <v>53.85</v>
      </c>
      <c r="E337" s="15">
        <v>0</v>
      </c>
      <c r="F337" s="15">
        <v>0</v>
      </c>
      <c r="G337" s="15">
        <v>0</v>
      </c>
      <c r="H337" s="15">
        <v>0</v>
      </c>
      <c r="I337" s="15">
        <v>6.73</v>
      </c>
      <c r="J337" s="15">
        <v>0</v>
      </c>
      <c r="K337" s="15">
        <v>0</v>
      </c>
      <c r="L337" s="15">
        <v>0</v>
      </c>
      <c r="M337" s="15">
        <v>0</v>
      </c>
      <c r="N337" s="15">
        <v>20.399999999999999</v>
      </c>
      <c r="O337" t="s">
        <v>75</v>
      </c>
    </row>
    <row r="338" spans="1:15" x14ac:dyDescent="0.25">
      <c r="A338" s="10" t="s">
        <v>786</v>
      </c>
      <c r="B338" s="15">
        <v>0</v>
      </c>
      <c r="C338" s="15">
        <v>0</v>
      </c>
      <c r="D338" s="15">
        <v>0</v>
      </c>
      <c r="E338" s="15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v>0</v>
      </c>
      <c r="K338" s="15">
        <v>34.32</v>
      </c>
      <c r="L338" s="15">
        <v>193.05</v>
      </c>
      <c r="M338" s="15">
        <v>212.34</v>
      </c>
      <c r="N338" s="15">
        <v>28.6</v>
      </c>
      <c r="O338" t="s">
        <v>75</v>
      </c>
    </row>
    <row r="339" spans="1:15" x14ac:dyDescent="0.25">
      <c r="A339" s="10" t="s">
        <v>788</v>
      </c>
      <c r="B339" s="15">
        <v>7.23</v>
      </c>
      <c r="C339" s="15">
        <v>89.98</v>
      </c>
      <c r="D339" s="15">
        <v>99.75</v>
      </c>
      <c r="E339" s="15">
        <v>96.4</v>
      </c>
      <c r="F339" s="15">
        <v>96.4</v>
      </c>
      <c r="G339" s="15">
        <v>100.47</v>
      </c>
      <c r="H339" s="15">
        <v>164.18</v>
      </c>
      <c r="I339" s="15">
        <v>148.24</v>
      </c>
      <c r="J339" s="15">
        <v>111.34</v>
      </c>
      <c r="K339" s="15">
        <v>110.42</v>
      </c>
      <c r="L339" s="15">
        <v>110.97</v>
      </c>
      <c r="M339" s="15">
        <v>121.46</v>
      </c>
      <c r="N339" s="15">
        <v>110.51</v>
      </c>
      <c r="O339" t="s">
        <v>75</v>
      </c>
    </row>
    <row r="340" spans="1:15" x14ac:dyDescent="0.25">
      <c r="A340" s="10" t="s">
        <v>790</v>
      </c>
      <c r="B340" s="15">
        <v>414.71</v>
      </c>
      <c r="C340" s="15">
        <v>297.31</v>
      </c>
      <c r="D340" s="15">
        <v>432.86</v>
      </c>
      <c r="E340" s="15">
        <v>310.7</v>
      </c>
      <c r="F340" s="15">
        <v>659.38</v>
      </c>
      <c r="G340" s="15">
        <v>227.29</v>
      </c>
      <c r="H340" s="15">
        <v>570.88</v>
      </c>
      <c r="I340" s="15">
        <v>402.78</v>
      </c>
      <c r="J340" s="15">
        <v>379.77</v>
      </c>
      <c r="K340" s="15">
        <v>292.08</v>
      </c>
      <c r="L340" s="15">
        <v>325.52</v>
      </c>
      <c r="M340" s="15">
        <v>292.08</v>
      </c>
      <c r="N340" s="15">
        <v>379.72</v>
      </c>
      <c r="O340" t="s">
        <v>75</v>
      </c>
    </row>
    <row r="341" spans="1:15" x14ac:dyDescent="0.25">
      <c r="A341" s="10" t="s">
        <v>792</v>
      </c>
      <c r="B341" s="15">
        <v>200.91</v>
      </c>
      <c r="C341" s="15">
        <v>183.33</v>
      </c>
      <c r="D341" s="15">
        <v>206.34</v>
      </c>
      <c r="E341" s="15">
        <v>183.33</v>
      </c>
      <c r="F341" s="15">
        <v>436.72</v>
      </c>
      <c r="G341" s="15">
        <v>385</v>
      </c>
      <c r="H341" s="15">
        <v>570.88</v>
      </c>
      <c r="I341" s="15">
        <v>570.88</v>
      </c>
      <c r="J341" s="15">
        <v>427.57</v>
      </c>
      <c r="K341" s="15">
        <v>427.57</v>
      </c>
      <c r="L341" s="15">
        <v>427.57</v>
      </c>
      <c r="M341" s="15">
        <v>427.57</v>
      </c>
      <c r="N341" s="15">
        <v>442.1</v>
      </c>
      <c r="O341" t="s">
        <v>75</v>
      </c>
    </row>
    <row r="342" spans="1:15" x14ac:dyDescent="0.25">
      <c r="A342" s="10" t="s">
        <v>794</v>
      </c>
      <c r="B342" s="15">
        <v>570.88</v>
      </c>
      <c r="C342" s="15">
        <v>570.88</v>
      </c>
      <c r="D342" s="15">
        <v>570.88</v>
      </c>
      <c r="E342" s="15">
        <v>570.88</v>
      </c>
      <c r="F342" s="15">
        <v>570.88</v>
      </c>
      <c r="G342" s="15">
        <v>570.88</v>
      </c>
      <c r="H342" s="15">
        <v>570.88</v>
      </c>
      <c r="I342" s="15">
        <v>570.88</v>
      </c>
      <c r="J342" s="15">
        <v>589.9</v>
      </c>
      <c r="K342" s="15">
        <v>551.86</v>
      </c>
      <c r="L342" s="15">
        <v>570.88</v>
      </c>
      <c r="M342" s="15">
        <v>570.88</v>
      </c>
      <c r="N342" s="15">
        <v>570.88</v>
      </c>
      <c r="O342" t="s">
        <v>75</v>
      </c>
    </row>
    <row r="343" spans="1:15" x14ac:dyDescent="0.25">
      <c r="A343" s="10" t="s">
        <v>796</v>
      </c>
      <c r="B343" s="15">
        <v>165.13</v>
      </c>
      <c r="C343" s="15">
        <v>157.22999999999999</v>
      </c>
      <c r="D343" s="15">
        <v>164.77</v>
      </c>
      <c r="E343" s="15">
        <v>157.22999999999999</v>
      </c>
      <c r="F343" s="15">
        <v>205.93</v>
      </c>
      <c r="G343" s="15">
        <v>207.93</v>
      </c>
      <c r="H343" s="15">
        <v>429.87</v>
      </c>
      <c r="I343" s="15">
        <v>417.03</v>
      </c>
      <c r="J343" s="15">
        <v>321.67</v>
      </c>
      <c r="K343" s="15">
        <v>230.94</v>
      </c>
      <c r="L343" s="15">
        <v>320.77999999999997</v>
      </c>
      <c r="M343" s="15">
        <v>492.43</v>
      </c>
      <c r="N343" s="15">
        <v>295.13</v>
      </c>
      <c r="O343" t="s">
        <v>75</v>
      </c>
    </row>
    <row r="344" spans="1:15" x14ac:dyDescent="0.25">
      <c r="A344" s="10" t="s">
        <v>798</v>
      </c>
      <c r="B344" s="15">
        <v>472</v>
      </c>
      <c r="C344" s="15">
        <v>414.17</v>
      </c>
      <c r="D344" s="15">
        <v>617.20000000000005</v>
      </c>
      <c r="E344" s="15">
        <v>347.03</v>
      </c>
      <c r="F344" s="15">
        <v>515.45000000000005</v>
      </c>
      <c r="G344" s="15">
        <v>423.55</v>
      </c>
      <c r="H344" s="15">
        <v>542.96</v>
      </c>
      <c r="I344" s="15">
        <v>475.81</v>
      </c>
      <c r="J344" s="15">
        <v>430.25</v>
      </c>
      <c r="K344" s="15">
        <v>412.93</v>
      </c>
      <c r="L344" s="15">
        <v>430.3</v>
      </c>
      <c r="M344" s="15">
        <v>412.93</v>
      </c>
      <c r="N344" s="15">
        <v>465.85</v>
      </c>
      <c r="O344" t="s">
        <v>75</v>
      </c>
    </row>
    <row r="345" spans="1:15" x14ac:dyDescent="0.25">
      <c r="A345" s="10" t="s">
        <v>800</v>
      </c>
      <c r="B345" s="15">
        <v>120.64</v>
      </c>
      <c r="C345" s="15">
        <v>120.64</v>
      </c>
      <c r="D345" s="15">
        <v>123.39</v>
      </c>
      <c r="E345" s="15">
        <v>120.64</v>
      </c>
      <c r="F345" s="15">
        <v>120.64</v>
      </c>
      <c r="G345" s="15">
        <v>306.48</v>
      </c>
      <c r="H345" s="15">
        <v>111.85</v>
      </c>
      <c r="I345" s="15">
        <v>170.73</v>
      </c>
      <c r="J345" s="15">
        <v>152.19</v>
      </c>
      <c r="K345" s="15">
        <v>150.75</v>
      </c>
      <c r="L345" s="15">
        <v>151.91999999999999</v>
      </c>
      <c r="M345" s="15">
        <v>150.75</v>
      </c>
      <c r="N345" s="15">
        <v>151.27000000000001</v>
      </c>
      <c r="O345" t="s">
        <v>75</v>
      </c>
    </row>
    <row r="346" spans="1:15" x14ac:dyDescent="0.25">
      <c r="A346" s="10" t="s">
        <v>802</v>
      </c>
      <c r="B346" s="15">
        <v>489.85</v>
      </c>
      <c r="C346" s="15">
        <v>515.17999999999995</v>
      </c>
      <c r="D346" s="15">
        <v>709.94</v>
      </c>
      <c r="E346" s="15">
        <v>389.74</v>
      </c>
      <c r="F346" s="15">
        <v>555.41999999999996</v>
      </c>
      <c r="G346" s="15">
        <v>467.68</v>
      </c>
      <c r="H346" s="15">
        <v>570.88</v>
      </c>
      <c r="I346" s="15">
        <v>570.88</v>
      </c>
      <c r="J346" s="15">
        <v>519.45000000000005</v>
      </c>
      <c r="K346" s="15">
        <v>519.45000000000005</v>
      </c>
      <c r="L346" s="15">
        <v>519.45000000000005</v>
      </c>
      <c r="M346" s="15">
        <v>519.45000000000005</v>
      </c>
      <c r="N346" s="15">
        <v>543.89</v>
      </c>
      <c r="O346" t="s">
        <v>75</v>
      </c>
    </row>
    <row r="347" spans="1:15" x14ac:dyDescent="0.25">
      <c r="A347" s="10" t="s">
        <v>804</v>
      </c>
      <c r="B347" s="15">
        <v>570.88</v>
      </c>
      <c r="C347" s="15">
        <v>1141.76</v>
      </c>
      <c r="D347" s="15">
        <v>0</v>
      </c>
      <c r="E347" s="15">
        <v>570.88</v>
      </c>
      <c r="F347" s="15">
        <v>570.88</v>
      </c>
      <c r="G347" s="15">
        <v>570.88</v>
      </c>
      <c r="H347" s="15">
        <v>570.88</v>
      </c>
      <c r="I347" s="15">
        <v>570.88</v>
      </c>
      <c r="J347" s="15">
        <v>570.88</v>
      </c>
      <c r="K347" s="15">
        <v>570.88</v>
      </c>
      <c r="L347" s="15">
        <v>570.88</v>
      </c>
      <c r="M347" s="15">
        <v>570.88</v>
      </c>
      <c r="N347" s="15">
        <v>570.88</v>
      </c>
      <c r="O347" t="s">
        <v>75</v>
      </c>
    </row>
    <row r="348" spans="1:15" x14ac:dyDescent="0.25">
      <c r="A348" s="10" t="s">
        <v>806</v>
      </c>
      <c r="B348" s="15">
        <v>112.89</v>
      </c>
      <c r="C348" s="15">
        <v>105.68</v>
      </c>
      <c r="D348" s="15">
        <v>113.8</v>
      </c>
      <c r="E348" s="15">
        <v>105.68</v>
      </c>
      <c r="F348" s="15">
        <v>111.17</v>
      </c>
      <c r="G348" s="15">
        <v>114.76</v>
      </c>
      <c r="H348" s="15">
        <v>161.13</v>
      </c>
      <c r="I348" s="15">
        <v>158.53</v>
      </c>
      <c r="J348" s="15">
        <v>122.25</v>
      </c>
      <c r="K348" s="15">
        <v>122.11</v>
      </c>
      <c r="L348" s="15">
        <v>121.67</v>
      </c>
      <c r="M348" s="15">
        <v>150.11000000000001</v>
      </c>
      <c r="N348" s="15">
        <v>121.46</v>
      </c>
      <c r="O348" t="s">
        <v>75</v>
      </c>
    </row>
    <row r="349" spans="1:15" x14ac:dyDescent="0.25">
      <c r="A349" s="10" t="s">
        <v>808</v>
      </c>
      <c r="B349" s="15">
        <v>533.1</v>
      </c>
      <c r="C349" s="15">
        <v>507.57</v>
      </c>
      <c r="D349" s="15">
        <v>570.88</v>
      </c>
      <c r="E349" s="15">
        <v>491.69</v>
      </c>
      <c r="F349" s="15">
        <v>555.33000000000004</v>
      </c>
      <c r="G349" s="15">
        <v>491.69</v>
      </c>
      <c r="H349" s="15">
        <v>570.88</v>
      </c>
      <c r="I349" s="15">
        <v>570.88</v>
      </c>
      <c r="J349" s="15">
        <v>546.14</v>
      </c>
      <c r="K349" s="15">
        <v>546.14</v>
      </c>
      <c r="L349" s="15">
        <v>570.88</v>
      </c>
      <c r="M349" s="15">
        <v>546.14</v>
      </c>
      <c r="N349" s="15">
        <v>570.88</v>
      </c>
      <c r="O349" t="s">
        <v>75</v>
      </c>
    </row>
    <row r="350" spans="1:15" x14ac:dyDescent="0.25">
      <c r="A350" s="10" t="s">
        <v>810</v>
      </c>
      <c r="B350" s="15">
        <v>51.41</v>
      </c>
      <c r="C350" s="15">
        <v>73.44</v>
      </c>
      <c r="D350" s="15">
        <v>73.44</v>
      </c>
      <c r="E350" s="15">
        <v>73.44</v>
      </c>
      <c r="F350" s="15">
        <v>73.44</v>
      </c>
      <c r="G350" s="15">
        <v>73.44</v>
      </c>
      <c r="H350" s="15">
        <v>103.72</v>
      </c>
      <c r="I350" s="15">
        <v>97.92</v>
      </c>
      <c r="J350" s="15">
        <v>81.599999999999994</v>
      </c>
      <c r="K350" s="15">
        <v>81.599999999999994</v>
      </c>
      <c r="L350" s="15">
        <v>93.04</v>
      </c>
      <c r="M350" s="15">
        <v>114.6</v>
      </c>
      <c r="N350" s="15">
        <v>104.59</v>
      </c>
      <c r="O350" t="s">
        <v>75</v>
      </c>
    </row>
    <row r="351" spans="1:15" x14ac:dyDescent="0.25">
      <c r="A351" s="10" t="s">
        <v>812</v>
      </c>
      <c r="B351" s="15">
        <v>217.9</v>
      </c>
      <c r="C351" s="15">
        <v>209.44</v>
      </c>
      <c r="D351" s="15">
        <v>196.9</v>
      </c>
      <c r="E351" s="15">
        <v>302.48</v>
      </c>
      <c r="F351" s="15">
        <v>331.48</v>
      </c>
      <c r="G351" s="15">
        <v>173.93</v>
      </c>
      <c r="H351" s="15">
        <v>341.37</v>
      </c>
      <c r="I351" s="15">
        <v>314.35000000000002</v>
      </c>
      <c r="J351" s="15">
        <v>212.13</v>
      </c>
      <c r="K351" s="15">
        <v>333.43</v>
      </c>
      <c r="L351" s="15">
        <v>29.13</v>
      </c>
      <c r="M351" s="15">
        <v>0</v>
      </c>
      <c r="N351" s="15">
        <v>193.79</v>
      </c>
      <c r="O351" t="s">
        <v>75</v>
      </c>
    </row>
    <row r="352" spans="1:15" x14ac:dyDescent="0.25">
      <c r="A352" s="10" t="s">
        <v>814</v>
      </c>
      <c r="B352" s="15">
        <v>120.64</v>
      </c>
      <c r="C352" s="15">
        <v>120.64</v>
      </c>
      <c r="D352" s="15">
        <v>120.64</v>
      </c>
      <c r="E352" s="15">
        <v>60.32</v>
      </c>
      <c r="F352" s="15">
        <v>0</v>
      </c>
      <c r="G352" s="15">
        <v>0</v>
      </c>
      <c r="H352" s="15">
        <v>0</v>
      </c>
      <c r="I352" s="15">
        <v>20.04</v>
      </c>
      <c r="J352" s="15">
        <v>0</v>
      </c>
      <c r="K352" s="15">
        <v>0</v>
      </c>
      <c r="L352" s="15">
        <v>0</v>
      </c>
      <c r="M352" s="15">
        <v>0</v>
      </c>
      <c r="N352" s="15">
        <v>44.66</v>
      </c>
      <c r="O352" t="s">
        <v>75</v>
      </c>
    </row>
    <row r="353" spans="1:15" x14ac:dyDescent="0.25">
      <c r="A353" s="10" t="s">
        <v>816</v>
      </c>
      <c r="B353" s="15">
        <v>63.64</v>
      </c>
      <c r="C353" s="15">
        <v>73.44</v>
      </c>
      <c r="D353" s="15">
        <v>90.45</v>
      </c>
      <c r="E353" s="15">
        <v>78.22</v>
      </c>
      <c r="F353" s="15">
        <v>73.349999999999994</v>
      </c>
      <c r="G353" s="15">
        <v>65.510000000000005</v>
      </c>
      <c r="H353" s="15">
        <v>95.66</v>
      </c>
      <c r="I353" s="15">
        <v>85.37</v>
      </c>
      <c r="J353" s="15">
        <v>34.42</v>
      </c>
      <c r="K353" s="15">
        <v>0</v>
      </c>
      <c r="L353" s="15">
        <v>0</v>
      </c>
      <c r="M353" s="15">
        <v>0</v>
      </c>
      <c r="N353" s="15">
        <v>63.5</v>
      </c>
      <c r="O353" t="s">
        <v>75</v>
      </c>
    </row>
    <row r="354" spans="1:15" x14ac:dyDescent="0.25">
      <c r="A354" s="10" t="s">
        <v>818</v>
      </c>
      <c r="B354" s="15">
        <v>73.44</v>
      </c>
      <c r="C354" s="15">
        <v>73.44</v>
      </c>
      <c r="D354" s="15">
        <v>73.44</v>
      </c>
      <c r="E354" s="15">
        <v>73.44</v>
      </c>
      <c r="F354" s="15">
        <v>73.44</v>
      </c>
      <c r="G354" s="15">
        <v>177.17</v>
      </c>
      <c r="H354" s="15">
        <v>48.59</v>
      </c>
      <c r="I354" s="15">
        <v>92.46</v>
      </c>
      <c r="J354" s="15">
        <v>81.599999999999994</v>
      </c>
      <c r="K354" s="15">
        <v>81.599999999999994</v>
      </c>
      <c r="L354" s="15">
        <v>81.599999999999994</v>
      </c>
      <c r="M354" s="15">
        <v>81.599999999999994</v>
      </c>
      <c r="N354" s="15">
        <v>81.599999999999994</v>
      </c>
      <c r="O354" t="s">
        <v>75</v>
      </c>
    </row>
    <row r="355" spans="1:15" x14ac:dyDescent="0.25">
      <c r="A355" s="10" t="s">
        <v>820</v>
      </c>
      <c r="B355" s="15">
        <v>108.06</v>
      </c>
      <c r="C355" s="15">
        <v>105.68</v>
      </c>
      <c r="D355" s="15">
        <v>105.68</v>
      </c>
      <c r="E355" s="15">
        <v>105.68</v>
      </c>
      <c r="F355" s="15">
        <v>105.68</v>
      </c>
      <c r="G355" s="15">
        <v>198.06</v>
      </c>
      <c r="H355" s="15">
        <v>156.43</v>
      </c>
      <c r="I355" s="15">
        <v>152.83000000000001</v>
      </c>
      <c r="J355" s="15">
        <v>117.52</v>
      </c>
      <c r="K355" s="15">
        <v>117.52</v>
      </c>
      <c r="L355" s="15">
        <v>117.52</v>
      </c>
      <c r="M355" s="15">
        <v>141.94999999999999</v>
      </c>
      <c r="N355" s="15">
        <v>117.92</v>
      </c>
      <c r="O355" t="s">
        <v>75</v>
      </c>
    </row>
    <row r="356" spans="1:15" x14ac:dyDescent="0.25">
      <c r="A356" s="10" t="s">
        <v>822</v>
      </c>
      <c r="B356" s="15">
        <v>66.319999999999993</v>
      </c>
      <c r="C356" s="15">
        <v>79.099999999999994</v>
      </c>
      <c r="D356" s="15">
        <v>80.209999999999994</v>
      </c>
      <c r="E356" s="15">
        <v>77.290000000000006</v>
      </c>
      <c r="F356" s="15">
        <v>73.44</v>
      </c>
      <c r="G356" s="15">
        <v>73.44</v>
      </c>
      <c r="H356" s="15">
        <v>91.41</v>
      </c>
      <c r="I356" s="15">
        <v>78.2</v>
      </c>
      <c r="J356" s="15">
        <v>0</v>
      </c>
      <c r="K356" s="15">
        <v>0</v>
      </c>
      <c r="L356" s="15">
        <v>0</v>
      </c>
      <c r="M356" s="15">
        <v>0</v>
      </c>
      <c r="N356" s="15">
        <v>56.22</v>
      </c>
      <c r="O356" t="s">
        <v>75</v>
      </c>
    </row>
    <row r="357" spans="1:15" x14ac:dyDescent="0.25">
      <c r="A357" s="10" t="s">
        <v>824</v>
      </c>
      <c r="B357" s="15">
        <v>152.66999999999999</v>
      </c>
      <c r="C357" s="15">
        <v>152.66999999999999</v>
      </c>
      <c r="D357" s="15">
        <v>156.02000000000001</v>
      </c>
      <c r="E357" s="15">
        <v>167.35</v>
      </c>
      <c r="F357" s="15">
        <v>175.57</v>
      </c>
      <c r="G357" s="15">
        <v>186.1</v>
      </c>
      <c r="H357" s="15">
        <v>437.93</v>
      </c>
      <c r="I357" s="15">
        <v>275.07</v>
      </c>
      <c r="J357" s="15">
        <v>206.72</v>
      </c>
      <c r="K357" s="15">
        <v>206.72</v>
      </c>
      <c r="L357" s="15">
        <v>206.72</v>
      </c>
      <c r="M357" s="15">
        <v>206.72</v>
      </c>
      <c r="N357" s="15">
        <v>209.25</v>
      </c>
      <c r="O357" t="s">
        <v>75</v>
      </c>
    </row>
    <row r="358" spans="1:15" x14ac:dyDescent="0.25">
      <c r="A358" s="10" t="s">
        <v>826</v>
      </c>
      <c r="B358" s="15">
        <v>73.44</v>
      </c>
      <c r="C358" s="15">
        <v>73.44</v>
      </c>
      <c r="D358" s="15">
        <v>73.44</v>
      </c>
      <c r="E358" s="15">
        <v>73.44</v>
      </c>
      <c r="F358" s="15">
        <v>66.87</v>
      </c>
      <c r="G358" s="15">
        <v>73.44</v>
      </c>
      <c r="H358" s="15">
        <v>103.33</v>
      </c>
      <c r="I358" s="15">
        <v>97.92</v>
      </c>
      <c r="J358" s="15">
        <v>125.88</v>
      </c>
      <c r="K358" s="15">
        <v>70.72</v>
      </c>
      <c r="L358" s="15">
        <v>81.599999999999994</v>
      </c>
      <c r="M358" s="15">
        <v>81.599999999999994</v>
      </c>
      <c r="N358" s="15">
        <v>82.11</v>
      </c>
      <c r="O358" t="s">
        <v>75</v>
      </c>
    </row>
    <row r="359" spans="1:15" x14ac:dyDescent="0.25">
      <c r="A359" s="10" t="s">
        <v>828</v>
      </c>
      <c r="B359" s="15">
        <v>120.64</v>
      </c>
      <c r="C359" s="15">
        <v>120.64</v>
      </c>
      <c r="D359" s="15">
        <v>120.64</v>
      </c>
      <c r="E359" s="15">
        <v>120.64</v>
      </c>
      <c r="F359" s="15">
        <v>120.64</v>
      </c>
      <c r="G359" s="15">
        <v>120.64</v>
      </c>
      <c r="H359" s="15">
        <v>180.81</v>
      </c>
      <c r="I359" s="15">
        <v>180.81</v>
      </c>
      <c r="J359" s="15">
        <v>353.64</v>
      </c>
      <c r="K359" s="15">
        <v>5.0199999999999996</v>
      </c>
      <c r="L359" s="15">
        <v>145.72</v>
      </c>
      <c r="M359" s="15">
        <v>150.75</v>
      </c>
      <c r="N359" s="15">
        <v>150.75</v>
      </c>
      <c r="O359" t="s">
        <v>75</v>
      </c>
    </row>
    <row r="360" spans="1:15" x14ac:dyDescent="0.25">
      <c r="A360" s="10" t="s">
        <v>830</v>
      </c>
      <c r="B360" s="15">
        <v>162.25</v>
      </c>
      <c r="C360" s="15">
        <v>149.31</v>
      </c>
      <c r="D360" s="15">
        <v>161.84</v>
      </c>
      <c r="E360" s="15">
        <v>149.31</v>
      </c>
      <c r="F360" s="15">
        <v>163.27000000000001</v>
      </c>
      <c r="G360" s="15">
        <v>149.31</v>
      </c>
      <c r="H360" s="15">
        <v>219.26</v>
      </c>
      <c r="I360" s="15">
        <v>198.99</v>
      </c>
      <c r="J360" s="15">
        <v>188.98</v>
      </c>
      <c r="K360" s="15">
        <v>165.87</v>
      </c>
      <c r="L360" s="15">
        <v>192.78</v>
      </c>
      <c r="M360" s="15">
        <v>165.87</v>
      </c>
      <c r="N360" s="15">
        <v>175.31</v>
      </c>
      <c r="O360" t="s">
        <v>75</v>
      </c>
    </row>
    <row r="361" spans="1:15" x14ac:dyDescent="0.25">
      <c r="A361" s="10" t="s">
        <v>832</v>
      </c>
      <c r="B361" s="15">
        <v>79.47</v>
      </c>
      <c r="C361" s="15">
        <v>80.180000000000007</v>
      </c>
      <c r="D361" s="15">
        <v>80.22</v>
      </c>
      <c r="E361" s="15">
        <v>78.44</v>
      </c>
      <c r="F361" s="15">
        <v>75.680000000000007</v>
      </c>
      <c r="G361" s="15">
        <v>75.84</v>
      </c>
      <c r="H361" s="15">
        <v>104.94</v>
      </c>
      <c r="I361" s="15">
        <v>102.56</v>
      </c>
      <c r="J361" s="15">
        <v>129.30000000000001</v>
      </c>
      <c r="K361" s="15">
        <v>71.8</v>
      </c>
      <c r="L361" s="15">
        <v>84.29</v>
      </c>
      <c r="M361" s="15">
        <v>84.43</v>
      </c>
      <c r="N361" s="15">
        <v>85.34</v>
      </c>
      <c r="O361" t="s">
        <v>75</v>
      </c>
    </row>
    <row r="362" spans="1:15" x14ac:dyDescent="0.25">
      <c r="A362" s="10" t="s">
        <v>834</v>
      </c>
      <c r="B362" s="15">
        <v>116.4</v>
      </c>
      <c r="C362" s="15">
        <v>105.68</v>
      </c>
      <c r="D362" s="15">
        <v>110.55</v>
      </c>
      <c r="E362" s="15">
        <v>105.68</v>
      </c>
      <c r="F362" s="15">
        <v>114.36</v>
      </c>
      <c r="G362" s="15">
        <v>105.68</v>
      </c>
      <c r="H362" s="15">
        <v>159.99</v>
      </c>
      <c r="I362" s="15">
        <v>158.31</v>
      </c>
      <c r="J362" s="15">
        <v>117.36</v>
      </c>
      <c r="K362" s="15">
        <v>117.36</v>
      </c>
      <c r="L362" s="15">
        <v>119.03</v>
      </c>
      <c r="M362" s="15">
        <v>117.36</v>
      </c>
      <c r="N362" s="15">
        <v>119.83</v>
      </c>
      <c r="O362" t="s">
        <v>75</v>
      </c>
    </row>
    <row r="363" spans="1:15" x14ac:dyDescent="0.25">
      <c r="A363" s="10" t="s">
        <v>836</v>
      </c>
      <c r="B363" s="15">
        <v>73.44</v>
      </c>
      <c r="C363" s="15">
        <v>73.44</v>
      </c>
      <c r="D363" s="15">
        <v>73.44</v>
      </c>
      <c r="E363" s="15">
        <v>73.44</v>
      </c>
      <c r="F363" s="15">
        <v>73.44</v>
      </c>
      <c r="G363" s="15">
        <v>73.44</v>
      </c>
      <c r="H363" s="15">
        <v>99.96</v>
      </c>
      <c r="I363" s="15">
        <v>172.49</v>
      </c>
      <c r="J363" s="15">
        <v>27.2</v>
      </c>
      <c r="K363" s="15">
        <v>81.599999999999994</v>
      </c>
      <c r="L363" s="15">
        <v>81.599999999999994</v>
      </c>
      <c r="M363" s="15">
        <v>88</v>
      </c>
      <c r="N363" s="15">
        <v>81.599999999999994</v>
      </c>
      <c r="O363" t="s">
        <v>75</v>
      </c>
    </row>
    <row r="364" spans="1:15" x14ac:dyDescent="0.25">
      <c r="A364" s="10" t="s">
        <v>838</v>
      </c>
      <c r="B364" s="15">
        <v>0</v>
      </c>
      <c r="C364" s="15">
        <v>0</v>
      </c>
      <c r="D364" s="15">
        <v>0</v>
      </c>
      <c r="E364" s="15">
        <v>0</v>
      </c>
      <c r="F364" s="15">
        <v>53.85</v>
      </c>
      <c r="G364" s="15">
        <v>73.44</v>
      </c>
      <c r="H364" s="15">
        <v>89.55</v>
      </c>
      <c r="I364" s="15">
        <v>89.55</v>
      </c>
      <c r="J364" s="15">
        <v>81.599999999999994</v>
      </c>
      <c r="K364" s="15">
        <v>81.599999999999994</v>
      </c>
      <c r="L364" s="15">
        <v>81.599999999999994</v>
      </c>
      <c r="M364" s="15">
        <v>88.3</v>
      </c>
      <c r="N364" s="15">
        <v>54.4</v>
      </c>
      <c r="O364" t="s">
        <v>75</v>
      </c>
    </row>
    <row r="365" spans="1:15" x14ac:dyDescent="0.25">
      <c r="A365" s="10" t="s">
        <v>840</v>
      </c>
      <c r="B365" s="15">
        <v>570.88</v>
      </c>
      <c r="C365" s="15">
        <v>570.88</v>
      </c>
      <c r="D365" s="15">
        <v>570.88</v>
      </c>
      <c r="E365" s="15">
        <v>570.88</v>
      </c>
      <c r="F365" s="15">
        <v>570.88</v>
      </c>
      <c r="G365" s="15">
        <v>570.88</v>
      </c>
      <c r="H365" s="15">
        <v>570.88</v>
      </c>
      <c r="I365" s="15">
        <v>313.83999999999997</v>
      </c>
      <c r="J365" s="15">
        <v>0</v>
      </c>
      <c r="K365" s="15">
        <v>0</v>
      </c>
      <c r="L365" s="15">
        <v>0</v>
      </c>
      <c r="M365" s="15">
        <v>0</v>
      </c>
      <c r="N365" s="15">
        <v>530.97</v>
      </c>
      <c r="O365" t="s">
        <v>75</v>
      </c>
    </row>
    <row r="366" spans="1:15" x14ac:dyDescent="0.25">
      <c r="A366" s="10" t="s">
        <v>842</v>
      </c>
      <c r="B366" s="15">
        <v>0</v>
      </c>
      <c r="C366" s="15">
        <v>0</v>
      </c>
      <c r="D366" s="15">
        <v>0</v>
      </c>
      <c r="E366" s="15">
        <v>0</v>
      </c>
      <c r="F366" s="15">
        <v>0</v>
      </c>
      <c r="G366" s="15">
        <v>0</v>
      </c>
      <c r="H366" s="15">
        <v>0</v>
      </c>
      <c r="I366" s="15">
        <v>0</v>
      </c>
      <c r="J366" s="15">
        <v>0</v>
      </c>
      <c r="K366" s="15">
        <v>18.91</v>
      </c>
      <c r="L366" s="15">
        <v>94.56</v>
      </c>
      <c r="M366" s="15">
        <v>94.56</v>
      </c>
      <c r="N366" s="15">
        <v>15.76</v>
      </c>
      <c r="O366" t="s">
        <v>75</v>
      </c>
    </row>
    <row r="367" spans="1:15" x14ac:dyDescent="0.25">
      <c r="A367" s="10" t="s">
        <v>844</v>
      </c>
      <c r="B367" s="15">
        <v>73.44</v>
      </c>
      <c r="C367" s="15">
        <v>73.44</v>
      </c>
      <c r="D367" s="15">
        <v>73.44</v>
      </c>
      <c r="E367" s="15">
        <v>73.44</v>
      </c>
      <c r="F367" s="15">
        <v>73.44</v>
      </c>
      <c r="G367" s="15">
        <v>73.44</v>
      </c>
      <c r="H367" s="15">
        <v>97.92</v>
      </c>
      <c r="I367" s="15">
        <v>97.92</v>
      </c>
      <c r="J367" s="15">
        <v>119.67</v>
      </c>
      <c r="K367" s="15">
        <v>70.72</v>
      </c>
      <c r="L367" s="15">
        <v>81.599999999999994</v>
      </c>
      <c r="M367" s="15">
        <v>81.599999999999994</v>
      </c>
      <c r="N367" s="15">
        <v>81.599999999999994</v>
      </c>
      <c r="O367" t="s">
        <v>75</v>
      </c>
    </row>
    <row r="368" spans="1:15" x14ac:dyDescent="0.25">
      <c r="A368" s="10" t="s">
        <v>846</v>
      </c>
      <c r="B368" s="15">
        <v>0</v>
      </c>
      <c r="C368" s="15">
        <v>0</v>
      </c>
      <c r="D368" s="15">
        <v>0</v>
      </c>
      <c r="E368" s="15">
        <v>0</v>
      </c>
      <c r="F368" s="15">
        <v>53.85</v>
      </c>
      <c r="G368" s="15">
        <v>73.44</v>
      </c>
      <c r="H368" s="15">
        <v>89.55</v>
      </c>
      <c r="I368" s="15">
        <v>89.55</v>
      </c>
      <c r="J368" s="15">
        <v>81.599999999999994</v>
      </c>
      <c r="K368" s="15">
        <v>81.599999999999994</v>
      </c>
      <c r="L368" s="15">
        <v>81.599999999999994</v>
      </c>
      <c r="M368" s="15">
        <v>81.599999999999994</v>
      </c>
      <c r="N368" s="15">
        <v>54.4</v>
      </c>
      <c r="O368" t="s">
        <v>75</v>
      </c>
    </row>
    <row r="369" spans="1:15" x14ac:dyDescent="0.25">
      <c r="A369" s="10" t="s">
        <v>848</v>
      </c>
      <c r="B369" s="15">
        <v>68.540000000000006</v>
      </c>
      <c r="C369" s="15">
        <v>17.13</v>
      </c>
      <c r="D369" s="15">
        <v>36.72</v>
      </c>
      <c r="E369" s="15">
        <v>36.72</v>
      </c>
      <c r="F369" s="15">
        <v>36.72</v>
      </c>
      <c r="G369" s="15">
        <v>12.24</v>
      </c>
      <c r="H369" s="15">
        <v>0</v>
      </c>
      <c r="I369" s="15">
        <v>13.6</v>
      </c>
      <c r="J369" s="15">
        <v>0</v>
      </c>
      <c r="K369" s="15">
        <v>17.16</v>
      </c>
      <c r="L369" s="15">
        <v>85.84</v>
      </c>
      <c r="M369" s="15">
        <v>85.84</v>
      </c>
      <c r="N369" s="15">
        <v>31.3</v>
      </c>
      <c r="O369" t="s">
        <v>75</v>
      </c>
    </row>
    <row r="370" spans="1:15" x14ac:dyDescent="0.25">
      <c r="A370" s="10" t="s">
        <v>850</v>
      </c>
      <c r="B370" s="15">
        <v>299.92</v>
      </c>
      <c r="C370" s="15">
        <v>638.74</v>
      </c>
      <c r="D370" s="15">
        <v>141.85</v>
      </c>
      <c r="E370" s="15">
        <v>335.95</v>
      </c>
      <c r="F370" s="15">
        <v>314.82</v>
      </c>
      <c r="G370" s="15">
        <v>232.1</v>
      </c>
      <c r="H370" s="15">
        <v>382.27</v>
      </c>
      <c r="I370" s="15">
        <v>366.83</v>
      </c>
      <c r="J370" s="15">
        <v>315.05</v>
      </c>
      <c r="K370" s="15">
        <v>315.05</v>
      </c>
      <c r="L370" s="15">
        <v>315.05</v>
      </c>
      <c r="M370" s="15">
        <v>748.77</v>
      </c>
      <c r="N370" s="15">
        <v>325.76</v>
      </c>
      <c r="O370" t="s">
        <v>75</v>
      </c>
    </row>
    <row r="371" spans="1:15" x14ac:dyDescent="0.25">
      <c r="A371" s="10" t="s">
        <v>852</v>
      </c>
      <c r="B371" s="15">
        <v>115.7</v>
      </c>
      <c r="C371" s="15">
        <v>117.41</v>
      </c>
      <c r="D371" s="15">
        <v>117.28</v>
      </c>
      <c r="E371" s="15">
        <v>143.24</v>
      </c>
      <c r="F371" s="15">
        <v>105.76</v>
      </c>
      <c r="G371" s="15">
        <v>112.97</v>
      </c>
      <c r="H371" s="15">
        <v>163.41</v>
      </c>
      <c r="I371" s="15">
        <v>158.4</v>
      </c>
      <c r="J371" s="15">
        <v>117.44</v>
      </c>
      <c r="K371" s="15">
        <v>117.44</v>
      </c>
      <c r="L371" s="15">
        <v>117.44</v>
      </c>
      <c r="M371" s="15">
        <v>253.83</v>
      </c>
      <c r="N371" s="15">
        <v>123.44</v>
      </c>
      <c r="O371" t="s">
        <v>75</v>
      </c>
    </row>
    <row r="372" spans="1:15" x14ac:dyDescent="0.25">
      <c r="A372" s="10" t="s">
        <v>854</v>
      </c>
      <c r="B372" s="15">
        <v>0</v>
      </c>
      <c r="C372" s="15">
        <v>0</v>
      </c>
      <c r="D372" s="15">
        <v>0</v>
      </c>
      <c r="E372" s="15">
        <v>0</v>
      </c>
      <c r="F372" s="15">
        <v>0</v>
      </c>
      <c r="G372" s="15">
        <v>13.46</v>
      </c>
      <c r="H372" s="15">
        <v>42.29</v>
      </c>
      <c r="I372" s="15">
        <v>40.799999999999997</v>
      </c>
      <c r="J372" s="15">
        <v>40.799999999999997</v>
      </c>
      <c r="K372" s="15">
        <v>40.799999999999997</v>
      </c>
      <c r="L372" s="15">
        <v>40.799999999999997</v>
      </c>
      <c r="M372" s="15">
        <v>40.799999999999997</v>
      </c>
      <c r="N372" s="15">
        <v>20.399999999999999</v>
      </c>
      <c r="O372" t="s">
        <v>75</v>
      </c>
    </row>
    <row r="373" spans="1:15" x14ac:dyDescent="0.25">
      <c r="A373" s="10" t="s">
        <v>856</v>
      </c>
      <c r="B373" s="15">
        <v>0</v>
      </c>
      <c r="C373" s="15">
        <v>0</v>
      </c>
      <c r="D373" s="15">
        <v>0</v>
      </c>
      <c r="E373" s="15">
        <v>0</v>
      </c>
      <c r="F373" s="15">
        <v>0</v>
      </c>
      <c r="G373" s="15">
        <v>13.46</v>
      </c>
      <c r="H373" s="15">
        <v>42.29</v>
      </c>
      <c r="I373" s="15">
        <v>40.799999999999997</v>
      </c>
      <c r="J373" s="15">
        <v>40.799999999999997</v>
      </c>
      <c r="K373" s="15">
        <v>40.799999999999997</v>
      </c>
      <c r="L373" s="15">
        <v>40.799999999999997</v>
      </c>
      <c r="M373" s="15">
        <v>40.799999999999997</v>
      </c>
      <c r="N373" s="15">
        <v>20.399999999999999</v>
      </c>
      <c r="O373" t="s">
        <v>75</v>
      </c>
    </row>
    <row r="374" spans="1:15" x14ac:dyDescent="0.25">
      <c r="A374" s="10" t="s">
        <v>858</v>
      </c>
      <c r="B374" s="15">
        <v>79.599999999999994</v>
      </c>
      <c r="C374" s="15">
        <v>79.599999999999994</v>
      </c>
      <c r="D374" s="15">
        <v>79.599999999999994</v>
      </c>
      <c r="E374" s="15">
        <v>79.599999999999994</v>
      </c>
      <c r="F374" s="15">
        <v>79.599999999999994</v>
      </c>
      <c r="G374" s="15">
        <v>79.599999999999994</v>
      </c>
      <c r="H374" s="15">
        <v>108.04</v>
      </c>
      <c r="I374" s="15">
        <v>108.04</v>
      </c>
      <c r="J374" s="15">
        <v>88.4</v>
      </c>
      <c r="K374" s="15">
        <v>88.4</v>
      </c>
      <c r="L374" s="15">
        <v>208.18</v>
      </c>
      <c r="M374" s="15">
        <v>0</v>
      </c>
      <c r="N374" s="15">
        <v>88.56</v>
      </c>
      <c r="O374" t="s">
        <v>75</v>
      </c>
    </row>
    <row r="375" spans="1:15" x14ac:dyDescent="0.25">
      <c r="A375" s="10" t="s">
        <v>860</v>
      </c>
      <c r="B375" s="15">
        <v>63.64</v>
      </c>
      <c r="C375" s="15">
        <v>73.44</v>
      </c>
      <c r="D375" s="15">
        <v>90.81</v>
      </c>
      <c r="E375" s="15">
        <v>77.34</v>
      </c>
      <c r="F375" s="15">
        <v>73.44</v>
      </c>
      <c r="G375" s="15">
        <v>73.44</v>
      </c>
      <c r="H375" s="15">
        <v>102.33</v>
      </c>
      <c r="I375" s="15">
        <v>99.96</v>
      </c>
      <c r="J375" s="15">
        <v>81.599999999999994</v>
      </c>
      <c r="K375" s="15">
        <v>81.599999999999994</v>
      </c>
      <c r="L375" s="15">
        <v>81.599999999999994</v>
      </c>
      <c r="M375" s="15">
        <v>81.599999999999994</v>
      </c>
      <c r="N375" s="15">
        <v>82.94</v>
      </c>
      <c r="O375" t="s">
        <v>75</v>
      </c>
    </row>
    <row r="376" spans="1:15" x14ac:dyDescent="0.25">
      <c r="A376" s="10" t="s">
        <v>862</v>
      </c>
      <c r="B376" s="15">
        <v>113.22</v>
      </c>
      <c r="C376" s="15">
        <v>161.57</v>
      </c>
      <c r="D376" s="15">
        <v>178.52</v>
      </c>
      <c r="E376" s="15">
        <v>161.71</v>
      </c>
      <c r="F376" s="15">
        <v>148.69</v>
      </c>
      <c r="G376" s="15">
        <v>119.6</v>
      </c>
      <c r="H376" s="15">
        <v>176.19</v>
      </c>
      <c r="I376" s="15">
        <v>162.74</v>
      </c>
      <c r="J376" s="15">
        <v>362.46</v>
      </c>
      <c r="K376" s="15">
        <v>12.33</v>
      </c>
      <c r="L376" s="15">
        <v>7.68</v>
      </c>
      <c r="M376" s="15">
        <v>0</v>
      </c>
      <c r="N376" s="15">
        <v>114.4</v>
      </c>
      <c r="O376" t="s">
        <v>75</v>
      </c>
    </row>
    <row r="377" spans="1:15" x14ac:dyDescent="0.25">
      <c r="A377" s="10" t="s">
        <v>864</v>
      </c>
      <c r="B377" s="15">
        <v>371.78</v>
      </c>
      <c r="C377" s="15">
        <v>371.78</v>
      </c>
      <c r="D377" s="15">
        <v>371.78</v>
      </c>
      <c r="E377" s="15">
        <v>397.88</v>
      </c>
      <c r="F377" s="15">
        <v>371.78</v>
      </c>
      <c r="G377" s="15">
        <v>469.81</v>
      </c>
      <c r="H377" s="15">
        <v>531.16</v>
      </c>
      <c r="I377" s="15">
        <v>472.47</v>
      </c>
      <c r="J377" s="15">
        <v>412.89</v>
      </c>
      <c r="K377" s="15">
        <v>412.89</v>
      </c>
      <c r="L377" s="15">
        <v>412.89</v>
      </c>
      <c r="M377" s="15">
        <v>412.89</v>
      </c>
      <c r="N377" s="15">
        <v>415.81</v>
      </c>
      <c r="O377" t="s">
        <v>75</v>
      </c>
    </row>
    <row r="378" spans="1:15" x14ac:dyDescent="0.25">
      <c r="A378" s="10" t="s">
        <v>866</v>
      </c>
      <c r="B378" s="15">
        <v>73.44</v>
      </c>
      <c r="C378" s="15">
        <v>73.44</v>
      </c>
      <c r="D378" s="15">
        <v>78.81</v>
      </c>
      <c r="E378" s="15">
        <v>73.44</v>
      </c>
      <c r="F378" s="15">
        <v>73.44</v>
      </c>
      <c r="G378" s="15">
        <v>73.44</v>
      </c>
      <c r="H378" s="15">
        <v>107.72</v>
      </c>
      <c r="I378" s="15">
        <v>99.96</v>
      </c>
      <c r="J378" s="15">
        <v>87.6</v>
      </c>
      <c r="K378" s="15">
        <v>81.599999999999994</v>
      </c>
      <c r="L378" s="15">
        <v>81.599999999999994</v>
      </c>
      <c r="M378" s="15">
        <v>157.80000000000001</v>
      </c>
      <c r="N378" s="15">
        <v>83.23</v>
      </c>
      <c r="O378" t="s">
        <v>75</v>
      </c>
    </row>
    <row r="379" spans="1:15" x14ac:dyDescent="0.25">
      <c r="A379" s="10" t="s">
        <v>868</v>
      </c>
      <c r="B379" s="15">
        <v>123.08</v>
      </c>
      <c r="C379" s="15">
        <v>105.76</v>
      </c>
      <c r="D379" s="15">
        <v>115.06</v>
      </c>
      <c r="E379" s="15">
        <v>105.76</v>
      </c>
      <c r="F379" s="15">
        <v>109.64</v>
      </c>
      <c r="G379" s="15">
        <v>105.76</v>
      </c>
      <c r="H379" s="15">
        <v>165.63</v>
      </c>
      <c r="I379" s="15">
        <v>158.86000000000001</v>
      </c>
      <c r="J379" s="15">
        <v>117.44</v>
      </c>
      <c r="K379" s="15">
        <v>225.95</v>
      </c>
      <c r="L379" s="15">
        <v>92.75</v>
      </c>
      <c r="M379" s="15">
        <v>117.44</v>
      </c>
      <c r="N379" s="15">
        <v>121.83</v>
      </c>
      <c r="O379" t="s">
        <v>75</v>
      </c>
    </row>
    <row r="380" spans="1:15" x14ac:dyDescent="0.25">
      <c r="A380" s="10" t="s">
        <v>870</v>
      </c>
      <c r="B380" s="15">
        <v>73.44</v>
      </c>
      <c r="C380" s="15">
        <v>73.44</v>
      </c>
      <c r="D380" s="15">
        <v>76.069999999999993</v>
      </c>
      <c r="E380" s="15">
        <v>73.44</v>
      </c>
      <c r="F380" s="15">
        <v>73.44</v>
      </c>
      <c r="G380" s="15">
        <v>73.44</v>
      </c>
      <c r="H380" s="15">
        <v>100.25</v>
      </c>
      <c r="I380" s="15">
        <v>99.96</v>
      </c>
      <c r="J380" s="15">
        <v>81.599999999999994</v>
      </c>
      <c r="K380" s="15">
        <v>81.599999999999994</v>
      </c>
      <c r="L380" s="15">
        <v>126.09</v>
      </c>
      <c r="M380" s="15">
        <v>65.28</v>
      </c>
      <c r="N380" s="15">
        <v>81.86</v>
      </c>
      <c r="O380" t="s">
        <v>75</v>
      </c>
    </row>
    <row r="381" spans="1:15" x14ac:dyDescent="0.25">
      <c r="A381" s="10" t="s">
        <v>872</v>
      </c>
      <c r="B381" s="15">
        <v>73.44</v>
      </c>
      <c r="C381" s="15">
        <v>73.44</v>
      </c>
      <c r="D381" s="15">
        <v>73.44</v>
      </c>
      <c r="E381" s="15">
        <v>73.44</v>
      </c>
      <c r="F381" s="15">
        <v>73.44</v>
      </c>
      <c r="G381" s="15">
        <v>162.97</v>
      </c>
      <c r="H381" s="15">
        <v>37.67</v>
      </c>
      <c r="I381" s="15">
        <v>97.37</v>
      </c>
      <c r="J381" s="15">
        <v>81.599999999999994</v>
      </c>
      <c r="K381" s="15">
        <v>81.599999999999994</v>
      </c>
      <c r="L381" s="15">
        <v>81.599999999999994</v>
      </c>
      <c r="M381" s="15">
        <v>81.599999999999994</v>
      </c>
      <c r="N381" s="15">
        <v>81.599999999999994</v>
      </c>
      <c r="O381" t="s">
        <v>75</v>
      </c>
    </row>
    <row r="382" spans="1:15" x14ac:dyDescent="0.25">
      <c r="A382" s="10" t="s">
        <v>874</v>
      </c>
      <c r="B382" s="15">
        <v>80.12</v>
      </c>
      <c r="C382" s="15">
        <v>14.44</v>
      </c>
      <c r="D382" s="15">
        <v>0</v>
      </c>
      <c r="E382" s="15">
        <v>0</v>
      </c>
      <c r="F382" s="15">
        <v>0</v>
      </c>
      <c r="G382" s="15">
        <v>0</v>
      </c>
      <c r="H382" s="15">
        <v>0</v>
      </c>
      <c r="I382" s="15">
        <v>0</v>
      </c>
      <c r="J382" s="15">
        <v>0</v>
      </c>
      <c r="K382" s="15">
        <v>0</v>
      </c>
      <c r="L382" s="15">
        <v>0</v>
      </c>
      <c r="M382" s="15">
        <v>0</v>
      </c>
      <c r="N382" s="15">
        <v>6.56</v>
      </c>
      <c r="O382" t="s">
        <v>75</v>
      </c>
    </row>
    <row r="383" spans="1:15" x14ac:dyDescent="0.25">
      <c r="A383" s="10" t="s">
        <v>876</v>
      </c>
      <c r="B383" s="15">
        <v>245.98</v>
      </c>
      <c r="C383" s="15">
        <v>570.88</v>
      </c>
      <c r="D383" s="15">
        <v>570.88</v>
      </c>
      <c r="E383" s="15">
        <v>570.88</v>
      </c>
      <c r="F383" s="15">
        <v>570.88</v>
      </c>
      <c r="G383" s="15">
        <v>666.02</v>
      </c>
      <c r="H383" s="15">
        <v>475.74</v>
      </c>
      <c r="I383" s="15">
        <v>570.88</v>
      </c>
      <c r="J383" s="15">
        <v>570.88</v>
      </c>
      <c r="K383" s="15">
        <v>570.88</v>
      </c>
      <c r="L383" s="15">
        <v>570.88</v>
      </c>
      <c r="M383" s="15">
        <v>570.88</v>
      </c>
      <c r="N383" s="15">
        <v>570.88</v>
      </c>
      <c r="O383" t="s">
        <v>75</v>
      </c>
    </row>
    <row r="384" spans="1:15" x14ac:dyDescent="0.25">
      <c r="A384" s="10" t="s">
        <v>878</v>
      </c>
      <c r="B384" s="15">
        <v>92.07</v>
      </c>
      <c r="C384" s="15">
        <v>377.27</v>
      </c>
      <c r="D384" s="15">
        <v>497.39</v>
      </c>
      <c r="E384" s="15">
        <v>415.04</v>
      </c>
      <c r="F384" s="15">
        <v>559.63</v>
      </c>
      <c r="G384" s="15">
        <v>415.04</v>
      </c>
      <c r="H384" s="15">
        <v>570.88</v>
      </c>
      <c r="I384" s="15">
        <v>541.35</v>
      </c>
      <c r="J384" s="15">
        <v>537.29999999999995</v>
      </c>
      <c r="K384" s="15">
        <v>460.96</v>
      </c>
      <c r="L384" s="15">
        <v>522.04999999999995</v>
      </c>
      <c r="M384" s="15">
        <v>460.96</v>
      </c>
      <c r="N384" s="15">
        <v>519.39</v>
      </c>
      <c r="O384" t="s">
        <v>75</v>
      </c>
    </row>
    <row r="385" spans="1:15" x14ac:dyDescent="0.25">
      <c r="A385" s="10" t="s">
        <v>880</v>
      </c>
      <c r="B385" s="15">
        <v>570.88</v>
      </c>
      <c r="C385" s="15">
        <v>570.88</v>
      </c>
      <c r="D385" s="15">
        <v>570.88</v>
      </c>
      <c r="E385" s="15">
        <v>570.88</v>
      </c>
      <c r="F385" s="15">
        <v>570.88</v>
      </c>
      <c r="G385" s="15">
        <v>570.88</v>
      </c>
      <c r="H385" s="15">
        <v>570.88</v>
      </c>
      <c r="I385" s="15">
        <v>514.54</v>
      </c>
      <c r="J385" s="15">
        <v>0</v>
      </c>
      <c r="K385" s="15">
        <v>0</v>
      </c>
      <c r="L385" s="15">
        <v>0</v>
      </c>
      <c r="M385" s="15">
        <v>0</v>
      </c>
      <c r="N385" s="15">
        <v>570.88</v>
      </c>
      <c r="O385" t="s">
        <v>75</v>
      </c>
    </row>
    <row r="386" spans="1:15" x14ac:dyDescent="0.25">
      <c r="A386" s="10" t="s">
        <v>885</v>
      </c>
      <c r="B386" s="15">
        <v>286.51</v>
      </c>
      <c r="C386" s="15">
        <v>211.77</v>
      </c>
      <c r="D386" s="15">
        <v>178.64</v>
      </c>
      <c r="E386" s="15">
        <v>0</v>
      </c>
      <c r="F386" s="15">
        <v>3.58</v>
      </c>
      <c r="G386" s="15">
        <v>0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0</v>
      </c>
      <c r="N386" s="15">
        <v>48.39</v>
      </c>
      <c r="O386" t="s">
        <v>75</v>
      </c>
    </row>
    <row r="387" spans="1:15" x14ac:dyDescent="0.25">
      <c r="A387" s="10" t="s">
        <v>887</v>
      </c>
      <c r="B387" s="15">
        <v>111.4</v>
      </c>
      <c r="C387" s="15">
        <v>113.89</v>
      </c>
      <c r="D387" s="15">
        <v>115.12</v>
      </c>
      <c r="E387" s="15">
        <v>113.36</v>
      </c>
      <c r="F387" s="15">
        <v>109.59</v>
      </c>
      <c r="G387" s="15">
        <v>110.04</v>
      </c>
      <c r="H387" s="15">
        <v>156.33000000000001</v>
      </c>
      <c r="I387" s="15">
        <v>118.52</v>
      </c>
      <c r="J387" s="15">
        <v>120.56</v>
      </c>
      <c r="K387" s="15">
        <v>120.66</v>
      </c>
      <c r="L387" s="15">
        <v>11.52</v>
      </c>
      <c r="M387" s="15">
        <v>0</v>
      </c>
      <c r="N387" s="15">
        <v>100.63</v>
      </c>
      <c r="O387" t="s">
        <v>75</v>
      </c>
    </row>
    <row r="388" spans="1:15" x14ac:dyDescent="0.25">
      <c r="A388" s="10" t="s">
        <v>889</v>
      </c>
      <c r="B388" s="15">
        <v>203.71</v>
      </c>
      <c r="C388" s="15">
        <v>181.42</v>
      </c>
      <c r="D388" s="15">
        <v>198.81</v>
      </c>
      <c r="E388" s="15">
        <v>185.82</v>
      </c>
      <c r="F388" s="15">
        <v>324.27</v>
      </c>
      <c r="G388" s="15">
        <v>449.87</v>
      </c>
      <c r="H388" s="15">
        <v>304.57</v>
      </c>
      <c r="I388" s="15">
        <v>339.82</v>
      </c>
      <c r="J388" s="15">
        <v>219.95</v>
      </c>
      <c r="K388" s="15">
        <v>225.24</v>
      </c>
      <c r="L388" s="15">
        <v>358.55</v>
      </c>
      <c r="M388" s="15">
        <v>223.86</v>
      </c>
      <c r="N388" s="15">
        <v>288.68</v>
      </c>
      <c r="O388" t="s">
        <v>75</v>
      </c>
    </row>
    <row r="389" spans="1:15" x14ac:dyDescent="0.25">
      <c r="A389" s="10" t="s">
        <v>891</v>
      </c>
      <c r="B389" s="15">
        <v>105.68</v>
      </c>
      <c r="C389" s="15">
        <v>63.4</v>
      </c>
      <c r="D389" s="15">
        <v>0</v>
      </c>
      <c r="E389" s="15">
        <v>0</v>
      </c>
      <c r="F389" s="15">
        <v>0</v>
      </c>
      <c r="G389" s="15">
        <v>0</v>
      </c>
      <c r="H389" s="15">
        <v>0</v>
      </c>
      <c r="I389" s="15">
        <v>0</v>
      </c>
      <c r="J389" s="15">
        <v>0</v>
      </c>
      <c r="K389" s="15">
        <v>0</v>
      </c>
      <c r="L389" s="15">
        <v>0</v>
      </c>
      <c r="M389" s="15">
        <v>0</v>
      </c>
      <c r="N389" s="15">
        <v>17.61</v>
      </c>
      <c r="O389" t="s">
        <v>75</v>
      </c>
    </row>
    <row r="390" spans="1:15" x14ac:dyDescent="0.25">
      <c r="A390" s="10" t="s">
        <v>893</v>
      </c>
      <c r="B390" s="15">
        <v>73.44</v>
      </c>
      <c r="C390" s="15">
        <v>73.44</v>
      </c>
      <c r="D390" s="15">
        <v>73.44</v>
      </c>
      <c r="E390" s="15">
        <v>73.44</v>
      </c>
      <c r="F390" s="15">
        <v>73.44</v>
      </c>
      <c r="G390" s="15">
        <v>73.44</v>
      </c>
      <c r="H390" s="15">
        <v>105.95</v>
      </c>
      <c r="I390" s="15">
        <v>97.92</v>
      </c>
      <c r="J390" s="15">
        <v>166.49</v>
      </c>
      <c r="K390" s="15">
        <v>32.64</v>
      </c>
      <c r="L390" s="15">
        <v>81.599999999999994</v>
      </c>
      <c r="M390" s="15">
        <v>81.599999999999994</v>
      </c>
      <c r="N390" s="15">
        <v>82.85</v>
      </c>
      <c r="O390" t="s">
        <v>75</v>
      </c>
    </row>
    <row r="391" spans="1:15" x14ac:dyDescent="0.25">
      <c r="A391" s="10" t="s">
        <v>895</v>
      </c>
      <c r="B391" s="15">
        <v>161.96</v>
      </c>
      <c r="C391" s="15">
        <v>161.96</v>
      </c>
      <c r="D391" s="15">
        <v>385.78</v>
      </c>
      <c r="E391" s="15">
        <v>0</v>
      </c>
      <c r="F391" s="15">
        <v>169.05</v>
      </c>
      <c r="G391" s="15">
        <v>161.96</v>
      </c>
      <c r="H391" s="15">
        <v>298.60000000000002</v>
      </c>
      <c r="I391" s="15">
        <v>204.62</v>
      </c>
      <c r="J391" s="15">
        <v>192.78</v>
      </c>
      <c r="K391" s="15">
        <v>225.92</v>
      </c>
      <c r="L391" s="15">
        <v>300.82</v>
      </c>
      <c r="M391" s="15">
        <v>290.39</v>
      </c>
      <c r="N391" s="15">
        <v>296.87</v>
      </c>
      <c r="O391" t="s">
        <v>75</v>
      </c>
    </row>
    <row r="392" spans="1:15" x14ac:dyDescent="0.25">
      <c r="A392" s="10" t="s">
        <v>897</v>
      </c>
      <c r="B392" s="15">
        <v>73.44</v>
      </c>
      <c r="C392" s="15">
        <v>73.44</v>
      </c>
      <c r="D392" s="15">
        <v>91.91</v>
      </c>
      <c r="E392" s="15">
        <v>73.44</v>
      </c>
      <c r="F392" s="15">
        <v>84.85</v>
      </c>
      <c r="G392" s="15">
        <v>73.44</v>
      </c>
      <c r="H392" s="15">
        <v>105.9</v>
      </c>
      <c r="I392" s="15">
        <v>99.96</v>
      </c>
      <c r="J392" s="15">
        <v>87.23</v>
      </c>
      <c r="K392" s="15">
        <v>81.599999999999994</v>
      </c>
      <c r="L392" s="15">
        <v>86.47</v>
      </c>
      <c r="M392" s="15">
        <v>197.25</v>
      </c>
      <c r="N392" s="15">
        <v>85.69</v>
      </c>
      <c r="O392" t="s">
        <v>75</v>
      </c>
    </row>
    <row r="393" spans="1:15" x14ac:dyDescent="0.25">
      <c r="A393" s="10" t="s">
        <v>899</v>
      </c>
      <c r="B393" s="15">
        <v>404.68</v>
      </c>
      <c r="C393" s="15">
        <v>383.96</v>
      </c>
      <c r="D393" s="15">
        <v>414.5</v>
      </c>
      <c r="E393" s="15">
        <v>383.96</v>
      </c>
      <c r="F393" s="15">
        <v>528.54</v>
      </c>
      <c r="G393" s="15">
        <v>401.39</v>
      </c>
      <c r="H393" s="15">
        <v>570.88</v>
      </c>
      <c r="I393" s="15">
        <v>562.73</v>
      </c>
      <c r="J393" s="15">
        <v>327.93</v>
      </c>
      <c r="K393" s="15">
        <v>0</v>
      </c>
      <c r="L393" s="15">
        <v>0</v>
      </c>
      <c r="M393" s="15">
        <v>0</v>
      </c>
      <c r="N393" s="15">
        <v>361</v>
      </c>
      <c r="O393" t="s">
        <v>75</v>
      </c>
    </row>
    <row r="394" spans="1:15" x14ac:dyDescent="0.25">
      <c r="A394" s="10" t="s">
        <v>901</v>
      </c>
      <c r="B394" s="15">
        <v>179.5</v>
      </c>
      <c r="C394" s="15">
        <v>178.5</v>
      </c>
      <c r="D394" s="15">
        <v>176.03</v>
      </c>
      <c r="E394" s="15">
        <v>177.55</v>
      </c>
      <c r="F394" s="15">
        <v>176.92</v>
      </c>
      <c r="G394" s="15">
        <v>172.41</v>
      </c>
      <c r="H394" s="15">
        <v>288.45999999999998</v>
      </c>
      <c r="I394" s="15">
        <v>223.89</v>
      </c>
      <c r="J394" s="15">
        <v>191.62</v>
      </c>
      <c r="K394" s="15">
        <v>191.64</v>
      </c>
      <c r="L394" s="15">
        <v>190.71</v>
      </c>
      <c r="M394" s="15">
        <v>394.04</v>
      </c>
      <c r="N394" s="15">
        <v>194.38</v>
      </c>
      <c r="O394" t="s">
        <v>75</v>
      </c>
    </row>
    <row r="395" spans="1:15" x14ac:dyDescent="0.25">
      <c r="A395" s="10" t="s">
        <v>903</v>
      </c>
      <c r="B395" s="15">
        <v>157.65</v>
      </c>
      <c r="C395" s="15">
        <v>162.80000000000001</v>
      </c>
      <c r="D395" s="15">
        <v>199.8</v>
      </c>
      <c r="E395" s="15">
        <v>191.11</v>
      </c>
      <c r="F395" s="15">
        <v>307.89</v>
      </c>
      <c r="G395" s="15">
        <v>196.89</v>
      </c>
      <c r="H395" s="15">
        <v>448.73</v>
      </c>
      <c r="I395" s="15">
        <v>215.19</v>
      </c>
      <c r="J395" s="15">
        <v>221.26</v>
      </c>
      <c r="K395" s="15">
        <v>182.37</v>
      </c>
      <c r="L395" s="15">
        <v>322.51</v>
      </c>
      <c r="M395" s="15">
        <v>437.94</v>
      </c>
      <c r="N395" s="15">
        <v>228.88</v>
      </c>
      <c r="O395" t="s">
        <v>75</v>
      </c>
    </row>
    <row r="396" spans="1:15" x14ac:dyDescent="0.25">
      <c r="A396" s="10" t="s">
        <v>905</v>
      </c>
      <c r="B396" s="15">
        <v>217.71</v>
      </c>
      <c r="C396" s="15">
        <v>189.76</v>
      </c>
      <c r="D396" s="15">
        <v>502.3</v>
      </c>
      <c r="E396" s="15">
        <v>95.65</v>
      </c>
      <c r="F396" s="15">
        <v>340.45</v>
      </c>
      <c r="G396" s="15">
        <v>318.39</v>
      </c>
      <c r="H396" s="15">
        <v>317.74</v>
      </c>
      <c r="I396" s="15">
        <v>355.03</v>
      </c>
      <c r="J396" s="15">
        <v>290.06</v>
      </c>
      <c r="K396" s="15">
        <v>341.23</v>
      </c>
      <c r="L396" s="15">
        <v>29.84</v>
      </c>
      <c r="M396" s="15">
        <v>0</v>
      </c>
      <c r="N396" s="15">
        <v>200.64</v>
      </c>
      <c r="O396" t="s">
        <v>75</v>
      </c>
    </row>
    <row r="397" spans="1:15" x14ac:dyDescent="0.25">
      <c r="A397" s="10" t="s">
        <v>907</v>
      </c>
      <c r="B397" s="15">
        <v>54.59</v>
      </c>
      <c r="C397" s="15">
        <v>144.99</v>
      </c>
      <c r="D397" s="15">
        <v>154.72</v>
      </c>
      <c r="E397" s="15">
        <v>155.41999999999999</v>
      </c>
      <c r="F397" s="15">
        <v>151.78</v>
      </c>
      <c r="G397" s="15">
        <v>155.33000000000001</v>
      </c>
      <c r="H397" s="15">
        <v>208.81</v>
      </c>
      <c r="I397" s="15">
        <v>182.21</v>
      </c>
      <c r="J397" s="15">
        <v>150.75</v>
      </c>
      <c r="K397" s="15">
        <v>153.83000000000001</v>
      </c>
      <c r="L397" s="15">
        <v>153.57</v>
      </c>
      <c r="M397" s="15">
        <v>439.31</v>
      </c>
      <c r="N397" s="15">
        <v>162.15</v>
      </c>
      <c r="O397" t="s">
        <v>75</v>
      </c>
    </row>
    <row r="398" spans="1:15" x14ac:dyDescent="0.25">
      <c r="A398" s="10" t="s">
        <v>909</v>
      </c>
      <c r="B398" s="15">
        <v>120.72</v>
      </c>
      <c r="C398" s="15">
        <v>120.72</v>
      </c>
      <c r="D398" s="15">
        <v>120.72</v>
      </c>
      <c r="E398" s="15">
        <v>120.72</v>
      </c>
      <c r="F398" s="15">
        <v>120.72</v>
      </c>
      <c r="G398" s="15">
        <v>120.72</v>
      </c>
      <c r="H398" s="15">
        <v>180.9</v>
      </c>
      <c r="I398" s="15">
        <v>180.9</v>
      </c>
      <c r="J398" s="15">
        <v>231.02</v>
      </c>
      <c r="K398" s="15">
        <v>130.72999999999999</v>
      </c>
      <c r="L398" s="15">
        <v>150.84</v>
      </c>
      <c r="M398" s="15">
        <v>170.14</v>
      </c>
      <c r="N398" s="15">
        <v>155.36000000000001</v>
      </c>
      <c r="O398" t="s">
        <v>75</v>
      </c>
    </row>
    <row r="399" spans="1:15" x14ac:dyDescent="0.25">
      <c r="A399" s="10" t="s">
        <v>911</v>
      </c>
      <c r="B399" s="15">
        <v>0</v>
      </c>
      <c r="C399" s="15">
        <v>0</v>
      </c>
      <c r="D399" s="15">
        <v>0</v>
      </c>
      <c r="E399" s="15">
        <v>0</v>
      </c>
      <c r="F399" s="15">
        <v>0</v>
      </c>
      <c r="G399" s="15">
        <v>0</v>
      </c>
      <c r="H399" s="15">
        <v>0</v>
      </c>
      <c r="I399" s="15">
        <v>0</v>
      </c>
      <c r="J399" s="15">
        <v>4.2300000000000004</v>
      </c>
      <c r="K399" s="15">
        <v>0</v>
      </c>
      <c r="L399" s="15">
        <v>0</v>
      </c>
      <c r="M399" s="15">
        <v>0</v>
      </c>
      <c r="N399" s="15">
        <v>0</v>
      </c>
      <c r="O399" t="s">
        <v>75</v>
      </c>
    </row>
    <row r="400" spans="1:15" x14ac:dyDescent="0.25">
      <c r="A400" s="10" t="s">
        <v>913</v>
      </c>
      <c r="B400" s="15">
        <v>90.96</v>
      </c>
      <c r="C400" s="15">
        <v>75.64</v>
      </c>
      <c r="D400" s="15">
        <v>80.44</v>
      </c>
      <c r="E400" s="15">
        <v>75.64</v>
      </c>
      <c r="F400" s="15">
        <v>104.78</v>
      </c>
      <c r="G400" s="15">
        <v>75.64</v>
      </c>
      <c r="H400" s="15">
        <v>120.83</v>
      </c>
      <c r="I400" s="15">
        <v>100.36</v>
      </c>
      <c r="J400" s="15">
        <v>212.52</v>
      </c>
      <c r="K400" s="15">
        <v>2.8</v>
      </c>
      <c r="L400" s="15">
        <v>85.1</v>
      </c>
      <c r="M400" s="15">
        <v>84.04</v>
      </c>
      <c r="N400" s="15">
        <v>91.13</v>
      </c>
      <c r="O400" t="s">
        <v>75</v>
      </c>
    </row>
    <row r="401" spans="1:15" x14ac:dyDescent="0.25">
      <c r="A401" s="10" t="s">
        <v>915</v>
      </c>
      <c r="B401" s="15">
        <v>172.88</v>
      </c>
      <c r="C401" s="15">
        <v>172.88</v>
      </c>
      <c r="D401" s="15">
        <v>190.02</v>
      </c>
      <c r="E401" s="15">
        <v>186.43</v>
      </c>
      <c r="F401" s="15">
        <v>187.06</v>
      </c>
      <c r="G401" s="15">
        <v>371.41</v>
      </c>
      <c r="H401" s="15">
        <v>207.15</v>
      </c>
      <c r="I401" s="15">
        <v>293.47000000000003</v>
      </c>
      <c r="J401" s="15">
        <v>197.57</v>
      </c>
      <c r="K401" s="15">
        <v>197.57</v>
      </c>
      <c r="L401" s="15">
        <v>215.89</v>
      </c>
      <c r="M401" s="15">
        <v>197.57</v>
      </c>
      <c r="N401" s="15">
        <v>205.14</v>
      </c>
      <c r="O401" t="s">
        <v>75</v>
      </c>
    </row>
    <row r="402" spans="1:15" x14ac:dyDescent="0.25">
      <c r="A402" s="10" t="s">
        <v>917</v>
      </c>
      <c r="B402" s="15">
        <v>570.88</v>
      </c>
      <c r="C402" s="15">
        <v>570.88</v>
      </c>
      <c r="D402" s="15">
        <v>608.92999999999995</v>
      </c>
      <c r="E402" s="15">
        <v>532.83000000000004</v>
      </c>
      <c r="F402" s="15">
        <v>570.88</v>
      </c>
      <c r="G402" s="15">
        <v>570.88</v>
      </c>
      <c r="H402" s="15">
        <v>570.88</v>
      </c>
      <c r="I402" s="15">
        <v>570.88</v>
      </c>
      <c r="J402" s="15">
        <v>570.88</v>
      </c>
      <c r="K402" s="15">
        <v>570.88</v>
      </c>
      <c r="L402" s="15">
        <v>570.88</v>
      </c>
      <c r="M402" s="15">
        <v>570.88</v>
      </c>
      <c r="N402" s="15">
        <v>570.88</v>
      </c>
      <c r="O402" t="s">
        <v>75</v>
      </c>
    </row>
    <row r="403" spans="1:15" x14ac:dyDescent="0.25">
      <c r="A403" s="10" t="s">
        <v>919</v>
      </c>
      <c r="B403" s="15">
        <v>76.33</v>
      </c>
      <c r="C403" s="15">
        <v>96.77</v>
      </c>
      <c r="D403" s="15">
        <v>100.47</v>
      </c>
      <c r="E403" s="15">
        <v>95.9</v>
      </c>
      <c r="F403" s="15">
        <v>91.71</v>
      </c>
      <c r="G403" s="15">
        <v>92.21</v>
      </c>
      <c r="H403" s="15">
        <v>140.22</v>
      </c>
      <c r="I403" s="15">
        <v>121.76</v>
      </c>
      <c r="J403" s="15">
        <v>102.17</v>
      </c>
      <c r="K403" s="15">
        <v>81.63</v>
      </c>
      <c r="L403" s="15">
        <v>120.68</v>
      </c>
      <c r="M403" s="15">
        <v>101.44</v>
      </c>
      <c r="N403" s="15">
        <v>102.8</v>
      </c>
      <c r="O403" t="s">
        <v>75</v>
      </c>
    </row>
    <row r="404" spans="1:15" x14ac:dyDescent="0.25">
      <c r="A404" s="10" t="s">
        <v>921</v>
      </c>
      <c r="B404" s="15">
        <v>105.68</v>
      </c>
      <c r="C404" s="15">
        <v>105.68</v>
      </c>
      <c r="D404" s="15">
        <v>107.54</v>
      </c>
      <c r="E404" s="15">
        <v>105.68</v>
      </c>
      <c r="F404" s="15">
        <v>105.68</v>
      </c>
      <c r="G404" s="15">
        <v>105.68</v>
      </c>
      <c r="H404" s="15">
        <v>158.54</v>
      </c>
      <c r="I404" s="15">
        <v>158.31</v>
      </c>
      <c r="J404" s="15">
        <v>117.36</v>
      </c>
      <c r="K404" s="15">
        <v>117.36</v>
      </c>
      <c r="L404" s="15">
        <v>117.36</v>
      </c>
      <c r="M404" s="15">
        <v>141.02000000000001</v>
      </c>
      <c r="N404" s="15">
        <v>117.54</v>
      </c>
      <c r="O404" t="s">
        <v>75</v>
      </c>
    </row>
    <row r="405" spans="1:15" x14ac:dyDescent="0.25">
      <c r="A405" s="10" t="s">
        <v>923</v>
      </c>
      <c r="B405" s="15">
        <v>71.11</v>
      </c>
      <c r="C405" s="15">
        <v>70.510000000000005</v>
      </c>
      <c r="D405" s="15">
        <v>76.319999999999993</v>
      </c>
      <c r="E405" s="15">
        <v>73.44</v>
      </c>
      <c r="F405" s="15">
        <v>110.41</v>
      </c>
      <c r="G405" s="15">
        <v>107.39</v>
      </c>
      <c r="H405" s="15">
        <v>352.25</v>
      </c>
      <c r="I405" s="15">
        <v>326.86</v>
      </c>
      <c r="J405" s="15">
        <v>225.09</v>
      </c>
      <c r="K405" s="15">
        <v>130.65</v>
      </c>
      <c r="L405" s="15">
        <v>144.75</v>
      </c>
      <c r="M405" s="15">
        <v>150.75</v>
      </c>
      <c r="N405" s="15">
        <v>157.86000000000001</v>
      </c>
      <c r="O405" t="s">
        <v>75</v>
      </c>
    </row>
    <row r="406" spans="1:15" x14ac:dyDescent="0.25">
      <c r="A406" s="10" t="s">
        <v>925</v>
      </c>
      <c r="B406" s="15">
        <v>570.88</v>
      </c>
      <c r="C406" s="15">
        <v>570.88</v>
      </c>
      <c r="D406" s="15">
        <v>570.88</v>
      </c>
      <c r="E406" s="15">
        <v>570.88</v>
      </c>
      <c r="F406" s="15">
        <v>570.88</v>
      </c>
      <c r="G406" s="15">
        <v>570.88</v>
      </c>
      <c r="H406" s="15">
        <v>570.88</v>
      </c>
      <c r="I406" s="15">
        <v>570.88</v>
      </c>
      <c r="J406" s="15">
        <v>589.9</v>
      </c>
      <c r="K406" s="15">
        <v>551.86</v>
      </c>
      <c r="L406" s="15">
        <v>570.88</v>
      </c>
      <c r="M406" s="15">
        <v>570.88</v>
      </c>
      <c r="N406" s="15">
        <v>570.88</v>
      </c>
      <c r="O406" t="s">
        <v>75</v>
      </c>
    </row>
    <row r="407" spans="1:15" x14ac:dyDescent="0.25">
      <c r="A407" s="10" t="s">
        <v>927</v>
      </c>
      <c r="B407" s="15">
        <v>143.22</v>
      </c>
      <c r="C407" s="15">
        <v>143.22</v>
      </c>
      <c r="D407" s="15">
        <v>480.58</v>
      </c>
      <c r="E407" s="15">
        <v>0</v>
      </c>
      <c r="F407" s="15">
        <v>143.22</v>
      </c>
      <c r="G407" s="15">
        <v>147.38999999999999</v>
      </c>
      <c r="H407" s="15">
        <v>214.42</v>
      </c>
      <c r="I407" s="15">
        <v>199.26</v>
      </c>
      <c r="J407" s="15">
        <v>174.51</v>
      </c>
      <c r="K407" s="15">
        <v>180.84</v>
      </c>
      <c r="L407" s="15">
        <v>193.03</v>
      </c>
      <c r="M407" s="15">
        <v>163.69999999999999</v>
      </c>
      <c r="N407" s="15">
        <v>173.75</v>
      </c>
      <c r="O407" t="s">
        <v>75</v>
      </c>
    </row>
    <row r="408" spans="1:15" x14ac:dyDescent="0.25">
      <c r="A408" s="10" t="s">
        <v>929</v>
      </c>
      <c r="B408" s="15">
        <v>415.76</v>
      </c>
      <c r="C408" s="15">
        <v>297</v>
      </c>
      <c r="D408" s="15">
        <v>223.52</v>
      </c>
      <c r="E408" s="15">
        <v>223.52</v>
      </c>
      <c r="F408" s="15">
        <v>406.92</v>
      </c>
      <c r="G408" s="15">
        <v>228.24</v>
      </c>
      <c r="H408" s="15">
        <v>433.6</v>
      </c>
      <c r="I408" s="15">
        <v>384.4</v>
      </c>
      <c r="J408" s="15">
        <v>400.78</v>
      </c>
      <c r="K408" s="15">
        <v>309.89999999999998</v>
      </c>
      <c r="L408" s="15">
        <v>398.4</v>
      </c>
      <c r="M408" s="15">
        <v>338.34</v>
      </c>
      <c r="N408" s="15">
        <v>351.03</v>
      </c>
      <c r="O408" t="s">
        <v>75</v>
      </c>
    </row>
    <row r="409" spans="1:15" x14ac:dyDescent="0.25">
      <c r="A409" s="10" t="s">
        <v>931</v>
      </c>
      <c r="B409" s="15">
        <v>499.34</v>
      </c>
      <c r="C409" s="15">
        <v>397.06</v>
      </c>
      <c r="D409" s="15">
        <v>685.74</v>
      </c>
      <c r="E409" s="15">
        <v>328.81</v>
      </c>
      <c r="F409" s="15">
        <v>426.67</v>
      </c>
      <c r="G409" s="15">
        <v>406.4</v>
      </c>
      <c r="H409" s="15">
        <v>570.88</v>
      </c>
      <c r="I409" s="15">
        <v>516.89</v>
      </c>
      <c r="J409" s="15">
        <v>471.94</v>
      </c>
      <c r="K409" s="15">
        <v>451.38</v>
      </c>
      <c r="L409" s="15">
        <v>462.22</v>
      </c>
      <c r="M409" s="15">
        <v>451.38</v>
      </c>
      <c r="N409" s="15">
        <v>482.12</v>
      </c>
      <c r="O409" t="s">
        <v>75</v>
      </c>
    </row>
    <row r="410" spans="1:15" x14ac:dyDescent="0.25">
      <c r="A410" s="10" t="s">
        <v>933</v>
      </c>
      <c r="B410" s="15">
        <v>168.18</v>
      </c>
      <c r="C410" s="15">
        <v>167.85</v>
      </c>
      <c r="D410" s="15">
        <v>168.2</v>
      </c>
      <c r="E410" s="15">
        <v>167.85</v>
      </c>
      <c r="F410" s="15">
        <v>169.98</v>
      </c>
      <c r="G410" s="15">
        <v>456.35</v>
      </c>
      <c r="H410" s="15">
        <v>94.69</v>
      </c>
      <c r="I410" s="15">
        <v>210.98</v>
      </c>
      <c r="J410" s="15">
        <v>200.3</v>
      </c>
      <c r="K410" s="15">
        <v>186.39</v>
      </c>
      <c r="L410" s="15">
        <v>192.34</v>
      </c>
      <c r="M410" s="15">
        <v>413.28</v>
      </c>
      <c r="N410" s="15">
        <v>188.59</v>
      </c>
      <c r="O410" t="s">
        <v>75</v>
      </c>
    </row>
    <row r="411" spans="1:15" x14ac:dyDescent="0.25">
      <c r="A411" s="10" t="s">
        <v>935</v>
      </c>
      <c r="B411" s="15">
        <v>180.18</v>
      </c>
      <c r="C411" s="15">
        <v>207.9</v>
      </c>
      <c r="D411" s="15">
        <v>207.9</v>
      </c>
      <c r="E411" s="15">
        <v>218.88</v>
      </c>
      <c r="F411" s="15">
        <v>218.88</v>
      </c>
      <c r="G411" s="15">
        <v>291.10000000000002</v>
      </c>
      <c r="H411" s="15">
        <v>472.53</v>
      </c>
      <c r="I411" s="15">
        <v>413.23</v>
      </c>
      <c r="J411" s="15">
        <v>115.24</v>
      </c>
      <c r="K411" s="15">
        <v>0</v>
      </c>
      <c r="L411" s="15">
        <v>0</v>
      </c>
      <c r="M411" s="15">
        <v>0</v>
      </c>
      <c r="N411" s="15">
        <v>194.96</v>
      </c>
      <c r="O411" t="s">
        <v>75</v>
      </c>
    </row>
    <row r="412" spans="1:15" x14ac:dyDescent="0.25">
      <c r="A412" s="10" t="s">
        <v>937</v>
      </c>
      <c r="B412" s="15">
        <v>64.930000000000007</v>
      </c>
      <c r="C412" s="15">
        <v>0</v>
      </c>
      <c r="D412" s="15">
        <v>0</v>
      </c>
      <c r="E412" s="15">
        <v>0</v>
      </c>
      <c r="F412" s="15">
        <v>0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>
        <v>0</v>
      </c>
      <c r="O412" t="s">
        <v>75</v>
      </c>
    </row>
    <row r="413" spans="1:15" x14ac:dyDescent="0.25">
      <c r="A413" s="10" t="s">
        <v>939</v>
      </c>
      <c r="B413" s="15">
        <v>225.62</v>
      </c>
      <c r="C413" s="15">
        <v>219.97</v>
      </c>
      <c r="D413" s="15">
        <v>306.08</v>
      </c>
      <c r="E413" s="15">
        <v>219.97</v>
      </c>
      <c r="F413" s="15">
        <v>426.3</v>
      </c>
      <c r="G413" s="15">
        <v>242.79</v>
      </c>
      <c r="H413" s="15">
        <v>459.37</v>
      </c>
      <c r="I413" s="15">
        <v>355.57</v>
      </c>
      <c r="J413" s="15">
        <v>341.58</v>
      </c>
      <c r="K413" s="15">
        <v>307.35000000000002</v>
      </c>
      <c r="L413" s="15">
        <v>351.19</v>
      </c>
      <c r="M413" s="15">
        <v>331.61</v>
      </c>
      <c r="N413" s="15">
        <v>350.71</v>
      </c>
      <c r="O413" t="s">
        <v>75</v>
      </c>
    </row>
    <row r="414" spans="1:15" x14ac:dyDescent="0.25">
      <c r="A414" s="10" t="s">
        <v>941</v>
      </c>
      <c r="B414" s="15">
        <v>102.26</v>
      </c>
      <c r="C414" s="15">
        <v>197.16</v>
      </c>
      <c r="D414" s="15">
        <v>307.79000000000002</v>
      </c>
      <c r="E414" s="15">
        <v>305.48</v>
      </c>
      <c r="F414" s="15">
        <v>227.86</v>
      </c>
      <c r="G414" s="15">
        <v>172.34</v>
      </c>
      <c r="H414" s="15">
        <v>313.17</v>
      </c>
      <c r="I414" s="15">
        <v>302.08</v>
      </c>
      <c r="J414" s="15">
        <v>217.54</v>
      </c>
      <c r="K414" s="15">
        <v>232.59</v>
      </c>
      <c r="L414" s="15">
        <v>29.56</v>
      </c>
      <c r="M414" s="15">
        <v>0</v>
      </c>
      <c r="N414" s="15">
        <v>189.2</v>
      </c>
      <c r="O414" t="s">
        <v>75</v>
      </c>
    </row>
    <row r="415" spans="1:15" x14ac:dyDescent="0.25">
      <c r="A415" s="10" t="s">
        <v>943</v>
      </c>
      <c r="B415" s="15">
        <v>187.22</v>
      </c>
      <c r="C415" s="15">
        <v>189.54</v>
      </c>
      <c r="D415" s="15">
        <v>193.72</v>
      </c>
      <c r="E415" s="15">
        <v>188.93</v>
      </c>
      <c r="F415" s="15">
        <v>183.22</v>
      </c>
      <c r="G415" s="15">
        <v>389.15</v>
      </c>
      <c r="H415" s="15">
        <v>213.22</v>
      </c>
      <c r="I415" s="15">
        <v>288.64999999999998</v>
      </c>
      <c r="J415" s="15">
        <v>217.36</v>
      </c>
      <c r="K415" s="15">
        <v>204.39</v>
      </c>
      <c r="L415" s="15">
        <v>222.11</v>
      </c>
      <c r="M415" s="15">
        <v>223.14</v>
      </c>
      <c r="N415" s="15">
        <v>210.52</v>
      </c>
      <c r="O415" t="s">
        <v>75</v>
      </c>
    </row>
    <row r="416" spans="1:15" x14ac:dyDescent="0.25">
      <c r="A416" s="10" t="s">
        <v>945</v>
      </c>
      <c r="B416" s="15">
        <v>79.48</v>
      </c>
      <c r="C416" s="15">
        <v>78.989999999999995</v>
      </c>
      <c r="D416" s="15">
        <v>79.260000000000005</v>
      </c>
      <c r="E416" s="15">
        <v>79.02</v>
      </c>
      <c r="F416" s="15">
        <v>76.290000000000006</v>
      </c>
      <c r="G416" s="15">
        <v>76.13</v>
      </c>
      <c r="H416" s="15">
        <v>103.46</v>
      </c>
      <c r="I416" s="15">
        <v>100.38</v>
      </c>
      <c r="J416" s="15">
        <v>14.65</v>
      </c>
      <c r="K416" s="15">
        <v>0</v>
      </c>
      <c r="L416" s="15">
        <v>0</v>
      </c>
      <c r="M416" s="15">
        <v>0</v>
      </c>
      <c r="N416" s="15">
        <v>57.38</v>
      </c>
      <c r="O416" t="s">
        <v>75</v>
      </c>
    </row>
    <row r="417" spans="1:15" x14ac:dyDescent="0.25">
      <c r="A417" s="10" t="s">
        <v>947</v>
      </c>
      <c r="B417" s="15">
        <v>232.86</v>
      </c>
      <c r="C417" s="15">
        <v>232.86</v>
      </c>
      <c r="D417" s="15">
        <v>296.31</v>
      </c>
      <c r="E417" s="15">
        <v>374.6</v>
      </c>
      <c r="F417" s="15">
        <v>295.29000000000002</v>
      </c>
      <c r="G417" s="15">
        <v>292.89</v>
      </c>
      <c r="H417" s="15">
        <v>413.02</v>
      </c>
      <c r="I417" s="15">
        <v>376.28</v>
      </c>
      <c r="J417" s="15">
        <v>325.31</v>
      </c>
      <c r="K417" s="15">
        <v>325.31</v>
      </c>
      <c r="L417" s="15">
        <v>325.31</v>
      </c>
      <c r="M417" s="15">
        <v>325.31</v>
      </c>
      <c r="N417" s="15">
        <v>327.64999999999998</v>
      </c>
      <c r="O417" t="s">
        <v>75</v>
      </c>
    </row>
    <row r="418" spans="1:15" x14ac:dyDescent="0.25">
      <c r="A418" s="10" t="s">
        <v>949</v>
      </c>
      <c r="B418" s="15">
        <v>220.81</v>
      </c>
      <c r="C418" s="15">
        <v>220.81</v>
      </c>
      <c r="D418" s="15">
        <v>220.81</v>
      </c>
      <c r="E418" s="15">
        <v>220.81</v>
      </c>
      <c r="F418" s="15">
        <v>295.18</v>
      </c>
      <c r="G418" s="15">
        <v>220.81</v>
      </c>
      <c r="H418" s="15">
        <v>605.05999999999995</v>
      </c>
      <c r="I418" s="15">
        <v>267.61</v>
      </c>
      <c r="J418" s="15">
        <v>309.32</v>
      </c>
      <c r="K418" s="15">
        <v>299.79000000000002</v>
      </c>
      <c r="L418" s="15">
        <v>332.48</v>
      </c>
      <c r="M418" s="15">
        <v>299.79000000000002</v>
      </c>
      <c r="N418" s="15">
        <v>309.77999999999997</v>
      </c>
      <c r="O418" t="s">
        <v>75</v>
      </c>
    </row>
    <row r="419" spans="1:15" x14ac:dyDescent="0.25">
      <c r="A419" s="10" t="s">
        <v>951</v>
      </c>
      <c r="B419" s="15">
        <v>0</v>
      </c>
      <c r="C419" s="15">
        <v>0</v>
      </c>
      <c r="D419" s="15">
        <v>0</v>
      </c>
      <c r="E419" s="15">
        <v>0</v>
      </c>
      <c r="F419" s="15">
        <v>0</v>
      </c>
      <c r="G419" s="15">
        <v>0</v>
      </c>
      <c r="H419" s="15">
        <v>0</v>
      </c>
      <c r="I419" s="15">
        <v>0</v>
      </c>
      <c r="J419" s="15">
        <v>0</v>
      </c>
      <c r="K419" s="15">
        <v>0</v>
      </c>
      <c r="L419" s="15">
        <v>0</v>
      </c>
      <c r="M419" s="15">
        <v>212.43</v>
      </c>
      <c r="N419" s="15">
        <v>14.3</v>
      </c>
      <c r="O419" t="s">
        <v>75</v>
      </c>
    </row>
    <row r="420" spans="1:15" x14ac:dyDescent="0.25">
      <c r="A420" s="10" t="s">
        <v>953</v>
      </c>
      <c r="B420" s="15">
        <v>549.55999999999995</v>
      </c>
      <c r="C420" s="15">
        <v>549.55999999999995</v>
      </c>
      <c r="D420" s="15">
        <v>549.55999999999995</v>
      </c>
      <c r="E420" s="15">
        <v>549.55999999999995</v>
      </c>
      <c r="F420" s="15">
        <v>930.14</v>
      </c>
      <c r="G420" s="15">
        <v>190.3</v>
      </c>
      <c r="H420" s="15">
        <v>570.88</v>
      </c>
      <c r="I420" s="15">
        <v>570.88</v>
      </c>
      <c r="J420" s="15">
        <v>305.19</v>
      </c>
      <c r="K420" s="15">
        <v>0</v>
      </c>
      <c r="L420" s="15">
        <v>0</v>
      </c>
      <c r="M420" s="15">
        <v>0</v>
      </c>
      <c r="N420" s="15">
        <v>457.79</v>
      </c>
      <c r="O420" t="s">
        <v>75</v>
      </c>
    </row>
    <row r="421" spans="1:15" x14ac:dyDescent="0.25">
      <c r="A421" s="10" t="s">
        <v>955</v>
      </c>
      <c r="B421" s="15">
        <v>570.88</v>
      </c>
      <c r="C421" s="15">
        <v>570.88</v>
      </c>
      <c r="D421" s="15">
        <v>570.88</v>
      </c>
      <c r="E421" s="15">
        <v>570.88</v>
      </c>
      <c r="F421" s="15">
        <v>570.88</v>
      </c>
      <c r="G421" s="15">
        <v>570.88</v>
      </c>
      <c r="H421" s="15">
        <v>570.88</v>
      </c>
      <c r="I421" s="15">
        <v>122.68</v>
      </c>
      <c r="J421" s="15">
        <v>0</v>
      </c>
      <c r="K421" s="15">
        <v>0</v>
      </c>
      <c r="L421" s="15">
        <v>0</v>
      </c>
      <c r="M421" s="15">
        <v>0</v>
      </c>
      <c r="N421" s="15">
        <v>431.77</v>
      </c>
      <c r="O421" t="s">
        <v>75</v>
      </c>
    </row>
    <row r="422" spans="1:15" x14ac:dyDescent="0.25">
      <c r="A422" s="10" t="s">
        <v>957</v>
      </c>
      <c r="B422" s="15">
        <v>150.28</v>
      </c>
      <c r="C422" s="15">
        <v>155.76</v>
      </c>
      <c r="D422" s="15">
        <v>196.62</v>
      </c>
      <c r="E422" s="15">
        <v>146.94999999999999</v>
      </c>
      <c r="F422" s="15">
        <v>186.14</v>
      </c>
      <c r="G422" s="15">
        <v>146.69999999999999</v>
      </c>
      <c r="H422" s="15">
        <v>224.33</v>
      </c>
      <c r="I422" s="15">
        <v>195.3</v>
      </c>
      <c r="J422" s="15">
        <v>166.26</v>
      </c>
      <c r="K422" s="15">
        <v>162.9</v>
      </c>
      <c r="L422" s="15">
        <v>162.9</v>
      </c>
      <c r="M422" s="15">
        <v>294.31</v>
      </c>
      <c r="N422" s="15">
        <v>174.9</v>
      </c>
      <c r="O422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O428"/>
  <sheetViews>
    <sheetView workbookViewId="0">
      <selection activeCell="B2" sqref="B2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5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862800,76</v>
      </c>
      <c r="C2" s="14" t="str">
        <f>CONCATENATE("FEVEREIRO",CHAR(10),"TOTAL: ",ROUND(SUM(C3:C1048576),2))</f>
        <v>FEVEREIRO
TOTAL: 898107,87</v>
      </c>
      <c r="D2" s="14" t="str">
        <f>CONCATENATE("MARÇO",CHAR(10),"TOTAL: ",ROUND(SUM(D3:D1048576),2))</f>
        <v>MARÇO
TOTAL: 918754,59</v>
      </c>
      <c r="E2" s="14" t="str">
        <f>CONCATENATE("ABRIL",CHAR(10),"TOTAL: ",ROUND(SUM(E3:E1048576),2))</f>
        <v>ABRIL
TOTAL: 886541,92</v>
      </c>
      <c r="F2" s="14" t="str">
        <f>CONCATENATE("MAIO",CHAR(10),"TOTAL: ",ROUND(SUM(F3:F1048576),2))</f>
        <v>MAIO
TOTAL: 898142,08</v>
      </c>
      <c r="G2" s="14" t="str">
        <f>CONCATENATE("JUNHO",CHAR(10),"TOTAL: ",ROUND(SUM(G3:G1048576),2))</f>
        <v>JUNHO
TOTAL: 937474,78</v>
      </c>
      <c r="H2" s="14" t="str">
        <f>CONCATENATE("JULHO",CHAR(10),"TOTAL: ",ROUND(SUM(H3:H1048576),2))</f>
        <v>JULHO
TOTAL: 1166967,64</v>
      </c>
      <c r="I2" s="14" t="str">
        <f>CONCATENATE("AGOSTO",CHAR(10),"TOTAL: ",ROUND(SUM(I3:I1048576),2))</f>
        <v>AGOSTO
TOTAL: 1059498,25</v>
      </c>
      <c r="J2" s="14" t="str">
        <f>CONCATENATE("SETEMBRO",CHAR(10),"TOTAL: ",ROUND(SUM(J3:J1048576),2))</f>
        <v>SETEMBRO
TOTAL: 969526,86</v>
      </c>
      <c r="K2" s="14" t="str">
        <f>CONCATENATE("OUTUBRO",CHAR(10),"TOTAL: ",ROUND(SUM(K3:K1048576),2))</f>
        <v>OUTUBRO
TOTAL: 878182</v>
      </c>
      <c r="L2" s="14" t="str">
        <f>CONCATENATE("NOVEMBRO",CHAR(10),"TOTAL: ",ROUND(SUM(L3:L1048576),2))</f>
        <v>NOVEMBRO
TOTAL: 915847,18</v>
      </c>
      <c r="M2" s="14" t="str">
        <f>CONCATENATE("DEZEMBRO",CHAR(10),"TOTAL: ",ROUND(SUM(M3:M1048576),2))</f>
        <v>DEZEMBRO
TOTAL: 1022668,48</v>
      </c>
      <c r="N2" s="14" t="str">
        <f>CONCATENATE("DEC. TERCEIRO",CHAR(10),"TOTAL: ",ROUND(SUM(N3:N1048576),2))</f>
        <v>DEC. TERCEIRO
TOTAL: 987947,57</v>
      </c>
    </row>
    <row r="3" spans="1:15" x14ac:dyDescent="0.25">
      <c r="A3" s="10" t="s">
        <v>92</v>
      </c>
      <c r="B3" s="15">
        <v>1508</v>
      </c>
      <c r="C3" s="15">
        <v>1508</v>
      </c>
      <c r="D3" s="15">
        <v>1513.39</v>
      </c>
      <c r="E3" s="15">
        <v>1510.51</v>
      </c>
      <c r="F3" s="15">
        <v>1910.17</v>
      </c>
      <c r="G3" s="15">
        <v>1666.42</v>
      </c>
      <c r="H3" s="15">
        <v>2177.37</v>
      </c>
      <c r="I3" s="15">
        <v>2009</v>
      </c>
      <c r="J3" s="15">
        <v>1771.12</v>
      </c>
      <c r="K3" s="15">
        <v>1675</v>
      </c>
      <c r="L3" s="15">
        <v>2050.13</v>
      </c>
      <c r="M3" s="15">
        <v>2901.07</v>
      </c>
      <c r="N3" s="15">
        <v>1791.19</v>
      </c>
      <c r="O3" t="s">
        <v>75</v>
      </c>
    </row>
    <row r="4" spans="1:15" x14ac:dyDescent="0.25">
      <c r="A4" s="10" t="s">
        <v>94</v>
      </c>
      <c r="B4" s="15">
        <v>8488.32</v>
      </c>
      <c r="C4" s="15">
        <v>8716.02</v>
      </c>
      <c r="D4" s="15">
        <v>13463.79</v>
      </c>
      <c r="E4" s="15">
        <v>6733.59</v>
      </c>
      <c r="F4" s="15">
        <v>9992.36</v>
      </c>
      <c r="G4" s="15">
        <v>7510.66</v>
      </c>
      <c r="H4" s="15">
        <v>14070.36</v>
      </c>
      <c r="I4" s="15">
        <v>8846.6</v>
      </c>
      <c r="J4" s="15">
        <v>11224.52</v>
      </c>
      <c r="K4" s="15">
        <v>8037.87</v>
      </c>
      <c r="L4" s="15">
        <v>11628.44</v>
      </c>
      <c r="M4" s="15">
        <v>9513.81</v>
      </c>
      <c r="N4" s="15">
        <v>9840.59</v>
      </c>
      <c r="O4" t="s">
        <v>75</v>
      </c>
    </row>
    <row r="5" spans="1:15" x14ac:dyDescent="0.25">
      <c r="A5" s="10" t="s">
        <v>96</v>
      </c>
      <c r="B5" s="15">
        <v>2433.17</v>
      </c>
      <c r="C5" s="15">
        <v>2198.6799999999998</v>
      </c>
      <c r="D5" s="15">
        <v>2235.91</v>
      </c>
      <c r="E5" s="15">
        <v>2333.42</v>
      </c>
      <c r="F5" s="15">
        <v>2421.9499999999998</v>
      </c>
      <c r="G5" s="15">
        <v>4269.53</v>
      </c>
      <c r="H5" s="15">
        <v>1705.08</v>
      </c>
      <c r="I5" s="15">
        <v>2467.1999999999998</v>
      </c>
      <c r="J5" s="15">
        <v>2082.7800000000002</v>
      </c>
      <c r="K5" s="15">
        <v>2385.11</v>
      </c>
      <c r="L5" s="15">
        <v>364.15</v>
      </c>
      <c r="M5" s="15">
        <v>0</v>
      </c>
      <c r="N5" s="15">
        <v>2108.65</v>
      </c>
      <c r="O5" t="s">
        <v>75</v>
      </c>
    </row>
    <row r="6" spans="1:15" x14ac:dyDescent="0.25">
      <c r="A6" s="10" t="s">
        <v>104</v>
      </c>
      <c r="B6" s="15">
        <v>3304.03</v>
      </c>
      <c r="C6" s="15">
        <v>1581.87</v>
      </c>
      <c r="D6" s="15">
        <v>2182.6</v>
      </c>
      <c r="E6" s="15">
        <v>2157.1</v>
      </c>
      <c r="F6" s="15">
        <v>2201.9499999999998</v>
      </c>
      <c r="G6" s="15">
        <v>2157.1</v>
      </c>
      <c r="H6" s="15">
        <v>3009.37</v>
      </c>
      <c r="I6" s="15">
        <v>2845.6</v>
      </c>
      <c r="J6" s="15">
        <v>2395.6</v>
      </c>
      <c r="K6" s="15">
        <v>2395.6</v>
      </c>
      <c r="L6" s="15">
        <v>2765.54</v>
      </c>
      <c r="M6" s="15">
        <v>6480.41</v>
      </c>
      <c r="N6" s="15">
        <v>2783.8</v>
      </c>
      <c r="O6" t="s">
        <v>75</v>
      </c>
    </row>
    <row r="7" spans="1:15" x14ac:dyDescent="0.25">
      <c r="A7" s="10" t="s">
        <v>106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3449.37</v>
      </c>
      <c r="N7" s="15">
        <v>287.45</v>
      </c>
      <c r="O7" t="s">
        <v>75</v>
      </c>
    </row>
    <row r="8" spans="1:15" x14ac:dyDescent="0.25">
      <c r="A8" s="10" t="s">
        <v>108</v>
      </c>
      <c r="B8" s="15">
        <v>1101</v>
      </c>
      <c r="C8" s="15">
        <v>1101</v>
      </c>
      <c r="D8" s="15">
        <v>1101.6099999999999</v>
      </c>
      <c r="E8" s="15">
        <v>1182.19</v>
      </c>
      <c r="F8" s="15">
        <v>1101</v>
      </c>
      <c r="G8" s="15">
        <v>1188.68</v>
      </c>
      <c r="H8" s="15">
        <v>1644.46</v>
      </c>
      <c r="I8" s="15">
        <v>1559.04</v>
      </c>
      <c r="J8" s="15">
        <v>1406.08</v>
      </c>
      <c r="K8" s="15">
        <v>1225</v>
      </c>
      <c r="L8" s="15">
        <v>1633.7</v>
      </c>
      <c r="M8" s="15">
        <v>1354.2</v>
      </c>
      <c r="N8" s="15">
        <v>1322.85</v>
      </c>
      <c r="O8" t="s">
        <v>75</v>
      </c>
    </row>
    <row r="9" spans="1:15" x14ac:dyDescent="0.25">
      <c r="A9" s="10" t="s">
        <v>110</v>
      </c>
      <c r="B9" s="15">
        <v>4409.53</v>
      </c>
      <c r="C9" s="15">
        <v>4771.08</v>
      </c>
      <c r="D9" s="15">
        <v>6940.6</v>
      </c>
      <c r="E9" s="15">
        <v>4376.04</v>
      </c>
      <c r="F9" s="15">
        <v>4401.3500000000004</v>
      </c>
      <c r="G9" s="15">
        <v>4376.04</v>
      </c>
      <c r="H9" s="15">
        <v>6250.42</v>
      </c>
      <c r="I9" s="15">
        <v>5454.4</v>
      </c>
      <c r="J9" s="15">
        <v>4955.7299999999996</v>
      </c>
      <c r="K9" s="15">
        <v>4925.2700000000004</v>
      </c>
      <c r="L9" s="15">
        <v>4895.99</v>
      </c>
      <c r="M9" s="15">
        <v>6819.33</v>
      </c>
      <c r="N9" s="15">
        <v>5015.7299999999996</v>
      </c>
      <c r="O9" t="s">
        <v>75</v>
      </c>
    </row>
    <row r="10" spans="1:15" x14ac:dyDescent="0.25">
      <c r="A10" s="10" t="s">
        <v>112</v>
      </c>
      <c r="B10" s="15">
        <v>1448.06</v>
      </c>
      <c r="C10" s="15">
        <v>1441.36</v>
      </c>
      <c r="D10" s="15">
        <v>1454.73</v>
      </c>
      <c r="E10" s="15">
        <v>1423.71</v>
      </c>
      <c r="F10" s="15">
        <v>1376.95</v>
      </c>
      <c r="G10" s="15">
        <v>1372.16</v>
      </c>
      <c r="H10" s="15">
        <v>1865.18</v>
      </c>
      <c r="I10" s="15">
        <v>1812.83</v>
      </c>
      <c r="J10" s="15">
        <v>1526.33</v>
      </c>
      <c r="K10" s="15">
        <v>1525.18</v>
      </c>
      <c r="L10" s="15">
        <v>1521.01</v>
      </c>
      <c r="M10" s="15">
        <v>1770.24</v>
      </c>
      <c r="N10" s="15">
        <v>1573.68</v>
      </c>
      <c r="O10" t="s">
        <v>75</v>
      </c>
    </row>
    <row r="11" spans="1:15" x14ac:dyDescent="0.25">
      <c r="A11" s="10" t="s">
        <v>114</v>
      </c>
      <c r="B11" s="15">
        <v>0</v>
      </c>
      <c r="C11" s="15">
        <v>0</v>
      </c>
      <c r="D11" s="15">
        <v>0</v>
      </c>
      <c r="E11" s="15">
        <v>0</v>
      </c>
      <c r="F11" s="15">
        <v>673.2</v>
      </c>
      <c r="G11" s="15">
        <v>918</v>
      </c>
      <c r="H11" s="15">
        <v>1119.48</v>
      </c>
      <c r="I11" s="15">
        <v>1119.48</v>
      </c>
      <c r="J11" s="15">
        <v>1020</v>
      </c>
      <c r="K11" s="15">
        <v>1020</v>
      </c>
      <c r="L11" s="15">
        <v>1020</v>
      </c>
      <c r="M11" s="15">
        <v>1020</v>
      </c>
      <c r="N11" s="15">
        <v>680</v>
      </c>
      <c r="O11" t="s">
        <v>75</v>
      </c>
    </row>
    <row r="12" spans="1:15" x14ac:dyDescent="0.25">
      <c r="A12" s="10" t="s">
        <v>116</v>
      </c>
      <c r="B12" s="15">
        <v>157.59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76.5</v>
      </c>
      <c r="O12" t="s">
        <v>75</v>
      </c>
    </row>
    <row r="13" spans="1:15" x14ac:dyDescent="0.25">
      <c r="A13" s="10" t="s">
        <v>118</v>
      </c>
      <c r="B13" s="15">
        <v>1921.45</v>
      </c>
      <c r="C13" s="15">
        <v>1816</v>
      </c>
      <c r="D13" s="15">
        <v>2134.75</v>
      </c>
      <c r="E13" s="15">
        <v>2255.0100000000002</v>
      </c>
      <c r="F13" s="15">
        <v>1892.68</v>
      </c>
      <c r="G13" s="15">
        <v>1973.69</v>
      </c>
      <c r="H13" s="15">
        <v>5209.8900000000003</v>
      </c>
      <c r="I13" s="15">
        <v>1094.5</v>
      </c>
      <c r="J13" s="15">
        <v>2281.5500000000002</v>
      </c>
      <c r="K13" s="15">
        <v>2279.06</v>
      </c>
      <c r="L13" s="15">
        <v>2591.86</v>
      </c>
      <c r="M13" s="15">
        <v>2273.39</v>
      </c>
      <c r="N13" s="15">
        <v>2345.69</v>
      </c>
      <c r="O13" t="s">
        <v>75</v>
      </c>
    </row>
    <row r="14" spans="1:15" x14ac:dyDescent="0.25">
      <c r="A14" s="10" t="s">
        <v>120</v>
      </c>
      <c r="B14" s="15">
        <v>887.56</v>
      </c>
      <c r="C14" s="15">
        <v>1271.73</v>
      </c>
      <c r="D14" s="15">
        <v>1310.07</v>
      </c>
      <c r="E14" s="15">
        <v>1253.76</v>
      </c>
      <c r="F14" s="15">
        <v>1219.6199999999999</v>
      </c>
      <c r="G14" s="15">
        <v>1221.53</v>
      </c>
      <c r="H14" s="15">
        <v>1645.32</v>
      </c>
      <c r="I14" s="15">
        <v>1608.72</v>
      </c>
      <c r="J14" s="15">
        <v>1350.45</v>
      </c>
      <c r="K14" s="15">
        <v>1340.87</v>
      </c>
      <c r="L14" s="15">
        <v>2145.21</v>
      </c>
      <c r="M14" s="15">
        <v>1054.27</v>
      </c>
      <c r="N14" s="15">
        <v>1367.91</v>
      </c>
      <c r="O14" t="s">
        <v>75</v>
      </c>
    </row>
    <row r="15" spans="1:15" x14ac:dyDescent="0.25">
      <c r="A15" s="10" t="s">
        <v>122</v>
      </c>
      <c r="B15" s="15">
        <v>2865.69</v>
      </c>
      <c r="C15" s="15">
        <v>2679.18</v>
      </c>
      <c r="D15" s="15">
        <v>3603.72</v>
      </c>
      <c r="E15" s="15">
        <v>2509.84</v>
      </c>
      <c r="F15" s="15">
        <v>2529.6799999999998</v>
      </c>
      <c r="G15" s="15">
        <v>2526.89</v>
      </c>
      <c r="H15" s="15">
        <v>3588.09</v>
      </c>
      <c r="I15" s="15">
        <v>3267.24</v>
      </c>
      <c r="J15" s="15">
        <v>2832.87</v>
      </c>
      <c r="K15" s="15">
        <v>2834.31</v>
      </c>
      <c r="L15" s="15">
        <v>2832.11</v>
      </c>
      <c r="M15" s="15">
        <v>3308.32</v>
      </c>
      <c r="N15" s="15">
        <v>2913.13</v>
      </c>
      <c r="O15" t="s">
        <v>75</v>
      </c>
    </row>
    <row r="16" spans="1:15" x14ac:dyDescent="0.25">
      <c r="A16" s="10" t="s">
        <v>124</v>
      </c>
      <c r="B16" s="15">
        <v>1072.54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331.34</v>
      </c>
      <c r="O16" t="s">
        <v>75</v>
      </c>
    </row>
    <row r="17" spans="1:15" x14ac:dyDescent="0.25">
      <c r="A17" s="10" t="s">
        <v>126</v>
      </c>
      <c r="B17" s="15">
        <v>2432</v>
      </c>
      <c r="C17" s="15">
        <v>2432</v>
      </c>
      <c r="D17" s="15">
        <v>2720.47</v>
      </c>
      <c r="E17" s="15">
        <v>972.8</v>
      </c>
      <c r="F17" s="15">
        <v>0</v>
      </c>
      <c r="G17" s="15">
        <v>0</v>
      </c>
      <c r="H17" s="15">
        <v>0</v>
      </c>
      <c r="I17" s="15">
        <v>663.46</v>
      </c>
      <c r="J17" s="15">
        <v>0</v>
      </c>
      <c r="K17" s="15">
        <v>0</v>
      </c>
      <c r="L17" s="15">
        <v>0</v>
      </c>
      <c r="M17" s="15">
        <v>0</v>
      </c>
      <c r="N17" s="15">
        <v>926.6</v>
      </c>
      <c r="O17" t="s">
        <v>75</v>
      </c>
    </row>
    <row r="18" spans="1:15" x14ac:dyDescent="0.25">
      <c r="A18" s="10" t="s">
        <v>128</v>
      </c>
      <c r="B18" s="15">
        <v>947.32</v>
      </c>
      <c r="C18" s="15">
        <v>1870.48</v>
      </c>
      <c r="D18" s="15">
        <v>2135.0500000000002</v>
      </c>
      <c r="E18" s="15">
        <v>1870.48</v>
      </c>
      <c r="F18" s="15">
        <v>2193.2600000000002</v>
      </c>
      <c r="G18" s="15">
        <v>1870.48</v>
      </c>
      <c r="H18" s="15">
        <v>2769.26</v>
      </c>
      <c r="I18" s="15">
        <v>2479.5100000000002</v>
      </c>
      <c r="J18" s="15">
        <v>2213.11</v>
      </c>
      <c r="K18" s="15">
        <v>2077.5100000000002</v>
      </c>
      <c r="L18" s="15">
        <v>2113.16</v>
      </c>
      <c r="M18" s="15">
        <v>4204.3900000000003</v>
      </c>
      <c r="N18" s="15">
        <v>2199.5300000000002</v>
      </c>
      <c r="O18" t="s">
        <v>75</v>
      </c>
    </row>
    <row r="19" spans="1:15" x14ac:dyDescent="0.25">
      <c r="A19" s="10" t="s">
        <v>130</v>
      </c>
      <c r="B19" s="15">
        <v>4818.51</v>
      </c>
      <c r="C19" s="15">
        <v>4556.9399999999996</v>
      </c>
      <c r="D19" s="15">
        <v>4729.24</v>
      </c>
      <c r="E19" s="15">
        <v>4556.9399999999996</v>
      </c>
      <c r="F19" s="15">
        <v>4876.3500000000004</v>
      </c>
      <c r="G19" s="15">
        <v>6624.55</v>
      </c>
      <c r="H19" s="15">
        <v>6419.17</v>
      </c>
      <c r="I19" s="15">
        <v>5870.7</v>
      </c>
      <c r="J19" s="15">
        <v>5440.51</v>
      </c>
      <c r="K19" s="15">
        <v>5061.5</v>
      </c>
      <c r="L19" s="15">
        <v>5531.03</v>
      </c>
      <c r="M19" s="15">
        <v>5061.5</v>
      </c>
      <c r="N19" s="15">
        <v>5231.03</v>
      </c>
      <c r="O19" t="s">
        <v>75</v>
      </c>
    </row>
    <row r="20" spans="1:15" x14ac:dyDescent="0.25">
      <c r="A20" s="10" t="s">
        <v>132</v>
      </c>
      <c r="B20" s="15">
        <v>2057.7399999999998</v>
      </c>
      <c r="C20" s="15">
        <v>2403.36</v>
      </c>
      <c r="D20" s="15">
        <v>2293.94</v>
      </c>
      <c r="E20" s="15">
        <v>2284.54</v>
      </c>
      <c r="F20" s="15">
        <v>3008.37</v>
      </c>
      <c r="G20" s="15">
        <v>2933.18</v>
      </c>
      <c r="H20" s="15">
        <v>4056.28</v>
      </c>
      <c r="I20" s="15">
        <v>3029.92</v>
      </c>
      <c r="J20" s="15">
        <v>2986.58</v>
      </c>
      <c r="K20" s="15">
        <v>2537.92</v>
      </c>
      <c r="L20" s="15">
        <v>2537.92</v>
      </c>
      <c r="M20" s="15">
        <v>5184.17</v>
      </c>
      <c r="N20" s="15">
        <v>2834.7</v>
      </c>
      <c r="O20" t="s">
        <v>75</v>
      </c>
    </row>
    <row r="21" spans="1:15" x14ac:dyDescent="0.25">
      <c r="A21" s="10" t="s">
        <v>134</v>
      </c>
      <c r="B21" s="15">
        <v>5074.47</v>
      </c>
      <c r="C21" s="15">
        <v>50.3</v>
      </c>
      <c r="D21" s="15">
        <v>1492.76</v>
      </c>
      <c r="E21" s="15">
        <v>1509</v>
      </c>
      <c r="F21" s="15">
        <v>1509</v>
      </c>
      <c r="G21" s="15">
        <v>1509</v>
      </c>
      <c r="H21" s="15">
        <v>2294.0100000000002</v>
      </c>
      <c r="I21" s="15">
        <v>2007.22</v>
      </c>
      <c r="J21" s="15">
        <v>1676</v>
      </c>
      <c r="K21" s="15">
        <v>1726.28</v>
      </c>
      <c r="L21" s="15">
        <v>1903.98</v>
      </c>
      <c r="M21" s="15">
        <v>2644.15</v>
      </c>
      <c r="N21" s="15">
        <v>1769.09</v>
      </c>
      <c r="O21" t="s">
        <v>75</v>
      </c>
    </row>
    <row r="22" spans="1:15" x14ac:dyDescent="0.25">
      <c r="A22" s="10" t="s">
        <v>136</v>
      </c>
      <c r="B22" s="15">
        <v>918</v>
      </c>
      <c r="C22" s="15">
        <v>918</v>
      </c>
      <c r="D22" s="15">
        <v>673.2</v>
      </c>
      <c r="E22" s="15">
        <v>0</v>
      </c>
      <c r="F22" s="15">
        <v>0</v>
      </c>
      <c r="G22" s="15">
        <v>0</v>
      </c>
      <c r="H22" s="15">
        <v>0</v>
      </c>
      <c r="I22" s="15">
        <v>227.09</v>
      </c>
      <c r="J22" s="15">
        <v>0</v>
      </c>
      <c r="K22" s="15">
        <v>0</v>
      </c>
      <c r="L22" s="15">
        <v>0</v>
      </c>
      <c r="M22" s="15">
        <v>0</v>
      </c>
      <c r="N22" s="15">
        <v>340</v>
      </c>
      <c r="O22" t="s">
        <v>75</v>
      </c>
    </row>
    <row r="23" spans="1:15" x14ac:dyDescent="0.25">
      <c r="A23" s="10" t="s">
        <v>138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4920.53</v>
      </c>
      <c r="L23" s="15">
        <v>5272</v>
      </c>
      <c r="M23" s="15">
        <v>5272</v>
      </c>
      <c r="N23" s="15">
        <v>1318</v>
      </c>
      <c r="O23" t="s">
        <v>75</v>
      </c>
    </row>
    <row r="24" spans="1:15" x14ac:dyDescent="0.25">
      <c r="A24" s="10" t="s">
        <v>140</v>
      </c>
      <c r="B24" s="15">
        <v>1845.9</v>
      </c>
      <c r="C24" s="15">
        <v>1865.49</v>
      </c>
      <c r="D24" s="15">
        <v>1816.09</v>
      </c>
      <c r="E24" s="15">
        <v>4191.2700000000004</v>
      </c>
      <c r="F24" s="15">
        <v>916.29</v>
      </c>
      <c r="G24" s="15">
        <v>1777.86</v>
      </c>
      <c r="H24" s="15">
        <v>2636.8</v>
      </c>
      <c r="I24" s="15">
        <v>2235.17</v>
      </c>
      <c r="J24" s="15">
        <v>1968.28</v>
      </c>
      <c r="K24" s="15">
        <v>2012.37</v>
      </c>
      <c r="L24" s="15">
        <v>2017.41</v>
      </c>
      <c r="M24" s="15">
        <v>2028.1</v>
      </c>
      <c r="N24" s="15">
        <v>2054.46</v>
      </c>
      <c r="O24" t="s">
        <v>75</v>
      </c>
    </row>
    <row r="25" spans="1:15" x14ac:dyDescent="0.25">
      <c r="A25" s="10" t="s">
        <v>142</v>
      </c>
      <c r="B25" s="15">
        <v>2020.69</v>
      </c>
      <c r="C25" s="15">
        <v>1747</v>
      </c>
      <c r="D25" s="15">
        <v>1971.92</v>
      </c>
      <c r="E25" s="15">
        <v>1747</v>
      </c>
      <c r="F25" s="15">
        <v>1901.5</v>
      </c>
      <c r="G25" s="15">
        <v>1747</v>
      </c>
      <c r="H25" s="15">
        <v>2454.5500000000002</v>
      </c>
      <c r="I25" s="15">
        <v>2326</v>
      </c>
      <c r="J25" s="15">
        <v>1940</v>
      </c>
      <c r="K25" s="15">
        <v>1940</v>
      </c>
      <c r="L25" s="15">
        <v>1940</v>
      </c>
      <c r="M25" s="15">
        <v>1940</v>
      </c>
      <c r="N25" s="15">
        <v>2010.05</v>
      </c>
      <c r="O25" t="s">
        <v>75</v>
      </c>
    </row>
    <row r="26" spans="1:15" x14ac:dyDescent="0.25">
      <c r="A26" s="10" t="s">
        <v>144</v>
      </c>
      <c r="B26" s="15">
        <v>4152.71</v>
      </c>
      <c r="C26" s="15">
        <v>117.31</v>
      </c>
      <c r="D26" s="15">
        <v>1480.74</v>
      </c>
      <c r="E26" s="15">
        <v>1551.94</v>
      </c>
      <c r="F26" s="15">
        <v>1503.4</v>
      </c>
      <c r="G26" s="15">
        <v>1505.32</v>
      </c>
      <c r="H26" s="15">
        <v>2186.8000000000002</v>
      </c>
      <c r="I26" s="15">
        <v>1956.71</v>
      </c>
      <c r="J26" s="15">
        <v>1740.41</v>
      </c>
      <c r="K26" s="15">
        <v>1676.59</v>
      </c>
      <c r="L26" s="15">
        <v>1892.47</v>
      </c>
      <c r="M26" s="15">
        <v>1670.32</v>
      </c>
      <c r="N26" s="15">
        <v>1730.84</v>
      </c>
      <c r="O26" t="s">
        <v>75</v>
      </c>
    </row>
    <row r="27" spans="1:15" x14ac:dyDescent="0.25">
      <c r="A27" s="10" t="s">
        <v>146</v>
      </c>
      <c r="B27" s="15">
        <v>1454.06</v>
      </c>
      <c r="C27" s="15">
        <v>1390</v>
      </c>
      <c r="D27" s="15">
        <v>46.33</v>
      </c>
      <c r="E27" s="15">
        <v>278</v>
      </c>
      <c r="F27" s="15">
        <v>1545.98</v>
      </c>
      <c r="G27" s="15">
        <v>1390</v>
      </c>
      <c r="H27" s="15">
        <v>2078.66</v>
      </c>
      <c r="I27" s="15">
        <v>1716.42</v>
      </c>
      <c r="J27" s="15">
        <v>1759.76</v>
      </c>
      <c r="K27" s="15">
        <v>1544</v>
      </c>
      <c r="L27" s="15">
        <v>1828.55</v>
      </c>
      <c r="M27" s="15">
        <v>3738.33</v>
      </c>
      <c r="N27" s="15">
        <v>1370.25</v>
      </c>
      <c r="O27" t="s">
        <v>75</v>
      </c>
    </row>
    <row r="28" spans="1:15" x14ac:dyDescent="0.25">
      <c r="A28" s="10" t="s">
        <v>148</v>
      </c>
      <c r="B28" s="15">
        <v>1321</v>
      </c>
      <c r="C28" s="15">
        <v>1321</v>
      </c>
      <c r="D28" s="15">
        <v>1321</v>
      </c>
      <c r="E28" s="15">
        <v>1321</v>
      </c>
      <c r="F28" s="15">
        <v>1321</v>
      </c>
      <c r="G28" s="15">
        <v>1321</v>
      </c>
      <c r="H28" s="15">
        <v>3962.14</v>
      </c>
      <c r="I28" s="15">
        <v>292</v>
      </c>
      <c r="J28" s="15">
        <v>1467</v>
      </c>
      <c r="K28" s="15">
        <v>1467</v>
      </c>
      <c r="L28" s="15">
        <v>1676.3</v>
      </c>
      <c r="M28" s="15">
        <v>1467</v>
      </c>
      <c r="N28" s="15">
        <v>1495.74</v>
      </c>
      <c r="O28" t="s">
        <v>75</v>
      </c>
    </row>
    <row r="29" spans="1:15" x14ac:dyDescent="0.25">
      <c r="A29" s="10" t="s">
        <v>150</v>
      </c>
      <c r="B29" s="15">
        <v>1853.29</v>
      </c>
      <c r="C29" s="15">
        <v>1747</v>
      </c>
      <c r="D29" s="15">
        <v>1830.38</v>
      </c>
      <c r="E29" s="15">
        <v>1747</v>
      </c>
      <c r="F29" s="15">
        <v>1985.54</v>
      </c>
      <c r="G29" s="15">
        <v>1747</v>
      </c>
      <c r="H29" s="15">
        <v>2427.73</v>
      </c>
      <c r="I29" s="15">
        <v>2326</v>
      </c>
      <c r="J29" s="15">
        <v>2217.0300000000002</v>
      </c>
      <c r="K29" s="15">
        <v>1940</v>
      </c>
      <c r="L29" s="15">
        <v>2193.91</v>
      </c>
      <c r="M29" s="15">
        <v>2481.15</v>
      </c>
      <c r="N29" s="15">
        <v>2031.61</v>
      </c>
      <c r="O29" t="s">
        <v>75</v>
      </c>
    </row>
    <row r="30" spans="1:15" x14ac:dyDescent="0.25">
      <c r="A30" s="10" t="s">
        <v>152</v>
      </c>
      <c r="B30" s="15">
        <v>1111.29</v>
      </c>
      <c r="C30" s="15">
        <v>1322</v>
      </c>
      <c r="D30" s="15">
        <v>1322</v>
      </c>
      <c r="E30" s="15">
        <v>1322</v>
      </c>
      <c r="F30" s="15">
        <v>1322</v>
      </c>
      <c r="G30" s="15">
        <v>1322</v>
      </c>
      <c r="H30" s="15">
        <v>1760</v>
      </c>
      <c r="I30" s="15">
        <v>1760</v>
      </c>
      <c r="J30" s="15">
        <v>1468</v>
      </c>
      <c r="K30" s="15">
        <v>1468</v>
      </c>
      <c r="L30" s="15">
        <v>1468</v>
      </c>
      <c r="M30" s="15">
        <v>2105.29</v>
      </c>
      <c r="N30" s="15">
        <v>1468.87</v>
      </c>
      <c r="O30" t="s">
        <v>75</v>
      </c>
    </row>
    <row r="31" spans="1:15" x14ac:dyDescent="0.25">
      <c r="A31" s="10" t="s">
        <v>154</v>
      </c>
      <c r="B31" s="15">
        <v>1656.41</v>
      </c>
      <c r="C31" s="15">
        <v>3504.53</v>
      </c>
      <c r="D31" s="15">
        <v>694.5</v>
      </c>
      <c r="E31" s="15">
        <v>1067.7</v>
      </c>
      <c r="F31" s="15">
        <v>0</v>
      </c>
      <c r="G31" s="15">
        <v>0</v>
      </c>
      <c r="H31" s="15">
        <v>0</v>
      </c>
      <c r="I31" s="15">
        <v>307.77</v>
      </c>
      <c r="J31" s="15">
        <v>0</v>
      </c>
      <c r="K31" s="15">
        <v>0</v>
      </c>
      <c r="L31" s="15">
        <v>0</v>
      </c>
      <c r="M31" s="15">
        <v>0</v>
      </c>
      <c r="N31" s="15">
        <v>712.5</v>
      </c>
      <c r="O31" t="s">
        <v>75</v>
      </c>
    </row>
    <row r="32" spans="1:15" x14ac:dyDescent="0.25">
      <c r="A32" s="10" t="s">
        <v>156</v>
      </c>
      <c r="B32" s="15">
        <v>3492.7</v>
      </c>
      <c r="C32" s="15">
        <v>3492.7</v>
      </c>
      <c r="D32" s="15">
        <v>3492.7</v>
      </c>
      <c r="E32" s="15">
        <v>3492.7</v>
      </c>
      <c r="F32" s="15">
        <v>3492.7</v>
      </c>
      <c r="G32" s="15">
        <v>3492.7</v>
      </c>
      <c r="H32" s="15">
        <v>4697.2</v>
      </c>
      <c r="I32" s="15">
        <v>7773.03</v>
      </c>
      <c r="J32" s="15">
        <v>1859.34</v>
      </c>
      <c r="K32" s="15">
        <v>3879.6</v>
      </c>
      <c r="L32" s="15">
        <v>4192.82</v>
      </c>
      <c r="M32" s="15">
        <v>3879.6</v>
      </c>
      <c r="N32" s="15">
        <v>3922.54</v>
      </c>
      <c r="O32" t="s">
        <v>75</v>
      </c>
    </row>
    <row r="33" spans="1:15" x14ac:dyDescent="0.25">
      <c r="A33" s="10" t="s">
        <v>158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14033</v>
      </c>
      <c r="J33" s="15">
        <v>17151.439999999999</v>
      </c>
      <c r="K33" s="15">
        <v>14033</v>
      </c>
      <c r="L33" s="15">
        <v>14033</v>
      </c>
      <c r="M33" s="15">
        <v>14033</v>
      </c>
      <c r="N33" s="15">
        <v>14033</v>
      </c>
      <c r="O33" t="s">
        <v>75</v>
      </c>
    </row>
    <row r="34" spans="1:15" x14ac:dyDescent="0.25">
      <c r="A34" s="10" t="s">
        <v>160</v>
      </c>
      <c r="B34" s="15">
        <v>767.43</v>
      </c>
      <c r="C34" s="15">
        <v>1771</v>
      </c>
      <c r="D34" s="15">
        <v>1771.49</v>
      </c>
      <c r="E34" s="15">
        <v>1865</v>
      </c>
      <c r="F34" s="15">
        <v>1865</v>
      </c>
      <c r="G34" s="15">
        <v>1865</v>
      </c>
      <c r="H34" s="15">
        <v>2530.08</v>
      </c>
      <c r="I34" s="15">
        <v>2530</v>
      </c>
      <c r="J34" s="15">
        <v>2176.8200000000002</v>
      </c>
      <c r="K34" s="15">
        <v>2071</v>
      </c>
      <c r="L34" s="15">
        <v>2090</v>
      </c>
      <c r="M34" s="15">
        <v>2071</v>
      </c>
      <c r="N34" s="15">
        <v>1908.88</v>
      </c>
      <c r="O34" t="s">
        <v>75</v>
      </c>
    </row>
    <row r="35" spans="1:15" x14ac:dyDescent="0.25">
      <c r="A35" s="10" t="s">
        <v>162</v>
      </c>
      <c r="B35" s="15">
        <v>1715.26</v>
      </c>
      <c r="C35" s="15">
        <v>1637.61</v>
      </c>
      <c r="D35" s="15">
        <v>1622.55</v>
      </c>
      <c r="E35" s="15">
        <v>1617.73</v>
      </c>
      <c r="F35" s="15">
        <v>1560.95</v>
      </c>
      <c r="G35" s="15">
        <v>1567.47</v>
      </c>
      <c r="H35" s="15">
        <v>2111.1799999999998</v>
      </c>
      <c r="I35" s="15">
        <v>2054.7199999999998</v>
      </c>
      <c r="J35" s="15">
        <v>4116.13</v>
      </c>
      <c r="K35" s="15">
        <v>79.97</v>
      </c>
      <c r="L35" s="15">
        <v>1638.58</v>
      </c>
      <c r="M35" s="15">
        <v>1725.61</v>
      </c>
      <c r="N35" s="15">
        <v>1753.1</v>
      </c>
      <c r="O35" t="s">
        <v>75</v>
      </c>
    </row>
    <row r="36" spans="1:15" x14ac:dyDescent="0.25">
      <c r="A36" s="10" t="s">
        <v>164</v>
      </c>
      <c r="B36" s="15">
        <v>1759.39</v>
      </c>
      <c r="C36" s="15">
        <v>3227.97</v>
      </c>
      <c r="D36" s="15">
        <v>4201.66</v>
      </c>
      <c r="E36" s="15">
        <v>3358.45</v>
      </c>
      <c r="F36" s="15">
        <v>4966.99</v>
      </c>
      <c r="G36" s="15">
        <v>2280.7399999999998</v>
      </c>
      <c r="H36" s="15">
        <v>4272.5</v>
      </c>
      <c r="I36" s="15">
        <v>3709.46</v>
      </c>
      <c r="J36" s="15">
        <v>5442.04</v>
      </c>
      <c r="K36" s="15">
        <v>2510.41</v>
      </c>
      <c r="L36" s="15">
        <v>3734.62</v>
      </c>
      <c r="M36" s="15">
        <v>3470.12</v>
      </c>
      <c r="N36" s="15">
        <v>4244.33</v>
      </c>
      <c r="O36" t="s">
        <v>75</v>
      </c>
    </row>
    <row r="37" spans="1:15" x14ac:dyDescent="0.25">
      <c r="A37" s="10" t="s">
        <v>166</v>
      </c>
      <c r="B37" s="15">
        <v>1321</v>
      </c>
      <c r="C37" s="15">
        <v>1321</v>
      </c>
      <c r="D37" s="15">
        <v>1321</v>
      </c>
      <c r="E37" s="15">
        <v>1321</v>
      </c>
      <c r="F37" s="15">
        <v>1321</v>
      </c>
      <c r="G37" s="15">
        <v>1418.7</v>
      </c>
      <c r="H37" s="15">
        <v>1769.8</v>
      </c>
      <c r="I37" s="15">
        <v>1759</v>
      </c>
      <c r="J37" s="15">
        <v>1467</v>
      </c>
      <c r="K37" s="15">
        <v>1467</v>
      </c>
      <c r="L37" s="15">
        <v>1467</v>
      </c>
      <c r="M37" s="15">
        <v>3752.29</v>
      </c>
      <c r="N37" s="15">
        <v>1496.93</v>
      </c>
      <c r="O37" t="s">
        <v>75</v>
      </c>
    </row>
    <row r="38" spans="1:15" x14ac:dyDescent="0.25">
      <c r="A38" s="10" t="s">
        <v>168</v>
      </c>
      <c r="B38" s="15">
        <v>1435.66</v>
      </c>
      <c r="C38" s="15">
        <v>1451.26</v>
      </c>
      <c r="D38" s="15">
        <v>1449.01</v>
      </c>
      <c r="E38" s="15">
        <v>1422.27</v>
      </c>
      <c r="F38" s="15">
        <v>1312.63</v>
      </c>
      <c r="G38" s="15">
        <v>1372.34</v>
      </c>
      <c r="H38" s="15">
        <v>1844.94</v>
      </c>
      <c r="I38" s="15">
        <v>1370.58</v>
      </c>
      <c r="J38" s="15">
        <v>0</v>
      </c>
      <c r="K38" s="15">
        <v>0</v>
      </c>
      <c r="L38" s="15">
        <v>0</v>
      </c>
      <c r="M38" s="15">
        <v>0</v>
      </c>
      <c r="N38" s="15">
        <v>1171.07</v>
      </c>
      <c r="O38" t="s">
        <v>75</v>
      </c>
    </row>
    <row r="39" spans="1:15" x14ac:dyDescent="0.25">
      <c r="A39" s="10" t="s">
        <v>170</v>
      </c>
      <c r="B39" s="15">
        <v>1980.91</v>
      </c>
      <c r="C39" s="15">
        <v>1902.37</v>
      </c>
      <c r="D39" s="15">
        <v>1963.13</v>
      </c>
      <c r="E39" s="15">
        <v>4608.4799999999996</v>
      </c>
      <c r="F39" s="15">
        <v>32.44</v>
      </c>
      <c r="G39" s="15">
        <v>1776.76</v>
      </c>
      <c r="H39" s="15">
        <v>2594.2600000000002</v>
      </c>
      <c r="I39" s="15">
        <v>2261.42</v>
      </c>
      <c r="J39" s="15">
        <v>1967</v>
      </c>
      <c r="K39" s="15">
        <v>2799</v>
      </c>
      <c r="L39" s="15">
        <v>2120.4899999999998</v>
      </c>
      <c r="M39" s="15">
        <v>2071</v>
      </c>
      <c r="N39" s="15">
        <v>2144.7800000000002</v>
      </c>
      <c r="O39" t="s">
        <v>75</v>
      </c>
    </row>
    <row r="40" spans="1:15" x14ac:dyDescent="0.25">
      <c r="A40" s="10" t="s">
        <v>172</v>
      </c>
      <c r="B40" s="15">
        <v>1301.06</v>
      </c>
      <c r="C40" s="15">
        <v>1045</v>
      </c>
      <c r="D40" s="15">
        <v>1388.81</v>
      </c>
      <c r="E40" s="15">
        <v>1048.8499999999999</v>
      </c>
      <c r="F40" s="15">
        <v>1200.6199999999999</v>
      </c>
      <c r="G40" s="15">
        <v>1801.68</v>
      </c>
      <c r="H40" s="15">
        <v>1589.59</v>
      </c>
      <c r="I40" s="15">
        <v>1364.9</v>
      </c>
      <c r="J40" s="15">
        <v>1161</v>
      </c>
      <c r="K40" s="15">
        <v>1161</v>
      </c>
      <c r="L40" s="15">
        <v>1161</v>
      </c>
      <c r="M40" s="15">
        <v>1261.43</v>
      </c>
      <c r="N40" s="15">
        <v>1258.6099999999999</v>
      </c>
      <c r="O40" t="s">
        <v>75</v>
      </c>
    </row>
    <row r="41" spans="1:15" x14ac:dyDescent="0.25">
      <c r="A41" s="10" t="s">
        <v>174</v>
      </c>
      <c r="B41" s="15">
        <v>1322</v>
      </c>
      <c r="C41" s="15">
        <v>1322</v>
      </c>
      <c r="D41" s="15">
        <v>1346.25</v>
      </c>
      <c r="E41" s="15">
        <v>3244.83</v>
      </c>
      <c r="F41" s="15">
        <v>579.97</v>
      </c>
      <c r="G41" s="15">
        <v>1508</v>
      </c>
      <c r="H41" s="15">
        <v>2248.4699999999998</v>
      </c>
      <c r="I41" s="15">
        <v>2046.33</v>
      </c>
      <c r="J41" s="15">
        <v>1675</v>
      </c>
      <c r="K41" s="15">
        <v>1675</v>
      </c>
      <c r="L41" s="15">
        <v>1675</v>
      </c>
      <c r="M41" s="15">
        <v>3569.41</v>
      </c>
      <c r="N41" s="15">
        <v>1705.89</v>
      </c>
      <c r="O41" t="s">
        <v>75</v>
      </c>
    </row>
    <row r="42" spans="1:15" x14ac:dyDescent="0.25">
      <c r="A42" s="10" t="s">
        <v>176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5272</v>
      </c>
      <c r="M42" s="15">
        <v>2460.27</v>
      </c>
      <c r="N42" s="15">
        <v>1318</v>
      </c>
      <c r="O42" t="s">
        <v>75</v>
      </c>
    </row>
    <row r="43" spans="1:15" x14ac:dyDescent="0.25">
      <c r="A43" s="10" t="s">
        <v>178</v>
      </c>
      <c r="B43" s="15">
        <v>1321</v>
      </c>
      <c r="C43" s="15">
        <v>1321</v>
      </c>
      <c r="D43" s="15">
        <v>1327.87</v>
      </c>
      <c r="E43" s="15">
        <v>1323.27</v>
      </c>
      <c r="F43" s="15">
        <v>1837.45</v>
      </c>
      <c r="G43" s="15">
        <v>1452.28</v>
      </c>
      <c r="H43" s="15">
        <v>4084.1</v>
      </c>
      <c r="I43" s="15">
        <v>292</v>
      </c>
      <c r="J43" s="15">
        <v>1467</v>
      </c>
      <c r="K43" s="15">
        <v>1467</v>
      </c>
      <c r="L43" s="15">
        <v>2040.55</v>
      </c>
      <c r="M43" s="15">
        <v>1696.45</v>
      </c>
      <c r="N43" s="15">
        <v>1599.62</v>
      </c>
      <c r="O43" t="s">
        <v>75</v>
      </c>
    </row>
    <row r="44" spans="1:15" x14ac:dyDescent="0.25">
      <c r="A44" s="10" t="s">
        <v>180</v>
      </c>
      <c r="B44" s="15">
        <v>1005.83</v>
      </c>
      <c r="C44" s="15">
        <v>1007.87</v>
      </c>
      <c r="D44" s="15">
        <v>1006.59</v>
      </c>
      <c r="E44" s="15">
        <v>989.3</v>
      </c>
      <c r="F44" s="15">
        <v>944.93</v>
      </c>
      <c r="G44" s="15">
        <v>956.93</v>
      </c>
      <c r="H44" s="15">
        <v>1305.28</v>
      </c>
      <c r="I44" s="15">
        <v>1285.0999999999999</v>
      </c>
      <c r="J44" s="15">
        <v>1061.1099999999999</v>
      </c>
      <c r="K44" s="15">
        <v>1060.75</v>
      </c>
      <c r="L44" s="15">
        <v>1682.51</v>
      </c>
      <c r="M44" s="15">
        <v>827.05</v>
      </c>
      <c r="N44" s="15">
        <v>1073.73</v>
      </c>
      <c r="O44" t="s">
        <v>75</v>
      </c>
    </row>
    <row r="45" spans="1:15" x14ac:dyDescent="0.25">
      <c r="A45" s="10" t="s">
        <v>182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1130.4000000000001</v>
      </c>
      <c r="I45" s="15">
        <v>1256</v>
      </c>
      <c r="J45" s="15">
        <v>1467</v>
      </c>
      <c r="K45" s="15">
        <v>1602.92</v>
      </c>
      <c r="L45" s="15">
        <v>1804.33</v>
      </c>
      <c r="M45" s="15">
        <v>1697.25</v>
      </c>
      <c r="N45" s="15">
        <v>792.13</v>
      </c>
      <c r="O45" t="s">
        <v>75</v>
      </c>
    </row>
    <row r="46" spans="1:15" x14ac:dyDescent="0.25">
      <c r="A46" s="10" t="s">
        <v>184</v>
      </c>
      <c r="B46" s="15">
        <v>2036.31</v>
      </c>
      <c r="C46" s="15">
        <v>3393.85</v>
      </c>
      <c r="D46" s="15">
        <v>4341.82</v>
      </c>
      <c r="E46" s="15">
        <v>3393.85</v>
      </c>
      <c r="F46" s="15">
        <v>3507.51</v>
      </c>
      <c r="G46" s="15">
        <v>3393.85</v>
      </c>
      <c r="H46" s="15">
        <v>4661.2</v>
      </c>
      <c r="I46" s="15">
        <v>4499.8</v>
      </c>
      <c r="J46" s="15">
        <v>4028.06</v>
      </c>
      <c r="K46" s="15">
        <v>3769.8</v>
      </c>
      <c r="L46" s="15">
        <v>4896.24</v>
      </c>
      <c r="M46" s="15">
        <v>3769.8</v>
      </c>
      <c r="N46" s="15">
        <v>3900.78</v>
      </c>
      <c r="O46" t="s">
        <v>75</v>
      </c>
    </row>
    <row r="47" spans="1:15" x14ac:dyDescent="0.25">
      <c r="A47" s="10" t="s">
        <v>186</v>
      </c>
      <c r="B47" s="15">
        <v>1561.98</v>
      </c>
      <c r="C47" s="15">
        <v>1650.17</v>
      </c>
      <c r="D47" s="15">
        <v>1609.18</v>
      </c>
      <c r="E47" s="15">
        <v>1726.51</v>
      </c>
      <c r="F47" s="15">
        <v>1513.15</v>
      </c>
      <c r="G47" s="15">
        <v>1546.7</v>
      </c>
      <c r="H47" s="15">
        <v>2091.3200000000002</v>
      </c>
      <c r="I47" s="15">
        <v>2046.59</v>
      </c>
      <c r="J47" s="15">
        <v>937.23</v>
      </c>
      <c r="K47" s="15">
        <v>0</v>
      </c>
      <c r="L47" s="15">
        <v>0</v>
      </c>
      <c r="M47" s="15">
        <v>0</v>
      </c>
      <c r="N47" s="15">
        <v>1472.56</v>
      </c>
      <c r="O47" t="s">
        <v>75</v>
      </c>
    </row>
    <row r="48" spans="1:15" x14ac:dyDescent="0.25">
      <c r="A48" s="10" t="s">
        <v>188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938.32</v>
      </c>
      <c r="I48" s="15">
        <v>1140.1600000000001</v>
      </c>
      <c r="J48" s="15">
        <v>1058.83</v>
      </c>
      <c r="K48" s="15">
        <v>1053.48</v>
      </c>
      <c r="L48" s="15">
        <v>1056.95</v>
      </c>
      <c r="M48" s="15">
        <v>1054.43</v>
      </c>
      <c r="N48" s="15">
        <v>534.24</v>
      </c>
      <c r="O48" t="s">
        <v>75</v>
      </c>
    </row>
    <row r="49" spans="1:15" x14ac:dyDescent="0.25">
      <c r="A49" s="10" t="s">
        <v>190</v>
      </c>
      <c r="B49" s="15">
        <v>0</v>
      </c>
      <c r="C49" s="15">
        <v>0</v>
      </c>
      <c r="D49" s="15">
        <v>0</v>
      </c>
      <c r="E49" s="15">
        <v>336.6</v>
      </c>
      <c r="F49" s="15">
        <v>1196.45</v>
      </c>
      <c r="G49" s="15">
        <v>918</v>
      </c>
      <c r="H49" s="15">
        <v>1306.05</v>
      </c>
      <c r="I49" s="15">
        <v>1155.82</v>
      </c>
      <c r="J49" s="15">
        <v>1020</v>
      </c>
      <c r="K49" s="15">
        <v>1130.53</v>
      </c>
      <c r="L49" s="15">
        <v>1537.44</v>
      </c>
      <c r="M49" s="15">
        <v>1217.3699999999999</v>
      </c>
      <c r="N49" s="15">
        <v>786.58</v>
      </c>
      <c r="O49" t="s">
        <v>75</v>
      </c>
    </row>
    <row r="50" spans="1:15" x14ac:dyDescent="0.25">
      <c r="A50" s="10" t="s">
        <v>192</v>
      </c>
      <c r="B50" s="15">
        <v>1279.57</v>
      </c>
      <c r="C50" s="15">
        <v>1273.43</v>
      </c>
      <c r="D50" s="15">
        <v>1359.68</v>
      </c>
      <c r="E50" s="15">
        <v>1247.74</v>
      </c>
      <c r="F50" s="15">
        <v>1215.6099999999999</v>
      </c>
      <c r="G50" s="15">
        <v>1219.93</v>
      </c>
      <c r="H50" s="15">
        <v>1652.02</v>
      </c>
      <c r="I50" s="15">
        <v>1607.76</v>
      </c>
      <c r="J50" s="15">
        <v>1353.46</v>
      </c>
      <c r="K50" s="15">
        <v>1348.89</v>
      </c>
      <c r="L50" s="15">
        <v>1350.26</v>
      </c>
      <c r="M50" s="15">
        <v>3265.79</v>
      </c>
      <c r="N50" s="15">
        <v>1382.33</v>
      </c>
      <c r="O50" t="s">
        <v>75</v>
      </c>
    </row>
    <row r="51" spans="1:15" x14ac:dyDescent="0.25">
      <c r="A51" s="10" t="s">
        <v>194</v>
      </c>
      <c r="B51" s="15">
        <v>1975.19</v>
      </c>
      <c r="C51" s="15">
        <v>877.93</v>
      </c>
      <c r="D51" s="15">
        <v>1277.6400000000001</v>
      </c>
      <c r="E51" s="15">
        <v>1241.0899999999999</v>
      </c>
      <c r="F51" s="15">
        <v>1216.33</v>
      </c>
      <c r="G51" s="15">
        <v>1216.94</v>
      </c>
      <c r="H51" s="15">
        <v>1637.59</v>
      </c>
      <c r="I51" s="15">
        <v>1613.6</v>
      </c>
      <c r="J51" s="15">
        <v>1356.3</v>
      </c>
      <c r="K51" s="15">
        <v>1353.62</v>
      </c>
      <c r="L51" s="15">
        <v>1351</v>
      </c>
      <c r="M51" s="15">
        <v>1425.93</v>
      </c>
      <c r="N51" s="15">
        <v>1371.7</v>
      </c>
      <c r="O51" t="s">
        <v>75</v>
      </c>
    </row>
    <row r="52" spans="1:15" x14ac:dyDescent="0.25">
      <c r="A52" s="10" t="s">
        <v>196</v>
      </c>
      <c r="B52" s="15">
        <v>0</v>
      </c>
      <c r="C52" s="15">
        <v>0</v>
      </c>
      <c r="D52" s="15">
        <v>0</v>
      </c>
      <c r="E52" s="15">
        <v>0</v>
      </c>
      <c r="F52" s="15">
        <v>754.74</v>
      </c>
      <c r="G52" s="15">
        <v>918</v>
      </c>
      <c r="H52" s="15">
        <v>1128.55</v>
      </c>
      <c r="I52" s="15">
        <v>1119.48</v>
      </c>
      <c r="J52" s="15">
        <v>1020</v>
      </c>
      <c r="K52" s="15">
        <v>1020</v>
      </c>
      <c r="L52" s="15">
        <v>1020</v>
      </c>
      <c r="M52" s="15">
        <v>1020</v>
      </c>
      <c r="N52" s="15">
        <v>688.16</v>
      </c>
      <c r="O52" t="s">
        <v>75</v>
      </c>
    </row>
    <row r="53" spans="1:15" x14ac:dyDescent="0.25">
      <c r="A53" s="10" t="s">
        <v>198</v>
      </c>
      <c r="B53" s="15">
        <v>0</v>
      </c>
      <c r="C53" s="15">
        <v>0</v>
      </c>
      <c r="D53" s="15">
        <v>0</v>
      </c>
      <c r="E53" s="15">
        <v>336.6</v>
      </c>
      <c r="F53" s="15">
        <v>1230.43</v>
      </c>
      <c r="G53" s="15">
        <v>936.98</v>
      </c>
      <c r="H53" s="15">
        <v>1502.72</v>
      </c>
      <c r="I53" s="15">
        <v>1155.82</v>
      </c>
      <c r="J53" s="15">
        <v>1064.74</v>
      </c>
      <c r="K53" s="15">
        <v>1050.19</v>
      </c>
      <c r="L53" s="15">
        <v>1344.51</v>
      </c>
      <c r="M53" s="15">
        <v>1167.5999999999999</v>
      </c>
      <c r="N53" s="15">
        <v>784.59</v>
      </c>
      <c r="O53" t="s">
        <v>75</v>
      </c>
    </row>
    <row r="54" spans="1:15" x14ac:dyDescent="0.25">
      <c r="A54" s="10" t="s">
        <v>200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77.180000000000007</v>
      </c>
      <c r="O54" t="s">
        <v>75</v>
      </c>
    </row>
    <row r="55" spans="1:15" x14ac:dyDescent="0.25">
      <c r="A55" s="10" t="s">
        <v>202</v>
      </c>
      <c r="B55" s="15">
        <v>2878.03</v>
      </c>
      <c r="C55" s="15">
        <v>2671.86</v>
      </c>
      <c r="D55" s="15">
        <v>3009.56</v>
      </c>
      <c r="E55" s="15">
        <v>2695.1</v>
      </c>
      <c r="F55" s="15">
        <v>2889.15</v>
      </c>
      <c r="G55" s="15">
        <v>2818.99</v>
      </c>
      <c r="H55" s="15">
        <v>3783.77</v>
      </c>
      <c r="I55" s="15">
        <v>5683.71</v>
      </c>
      <c r="J55" s="15">
        <v>1333.98</v>
      </c>
      <c r="K55" s="15">
        <v>0</v>
      </c>
      <c r="L55" s="15">
        <v>0</v>
      </c>
      <c r="M55" s="15">
        <v>0</v>
      </c>
      <c r="N55" s="15">
        <v>2586.4699999999998</v>
      </c>
      <c r="O55" t="s">
        <v>75</v>
      </c>
    </row>
    <row r="56" spans="1:15" x14ac:dyDescent="0.25">
      <c r="A56" s="10" t="s">
        <v>204</v>
      </c>
      <c r="B56" s="15">
        <v>1271.3900000000001</v>
      </c>
      <c r="C56" s="15">
        <v>1255.8399999999999</v>
      </c>
      <c r="D56" s="15">
        <v>1322.32</v>
      </c>
      <c r="E56" s="15">
        <v>1242.68</v>
      </c>
      <c r="F56" s="15">
        <v>1218.57</v>
      </c>
      <c r="G56" s="15">
        <v>2361.2600000000002</v>
      </c>
      <c r="H56" s="15">
        <v>874.39</v>
      </c>
      <c r="I56" s="15">
        <v>1600.37</v>
      </c>
      <c r="J56" s="15">
        <v>1351.88</v>
      </c>
      <c r="K56" s="15">
        <v>1351.82</v>
      </c>
      <c r="L56" s="15">
        <v>1347.39</v>
      </c>
      <c r="M56" s="15">
        <v>1350.12</v>
      </c>
      <c r="N56" s="15">
        <v>1371.46</v>
      </c>
      <c r="O56" t="s">
        <v>75</v>
      </c>
    </row>
    <row r="57" spans="1:15" x14ac:dyDescent="0.25">
      <c r="A57" s="10" t="s">
        <v>206</v>
      </c>
      <c r="B57" s="15">
        <v>1655.83</v>
      </c>
      <c r="C57" s="15">
        <v>1553.24</v>
      </c>
      <c r="D57" s="15">
        <v>2917.52</v>
      </c>
      <c r="E57" s="15">
        <v>931.94</v>
      </c>
      <c r="F57" s="15">
        <v>1607.48</v>
      </c>
      <c r="G57" s="15">
        <v>1553.24</v>
      </c>
      <c r="H57" s="15">
        <v>2248.5300000000002</v>
      </c>
      <c r="I57" s="15">
        <v>1975.75</v>
      </c>
      <c r="J57" s="15">
        <v>1725.25</v>
      </c>
      <c r="K57" s="15">
        <v>1725.25</v>
      </c>
      <c r="L57" s="15">
        <v>1725.25</v>
      </c>
      <c r="M57" s="15">
        <v>1725.25</v>
      </c>
      <c r="N57" s="15">
        <v>1748.25</v>
      </c>
      <c r="O57" t="s">
        <v>75</v>
      </c>
    </row>
    <row r="58" spans="1:15" x14ac:dyDescent="0.25">
      <c r="A58" s="10" t="s">
        <v>208</v>
      </c>
      <c r="B58" s="15">
        <v>174.5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272.5</v>
      </c>
      <c r="O58" t="s">
        <v>75</v>
      </c>
    </row>
    <row r="59" spans="1:15" x14ac:dyDescent="0.25">
      <c r="A59" s="10" t="s">
        <v>210</v>
      </c>
      <c r="B59" s="15">
        <v>918</v>
      </c>
      <c r="C59" s="15">
        <v>550.79999999999995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229.5</v>
      </c>
      <c r="O59" t="s">
        <v>75</v>
      </c>
    </row>
    <row r="60" spans="1:15" x14ac:dyDescent="0.25">
      <c r="A60" s="10" t="s">
        <v>212</v>
      </c>
      <c r="B60" s="15">
        <v>6487.97</v>
      </c>
      <c r="C60" s="15">
        <v>6487.97</v>
      </c>
      <c r="D60" s="15">
        <v>6676.94</v>
      </c>
      <c r="E60" s="15">
        <v>6676.94</v>
      </c>
      <c r="F60" s="15">
        <v>6676.94</v>
      </c>
      <c r="G60" s="15">
        <v>11721.73</v>
      </c>
      <c r="H60" s="15">
        <v>5626.67</v>
      </c>
      <c r="I60" s="15">
        <v>8763.2999999999993</v>
      </c>
      <c r="J60" s="15">
        <v>3707.88</v>
      </c>
      <c r="K60" s="15">
        <v>0</v>
      </c>
      <c r="L60" s="15">
        <v>0</v>
      </c>
      <c r="M60" s="15">
        <v>0</v>
      </c>
      <c r="N60" s="15">
        <v>6179.8</v>
      </c>
      <c r="O60" t="s">
        <v>75</v>
      </c>
    </row>
    <row r="61" spans="1:15" x14ac:dyDescent="0.25">
      <c r="A61" s="10" t="s">
        <v>214</v>
      </c>
      <c r="B61" s="15">
        <v>1679.67</v>
      </c>
      <c r="C61" s="15">
        <v>1694.89</v>
      </c>
      <c r="D61" s="15">
        <v>1687.11</v>
      </c>
      <c r="E61" s="15">
        <v>1574.34</v>
      </c>
      <c r="F61" s="15">
        <v>1553.24</v>
      </c>
      <c r="G61" s="15">
        <v>1553.24</v>
      </c>
      <c r="H61" s="15">
        <v>2096.4499999999998</v>
      </c>
      <c r="I61" s="15">
        <v>2059.25</v>
      </c>
      <c r="J61" s="15">
        <v>2334.52</v>
      </c>
      <c r="K61" s="15">
        <v>1725.25</v>
      </c>
      <c r="L61" s="15">
        <v>1725.25</v>
      </c>
      <c r="M61" s="15">
        <v>1991.91</v>
      </c>
      <c r="N61" s="15">
        <v>1788.96</v>
      </c>
      <c r="O61" t="s">
        <v>75</v>
      </c>
    </row>
    <row r="62" spans="1:15" x14ac:dyDescent="0.25">
      <c r="A62" s="10" t="s">
        <v>216</v>
      </c>
      <c r="B62" s="15">
        <v>1601.67</v>
      </c>
      <c r="C62" s="15">
        <v>1607.95</v>
      </c>
      <c r="D62" s="15">
        <v>1637.75</v>
      </c>
      <c r="E62" s="15">
        <v>1607.44</v>
      </c>
      <c r="F62" s="15">
        <v>1688.27</v>
      </c>
      <c r="G62" s="15">
        <v>1672.51</v>
      </c>
      <c r="H62" s="15">
        <v>2287.0700000000002</v>
      </c>
      <c r="I62" s="15">
        <v>2188.0700000000002</v>
      </c>
      <c r="J62" s="15">
        <v>1825.75</v>
      </c>
      <c r="K62" s="15">
        <v>1825.75</v>
      </c>
      <c r="L62" s="15">
        <v>1850.01</v>
      </c>
      <c r="M62" s="15">
        <v>4329.88</v>
      </c>
      <c r="N62" s="15">
        <v>1850.42</v>
      </c>
      <c r="O62" t="s">
        <v>75</v>
      </c>
    </row>
    <row r="63" spans="1:15" x14ac:dyDescent="0.25">
      <c r="A63" s="10" t="s">
        <v>218</v>
      </c>
      <c r="B63" s="15">
        <v>4883.42</v>
      </c>
      <c r="C63" s="15">
        <v>4883.42</v>
      </c>
      <c r="D63" s="15">
        <v>4883.42</v>
      </c>
      <c r="E63" s="15">
        <v>8627.3799999999992</v>
      </c>
      <c r="F63" s="15">
        <v>2767.27</v>
      </c>
      <c r="G63" s="15">
        <v>4883.42</v>
      </c>
      <c r="H63" s="15">
        <v>7001.62</v>
      </c>
      <c r="I63" s="15">
        <v>6189.02</v>
      </c>
      <c r="J63" s="15">
        <v>5424.02</v>
      </c>
      <c r="K63" s="15">
        <v>5424.02</v>
      </c>
      <c r="L63" s="15">
        <v>5424.02</v>
      </c>
      <c r="M63" s="15">
        <v>5424.02</v>
      </c>
      <c r="N63" s="15">
        <v>5424.02</v>
      </c>
      <c r="O63" t="s">
        <v>75</v>
      </c>
    </row>
    <row r="64" spans="1:15" x14ac:dyDescent="0.25">
      <c r="A64" s="10" t="s">
        <v>220</v>
      </c>
      <c r="B64" s="15">
        <v>1006.68</v>
      </c>
      <c r="C64" s="15">
        <v>996.93</v>
      </c>
      <c r="D64" s="15">
        <v>1010.86</v>
      </c>
      <c r="E64" s="15">
        <v>986.63</v>
      </c>
      <c r="F64" s="15">
        <v>959.39</v>
      </c>
      <c r="G64" s="15">
        <v>955.63</v>
      </c>
      <c r="H64" s="15">
        <v>1322.21</v>
      </c>
      <c r="I64" s="15">
        <v>1284.25</v>
      </c>
      <c r="J64" s="15">
        <v>1055.5999999999999</v>
      </c>
      <c r="K64" s="15">
        <v>1062.0999999999999</v>
      </c>
      <c r="L64" s="15">
        <v>1061.96</v>
      </c>
      <c r="M64" s="15">
        <v>2520.15</v>
      </c>
      <c r="N64" s="15">
        <v>1079.48</v>
      </c>
      <c r="O64" t="s">
        <v>75</v>
      </c>
    </row>
    <row r="65" spans="1:15" x14ac:dyDescent="0.25">
      <c r="A65" s="10" t="s">
        <v>222</v>
      </c>
      <c r="B65" s="15">
        <v>2584.94</v>
      </c>
      <c r="C65" s="15">
        <v>2362.39</v>
      </c>
      <c r="D65" s="15">
        <v>2781.93</v>
      </c>
      <c r="E65" s="15">
        <v>4200.2</v>
      </c>
      <c r="F65" s="15">
        <v>1125.8</v>
      </c>
      <c r="G65" s="15">
        <v>2880.96</v>
      </c>
      <c r="H65" s="15">
        <v>3519.73</v>
      </c>
      <c r="I65" s="15">
        <v>3021.56</v>
      </c>
      <c r="J65" s="15">
        <v>2914.68</v>
      </c>
      <c r="K65" s="15">
        <v>2989.42</v>
      </c>
      <c r="L65" s="15">
        <v>364.15</v>
      </c>
      <c r="M65" s="15">
        <v>0</v>
      </c>
      <c r="N65" s="15">
        <v>2467.6799999999998</v>
      </c>
      <c r="O65" t="s">
        <v>75</v>
      </c>
    </row>
    <row r="66" spans="1:15" x14ac:dyDescent="0.25">
      <c r="A66" s="10" t="s">
        <v>224</v>
      </c>
      <c r="B66" s="15">
        <v>887.4</v>
      </c>
      <c r="C66" s="15">
        <v>765</v>
      </c>
      <c r="D66" s="15">
        <v>887.4</v>
      </c>
      <c r="E66" s="15">
        <v>918</v>
      </c>
      <c r="F66" s="15">
        <v>887.4</v>
      </c>
      <c r="G66" s="15">
        <v>1897.2</v>
      </c>
      <c r="H66" s="15">
        <v>510</v>
      </c>
      <c r="I66" s="15">
        <v>816</v>
      </c>
      <c r="J66" s="15">
        <v>0</v>
      </c>
      <c r="K66" s="15">
        <v>0</v>
      </c>
      <c r="L66" s="15">
        <v>0</v>
      </c>
      <c r="M66" s="15">
        <v>0</v>
      </c>
      <c r="N66" s="15">
        <v>765</v>
      </c>
      <c r="O66" t="s">
        <v>75</v>
      </c>
    </row>
    <row r="67" spans="1:15" x14ac:dyDescent="0.25">
      <c r="A67" s="10" t="s">
        <v>226</v>
      </c>
      <c r="B67" s="15">
        <v>1696.24</v>
      </c>
      <c r="C67" s="15">
        <v>1551.37</v>
      </c>
      <c r="D67" s="15">
        <v>1508</v>
      </c>
      <c r="E67" s="15">
        <v>1508</v>
      </c>
      <c r="F67" s="15">
        <v>1508</v>
      </c>
      <c r="G67" s="15">
        <v>2331.66</v>
      </c>
      <c r="H67" s="15">
        <v>1889.36</v>
      </c>
      <c r="I67" s="15">
        <v>2076.58</v>
      </c>
      <c r="J67" s="15">
        <v>1831.96</v>
      </c>
      <c r="K67" s="15">
        <v>1821.93</v>
      </c>
      <c r="L67" s="15">
        <v>1841.6</v>
      </c>
      <c r="M67" s="15">
        <v>1849.66</v>
      </c>
      <c r="N67" s="15">
        <v>1761.24</v>
      </c>
      <c r="O67" t="s">
        <v>75</v>
      </c>
    </row>
    <row r="68" spans="1:15" x14ac:dyDescent="0.25">
      <c r="A68" s="10" t="s">
        <v>228</v>
      </c>
      <c r="B68" s="15">
        <v>1559.55</v>
      </c>
      <c r="C68" s="15">
        <v>1390</v>
      </c>
      <c r="D68" s="15">
        <v>1390</v>
      </c>
      <c r="E68" s="15">
        <v>1390</v>
      </c>
      <c r="F68" s="15">
        <v>1390</v>
      </c>
      <c r="G68" s="15">
        <v>1390</v>
      </c>
      <c r="H68" s="15">
        <v>1852</v>
      </c>
      <c r="I68" s="15">
        <v>1852</v>
      </c>
      <c r="J68" s="15">
        <v>1544</v>
      </c>
      <c r="K68" s="15">
        <v>1544</v>
      </c>
      <c r="L68" s="15">
        <v>1562.64</v>
      </c>
      <c r="M68" s="15">
        <v>1544</v>
      </c>
      <c r="N68" s="15">
        <v>1560.95</v>
      </c>
      <c r="O68" t="s">
        <v>75</v>
      </c>
    </row>
    <row r="69" spans="1:15" x14ac:dyDescent="0.25">
      <c r="A69" s="10" t="s">
        <v>230</v>
      </c>
      <c r="B69" s="15">
        <v>2578.98</v>
      </c>
      <c r="C69" s="15">
        <v>4560.6000000000004</v>
      </c>
      <c r="D69" s="15">
        <v>2090.31</v>
      </c>
      <c r="E69" s="15">
        <v>2578.98</v>
      </c>
      <c r="F69" s="15">
        <v>2583.88</v>
      </c>
      <c r="G69" s="15">
        <v>2578.98</v>
      </c>
      <c r="H69" s="15">
        <v>3449.06</v>
      </c>
      <c r="I69" s="15">
        <v>3366.26</v>
      </c>
      <c r="J69" s="15">
        <v>2864.12</v>
      </c>
      <c r="K69" s="15">
        <v>2864.12</v>
      </c>
      <c r="L69" s="15">
        <v>2864.12</v>
      </c>
      <c r="M69" s="15">
        <v>2864.12</v>
      </c>
      <c r="N69" s="15">
        <v>2885.52</v>
      </c>
      <c r="O69" t="s">
        <v>75</v>
      </c>
    </row>
    <row r="70" spans="1:15" x14ac:dyDescent="0.25">
      <c r="A70" s="10" t="s">
        <v>232</v>
      </c>
      <c r="B70" s="15">
        <v>997.42</v>
      </c>
      <c r="C70" s="15">
        <v>1004.28</v>
      </c>
      <c r="D70" s="15">
        <v>1011.61</v>
      </c>
      <c r="E70" s="15">
        <v>988.87</v>
      </c>
      <c r="F70" s="15">
        <v>948.81</v>
      </c>
      <c r="G70" s="15">
        <v>949.37</v>
      </c>
      <c r="H70" s="15">
        <v>1315.44</v>
      </c>
      <c r="I70" s="15">
        <v>1282.19</v>
      </c>
      <c r="J70" s="15">
        <v>1056.25</v>
      </c>
      <c r="K70" s="15">
        <v>1057.1600000000001</v>
      </c>
      <c r="L70" s="15">
        <v>1056.1600000000001</v>
      </c>
      <c r="M70" s="15">
        <v>2514.44</v>
      </c>
      <c r="N70" s="15">
        <v>1076.47</v>
      </c>
      <c r="O70" t="s">
        <v>75</v>
      </c>
    </row>
    <row r="71" spans="1:15" x14ac:dyDescent="0.25">
      <c r="A71" s="10" t="s">
        <v>234</v>
      </c>
      <c r="B71" s="15">
        <v>1501.23</v>
      </c>
      <c r="C71" s="15">
        <v>4462.4399999999996</v>
      </c>
      <c r="D71" s="15">
        <v>6167.38</v>
      </c>
      <c r="E71" s="15">
        <v>4478.3999999999996</v>
      </c>
      <c r="F71" s="15">
        <v>4503.71</v>
      </c>
      <c r="G71" s="15">
        <v>4478.3999999999996</v>
      </c>
      <c r="H71" s="15">
        <v>6421.13</v>
      </c>
      <c r="I71" s="15">
        <v>5694.1</v>
      </c>
      <c r="J71" s="15">
        <v>4974.54</v>
      </c>
      <c r="K71" s="15">
        <v>5038.97</v>
      </c>
      <c r="L71" s="15">
        <v>5049.96</v>
      </c>
      <c r="M71" s="15">
        <v>9466.4500000000007</v>
      </c>
      <c r="N71" s="15">
        <v>5203.1400000000003</v>
      </c>
      <c r="O71" t="s">
        <v>75</v>
      </c>
    </row>
    <row r="72" spans="1:15" x14ac:dyDescent="0.25">
      <c r="A72" s="10" t="s">
        <v>236</v>
      </c>
      <c r="B72" s="15">
        <v>1901.84</v>
      </c>
      <c r="C72" s="15">
        <v>1747</v>
      </c>
      <c r="D72" s="15">
        <v>1885.11</v>
      </c>
      <c r="E72" s="15">
        <v>698.8</v>
      </c>
      <c r="F72" s="15">
        <v>0</v>
      </c>
      <c r="G72" s="15">
        <v>0</v>
      </c>
      <c r="H72" s="15">
        <v>0</v>
      </c>
      <c r="I72" s="15">
        <v>720.09</v>
      </c>
      <c r="J72" s="15">
        <v>0</v>
      </c>
      <c r="K72" s="15">
        <v>0</v>
      </c>
      <c r="L72" s="15">
        <v>0</v>
      </c>
      <c r="M72" s="15">
        <v>0</v>
      </c>
      <c r="N72" s="15">
        <v>841.61</v>
      </c>
      <c r="O72" t="s">
        <v>75</v>
      </c>
    </row>
    <row r="73" spans="1:15" x14ac:dyDescent="0.25">
      <c r="A73" s="10" t="s">
        <v>238</v>
      </c>
      <c r="B73" s="15">
        <v>78</v>
      </c>
      <c r="C73" s="15">
        <v>1092</v>
      </c>
      <c r="D73" s="15">
        <v>1170</v>
      </c>
      <c r="E73" s="15">
        <v>585</v>
      </c>
      <c r="F73" s="15">
        <v>0</v>
      </c>
      <c r="G73" s="15">
        <v>0</v>
      </c>
      <c r="H73" s="15">
        <v>0</v>
      </c>
      <c r="I73" s="15">
        <v>341.72</v>
      </c>
      <c r="J73" s="15">
        <v>0</v>
      </c>
      <c r="K73" s="15">
        <v>0</v>
      </c>
      <c r="L73" s="15">
        <v>0</v>
      </c>
      <c r="M73" s="15">
        <v>0</v>
      </c>
      <c r="N73" s="15">
        <v>541.66999999999996</v>
      </c>
      <c r="O73" t="s">
        <v>75</v>
      </c>
    </row>
    <row r="74" spans="1:15" x14ac:dyDescent="0.25">
      <c r="A74" s="10" t="s">
        <v>242</v>
      </c>
      <c r="B74" s="15">
        <v>918</v>
      </c>
      <c r="C74" s="15">
        <v>918</v>
      </c>
      <c r="D74" s="15">
        <v>918</v>
      </c>
      <c r="E74" s="15">
        <v>918</v>
      </c>
      <c r="F74" s="15">
        <v>918</v>
      </c>
      <c r="G74" s="15">
        <v>918</v>
      </c>
      <c r="H74" s="15">
        <v>1249.56</v>
      </c>
      <c r="I74" s="15">
        <v>1249.56</v>
      </c>
      <c r="J74" s="15">
        <v>1020</v>
      </c>
      <c r="K74" s="15">
        <v>1020</v>
      </c>
      <c r="L74" s="15">
        <v>1020</v>
      </c>
      <c r="M74" s="15">
        <v>1793.97</v>
      </c>
      <c r="N74" s="15">
        <v>1027.44</v>
      </c>
      <c r="O74" t="s">
        <v>75</v>
      </c>
    </row>
    <row r="75" spans="1:15" x14ac:dyDescent="0.25">
      <c r="A75" s="10" t="s">
        <v>244</v>
      </c>
      <c r="B75" s="15">
        <v>1322</v>
      </c>
      <c r="C75" s="15">
        <v>1322</v>
      </c>
      <c r="D75" s="15">
        <v>1322</v>
      </c>
      <c r="E75" s="15">
        <v>1322</v>
      </c>
      <c r="F75" s="15">
        <v>1322</v>
      </c>
      <c r="G75" s="15">
        <v>2358.41</v>
      </c>
      <c r="H75" s="15">
        <v>1481.2</v>
      </c>
      <c r="I75" s="15">
        <v>1708.9</v>
      </c>
      <c r="J75" s="15">
        <v>1512.04</v>
      </c>
      <c r="K75" s="15">
        <v>1512.04</v>
      </c>
      <c r="L75" s="15">
        <v>2339.84</v>
      </c>
      <c r="M75" s="15">
        <v>1209.6300000000001</v>
      </c>
      <c r="N75" s="15">
        <v>1512.04</v>
      </c>
      <c r="O75" t="s">
        <v>75</v>
      </c>
    </row>
    <row r="76" spans="1:15" x14ac:dyDescent="0.25">
      <c r="A76" s="10" t="s">
        <v>246</v>
      </c>
      <c r="B76" s="15">
        <v>1170</v>
      </c>
      <c r="C76" s="15">
        <v>1170</v>
      </c>
      <c r="D76" s="15">
        <v>1170</v>
      </c>
      <c r="E76" s="15">
        <v>1170</v>
      </c>
      <c r="F76" s="15">
        <v>429</v>
      </c>
      <c r="G76" s="15">
        <v>0</v>
      </c>
      <c r="H76" s="15">
        <v>0</v>
      </c>
      <c r="I76" s="15">
        <v>484.57</v>
      </c>
      <c r="J76" s="15">
        <v>0</v>
      </c>
      <c r="K76" s="15">
        <v>0</v>
      </c>
      <c r="L76" s="15">
        <v>0</v>
      </c>
      <c r="M76" s="15">
        <v>0</v>
      </c>
      <c r="N76" s="15">
        <v>541.66999999999996</v>
      </c>
      <c r="O76" t="s">
        <v>75</v>
      </c>
    </row>
    <row r="77" spans="1:15" x14ac:dyDescent="0.25">
      <c r="A77" s="10" t="s">
        <v>248</v>
      </c>
      <c r="B77" s="15">
        <v>1645.39</v>
      </c>
      <c r="C77" s="15">
        <v>1641.03</v>
      </c>
      <c r="D77" s="15">
        <v>1680.63</v>
      </c>
      <c r="E77" s="15">
        <v>1614.15</v>
      </c>
      <c r="F77" s="15">
        <v>1564.36</v>
      </c>
      <c r="G77" s="15">
        <v>1566.61</v>
      </c>
      <c r="H77" s="15">
        <v>2112.35</v>
      </c>
      <c r="I77" s="15">
        <v>2070.85</v>
      </c>
      <c r="J77" s="15">
        <v>1739.45</v>
      </c>
      <c r="K77" s="15">
        <v>2930.25</v>
      </c>
      <c r="L77" s="15">
        <v>1018.37</v>
      </c>
      <c r="M77" s="15">
        <v>1886.06</v>
      </c>
      <c r="N77" s="15">
        <v>1778.42</v>
      </c>
      <c r="O77" t="s">
        <v>75</v>
      </c>
    </row>
    <row r="78" spans="1:15" x14ac:dyDescent="0.25">
      <c r="A78" s="10" t="s">
        <v>250</v>
      </c>
      <c r="B78" s="15">
        <v>476.43</v>
      </c>
      <c r="C78" s="15">
        <v>3550.54</v>
      </c>
      <c r="D78" s="15">
        <v>4284.3</v>
      </c>
      <c r="E78" s="15">
        <v>3590.92</v>
      </c>
      <c r="F78" s="15">
        <v>5274.35</v>
      </c>
      <c r="G78" s="15">
        <v>3538.05</v>
      </c>
      <c r="H78" s="15">
        <v>5738.28</v>
      </c>
      <c r="I78" s="15">
        <v>4689.45</v>
      </c>
      <c r="J78" s="15">
        <v>4356.58</v>
      </c>
      <c r="K78" s="15">
        <v>3929.45</v>
      </c>
      <c r="L78" s="15">
        <v>4270.09</v>
      </c>
      <c r="M78" s="15">
        <v>10188.81</v>
      </c>
      <c r="N78" s="15">
        <v>4319.07</v>
      </c>
      <c r="O78" t="s">
        <v>75</v>
      </c>
    </row>
    <row r="79" spans="1:15" x14ac:dyDescent="0.25">
      <c r="A79" s="10" t="s">
        <v>252</v>
      </c>
      <c r="B79" s="15">
        <v>1508</v>
      </c>
      <c r="C79" s="15">
        <v>2952.96</v>
      </c>
      <c r="D79" s="15">
        <v>502.67</v>
      </c>
      <c r="E79" s="15">
        <v>1508</v>
      </c>
      <c r="F79" s="15">
        <v>1508</v>
      </c>
      <c r="G79" s="15">
        <v>1508</v>
      </c>
      <c r="H79" s="15">
        <v>2111.1999999999998</v>
      </c>
      <c r="I79" s="15">
        <v>1953.33</v>
      </c>
      <c r="J79" s="15">
        <v>1675</v>
      </c>
      <c r="K79" s="15">
        <v>1675</v>
      </c>
      <c r="L79" s="15">
        <v>1675</v>
      </c>
      <c r="M79" s="15">
        <v>4032.33</v>
      </c>
      <c r="N79" s="15">
        <v>1685.33</v>
      </c>
      <c r="O79" t="s">
        <v>75</v>
      </c>
    </row>
    <row r="80" spans="1:15" x14ac:dyDescent="0.25">
      <c r="A80" s="10" t="s">
        <v>254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1478.03</v>
      </c>
      <c r="L80" s="15">
        <v>2533.15</v>
      </c>
      <c r="M80" s="15">
        <v>1186.83</v>
      </c>
      <c r="N80" s="15">
        <v>371.63</v>
      </c>
      <c r="O80" t="s">
        <v>75</v>
      </c>
    </row>
    <row r="81" spans="1:15" x14ac:dyDescent="0.25">
      <c r="A81" s="10" t="s">
        <v>256</v>
      </c>
      <c r="B81" s="15">
        <v>3056.8</v>
      </c>
      <c r="C81" s="15">
        <v>2823.66</v>
      </c>
      <c r="D81" s="15">
        <v>3261.74</v>
      </c>
      <c r="E81" s="15">
        <v>2800.57</v>
      </c>
      <c r="F81" s="15">
        <v>3378.42</v>
      </c>
      <c r="G81" s="15">
        <v>2800.57</v>
      </c>
      <c r="H81" s="15">
        <v>4503.01</v>
      </c>
      <c r="I81" s="15">
        <v>5031.16</v>
      </c>
      <c r="J81" s="15">
        <v>3078.18</v>
      </c>
      <c r="K81" s="15">
        <v>3110.6</v>
      </c>
      <c r="L81" s="15">
        <v>3225.83</v>
      </c>
      <c r="M81" s="15">
        <v>3110.6</v>
      </c>
      <c r="N81" s="15">
        <v>3346.42</v>
      </c>
      <c r="O81" t="s">
        <v>75</v>
      </c>
    </row>
    <row r="82" spans="1:15" x14ac:dyDescent="0.25">
      <c r="A82" s="10" t="s">
        <v>258</v>
      </c>
      <c r="B82" s="15">
        <v>1423.54</v>
      </c>
      <c r="C82" s="15">
        <v>1204.6199999999999</v>
      </c>
      <c r="D82" s="15">
        <v>1360.23</v>
      </c>
      <c r="E82" s="15">
        <v>1275.4100000000001</v>
      </c>
      <c r="F82" s="15">
        <v>1236.26</v>
      </c>
      <c r="G82" s="15">
        <v>1147.8499999999999</v>
      </c>
      <c r="H82" s="15">
        <v>1700.81</v>
      </c>
      <c r="I82" s="15">
        <v>2453.77</v>
      </c>
      <c r="J82" s="15">
        <v>996.8</v>
      </c>
      <c r="K82" s="15">
        <v>1287.68</v>
      </c>
      <c r="L82" s="15">
        <v>1329.79</v>
      </c>
      <c r="M82" s="15">
        <v>1353.83</v>
      </c>
      <c r="N82" s="15">
        <v>1368.76</v>
      </c>
      <c r="O82" t="s">
        <v>75</v>
      </c>
    </row>
    <row r="83" spans="1:15" x14ac:dyDescent="0.25">
      <c r="A83" s="10" t="s">
        <v>260</v>
      </c>
      <c r="B83" s="15">
        <v>1170</v>
      </c>
      <c r="C83" s="15">
        <v>1170</v>
      </c>
      <c r="D83" s="15">
        <v>1209</v>
      </c>
      <c r="E83" s="15">
        <v>234</v>
      </c>
      <c r="F83" s="15">
        <v>0</v>
      </c>
      <c r="G83" s="15">
        <v>0</v>
      </c>
      <c r="H83" s="15">
        <v>80.17</v>
      </c>
      <c r="I83" s="15">
        <v>80.17</v>
      </c>
      <c r="J83" s="15">
        <v>0</v>
      </c>
      <c r="K83" s="15">
        <v>1300</v>
      </c>
      <c r="L83" s="15">
        <v>2362.38</v>
      </c>
      <c r="M83" s="15">
        <v>1040</v>
      </c>
      <c r="N83" s="15">
        <v>657.53</v>
      </c>
      <c r="O83" t="s">
        <v>75</v>
      </c>
    </row>
    <row r="84" spans="1:15" x14ac:dyDescent="0.25">
      <c r="A84" s="10" t="s">
        <v>262</v>
      </c>
      <c r="B84" s="15">
        <v>918</v>
      </c>
      <c r="C84" s="15">
        <v>918</v>
      </c>
      <c r="D84" s="15">
        <v>918</v>
      </c>
      <c r="E84" s="15">
        <v>918</v>
      </c>
      <c r="F84" s="15">
        <v>918</v>
      </c>
      <c r="G84" s="15">
        <v>2158.77</v>
      </c>
      <c r="H84" s="15">
        <v>435.08</v>
      </c>
      <c r="I84" s="15">
        <v>1181.56</v>
      </c>
      <c r="J84" s="15">
        <v>1020</v>
      </c>
      <c r="K84" s="15">
        <v>1020</v>
      </c>
      <c r="L84" s="15">
        <v>1020</v>
      </c>
      <c r="M84" s="15">
        <v>1020</v>
      </c>
      <c r="N84" s="15">
        <v>1020</v>
      </c>
      <c r="O84" t="s">
        <v>75</v>
      </c>
    </row>
    <row r="85" spans="1:15" x14ac:dyDescent="0.25">
      <c r="A85" s="10" t="s">
        <v>264</v>
      </c>
      <c r="B85" s="15">
        <v>1287.21</v>
      </c>
      <c r="C85" s="15">
        <v>1773.77</v>
      </c>
      <c r="D85" s="15">
        <v>1117.31</v>
      </c>
      <c r="E85" s="15">
        <v>1153.5999999999999</v>
      </c>
      <c r="F85" s="15">
        <v>1338.29</v>
      </c>
      <c r="G85" s="15">
        <v>1153.5999999999999</v>
      </c>
      <c r="H85" s="15">
        <v>2025.25</v>
      </c>
      <c r="I85" s="15">
        <v>1518.99</v>
      </c>
      <c r="J85" s="15">
        <v>1386.87</v>
      </c>
      <c r="K85" s="15">
        <v>1281.32</v>
      </c>
      <c r="L85" s="15">
        <v>1283.72</v>
      </c>
      <c r="M85" s="15">
        <v>1281.32</v>
      </c>
      <c r="N85" s="15">
        <v>1379.34</v>
      </c>
      <c r="O85" t="s">
        <v>75</v>
      </c>
    </row>
    <row r="86" spans="1:15" x14ac:dyDescent="0.25">
      <c r="A86" s="10" t="s">
        <v>266</v>
      </c>
      <c r="B86" s="15">
        <v>251.33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125.67</v>
      </c>
      <c r="O86" t="s">
        <v>75</v>
      </c>
    </row>
    <row r="87" spans="1:15" x14ac:dyDescent="0.25">
      <c r="A87" s="10" t="s">
        <v>268</v>
      </c>
      <c r="B87" s="15">
        <v>1597.74</v>
      </c>
      <c r="C87" s="15">
        <v>2282.48</v>
      </c>
      <c r="D87" s="15">
        <v>2282.48</v>
      </c>
      <c r="E87" s="15">
        <v>2282.48</v>
      </c>
      <c r="F87" s="15">
        <v>2282.48</v>
      </c>
      <c r="G87" s="15">
        <v>5407.12</v>
      </c>
      <c r="H87" s="15">
        <v>863.09</v>
      </c>
      <c r="I87" s="15">
        <v>3024.83</v>
      </c>
      <c r="J87" s="15">
        <v>2548.2600000000002</v>
      </c>
      <c r="K87" s="15">
        <v>2534.83</v>
      </c>
      <c r="L87" s="15">
        <v>3549.84</v>
      </c>
      <c r="M87" s="15">
        <v>2534.83</v>
      </c>
      <c r="N87" s="15">
        <v>2622.59</v>
      </c>
      <c r="O87" t="s">
        <v>75</v>
      </c>
    </row>
    <row r="88" spans="1:15" x14ac:dyDescent="0.25">
      <c r="A88" s="10" t="s">
        <v>270</v>
      </c>
      <c r="B88" s="15">
        <v>4415.03</v>
      </c>
      <c r="C88" s="15">
        <v>3827.48</v>
      </c>
      <c r="D88" s="15">
        <v>4609.5</v>
      </c>
      <c r="E88" s="15">
        <v>3827.48</v>
      </c>
      <c r="F88" s="15">
        <v>6608.99</v>
      </c>
      <c r="G88" s="15">
        <v>3827.48</v>
      </c>
      <c r="H88" s="15">
        <v>5644.97</v>
      </c>
      <c r="I88" s="15">
        <v>4935.8100000000004</v>
      </c>
      <c r="J88" s="15">
        <v>4315.8599999999997</v>
      </c>
      <c r="K88" s="15">
        <v>4250.8100000000004</v>
      </c>
      <c r="L88" s="15">
        <v>4271.1400000000003</v>
      </c>
      <c r="M88" s="15">
        <v>4250.8100000000004</v>
      </c>
      <c r="N88" s="15">
        <v>4554.54</v>
      </c>
      <c r="O88" t="s">
        <v>75</v>
      </c>
    </row>
    <row r="89" spans="1:15" x14ac:dyDescent="0.25">
      <c r="A89" s="10" t="s">
        <v>272</v>
      </c>
      <c r="B89" s="15">
        <v>795.6</v>
      </c>
      <c r="C89" s="15">
        <v>734.4</v>
      </c>
      <c r="D89" s="15">
        <v>194.43</v>
      </c>
      <c r="E89" s="15">
        <v>122.4</v>
      </c>
      <c r="F89" s="15">
        <v>306</v>
      </c>
      <c r="G89" s="15">
        <v>122.4</v>
      </c>
      <c r="H89" s="15">
        <v>0</v>
      </c>
      <c r="I89" s="15">
        <v>371.8</v>
      </c>
      <c r="J89" s="15">
        <v>0</v>
      </c>
      <c r="K89" s="15">
        <v>0</v>
      </c>
      <c r="L89" s="15">
        <v>0</v>
      </c>
      <c r="M89" s="15">
        <v>0</v>
      </c>
      <c r="N89" s="15">
        <v>170.28</v>
      </c>
      <c r="O89" t="s">
        <v>75</v>
      </c>
    </row>
    <row r="90" spans="1:15" x14ac:dyDescent="0.25">
      <c r="A90" s="10" t="s">
        <v>274</v>
      </c>
      <c r="B90" s="15">
        <v>918</v>
      </c>
      <c r="C90" s="15">
        <v>918</v>
      </c>
      <c r="D90" s="15">
        <v>918</v>
      </c>
      <c r="E90" s="15">
        <v>932.15</v>
      </c>
      <c r="F90" s="15">
        <v>1298.1600000000001</v>
      </c>
      <c r="G90" s="15">
        <v>1143.05</v>
      </c>
      <c r="H90" s="15">
        <v>1383.64</v>
      </c>
      <c r="I90" s="15">
        <v>1249.56</v>
      </c>
      <c r="J90" s="15">
        <v>1020</v>
      </c>
      <c r="K90" s="15">
        <v>1088.99</v>
      </c>
      <c r="L90" s="15">
        <v>1124.0899999999999</v>
      </c>
      <c r="M90" s="15">
        <v>2358.81</v>
      </c>
      <c r="N90" s="15">
        <v>1123.4100000000001</v>
      </c>
      <c r="O90" t="s">
        <v>75</v>
      </c>
    </row>
    <row r="91" spans="1:15" x14ac:dyDescent="0.25">
      <c r="A91" s="10" t="s">
        <v>276</v>
      </c>
      <c r="B91" s="15">
        <v>1277.6600000000001</v>
      </c>
      <c r="C91" s="15">
        <v>1265.04</v>
      </c>
      <c r="D91" s="15">
        <v>1267.9000000000001</v>
      </c>
      <c r="E91" s="15">
        <v>1259.3800000000001</v>
      </c>
      <c r="F91" s="15">
        <v>1215.43</v>
      </c>
      <c r="G91" s="15">
        <v>1219.72</v>
      </c>
      <c r="H91" s="15">
        <v>1647.62</v>
      </c>
      <c r="I91" s="15">
        <v>1605.28</v>
      </c>
      <c r="J91" s="15">
        <v>1347.9</v>
      </c>
      <c r="K91" s="15">
        <v>3225.98</v>
      </c>
      <c r="L91" s="15">
        <v>26.41</v>
      </c>
      <c r="M91" s="15">
        <v>1325.99</v>
      </c>
      <c r="N91" s="15">
        <v>1367.88</v>
      </c>
      <c r="O91" t="s">
        <v>75</v>
      </c>
    </row>
    <row r="92" spans="1:15" x14ac:dyDescent="0.25">
      <c r="A92" s="10" t="s">
        <v>278</v>
      </c>
      <c r="B92" s="15">
        <v>4832.1099999999997</v>
      </c>
      <c r="C92" s="15">
        <v>763</v>
      </c>
      <c r="D92" s="15">
        <v>1946.42</v>
      </c>
      <c r="E92" s="15">
        <v>2763.37</v>
      </c>
      <c r="F92" s="15">
        <v>2886.78</v>
      </c>
      <c r="G92" s="15">
        <v>2750.4</v>
      </c>
      <c r="H92" s="15">
        <v>3214.25</v>
      </c>
      <c r="I92" s="15">
        <v>3014.71</v>
      </c>
      <c r="J92" s="15">
        <v>2346.69</v>
      </c>
      <c r="K92" s="15">
        <v>2541.94</v>
      </c>
      <c r="L92" s="15">
        <v>364.15</v>
      </c>
      <c r="M92" s="15">
        <v>0</v>
      </c>
      <c r="N92" s="15">
        <v>2361.4299999999998</v>
      </c>
      <c r="O92" t="s">
        <v>75</v>
      </c>
    </row>
    <row r="93" spans="1:15" x14ac:dyDescent="0.25">
      <c r="A93" s="10" t="s">
        <v>280</v>
      </c>
      <c r="B93" s="15">
        <v>918</v>
      </c>
      <c r="C93" s="15">
        <v>881.49</v>
      </c>
      <c r="D93" s="15">
        <v>918</v>
      </c>
      <c r="E93" s="15">
        <v>918</v>
      </c>
      <c r="F93" s="15">
        <v>1228.74</v>
      </c>
      <c r="G93" s="15">
        <v>1395.41</v>
      </c>
      <c r="H93" s="15">
        <v>2354.42</v>
      </c>
      <c r="I93" s="15">
        <v>1938</v>
      </c>
      <c r="J93" s="15">
        <v>1556.94</v>
      </c>
      <c r="K93" s="15">
        <v>1300</v>
      </c>
      <c r="L93" s="15">
        <v>1428.15</v>
      </c>
      <c r="M93" s="15">
        <v>1300</v>
      </c>
      <c r="N93" s="15">
        <v>1421.9</v>
      </c>
      <c r="O93" t="s">
        <v>75</v>
      </c>
    </row>
    <row r="94" spans="1:15" x14ac:dyDescent="0.25">
      <c r="A94" s="10" t="s">
        <v>282</v>
      </c>
      <c r="B94" s="15">
        <v>440.67</v>
      </c>
      <c r="C94" s="15">
        <v>1322</v>
      </c>
      <c r="D94" s="15">
        <v>1322</v>
      </c>
      <c r="E94" s="15">
        <v>1322</v>
      </c>
      <c r="F94" s="15">
        <v>1322</v>
      </c>
      <c r="G94" s="15">
        <v>1322</v>
      </c>
      <c r="H94" s="15">
        <v>1760</v>
      </c>
      <c r="I94" s="15">
        <v>1760</v>
      </c>
      <c r="J94" s="15">
        <v>1512.04</v>
      </c>
      <c r="K94" s="15">
        <v>3657.4</v>
      </c>
      <c r="L94" s="15">
        <v>0</v>
      </c>
      <c r="M94" s="15">
        <v>1726.06</v>
      </c>
      <c r="N94" s="15">
        <v>1530.32</v>
      </c>
      <c r="O94" t="s">
        <v>75</v>
      </c>
    </row>
    <row r="95" spans="1:15" x14ac:dyDescent="0.25">
      <c r="A95" s="10" t="s">
        <v>284</v>
      </c>
      <c r="B95" s="15">
        <v>2246.4299999999998</v>
      </c>
      <c r="C95" s="15">
        <v>2246.4299999999998</v>
      </c>
      <c r="D95" s="15">
        <v>2464.92</v>
      </c>
      <c r="E95" s="15">
        <v>2246.4299999999998</v>
      </c>
      <c r="F95" s="15">
        <v>2246.4299999999998</v>
      </c>
      <c r="G95" s="15">
        <v>2246.4299999999998</v>
      </c>
      <c r="H95" s="15">
        <v>3107.02</v>
      </c>
      <c r="I95" s="15">
        <v>6391.45</v>
      </c>
      <c r="J95" s="15">
        <v>0</v>
      </c>
      <c r="K95" s="15">
        <v>2494.66</v>
      </c>
      <c r="L95" s="15">
        <v>2611.16</v>
      </c>
      <c r="M95" s="15">
        <v>2494.66</v>
      </c>
      <c r="N95" s="15">
        <v>2533.61</v>
      </c>
      <c r="O95" t="s">
        <v>75</v>
      </c>
    </row>
    <row r="96" spans="1:15" x14ac:dyDescent="0.25">
      <c r="A96" s="10" t="s">
        <v>286</v>
      </c>
      <c r="B96" s="15">
        <v>1101</v>
      </c>
      <c r="C96" s="15">
        <v>2096.15</v>
      </c>
      <c r="D96" s="15">
        <v>550.5</v>
      </c>
      <c r="E96" s="15">
        <v>1101</v>
      </c>
      <c r="F96" s="15">
        <v>1274.02</v>
      </c>
      <c r="G96" s="15">
        <v>1101</v>
      </c>
      <c r="H96" s="15">
        <v>1536.88</v>
      </c>
      <c r="I96" s="15">
        <v>1436.5</v>
      </c>
      <c r="J96" s="15">
        <v>1261.0999999999999</v>
      </c>
      <c r="K96" s="15">
        <v>1223</v>
      </c>
      <c r="L96" s="15">
        <v>1303.45</v>
      </c>
      <c r="M96" s="15">
        <v>1223</v>
      </c>
      <c r="N96" s="15">
        <v>1256.95</v>
      </c>
      <c r="O96" t="s">
        <v>75</v>
      </c>
    </row>
    <row r="97" spans="1:15" x14ac:dyDescent="0.25">
      <c r="A97" s="10" t="s">
        <v>288</v>
      </c>
      <c r="B97" s="15">
        <v>1266.71</v>
      </c>
      <c r="C97" s="15">
        <v>1282.83</v>
      </c>
      <c r="D97" s="15">
        <v>1341.6</v>
      </c>
      <c r="E97" s="15">
        <v>2488.37</v>
      </c>
      <c r="F97" s="15">
        <v>406.98</v>
      </c>
      <c r="G97" s="15">
        <v>1207.1199999999999</v>
      </c>
      <c r="H97" s="15">
        <v>1725.35</v>
      </c>
      <c r="I97" s="15">
        <v>1562.23</v>
      </c>
      <c r="J97" s="15">
        <v>1349.99</v>
      </c>
      <c r="K97" s="15">
        <v>1349.26</v>
      </c>
      <c r="L97" s="15">
        <v>1344.43</v>
      </c>
      <c r="M97" s="15">
        <v>1518.93</v>
      </c>
      <c r="N97" s="15">
        <v>1389.7</v>
      </c>
      <c r="O97" t="s">
        <v>75</v>
      </c>
    </row>
    <row r="98" spans="1:15" x14ac:dyDescent="0.25">
      <c r="A98" s="10" t="s">
        <v>290</v>
      </c>
      <c r="B98" s="15">
        <v>2831.47</v>
      </c>
      <c r="C98" s="15">
        <v>2831.47</v>
      </c>
      <c r="D98" s="15">
        <v>3288.72</v>
      </c>
      <c r="E98" s="15">
        <v>2831.47</v>
      </c>
      <c r="F98" s="15">
        <v>4249.05</v>
      </c>
      <c r="G98" s="15">
        <v>2831.47</v>
      </c>
      <c r="H98" s="15">
        <v>4276.63</v>
      </c>
      <c r="I98" s="15">
        <v>3752.59</v>
      </c>
      <c r="J98" s="15">
        <v>3198.66</v>
      </c>
      <c r="K98" s="15">
        <v>3144.59</v>
      </c>
      <c r="L98" s="15">
        <v>4309.75</v>
      </c>
      <c r="M98" s="15">
        <v>2830.13</v>
      </c>
      <c r="N98" s="15">
        <v>3370.43</v>
      </c>
      <c r="O98" t="s">
        <v>75</v>
      </c>
    </row>
    <row r="99" spans="1:15" x14ac:dyDescent="0.25">
      <c r="A99" s="10" t="s">
        <v>292</v>
      </c>
      <c r="B99" s="15">
        <v>918</v>
      </c>
      <c r="C99" s="15">
        <v>918</v>
      </c>
      <c r="D99" s="15">
        <v>1007.55</v>
      </c>
      <c r="E99" s="15">
        <v>918</v>
      </c>
      <c r="F99" s="15">
        <v>938.91</v>
      </c>
      <c r="G99" s="15">
        <v>951.83</v>
      </c>
      <c r="H99" s="15">
        <v>1304.81</v>
      </c>
      <c r="I99" s="15">
        <v>1287.7</v>
      </c>
      <c r="J99" s="15">
        <v>1059.23</v>
      </c>
      <c r="K99" s="15">
        <v>1986.95</v>
      </c>
      <c r="L99" s="15">
        <v>359.45</v>
      </c>
      <c r="M99" s="15">
        <v>1134.7</v>
      </c>
      <c r="N99" s="15">
        <v>1058.58</v>
      </c>
      <c r="O99" t="s">
        <v>75</v>
      </c>
    </row>
    <row r="100" spans="1:15" x14ac:dyDescent="0.25">
      <c r="A100" s="10" t="s">
        <v>294</v>
      </c>
      <c r="B100" s="15">
        <v>3052.92</v>
      </c>
      <c r="C100" s="15">
        <v>3052.92</v>
      </c>
      <c r="D100" s="15">
        <v>3263.2</v>
      </c>
      <c r="E100" s="15">
        <v>3052.92</v>
      </c>
      <c r="F100" s="15">
        <v>6857.98</v>
      </c>
      <c r="G100" s="15">
        <v>1628.22</v>
      </c>
      <c r="H100" s="15">
        <v>4516.18</v>
      </c>
      <c r="I100" s="15">
        <v>3882.76</v>
      </c>
      <c r="J100" s="15">
        <v>3714</v>
      </c>
      <c r="K100" s="15">
        <v>3489.52</v>
      </c>
      <c r="L100" s="15">
        <v>3489.52</v>
      </c>
      <c r="M100" s="15">
        <v>3489.52</v>
      </c>
      <c r="N100" s="15">
        <v>3533.01</v>
      </c>
      <c r="O100" t="s">
        <v>75</v>
      </c>
    </row>
    <row r="101" spans="1:15" x14ac:dyDescent="0.25">
      <c r="A101" s="10" t="s">
        <v>296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844.2</v>
      </c>
      <c r="I101" s="15">
        <v>1093.8</v>
      </c>
      <c r="J101" s="15">
        <v>1020</v>
      </c>
      <c r="K101" s="15">
        <v>1020</v>
      </c>
      <c r="L101" s="15">
        <v>1020</v>
      </c>
      <c r="M101" s="15">
        <v>1020</v>
      </c>
      <c r="N101" s="15">
        <v>510</v>
      </c>
      <c r="O101" t="s">
        <v>75</v>
      </c>
    </row>
    <row r="102" spans="1:15" x14ac:dyDescent="0.25">
      <c r="A102" s="10" t="s">
        <v>298</v>
      </c>
      <c r="B102" s="15">
        <v>459</v>
      </c>
      <c r="C102" s="15">
        <v>459</v>
      </c>
      <c r="D102" s="15">
        <v>459</v>
      </c>
      <c r="E102" s="15">
        <v>459</v>
      </c>
      <c r="F102" s="15">
        <v>459</v>
      </c>
      <c r="G102" s="15">
        <v>459</v>
      </c>
      <c r="H102" s="15">
        <v>612</v>
      </c>
      <c r="I102" s="15">
        <v>612</v>
      </c>
      <c r="J102" s="15">
        <v>374</v>
      </c>
      <c r="K102" s="15">
        <v>0</v>
      </c>
      <c r="L102" s="15">
        <v>0</v>
      </c>
      <c r="M102" s="15">
        <v>0</v>
      </c>
      <c r="N102" s="15">
        <v>382.5</v>
      </c>
      <c r="O102" t="s">
        <v>75</v>
      </c>
    </row>
    <row r="103" spans="1:15" x14ac:dyDescent="0.25">
      <c r="A103" s="10" t="s">
        <v>300</v>
      </c>
      <c r="B103" s="15">
        <v>2100.17</v>
      </c>
      <c r="C103" s="15">
        <v>4030.66</v>
      </c>
      <c r="D103" s="15">
        <v>965.06</v>
      </c>
      <c r="E103" s="15">
        <v>2100.17</v>
      </c>
      <c r="F103" s="15">
        <v>2256.1</v>
      </c>
      <c r="G103" s="15">
        <v>2161.34</v>
      </c>
      <c r="H103" s="15">
        <v>3229.93</v>
      </c>
      <c r="I103" s="15">
        <v>2777.57</v>
      </c>
      <c r="J103" s="15">
        <v>2441.02</v>
      </c>
      <c r="K103" s="15">
        <v>2400.9</v>
      </c>
      <c r="L103" s="15">
        <v>2467.63</v>
      </c>
      <c r="M103" s="15">
        <v>4584.95</v>
      </c>
      <c r="N103" s="15">
        <v>2462.67</v>
      </c>
      <c r="O103" t="s">
        <v>75</v>
      </c>
    </row>
    <row r="104" spans="1:15" x14ac:dyDescent="0.25">
      <c r="A104" s="10" t="s">
        <v>302</v>
      </c>
      <c r="B104" s="15">
        <v>997.76</v>
      </c>
      <c r="C104" s="15">
        <v>992.74</v>
      </c>
      <c r="D104" s="15">
        <v>1006.55</v>
      </c>
      <c r="E104" s="15">
        <v>985.3</v>
      </c>
      <c r="F104" s="15">
        <v>961.23</v>
      </c>
      <c r="G104" s="15">
        <v>953.3</v>
      </c>
      <c r="H104" s="15">
        <v>1316.09</v>
      </c>
      <c r="I104" s="15">
        <v>1283.6600000000001</v>
      </c>
      <c r="J104" s="15">
        <v>1945.59</v>
      </c>
      <c r="K104" s="15">
        <v>650.07000000000005</v>
      </c>
      <c r="L104" s="15">
        <v>1055.21</v>
      </c>
      <c r="M104" s="15">
        <v>1059.94</v>
      </c>
      <c r="N104" s="15">
        <v>1073.1199999999999</v>
      </c>
      <c r="O104" t="s">
        <v>75</v>
      </c>
    </row>
    <row r="105" spans="1:15" x14ac:dyDescent="0.25">
      <c r="A105" s="10" t="s">
        <v>304</v>
      </c>
      <c r="B105" s="15">
        <v>1554.27</v>
      </c>
      <c r="C105" s="15">
        <v>1554.27</v>
      </c>
      <c r="D105" s="15">
        <v>1829.13</v>
      </c>
      <c r="E105" s="15">
        <v>1554.27</v>
      </c>
      <c r="F105" s="15">
        <v>3831.96</v>
      </c>
      <c r="G105" s="15">
        <v>159.84</v>
      </c>
      <c r="H105" s="15">
        <v>2287.61</v>
      </c>
      <c r="I105" s="15">
        <v>1976.78</v>
      </c>
      <c r="J105" s="15">
        <v>1726.28</v>
      </c>
      <c r="K105" s="15">
        <v>1776.56</v>
      </c>
      <c r="L105" s="15">
        <v>1776.56</v>
      </c>
      <c r="M105" s="15">
        <v>1776.56</v>
      </c>
      <c r="N105" s="15">
        <v>1822.17</v>
      </c>
      <c r="O105" t="s">
        <v>75</v>
      </c>
    </row>
    <row r="106" spans="1:15" x14ac:dyDescent="0.25">
      <c r="A106" s="10" t="s">
        <v>306</v>
      </c>
      <c r="B106" s="15">
        <v>1155.6199999999999</v>
      </c>
      <c r="C106" s="15">
        <v>1144</v>
      </c>
      <c r="D106" s="15">
        <v>1431.92</v>
      </c>
      <c r="E106" s="15">
        <v>1315</v>
      </c>
      <c r="F106" s="15">
        <v>1421.8</v>
      </c>
      <c r="G106" s="15">
        <v>2185.16</v>
      </c>
      <c r="H106" s="15">
        <v>2597.7199999999998</v>
      </c>
      <c r="I106" s="15">
        <v>2360.2199999999998</v>
      </c>
      <c r="J106" s="15">
        <v>1675</v>
      </c>
      <c r="K106" s="15">
        <v>1675</v>
      </c>
      <c r="L106" s="15">
        <v>1840.21</v>
      </c>
      <c r="M106" s="15">
        <v>1870.5</v>
      </c>
      <c r="N106" s="15">
        <v>1792.64</v>
      </c>
      <c r="O106" t="s">
        <v>75</v>
      </c>
    </row>
    <row r="107" spans="1:15" x14ac:dyDescent="0.25">
      <c r="A107" s="10" t="s">
        <v>308</v>
      </c>
      <c r="B107" s="15">
        <v>918</v>
      </c>
      <c r="C107" s="15">
        <v>918</v>
      </c>
      <c r="D107" s="15">
        <v>918</v>
      </c>
      <c r="E107" s="15">
        <v>918</v>
      </c>
      <c r="F107" s="15">
        <v>918</v>
      </c>
      <c r="G107" s="15">
        <v>918</v>
      </c>
      <c r="H107" s="15">
        <v>1249.56</v>
      </c>
      <c r="I107" s="15">
        <v>1249.56</v>
      </c>
      <c r="J107" s="15">
        <v>1020</v>
      </c>
      <c r="K107" s="15">
        <v>1020</v>
      </c>
      <c r="L107" s="15">
        <v>1020</v>
      </c>
      <c r="M107" s="15">
        <v>1020</v>
      </c>
      <c r="N107" s="15">
        <v>1020</v>
      </c>
      <c r="O107" t="s">
        <v>75</v>
      </c>
    </row>
    <row r="108" spans="1:15" x14ac:dyDescent="0.25">
      <c r="A108" s="10" t="s">
        <v>310</v>
      </c>
      <c r="B108" s="15">
        <v>625.4</v>
      </c>
      <c r="C108" s="15">
        <v>1870.48</v>
      </c>
      <c r="D108" s="15">
        <v>2050.34</v>
      </c>
      <c r="E108" s="15">
        <v>1870.48</v>
      </c>
      <c r="F108" s="15">
        <v>2051.1</v>
      </c>
      <c r="G108" s="15">
        <v>1870.48</v>
      </c>
      <c r="H108" s="15">
        <v>2679.01</v>
      </c>
      <c r="I108" s="15">
        <v>2479.5100000000002</v>
      </c>
      <c r="J108" s="15">
        <v>2299.33</v>
      </c>
      <c r="K108" s="15">
        <v>2077.5100000000002</v>
      </c>
      <c r="L108" s="15">
        <v>2347.92</v>
      </c>
      <c r="M108" s="15">
        <v>4017.84</v>
      </c>
      <c r="N108" s="15">
        <v>2168.1999999999998</v>
      </c>
      <c r="O108" t="s">
        <v>75</v>
      </c>
    </row>
    <row r="109" spans="1:15" x14ac:dyDescent="0.25">
      <c r="A109" s="10" t="s">
        <v>312</v>
      </c>
      <c r="B109" s="15">
        <v>1500</v>
      </c>
      <c r="C109" s="15">
        <v>1500</v>
      </c>
      <c r="D109" s="15">
        <v>1576.01</v>
      </c>
      <c r="E109" s="15">
        <v>1500</v>
      </c>
      <c r="F109" s="15">
        <v>1626.91</v>
      </c>
      <c r="G109" s="15">
        <v>1500</v>
      </c>
      <c r="H109" s="15">
        <v>2112.2399999999998</v>
      </c>
      <c r="I109" s="15">
        <v>1998</v>
      </c>
      <c r="J109" s="15">
        <v>3978.3</v>
      </c>
      <c r="K109" s="15">
        <v>55.53</v>
      </c>
      <c r="L109" s="15">
        <v>1684.97</v>
      </c>
      <c r="M109" s="15">
        <v>1666</v>
      </c>
      <c r="N109" s="15">
        <v>1702.98</v>
      </c>
      <c r="O109" t="s">
        <v>75</v>
      </c>
    </row>
    <row r="110" spans="1:15" x14ac:dyDescent="0.25">
      <c r="A110" s="10" t="s">
        <v>314</v>
      </c>
      <c r="B110" s="15">
        <v>100.53</v>
      </c>
      <c r="C110" s="15">
        <v>1407.47</v>
      </c>
      <c r="D110" s="15">
        <v>1508</v>
      </c>
      <c r="E110" s="15">
        <v>1508</v>
      </c>
      <c r="F110" s="15">
        <v>1608.56</v>
      </c>
      <c r="G110" s="15">
        <v>1508</v>
      </c>
      <c r="H110" s="15">
        <v>2020.14</v>
      </c>
      <c r="I110" s="15">
        <v>2009</v>
      </c>
      <c r="J110" s="15">
        <v>1675</v>
      </c>
      <c r="K110" s="15">
        <v>1675</v>
      </c>
      <c r="L110" s="15">
        <v>1675</v>
      </c>
      <c r="M110" s="15">
        <v>1675</v>
      </c>
      <c r="N110" s="15">
        <v>1685.06</v>
      </c>
      <c r="O110" t="s">
        <v>75</v>
      </c>
    </row>
    <row r="111" spans="1:15" x14ac:dyDescent="0.25">
      <c r="A111" s="10" t="s">
        <v>316</v>
      </c>
      <c r="B111" s="15">
        <v>1170</v>
      </c>
      <c r="C111" s="15">
        <v>2859.83</v>
      </c>
      <c r="D111" s="15">
        <v>0</v>
      </c>
      <c r="E111" s="15">
        <v>1170</v>
      </c>
      <c r="F111" s="15">
        <v>1170</v>
      </c>
      <c r="G111" s="15">
        <v>1170</v>
      </c>
      <c r="H111" s="15">
        <v>1679.41</v>
      </c>
      <c r="I111" s="15">
        <v>1495</v>
      </c>
      <c r="J111" s="15">
        <v>1300</v>
      </c>
      <c r="K111" s="15">
        <v>1300</v>
      </c>
      <c r="L111" s="15">
        <v>1300</v>
      </c>
      <c r="M111" s="15">
        <v>1300</v>
      </c>
      <c r="N111" s="15">
        <v>1300</v>
      </c>
      <c r="O111" t="s">
        <v>75</v>
      </c>
    </row>
    <row r="112" spans="1:15" x14ac:dyDescent="0.25">
      <c r="A112" s="10" t="s">
        <v>318</v>
      </c>
      <c r="B112" s="15">
        <v>3640</v>
      </c>
      <c r="C112" s="15">
        <v>4200</v>
      </c>
      <c r="D112" s="15">
        <v>4200</v>
      </c>
      <c r="E112" s="15">
        <v>4200</v>
      </c>
      <c r="F112" s="15">
        <v>4200</v>
      </c>
      <c r="G112" s="15">
        <v>4200</v>
      </c>
      <c r="H112" s="15">
        <v>5595</v>
      </c>
      <c r="I112" s="15">
        <v>5595</v>
      </c>
      <c r="J112" s="15">
        <v>4665</v>
      </c>
      <c r="K112" s="15">
        <v>4665</v>
      </c>
      <c r="L112" s="15">
        <v>4665</v>
      </c>
      <c r="M112" s="15">
        <v>4665</v>
      </c>
      <c r="N112" s="15">
        <v>4665</v>
      </c>
      <c r="O112" t="s">
        <v>75</v>
      </c>
    </row>
    <row r="113" spans="1:15" x14ac:dyDescent="0.25">
      <c r="A113" s="10" t="s">
        <v>320</v>
      </c>
      <c r="B113" s="15">
        <v>3031.17</v>
      </c>
      <c r="C113" s="15">
        <v>103.6</v>
      </c>
      <c r="D113" s="15">
        <v>1391.16</v>
      </c>
      <c r="E113" s="15">
        <v>1459.35</v>
      </c>
      <c r="F113" s="15">
        <v>1493.28</v>
      </c>
      <c r="G113" s="15">
        <v>1762.38</v>
      </c>
      <c r="H113" s="15">
        <v>2611.14</v>
      </c>
      <c r="I113" s="15">
        <v>2328.3200000000002</v>
      </c>
      <c r="J113" s="15">
        <v>1916.47</v>
      </c>
      <c r="K113" s="15">
        <v>1799.79</v>
      </c>
      <c r="L113" s="15">
        <v>2099.7399999999998</v>
      </c>
      <c r="M113" s="15">
        <v>1844.99</v>
      </c>
      <c r="N113" s="15">
        <v>1941.11</v>
      </c>
      <c r="O113" t="s">
        <v>75</v>
      </c>
    </row>
    <row r="114" spans="1:15" x14ac:dyDescent="0.25">
      <c r="A114" s="10" t="s">
        <v>322</v>
      </c>
      <c r="B114" s="15">
        <v>2022.5</v>
      </c>
      <c r="C114" s="15">
        <v>1427.7</v>
      </c>
      <c r="D114" s="15">
        <v>1907.86</v>
      </c>
      <c r="E114" s="15">
        <v>1323.35</v>
      </c>
      <c r="F114" s="15">
        <v>485.23</v>
      </c>
      <c r="G114" s="15">
        <v>0</v>
      </c>
      <c r="H114" s="15">
        <v>0</v>
      </c>
      <c r="I114" s="15">
        <v>483.2</v>
      </c>
      <c r="J114" s="15">
        <v>0</v>
      </c>
      <c r="K114" s="15">
        <v>0</v>
      </c>
      <c r="L114" s="15">
        <v>0</v>
      </c>
      <c r="M114" s="15">
        <v>0</v>
      </c>
      <c r="N114" s="15">
        <v>830.29</v>
      </c>
      <c r="O114" t="s">
        <v>75</v>
      </c>
    </row>
    <row r="115" spans="1:15" x14ac:dyDescent="0.25">
      <c r="A115" s="10" t="s">
        <v>324</v>
      </c>
      <c r="B115" s="15">
        <v>1225.93</v>
      </c>
      <c r="C115" s="15">
        <v>1213.01</v>
      </c>
      <c r="D115" s="15">
        <v>1444.64</v>
      </c>
      <c r="E115" s="15">
        <v>1416.42</v>
      </c>
      <c r="F115" s="15">
        <v>1447.48</v>
      </c>
      <c r="G115" s="15">
        <v>2786.69</v>
      </c>
      <c r="H115" s="15">
        <v>2144.09</v>
      </c>
      <c r="I115" s="15">
        <v>2341.0100000000002</v>
      </c>
      <c r="J115" s="15">
        <v>1867.82</v>
      </c>
      <c r="K115" s="15">
        <v>1738.24</v>
      </c>
      <c r="L115" s="15">
        <v>1928.29</v>
      </c>
      <c r="M115" s="15">
        <v>1736.42</v>
      </c>
      <c r="N115" s="15">
        <v>1811.6</v>
      </c>
      <c r="O115" t="s">
        <v>75</v>
      </c>
    </row>
    <row r="116" spans="1:15" x14ac:dyDescent="0.25">
      <c r="A116" s="10" t="s">
        <v>326</v>
      </c>
      <c r="B116" s="15">
        <v>925.84</v>
      </c>
      <c r="C116" s="15">
        <v>642.6</v>
      </c>
      <c r="D116" s="15">
        <v>428.4</v>
      </c>
      <c r="E116" s="15">
        <v>122.4</v>
      </c>
      <c r="F116" s="15">
        <v>0</v>
      </c>
      <c r="G116" s="15">
        <v>0</v>
      </c>
      <c r="H116" s="15">
        <v>0</v>
      </c>
      <c r="I116" s="15">
        <v>170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t="s">
        <v>75</v>
      </c>
    </row>
    <row r="117" spans="1:15" x14ac:dyDescent="0.25">
      <c r="A117" s="10" t="s">
        <v>328</v>
      </c>
      <c r="B117" s="15">
        <v>1276.83</v>
      </c>
      <c r="C117" s="15">
        <v>1286.6300000000001</v>
      </c>
      <c r="D117" s="15">
        <v>1278.58</v>
      </c>
      <c r="E117" s="15">
        <v>1264.55</v>
      </c>
      <c r="F117" s="15">
        <v>1327.74</v>
      </c>
      <c r="G117" s="15">
        <v>1220.51</v>
      </c>
      <c r="H117" s="15">
        <v>1652.35</v>
      </c>
      <c r="I117" s="15">
        <v>1604.95</v>
      </c>
      <c r="J117" s="15">
        <v>1349.99</v>
      </c>
      <c r="K117" s="15">
        <v>3224.2</v>
      </c>
      <c r="L117" s="15">
        <v>25.34</v>
      </c>
      <c r="M117" s="15">
        <v>1488.71</v>
      </c>
      <c r="N117" s="15">
        <v>1395.5</v>
      </c>
      <c r="O117" t="s">
        <v>75</v>
      </c>
    </row>
    <row r="118" spans="1:15" x14ac:dyDescent="0.25">
      <c r="A118" s="10" t="s">
        <v>330</v>
      </c>
      <c r="B118" s="15">
        <v>966</v>
      </c>
      <c r="C118" s="15">
        <v>966</v>
      </c>
      <c r="D118" s="15">
        <v>970.01</v>
      </c>
      <c r="E118" s="15">
        <v>1519</v>
      </c>
      <c r="F118" s="15">
        <v>1045</v>
      </c>
      <c r="G118" s="15">
        <v>1045</v>
      </c>
      <c r="H118" s="15">
        <v>1435.53</v>
      </c>
      <c r="I118" s="15">
        <v>1442.98</v>
      </c>
      <c r="J118" s="15">
        <v>1161</v>
      </c>
      <c r="K118" s="15">
        <v>1161</v>
      </c>
      <c r="L118" s="15">
        <v>1161</v>
      </c>
      <c r="M118" s="15">
        <v>2865.25</v>
      </c>
      <c r="N118" s="15">
        <v>1170.03</v>
      </c>
      <c r="O118" t="s">
        <v>75</v>
      </c>
    </row>
    <row r="119" spans="1:15" x14ac:dyDescent="0.25">
      <c r="A119" s="10" t="s">
        <v>332</v>
      </c>
      <c r="B119" s="15">
        <v>1293.32</v>
      </c>
      <c r="C119" s="15">
        <v>1291.4100000000001</v>
      </c>
      <c r="D119" s="15">
        <v>1306.72</v>
      </c>
      <c r="E119" s="15">
        <v>1267.51</v>
      </c>
      <c r="F119" s="15">
        <v>1347.5</v>
      </c>
      <c r="G119" s="15">
        <v>1508</v>
      </c>
      <c r="H119" s="15">
        <v>2530.23</v>
      </c>
      <c r="I119" s="15">
        <v>3913.61</v>
      </c>
      <c r="J119" s="15">
        <v>1116.67</v>
      </c>
      <c r="K119" s="15">
        <v>1675</v>
      </c>
      <c r="L119" s="15">
        <v>1675</v>
      </c>
      <c r="M119" s="15">
        <v>1797.19</v>
      </c>
      <c r="N119" s="15">
        <v>1742.58</v>
      </c>
      <c r="O119" t="s">
        <v>75</v>
      </c>
    </row>
    <row r="120" spans="1:15" x14ac:dyDescent="0.25">
      <c r="A120" s="10" t="s">
        <v>334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814.1</v>
      </c>
      <c r="M120" s="15">
        <v>1281.69</v>
      </c>
      <c r="N120" s="15">
        <v>203.72</v>
      </c>
      <c r="O120" t="s">
        <v>75</v>
      </c>
    </row>
    <row r="121" spans="1:15" x14ac:dyDescent="0.25">
      <c r="A121" s="10" t="s">
        <v>336</v>
      </c>
      <c r="B121" s="15">
        <v>1495.68</v>
      </c>
      <c r="C121" s="15">
        <v>1321</v>
      </c>
      <c r="D121" s="15">
        <v>1514.61</v>
      </c>
      <c r="E121" s="15">
        <v>1434.99</v>
      </c>
      <c r="F121" s="15">
        <v>1452.03</v>
      </c>
      <c r="G121" s="15">
        <v>1321</v>
      </c>
      <c r="H121" s="15">
        <v>2465.14</v>
      </c>
      <c r="I121" s="15">
        <v>1759</v>
      </c>
      <c r="J121" s="15">
        <v>2421.84</v>
      </c>
      <c r="K121" s="15">
        <v>1271.4000000000001</v>
      </c>
      <c r="L121" s="15">
        <v>1818.29</v>
      </c>
      <c r="M121" s="15">
        <v>1467</v>
      </c>
      <c r="N121" s="15">
        <v>1626.06</v>
      </c>
      <c r="O121" t="s">
        <v>75</v>
      </c>
    </row>
    <row r="122" spans="1:15" x14ac:dyDescent="0.25">
      <c r="A122" s="10" t="s">
        <v>338</v>
      </c>
      <c r="B122" s="15">
        <v>3007.6</v>
      </c>
      <c r="C122" s="15">
        <v>2778</v>
      </c>
      <c r="D122" s="15">
        <v>3097.56</v>
      </c>
      <c r="E122" s="15">
        <v>2778</v>
      </c>
      <c r="F122" s="15">
        <v>2778</v>
      </c>
      <c r="G122" s="15">
        <v>2778</v>
      </c>
      <c r="H122" s="15">
        <v>3737.44</v>
      </c>
      <c r="I122" s="15">
        <v>3702</v>
      </c>
      <c r="J122" s="15">
        <v>5884.88</v>
      </c>
      <c r="K122" s="15">
        <v>1028.67</v>
      </c>
      <c r="L122" s="15">
        <v>3086</v>
      </c>
      <c r="M122" s="15">
        <v>3086</v>
      </c>
      <c r="N122" s="15">
        <v>3138.9</v>
      </c>
      <c r="O122" t="s">
        <v>75</v>
      </c>
    </row>
    <row r="123" spans="1:15" x14ac:dyDescent="0.25">
      <c r="A123" s="10" t="s">
        <v>340</v>
      </c>
      <c r="B123" s="15">
        <v>3723.62</v>
      </c>
      <c r="C123" s="15">
        <v>3681.77</v>
      </c>
      <c r="D123" s="15">
        <v>3698.67</v>
      </c>
      <c r="E123" s="15">
        <v>3702.69</v>
      </c>
      <c r="F123" s="15">
        <v>3723.62</v>
      </c>
      <c r="G123" s="15">
        <v>7882.49</v>
      </c>
      <c r="H123" s="15">
        <v>3021.66</v>
      </c>
      <c r="I123" s="15">
        <v>4648.88</v>
      </c>
      <c r="J123" s="15">
        <v>4112.21</v>
      </c>
      <c r="K123" s="15">
        <v>4165.47</v>
      </c>
      <c r="L123" s="15">
        <v>4141.26</v>
      </c>
      <c r="M123" s="15">
        <v>4107.74</v>
      </c>
      <c r="N123" s="15">
        <v>4123.88</v>
      </c>
      <c r="O123" t="s">
        <v>75</v>
      </c>
    </row>
    <row r="124" spans="1:15" x14ac:dyDescent="0.25">
      <c r="A124" s="10" t="s">
        <v>342</v>
      </c>
      <c r="B124" s="15">
        <v>4027.75</v>
      </c>
      <c r="C124" s="15">
        <v>3827.48</v>
      </c>
      <c r="D124" s="15">
        <v>4155.04</v>
      </c>
      <c r="E124" s="15">
        <v>3827.48</v>
      </c>
      <c r="F124" s="15">
        <v>4391.43</v>
      </c>
      <c r="G124" s="15">
        <v>5736.88</v>
      </c>
      <c r="H124" s="15">
        <v>5528.8</v>
      </c>
      <c r="I124" s="15">
        <v>4949.51</v>
      </c>
      <c r="J124" s="15">
        <v>4511.04</v>
      </c>
      <c r="K124" s="15">
        <v>4250.8100000000004</v>
      </c>
      <c r="L124" s="15">
        <v>4303.04</v>
      </c>
      <c r="M124" s="15">
        <v>4250.8100000000004</v>
      </c>
      <c r="N124" s="15">
        <v>4410.7</v>
      </c>
      <c r="O124" t="s">
        <v>75</v>
      </c>
    </row>
    <row r="125" spans="1:15" x14ac:dyDescent="0.25">
      <c r="A125" s="10" t="s">
        <v>344</v>
      </c>
      <c r="B125" s="15">
        <v>918</v>
      </c>
      <c r="C125" s="15">
        <v>918</v>
      </c>
      <c r="D125" s="15">
        <v>918</v>
      </c>
      <c r="E125" s="15">
        <v>981.4</v>
      </c>
      <c r="F125" s="15">
        <v>918</v>
      </c>
      <c r="G125" s="15">
        <v>2165.0700000000002</v>
      </c>
      <c r="H125" s="15">
        <v>383.13</v>
      </c>
      <c r="I125" s="15">
        <v>1156</v>
      </c>
      <c r="J125" s="15">
        <v>1020</v>
      </c>
      <c r="K125" s="15">
        <v>1020</v>
      </c>
      <c r="L125" s="15">
        <v>1163</v>
      </c>
      <c r="M125" s="15">
        <v>1414.99</v>
      </c>
      <c r="N125" s="15">
        <v>1317.28</v>
      </c>
      <c r="O125" t="s">
        <v>75</v>
      </c>
    </row>
    <row r="126" spans="1:15" x14ac:dyDescent="0.25">
      <c r="A126" s="10" t="s">
        <v>346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1382.4</v>
      </c>
      <c r="J126" s="15">
        <v>2606.42</v>
      </c>
      <c r="K126" s="15">
        <v>2592</v>
      </c>
      <c r="L126" s="15">
        <v>2846.85</v>
      </c>
      <c r="M126" s="15">
        <v>2727</v>
      </c>
      <c r="N126" s="15">
        <v>1147.49</v>
      </c>
      <c r="O126" t="s">
        <v>75</v>
      </c>
    </row>
    <row r="127" spans="1:15" x14ac:dyDescent="0.25">
      <c r="A127" s="10" t="s">
        <v>348</v>
      </c>
      <c r="B127" s="15">
        <v>1937.34</v>
      </c>
      <c r="C127" s="15">
        <v>1726.34</v>
      </c>
      <c r="D127" s="15">
        <v>1939.32</v>
      </c>
      <c r="E127" s="15">
        <v>1726.34</v>
      </c>
      <c r="F127" s="15">
        <v>1890.94</v>
      </c>
      <c r="G127" s="15">
        <v>1726.34</v>
      </c>
      <c r="H127" s="15">
        <v>2441.41</v>
      </c>
      <c r="I127" s="15">
        <v>2292.2600000000002</v>
      </c>
      <c r="J127" s="15">
        <v>2892.34</v>
      </c>
      <c r="K127" s="15">
        <v>1662.14</v>
      </c>
      <c r="L127" s="15">
        <v>1109.21</v>
      </c>
      <c r="M127" s="15">
        <v>0</v>
      </c>
      <c r="N127" s="15">
        <v>1999.75</v>
      </c>
      <c r="O127" t="s">
        <v>75</v>
      </c>
    </row>
    <row r="128" spans="1:15" x14ac:dyDescent="0.25">
      <c r="A128" s="10" t="s">
        <v>350</v>
      </c>
      <c r="B128" s="15">
        <v>1639.02</v>
      </c>
      <c r="C128" s="15">
        <v>1645.2</v>
      </c>
      <c r="D128" s="15">
        <v>1653.19</v>
      </c>
      <c r="E128" s="15">
        <v>1625.54</v>
      </c>
      <c r="F128" s="15">
        <v>1806.61</v>
      </c>
      <c r="G128" s="15">
        <v>2079.98</v>
      </c>
      <c r="H128" s="15">
        <v>3507.86</v>
      </c>
      <c r="I128" s="15">
        <v>3854.86</v>
      </c>
      <c r="J128" s="15">
        <v>2701</v>
      </c>
      <c r="K128" s="15">
        <v>2701</v>
      </c>
      <c r="L128" s="15">
        <v>3255.56</v>
      </c>
      <c r="M128" s="15">
        <v>6949.55</v>
      </c>
      <c r="N128" s="15">
        <v>2884.99</v>
      </c>
      <c r="O128" t="s">
        <v>75</v>
      </c>
    </row>
    <row r="129" spans="1:15" x14ac:dyDescent="0.25">
      <c r="A129" s="10" t="s">
        <v>352</v>
      </c>
      <c r="B129" s="15">
        <v>10014</v>
      </c>
      <c r="C129" s="15">
        <v>10014</v>
      </c>
      <c r="D129" s="15">
        <v>10014</v>
      </c>
      <c r="E129" s="15">
        <v>23822.67</v>
      </c>
      <c r="F129" s="15">
        <v>4204</v>
      </c>
      <c r="G129" s="15">
        <v>12612</v>
      </c>
      <c r="H129" s="15">
        <v>12612</v>
      </c>
      <c r="I129" s="15">
        <v>12612</v>
      </c>
      <c r="J129" s="15">
        <v>12612</v>
      </c>
      <c r="K129" s="15">
        <v>12612</v>
      </c>
      <c r="L129" s="15">
        <v>12612</v>
      </c>
      <c r="M129" s="15">
        <v>12612</v>
      </c>
      <c r="N129" s="15">
        <v>12612</v>
      </c>
      <c r="O129" t="s">
        <v>75</v>
      </c>
    </row>
    <row r="130" spans="1:15" x14ac:dyDescent="0.25">
      <c r="A130" s="10" t="s">
        <v>354</v>
      </c>
      <c r="B130" s="15">
        <v>1458.38</v>
      </c>
      <c r="C130" s="15">
        <v>2688.32</v>
      </c>
      <c r="D130" s="15">
        <v>680.83</v>
      </c>
      <c r="E130" s="15">
        <v>933.33</v>
      </c>
      <c r="F130" s="15">
        <v>0</v>
      </c>
      <c r="G130" s="15">
        <v>0</v>
      </c>
      <c r="H130" s="15">
        <v>1249.9000000000001</v>
      </c>
      <c r="I130" s="15">
        <v>1648.02</v>
      </c>
      <c r="J130" s="15">
        <v>1566.48</v>
      </c>
      <c r="K130" s="15">
        <v>1603.39</v>
      </c>
      <c r="L130" s="15">
        <v>1606.46</v>
      </c>
      <c r="M130" s="15">
        <v>1603.62</v>
      </c>
      <c r="N130" s="15">
        <v>1329.79</v>
      </c>
      <c r="O130" t="s">
        <v>75</v>
      </c>
    </row>
    <row r="131" spans="1:15" x14ac:dyDescent="0.25">
      <c r="A131" s="10" t="s">
        <v>356</v>
      </c>
      <c r="B131" s="15">
        <v>2228.56</v>
      </c>
      <c r="C131" s="15">
        <v>30.6</v>
      </c>
      <c r="D131" s="15">
        <v>954.9</v>
      </c>
      <c r="E131" s="15">
        <v>918</v>
      </c>
      <c r="F131" s="15">
        <v>918</v>
      </c>
      <c r="G131" s="15">
        <v>918</v>
      </c>
      <c r="H131" s="15">
        <v>1195.8</v>
      </c>
      <c r="I131" s="15">
        <v>1222.3</v>
      </c>
      <c r="J131" s="15">
        <v>1020</v>
      </c>
      <c r="K131" s="15">
        <v>1020</v>
      </c>
      <c r="L131" s="15">
        <v>1034.8699999999999</v>
      </c>
      <c r="M131" s="15">
        <v>1020</v>
      </c>
      <c r="N131" s="15">
        <v>1028.01</v>
      </c>
      <c r="O131" t="s">
        <v>75</v>
      </c>
    </row>
    <row r="132" spans="1:15" x14ac:dyDescent="0.25">
      <c r="A132" s="10" t="s">
        <v>358</v>
      </c>
      <c r="B132" s="15">
        <v>2523.04</v>
      </c>
      <c r="C132" s="15">
        <v>2282.48</v>
      </c>
      <c r="D132" s="15">
        <v>152.16</v>
      </c>
      <c r="E132" s="15">
        <v>0</v>
      </c>
      <c r="F132" s="15">
        <v>0</v>
      </c>
      <c r="G132" s="15">
        <v>0</v>
      </c>
      <c r="H132" s="15">
        <v>0</v>
      </c>
      <c r="I132" s="15">
        <v>708.25</v>
      </c>
      <c r="J132" s="15">
        <v>0</v>
      </c>
      <c r="K132" s="15">
        <v>0</v>
      </c>
      <c r="L132" s="15">
        <v>0</v>
      </c>
      <c r="M132" s="15">
        <v>0</v>
      </c>
      <c r="N132" s="15">
        <v>656.08</v>
      </c>
      <c r="O132" t="s">
        <v>75</v>
      </c>
    </row>
    <row r="133" spans="1:15" x14ac:dyDescent="0.25">
      <c r="A133" s="10" t="s">
        <v>360</v>
      </c>
      <c r="B133" s="15">
        <v>3498</v>
      </c>
      <c r="C133" s="15">
        <v>3498</v>
      </c>
      <c r="D133" s="15">
        <v>3618.47</v>
      </c>
      <c r="E133" s="15">
        <v>3498</v>
      </c>
      <c r="F133" s="15">
        <v>3498</v>
      </c>
      <c r="G133" s="15">
        <v>3498</v>
      </c>
      <c r="H133" s="15">
        <v>4672.33</v>
      </c>
      <c r="I133" s="15">
        <v>4659</v>
      </c>
      <c r="J133" s="15">
        <v>3885</v>
      </c>
      <c r="K133" s="15">
        <v>3885</v>
      </c>
      <c r="L133" s="15">
        <v>3575.97</v>
      </c>
      <c r="M133" s="15">
        <v>5706.74</v>
      </c>
      <c r="N133" s="15">
        <v>3897.08</v>
      </c>
      <c r="O133" t="s">
        <v>75</v>
      </c>
    </row>
    <row r="134" spans="1:15" x14ac:dyDescent="0.25">
      <c r="A134" s="10" t="s">
        <v>362</v>
      </c>
      <c r="B134" s="15">
        <v>987.06</v>
      </c>
      <c r="C134" s="15">
        <v>918</v>
      </c>
      <c r="D134" s="15">
        <v>918</v>
      </c>
      <c r="E134" s="15">
        <v>918</v>
      </c>
      <c r="F134" s="15">
        <v>918</v>
      </c>
      <c r="G134" s="15">
        <v>918</v>
      </c>
      <c r="H134" s="15">
        <v>1249.56</v>
      </c>
      <c r="I134" s="15">
        <v>1249.56</v>
      </c>
      <c r="J134" s="15">
        <v>544</v>
      </c>
      <c r="K134" s="15">
        <v>0</v>
      </c>
      <c r="L134" s="15">
        <v>0</v>
      </c>
      <c r="M134" s="15">
        <v>0</v>
      </c>
      <c r="N134" s="15">
        <v>860.06</v>
      </c>
      <c r="O134" t="s">
        <v>75</v>
      </c>
    </row>
    <row r="135" spans="1:15" x14ac:dyDescent="0.25">
      <c r="A135" s="10" t="s">
        <v>364</v>
      </c>
      <c r="B135" s="15">
        <v>1768.08</v>
      </c>
      <c r="C135" s="15">
        <v>3328.99</v>
      </c>
      <c r="D135" s="15">
        <v>884.04</v>
      </c>
      <c r="E135" s="15">
        <v>1768.08</v>
      </c>
      <c r="F135" s="15">
        <v>1864.45</v>
      </c>
      <c r="G135" s="15">
        <v>1768.08</v>
      </c>
      <c r="H135" s="15">
        <v>2337.4699999999998</v>
      </c>
      <c r="I135" s="15">
        <v>2287.9299999999998</v>
      </c>
      <c r="J135" s="15">
        <v>1964.18</v>
      </c>
      <c r="K135" s="15">
        <v>1964.18</v>
      </c>
      <c r="L135" s="15">
        <v>1964.18</v>
      </c>
      <c r="M135" s="15">
        <v>2133.09</v>
      </c>
      <c r="N135" s="15">
        <v>1989.04</v>
      </c>
      <c r="O135" t="s">
        <v>75</v>
      </c>
    </row>
    <row r="136" spans="1:15" x14ac:dyDescent="0.25">
      <c r="A136" s="10" t="s">
        <v>366</v>
      </c>
      <c r="B136" s="15">
        <v>91.8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76.5</v>
      </c>
      <c r="O136" t="s">
        <v>75</v>
      </c>
    </row>
    <row r="137" spans="1:15" x14ac:dyDescent="0.25">
      <c r="A137" s="10" t="s">
        <v>368</v>
      </c>
      <c r="B137" s="15">
        <v>1230.75</v>
      </c>
      <c r="C137" s="15">
        <v>1187.81</v>
      </c>
      <c r="D137" s="15">
        <v>1205.72</v>
      </c>
      <c r="E137" s="15">
        <v>1175.4100000000001</v>
      </c>
      <c r="F137" s="15">
        <v>1136.8699999999999</v>
      </c>
      <c r="G137" s="15">
        <v>1145.3800000000001</v>
      </c>
      <c r="H137" s="15">
        <v>3356.25</v>
      </c>
      <c r="I137" s="15">
        <v>265.32</v>
      </c>
      <c r="J137" s="15">
        <v>1247.21</v>
      </c>
      <c r="K137" s="15">
        <v>1271.68</v>
      </c>
      <c r="L137" s="15">
        <v>1269.03</v>
      </c>
      <c r="M137" s="15">
        <v>1274.99</v>
      </c>
      <c r="N137" s="15">
        <v>1289.81</v>
      </c>
      <c r="O137" t="s">
        <v>75</v>
      </c>
    </row>
    <row r="138" spans="1:15" x14ac:dyDescent="0.25">
      <c r="A138" s="10" t="s">
        <v>370</v>
      </c>
      <c r="B138" s="15">
        <v>2062.7600000000002</v>
      </c>
      <c r="C138" s="15">
        <v>2062.7600000000002</v>
      </c>
      <c r="D138" s="15">
        <v>2062.7600000000002</v>
      </c>
      <c r="E138" s="15">
        <v>2062.7600000000002</v>
      </c>
      <c r="F138" s="15">
        <v>2203.17</v>
      </c>
      <c r="G138" s="15">
        <v>4951.63</v>
      </c>
      <c r="H138" s="15">
        <v>1220.22</v>
      </c>
      <c r="I138" s="15">
        <v>2654.73</v>
      </c>
      <c r="J138" s="15">
        <v>2401.2199999999998</v>
      </c>
      <c r="K138" s="15">
        <v>2658.17</v>
      </c>
      <c r="L138" s="15">
        <v>2914.3</v>
      </c>
      <c r="M138" s="15">
        <v>2889.48</v>
      </c>
      <c r="N138" s="15">
        <v>2936.49</v>
      </c>
      <c r="O138" t="s">
        <v>75</v>
      </c>
    </row>
    <row r="139" spans="1:15" x14ac:dyDescent="0.25">
      <c r="A139" s="10" t="s">
        <v>372</v>
      </c>
      <c r="B139" s="15">
        <v>2933.7</v>
      </c>
      <c r="C139" s="15">
        <v>2749.19</v>
      </c>
      <c r="D139" s="15">
        <v>3872.72</v>
      </c>
      <c r="E139" s="15">
        <v>6002.79</v>
      </c>
      <c r="F139" s="15">
        <v>1811.93</v>
      </c>
      <c r="G139" s="15">
        <v>3386.52</v>
      </c>
      <c r="H139" s="15">
        <v>4109.79</v>
      </c>
      <c r="I139" s="15">
        <v>3851.06</v>
      </c>
      <c r="J139" s="15">
        <v>2863.06</v>
      </c>
      <c r="K139" s="15">
        <v>2863.06</v>
      </c>
      <c r="L139" s="15">
        <v>2863.06</v>
      </c>
      <c r="M139" s="15">
        <v>3213.98</v>
      </c>
      <c r="N139" s="15">
        <v>3357.28</v>
      </c>
      <c r="O139" t="s">
        <v>75</v>
      </c>
    </row>
    <row r="140" spans="1:15" x14ac:dyDescent="0.25">
      <c r="A140" s="10" t="s">
        <v>374</v>
      </c>
      <c r="B140" s="15">
        <v>918</v>
      </c>
      <c r="C140" s="15">
        <v>918</v>
      </c>
      <c r="D140" s="15">
        <v>949.86</v>
      </c>
      <c r="E140" s="15">
        <v>153</v>
      </c>
      <c r="F140" s="15">
        <v>30.6</v>
      </c>
      <c r="G140" s="15">
        <v>0</v>
      </c>
      <c r="H140" s="15">
        <v>0</v>
      </c>
      <c r="I140" s="15">
        <v>240.5</v>
      </c>
      <c r="J140" s="15">
        <v>0</v>
      </c>
      <c r="K140" s="15">
        <v>0</v>
      </c>
      <c r="L140" s="15">
        <v>0</v>
      </c>
      <c r="M140" s="15">
        <v>0</v>
      </c>
      <c r="N140" s="15">
        <v>255.09</v>
      </c>
      <c r="O140" t="s">
        <v>75</v>
      </c>
    </row>
    <row r="141" spans="1:15" x14ac:dyDescent="0.25">
      <c r="A141" s="10" t="s">
        <v>376</v>
      </c>
      <c r="B141" s="15">
        <v>1448.03</v>
      </c>
      <c r="C141" s="15">
        <v>3195.93</v>
      </c>
      <c r="D141" s="15">
        <v>680.83</v>
      </c>
      <c r="E141" s="15">
        <v>1459.94</v>
      </c>
      <c r="F141" s="15">
        <v>1408.98</v>
      </c>
      <c r="G141" s="15">
        <v>1413.22</v>
      </c>
      <c r="H141" s="15">
        <v>1859.37</v>
      </c>
      <c r="I141" s="15">
        <v>1802.63</v>
      </c>
      <c r="J141" s="15">
        <v>1560.33</v>
      </c>
      <c r="K141" s="15">
        <v>1555.78</v>
      </c>
      <c r="L141" s="15">
        <v>1555.45</v>
      </c>
      <c r="M141" s="15">
        <v>1674.22</v>
      </c>
      <c r="N141" s="15">
        <v>1583.38</v>
      </c>
      <c r="O141" t="s">
        <v>75</v>
      </c>
    </row>
    <row r="142" spans="1:15" x14ac:dyDescent="0.25">
      <c r="A142" s="10" t="s">
        <v>378</v>
      </c>
      <c r="B142" s="15">
        <v>1362.69</v>
      </c>
      <c r="C142" s="15">
        <v>1362.69</v>
      </c>
      <c r="D142" s="15">
        <v>1458.37</v>
      </c>
      <c r="E142" s="15">
        <v>1362.69</v>
      </c>
      <c r="F142" s="15">
        <v>1362.69</v>
      </c>
      <c r="G142" s="15">
        <v>2832.79</v>
      </c>
      <c r="H142" s="15">
        <v>1109.44</v>
      </c>
      <c r="I142" s="15">
        <v>1778.31</v>
      </c>
      <c r="J142" s="15">
        <v>1513.07</v>
      </c>
      <c r="K142" s="15">
        <v>1513.07</v>
      </c>
      <c r="L142" s="15">
        <v>1513.07</v>
      </c>
      <c r="M142" s="15">
        <v>1513.07</v>
      </c>
      <c r="N142" s="15">
        <v>1527.03</v>
      </c>
      <c r="O142" t="s">
        <v>75</v>
      </c>
    </row>
    <row r="143" spans="1:15" x14ac:dyDescent="0.25">
      <c r="A143" s="10" t="s">
        <v>380</v>
      </c>
      <c r="B143" s="15">
        <v>918</v>
      </c>
      <c r="C143" s="15">
        <v>918</v>
      </c>
      <c r="D143" s="15">
        <v>918</v>
      </c>
      <c r="E143" s="15">
        <v>918</v>
      </c>
      <c r="F143" s="15">
        <v>1342.46</v>
      </c>
      <c r="G143" s="15">
        <v>1387.37</v>
      </c>
      <c r="H143" s="15">
        <v>2268.73</v>
      </c>
      <c r="I143" s="15">
        <v>1938</v>
      </c>
      <c r="J143" s="15">
        <v>3159.45</v>
      </c>
      <c r="K143" s="15">
        <v>43.33</v>
      </c>
      <c r="L143" s="15">
        <v>1263.76</v>
      </c>
      <c r="M143" s="15">
        <v>1300</v>
      </c>
      <c r="N143" s="15">
        <v>1395.18</v>
      </c>
      <c r="O143" t="s">
        <v>75</v>
      </c>
    </row>
    <row r="144" spans="1:15" x14ac:dyDescent="0.25">
      <c r="A144" s="10" t="s">
        <v>382</v>
      </c>
      <c r="B144" s="15">
        <v>918</v>
      </c>
      <c r="C144" s="15">
        <v>918</v>
      </c>
      <c r="D144" s="15">
        <v>918</v>
      </c>
      <c r="E144" s="15">
        <v>918</v>
      </c>
      <c r="F144" s="15">
        <v>918</v>
      </c>
      <c r="G144" s="15">
        <v>918</v>
      </c>
      <c r="H144" s="15">
        <v>1497.28</v>
      </c>
      <c r="I144" s="15">
        <v>1249.56</v>
      </c>
      <c r="J144" s="15">
        <v>1020</v>
      </c>
      <c r="K144" s="15">
        <v>1020</v>
      </c>
      <c r="L144" s="15">
        <v>1020</v>
      </c>
      <c r="M144" s="15">
        <v>1093.52</v>
      </c>
      <c r="N144" s="15">
        <v>1026.1300000000001</v>
      </c>
      <c r="O144" t="s">
        <v>75</v>
      </c>
    </row>
    <row r="145" spans="1:15" x14ac:dyDescent="0.25">
      <c r="A145" s="10" t="s">
        <v>384</v>
      </c>
      <c r="B145" s="15">
        <v>251.33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125.67</v>
      </c>
      <c r="O145" t="s">
        <v>75</v>
      </c>
    </row>
    <row r="146" spans="1:15" x14ac:dyDescent="0.25">
      <c r="A146" s="10" t="s">
        <v>386</v>
      </c>
      <c r="B146" s="15">
        <v>1321</v>
      </c>
      <c r="C146" s="15">
        <v>1321</v>
      </c>
      <c r="D146" s="15">
        <v>1425.42</v>
      </c>
      <c r="E146" s="15">
        <v>1321</v>
      </c>
      <c r="F146" s="15">
        <v>1339.98</v>
      </c>
      <c r="G146" s="15">
        <v>1321</v>
      </c>
      <c r="H146" s="15">
        <v>1895.35</v>
      </c>
      <c r="I146" s="15">
        <v>1759</v>
      </c>
      <c r="J146" s="15">
        <v>2231.0300000000002</v>
      </c>
      <c r="K146" s="15">
        <v>1271.4000000000001</v>
      </c>
      <c r="L146" s="15">
        <v>1505.4</v>
      </c>
      <c r="M146" s="15">
        <v>1467</v>
      </c>
      <c r="N146" s="15">
        <v>1497.93</v>
      </c>
      <c r="O146" t="s">
        <v>75</v>
      </c>
    </row>
    <row r="147" spans="1:15" x14ac:dyDescent="0.25">
      <c r="A147" s="10" t="s">
        <v>388</v>
      </c>
      <c r="B147" s="15">
        <v>1142.1500000000001</v>
      </c>
      <c r="C147" s="15">
        <v>1591</v>
      </c>
      <c r="D147" s="15">
        <v>1491.96</v>
      </c>
      <c r="E147" s="15">
        <v>1178.32</v>
      </c>
      <c r="F147" s="15">
        <v>1354.45</v>
      </c>
      <c r="G147" s="15">
        <v>1553.24</v>
      </c>
      <c r="H147" s="15">
        <v>2908.87</v>
      </c>
      <c r="I147" s="15">
        <v>2519.75</v>
      </c>
      <c r="J147" s="15">
        <v>3199.81</v>
      </c>
      <c r="K147" s="15">
        <v>1678.73</v>
      </c>
      <c r="L147" s="15">
        <v>1913.88</v>
      </c>
      <c r="M147" s="15">
        <v>1725.25</v>
      </c>
      <c r="N147" s="15">
        <v>1872.24</v>
      </c>
      <c r="O147" t="s">
        <v>75</v>
      </c>
    </row>
    <row r="148" spans="1:15" x14ac:dyDescent="0.25">
      <c r="A148" s="10" t="s">
        <v>390</v>
      </c>
      <c r="B148" s="15">
        <v>918</v>
      </c>
      <c r="C148" s="15">
        <v>918</v>
      </c>
      <c r="D148" s="15">
        <v>918</v>
      </c>
      <c r="E148" s="15">
        <v>1099.76</v>
      </c>
      <c r="F148" s="15">
        <v>979.42</v>
      </c>
      <c r="G148" s="15">
        <v>945.54</v>
      </c>
      <c r="H148" s="15">
        <v>1284.69</v>
      </c>
      <c r="I148" s="15">
        <v>1254.5999999999999</v>
      </c>
      <c r="J148" s="15">
        <v>1050.5999999999999</v>
      </c>
      <c r="K148" s="15">
        <v>1050.5999999999999</v>
      </c>
      <c r="L148" s="15">
        <v>1050.5999999999999</v>
      </c>
      <c r="M148" s="15">
        <v>2534.23</v>
      </c>
      <c r="N148" s="15">
        <v>1075.54</v>
      </c>
      <c r="O148" t="s">
        <v>75</v>
      </c>
    </row>
    <row r="149" spans="1:15" x14ac:dyDescent="0.25">
      <c r="A149" s="10" t="s">
        <v>392</v>
      </c>
      <c r="B149" s="15">
        <v>997.45</v>
      </c>
      <c r="C149" s="15">
        <v>1005</v>
      </c>
      <c r="D149" s="15">
        <v>1010.24</v>
      </c>
      <c r="E149" s="15">
        <v>983.62</v>
      </c>
      <c r="F149" s="15">
        <v>959.65</v>
      </c>
      <c r="G149" s="15">
        <v>958.33</v>
      </c>
      <c r="H149" s="15">
        <v>2122.4699999999998</v>
      </c>
      <c r="I149" s="15">
        <v>950.77</v>
      </c>
      <c r="J149" s="15">
        <v>1061.32</v>
      </c>
      <c r="K149" s="15">
        <v>1058.71</v>
      </c>
      <c r="L149" s="15">
        <v>1054.6300000000001</v>
      </c>
      <c r="M149" s="15">
        <v>1058.77</v>
      </c>
      <c r="N149" s="15">
        <v>1075.22</v>
      </c>
      <c r="O149" t="s">
        <v>75</v>
      </c>
    </row>
    <row r="150" spans="1:15" x14ac:dyDescent="0.25">
      <c r="A150" s="10" t="s">
        <v>394</v>
      </c>
      <c r="B150" s="15">
        <v>572.67999999999995</v>
      </c>
      <c r="C150" s="15">
        <v>1816.55</v>
      </c>
      <c r="D150" s="15">
        <v>1865.53</v>
      </c>
      <c r="E150" s="15">
        <v>1841.46</v>
      </c>
      <c r="F150" s="15">
        <v>1770.45</v>
      </c>
      <c r="G150" s="15">
        <v>1782.68</v>
      </c>
      <c r="H150" s="15">
        <v>2410.56</v>
      </c>
      <c r="I150" s="15">
        <v>2319.2600000000002</v>
      </c>
      <c r="J150" s="15">
        <v>1961.45</v>
      </c>
      <c r="K150" s="15">
        <v>1959.61</v>
      </c>
      <c r="L150" s="15">
        <v>1963.92</v>
      </c>
      <c r="M150" s="15">
        <v>1968.6</v>
      </c>
      <c r="N150" s="15">
        <v>1985.5</v>
      </c>
      <c r="O150" t="s">
        <v>75</v>
      </c>
    </row>
    <row r="151" spans="1:15" x14ac:dyDescent="0.25">
      <c r="A151" s="10" t="s">
        <v>396</v>
      </c>
      <c r="B151" s="15">
        <v>1638.73</v>
      </c>
      <c r="C151" s="15">
        <v>1553.24</v>
      </c>
      <c r="D151" s="15">
        <v>1882.62</v>
      </c>
      <c r="E151" s="15">
        <v>1598.48</v>
      </c>
      <c r="F151" s="15">
        <v>1761.76</v>
      </c>
      <c r="G151" s="15">
        <v>3782.04</v>
      </c>
      <c r="H151" s="15">
        <v>773.87</v>
      </c>
      <c r="I151" s="15">
        <v>2098.37</v>
      </c>
      <c r="J151" s="15">
        <v>1919.96</v>
      </c>
      <c r="K151" s="15">
        <v>1650.79</v>
      </c>
      <c r="L151" s="15">
        <v>1962.04</v>
      </c>
      <c r="M151" s="15">
        <v>1775.5</v>
      </c>
      <c r="N151" s="15">
        <v>1864.95</v>
      </c>
      <c r="O151" t="s">
        <v>75</v>
      </c>
    </row>
    <row r="152" spans="1:15" x14ac:dyDescent="0.25">
      <c r="A152" s="10" t="s">
        <v>398</v>
      </c>
      <c r="B152" s="15">
        <v>2042.72</v>
      </c>
      <c r="C152" s="15">
        <v>1747</v>
      </c>
      <c r="D152" s="15">
        <v>2772.44</v>
      </c>
      <c r="E152" s="15">
        <v>2268.7399999999998</v>
      </c>
      <c r="F152" s="15">
        <v>2812.22</v>
      </c>
      <c r="G152" s="15">
        <v>2299.08</v>
      </c>
      <c r="H152" s="15">
        <v>2794.55</v>
      </c>
      <c r="I152" s="15">
        <v>2319.87</v>
      </c>
      <c r="J152" s="15">
        <v>1998.2</v>
      </c>
      <c r="K152" s="15">
        <v>1998.2</v>
      </c>
      <c r="L152" s="15">
        <v>2289.9699999999998</v>
      </c>
      <c r="M152" s="15">
        <v>1998.2</v>
      </c>
      <c r="N152" s="15">
        <v>2323.0100000000002</v>
      </c>
      <c r="O152" t="s">
        <v>75</v>
      </c>
    </row>
    <row r="153" spans="1:15" x14ac:dyDescent="0.25">
      <c r="A153" s="10" t="s">
        <v>400</v>
      </c>
      <c r="B153" s="15">
        <v>988.06</v>
      </c>
      <c r="C153" s="15">
        <v>985.77</v>
      </c>
      <c r="D153" s="15">
        <v>963.3</v>
      </c>
      <c r="E153" s="15">
        <v>961.81</v>
      </c>
      <c r="F153" s="15">
        <v>1193.25</v>
      </c>
      <c r="G153" s="15">
        <v>1262.28</v>
      </c>
      <c r="H153" s="15">
        <v>1861.92</v>
      </c>
      <c r="I153" s="15">
        <v>1812</v>
      </c>
      <c r="J153" s="15">
        <v>2635.48</v>
      </c>
      <c r="K153" s="15">
        <v>520</v>
      </c>
      <c r="L153" s="15">
        <v>1300</v>
      </c>
      <c r="M153" s="15">
        <v>1300</v>
      </c>
      <c r="N153" s="15">
        <v>1340.15</v>
      </c>
      <c r="O153" t="s">
        <v>75</v>
      </c>
    </row>
    <row r="154" spans="1:15" x14ac:dyDescent="0.25">
      <c r="A154" s="10" t="s">
        <v>402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279</v>
      </c>
      <c r="L154" s="15">
        <v>1395</v>
      </c>
      <c r="M154" s="15">
        <v>1523.53</v>
      </c>
      <c r="N154" s="15">
        <v>243.21</v>
      </c>
      <c r="O154" t="s">
        <v>75</v>
      </c>
    </row>
    <row r="155" spans="1:15" x14ac:dyDescent="0.25">
      <c r="A155" s="10" t="s">
        <v>404</v>
      </c>
      <c r="B155" s="15">
        <v>0</v>
      </c>
      <c r="C155" s="15">
        <v>7933.33</v>
      </c>
      <c r="D155" s="15">
        <v>27000</v>
      </c>
      <c r="E155" s="15">
        <v>17000</v>
      </c>
      <c r="F155" s="15">
        <v>17000</v>
      </c>
      <c r="G155" s="15">
        <v>17000</v>
      </c>
      <c r="H155" s="15">
        <v>17000</v>
      </c>
      <c r="I155" s="15">
        <v>17000</v>
      </c>
      <c r="J155" s="15">
        <v>17000</v>
      </c>
      <c r="K155" s="15">
        <v>17000</v>
      </c>
      <c r="L155" s="15">
        <v>17000</v>
      </c>
      <c r="M155" s="15">
        <v>17000</v>
      </c>
      <c r="N155" s="15">
        <v>14166.67</v>
      </c>
      <c r="O155" t="s">
        <v>75</v>
      </c>
    </row>
    <row r="156" spans="1:15" x14ac:dyDescent="0.25">
      <c r="A156" s="10" t="s">
        <v>406</v>
      </c>
      <c r="B156" s="15">
        <v>1131</v>
      </c>
      <c r="C156" s="15">
        <v>1170</v>
      </c>
      <c r="D156" s="15">
        <v>1170</v>
      </c>
      <c r="E156" s="15">
        <v>1170</v>
      </c>
      <c r="F156" s="15">
        <v>1170</v>
      </c>
      <c r="G156" s="15">
        <v>2257.0300000000002</v>
      </c>
      <c r="H156" s="15">
        <v>813.18</v>
      </c>
      <c r="I156" s="15">
        <v>1560</v>
      </c>
      <c r="J156" s="15">
        <v>1300</v>
      </c>
      <c r="K156" s="15">
        <v>1300</v>
      </c>
      <c r="L156" s="15">
        <v>1300</v>
      </c>
      <c r="M156" s="15">
        <v>1300</v>
      </c>
      <c r="N156" s="15">
        <v>1300</v>
      </c>
      <c r="O156" t="s">
        <v>75</v>
      </c>
    </row>
    <row r="157" spans="1:15" x14ac:dyDescent="0.25">
      <c r="A157" s="10" t="s">
        <v>408</v>
      </c>
      <c r="B157" s="15">
        <v>918</v>
      </c>
      <c r="C157" s="15">
        <v>918</v>
      </c>
      <c r="D157" s="15">
        <v>918</v>
      </c>
      <c r="E157" s="15">
        <v>992.11</v>
      </c>
      <c r="F157" s="15">
        <v>918</v>
      </c>
      <c r="G157" s="15">
        <v>918</v>
      </c>
      <c r="H157" s="15">
        <v>1257.79</v>
      </c>
      <c r="I157" s="15">
        <v>1249.56</v>
      </c>
      <c r="J157" s="15">
        <v>2395.67</v>
      </c>
      <c r="K157" s="15">
        <v>34</v>
      </c>
      <c r="L157" s="15">
        <v>972.62</v>
      </c>
      <c r="M157" s="15">
        <v>1020</v>
      </c>
      <c r="N157" s="15">
        <v>1029.7</v>
      </c>
      <c r="O157" t="s">
        <v>75</v>
      </c>
    </row>
    <row r="158" spans="1:15" x14ac:dyDescent="0.25">
      <c r="A158" s="10" t="s">
        <v>410</v>
      </c>
      <c r="B158" s="15">
        <v>1508</v>
      </c>
      <c r="C158" s="15">
        <v>1508</v>
      </c>
      <c r="D158" s="15">
        <v>1508</v>
      </c>
      <c r="E158" s="15">
        <v>1508</v>
      </c>
      <c r="F158" s="15">
        <v>1508</v>
      </c>
      <c r="G158" s="15">
        <v>0</v>
      </c>
      <c r="H158" s="15">
        <v>0</v>
      </c>
      <c r="I158" s="15">
        <v>640.52</v>
      </c>
      <c r="J158" s="15">
        <v>0</v>
      </c>
      <c r="K158" s="15">
        <v>0</v>
      </c>
      <c r="L158" s="15">
        <v>0</v>
      </c>
      <c r="M158" s="15">
        <v>0</v>
      </c>
      <c r="N158" s="15">
        <v>837.5</v>
      </c>
      <c r="O158" t="s">
        <v>75</v>
      </c>
    </row>
    <row r="159" spans="1:15" x14ac:dyDescent="0.25">
      <c r="A159" s="10" t="s">
        <v>412</v>
      </c>
      <c r="B159" s="15">
        <v>1178.8399999999999</v>
      </c>
      <c r="C159" s="15">
        <v>919.11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305.98</v>
      </c>
      <c r="O159" t="s">
        <v>75</v>
      </c>
    </row>
    <row r="160" spans="1:15" x14ac:dyDescent="0.25">
      <c r="A160" s="10" t="s">
        <v>414</v>
      </c>
      <c r="B160" s="15">
        <v>944.21</v>
      </c>
      <c r="C160" s="15">
        <v>918</v>
      </c>
      <c r="D160" s="15">
        <v>918</v>
      </c>
      <c r="E160" s="15">
        <v>919.63</v>
      </c>
      <c r="F160" s="15">
        <v>1497.46</v>
      </c>
      <c r="G160" s="15">
        <v>1292.92</v>
      </c>
      <c r="H160" s="15">
        <v>1988.87</v>
      </c>
      <c r="I160" s="15">
        <v>1812</v>
      </c>
      <c r="J160" s="15">
        <v>1300</v>
      </c>
      <c r="K160" s="15">
        <v>1300</v>
      </c>
      <c r="L160" s="15">
        <v>1300</v>
      </c>
      <c r="M160" s="15">
        <v>2499.1999999999998</v>
      </c>
      <c r="N160" s="15">
        <v>1362.98</v>
      </c>
      <c r="O160" t="s">
        <v>75</v>
      </c>
    </row>
    <row r="161" spans="1:15" x14ac:dyDescent="0.25">
      <c r="A161" s="10" t="s">
        <v>416</v>
      </c>
      <c r="B161" s="15">
        <v>1381.72</v>
      </c>
      <c r="C161" s="15">
        <v>1426.91</v>
      </c>
      <c r="D161" s="15">
        <v>1456.14</v>
      </c>
      <c r="E161" s="15">
        <v>1397.24</v>
      </c>
      <c r="F161" s="15">
        <v>1352.83</v>
      </c>
      <c r="G161" s="15">
        <v>3391.68</v>
      </c>
      <c r="H161" s="15">
        <v>557.21</v>
      </c>
      <c r="I161" s="15">
        <v>1780.44</v>
      </c>
      <c r="J161" s="15">
        <v>1519.54</v>
      </c>
      <c r="K161" s="15">
        <v>1522.39</v>
      </c>
      <c r="L161" s="15">
        <v>1561.99</v>
      </c>
      <c r="M161" s="15">
        <v>1724.8</v>
      </c>
      <c r="N161" s="15">
        <v>1591.74</v>
      </c>
      <c r="O161" t="s">
        <v>75</v>
      </c>
    </row>
    <row r="162" spans="1:15" x14ac:dyDescent="0.25">
      <c r="A162" s="10" t="s">
        <v>418</v>
      </c>
      <c r="B162" s="15">
        <v>0</v>
      </c>
      <c r="C162" s="15">
        <v>0</v>
      </c>
      <c r="D162" s="15">
        <v>0</v>
      </c>
      <c r="E162" s="15">
        <v>460.53</v>
      </c>
      <c r="F162" s="15">
        <v>1453.16</v>
      </c>
      <c r="G162" s="15">
        <v>41.87</v>
      </c>
      <c r="H162" s="15">
        <v>0</v>
      </c>
      <c r="I162" s="15">
        <v>232.82</v>
      </c>
      <c r="J162" s="15">
        <v>0</v>
      </c>
      <c r="K162" s="15">
        <v>0</v>
      </c>
      <c r="L162" s="15">
        <v>0</v>
      </c>
      <c r="M162" s="15">
        <v>0</v>
      </c>
      <c r="N162" s="15">
        <v>125.2</v>
      </c>
      <c r="O162" t="s">
        <v>75</v>
      </c>
    </row>
    <row r="163" spans="1:15" x14ac:dyDescent="0.25">
      <c r="A163" s="10" t="s">
        <v>420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168.3</v>
      </c>
      <c r="H163" s="15">
        <v>528.70000000000005</v>
      </c>
      <c r="I163" s="15">
        <v>510</v>
      </c>
      <c r="J163" s="15">
        <v>510</v>
      </c>
      <c r="K163" s="15">
        <v>510</v>
      </c>
      <c r="L163" s="15">
        <v>510</v>
      </c>
      <c r="M163" s="15">
        <v>510</v>
      </c>
      <c r="N163" s="15">
        <v>255</v>
      </c>
      <c r="O163" t="s">
        <v>75</v>
      </c>
    </row>
    <row r="164" spans="1:15" x14ac:dyDescent="0.25">
      <c r="A164" s="10" t="s">
        <v>422</v>
      </c>
      <c r="B164" s="15">
        <v>1301.06</v>
      </c>
      <c r="C164" s="15">
        <v>1322.4</v>
      </c>
      <c r="D164" s="15">
        <v>1581.89</v>
      </c>
      <c r="E164" s="15">
        <v>1481.65</v>
      </c>
      <c r="F164" s="15">
        <v>1612.08</v>
      </c>
      <c r="G164" s="15">
        <v>2614.58</v>
      </c>
      <c r="H164" s="15">
        <v>1460.78</v>
      </c>
      <c r="I164" s="15">
        <v>1913.83</v>
      </c>
      <c r="J164" s="15">
        <v>1798.12</v>
      </c>
      <c r="K164" s="15">
        <v>1676.76</v>
      </c>
      <c r="L164" s="15">
        <v>1783.33</v>
      </c>
      <c r="M164" s="15">
        <v>1573.17</v>
      </c>
      <c r="N164" s="15">
        <v>1689.94</v>
      </c>
      <c r="O164" t="s">
        <v>75</v>
      </c>
    </row>
    <row r="165" spans="1:15" x14ac:dyDescent="0.25">
      <c r="A165" s="10" t="s">
        <v>424</v>
      </c>
      <c r="B165" s="15">
        <v>1193.0899999999999</v>
      </c>
      <c r="C165" s="15">
        <v>1202.31</v>
      </c>
      <c r="D165" s="15">
        <v>1244.0899999999999</v>
      </c>
      <c r="E165" s="15">
        <v>1184.01</v>
      </c>
      <c r="F165" s="15">
        <v>1204.6199999999999</v>
      </c>
      <c r="G165" s="15">
        <v>1148.82</v>
      </c>
      <c r="H165" s="15">
        <v>1561.22</v>
      </c>
      <c r="I165" s="15">
        <v>1518.58</v>
      </c>
      <c r="J165" s="15">
        <v>1280.1300000000001</v>
      </c>
      <c r="K165" s="15">
        <v>3035.95</v>
      </c>
      <c r="L165" s="15">
        <v>62.34</v>
      </c>
      <c r="M165" s="15">
        <v>1288.58</v>
      </c>
      <c r="N165" s="15">
        <v>1338.99</v>
      </c>
      <c r="O165" t="s">
        <v>75</v>
      </c>
    </row>
    <row r="166" spans="1:15" x14ac:dyDescent="0.25">
      <c r="A166" s="10" t="s">
        <v>426</v>
      </c>
      <c r="B166" s="15">
        <v>1271.92</v>
      </c>
      <c r="C166" s="15">
        <v>1233.23</v>
      </c>
      <c r="D166" s="15">
        <v>2930.93</v>
      </c>
      <c r="E166" s="15">
        <v>62.8</v>
      </c>
      <c r="F166" s="15">
        <v>1174.1199999999999</v>
      </c>
      <c r="G166" s="15">
        <v>1486</v>
      </c>
      <c r="H166" s="15">
        <v>3160.25</v>
      </c>
      <c r="I166" s="15">
        <v>2345</v>
      </c>
      <c r="J166" s="15">
        <v>1675</v>
      </c>
      <c r="K166" s="15">
        <v>1675</v>
      </c>
      <c r="L166" s="15">
        <v>1675</v>
      </c>
      <c r="M166" s="15">
        <v>1803.32</v>
      </c>
      <c r="N166" s="15">
        <v>1736.27</v>
      </c>
      <c r="O166" t="s">
        <v>75</v>
      </c>
    </row>
    <row r="167" spans="1:15" x14ac:dyDescent="0.25">
      <c r="A167" s="10" t="s">
        <v>428</v>
      </c>
      <c r="B167" s="15">
        <v>2626.21</v>
      </c>
      <c r="C167" s="15">
        <v>440.33</v>
      </c>
      <c r="D167" s="15">
        <v>1321</v>
      </c>
      <c r="E167" s="15">
        <v>1321</v>
      </c>
      <c r="F167" s="15">
        <v>1276.97</v>
      </c>
      <c r="G167" s="15">
        <v>1321</v>
      </c>
      <c r="H167" s="15">
        <v>1754.13</v>
      </c>
      <c r="I167" s="15">
        <v>1804.04</v>
      </c>
      <c r="J167" s="15">
        <v>1512.04</v>
      </c>
      <c r="K167" s="15">
        <v>1512.04</v>
      </c>
      <c r="L167" s="15">
        <v>1512.04</v>
      </c>
      <c r="M167" s="15">
        <v>1760.42</v>
      </c>
      <c r="N167" s="15">
        <v>1533.26</v>
      </c>
      <c r="O167" t="s">
        <v>75</v>
      </c>
    </row>
    <row r="168" spans="1:15" x14ac:dyDescent="0.25">
      <c r="A168" s="10" t="s">
        <v>430</v>
      </c>
      <c r="B168" s="15">
        <v>1728.14</v>
      </c>
      <c r="C168" s="15">
        <v>1360.63</v>
      </c>
      <c r="D168" s="15">
        <v>1720.68</v>
      </c>
      <c r="E168" s="15">
        <v>1440.47</v>
      </c>
      <c r="F168" s="15">
        <v>1955.47</v>
      </c>
      <c r="G168" s="15">
        <v>1360.63</v>
      </c>
      <c r="H168" s="15">
        <v>3672.51</v>
      </c>
      <c r="I168" s="15">
        <v>1349.71</v>
      </c>
      <c r="J168" s="15">
        <v>1596.39</v>
      </c>
      <c r="K168" s="15">
        <v>1764.41</v>
      </c>
      <c r="L168" s="15">
        <v>1895.35</v>
      </c>
      <c r="M168" s="15">
        <v>1643.15</v>
      </c>
      <c r="N168" s="15">
        <v>1724.1</v>
      </c>
      <c r="O168" t="s">
        <v>75</v>
      </c>
    </row>
    <row r="169" spans="1:15" x14ac:dyDescent="0.25">
      <c r="A169" s="10" t="s">
        <v>432</v>
      </c>
      <c r="B169" s="15">
        <v>1649.31</v>
      </c>
      <c r="C169" s="15">
        <v>1656.93</v>
      </c>
      <c r="D169" s="15">
        <v>1668.22</v>
      </c>
      <c r="E169" s="15">
        <v>1620.69</v>
      </c>
      <c r="F169" s="15">
        <v>1569.88</v>
      </c>
      <c r="G169" s="15">
        <v>1573.64</v>
      </c>
      <c r="H169" s="15">
        <v>2120.87</v>
      </c>
      <c r="I169" s="15">
        <v>2071.1</v>
      </c>
      <c r="J169" s="15">
        <v>1745.49</v>
      </c>
      <c r="K169" s="15">
        <v>1745.46</v>
      </c>
      <c r="L169" s="15">
        <v>1731.91</v>
      </c>
      <c r="M169" s="15">
        <v>2602.37</v>
      </c>
      <c r="N169" s="15">
        <v>1772.33</v>
      </c>
      <c r="O169" t="s">
        <v>75</v>
      </c>
    </row>
    <row r="170" spans="1:15" x14ac:dyDescent="0.25">
      <c r="A170" s="10" t="s">
        <v>434</v>
      </c>
      <c r="B170" s="15">
        <v>966</v>
      </c>
      <c r="C170" s="15">
        <v>966</v>
      </c>
      <c r="D170" s="15">
        <v>966</v>
      </c>
      <c r="E170" s="15">
        <v>1131.8599999999999</v>
      </c>
      <c r="F170" s="15">
        <v>1364.67</v>
      </c>
      <c r="G170" s="15">
        <v>1406.92</v>
      </c>
      <c r="H170" s="15">
        <v>2158.71</v>
      </c>
      <c r="I170" s="15">
        <v>2042</v>
      </c>
      <c r="J170" s="15">
        <v>1469</v>
      </c>
      <c r="K170" s="15">
        <v>1469</v>
      </c>
      <c r="L170" s="15">
        <v>2534.4699999999998</v>
      </c>
      <c r="M170" s="15">
        <v>1285.8599999999999</v>
      </c>
      <c r="N170" s="15">
        <v>1502.07</v>
      </c>
      <c r="O170" t="s">
        <v>75</v>
      </c>
    </row>
    <row r="171" spans="1:15" x14ac:dyDescent="0.25">
      <c r="A171" s="10" t="s">
        <v>436</v>
      </c>
      <c r="B171" s="15">
        <v>1305</v>
      </c>
      <c r="C171" s="15">
        <v>2078.27</v>
      </c>
      <c r="D171" s="15">
        <v>1113.3499999999999</v>
      </c>
      <c r="E171" s="15">
        <v>1305</v>
      </c>
      <c r="F171" s="15">
        <v>1353.52</v>
      </c>
      <c r="G171" s="15">
        <v>1305</v>
      </c>
      <c r="H171" s="15">
        <v>1733.2</v>
      </c>
      <c r="I171" s="15">
        <v>1725</v>
      </c>
      <c r="J171" s="15">
        <v>1449</v>
      </c>
      <c r="K171" s="15">
        <v>1449</v>
      </c>
      <c r="L171" s="15">
        <v>1506.39</v>
      </c>
      <c r="M171" s="15">
        <v>1449</v>
      </c>
      <c r="N171" s="15">
        <v>1461.22</v>
      </c>
      <c r="O171" t="s">
        <v>75</v>
      </c>
    </row>
    <row r="172" spans="1:15" x14ac:dyDescent="0.25">
      <c r="A172" s="10" t="s">
        <v>438</v>
      </c>
      <c r="B172" s="15">
        <v>1272.05</v>
      </c>
      <c r="C172" s="15">
        <v>1273.48</v>
      </c>
      <c r="D172" s="15">
        <v>1292.3800000000001</v>
      </c>
      <c r="E172" s="15">
        <v>1259.8599999999999</v>
      </c>
      <c r="F172" s="15">
        <v>1218.24</v>
      </c>
      <c r="G172" s="15">
        <v>1220.03</v>
      </c>
      <c r="H172" s="15">
        <v>1651.05</v>
      </c>
      <c r="I172" s="15">
        <v>1608.11</v>
      </c>
      <c r="J172" s="15">
        <v>1352.86</v>
      </c>
      <c r="K172" s="15">
        <v>1346.41</v>
      </c>
      <c r="L172" s="15">
        <v>1348.98</v>
      </c>
      <c r="M172" s="15">
        <v>3340.97</v>
      </c>
      <c r="N172" s="15">
        <v>1383.92</v>
      </c>
      <c r="O172" t="s">
        <v>75</v>
      </c>
    </row>
    <row r="173" spans="1:15" x14ac:dyDescent="0.25">
      <c r="A173" s="10" t="s">
        <v>440</v>
      </c>
      <c r="B173" s="15">
        <v>795.6</v>
      </c>
      <c r="C173" s="15">
        <v>918</v>
      </c>
      <c r="D173" s="15">
        <v>1129.32</v>
      </c>
      <c r="E173" s="15">
        <v>991.93</v>
      </c>
      <c r="F173" s="15">
        <v>962.95</v>
      </c>
      <c r="G173" s="15">
        <v>949.5</v>
      </c>
      <c r="H173" s="15">
        <v>1253.03</v>
      </c>
      <c r="I173" s="15">
        <v>1281.5</v>
      </c>
      <c r="J173" s="15">
        <v>1060.78</v>
      </c>
      <c r="K173" s="15">
        <v>1055.3699999999999</v>
      </c>
      <c r="L173" s="15">
        <v>1018.11</v>
      </c>
      <c r="M173" s="15">
        <v>1058.8599999999999</v>
      </c>
      <c r="N173" s="15">
        <v>1066.6099999999999</v>
      </c>
      <c r="O173" t="s">
        <v>75</v>
      </c>
    </row>
    <row r="174" spans="1:15" x14ac:dyDescent="0.25">
      <c r="A174" s="10" t="s">
        <v>442</v>
      </c>
      <c r="B174" s="15">
        <v>993.28</v>
      </c>
      <c r="C174" s="15">
        <v>995.93</v>
      </c>
      <c r="D174" s="15">
        <v>1016.83</v>
      </c>
      <c r="E174" s="15">
        <v>987.42</v>
      </c>
      <c r="F174" s="15">
        <v>991.43</v>
      </c>
      <c r="G174" s="15">
        <v>954.58</v>
      </c>
      <c r="H174" s="15">
        <v>1309.95</v>
      </c>
      <c r="I174" s="15">
        <v>1282.72</v>
      </c>
      <c r="J174" s="15">
        <v>2934.36</v>
      </c>
      <c r="K174" s="15">
        <v>53.35</v>
      </c>
      <c r="L174" s="15">
        <v>1001.5</v>
      </c>
      <c r="M174" s="15">
        <v>1052.56</v>
      </c>
      <c r="N174" s="15">
        <v>1075.67</v>
      </c>
      <c r="O174" t="s">
        <v>75</v>
      </c>
    </row>
    <row r="175" spans="1:15" x14ac:dyDescent="0.25">
      <c r="A175" s="10" t="s">
        <v>444</v>
      </c>
      <c r="B175" s="15">
        <v>2531.58</v>
      </c>
      <c r="C175" s="15">
        <v>804.64</v>
      </c>
      <c r="D175" s="15">
        <v>1431.78</v>
      </c>
      <c r="E175" s="15">
        <v>1456.16</v>
      </c>
      <c r="F175" s="15">
        <v>1401.19</v>
      </c>
      <c r="G175" s="15">
        <v>1409.97</v>
      </c>
      <c r="H175" s="15">
        <v>1900.13</v>
      </c>
      <c r="I175" s="15">
        <v>1438.67</v>
      </c>
      <c r="J175" s="15">
        <v>0</v>
      </c>
      <c r="K175" s="15">
        <v>0</v>
      </c>
      <c r="L175" s="15">
        <v>0</v>
      </c>
      <c r="M175" s="15">
        <v>0</v>
      </c>
      <c r="N175" s="15">
        <v>1191.58</v>
      </c>
      <c r="O175" t="s">
        <v>75</v>
      </c>
    </row>
    <row r="176" spans="1:15" x14ac:dyDescent="0.25">
      <c r="A176" s="10" t="s">
        <v>446</v>
      </c>
      <c r="B176" s="15">
        <v>1695.44</v>
      </c>
      <c r="C176" s="15">
        <v>1728.99</v>
      </c>
      <c r="D176" s="15">
        <v>1731.79</v>
      </c>
      <c r="E176" s="15">
        <v>3390.54</v>
      </c>
      <c r="F176" s="15">
        <v>767</v>
      </c>
      <c r="G176" s="15">
        <v>1866.84</v>
      </c>
      <c r="H176" s="15">
        <v>2897.37</v>
      </c>
      <c r="I176" s="15">
        <v>2345.42</v>
      </c>
      <c r="J176" s="15">
        <v>2064.4499999999998</v>
      </c>
      <c r="K176" s="15">
        <v>2066.0100000000002</v>
      </c>
      <c r="L176" s="15">
        <v>2057.88</v>
      </c>
      <c r="M176" s="15">
        <v>2057.9</v>
      </c>
      <c r="N176" s="15">
        <v>2097.86</v>
      </c>
      <c r="O176" t="s">
        <v>75</v>
      </c>
    </row>
    <row r="177" spans="1:15" x14ac:dyDescent="0.25">
      <c r="A177" s="10" t="s">
        <v>448</v>
      </c>
      <c r="B177" s="15">
        <v>374</v>
      </c>
      <c r="C177" s="15">
        <v>12.47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  <c r="O177" t="s">
        <v>75</v>
      </c>
    </row>
    <row r="178" spans="1:15" x14ac:dyDescent="0.25">
      <c r="A178" s="10" t="s">
        <v>450</v>
      </c>
      <c r="B178" s="15">
        <v>918</v>
      </c>
      <c r="C178" s="15">
        <v>918</v>
      </c>
      <c r="D178" s="15">
        <v>918</v>
      </c>
      <c r="E178" s="15">
        <v>918</v>
      </c>
      <c r="F178" s="15">
        <v>918</v>
      </c>
      <c r="G178" s="15">
        <v>2184.85</v>
      </c>
      <c r="H178" s="15">
        <v>437.22</v>
      </c>
      <c r="I178" s="15">
        <v>1181.56</v>
      </c>
      <c r="J178" s="15">
        <v>1020</v>
      </c>
      <c r="K178" s="15">
        <v>1020</v>
      </c>
      <c r="L178" s="15">
        <v>1163</v>
      </c>
      <c r="M178" s="15">
        <v>1424</v>
      </c>
      <c r="N178" s="15">
        <v>1310.33</v>
      </c>
      <c r="O178" t="s">
        <v>75</v>
      </c>
    </row>
    <row r="179" spans="1:15" x14ac:dyDescent="0.25">
      <c r="A179" s="10" t="s">
        <v>452</v>
      </c>
      <c r="B179" s="15">
        <v>0</v>
      </c>
      <c r="C179" s="15">
        <v>0</v>
      </c>
      <c r="D179" s="15">
        <v>0</v>
      </c>
      <c r="E179" s="15">
        <v>698</v>
      </c>
      <c r="F179" s="15">
        <v>1301.4000000000001</v>
      </c>
      <c r="G179" s="15">
        <v>1047</v>
      </c>
      <c r="H179" s="15">
        <v>1450.63</v>
      </c>
      <c r="I179" s="15">
        <v>1334.71</v>
      </c>
      <c r="J179" s="15">
        <v>1279.5999999999999</v>
      </c>
      <c r="K179" s="15">
        <v>1225</v>
      </c>
      <c r="L179" s="15">
        <v>1225</v>
      </c>
      <c r="M179" s="15">
        <v>1441.83</v>
      </c>
      <c r="N179" s="15">
        <v>975.45</v>
      </c>
      <c r="O179" t="s">
        <v>75</v>
      </c>
    </row>
    <row r="180" spans="1:15" x14ac:dyDescent="0.25">
      <c r="A180" s="10" t="s">
        <v>454</v>
      </c>
      <c r="B180" s="15">
        <v>1452.96</v>
      </c>
      <c r="C180" s="15">
        <v>1101</v>
      </c>
      <c r="D180" s="15">
        <v>1372.15</v>
      </c>
      <c r="E180" s="15">
        <v>1422.56</v>
      </c>
      <c r="F180" s="15">
        <v>2092.29</v>
      </c>
      <c r="G180" s="15">
        <v>1101</v>
      </c>
      <c r="H180" s="15">
        <v>1642.53</v>
      </c>
      <c r="I180" s="15">
        <v>1467</v>
      </c>
      <c r="J180" s="15">
        <v>3295.12</v>
      </c>
      <c r="K180" s="15">
        <v>40.83</v>
      </c>
      <c r="L180" s="15">
        <v>1184.17</v>
      </c>
      <c r="M180" s="15">
        <v>1225</v>
      </c>
      <c r="N180" s="15">
        <v>1415.77</v>
      </c>
      <c r="O180" t="s">
        <v>75</v>
      </c>
    </row>
    <row r="181" spans="1:15" x14ac:dyDescent="0.25">
      <c r="A181" s="10" t="s">
        <v>456</v>
      </c>
      <c r="B181" s="15">
        <v>1576.97</v>
      </c>
      <c r="C181" s="15">
        <v>1625.13</v>
      </c>
      <c r="D181" s="15">
        <v>1663.64</v>
      </c>
      <c r="E181" s="15">
        <v>1840.15</v>
      </c>
      <c r="F181" s="15">
        <v>1632.89</v>
      </c>
      <c r="G181" s="15">
        <v>1617.32</v>
      </c>
      <c r="H181" s="15">
        <v>2189.62</v>
      </c>
      <c r="I181" s="15">
        <v>2115.6799999999998</v>
      </c>
      <c r="J181" s="15">
        <v>1792.86</v>
      </c>
      <c r="K181" s="15">
        <v>1788</v>
      </c>
      <c r="L181" s="15">
        <v>1780.35</v>
      </c>
      <c r="M181" s="15">
        <v>2711.34</v>
      </c>
      <c r="N181" s="15">
        <v>1814.43</v>
      </c>
      <c r="O181" t="s">
        <v>75</v>
      </c>
    </row>
    <row r="182" spans="1:15" x14ac:dyDescent="0.25">
      <c r="A182" s="10" t="s">
        <v>458</v>
      </c>
      <c r="B182" s="15">
        <v>981.79</v>
      </c>
      <c r="C182" s="15">
        <v>918</v>
      </c>
      <c r="D182" s="15">
        <v>977.13</v>
      </c>
      <c r="E182" s="15">
        <v>918</v>
      </c>
      <c r="F182" s="15">
        <v>1064.1099999999999</v>
      </c>
      <c r="G182" s="15">
        <v>918</v>
      </c>
      <c r="H182" s="15">
        <v>1344.77</v>
      </c>
      <c r="I182" s="15">
        <v>1249.56</v>
      </c>
      <c r="J182" s="15">
        <v>1020</v>
      </c>
      <c r="K182" s="15">
        <v>1020</v>
      </c>
      <c r="L182" s="15">
        <v>1020</v>
      </c>
      <c r="M182" s="15">
        <v>1020</v>
      </c>
      <c r="N182" s="15">
        <v>1052.3800000000001</v>
      </c>
      <c r="O182" t="s">
        <v>75</v>
      </c>
    </row>
    <row r="183" spans="1:15" x14ac:dyDescent="0.25">
      <c r="A183" s="10" t="s">
        <v>460</v>
      </c>
      <c r="B183" s="15">
        <v>2457.17</v>
      </c>
      <c r="C183" s="15">
        <v>5015.96</v>
      </c>
      <c r="D183" s="15">
        <v>1216</v>
      </c>
      <c r="E183" s="15">
        <v>2556.0300000000002</v>
      </c>
      <c r="F183" s="15">
        <v>2936.87</v>
      </c>
      <c r="G183" s="15">
        <v>2432</v>
      </c>
      <c r="H183" s="15">
        <v>3793.89</v>
      </c>
      <c r="I183" s="15">
        <v>3171.75</v>
      </c>
      <c r="J183" s="15">
        <v>3095.46</v>
      </c>
      <c r="K183" s="15">
        <v>2701</v>
      </c>
      <c r="L183" s="15">
        <v>2837.61</v>
      </c>
      <c r="M183" s="15">
        <v>2850.83</v>
      </c>
      <c r="N183" s="15">
        <v>2940.17</v>
      </c>
      <c r="O183" t="s">
        <v>75</v>
      </c>
    </row>
    <row r="184" spans="1:15" x14ac:dyDescent="0.25">
      <c r="A184" s="10" t="s">
        <v>462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232.6</v>
      </c>
      <c r="L184" s="15">
        <v>1163</v>
      </c>
      <c r="M184" s="15">
        <v>1273.05</v>
      </c>
      <c r="N184" s="15">
        <v>203</v>
      </c>
      <c r="O184" t="s">
        <v>75</v>
      </c>
    </row>
    <row r="185" spans="1:15" x14ac:dyDescent="0.25">
      <c r="A185" s="10" t="s">
        <v>464</v>
      </c>
      <c r="B185" s="15">
        <v>1088.53</v>
      </c>
      <c r="C185" s="15">
        <v>1256</v>
      </c>
      <c r="D185" s="15">
        <v>1256</v>
      </c>
      <c r="E185" s="15">
        <v>1321</v>
      </c>
      <c r="F185" s="15">
        <v>1678.1</v>
      </c>
      <c r="G185" s="15">
        <v>1321</v>
      </c>
      <c r="H185" s="15">
        <v>1722.79</v>
      </c>
      <c r="I185" s="15">
        <v>1683.33</v>
      </c>
      <c r="J185" s="15">
        <v>1467</v>
      </c>
      <c r="K185" s="15">
        <v>1467</v>
      </c>
      <c r="L185" s="15">
        <v>1512.93</v>
      </c>
      <c r="M185" s="15">
        <v>1589.63</v>
      </c>
      <c r="N185" s="15">
        <v>1505.79</v>
      </c>
      <c r="O185" t="s">
        <v>75</v>
      </c>
    </row>
    <row r="186" spans="1:15" x14ac:dyDescent="0.25">
      <c r="A186" s="10" t="s">
        <v>466</v>
      </c>
      <c r="B186" s="15">
        <v>1489.69</v>
      </c>
      <c r="C186" s="15">
        <v>1743.29</v>
      </c>
      <c r="D186" s="15">
        <v>2761.33</v>
      </c>
      <c r="E186" s="15">
        <v>3056.69</v>
      </c>
      <c r="F186" s="15">
        <v>2837.36</v>
      </c>
      <c r="G186" s="15">
        <v>2246.4299999999998</v>
      </c>
      <c r="H186" s="15">
        <v>3480.13</v>
      </c>
      <c r="I186" s="15">
        <v>2896.33</v>
      </c>
      <c r="J186" s="15">
        <v>2731.83</v>
      </c>
      <c r="K186" s="15">
        <v>2494.66</v>
      </c>
      <c r="L186" s="15">
        <v>2691.17</v>
      </c>
      <c r="M186" s="15">
        <v>2494.66</v>
      </c>
      <c r="N186" s="15">
        <v>2685.64</v>
      </c>
      <c r="O186" t="s">
        <v>75</v>
      </c>
    </row>
    <row r="187" spans="1:15" x14ac:dyDescent="0.25">
      <c r="A187" s="10" t="s">
        <v>468</v>
      </c>
      <c r="B187" s="15">
        <v>1462.6</v>
      </c>
      <c r="C187" s="15">
        <v>1462.6</v>
      </c>
      <c r="D187" s="15">
        <v>1522.29</v>
      </c>
      <c r="E187" s="15">
        <v>1462.6</v>
      </c>
      <c r="F187" s="15">
        <v>1485.06</v>
      </c>
      <c r="G187" s="15">
        <v>2673.66</v>
      </c>
      <c r="H187" s="15">
        <v>1298.3699999999999</v>
      </c>
      <c r="I187" s="15">
        <v>1927.84</v>
      </c>
      <c r="J187" s="15">
        <v>1639.24</v>
      </c>
      <c r="K187" s="15">
        <v>1624.31</v>
      </c>
      <c r="L187" s="15">
        <v>1628.57</v>
      </c>
      <c r="M187" s="15">
        <v>1624.31</v>
      </c>
      <c r="N187" s="15">
        <v>1639.14</v>
      </c>
      <c r="O187" t="s">
        <v>75</v>
      </c>
    </row>
    <row r="188" spans="1:15" x14ac:dyDescent="0.25">
      <c r="A188" s="10" t="s">
        <v>470</v>
      </c>
      <c r="B188" s="15">
        <v>88.88</v>
      </c>
      <c r="C188" s="15">
        <v>876.23</v>
      </c>
      <c r="D188" s="15">
        <v>1001.35</v>
      </c>
      <c r="E188" s="15">
        <v>1035.74</v>
      </c>
      <c r="F188" s="15">
        <v>881.49</v>
      </c>
      <c r="G188" s="15">
        <v>881.49</v>
      </c>
      <c r="H188" s="15">
        <v>1263.81</v>
      </c>
      <c r="I188" s="15">
        <v>1249.56</v>
      </c>
      <c r="J188" s="15">
        <v>1020</v>
      </c>
      <c r="K188" s="15">
        <v>1020</v>
      </c>
      <c r="L188" s="15">
        <v>979.43</v>
      </c>
      <c r="M188" s="15">
        <v>2431</v>
      </c>
      <c r="N188" s="15">
        <v>1044.47</v>
      </c>
      <c r="O188" t="s">
        <v>75</v>
      </c>
    </row>
    <row r="189" spans="1:15" x14ac:dyDescent="0.25">
      <c r="A189" s="10" t="s">
        <v>472</v>
      </c>
      <c r="B189" s="15">
        <v>986.18</v>
      </c>
      <c r="C189" s="15">
        <v>950.33</v>
      </c>
      <c r="D189" s="15">
        <v>425.87</v>
      </c>
      <c r="E189" s="15">
        <v>0</v>
      </c>
      <c r="F189" s="15">
        <v>0</v>
      </c>
      <c r="G189" s="15">
        <v>0</v>
      </c>
      <c r="H189" s="15">
        <v>0</v>
      </c>
      <c r="I189" s="15">
        <v>155.44</v>
      </c>
      <c r="J189" s="15">
        <v>0</v>
      </c>
      <c r="K189" s="15">
        <v>0</v>
      </c>
      <c r="L189" s="15">
        <v>0</v>
      </c>
      <c r="M189" s="15">
        <v>0</v>
      </c>
      <c r="N189" s="15">
        <v>272.12</v>
      </c>
      <c r="O189" t="s">
        <v>75</v>
      </c>
    </row>
    <row r="190" spans="1:15" x14ac:dyDescent="0.25">
      <c r="A190" s="10" t="s">
        <v>474</v>
      </c>
      <c r="B190" s="15">
        <v>1144</v>
      </c>
      <c r="C190" s="15">
        <v>2388.56</v>
      </c>
      <c r="D190" s="15">
        <v>657.5</v>
      </c>
      <c r="E190" s="15">
        <v>1315</v>
      </c>
      <c r="F190" s="15">
        <v>1472.07</v>
      </c>
      <c r="G190" s="15">
        <v>1508</v>
      </c>
      <c r="H190" s="15">
        <v>2352.44</v>
      </c>
      <c r="I190" s="15">
        <v>2281.31</v>
      </c>
      <c r="J190" s="15">
        <v>1675</v>
      </c>
      <c r="K190" s="15">
        <v>1773.54</v>
      </c>
      <c r="L190" s="15">
        <v>1675</v>
      </c>
      <c r="M190" s="15">
        <v>4253.1899999999996</v>
      </c>
      <c r="N190" s="15">
        <v>1784.54</v>
      </c>
      <c r="O190" t="s">
        <v>75</v>
      </c>
    </row>
    <row r="191" spans="1:15" x14ac:dyDescent="0.25">
      <c r="A191" s="10" t="s">
        <v>476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844.2</v>
      </c>
      <c r="I191" s="15">
        <v>1093.8</v>
      </c>
      <c r="J191" s="15">
        <v>1020</v>
      </c>
      <c r="K191" s="15">
        <v>1020</v>
      </c>
      <c r="L191" s="15">
        <v>1089.06</v>
      </c>
      <c r="M191" s="15">
        <v>1020</v>
      </c>
      <c r="N191" s="15">
        <v>515.76</v>
      </c>
      <c r="O191" t="s">
        <v>75</v>
      </c>
    </row>
    <row r="192" spans="1:15" x14ac:dyDescent="0.25">
      <c r="A192" s="10" t="s">
        <v>478</v>
      </c>
      <c r="B192" s="15">
        <v>1140.71</v>
      </c>
      <c r="C192" s="15">
        <v>1985.59</v>
      </c>
      <c r="D192" s="15">
        <v>772.57</v>
      </c>
      <c r="E192" s="15">
        <v>1121.92</v>
      </c>
      <c r="F192" s="15">
        <v>1394.81</v>
      </c>
      <c r="G192" s="15">
        <v>1120</v>
      </c>
      <c r="H192" s="15">
        <v>1504.84</v>
      </c>
      <c r="I192" s="15">
        <v>1471.33</v>
      </c>
      <c r="J192" s="15">
        <v>1251.27</v>
      </c>
      <c r="K192" s="15">
        <v>1244</v>
      </c>
      <c r="L192" s="15">
        <v>1244</v>
      </c>
      <c r="M192" s="15">
        <v>1244</v>
      </c>
      <c r="N192" s="15">
        <v>1280.49</v>
      </c>
      <c r="O192" t="s">
        <v>75</v>
      </c>
    </row>
    <row r="193" spans="1:15" x14ac:dyDescent="0.25">
      <c r="A193" s="10" t="s">
        <v>480</v>
      </c>
      <c r="B193" s="15">
        <v>1508</v>
      </c>
      <c r="C193" s="15">
        <v>1508</v>
      </c>
      <c r="D193" s="15">
        <v>1508</v>
      </c>
      <c r="E193" s="15">
        <v>1508</v>
      </c>
      <c r="F193" s="15">
        <v>1508</v>
      </c>
      <c r="G193" s="15">
        <v>1508</v>
      </c>
      <c r="H193" s="15">
        <v>2009</v>
      </c>
      <c r="I193" s="15">
        <v>2029.54</v>
      </c>
      <c r="J193" s="15">
        <v>1729.04</v>
      </c>
      <c r="K193" s="15">
        <v>1728.35</v>
      </c>
      <c r="L193" s="15">
        <v>2607.56</v>
      </c>
      <c r="M193" s="15">
        <v>1352.84</v>
      </c>
      <c r="N193" s="15">
        <v>1689.37</v>
      </c>
      <c r="O193" t="s">
        <v>75</v>
      </c>
    </row>
    <row r="194" spans="1:15" x14ac:dyDescent="0.25">
      <c r="A194" s="10" t="s">
        <v>482</v>
      </c>
      <c r="B194" s="15">
        <v>1824.19</v>
      </c>
      <c r="C194" s="15">
        <v>3219.88</v>
      </c>
      <c r="D194" s="15">
        <v>1199.6099999999999</v>
      </c>
      <c r="E194" s="15">
        <v>1809.53</v>
      </c>
      <c r="F194" s="15">
        <v>2867.04</v>
      </c>
      <c r="G194" s="15">
        <v>1799.41</v>
      </c>
      <c r="H194" s="15">
        <v>2492.33</v>
      </c>
      <c r="I194" s="15">
        <v>2352.0300000000002</v>
      </c>
      <c r="J194" s="15">
        <v>2036.16</v>
      </c>
      <c r="K194" s="15">
        <v>1998.2</v>
      </c>
      <c r="L194" s="15">
        <v>2113.44</v>
      </c>
      <c r="M194" s="15">
        <v>5030.51</v>
      </c>
      <c r="N194" s="15">
        <v>2123.73</v>
      </c>
      <c r="O194" t="s">
        <v>75</v>
      </c>
    </row>
    <row r="195" spans="1:15" x14ac:dyDescent="0.25">
      <c r="A195" s="10" t="s">
        <v>484</v>
      </c>
      <c r="B195" s="15">
        <v>1599.12</v>
      </c>
      <c r="C195" s="15">
        <v>1565.09</v>
      </c>
      <c r="D195" s="15">
        <v>1680.29</v>
      </c>
      <c r="E195" s="15">
        <v>1538.2</v>
      </c>
      <c r="F195" s="15">
        <v>1501.31</v>
      </c>
      <c r="G195" s="15">
        <v>1606.25</v>
      </c>
      <c r="H195" s="15">
        <v>4385.55</v>
      </c>
      <c r="I195" s="15">
        <v>344.02</v>
      </c>
      <c r="J195" s="15">
        <v>1635.94</v>
      </c>
      <c r="K195" s="15">
        <v>1651.42</v>
      </c>
      <c r="L195" s="15">
        <v>1625.24</v>
      </c>
      <c r="M195" s="15">
        <v>1598.56</v>
      </c>
      <c r="N195" s="15">
        <v>1703.46</v>
      </c>
      <c r="O195" t="s">
        <v>75</v>
      </c>
    </row>
    <row r="196" spans="1:15" x14ac:dyDescent="0.25">
      <c r="A196" s="10" t="s">
        <v>486</v>
      </c>
      <c r="B196" s="15">
        <v>1895.71</v>
      </c>
      <c r="C196" s="15">
        <v>1865</v>
      </c>
      <c r="D196" s="15">
        <v>2908.39</v>
      </c>
      <c r="E196" s="15">
        <v>1554.17</v>
      </c>
      <c r="F196" s="15">
        <v>3178.14</v>
      </c>
      <c r="G196" s="15">
        <v>1865</v>
      </c>
      <c r="H196" s="15">
        <v>2810.19</v>
      </c>
      <c r="I196" s="15">
        <v>2442.13</v>
      </c>
      <c r="J196" s="15">
        <v>2133.13</v>
      </c>
      <c r="K196" s="15">
        <v>2133.13</v>
      </c>
      <c r="L196" s="15">
        <v>2188.37</v>
      </c>
      <c r="M196" s="15">
        <v>3552.49</v>
      </c>
      <c r="N196" s="15">
        <v>2282.69</v>
      </c>
      <c r="O196" t="s">
        <v>75</v>
      </c>
    </row>
    <row r="197" spans="1:15" x14ac:dyDescent="0.25">
      <c r="A197" s="10" t="s">
        <v>488</v>
      </c>
      <c r="B197" s="15">
        <v>1362.69</v>
      </c>
      <c r="C197" s="15">
        <v>1362.69</v>
      </c>
      <c r="D197" s="15">
        <v>1610.24</v>
      </c>
      <c r="E197" s="15">
        <v>2573.9699999999998</v>
      </c>
      <c r="F197" s="15">
        <v>471.09</v>
      </c>
      <c r="G197" s="15">
        <v>1362.69</v>
      </c>
      <c r="H197" s="15">
        <v>1933.85</v>
      </c>
      <c r="I197" s="15">
        <v>1756.41</v>
      </c>
      <c r="J197" s="15">
        <v>1513.07</v>
      </c>
      <c r="K197" s="15">
        <v>1513.07</v>
      </c>
      <c r="L197" s="15">
        <v>1513.07</v>
      </c>
      <c r="M197" s="15">
        <v>1513.07</v>
      </c>
      <c r="N197" s="15">
        <v>1540.18</v>
      </c>
      <c r="O197" t="s">
        <v>75</v>
      </c>
    </row>
    <row r="198" spans="1:15" x14ac:dyDescent="0.25">
      <c r="A198" s="10" t="s">
        <v>490</v>
      </c>
      <c r="B198" s="15">
        <v>374</v>
      </c>
      <c r="C198" s="15">
        <v>374</v>
      </c>
      <c r="D198" s="15">
        <v>374</v>
      </c>
      <c r="E198" s="15">
        <v>374</v>
      </c>
      <c r="F198" s="15">
        <v>374</v>
      </c>
      <c r="G198" s="15">
        <v>374</v>
      </c>
      <c r="H198" s="15">
        <v>497</v>
      </c>
      <c r="I198" s="15">
        <v>497</v>
      </c>
      <c r="J198" s="15">
        <v>415</v>
      </c>
      <c r="K198" s="15">
        <v>415</v>
      </c>
      <c r="L198" s="15">
        <v>415</v>
      </c>
      <c r="M198" s="15">
        <v>41.5</v>
      </c>
      <c r="N198" s="15">
        <v>415</v>
      </c>
      <c r="O198" t="s">
        <v>75</v>
      </c>
    </row>
    <row r="199" spans="1:15" x14ac:dyDescent="0.25">
      <c r="A199" s="10" t="s">
        <v>492</v>
      </c>
      <c r="B199" s="15">
        <v>1170</v>
      </c>
      <c r="C199" s="15">
        <v>1170</v>
      </c>
      <c r="D199" s="15">
        <v>1173.77</v>
      </c>
      <c r="E199" s="15">
        <v>1170</v>
      </c>
      <c r="F199" s="15">
        <v>1131</v>
      </c>
      <c r="G199" s="15">
        <v>1170</v>
      </c>
      <c r="H199" s="15">
        <v>1556.1</v>
      </c>
      <c r="I199" s="15">
        <v>1560</v>
      </c>
      <c r="J199" s="15">
        <v>1300</v>
      </c>
      <c r="K199" s="15">
        <v>1300</v>
      </c>
      <c r="L199" s="15">
        <v>1300</v>
      </c>
      <c r="M199" s="15">
        <v>3364.3</v>
      </c>
      <c r="N199" s="15">
        <v>1318.06</v>
      </c>
      <c r="O199" t="s">
        <v>75</v>
      </c>
    </row>
    <row r="200" spans="1:15" x14ac:dyDescent="0.25">
      <c r="A200" s="10" t="s">
        <v>494</v>
      </c>
      <c r="B200" s="15">
        <v>967</v>
      </c>
      <c r="C200" s="15">
        <v>967</v>
      </c>
      <c r="D200" s="15">
        <v>1591.26</v>
      </c>
      <c r="E200" s="15">
        <v>676.9</v>
      </c>
      <c r="F200" s="15">
        <v>1033.71</v>
      </c>
      <c r="G200" s="15">
        <v>967</v>
      </c>
      <c r="H200" s="15">
        <v>1450.14</v>
      </c>
      <c r="I200" s="15">
        <v>1284.56</v>
      </c>
      <c r="J200" s="15">
        <v>1106.22</v>
      </c>
      <c r="K200" s="15">
        <v>1106.22</v>
      </c>
      <c r="L200" s="15">
        <v>1106.22</v>
      </c>
      <c r="M200" s="15">
        <v>2417.61</v>
      </c>
      <c r="N200" s="15">
        <v>1124.8</v>
      </c>
      <c r="O200" t="s">
        <v>75</v>
      </c>
    </row>
    <row r="201" spans="1:15" x14ac:dyDescent="0.25">
      <c r="A201" s="10" t="s">
        <v>496</v>
      </c>
      <c r="B201" s="15">
        <v>811.45</v>
      </c>
      <c r="C201" s="15">
        <v>1024.32</v>
      </c>
      <c r="D201" s="15">
        <v>1041.96</v>
      </c>
      <c r="E201" s="15">
        <v>1094.58</v>
      </c>
      <c r="F201" s="15">
        <v>978.03</v>
      </c>
      <c r="G201" s="15">
        <v>985.43</v>
      </c>
      <c r="H201" s="15">
        <v>1338.67</v>
      </c>
      <c r="I201" s="15">
        <v>1289.1500000000001</v>
      </c>
      <c r="J201" s="15">
        <v>1089.6199999999999</v>
      </c>
      <c r="K201" s="15">
        <v>1086.77</v>
      </c>
      <c r="L201" s="15">
        <v>1227.3900000000001</v>
      </c>
      <c r="M201" s="15">
        <v>1922.75</v>
      </c>
      <c r="N201" s="15">
        <v>1411.07</v>
      </c>
      <c r="O201" t="s">
        <v>75</v>
      </c>
    </row>
    <row r="202" spans="1:15" x14ac:dyDescent="0.25">
      <c r="A202" s="10" t="s">
        <v>498</v>
      </c>
      <c r="B202" s="15">
        <v>1170</v>
      </c>
      <c r="C202" s="15">
        <v>1170</v>
      </c>
      <c r="D202" s="15">
        <v>1170</v>
      </c>
      <c r="E202" s="15">
        <v>1170</v>
      </c>
      <c r="F202" s="15">
        <v>1170</v>
      </c>
      <c r="G202" s="15">
        <v>1170</v>
      </c>
      <c r="H202" s="15">
        <v>3335.09</v>
      </c>
      <c r="I202" s="15">
        <v>260</v>
      </c>
      <c r="J202" s="15">
        <v>1300</v>
      </c>
      <c r="K202" s="15">
        <v>1300</v>
      </c>
      <c r="L202" s="15">
        <v>1300</v>
      </c>
      <c r="M202" s="15">
        <v>1300</v>
      </c>
      <c r="N202" s="15">
        <v>1300</v>
      </c>
      <c r="O202" t="s">
        <v>75</v>
      </c>
    </row>
    <row r="203" spans="1:15" x14ac:dyDescent="0.25">
      <c r="A203" s="10" t="s">
        <v>500</v>
      </c>
      <c r="B203" s="15">
        <v>1101</v>
      </c>
      <c r="C203" s="15">
        <v>1101</v>
      </c>
      <c r="D203" s="15">
        <v>1101</v>
      </c>
      <c r="E203" s="15">
        <v>1101</v>
      </c>
      <c r="F203" s="15">
        <v>1101</v>
      </c>
      <c r="G203" s="15">
        <v>1101</v>
      </c>
      <c r="H203" s="15">
        <v>1467</v>
      </c>
      <c r="I203" s="15">
        <v>1467</v>
      </c>
      <c r="J203" s="15">
        <v>1225</v>
      </c>
      <c r="K203" s="15">
        <v>1225</v>
      </c>
      <c r="L203" s="15">
        <v>1225</v>
      </c>
      <c r="M203" s="15">
        <v>1225</v>
      </c>
      <c r="N203" s="15">
        <v>1225</v>
      </c>
      <c r="O203" t="s">
        <v>75</v>
      </c>
    </row>
    <row r="204" spans="1:15" x14ac:dyDescent="0.25">
      <c r="A204" s="10" t="s">
        <v>502</v>
      </c>
      <c r="B204" s="15">
        <v>1134.03</v>
      </c>
      <c r="C204" s="15">
        <v>1134.03</v>
      </c>
      <c r="D204" s="15">
        <v>1201.5899999999999</v>
      </c>
      <c r="E204" s="15">
        <v>1134.03</v>
      </c>
      <c r="F204" s="15">
        <v>1282.04</v>
      </c>
      <c r="G204" s="15">
        <v>1134.03</v>
      </c>
      <c r="H204" s="15">
        <v>1676.97</v>
      </c>
      <c r="I204" s="15">
        <v>1503.69</v>
      </c>
      <c r="J204" s="15">
        <v>1259.69</v>
      </c>
      <c r="K204" s="15">
        <v>2073.56</v>
      </c>
      <c r="L204" s="15">
        <v>979.66</v>
      </c>
      <c r="M204" s="15">
        <v>1259.69</v>
      </c>
      <c r="N204" s="15">
        <v>1298.03</v>
      </c>
      <c r="O204" t="s">
        <v>75</v>
      </c>
    </row>
    <row r="205" spans="1:15" x14ac:dyDescent="0.25">
      <c r="A205" s="10" t="s">
        <v>504</v>
      </c>
      <c r="B205" s="15">
        <v>30.6</v>
      </c>
      <c r="C205" s="15">
        <v>428.4</v>
      </c>
      <c r="D205" s="15">
        <v>459</v>
      </c>
      <c r="E205" s="15">
        <v>459</v>
      </c>
      <c r="F205" s="15">
        <v>459</v>
      </c>
      <c r="G205" s="15">
        <v>459</v>
      </c>
      <c r="H205" s="15">
        <v>289</v>
      </c>
      <c r="I205" s="15">
        <v>102</v>
      </c>
      <c r="J205" s="15">
        <v>510</v>
      </c>
      <c r="K205" s="15">
        <v>68</v>
      </c>
      <c r="L205" s="15">
        <v>0</v>
      </c>
      <c r="M205" s="15">
        <v>0</v>
      </c>
      <c r="N205" s="15">
        <v>297.5</v>
      </c>
      <c r="O205" t="s">
        <v>75</v>
      </c>
    </row>
    <row r="206" spans="1:15" x14ac:dyDescent="0.25">
      <c r="A206" s="10" t="s">
        <v>506</v>
      </c>
      <c r="B206" s="15">
        <v>918</v>
      </c>
      <c r="C206" s="15">
        <v>918</v>
      </c>
      <c r="D206" s="15">
        <v>1017.32</v>
      </c>
      <c r="E206" s="15">
        <v>919.78</v>
      </c>
      <c r="F206" s="15">
        <v>1482.29</v>
      </c>
      <c r="G206" s="15">
        <v>1372.69</v>
      </c>
      <c r="H206" s="15">
        <v>4449.87</v>
      </c>
      <c r="I206" s="15">
        <v>512</v>
      </c>
      <c r="J206" s="15">
        <v>1331.7</v>
      </c>
      <c r="K206" s="15">
        <v>1300</v>
      </c>
      <c r="L206" s="15">
        <v>1381.03</v>
      </c>
      <c r="M206" s="15">
        <v>1300</v>
      </c>
      <c r="N206" s="15">
        <v>1388.9</v>
      </c>
      <c r="O206" t="s">
        <v>75</v>
      </c>
    </row>
    <row r="207" spans="1:15" x14ac:dyDescent="0.25">
      <c r="A207" s="10" t="s">
        <v>508</v>
      </c>
      <c r="B207" s="15">
        <v>1249.3900000000001</v>
      </c>
      <c r="C207" s="15">
        <v>1249.3900000000001</v>
      </c>
      <c r="D207" s="15">
        <v>1360.63</v>
      </c>
      <c r="E207" s="15">
        <v>1360.63</v>
      </c>
      <c r="F207" s="15">
        <v>1570.6</v>
      </c>
      <c r="G207" s="15">
        <v>1360.63</v>
      </c>
      <c r="H207" s="15">
        <v>2106</v>
      </c>
      <c r="I207" s="15">
        <v>1803.01</v>
      </c>
      <c r="J207" s="15">
        <v>3434.11</v>
      </c>
      <c r="K207" s="15">
        <v>252.18</v>
      </c>
      <c r="L207" s="15">
        <v>1665.48</v>
      </c>
      <c r="M207" s="15">
        <v>1663.81</v>
      </c>
      <c r="N207" s="15">
        <v>1593.56</v>
      </c>
      <c r="O207" t="s">
        <v>75</v>
      </c>
    </row>
    <row r="208" spans="1:15" x14ac:dyDescent="0.25">
      <c r="A208" s="10" t="s">
        <v>510</v>
      </c>
      <c r="B208" s="15">
        <v>928.57</v>
      </c>
      <c r="C208" s="15">
        <v>1101</v>
      </c>
      <c r="D208" s="15">
        <v>1101</v>
      </c>
      <c r="E208" s="15">
        <v>1101</v>
      </c>
      <c r="F208" s="15">
        <v>1101</v>
      </c>
      <c r="G208" s="15">
        <v>1197.8</v>
      </c>
      <c r="H208" s="15">
        <v>1590.51</v>
      </c>
      <c r="I208" s="15">
        <v>1670.99</v>
      </c>
      <c r="J208" s="15">
        <v>1336.05</v>
      </c>
      <c r="K208" s="15">
        <v>1225</v>
      </c>
      <c r="L208" s="15">
        <v>1406.08</v>
      </c>
      <c r="M208" s="15">
        <v>2389.38</v>
      </c>
      <c r="N208" s="15">
        <v>1286.5</v>
      </c>
      <c r="O208" t="s">
        <v>75</v>
      </c>
    </row>
    <row r="209" spans="1:15" x14ac:dyDescent="0.25">
      <c r="A209" s="10" t="s">
        <v>512</v>
      </c>
      <c r="B209" s="15">
        <v>1553.24</v>
      </c>
      <c r="C209" s="15">
        <v>1553.24</v>
      </c>
      <c r="D209" s="15">
        <v>1680.86</v>
      </c>
      <c r="E209" s="15">
        <v>1553.24</v>
      </c>
      <c r="F209" s="15">
        <v>2361.0500000000002</v>
      </c>
      <c r="G209" s="15">
        <v>3370.12</v>
      </c>
      <c r="H209" s="15">
        <v>1677.98</v>
      </c>
      <c r="I209" s="15">
        <v>2059.25</v>
      </c>
      <c r="J209" s="15">
        <v>1763.3</v>
      </c>
      <c r="K209" s="15">
        <v>1725.25</v>
      </c>
      <c r="L209" s="15">
        <v>1725.25</v>
      </c>
      <c r="M209" s="15">
        <v>1725.25</v>
      </c>
      <c r="N209" s="15">
        <v>1905.6</v>
      </c>
      <c r="O209" t="s">
        <v>75</v>
      </c>
    </row>
    <row r="210" spans="1:15" x14ac:dyDescent="0.25">
      <c r="A210" s="10" t="s">
        <v>514</v>
      </c>
      <c r="B210" s="15">
        <v>918</v>
      </c>
      <c r="C210" s="15">
        <v>887.4</v>
      </c>
      <c r="D210" s="15">
        <v>918</v>
      </c>
      <c r="E210" s="15">
        <v>918</v>
      </c>
      <c r="F210" s="15">
        <v>918</v>
      </c>
      <c r="G210" s="15">
        <v>918</v>
      </c>
      <c r="H210" s="15">
        <v>1224</v>
      </c>
      <c r="I210" s="15">
        <v>1224</v>
      </c>
      <c r="J210" s="15">
        <v>1020</v>
      </c>
      <c r="K210" s="15">
        <v>1020</v>
      </c>
      <c r="L210" s="15">
        <v>2040</v>
      </c>
      <c r="M210" s="15">
        <v>340</v>
      </c>
      <c r="N210" s="15">
        <v>1020</v>
      </c>
      <c r="O210" t="s">
        <v>75</v>
      </c>
    </row>
    <row r="211" spans="1:15" x14ac:dyDescent="0.25">
      <c r="A211" s="10" t="s">
        <v>516</v>
      </c>
      <c r="B211" s="15">
        <v>43.4</v>
      </c>
      <c r="C211" s="15">
        <v>607.6</v>
      </c>
      <c r="D211" s="15">
        <v>651</v>
      </c>
      <c r="E211" s="15">
        <v>651</v>
      </c>
      <c r="F211" s="15">
        <v>651</v>
      </c>
      <c r="G211" s="15">
        <v>817.9</v>
      </c>
      <c r="H211" s="15">
        <v>1077.3900000000001</v>
      </c>
      <c r="I211" s="15">
        <v>1324.91</v>
      </c>
      <c r="J211" s="15">
        <v>1300.23</v>
      </c>
      <c r="K211" s="15">
        <v>1223</v>
      </c>
      <c r="L211" s="15">
        <v>1223</v>
      </c>
      <c r="M211" s="15">
        <v>1223</v>
      </c>
      <c r="N211" s="15">
        <v>621.1</v>
      </c>
      <c r="O211" t="s">
        <v>75</v>
      </c>
    </row>
    <row r="212" spans="1:15" x14ac:dyDescent="0.25">
      <c r="A212" s="10" t="s">
        <v>518</v>
      </c>
      <c r="B212" s="15">
        <v>61.2</v>
      </c>
      <c r="C212" s="15">
        <v>856.8</v>
      </c>
      <c r="D212" s="15">
        <v>918</v>
      </c>
      <c r="E212" s="15">
        <v>918</v>
      </c>
      <c r="F212" s="15">
        <v>918</v>
      </c>
      <c r="G212" s="15">
        <v>918</v>
      </c>
      <c r="H212" s="15">
        <v>1354.97</v>
      </c>
      <c r="I212" s="15">
        <v>1224</v>
      </c>
      <c r="J212" s="15">
        <v>1020.76</v>
      </c>
      <c r="K212" s="15">
        <v>1020</v>
      </c>
      <c r="L212" s="15">
        <v>1020</v>
      </c>
      <c r="M212" s="15">
        <v>2395.4299999999998</v>
      </c>
      <c r="N212" s="15">
        <v>1030.98</v>
      </c>
      <c r="O212" t="s">
        <v>75</v>
      </c>
    </row>
    <row r="213" spans="1:15" x14ac:dyDescent="0.25">
      <c r="A213" s="10" t="s">
        <v>520</v>
      </c>
      <c r="B213" s="15">
        <v>88.2</v>
      </c>
      <c r="C213" s="15">
        <v>1234.8</v>
      </c>
      <c r="D213" s="15">
        <v>1323</v>
      </c>
      <c r="E213" s="15">
        <v>1323</v>
      </c>
      <c r="F213" s="15">
        <v>1323</v>
      </c>
      <c r="G213" s="15">
        <v>1323</v>
      </c>
      <c r="H213" s="15">
        <v>1761</v>
      </c>
      <c r="I213" s="15">
        <v>1761</v>
      </c>
      <c r="J213" s="15">
        <v>1469</v>
      </c>
      <c r="K213" s="15">
        <v>1469</v>
      </c>
      <c r="L213" s="15">
        <v>1469</v>
      </c>
      <c r="M213" s="15">
        <v>1469</v>
      </c>
      <c r="N213" s="15">
        <v>1469</v>
      </c>
      <c r="O213" t="s">
        <v>75</v>
      </c>
    </row>
    <row r="214" spans="1:15" x14ac:dyDescent="0.25">
      <c r="A214" s="10" t="s">
        <v>522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168.3</v>
      </c>
      <c r="H214" s="15">
        <v>528.70000000000005</v>
      </c>
      <c r="I214" s="15">
        <v>510</v>
      </c>
      <c r="J214" s="15">
        <v>510</v>
      </c>
      <c r="K214" s="15">
        <v>510</v>
      </c>
      <c r="L214" s="15">
        <v>510</v>
      </c>
      <c r="M214" s="15">
        <v>510</v>
      </c>
      <c r="N214" s="15">
        <v>255</v>
      </c>
      <c r="O214" t="s">
        <v>75</v>
      </c>
    </row>
    <row r="215" spans="1:15" x14ac:dyDescent="0.25">
      <c r="A215" s="10" t="s">
        <v>524</v>
      </c>
      <c r="B215" s="15">
        <v>1021.7</v>
      </c>
      <c r="C215" s="15">
        <v>995</v>
      </c>
      <c r="D215" s="15">
        <v>1043.4100000000001</v>
      </c>
      <c r="E215" s="15">
        <v>995</v>
      </c>
      <c r="F215" s="15">
        <v>1010.54</v>
      </c>
      <c r="G215" s="15">
        <v>1778.69</v>
      </c>
      <c r="H215" s="15">
        <v>1053.6300000000001</v>
      </c>
      <c r="I215" s="15">
        <v>1313.73</v>
      </c>
      <c r="J215" s="15">
        <v>1130.0999999999999</v>
      </c>
      <c r="K215" s="15">
        <v>1105</v>
      </c>
      <c r="L215" s="15">
        <v>1186.44</v>
      </c>
      <c r="M215" s="15">
        <v>1105</v>
      </c>
      <c r="N215" s="15">
        <v>1124.6500000000001</v>
      </c>
      <c r="O215" t="s">
        <v>75</v>
      </c>
    </row>
    <row r="216" spans="1:15" x14ac:dyDescent="0.25">
      <c r="A216" s="10" t="s">
        <v>526</v>
      </c>
      <c r="B216" s="15">
        <v>1349.31</v>
      </c>
      <c r="C216" s="15">
        <v>1287</v>
      </c>
      <c r="D216" s="15">
        <v>2752.03</v>
      </c>
      <c r="E216" s="15">
        <v>508.96</v>
      </c>
      <c r="F216" s="15">
        <v>1360.08</v>
      </c>
      <c r="G216" s="15">
        <v>1412.72</v>
      </c>
      <c r="H216" s="15">
        <v>2010.95</v>
      </c>
      <c r="I216" s="15">
        <v>1806.22</v>
      </c>
      <c r="J216" s="15">
        <v>1567.46</v>
      </c>
      <c r="K216" s="15">
        <v>1564.98</v>
      </c>
      <c r="L216" s="15">
        <v>1562.81</v>
      </c>
      <c r="M216" s="15">
        <v>1698.76</v>
      </c>
      <c r="N216" s="15">
        <v>1581.91</v>
      </c>
      <c r="O216" t="s">
        <v>75</v>
      </c>
    </row>
    <row r="217" spans="1:15" x14ac:dyDescent="0.25">
      <c r="A217" s="10" t="s">
        <v>528</v>
      </c>
      <c r="B217" s="15">
        <v>887.4</v>
      </c>
      <c r="C217" s="15">
        <v>859.58</v>
      </c>
      <c r="D217" s="15">
        <v>918</v>
      </c>
      <c r="E217" s="15">
        <v>918</v>
      </c>
      <c r="F217" s="15">
        <v>918</v>
      </c>
      <c r="G217" s="15">
        <v>918</v>
      </c>
      <c r="H217" s="15">
        <v>1249.56</v>
      </c>
      <c r="I217" s="15">
        <v>1810.56</v>
      </c>
      <c r="J217" s="15">
        <v>816</v>
      </c>
      <c r="K217" s="15">
        <v>1020</v>
      </c>
      <c r="L217" s="15">
        <v>979.43</v>
      </c>
      <c r="M217" s="15">
        <v>1020</v>
      </c>
      <c r="N217" s="15">
        <v>1020</v>
      </c>
      <c r="O217" t="s">
        <v>75</v>
      </c>
    </row>
    <row r="218" spans="1:15" x14ac:dyDescent="0.25">
      <c r="A218" s="10" t="s">
        <v>530</v>
      </c>
      <c r="B218" s="15">
        <v>918</v>
      </c>
      <c r="C218" s="15">
        <v>918</v>
      </c>
      <c r="D218" s="15">
        <v>918</v>
      </c>
      <c r="E218" s="15">
        <v>918</v>
      </c>
      <c r="F218" s="15">
        <v>918</v>
      </c>
      <c r="G218" s="15">
        <v>918</v>
      </c>
      <c r="H218" s="15">
        <v>2621</v>
      </c>
      <c r="I218" s="15">
        <v>204</v>
      </c>
      <c r="J218" s="15">
        <v>1020</v>
      </c>
      <c r="K218" s="15">
        <v>1020</v>
      </c>
      <c r="L218" s="15">
        <v>1161.3</v>
      </c>
      <c r="M218" s="15">
        <v>1109.1099999999999</v>
      </c>
      <c r="N218" s="15">
        <v>1039.2</v>
      </c>
      <c r="O218" t="s">
        <v>75</v>
      </c>
    </row>
    <row r="219" spans="1:15" x14ac:dyDescent="0.25">
      <c r="A219" s="10" t="s">
        <v>532</v>
      </c>
      <c r="B219" s="15">
        <v>459</v>
      </c>
      <c r="C219" s="15">
        <v>459</v>
      </c>
      <c r="D219" s="15">
        <v>1071</v>
      </c>
      <c r="E219" s="15">
        <v>45.9</v>
      </c>
      <c r="F219" s="15">
        <v>413.1</v>
      </c>
      <c r="G219" s="15">
        <v>153</v>
      </c>
      <c r="H219" s="15">
        <v>0</v>
      </c>
      <c r="I219" s="15">
        <v>255</v>
      </c>
      <c r="J219" s="15">
        <v>0</v>
      </c>
      <c r="K219" s="15">
        <v>0</v>
      </c>
      <c r="L219" s="15">
        <v>0</v>
      </c>
      <c r="M219" s="15">
        <v>0</v>
      </c>
      <c r="N219" s="15">
        <v>212.5</v>
      </c>
      <c r="O219" t="s">
        <v>75</v>
      </c>
    </row>
    <row r="220" spans="1:15" x14ac:dyDescent="0.25">
      <c r="A220" s="10" t="s">
        <v>534</v>
      </c>
      <c r="B220" s="15">
        <v>459</v>
      </c>
      <c r="C220" s="15">
        <v>459</v>
      </c>
      <c r="D220" s="15">
        <v>459</v>
      </c>
      <c r="E220" s="15">
        <v>1071</v>
      </c>
      <c r="F220" s="15">
        <v>0</v>
      </c>
      <c r="G220" s="15">
        <v>153</v>
      </c>
      <c r="H220" s="15">
        <v>0</v>
      </c>
      <c r="I220" s="15">
        <v>255</v>
      </c>
      <c r="J220" s="15">
        <v>0</v>
      </c>
      <c r="K220" s="15">
        <v>0</v>
      </c>
      <c r="L220" s="15">
        <v>0</v>
      </c>
      <c r="M220" s="15">
        <v>0</v>
      </c>
      <c r="N220" s="15">
        <v>212.5</v>
      </c>
      <c r="O220" t="s">
        <v>75</v>
      </c>
    </row>
    <row r="221" spans="1:15" x14ac:dyDescent="0.25">
      <c r="A221" s="10" t="s">
        <v>536</v>
      </c>
      <c r="B221" s="15">
        <v>0</v>
      </c>
      <c r="C221" s="15">
        <v>0</v>
      </c>
      <c r="D221" s="15">
        <v>0</v>
      </c>
      <c r="E221" s="15">
        <v>0</v>
      </c>
      <c r="F221" s="15">
        <v>0</v>
      </c>
      <c r="G221" s="15">
        <v>168.3</v>
      </c>
      <c r="H221" s="15">
        <v>528.70000000000005</v>
      </c>
      <c r="I221" s="15">
        <v>510</v>
      </c>
      <c r="J221" s="15">
        <v>510</v>
      </c>
      <c r="K221" s="15">
        <v>510</v>
      </c>
      <c r="L221" s="15">
        <v>510</v>
      </c>
      <c r="M221" s="15">
        <v>510</v>
      </c>
      <c r="N221" s="15">
        <v>255</v>
      </c>
      <c r="O221" t="s">
        <v>75</v>
      </c>
    </row>
    <row r="222" spans="1:15" x14ac:dyDescent="0.25">
      <c r="A222" s="10" t="s">
        <v>538</v>
      </c>
      <c r="B222" s="15">
        <v>459</v>
      </c>
      <c r="C222" s="15">
        <v>459</v>
      </c>
      <c r="D222" s="15">
        <v>459</v>
      </c>
      <c r="E222" s="15">
        <v>459</v>
      </c>
      <c r="F222" s="15">
        <v>459</v>
      </c>
      <c r="G222" s="15">
        <v>688.5</v>
      </c>
      <c r="H222" s="15">
        <v>573.75</v>
      </c>
      <c r="I222" s="15">
        <v>590.75</v>
      </c>
      <c r="J222" s="15">
        <v>510</v>
      </c>
      <c r="K222" s="15">
        <v>68</v>
      </c>
      <c r="L222" s="15">
        <v>0</v>
      </c>
      <c r="M222" s="15">
        <v>0</v>
      </c>
      <c r="N222" s="15">
        <v>382.5</v>
      </c>
      <c r="O222" t="s">
        <v>75</v>
      </c>
    </row>
    <row r="223" spans="1:15" x14ac:dyDescent="0.25">
      <c r="A223" s="10" t="s">
        <v>540</v>
      </c>
      <c r="B223" s="15">
        <v>0</v>
      </c>
      <c r="C223" s="15">
        <v>0</v>
      </c>
      <c r="D223" s="15">
        <v>0</v>
      </c>
      <c r="E223" s="15">
        <v>0</v>
      </c>
      <c r="F223" s="15">
        <v>0</v>
      </c>
      <c r="G223" s="15">
        <v>168.3</v>
      </c>
      <c r="H223" s="15">
        <v>528.70000000000005</v>
      </c>
      <c r="I223" s="15">
        <v>510</v>
      </c>
      <c r="J223" s="15">
        <v>510</v>
      </c>
      <c r="K223" s="15">
        <v>510</v>
      </c>
      <c r="L223" s="15">
        <v>510</v>
      </c>
      <c r="M223" s="15">
        <v>510</v>
      </c>
      <c r="N223" s="15">
        <v>255</v>
      </c>
      <c r="O223" t="s">
        <v>75</v>
      </c>
    </row>
    <row r="224" spans="1:15" x14ac:dyDescent="0.25">
      <c r="A224" s="10" t="s">
        <v>542</v>
      </c>
      <c r="B224" s="15">
        <v>1087.42</v>
      </c>
      <c r="C224" s="15">
        <v>1843.6</v>
      </c>
      <c r="D224" s="15">
        <v>1247.68</v>
      </c>
      <c r="E224" s="15">
        <v>1212.28</v>
      </c>
      <c r="F224" s="15">
        <v>1207.52</v>
      </c>
      <c r="G224" s="15">
        <v>1853.83</v>
      </c>
      <c r="H224" s="15">
        <v>1533.1</v>
      </c>
      <c r="I224" s="15">
        <v>1541.16</v>
      </c>
      <c r="J224" s="15">
        <v>1339.46</v>
      </c>
      <c r="K224" s="15">
        <v>1324.54</v>
      </c>
      <c r="L224" s="15">
        <v>1334.9</v>
      </c>
      <c r="M224" s="15">
        <v>1346.43</v>
      </c>
      <c r="N224" s="15">
        <v>1345.75</v>
      </c>
      <c r="O224" t="s">
        <v>75</v>
      </c>
    </row>
    <row r="225" spans="1:15" x14ac:dyDescent="0.25">
      <c r="A225" s="10" t="s">
        <v>544</v>
      </c>
      <c r="B225" s="15">
        <v>0</v>
      </c>
      <c r="C225" s="15">
        <v>0</v>
      </c>
      <c r="D225" s="15">
        <v>0</v>
      </c>
      <c r="E225" s="15">
        <v>0</v>
      </c>
      <c r="F225" s="15">
        <v>0</v>
      </c>
      <c r="G225" s="15">
        <v>168.3</v>
      </c>
      <c r="H225" s="15">
        <v>528.70000000000005</v>
      </c>
      <c r="I225" s="15">
        <v>510</v>
      </c>
      <c r="J225" s="15">
        <v>510</v>
      </c>
      <c r="K225" s="15">
        <v>510</v>
      </c>
      <c r="L225" s="15">
        <v>510</v>
      </c>
      <c r="M225" s="15">
        <v>510</v>
      </c>
      <c r="N225" s="15">
        <v>255</v>
      </c>
      <c r="O225" t="s">
        <v>75</v>
      </c>
    </row>
    <row r="226" spans="1:15" x14ac:dyDescent="0.25">
      <c r="A226" s="10" t="s">
        <v>546</v>
      </c>
      <c r="B226" s="15">
        <v>0</v>
      </c>
      <c r="C226" s="15">
        <v>374</v>
      </c>
      <c r="D226" s="15">
        <v>374</v>
      </c>
      <c r="E226" s="15">
        <v>374</v>
      </c>
      <c r="F226" s="15">
        <v>374</v>
      </c>
      <c r="G226" s="15">
        <v>374</v>
      </c>
      <c r="H226" s="15">
        <v>497</v>
      </c>
      <c r="I226" s="15">
        <v>192.67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t="s">
        <v>75</v>
      </c>
    </row>
    <row r="227" spans="1:15" x14ac:dyDescent="0.25">
      <c r="A227" s="10" t="s">
        <v>548</v>
      </c>
      <c r="B227" s="15">
        <v>1153.75</v>
      </c>
      <c r="C227" s="15">
        <v>1075.6400000000001</v>
      </c>
      <c r="D227" s="15">
        <v>1183.6199999999999</v>
      </c>
      <c r="E227" s="15">
        <v>1045</v>
      </c>
      <c r="F227" s="15">
        <v>1045</v>
      </c>
      <c r="G227" s="15">
        <v>1045</v>
      </c>
      <c r="H227" s="15">
        <v>1887</v>
      </c>
      <c r="I227" s="15">
        <v>1393</v>
      </c>
      <c r="J227" s="15">
        <v>1226.1400000000001</v>
      </c>
      <c r="K227" s="15">
        <v>1161</v>
      </c>
      <c r="L227" s="15">
        <v>1217.19</v>
      </c>
      <c r="M227" s="15">
        <v>1161</v>
      </c>
      <c r="N227" s="15">
        <v>1211.5</v>
      </c>
      <c r="O227" t="s">
        <v>75</v>
      </c>
    </row>
    <row r="228" spans="1:15" x14ac:dyDescent="0.25">
      <c r="A228" s="10" t="s">
        <v>550</v>
      </c>
      <c r="B228" s="15">
        <v>918</v>
      </c>
      <c r="C228" s="15">
        <v>918</v>
      </c>
      <c r="D228" s="15">
        <v>673.2</v>
      </c>
      <c r="E228" s="15">
        <v>0</v>
      </c>
      <c r="F228" s="15">
        <v>0</v>
      </c>
      <c r="G228" s="15">
        <v>0</v>
      </c>
      <c r="H228" s="15">
        <v>0</v>
      </c>
      <c r="I228" s="15">
        <v>176.96</v>
      </c>
      <c r="J228" s="15">
        <v>0</v>
      </c>
      <c r="K228" s="15">
        <v>0</v>
      </c>
      <c r="L228" s="15">
        <v>0</v>
      </c>
      <c r="M228" s="15">
        <v>0</v>
      </c>
      <c r="N228" s="15">
        <v>340</v>
      </c>
      <c r="O228" t="s">
        <v>75</v>
      </c>
    </row>
    <row r="229" spans="1:15" x14ac:dyDescent="0.25">
      <c r="A229" s="10" t="s">
        <v>552</v>
      </c>
      <c r="B229" s="15">
        <v>918</v>
      </c>
      <c r="C229" s="15">
        <v>921.48</v>
      </c>
      <c r="D229" s="15">
        <v>960.37</v>
      </c>
      <c r="E229" s="15">
        <v>918</v>
      </c>
      <c r="F229" s="15">
        <v>1108.79</v>
      </c>
      <c r="G229" s="15">
        <v>2276.64</v>
      </c>
      <c r="H229" s="15">
        <v>704.39</v>
      </c>
      <c r="I229" s="15">
        <v>1156</v>
      </c>
      <c r="J229" s="15">
        <v>1034.47</v>
      </c>
      <c r="K229" s="15">
        <v>1020</v>
      </c>
      <c r="L229" s="15">
        <v>1020</v>
      </c>
      <c r="M229" s="15">
        <v>1020</v>
      </c>
      <c r="N229" s="15">
        <v>1066.3800000000001</v>
      </c>
      <c r="O229" t="s">
        <v>75</v>
      </c>
    </row>
    <row r="230" spans="1:15" x14ac:dyDescent="0.25">
      <c r="A230" s="10" t="s">
        <v>554</v>
      </c>
      <c r="B230" s="15">
        <v>918</v>
      </c>
      <c r="C230" s="15">
        <v>918</v>
      </c>
      <c r="D230" s="15">
        <v>673.2</v>
      </c>
      <c r="E230" s="15">
        <v>0</v>
      </c>
      <c r="F230" s="15">
        <v>0</v>
      </c>
      <c r="G230" s="15">
        <v>0</v>
      </c>
      <c r="H230" s="15">
        <v>0</v>
      </c>
      <c r="I230" s="15">
        <v>166.57</v>
      </c>
      <c r="J230" s="15">
        <v>0</v>
      </c>
      <c r="K230" s="15">
        <v>0</v>
      </c>
      <c r="L230" s="15">
        <v>0</v>
      </c>
      <c r="M230" s="15">
        <v>0</v>
      </c>
      <c r="N230" s="15">
        <v>340</v>
      </c>
      <c r="O230" t="s">
        <v>75</v>
      </c>
    </row>
    <row r="231" spans="1:15" x14ac:dyDescent="0.25">
      <c r="A231" s="10" t="s">
        <v>556</v>
      </c>
      <c r="B231" s="15">
        <v>374</v>
      </c>
      <c r="C231" s="15">
        <v>374</v>
      </c>
      <c r="D231" s="15">
        <v>459</v>
      </c>
      <c r="E231" s="15">
        <v>459</v>
      </c>
      <c r="F231" s="15">
        <v>459</v>
      </c>
      <c r="G231" s="15">
        <v>459</v>
      </c>
      <c r="H231" s="15">
        <v>612</v>
      </c>
      <c r="I231" s="15">
        <v>612</v>
      </c>
      <c r="J231" s="15">
        <v>510</v>
      </c>
      <c r="K231" s="15">
        <v>510</v>
      </c>
      <c r="L231" s="15">
        <v>510</v>
      </c>
      <c r="M231" s="15">
        <v>510</v>
      </c>
      <c r="N231" s="15">
        <v>425</v>
      </c>
      <c r="O231" t="s">
        <v>75</v>
      </c>
    </row>
    <row r="232" spans="1:15" x14ac:dyDescent="0.25">
      <c r="A232" s="10" t="s">
        <v>558</v>
      </c>
      <c r="B232" s="15">
        <v>0</v>
      </c>
      <c r="C232" s="15">
        <v>0</v>
      </c>
      <c r="D232" s="15">
        <v>0</v>
      </c>
      <c r="E232" s="15">
        <v>0</v>
      </c>
      <c r="F232" s="15">
        <v>0</v>
      </c>
      <c r="G232" s="15">
        <v>168.3</v>
      </c>
      <c r="H232" s="15">
        <v>528.70000000000005</v>
      </c>
      <c r="I232" s="15">
        <v>510</v>
      </c>
      <c r="J232" s="15">
        <v>510</v>
      </c>
      <c r="K232" s="15">
        <v>510</v>
      </c>
      <c r="L232" s="15">
        <v>510</v>
      </c>
      <c r="M232" s="15">
        <v>510</v>
      </c>
      <c r="N232" s="15">
        <v>255</v>
      </c>
      <c r="O232" t="s">
        <v>75</v>
      </c>
    </row>
    <row r="233" spans="1:15" x14ac:dyDescent="0.25">
      <c r="A233" s="10" t="s">
        <v>560</v>
      </c>
      <c r="B233" s="15">
        <v>826.2</v>
      </c>
      <c r="C233" s="15">
        <v>887.4</v>
      </c>
      <c r="D233" s="15">
        <v>673.2</v>
      </c>
      <c r="E233" s="15">
        <v>0</v>
      </c>
      <c r="F233" s="15">
        <v>0</v>
      </c>
      <c r="G233" s="15">
        <v>0</v>
      </c>
      <c r="H233" s="15">
        <v>0</v>
      </c>
      <c r="I233" s="15">
        <v>156.4</v>
      </c>
      <c r="J233" s="15">
        <v>0</v>
      </c>
      <c r="K233" s="15">
        <v>0</v>
      </c>
      <c r="L233" s="15">
        <v>0</v>
      </c>
      <c r="M233" s="15">
        <v>0</v>
      </c>
      <c r="N233" s="15">
        <v>340</v>
      </c>
      <c r="O233" t="s">
        <v>75</v>
      </c>
    </row>
    <row r="234" spans="1:15" x14ac:dyDescent="0.25">
      <c r="A234" s="10" t="s">
        <v>562</v>
      </c>
      <c r="B234" s="15">
        <v>30.6</v>
      </c>
      <c r="C234" s="15">
        <v>428.4</v>
      </c>
      <c r="D234" s="15">
        <v>459</v>
      </c>
      <c r="E234" s="15">
        <v>15.3</v>
      </c>
      <c r="F234" s="15">
        <v>0</v>
      </c>
      <c r="G234" s="15">
        <v>0</v>
      </c>
      <c r="H234" s="15">
        <v>0</v>
      </c>
      <c r="I234" s="15">
        <v>81.03</v>
      </c>
      <c r="J234" s="15">
        <v>0</v>
      </c>
      <c r="K234" s="15">
        <v>0</v>
      </c>
      <c r="L234" s="15">
        <v>0</v>
      </c>
      <c r="M234" s="15">
        <v>0</v>
      </c>
      <c r="N234" s="15">
        <v>127.5</v>
      </c>
      <c r="O234" t="s">
        <v>75</v>
      </c>
    </row>
    <row r="235" spans="1:15" x14ac:dyDescent="0.25">
      <c r="A235" s="10" t="s">
        <v>564</v>
      </c>
      <c r="B235" s="15">
        <v>0</v>
      </c>
      <c r="C235" s="15">
        <v>0</v>
      </c>
      <c r="D235" s="15">
        <v>0</v>
      </c>
      <c r="E235" s="15">
        <v>0</v>
      </c>
      <c r="F235" s="15">
        <v>0</v>
      </c>
      <c r="G235" s="15">
        <v>168.3</v>
      </c>
      <c r="H235" s="15">
        <v>528.70000000000005</v>
      </c>
      <c r="I235" s="15">
        <v>510</v>
      </c>
      <c r="J235" s="15">
        <v>510</v>
      </c>
      <c r="K235" s="15">
        <v>510</v>
      </c>
      <c r="L235" s="15">
        <v>510</v>
      </c>
      <c r="M235" s="15">
        <v>510</v>
      </c>
      <c r="N235" s="15">
        <v>255</v>
      </c>
      <c r="O235" t="s">
        <v>75</v>
      </c>
    </row>
    <row r="236" spans="1:15" x14ac:dyDescent="0.25">
      <c r="A236" s="10" t="s">
        <v>566</v>
      </c>
      <c r="B236" s="15">
        <v>1136.0899999999999</v>
      </c>
      <c r="C236" s="15">
        <v>1124.3399999999999</v>
      </c>
      <c r="D236" s="15">
        <v>1129.7</v>
      </c>
      <c r="E236" s="15">
        <v>1121.52</v>
      </c>
      <c r="F236" s="15">
        <v>1087.71</v>
      </c>
      <c r="G236" s="15">
        <v>1089.1199999999999</v>
      </c>
      <c r="H236" s="15">
        <v>1571.72</v>
      </c>
      <c r="I236" s="15">
        <v>1420.45</v>
      </c>
      <c r="J236" s="15">
        <v>2324.29</v>
      </c>
      <c r="K236" s="15">
        <v>414.71</v>
      </c>
      <c r="L236" s="15">
        <v>1195.46</v>
      </c>
      <c r="M236" s="15">
        <v>1201.26</v>
      </c>
      <c r="N236" s="15">
        <v>1228.94</v>
      </c>
      <c r="O236" t="s">
        <v>75</v>
      </c>
    </row>
    <row r="237" spans="1:15" x14ac:dyDescent="0.25">
      <c r="A237" s="10" t="s">
        <v>568</v>
      </c>
      <c r="B237" s="15">
        <v>0</v>
      </c>
      <c r="C237" s="15">
        <v>0</v>
      </c>
      <c r="D237" s="15">
        <v>0</v>
      </c>
      <c r="E237" s="15">
        <v>0</v>
      </c>
      <c r="F237" s="15">
        <v>0</v>
      </c>
      <c r="G237" s="15">
        <v>168.3</v>
      </c>
      <c r="H237" s="15">
        <v>528.70000000000005</v>
      </c>
      <c r="I237" s="15">
        <v>510</v>
      </c>
      <c r="J237" s="15">
        <v>510</v>
      </c>
      <c r="K237" s="15">
        <v>510</v>
      </c>
      <c r="L237" s="15">
        <v>510</v>
      </c>
      <c r="M237" s="15">
        <v>510</v>
      </c>
      <c r="N237" s="15">
        <v>255</v>
      </c>
      <c r="O237" t="s">
        <v>75</v>
      </c>
    </row>
    <row r="238" spans="1:15" x14ac:dyDescent="0.25">
      <c r="A238" s="10" t="s">
        <v>570</v>
      </c>
      <c r="B238" s="15">
        <v>918</v>
      </c>
      <c r="C238" s="15">
        <v>918</v>
      </c>
      <c r="D238" s="15">
        <v>918</v>
      </c>
      <c r="E238" s="15">
        <v>918</v>
      </c>
      <c r="F238" s="15">
        <v>918</v>
      </c>
      <c r="G238" s="15">
        <v>1093.4000000000001</v>
      </c>
      <c r="H238" s="15">
        <v>1359.97</v>
      </c>
      <c r="I238" s="15">
        <v>1224</v>
      </c>
      <c r="J238" s="15">
        <v>1020</v>
      </c>
      <c r="K238" s="15">
        <v>1101.6099999999999</v>
      </c>
      <c r="L238" s="15">
        <v>1514.9</v>
      </c>
      <c r="M238" s="15">
        <v>2733.48</v>
      </c>
      <c r="N238" s="15">
        <v>1121.3800000000001</v>
      </c>
      <c r="O238" t="s">
        <v>75</v>
      </c>
    </row>
    <row r="239" spans="1:15" x14ac:dyDescent="0.25">
      <c r="A239" s="10" t="s">
        <v>572</v>
      </c>
      <c r="B239" s="15">
        <v>0</v>
      </c>
      <c r="C239" s="15">
        <v>374</v>
      </c>
      <c r="D239" s="15">
        <v>374</v>
      </c>
      <c r="E239" s="15">
        <v>374</v>
      </c>
      <c r="F239" s="15">
        <v>374</v>
      </c>
      <c r="G239" s="15">
        <v>374</v>
      </c>
      <c r="H239" s="15">
        <v>497</v>
      </c>
      <c r="I239" s="15">
        <v>497</v>
      </c>
      <c r="J239" s="15">
        <v>415</v>
      </c>
      <c r="K239" s="15">
        <v>415</v>
      </c>
      <c r="L239" s="15">
        <v>415</v>
      </c>
      <c r="M239" s="15">
        <v>415</v>
      </c>
      <c r="N239" s="15">
        <v>380.42</v>
      </c>
      <c r="O239" t="s">
        <v>75</v>
      </c>
    </row>
    <row r="240" spans="1:15" x14ac:dyDescent="0.25">
      <c r="A240" s="10" t="s">
        <v>574</v>
      </c>
      <c r="B240" s="15">
        <v>0</v>
      </c>
      <c r="C240" s="15">
        <v>0</v>
      </c>
      <c r="D240" s="15">
        <v>0</v>
      </c>
      <c r="E240" s="15">
        <v>0</v>
      </c>
      <c r="F240" s="15">
        <v>673.2</v>
      </c>
      <c r="G240" s="15">
        <v>918</v>
      </c>
      <c r="H240" s="15">
        <v>1119.48</v>
      </c>
      <c r="I240" s="15">
        <v>1119.48</v>
      </c>
      <c r="J240" s="15">
        <v>1020</v>
      </c>
      <c r="K240" s="15">
        <v>1020</v>
      </c>
      <c r="L240" s="15">
        <v>1020</v>
      </c>
      <c r="M240" s="15">
        <v>1176.99</v>
      </c>
      <c r="N240" s="15">
        <v>693.08</v>
      </c>
      <c r="O240" t="s">
        <v>75</v>
      </c>
    </row>
    <row r="241" spans="1:15" x14ac:dyDescent="0.25">
      <c r="A241" s="10" t="s">
        <v>576</v>
      </c>
      <c r="B241" s="15">
        <v>0</v>
      </c>
      <c r="C241" s="15">
        <v>0</v>
      </c>
      <c r="D241" s="15">
        <v>0</v>
      </c>
      <c r="E241" s="15">
        <v>0</v>
      </c>
      <c r="F241" s="15">
        <v>0</v>
      </c>
      <c r="G241" s="15">
        <v>168.3</v>
      </c>
      <c r="H241" s="15">
        <v>528.70000000000005</v>
      </c>
      <c r="I241" s="15">
        <v>510</v>
      </c>
      <c r="J241" s="15">
        <v>510</v>
      </c>
      <c r="K241" s="15">
        <v>510</v>
      </c>
      <c r="L241" s="15">
        <v>510</v>
      </c>
      <c r="M241" s="15">
        <v>510</v>
      </c>
      <c r="N241" s="15">
        <v>255</v>
      </c>
      <c r="O241" t="s">
        <v>75</v>
      </c>
    </row>
    <row r="242" spans="1:15" x14ac:dyDescent="0.25">
      <c r="A242" s="10" t="s">
        <v>578</v>
      </c>
      <c r="B242" s="15">
        <v>0</v>
      </c>
      <c r="C242" s="15">
        <v>0</v>
      </c>
      <c r="D242" s="15">
        <v>0</v>
      </c>
      <c r="E242" s="15">
        <v>0</v>
      </c>
      <c r="F242" s="15">
        <v>0</v>
      </c>
      <c r="G242" s="15">
        <v>0</v>
      </c>
      <c r="H242" s="15">
        <v>0</v>
      </c>
      <c r="I242" s="15">
        <v>304.33</v>
      </c>
      <c r="J242" s="15">
        <v>415</v>
      </c>
      <c r="K242" s="15">
        <v>415</v>
      </c>
      <c r="L242" s="15">
        <v>415</v>
      </c>
      <c r="M242" s="15">
        <v>415</v>
      </c>
      <c r="N242" s="15">
        <v>172.92</v>
      </c>
      <c r="O242" t="s">
        <v>75</v>
      </c>
    </row>
    <row r="243" spans="1:15" x14ac:dyDescent="0.25">
      <c r="A243" s="10" t="s">
        <v>580</v>
      </c>
      <c r="B243" s="15">
        <v>7208.1</v>
      </c>
      <c r="C243" s="15">
        <v>7021.28</v>
      </c>
      <c r="D243" s="15">
        <v>7239.6</v>
      </c>
      <c r="E243" s="15">
        <v>7021.28</v>
      </c>
      <c r="F243" s="15">
        <v>7982.97</v>
      </c>
      <c r="G243" s="15">
        <v>7021.28</v>
      </c>
      <c r="H243" s="15">
        <v>9897.85</v>
      </c>
      <c r="I243" s="15">
        <v>9186.56</v>
      </c>
      <c r="J243" s="15">
        <v>10346.5</v>
      </c>
      <c r="K243" s="15">
        <v>7798.56</v>
      </c>
      <c r="L243" s="15">
        <v>8559.9500000000007</v>
      </c>
      <c r="M243" s="15">
        <v>7843</v>
      </c>
      <c r="N243" s="15">
        <v>8140.53</v>
      </c>
      <c r="O243" t="s">
        <v>75</v>
      </c>
    </row>
    <row r="244" spans="1:15" x14ac:dyDescent="0.25">
      <c r="A244" s="10" t="s">
        <v>582</v>
      </c>
      <c r="B244" s="15">
        <v>2583.3000000000002</v>
      </c>
      <c r="C244" s="15">
        <v>2583.3000000000002</v>
      </c>
      <c r="D244" s="15">
        <v>2583.3000000000002</v>
      </c>
      <c r="E244" s="15">
        <v>2583.3000000000002</v>
      </c>
      <c r="F244" s="15">
        <v>6011.05</v>
      </c>
      <c r="G244" s="15">
        <v>172.22</v>
      </c>
      <c r="H244" s="15">
        <v>3773.02</v>
      </c>
      <c r="I244" s="15">
        <v>3261.88</v>
      </c>
      <c r="J244" s="15">
        <v>3131.98</v>
      </c>
      <c r="K244" s="15">
        <v>1051.93</v>
      </c>
      <c r="L244" s="15">
        <v>0</v>
      </c>
      <c r="M244" s="15">
        <v>0</v>
      </c>
      <c r="N244" s="15">
        <v>2660.2</v>
      </c>
      <c r="O244" t="s">
        <v>75</v>
      </c>
    </row>
    <row r="245" spans="1:15" x14ac:dyDescent="0.25">
      <c r="A245" s="10" t="s">
        <v>584</v>
      </c>
      <c r="B245" s="15">
        <v>5473.73</v>
      </c>
      <c r="C245" s="15">
        <v>77.28</v>
      </c>
      <c r="D245" s="15">
        <v>2241.2399999999998</v>
      </c>
      <c r="E245" s="15">
        <v>2318.52</v>
      </c>
      <c r="F245" s="15">
        <v>2318.52</v>
      </c>
      <c r="G245" s="15">
        <v>2318.52</v>
      </c>
      <c r="H245" s="15">
        <v>3118.7</v>
      </c>
      <c r="I245" s="15">
        <v>3052.66</v>
      </c>
      <c r="J245" s="15">
        <v>2575.67</v>
      </c>
      <c r="K245" s="15">
        <v>2575.67</v>
      </c>
      <c r="L245" s="15">
        <v>2575.67</v>
      </c>
      <c r="M245" s="15">
        <v>2575.67</v>
      </c>
      <c r="N245" s="15">
        <v>2575.67</v>
      </c>
      <c r="O245" t="s">
        <v>75</v>
      </c>
    </row>
    <row r="246" spans="1:15" x14ac:dyDescent="0.25">
      <c r="A246" s="10" t="s">
        <v>586</v>
      </c>
      <c r="B246" s="15">
        <v>2601.67</v>
      </c>
      <c r="C246" s="15">
        <v>2221.8200000000002</v>
      </c>
      <c r="D246" s="15">
        <v>2247.7399999999998</v>
      </c>
      <c r="E246" s="15">
        <v>2765.78</v>
      </c>
      <c r="F246" s="15">
        <v>2571.16</v>
      </c>
      <c r="G246" s="15">
        <v>2323.39</v>
      </c>
      <c r="H246" s="15">
        <v>6122.73</v>
      </c>
      <c r="I246" s="15">
        <v>990.6</v>
      </c>
      <c r="J246" s="15">
        <v>2929.94</v>
      </c>
      <c r="K246" s="15">
        <v>2373.79</v>
      </c>
      <c r="L246" s="15">
        <v>364.15</v>
      </c>
      <c r="M246" s="15">
        <v>0</v>
      </c>
      <c r="N246" s="15">
        <v>2355.13</v>
      </c>
      <c r="O246" t="s">
        <v>75</v>
      </c>
    </row>
    <row r="247" spans="1:15" x14ac:dyDescent="0.25">
      <c r="A247" s="10" t="s">
        <v>588</v>
      </c>
      <c r="B247" s="15">
        <v>0</v>
      </c>
      <c r="C247" s="15">
        <v>0</v>
      </c>
      <c r="D247" s="15">
        <v>0</v>
      </c>
      <c r="E247" s="15">
        <v>3164.67</v>
      </c>
      <c r="F247" s="15">
        <v>4747</v>
      </c>
      <c r="G247" s="15">
        <v>4747</v>
      </c>
      <c r="H247" s="15">
        <v>5972</v>
      </c>
      <c r="I247" s="15">
        <v>5972</v>
      </c>
      <c r="J247" s="15">
        <v>5272</v>
      </c>
      <c r="K247" s="15">
        <v>5272</v>
      </c>
      <c r="L247" s="15">
        <v>5272</v>
      </c>
      <c r="M247" s="15">
        <v>5272</v>
      </c>
      <c r="N247" s="15">
        <v>3954</v>
      </c>
      <c r="O247" t="s">
        <v>75</v>
      </c>
    </row>
    <row r="248" spans="1:15" x14ac:dyDescent="0.25">
      <c r="A248" s="10" t="s">
        <v>590</v>
      </c>
      <c r="B248" s="15">
        <v>1593.23</v>
      </c>
      <c r="C248" s="15">
        <v>1558</v>
      </c>
      <c r="D248" s="15">
        <v>1558</v>
      </c>
      <c r="E248" s="15">
        <v>3726.55</v>
      </c>
      <c r="F248" s="15">
        <v>0</v>
      </c>
      <c r="G248" s="15">
        <v>1558</v>
      </c>
      <c r="H248" s="15">
        <v>2339.1999999999998</v>
      </c>
      <c r="I248" s="15">
        <v>1988</v>
      </c>
      <c r="J248" s="15">
        <v>1730</v>
      </c>
      <c r="K248" s="15">
        <v>1730</v>
      </c>
      <c r="L248" s="15">
        <v>1905.73</v>
      </c>
      <c r="M248" s="15">
        <v>1781.9</v>
      </c>
      <c r="N248" s="15">
        <v>1805.43</v>
      </c>
      <c r="O248" t="s">
        <v>75</v>
      </c>
    </row>
    <row r="249" spans="1:15" x14ac:dyDescent="0.25">
      <c r="A249" s="10" t="s">
        <v>592</v>
      </c>
      <c r="B249" s="15">
        <v>3681.13</v>
      </c>
      <c r="C249" s="15">
        <v>8875.4599999999991</v>
      </c>
      <c r="D249" s="15">
        <v>289.72000000000003</v>
      </c>
      <c r="E249" s="15">
        <v>3525.73</v>
      </c>
      <c r="F249" s="15">
        <v>3705.67</v>
      </c>
      <c r="G249" s="15">
        <v>3541.48</v>
      </c>
      <c r="H249" s="15">
        <v>4931.5200000000004</v>
      </c>
      <c r="I249" s="15">
        <v>4652.5200000000004</v>
      </c>
      <c r="J249" s="15">
        <v>4202.0600000000004</v>
      </c>
      <c r="K249" s="15">
        <v>3935.51</v>
      </c>
      <c r="L249" s="15">
        <v>4268.96</v>
      </c>
      <c r="M249" s="15">
        <v>3924.47</v>
      </c>
      <c r="N249" s="15">
        <v>4102.74</v>
      </c>
      <c r="O249" t="s">
        <v>75</v>
      </c>
    </row>
    <row r="250" spans="1:15" x14ac:dyDescent="0.25">
      <c r="A250" s="10" t="s">
        <v>594</v>
      </c>
      <c r="B250" s="15">
        <v>1322</v>
      </c>
      <c r="C250" s="15">
        <v>1322</v>
      </c>
      <c r="D250" s="15">
        <v>1366.07</v>
      </c>
      <c r="E250" s="15">
        <v>264.39999999999998</v>
      </c>
      <c r="F250" s="15">
        <v>0</v>
      </c>
      <c r="G250" s="15">
        <v>0</v>
      </c>
      <c r="H250" s="15">
        <v>90.03</v>
      </c>
      <c r="I250" s="15">
        <v>90.03</v>
      </c>
      <c r="J250" s="15">
        <v>0</v>
      </c>
      <c r="K250" s="15">
        <v>0</v>
      </c>
      <c r="L250" s="15">
        <v>0</v>
      </c>
      <c r="M250" s="15">
        <v>0</v>
      </c>
      <c r="N250" s="15">
        <v>378.01</v>
      </c>
      <c r="O250" t="s">
        <v>75</v>
      </c>
    </row>
    <row r="251" spans="1:15" x14ac:dyDescent="0.25">
      <c r="A251" s="10" t="s">
        <v>596</v>
      </c>
      <c r="B251" s="15">
        <v>4996</v>
      </c>
      <c r="C251" s="15">
        <v>4996</v>
      </c>
      <c r="D251" s="15">
        <v>499.6</v>
      </c>
      <c r="E251" s="15">
        <v>0</v>
      </c>
      <c r="F251" s="15">
        <v>0</v>
      </c>
      <c r="G251" s="15">
        <v>0</v>
      </c>
      <c r="H251" s="15">
        <v>0</v>
      </c>
      <c r="I251" s="15">
        <v>546.85</v>
      </c>
      <c r="J251" s="15">
        <v>0</v>
      </c>
      <c r="K251" s="15">
        <v>0</v>
      </c>
      <c r="L251" s="15">
        <v>0</v>
      </c>
      <c r="M251" s="15">
        <v>0</v>
      </c>
      <c r="N251" s="15">
        <v>1387.25</v>
      </c>
      <c r="O251" t="s">
        <v>75</v>
      </c>
    </row>
    <row r="252" spans="1:15" x14ac:dyDescent="0.25">
      <c r="A252" s="10" t="s">
        <v>598</v>
      </c>
      <c r="B252" s="15">
        <v>0</v>
      </c>
      <c r="C252" s="15">
        <v>0</v>
      </c>
      <c r="D252" s="15">
        <v>36822</v>
      </c>
      <c r="E252" s="15">
        <v>36129.800000000003</v>
      </c>
      <c r="F252" s="15">
        <v>21030.2</v>
      </c>
      <c r="G252" s="15">
        <v>26822</v>
      </c>
      <c r="H252" s="15">
        <v>26822</v>
      </c>
      <c r="I252" s="15">
        <v>26822</v>
      </c>
      <c r="J252" s="15">
        <v>26822</v>
      </c>
      <c r="K252" s="15">
        <v>26822</v>
      </c>
      <c r="L252" s="15">
        <v>26822</v>
      </c>
      <c r="M252" s="15">
        <v>26822</v>
      </c>
      <c r="N252" s="15">
        <v>24822</v>
      </c>
      <c r="O252" t="s">
        <v>75</v>
      </c>
    </row>
    <row r="253" spans="1:15" x14ac:dyDescent="0.25">
      <c r="A253" s="10" t="s">
        <v>600</v>
      </c>
      <c r="B253" s="15">
        <v>0</v>
      </c>
      <c r="C253" s="15">
        <v>0</v>
      </c>
      <c r="D253" s="15">
        <v>0</v>
      </c>
      <c r="E253" s="15">
        <v>3164.67</v>
      </c>
      <c r="F253" s="15">
        <v>4747</v>
      </c>
      <c r="G253" s="15">
        <v>4747</v>
      </c>
      <c r="H253" s="15">
        <v>5972</v>
      </c>
      <c r="I253" s="15">
        <v>5972</v>
      </c>
      <c r="J253" s="15">
        <v>5272</v>
      </c>
      <c r="K253" s="15">
        <v>5272</v>
      </c>
      <c r="L253" s="15">
        <v>5272</v>
      </c>
      <c r="M253" s="15">
        <v>5272</v>
      </c>
      <c r="N253" s="15">
        <v>3954</v>
      </c>
      <c r="O253" t="s">
        <v>75</v>
      </c>
    </row>
    <row r="254" spans="1:15" x14ac:dyDescent="0.25">
      <c r="A254" s="10" t="s">
        <v>602</v>
      </c>
      <c r="B254" s="15">
        <v>2400.1799999999998</v>
      </c>
      <c r="C254" s="15">
        <v>2400.1799999999998</v>
      </c>
      <c r="D254" s="15">
        <v>5990.17</v>
      </c>
      <c r="E254" s="15">
        <v>240.02</v>
      </c>
      <c r="F254" s="15">
        <v>2160.16</v>
      </c>
      <c r="G254" s="15">
        <v>2400.1799999999998</v>
      </c>
      <c r="H254" s="15">
        <v>3499.37</v>
      </c>
      <c r="I254" s="15">
        <v>3032.14</v>
      </c>
      <c r="J254" s="15">
        <v>2666.14</v>
      </c>
      <c r="K254" s="15">
        <v>2932.11</v>
      </c>
      <c r="L254" s="15">
        <v>2794.9</v>
      </c>
      <c r="M254" s="15">
        <v>2666.14</v>
      </c>
      <c r="N254" s="15">
        <v>2710.05</v>
      </c>
      <c r="O254" t="s">
        <v>75</v>
      </c>
    </row>
    <row r="255" spans="1:15" x14ac:dyDescent="0.25">
      <c r="A255" s="10" t="s">
        <v>604</v>
      </c>
      <c r="B255" s="15">
        <v>3344.4</v>
      </c>
      <c r="C255" s="15">
        <v>3480.98</v>
      </c>
      <c r="D255" s="15">
        <v>3454.58</v>
      </c>
      <c r="E255" s="15">
        <v>3793.12</v>
      </c>
      <c r="F255" s="15">
        <v>3310.2</v>
      </c>
      <c r="G255" s="15">
        <v>6757.14</v>
      </c>
      <c r="H255" s="15">
        <v>3091.78</v>
      </c>
      <c r="I255" s="15">
        <v>5124.1000000000004</v>
      </c>
      <c r="J255" s="15">
        <v>3967.8</v>
      </c>
      <c r="K255" s="15">
        <v>3624.8</v>
      </c>
      <c r="L255" s="15">
        <v>4012.98</v>
      </c>
      <c r="M255" s="15">
        <v>3624.8</v>
      </c>
      <c r="N255" s="15">
        <v>3936.63</v>
      </c>
      <c r="O255" t="s">
        <v>75</v>
      </c>
    </row>
    <row r="256" spans="1:15" x14ac:dyDescent="0.25">
      <c r="A256" s="10" t="s">
        <v>606</v>
      </c>
      <c r="B256" s="15">
        <v>2466.2399999999998</v>
      </c>
      <c r="C256" s="15">
        <v>3126.84</v>
      </c>
      <c r="D256" s="15">
        <v>4582.43</v>
      </c>
      <c r="E256" s="15">
        <v>2843.27</v>
      </c>
      <c r="F256" s="15">
        <v>3019.63</v>
      </c>
      <c r="G256" s="15">
        <v>2532.3000000000002</v>
      </c>
      <c r="H256" s="15">
        <v>3636.72</v>
      </c>
      <c r="I256" s="15">
        <v>3704.4</v>
      </c>
      <c r="J256" s="15">
        <v>4361.4799999999996</v>
      </c>
      <c r="K256" s="15">
        <v>2437.85</v>
      </c>
      <c r="L256" s="15">
        <v>3369.09</v>
      </c>
      <c r="M256" s="15">
        <v>3039.06</v>
      </c>
      <c r="N256" s="15">
        <v>3130.77</v>
      </c>
      <c r="O256" t="s">
        <v>75</v>
      </c>
    </row>
    <row r="257" spans="1:15" x14ac:dyDescent="0.25">
      <c r="A257" s="10" t="s">
        <v>608</v>
      </c>
      <c r="B257" s="15">
        <v>0</v>
      </c>
      <c r="C257" s="15">
        <v>0</v>
      </c>
      <c r="D257" s="15">
        <v>0</v>
      </c>
      <c r="E257" s="15">
        <v>0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18612</v>
      </c>
      <c r="M257" s="15">
        <v>12612</v>
      </c>
      <c r="N257" s="15">
        <v>16090.52</v>
      </c>
      <c r="O257" t="s">
        <v>75</v>
      </c>
    </row>
    <row r="258" spans="1:15" x14ac:dyDescent="0.25">
      <c r="A258" s="10" t="s">
        <v>610</v>
      </c>
      <c r="B258" s="15">
        <v>2547.8000000000002</v>
      </c>
      <c r="C258" s="15">
        <v>2062.7600000000002</v>
      </c>
      <c r="D258" s="15">
        <v>5775.18</v>
      </c>
      <c r="E258" s="15">
        <v>206.28</v>
      </c>
      <c r="F258" s="15">
        <v>2130.17</v>
      </c>
      <c r="G258" s="15">
        <v>2121.14</v>
      </c>
      <c r="H258" s="15">
        <v>3746.49</v>
      </c>
      <c r="I258" s="15">
        <v>2844.56</v>
      </c>
      <c r="J258" s="15">
        <v>3474.06</v>
      </c>
      <c r="K258" s="15">
        <v>2398</v>
      </c>
      <c r="L258" s="15">
        <v>4288.46</v>
      </c>
      <c r="M258" s="15">
        <v>3121.8</v>
      </c>
      <c r="N258" s="15">
        <v>3320.68</v>
      </c>
      <c r="O258" t="s">
        <v>75</v>
      </c>
    </row>
    <row r="259" spans="1:15" x14ac:dyDescent="0.25">
      <c r="A259" s="10" t="s">
        <v>612</v>
      </c>
      <c r="B259" s="15">
        <v>9562.58</v>
      </c>
      <c r="C259" s="15">
        <v>6372.72</v>
      </c>
      <c r="D259" s="15">
        <v>7793.21</v>
      </c>
      <c r="E259" s="15">
        <v>5177.6899999999996</v>
      </c>
      <c r="F259" s="15">
        <v>7964.47</v>
      </c>
      <c r="G259" s="15">
        <v>6014.11</v>
      </c>
      <c r="H259" s="15">
        <v>16377.19</v>
      </c>
      <c r="I259" s="15">
        <v>3388.24</v>
      </c>
      <c r="J259" s="15">
        <v>7603.49</v>
      </c>
      <c r="K259" s="15">
        <v>5750.92</v>
      </c>
      <c r="L259" s="15">
        <v>7284.03</v>
      </c>
      <c r="M259" s="15">
        <v>6439.42</v>
      </c>
      <c r="N259" s="15">
        <v>7241.45</v>
      </c>
      <c r="O259" t="s">
        <v>75</v>
      </c>
    </row>
    <row r="260" spans="1:15" x14ac:dyDescent="0.25">
      <c r="A260" s="10" t="s">
        <v>614</v>
      </c>
      <c r="B260" s="15">
        <v>1045.45</v>
      </c>
      <c r="C260" s="15">
        <v>0</v>
      </c>
      <c r="D260" s="15">
        <v>0</v>
      </c>
      <c r="E260" s="15">
        <v>0</v>
      </c>
      <c r="F260" s="15">
        <v>0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326.83</v>
      </c>
      <c r="O260" t="s">
        <v>75</v>
      </c>
    </row>
    <row r="261" spans="1:15" x14ac:dyDescent="0.25">
      <c r="A261" s="10" t="s">
        <v>616</v>
      </c>
      <c r="B261" s="15">
        <v>5289.25</v>
      </c>
      <c r="C261" s="15">
        <v>860.65</v>
      </c>
      <c r="D261" s="15">
        <v>2404.4499999999998</v>
      </c>
      <c r="E261" s="15">
        <v>2836.23</v>
      </c>
      <c r="F261" s="15">
        <v>2970.81</v>
      </c>
      <c r="G261" s="15">
        <v>2831.48</v>
      </c>
      <c r="H261" s="15">
        <v>3814.67</v>
      </c>
      <c r="I261" s="15">
        <v>3196.28</v>
      </c>
      <c r="J261" s="15">
        <v>2578.91</v>
      </c>
      <c r="K261" s="15">
        <v>3119.61</v>
      </c>
      <c r="L261" s="15">
        <v>373.08</v>
      </c>
      <c r="M261" s="15">
        <v>0</v>
      </c>
      <c r="N261" s="15">
        <v>2861.22</v>
      </c>
      <c r="O261" t="s">
        <v>75</v>
      </c>
    </row>
    <row r="262" spans="1:15" x14ac:dyDescent="0.25">
      <c r="A262" s="10" t="s">
        <v>618</v>
      </c>
      <c r="B262" s="15">
        <v>1640.85</v>
      </c>
      <c r="C262" s="15">
        <v>1636.25</v>
      </c>
      <c r="D262" s="15">
        <v>1661.03</v>
      </c>
      <c r="E262" s="15">
        <v>1602.72</v>
      </c>
      <c r="F262" s="15">
        <v>1567.5</v>
      </c>
      <c r="G262" s="15">
        <v>1568.79</v>
      </c>
      <c r="H262" s="15">
        <v>2117.31</v>
      </c>
      <c r="I262" s="15">
        <v>2070.41</v>
      </c>
      <c r="J262" s="15">
        <v>1727.21</v>
      </c>
      <c r="K262" s="15">
        <v>1742.52</v>
      </c>
      <c r="L262" s="15">
        <v>1733.81</v>
      </c>
      <c r="M262" s="15">
        <v>1875.39</v>
      </c>
      <c r="N262" s="15">
        <v>1777.98</v>
      </c>
      <c r="O262" t="s">
        <v>75</v>
      </c>
    </row>
    <row r="263" spans="1:15" x14ac:dyDescent="0.25">
      <c r="A263" s="10" t="s">
        <v>620</v>
      </c>
      <c r="B263" s="15">
        <v>454.35</v>
      </c>
      <c r="C263" s="15">
        <v>0</v>
      </c>
      <c r="D263" s="15">
        <v>0</v>
      </c>
      <c r="E263" s="15">
        <v>0</v>
      </c>
      <c r="F263" s="15">
        <v>0</v>
      </c>
      <c r="G263" s="15">
        <v>0</v>
      </c>
      <c r="H263" s="15">
        <v>0</v>
      </c>
      <c r="I263" s="15">
        <v>0</v>
      </c>
      <c r="J263" s="15">
        <v>0</v>
      </c>
      <c r="K263" s="15">
        <v>0</v>
      </c>
      <c r="L263" s="15">
        <v>0</v>
      </c>
      <c r="M263" s="15">
        <v>0</v>
      </c>
      <c r="N263" s="15">
        <v>405.67</v>
      </c>
      <c r="O263" t="s">
        <v>75</v>
      </c>
    </row>
    <row r="264" spans="1:15" x14ac:dyDescent="0.25">
      <c r="A264" s="10" t="s">
        <v>622</v>
      </c>
      <c r="B264" s="15">
        <v>4406.49</v>
      </c>
      <c r="C264" s="15">
        <v>3845.12</v>
      </c>
      <c r="D264" s="15">
        <v>4401.75</v>
      </c>
      <c r="E264" s="15">
        <v>3773.15</v>
      </c>
      <c r="F264" s="15">
        <v>4890.72</v>
      </c>
      <c r="G264" s="15">
        <v>3773.15</v>
      </c>
      <c r="H264" s="15">
        <v>5327.57</v>
      </c>
      <c r="I264" s="15">
        <v>4916.6000000000004</v>
      </c>
      <c r="J264" s="15">
        <v>4560.93</v>
      </c>
      <c r="K264" s="15">
        <v>8941.4</v>
      </c>
      <c r="L264" s="15">
        <v>2117.87</v>
      </c>
      <c r="M264" s="15">
        <v>4523.5600000000004</v>
      </c>
      <c r="N264" s="15">
        <v>4538.32</v>
      </c>
      <c r="O264" t="s">
        <v>75</v>
      </c>
    </row>
    <row r="265" spans="1:15" x14ac:dyDescent="0.25">
      <c r="A265" s="10" t="s">
        <v>624</v>
      </c>
      <c r="B265" s="15">
        <v>1654.67</v>
      </c>
      <c r="C265" s="15">
        <v>1508</v>
      </c>
      <c r="D265" s="15">
        <v>1612.21</v>
      </c>
      <c r="E265" s="15">
        <v>1508</v>
      </c>
      <c r="F265" s="15">
        <v>1508</v>
      </c>
      <c r="G265" s="15">
        <v>1508</v>
      </c>
      <c r="H265" s="15">
        <v>3007.82</v>
      </c>
      <c r="I265" s="15">
        <v>1785.67</v>
      </c>
      <c r="J265" s="15">
        <v>893.33</v>
      </c>
      <c r="K265" s="15">
        <v>0</v>
      </c>
      <c r="L265" s="15">
        <v>0</v>
      </c>
      <c r="M265" s="15">
        <v>0</v>
      </c>
      <c r="N265" s="15">
        <v>1422.24</v>
      </c>
      <c r="O265" t="s">
        <v>75</v>
      </c>
    </row>
    <row r="266" spans="1:15" x14ac:dyDescent="0.25">
      <c r="A266" s="10" t="s">
        <v>626</v>
      </c>
      <c r="B266" s="15">
        <v>1508</v>
      </c>
      <c r="C266" s="15">
        <v>1508</v>
      </c>
      <c r="D266" s="15">
        <v>1667.91</v>
      </c>
      <c r="E266" s="15">
        <v>1508</v>
      </c>
      <c r="F266" s="15">
        <v>1992.1</v>
      </c>
      <c r="G266" s="15">
        <v>1648.65</v>
      </c>
      <c r="H266" s="15">
        <v>2387.35</v>
      </c>
      <c r="I266" s="15">
        <v>2009</v>
      </c>
      <c r="J266" s="15">
        <v>2001.4</v>
      </c>
      <c r="K266" s="15">
        <v>1777.03</v>
      </c>
      <c r="L266" s="15">
        <v>1844.98</v>
      </c>
      <c r="M266" s="15">
        <v>1831.32</v>
      </c>
      <c r="N266" s="15">
        <v>1840.73</v>
      </c>
      <c r="O266" t="s">
        <v>75</v>
      </c>
    </row>
    <row r="267" spans="1:15" x14ac:dyDescent="0.25">
      <c r="A267" s="10" t="s">
        <v>628</v>
      </c>
      <c r="B267" s="15">
        <v>4996</v>
      </c>
      <c r="C267" s="15">
        <v>4996</v>
      </c>
      <c r="D267" s="15">
        <v>4996</v>
      </c>
      <c r="E267" s="15">
        <v>4996</v>
      </c>
      <c r="F267" s="15">
        <v>4996</v>
      </c>
      <c r="G267" s="15">
        <v>7605.02</v>
      </c>
      <c r="H267" s="15">
        <v>5380.47</v>
      </c>
      <c r="I267" s="15">
        <v>6553.62</v>
      </c>
      <c r="J267" s="15">
        <v>5549</v>
      </c>
      <c r="K267" s="15">
        <v>5549</v>
      </c>
      <c r="L267" s="15">
        <v>5549</v>
      </c>
      <c r="M267" s="15">
        <v>5549</v>
      </c>
      <c r="N267" s="15">
        <v>5549</v>
      </c>
      <c r="O267" t="s">
        <v>75</v>
      </c>
    </row>
    <row r="268" spans="1:15" x14ac:dyDescent="0.25">
      <c r="A268" s="10" t="s">
        <v>630</v>
      </c>
      <c r="B268" s="15">
        <v>3514.36</v>
      </c>
      <c r="C268" s="15">
        <v>3514.36</v>
      </c>
      <c r="D268" s="15">
        <v>3514.36</v>
      </c>
      <c r="E268" s="15">
        <v>3514.36</v>
      </c>
      <c r="F268" s="15">
        <v>3514.36</v>
      </c>
      <c r="G268" s="15">
        <v>3514.36</v>
      </c>
      <c r="H268" s="15">
        <v>4705.0600000000004</v>
      </c>
      <c r="I268" s="15">
        <v>1406.62</v>
      </c>
      <c r="J268" s="15">
        <v>0</v>
      </c>
      <c r="K268" s="15">
        <v>0</v>
      </c>
      <c r="L268" s="15">
        <v>0</v>
      </c>
      <c r="M268" s="15">
        <v>0</v>
      </c>
      <c r="N268" s="15">
        <v>2927.78</v>
      </c>
      <c r="O268" t="s">
        <v>75</v>
      </c>
    </row>
    <row r="269" spans="1:15" x14ac:dyDescent="0.25">
      <c r="A269" s="10" t="s">
        <v>632</v>
      </c>
      <c r="B269" s="15">
        <v>4607.0200000000004</v>
      </c>
      <c r="C269" s="15">
        <v>1406.42</v>
      </c>
      <c r="D269" s="15">
        <v>2493.35</v>
      </c>
      <c r="E269" s="15">
        <v>2481.92</v>
      </c>
      <c r="F269" s="15">
        <v>2716.55</v>
      </c>
      <c r="G269" s="15">
        <v>2481.92</v>
      </c>
      <c r="H269" s="15">
        <v>3493.7</v>
      </c>
      <c r="I269" s="15">
        <v>3246.32</v>
      </c>
      <c r="J269" s="15">
        <v>2756.32</v>
      </c>
      <c r="K269" s="15">
        <v>2756.32</v>
      </c>
      <c r="L269" s="15">
        <v>2907.27</v>
      </c>
      <c r="M269" s="15">
        <v>2756.32</v>
      </c>
      <c r="N269" s="15">
        <v>2806.29</v>
      </c>
      <c r="O269" t="s">
        <v>75</v>
      </c>
    </row>
    <row r="270" spans="1:15" x14ac:dyDescent="0.25">
      <c r="A270" s="10" t="s">
        <v>634</v>
      </c>
      <c r="B270" s="15">
        <v>0</v>
      </c>
      <c r="C270" s="15">
        <v>804.27</v>
      </c>
      <c r="D270" s="15">
        <v>1508</v>
      </c>
      <c r="E270" s="15">
        <v>1508</v>
      </c>
      <c r="F270" s="15">
        <v>1689.57</v>
      </c>
      <c r="G270" s="15">
        <v>1508</v>
      </c>
      <c r="H270" s="15">
        <v>2029.1</v>
      </c>
      <c r="I270" s="15">
        <v>3413.1</v>
      </c>
      <c r="J270" s="15">
        <v>949.17</v>
      </c>
      <c r="K270" s="15">
        <v>1675</v>
      </c>
      <c r="L270" s="15">
        <v>1675</v>
      </c>
      <c r="M270" s="15">
        <v>1782.95</v>
      </c>
      <c r="N270" s="15">
        <v>1562.57</v>
      </c>
      <c r="O270" t="s">
        <v>75</v>
      </c>
    </row>
    <row r="271" spans="1:15" x14ac:dyDescent="0.25">
      <c r="A271" s="10" t="s">
        <v>636</v>
      </c>
      <c r="B271" s="15">
        <v>2406.0700000000002</v>
      </c>
      <c r="C271" s="15">
        <v>2196.4699999999998</v>
      </c>
      <c r="D271" s="15">
        <v>1799.78</v>
      </c>
      <c r="E271" s="15">
        <v>0</v>
      </c>
      <c r="F271" s="15">
        <v>44.8</v>
      </c>
      <c r="G271" s="15">
        <v>0</v>
      </c>
      <c r="H271" s="15">
        <v>0</v>
      </c>
      <c r="I271" s="15">
        <v>0</v>
      </c>
      <c r="J271" s="15">
        <v>0</v>
      </c>
      <c r="K271" s="15">
        <v>0</v>
      </c>
      <c r="L271" s="15">
        <v>0</v>
      </c>
      <c r="M271" s="15">
        <v>0</v>
      </c>
      <c r="N271" s="15">
        <v>746.48</v>
      </c>
      <c r="O271" t="s">
        <v>75</v>
      </c>
    </row>
    <row r="272" spans="1:15" x14ac:dyDescent="0.25">
      <c r="A272" s="10" t="s">
        <v>638</v>
      </c>
      <c r="B272" s="15">
        <v>2296.5700000000002</v>
      </c>
      <c r="C272" s="15">
        <v>2181</v>
      </c>
      <c r="D272" s="15">
        <v>2473.04</v>
      </c>
      <c r="E272" s="15">
        <v>2181</v>
      </c>
      <c r="F272" s="15">
        <v>2470.27</v>
      </c>
      <c r="G272" s="15">
        <v>2181</v>
      </c>
      <c r="H272" s="15">
        <v>3228.93</v>
      </c>
      <c r="I272" s="15">
        <v>2904</v>
      </c>
      <c r="J272" s="15">
        <v>2547.3200000000002</v>
      </c>
      <c r="K272" s="15">
        <v>2422</v>
      </c>
      <c r="L272" s="15">
        <v>2639.56</v>
      </c>
      <c r="M272" s="15">
        <v>2422</v>
      </c>
      <c r="N272" s="15">
        <v>2540.9899999999998</v>
      </c>
      <c r="O272" t="s">
        <v>75</v>
      </c>
    </row>
    <row r="273" spans="1:15" x14ac:dyDescent="0.25">
      <c r="A273" s="10" t="s">
        <v>640</v>
      </c>
      <c r="B273" s="15">
        <v>1322</v>
      </c>
      <c r="C273" s="15">
        <v>1322</v>
      </c>
      <c r="D273" s="15">
        <v>1322</v>
      </c>
      <c r="E273" s="15">
        <v>1322</v>
      </c>
      <c r="F273" s="15">
        <v>1322</v>
      </c>
      <c r="G273" s="15">
        <v>2196.83</v>
      </c>
      <c r="H273" s="15">
        <v>1441.94</v>
      </c>
      <c r="I273" s="15">
        <v>1733.23</v>
      </c>
      <c r="J273" s="15">
        <v>1468</v>
      </c>
      <c r="K273" s="15">
        <v>1468</v>
      </c>
      <c r="L273" s="15">
        <v>1468</v>
      </c>
      <c r="M273" s="15">
        <v>1746.45</v>
      </c>
      <c r="N273" s="15">
        <v>1505.05</v>
      </c>
      <c r="O273" t="s">
        <v>75</v>
      </c>
    </row>
    <row r="274" spans="1:15" x14ac:dyDescent="0.25">
      <c r="A274" s="10" t="s">
        <v>642</v>
      </c>
      <c r="B274" s="15">
        <v>1007.54</v>
      </c>
      <c r="C274" s="15">
        <v>992.54</v>
      </c>
      <c r="D274" s="15">
        <v>1013.17</v>
      </c>
      <c r="E274" s="15">
        <v>985.43</v>
      </c>
      <c r="F274" s="15">
        <v>956.58</v>
      </c>
      <c r="G274" s="15">
        <v>957.06</v>
      </c>
      <c r="H274" s="15">
        <v>1317.34</v>
      </c>
      <c r="I274" s="15">
        <v>1288.8499999999999</v>
      </c>
      <c r="J274" s="15">
        <v>791.46</v>
      </c>
      <c r="K274" s="15">
        <v>0</v>
      </c>
      <c r="L274" s="15">
        <v>0</v>
      </c>
      <c r="M274" s="15">
        <v>0</v>
      </c>
      <c r="N274" s="15">
        <v>1082.02</v>
      </c>
      <c r="O274" t="s">
        <v>75</v>
      </c>
    </row>
    <row r="275" spans="1:15" x14ac:dyDescent="0.25">
      <c r="A275" s="10" t="s">
        <v>644</v>
      </c>
      <c r="B275" s="15">
        <v>1869.92</v>
      </c>
      <c r="C275" s="15">
        <v>1869.36</v>
      </c>
      <c r="D275" s="15">
        <v>1879.09</v>
      </c>
      <c r="E275" s="15">
        <v>4534.2299999999996</v>
      </c>
      <c r="F275" s="15">
        <v>29.14</v>
      </c>
      <c r="G275" s="15">
        <v>1755.12</v>
      </c>
      <c r="H275" s="15">
        <v>2601.09</v>
      </c>
      <c r="I275" s="15">
        <v>2241.69</v>
      </c>
      <c r="J275" s="15">
        <v>1975.8</v>
      </c>
      <c r="K275" s="15">
        <v>1972.3</v>
      </c>
      <c r="L275" s="15">
        <v>1977.82</v>
      </c>
      <c r="M275" s="15">
        <v>1980.55</v>
      </c>
      <c r="N275" s="15">
        <v>2007.52</v>
      </c>
      <c r="O275" t="s">
        <v>75</v>
      </c>
    </row>
    <row r="276" spans="1:15" x14ac:dyDescent="0.25">
      <c r="A276" s="10" t="s">
        <v>646</v>
      </c>
      <c r="B276" s="15">
        <v>1321</v>
      </c>
      <c r="C276" s="15">
        <v>1321</v>
      </c>
      <c r="D276" s="15">
        <v>3097.6</v>
      </c>
      <c r="E276" s="15">
        <v>0</v>
      </c>
      <c r="F276" s="15">
        <v>1321</v>
      </c>
      <c r="G276" s="15">
        <v>1321</v>
      </c>
      <c r="H276" s="15">
        <v>1882.04</v>
      </c>
      <c r="I276" s="15">
        <v>1686</v>
      </c>
      <c r="J276" s="15">
        <v>1467</v>
      </c>
      <c r="K276" s="15">
        <v>1467</v>
      </c>
      <c r="L276" s="15">
        <v>1467</v>
      </c>
      <c r="M276" s="15">
        <v>1467</v>
      </c>
      <c r="N276" s="15">
        <v>1467</v>
      </c>
      <c r="O276" t="s">
        <v>75</v>
      </c>
    </row>
    <row r="277" spans="1:15" x14ac:dyDescent="0.25">
      <c r="A277" s="10" t="s">
        <v>648</v>
      </c>
      <c r="B277" s="15">
        <v>1342.3</v>
      </c>
      <c r="C277" s="15">
        <v>1301.99</v>
      </c>
      <c r="D277" s="15">
        <v>1428.98</v>
      </c>
      <c r="E277" s="15">
        <v>1288</v>
      </c>
      <c r="F277" s="15">
        <v>1487.69</v>
      </c>
      <c r="G277" s="15">
        <v>1288</v>
      </c>
      <c r="H277" s="15">
        <v>1816.51</v>
      </c>
      <c r="I277" s="15">
        <v>1717</v>
      </c>
      <c r="J277" s="15">
        <v>1628.18</v>
      </c>
      <c r="K277" s="15">
        <v>1431</v>
      </c>
      <c r="L277" s="15">
        <v>1555.81</v>
      </c>
      <c r="M277" s="15">
        <v>1801.89</v>
      </c>
      <c r="N277" s="15">
        <v>1503.31</v>
      </c>
      <c r="O277" t="s">
        <v>75</v>
      </c>
    </row>
    <row r="278" spans="1:15" x14ac:dyDescent="0.25">
      <c r="A278" s="10" t="s">
        <v>650</v>
      </c>
      <c r="B278" s="15">
        <v>17371</v>
      </c>
      <c r="C278" s="15">
        <v>17371</v>
      </c>
      <c r="D278" s="15">
        <v>17371</v>
      </c>
      <c r="E278" s="15">
        <v>17371</v>
      </c>
      <c r="F278" s="15">
        <v>17371</v>
      </c>
      <c r="G278" s="15">
        <v>17371</v>
      </c>
      <c r="H278" s="15">
        <v>17371</v>
      </c>
      <c r="I278" s="15">
        <v>17371</v>
      </c>
      <c r="J278" s="15">
        <v>17371</v>
      </c>
      <c r="K278" s="15">
        <v>17371</v>
      </c>
      <c r="L278" s="15">
        <v>17371</v>
      </c>
      <c r="M278" s="15">
        <v>17371</v>
      </c>
      <c r="N278" s="15">
        <v>17371</v>
      </c>
      <c r="O278" t="s">
        <v>75</v>
      </c>
    </row>
    <row r="279" spans="1:15" x14ac:dyDescent="0.25">
      <c r="A279" s="10" t="s">
        <v>652</v>
      </c>
      <c r="B279" s="15">
        <v>1728.61</v>
      </c>
      <c r="C279" s="15">
        <v>2911.58</v>
      </c>
      <c r="D279" s="15">
        <v>667.61</v>
      </c>
      <c r="E279" s="15">
        <v>1396.38</v>
      </c>
      <c r="F279" s="15">
        <v>1785.03</v>
      </c>
      <c r="G279" s="15">
        <v>1499.4</v>
      </c>
      <c r="H279" s="15">
        <v>2030.83</v>
      </c>
      <c r="I279" s="15">
        <v>1778.75</v>
      </c>
      <c r="J279" s="15">
        <v>1717.13</v>
      </c>
      <c r="K279" s="15">
        <v>1532.65</v>
      </c>
      <c r="L279" s="15">
        <v>1545.49</v>
      </c>
      <c r="M279" s="15">
        <v>1837.03</v>
      </c>
      <c r="N279" s="15">
        <v>1686.39</v>
      </c>
      <c r="O279" t="s">
        <v>75</v>
      </c>
    </row>
    <row r="280" spans="1:15" x14ac:dyDescent="0.25">
      <c r="A280" s="10" t="s">
        <v>654</v>
      </c>
      <c r="B280" s="15">
        <v>8640.67</v>
      </c>
      <c r="C280" s="15">
        <v>8640.67</v>
      </c>
      <c r="D280" s="15">
        <v>8640.67</v>
      </c>
      <c r="E280" s="15">
        <v>8640.67</v>
      </c>
      <c r="F280" s="15">
        <v>8892.34</v>
      </c>
      <c r="G280" s="15">
        <v>8892.34</v>
      </c>
      <c r="H280" s="15">
        <v>11902.3</v>
      </c>
      <c r="I280" s="15">
        <v>11735.08</v>
      </c>
      <c r="J280" s="15">
        <v>9877.08</v>
      </c>
      <c r="K280" s="15">
        <v>9877.08</v>
      </c>
      <c r="L280" s="15">
        <v>9877.08</v>
      </c>
      <c r="M280" s="15">
        <v>16681.29</v>
      </c>
      <c r="N280" s="15">
        <v>9877.08</v>
      </c>
      <c r="O280" t="s">
        <v>75</v>
      </c>
    </row>
    <row r="281" spans="1:15" x14ac:dyDescent="0.25">
      <c r="A281" s="10" t="s">
        <v>658</v>
      </c>
      <c r="B281" s="15">
        <v>33381</v>
      </c>
      <c r="C281" s="15">
        <v>33381</v>
      </c>
      <c r="D281" s="15">
        <v>8901.6</v>
      </c>
      <c r="E281" s="15">
        <v>0</v>
      </c>
      <c r="F281" s="15">
        <v>0</v>
      </c>
      <c r="G281" s="15">
        <v>0</v>
      </c>
      <c r="H281" s="15">
        <v>0</v>
      </c>
      <c r="I281" s="15">
        <v>0</v>
      </c>
      <c r="J281" s="15">
        <v>0</v>
      </c>
      <c r="K281" s="15">
        <v>0</v>
      </c>
      <c r="L281" s="15">
        <v>0</v>
      </c>
      <c r="M281" s="15">
        <v>0</v>
      </c>
      <c r="N281" s="15">
        <v>8345.25</v>
      </c>
      <c r="O281" t="s">
        <v>75</v>
      </c>
    </row>
    <row r="282" spans="1:15" x14ac:dyDescent="0.25">
      <c r="A282" s="10" t="s">
        <v>660</v>
      </c>
      <c r="B282" s="15">
        <v>4944.95</v>
      </c>
      <c r="C282" s="15">
        <v>3275.1</v>
      </c>
      <c r="D282" s="15">
        <v>4343.07</v>
      </c>
      <c r="E282" s="15">
        <v>3234.54</v>
      </c>
      <c r="F282" s="15">
        <v>5268.95</v>
      </c>
      <c r="G282" s="15">
        <v>4955.17</v>
      </c>
      <c r="H282" s="15">
        <v>6023.3</v>
      </c>
      <c r="I282" s="15">
        <v>4416.22</v>
      </c>
      <c r="J282" s="15">
        <v>4477.6400000000003</v>
      </c>
      <c r="K282" s="15">
        <v>3490.07</v>
      </c>
      <c r="L282" s="15">
        <v>4706.9799999999996</v>
      </c>
      <c r="M282" s="15">
        <v>4112.43</v>
      </c>
      <c r="N282" s="15">
        <v>4452.1000000000004</v>
      </c>
      <c r="O282" t="s">
        <v>75</v>
      </c>
    </row>
    <row r="283" spans="1:15" x14ac:dyDescent="0.25">
      <c r="A283" s="10" t="s">
        <v>664</v>
      </c>
      <c r="B283" s="15">
        <v>2411.7399999999998</v>
      </c>
      <c r="C283" s="15">
        <v>2338.12</v>
      </c>
      <c r="D283" s="15">
        <v>2003.84</v>
      </c>
      <c r="E283" s="15">
        <v>2854.83</v>
      </c>
      <c r="F283" s="15">
        <v>3048.58</v>
      </c>
      <c r="G283" s="15">
        <v>2921.18</v>
      </c>
      <c r="H283" s="15">
        <v>3956.4</v>
      </c>
      <c r="I283" s="15">
        <v>2282.54</v>
      </c>
      <c r="J283" s="15">
        <v>2982</v>
      </c>
      <c r="K283" s="15">
        <v>5480.66</v>
      </c>
      <c r="L283" s="15">
        <v>59.53</v>
      </c>
      <c r="M283" s="15">
        <v>0</v>
      </c>
      <c r="N283" s="15">
        <v>2796.02</v>
      </c>
      <c r="O283" t="s">
        <v>75</v>
      </c>
    </row>
    <row r="284" spans="1:15" x14ac:dyDescent="0.25">
      <c r="A284" s="10" t="s">
        <v>666</v>
      </c>
      <c r="B284" s="15">
        <v>418.03</v>
      </c>
      <c r="C284" s="15">
        <v>1520.4</v>
      </c>
      <c r="D284" s="15">
        <v>1957.55</v>
      </c>
      <c r="E284" s="15">
        <v>1845.81</v>
      </c>
      <c r="F284" s="15">
        <v>1770.75</v>
      </c>
      <c r="G284" s="15">
        <v>1830.88</v>
      </c>
      <c r="H284" s="15">
        <v>3070.35</v>
      </c>
      <c r="I284" s="15">
        <v>2718.6</v>
      </c>
      <c r="J284" s="15">
        <v>1892.79</v>
      </c>
      <c r="K284" s="15">
        <v>1863.27</v>
      </c>
      <c r="L284" s="15">
        <v>2249.31</v>
      </c>
      <c r="M284" s="15">
        <v>5124.01</v>
      </c>
      <c r="N284" s="15">
        <v>2119.8000000000002</v>
      </c>
      <c r="O284" t="s">
        <v>75</v>
      </c>
    </row>
    <row r="285" spans="1:15" x14ac:dyDescent="0.25">
      <c r="A285" s="10" t="s">
        <v>668</v>
      </c>
      <c r="B285" s="15">
        <v>2300.35</v>
      </c>
      <c r="C285" s="15">
        <v>1718.04</v>
      </c>
      <c r="D285" s="15">
        <v>1718.04</v>
      </c>
      <c r="E285" s="15">
        <v>1718.04</v>
      </c>
      <c r="F285" s="15">
        <v>1718.04</v>
      </c>
      <c r="G285" s="15">
        <v>1718.04</v>
      </c>
      <c r="H285" s="15">
        <v>2300.79</v>
      </c>
      <c r="I285" s="15">
        <v>2278.59</v>
      </c>
      <c r="J285" s="15">
        <v>1908.59</v>
      </c>
      <c r="K285" s="15">
        <v>1908.59</v>
      </c>
      <c r="L285" s="15">
        <v>1908.59</v>
      </c>
      <c r="M285" s="15">
        <v>3667.74</v>
      </c>
      <c r="N285" s="15">
        <v>1908.59</v>
      </c>
      <c r="O285" t="s">
        <v>75</v>
      </c>
    </row>
    <row r="286" spans="1:15" x14ac:dyDescent="0.25">
      <c r="A286" s="10" t="s">
        <v>670</v>
      </c>
      <c r="B286" s="15">
        <v>4996</v>
      </c>
      <c r="C286" s="15">
        <v>4996</v>
      </c>
      <c r="D286" s="15">
        <v>4996</v>
      </c>
      <c r="E286" s="15">
        <v>4996</v>
      </c>
      <c r="F286" s="15">
        <v>4996</v>
      </c>
      <c r="G286" s="15">
        <v>4996</v>
      </c>
      <c r="H286" s="15">
        <v>6655</v>
      </c>
      <c r="I286" s="15">
        <v>6655</v>
      </c>
      <c r="J286" s="15">
        <v>5549</v>
      </c>
      <c r="K286" s="15">
        <v>5549</v>
      </c>
      <c r="L286" s="15">
        <v>5549</v>
      </c>
      <c r="M286" s="15">
        <v>8816.74</v>
      </c>
      <c r="N286" s="15">
        <v>5549</v>
      </c>
      <c r="O286" t="s">
        <v>75</v>
      </c>
    </row>
    <row r="287" spans="1:15" x14ac:dyDescent="0.25">
      <c r="A287" s="10" t="s">
        <v>672</v>
      </c>
      <c r="B287" s="15">
        <v>14033</v>
      </c>
      <c r="C287" s="15">
        <v>14033</v>
      </c>
      <c r="D287" s="15">
        <v>14033</v>
      </c>
      <c r="E287" s="15">
        <v>14033</v>
      </c>
      <c r="F287" s="15">
        <v>14033</v>
      </c>
      <c r="G287" s="15">
        <v>14033</v>
      </c>
      <c r="H287" s="15">
        <v>14033</v>
      </c>
      <c r="I287" s="15">
        <v>0</v>
      </c>
      <c r="J287" s="15">
        <v>0</v>
      </c>
      <c r="K287" s="15">
        <v>0</v>
      </c>
      <c r="L287" s="15">
        <v>0</v>
      </c>
      <c r="M287" s="15">
        <v>0</v>
      </c>
      <c r="N287" s="15">
        <v>8185.92</v>
      </c>
      <c r="O287" t="s">
        <v>75</v>
      </c>
    </row>
    <row r="288" spans="1:15" x14ac:dyDescent="0.25">
      <c r="A288" s="10" t="s">
        <v>674</v>
      </c>
      <c r="B288" s="15">
        <v>1254.1500000000001</v>
      </c>
      <c r="C288" s="15">
        <v>1851.42</v>
      </c>
      <c r="D288" s="15">
        <v>1875.02</v>
      </c>
      <c r="E288" s="15">
        <v>1821.22</v>
      </c>
      <c r="F288" s="15">
        <v>1772.61</v>
      </c>
      <c r="G288" s="15">
        <v>1784.46</v>
      </c>
      <c r="H288" s="15">
        <v>2406.5500000000002</v>
      </c>
      <c r="I288" s="15">
        <v>2338.59</v>
      </c>
      <c r="J288" s="15">
        <v>1977.88</v>
      </c>
      <c r="K288" s="15">
        <v>1954.07</v>
      </c>
      <c r="L288" s="15">
        <v>2022.88</v>
      </c>
      <c r="M288" s="15">
        <v>4385.4399999999996</v>
      </c>
      <c r="N288" s="15">
        <v>2053.31</v>
      </c>
      <c r="O288" t="s">
        <v>75</v>
      </c>
    </row>
    <row r="289" spans="1:15" x14ac:dyDescent="0.25">
      <c r="A289" s="10" t="s">
        <v>676</v>
      </c>
      <c r="B289" s="15">
        <v>5265.93</v>
      </c>
      <c r="C289" s="15">
        <v>4778.97</v>
      </c>
      <c r="D289" s="15">
        <v>5292.8</v>
      </c>
      <c r="E289" s="15">
        <v>4714.2299999999996</v>
      </c>
      <c r="F289" s="15">
        <v>4554.41</v>
      </c>
      <c r="G289" s="15">
        <v>9638.44</v>
      </c>
      <c r="H289" s="15">
        <v>3703.82</v>
      </c>
      <c r="I289" s="15">
        <v>5822.15</v>
      </c>
      <c r="J289" s="15">
        <v>5082.5200000000004</v>
      </c>
      <c r="K289" s="15">
        <v>5075.1000000000004</v>
      </c>
      <c r="L289" s="15">
        <v>5061.6400000000003</v>
      </c>
      <c r="M289" s="15">
        <v>5072.72</v>
      </c>
      <c r="N289" s="15">
        <v>5272.33</v>
      </c>
      <c r="O289" t="s">
        <v>75</v>
      </c>
    </row>
    <row r="290" spans="1:15" x14ac:dyDescent="0.25">
      <c r="A290" s="10" t="s">
        <v>678</v>
      </c>
      <c r="B290" s="15">
        <v>1508</v>
      </c>
      <c r="C290" s="15">
        <v>1508</v>
      </c>
      <c r="D290" s="15">
        <v>1508</v>
      </c>
      <c r="E290" s="15">
        <v>1508</v>
      </c>
      <c r="F290" s="15">
        <v>1508</v>
      </c>
      <c r="G290" s="15">
        <v>1508</v>
      </c>
      <c r="H290" s="15">
        <v>2009</v>
      </c>
      <c r="I290" s="15">
        <v>2009</v>
      </c>
      <c r="J290" s="15">
        <v>1675</v>
      </c>
      <c r="K290" s="15">
        <v>1675</v>
      </c>
      <c r="L290" s="15">
        <v>1675</v>
      </c>
      <c r="M290" s="15">
        <v>1803.9</v>
      </c>
      <c r="N290" s="15">
        <v>1685.74</v>
      </c>
      <c r="O290" t="s">
        <v>75</v>
      </c>
    </row>
    <row r="291" spans="1:15" x14ac:dyDescent="0.25">
      <c r="A291" s="10" t="s">
        <v>680</v>
      </c>
      <c r="B291" s="15">
        <v>795.6</v>
      </c>
      <c r="C291" s="15">
        <v>918</v>
      </c>
      <c r="D291" s="15">
        <v>918</v>
      </c>
      <c r="E291" s="15">
        <v>918</v>
      </c>
      <c r="F291" s="15">
        <v>918</v>
      </c>
      <c r="G291" s="15">
        <v>918</v>
      </c>
      <c r="H291" s="15">
        <v>1249.56</v>
      </c>
      <c r="I291" s="15">
        <v>1249.56</v>
      </c>
      <c r="J291" s="15">
        <v>1020</v>
      </c>
      <c r="K291" s="15">
        <v>1020</v>
      </c>
      <c r="L291" s="15">
        <v>1020</v>
      </c>
      <c r="M291" s="15">
        <v>1020</v>
      </c>
      <c r="N291" s="15">
        <v>1020</v>
      </c>
      <c r="O291" t="s">
        <v>75</v>
      </c>
    </row>
    <row r="292" spans="1:15" x14ac:dyDescent="0.25">
      <c r="A292" s="10" t="s">
        <v>682</v>
      </c>
      <c r="B292" s="15">
        <v>2452.1</v>
      </c>
      <c r="C292" s="15">
        <v>4679.1499999999996</v>
      </c>
      <c r="D292" s="15">
        <v>817.5</v>
      </c>
      <c r="E292" s="15">
        <v>2858.35</v>
      </c>
      <c r="F292" s="15">
        <v>2460.29</v>
      </c>
      <c r="G292" s="15">
        <v>2801.36</v>
      </c>
      <c r="H292" s="15">
        <v>2707.35</v>
      </c>
      <c r="I292" s="15">
        <v>5169.79</v>
      </c>
      <c r="J292" s="15">
        <v>1083.33</v>
      </c>
      <c r="K292" s="15">
        <v>2455.37</v>
      </c>
      <c r="L292" s="15">
        <v>369.51</v>
      </c>
      <c r="M292" s="15">
        <v>0</v>
      </c>
      <c r="N292" s="15">
        <v>2308.37</v>
      </c>
      <c r="O292" t="s">
        <v>75</v>
      </c>
    </row>
    <row r="293" spans="1:15" x14ac:dyDescent="0.25">
      <c r="A293" s="10" t="s">
        <v>684</v>
      </c>
      <c r="B293" s="15">
        <v>1644.85</v>
      </c>
      <c r="C293" s="15">
        <v>1635.94</v>
      </c>
      <c r="D293" s="15">
        <v>1654.62</v>
      </c>
      <c r="E293" s="15">
        <v>1631.42</v>
      </c>
      <c r="F293" s="15">
        <v>1571.57</v>
      </c>
      <c r="G293" s="15">
        <v>2484.92</v>
      </c>
      <c r="H293" s="15">
        <v>1702.1</v>
      </c>
      <c r="I293" s="15">
        <v>2042.46</v>
      </c>
      <c r="J293" s="15">
        <v>1748.45</v>
      </c>
      <c r="K293" s="15">
        <v>1742.66</v>
      </c>
      <c r="L293" s="15">
        <v>1734.73</v>
      </c>
      <c r="M293" s="15">
        <v>1891.06</v>
      </c>
      <c r="N293" s="15">
        <v>1780.89</v>
      </c>
      <c r="O293" t="s">
        <v>75</v>
      </c>
    </row>
    <row r="294" spans="1:15" x14ac:dyDescent="0.25">
      <c r="A294" s="10" t="s">
        <v>686</v>
      </c>
      <c r="B294" s="15">
        <v>1764.87</v>
      </c>
      <c r="C294" s="15">
        <v>1508</v>
      </c>
      <c r="D294" s="15">
        <v>1827.15</v>
      </c>
      <c r="E294" s="15">
        <v>1511.78</v>
      </c>
      <c r="F294" s="15">
        <v>1855.42</v>
      </c>
      <c r="G294" s="15">
        <v>1670.54</v>
      </c>
      <c r="H294" s="15">
        <v>2387.91</v>
      </c>
      <c r="I294" s="15">
        <v>2009</v>
      </c>
      <c r="J294" s="15">
        <v>1675</v>
      </c>
      <c r="K294" s="15">
        <v>1675</v>
      </c>
      <c r="L294" s="15">
        <v>1859.36</v>
      </c>
      <c r="M294" s="15">
        <v>4744.07</v>
      </c>
      <c r="N294" s="15">
        <v>1844.98</v>
      </c>
      <c r="O294" t="s">
        <v>75</v>
      </c>
    </row>
    <row r="295" spans="1:15" x14ac:dyDescent="0.25">
      <c r="A295" s="10" t="s">
        <v>688</v>
      </c>
      <c r="B295" s="15">
        <v>887.4</v>
      </c>
      <c r="C295" s="15">
        <v>918</v>
      </c>
      <c r="D295" s="15">
        <v>938.72</v>
      </c>
      <c r="E295" s="15">
        <v>918</v>
      </c>
      <c r="F295" s="15">
        <v>918</v>
      </c>
      <c r="G295" s="15">
        <v>918</v>
      </c>
      <c r="H295" s="15">
        <v>1251.8599999999999</v>
      </c>
      <c r="I295" s="15">
        <v>1249.56</v>
      </c>
      <c r="J295" s="15">
        <v>1020</v>
      </c>
      <c r="K295" s="15">
        <v>986</v>
      </c>
      <c r="L295" s="15">
        <v>1020</v>
      </c>
      <c r="M295" s="15">
        <v>2382.77</v>
      </c>
      <c r="N295" s="15">
        <v>1022.08</v>
      </c>
      <c r="O295" t="s">
        <v>75</v>
      </c>
    </row>
    <row r="296" spans="1:15" x14ac:dyDescent="0.25">
      <c r="A296" s="10" t="s">
        <v>690</v>
      </c>
      <c r="B296" s="15">
        <v>2459.5700000000002</v>
      </c>
      <c r="C296" s="15">
        <v>2475.0700000000002</v>
      </c>
      <c r="D296" s="15">
        <v>2513.7199999999998</v>
      </c>
      <c r="E296" s="15">
        <v>2474.2199999999998</v>
      </c>
      <c r="F296" s="15">
        <v>2523.81</v>
      </c>
      <c r="G296" s="15">
        <v>2365.64</v>
      </c>
      <c r="H296" s="15">
        <v>3406.14</v>
      </c>
      <c r="I296" s="15">
        <v>3092.78</v>
      </c>
      <c r="J296" s="15">
        <v>6703.07</v>
      </c>
      <c r="K296" s="15">
        <v>142.21</v>
      </c>
      <c r="L296" s="15">
        <v>2554.09</v>
      </c>
      <c r="M296" s="15">
        <v>2599.44</v>
      </c>
      <c r="N296" s="15">
        <v>2716.8</v>
      </c>
      <c r="O296" t="s">
        <v>75</v>
      </c>
    </row>
    <row r="297" spans="1:15" x14ac:dyDescent="0.25">
      <c r="A297" s="10" t="s">
        <v>692</v>
      </c>
      <c r="B297" s="15">
        <v>3434</v>
      </c>
      <c r="C297" s="15">
        <v>3434</v>
      </c>
      <c r="D297" s="15">
        <v>3434</v>
      </c>
      <c r="E297" s="15">
        <v>3434</v>
      </c>
      <c r="F297" s="15">
        <v>1373.6</v>
      </c>
      <c r="G297" s="15">
        <v>0</v>
      </c>
      <c r="H297" s="15">
        <v>0</v>
      </c>
      <c r="I297" s="15">
        <v>1756.45</v>
      </c>
      <c r="J297" s="15">
        <v>0</v>
      </c>
      <c r="K297" s="15">
        <v>0</v>
      </c>
      <c r="L297" s="15">
        <v>0</v>
      </c>
      <c r="M297" s="15">
        <v>0</v>
      </c>
      <c r="N297" s="15">
        <v>1907</v>
      </c>
      <c r="O297" t="s">
        <v>75</v>
      </c>
    </row>
    <row r="298" spans="1:15" x14ac:dyDescent="0.25">
      <c r="A298" s="10" t="s">
        <v>694</v>
      </c>
      <c r="B298" s="15">
        <v>1043.51</v>
      </c>
      <c r="C298" s="15">
        <v>0</v>
      </c>
      <c r="D298" s="15">
        <v>0</v>
      </c>
      <c r="E298" s="15">
        <v>0</v>
      </c>
      <c r="F298" s="15">
        <v>0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163.25</v>
      </c>
      <c r="O298" t="s">
        <v>75</v>
      </c>
    </row>
    <row r="299" spans="1:15" x14ac:dyDescent="0.25">
      <c r="A299" s="10" t="s">
        <v>696</v>
      </c>
      <c r="B299" s="15">
        <v>2070.12</v>
      </c>
      <c r="C299" s="15">
        <v>1668</v>
      </c>
      <c r="D299" s="15">
        <v>1986.3</v>
      </c>
      <c r="E299" s="15">
        <v>1668</v>
      </c>
      <c r="F299" s="15">
        <v>1840.77</v>
      </c>
      <c r="G299" s="15">
        <v>1668</v>
      </c>
      <c r="H299" s="15">
        <v>2277.46</v>
      </c>
      <c r="I299" s="15">
        <v>2223</v>
      </c>
      <c r="J299" s="15">
        <v>4730.6400000000003</v>
      </c>
      <c r="K299" s="15">
        <v>61.77</v>
      </c>
      <c r="L299" s="15">
        <v>1791.23</v>
      </c>
      <c r="M299" s="15">
        <v>1908.59</v>
      </c>
      <c r="N299" s="15">
        <v>1996.34</v>
      </c>
      <c r="O299" t="s">
        <v>75</v>
      </c>
    </row>
    <row r="300" spans="1:15" x14ac:dyDescent="0.25">
      <c r="A300" s="10" t="s">
        <v>698</v>
      </c>
      <c r="B300" s="15">
        <v>1435.89</v>
      </c>
      <c r="C300" s="15">
        <v>1432.02</v>
      </c>
      <c r="D300" s="15">
        <v>1453.26</v>
      </c>
      <c r="E300" s="15">
        <v>1423.6</v>
      </c>
      <c r="F300" s="15">
        <v>1376.87</v>
      </c>
      <c r="G300" s="15">
        <v>1373.63</v>
      </c>
      <c r="H300" s="15">
        <v>1861.29</v>
      </c>
      <c r="I300" s="15">
        <v>1813.47</v>
      </c>
      <c r="J300" s="15">
        <v>3101.51</v>
      </c>
      <c r="K300" s="15">
        <v>589.73</v>
      </c>
      <c r="L300" s="15">
        <v>1517.43</v>
      </c>
      <c r="M300" s="15">
        <v>1774.25</v>
      </c>
      <c r="N300" s="15">
        <v>1566.9</v>
      </c>
      <c r="O300" t="s">
        <v>75</v>
      </c>
    </row>
    <row r="301" spans="1:15" x14ac:dyDescent="0.25">
      <c r="A301" s="10" t="s">
        <v>700</v>
      </c>
      <c r="B301" s="15">
        <v>10449.35</v>
      </c>
      <c r="C301" s="15">
        <v>10449.35</v>
      </c>
      <c r="D301" s="15">
        <v>10449.35</v>
      </c>
      <c r="E301" s="15">
        <v>10753.7</v>
      </c>
      <c r="F301" s="15">
        <v>10753.7</v>
      </c>
      <c r="G301" s="15">
        <v>10753.7</v>
      </c>
      <c r="H301" s="15">
        <v>14425.91</v>
      </c>
      <c r="I301" s="15">
        <v>14190.08</v>
      </c>
      <c r="J301" s="15">
        <v>11944.08</v>
      </c>
      <c r="K301" s="15">
        <v>14996.46</v>
      </c>
      <c r="L301" s="15">
        <v>11545.94</v>
      </c>
      <c r="M301" s="15">
        <v>11944.08</v>
      </c>
      <c r="N301" s="15">
        <v>11944.08</v>
      </c>
      <c r="O301" t="s">
        <v>75</v>
      </c>
    </row>
    <row r="302" spans="1:15" x14ac:dyDescent="0.25">
      <c r="A302" s="10" t="s">
        <v>702</v>
      </c>
      <c r="B302" s="15">
        <v>0</v>
      </c>
      <c r="C302" s="15">
        <v>0</v>
      </c>
      <c r="D302" s="15">
        <v>0</v>
      </c>
      <c r="E302" s="15">
        <v>1382.67</v>
      </c>
      <c r="F302" s="15">
        <v>2118.91</v>
      </c>
      <c r="G302" s="15">
        <v>2074</v>
      </c>
      <c r="H302" s="15">
        <v>2615.66</v>
      </c>
      <c r="I302" s="15">
        <v>2610.67</v>
      </c>
      <c r="J302" s="15">
        <v>2386.25</v>
      </c>
      <c r="K302" s="15">
        <v>2304</v>
      </c>
      <c r="L302" s="15">
        <v>2490.0500000000002</v>
      </c>
      <c r="M302" s="15">
        <v>2304</v>
      </c>
      <c r="N302" s="15">
        <v>1754.85</v>
      </c>
      <c r="O302" t="s">
        <v>75</v>
      </c>
    </row>
    <row r="303" spans="1:15" x14ac:dyDescent="0.25">
      <c r="A303" s="10" t="s">
        <v>704</v>
      </c>
      <c r="B303" s="15">
        <v>176.01</v>
      </c>
      <c r="C303" s="15">
        <v>1092</v>
      </c>
      <c r="D303" s="15">
        <v>1244.83</v>
      </c>
      <c r="E303" s="15">
        <v>1224.01</v>
      </c>
      <c r="F303" s="15">
        <v>1505.77</v>
      </c>
      <c r="G303" s="15">
        <v>1297</v>
      </c>
      <c r="H303" s="15">
        <v>1625.73</v>
      </c>
      <c r="I303" s="15">
        <v>1560</v>
      </c>
      <c r="J303" s="15">
        <v>1300</v>
      </c>
      <c r="K303" s="15">
        <v>1300</v>
      </c>
      <c r="L303" s="15">
        <v>1345.96</v>
      </c>
      <c r="M303" s="15">
        <v>2965.44</v>
      </c>
      <c r="N303" s="15">
        <v>1371.99</v>
      </c>
      <c r="O303" t="s">
        <v>75</v>
      </c>
    </row>
    <row r="304" spans="1:15" x14ac:dyDescent="0.25">
      <c r="A304" s="10" t="s">
        <v>706</v>
      </c>
      <c r="B304" s="15">
        <v>1718.04</v>
      </c>
      <c r="C304" s="15">
        <v>1718.04</v>
      </c>
      <c r="D304" s="15">
        <v>1718.04</v>
      </c>
      <c r="E304" s="15">
        <v>1718.04</v>
      </c>
      <c r="F304" s="15">
        <v>1718.04</v>
      </c>
      <c r="G304" s="15">
        <v>1718.04</v>
      </c>
      <c r="H304" s="15">
        <v>2300.79</v>
      </c>
      <c r="I304" s="15">
        <v>2278.59</v>
      </c>
      <c r="J304" s="15">
        <v>4904.2299999999996</v>
      </c>
      <c r="K304" s="15">
        <v>63.62</v>
      </c>
      <c r="L304" s="15">
        <v>1942.7</v>
      </c>
      <c r="M304" s="15">
        <v>2123.85</v>
      </c>
      <c r="N304" s="15">
        <v>1986.69</v>
      </c>
      <c r="O304" t="s">
        <v>75</v>
      </c>
    </row>
    <row r="305" spans="1:15" x14ac:dyDescent="0.25">
      <c r="A305" s="10" t="s">
        <v>708</v>
      </c>
      <c r="B305" s="15">
        <v>1322</v>
      </c>
      <c r="C305" s="15">
        <v>1322</v>
      </c>
      <c r="D305" s="15">
        <v>1322</v>
      </c>
      <c r="E305" s="15">
        <v>1322</v>
      </c>
      <c r="F305" s="15">
        <v>1322</v>
      </c>
      <c r="G305" s="15">
        <v>1322</v>
      </c>
      <c r="H305" s="15">
        <v>1760</v>
      </c>
      <c r="I305" s="15">
        <v>1760</v>
      </c>
      <c r="J305" s="15">
        <v>1468</v>
      </c>
      <c r="K305" s="15">
        <v>1468</v>
      </c>
      <c r="L305" s="15">
        <v>1468</v>
      </c>
      <c r="M305" s="15">
        <v>3436.57</v>
      </c>
      <c r="N305" s="15">
        <v>1468</v>
      </c>
      <c r="O305" t="s">
        <v>75</v>
      </c>
    </row>
    <row r="306" spans="1:15" x14ac:dyDescent="0.25">
      <c r="A306" s="10" t="s">
        <v>710</v>
      </c>
      <c r="B306" s="15">
        <v>1556.33</v>
      </c>
      <c r="C306" s="15">
        <v>1556.33</v>
      </c>
      <c r="D306" s="15">
        <v>1556.33</v>
      </c>
      <c r="E306" s="15">
        <v>1556.33</v>
      </c>
      <c r="F306" s="15">
        <v>1624.38</v>
      </c>
      <c r="G306" s="15">
        <v>1556.33</v>
      </c>
      <c r="H306" s="15">
        <v>2089.9</v>
      </c>
      <c r="I306" s="15">
        <v>2062.34</v>
      </c>
      <c r="J306" s="15">
        <v>4108.34</v>
      </c>
      <c r="K306" s="15">
        <v>57.61</v>
      </c>
      <c r="L306" s="15">
        <v>1694.72</v>
      </c>
      <c r="M306" s="15">
        <v>1728.34</v>
      </c>
      <c r="N306" s="15">
        <v>1740.73</v>
      </c>
      <c r="O306" t="s">
        <v>75</v>
      </c>
    </row>
    <row r="307" spans="1:15" x14ac:dyDescent="0.25">
      <c r="A307" s="10" t="s">
        <v>712</v>
      </c>
      <c r="B307" s="15">
        <v>0</v>
      </c>
      <c r="C307" s="15">
        <v>0</v>
      </c>
      <c r="D307" s="15">
        <v>0</v>
      </c>
      <c r="E307" s="15">
        <v>1540</v>
      </c>
      <c r="F307" s="15">
        <v>2452.58</v>
      </c>
      <c r="G307" s="15">
        <v>2310</v>
      </c>
      <c r="H307" s="15">
        <v>3068.93</v>
      </c>
      <c r="I307" s="15">
        <v>1624.34</v>
      </c>
      <c r="J307" s="15">
        <v>0</v>
      </c>
      <c r="K307" s="15">
        <v>0</v>
      </c>
      <c r="L307" s="15">
        <v>0</v>
      </c>
      <c r="M307" s="15">
        <v>0</v>
      </c>
      <c r="N307" s="15">
        <v>1095.58</v>
      </c>
      <c r="O307" t="s">
        <v>75</v>
      </c>
    </row>
    <row r="308" spans="1:15" x14ac:dyDescent="0.25">
      <c r="A308" s="10" t="s">
        <v>714</v>
      </c>
      <c r="B308" s="15">
        <v>2790.72</v>
      </c>
      <c r="C308" s="15">
        <v>1055.5999999999999</v>
      </c>
      <c r="D308" s="15">
        <v>1508</v>
      </c>
      <c r="E308" s="15">
        <v>1834.42</v>
      </c>
      <c r="F308" s="15">
        <v>2073.23</v>
      </c>
      <c r="G308" s="15">
        <v>1569.28</v>
      </c>
      <c r="H308" s="15">
        <v>2175.9499999999998</v>
      </c>
      <c r="I308" s="15">
        <v>2074.56</v>
      </c>
      <c r="J308" s="15">
        <v>1751.33</v>
      </c>
      <c r="K308" s="15">
        <v>1741.53</v>
      </c>
      <c r="L308" s="15">
        <v>1735.96</v>
      </c>
      <c r="M308" s="15">
        <v>1962.85</v>
      </c>
      <c r="N308" s="15">
        <v>1821.95</v>
      </c>
      <c r="O308" t="s">
        <v>75</v>
      </c>
    </row>
    <row r="309" spans="1:15" x14ac:dyDescent="0.25">
      <c r="A309" s="10" t="s">
        <v>716</v>
      </c>
      <c r="B309" s="15">
        <v>4071.59</v>
      </c>
      <c r="C309" s="15">
        <v>4071.59</v>
      </c>
      <c r="D309" s="15">
        <v>4071.59</v>
      </c>
      <c r="E309" s="15">
        <v>4071.59</v>
      </c>
      <c r="F309" s="15">
        <v>4071.59</v>
      </c>
      <c r="G309" s="15">
        <v>4071.59</v>
      </c>
      <c r="H309" s="15">
        <v>5451.29</v>
      </c>
      <c r="I309" s="15">
        <v>5398.73</v>
      </c>
      <c r="J309" s="15">
        <v>4522.7299999999996</v>
      </c>
      <c r="K309" s="15">
        <v>4522.7299999999996</v>
      </c>
      <c r="L309" s="15">
        <v>6003.12</v>
      </c>
      <c r="M309" s="15">
        <v>4070.46</v>
      </c>
      <c r="N309" s="15">
        <v>4522.7299999999996</v>
      </c>
      <c r="O309" t="s">
        <v>75</v>
      </c>
    </row>
    <row r="310" spans="1:15" x14ac:dyDescent="0.25">
      <c r="A310" s="10" t="s">
        <v>718</v>
      </c>
      <c r="B310" s="15">
        <v>1030.94</v>
      </c>
      <c r="C310" s="15">
        <v>0</v>
      </c>
      <c r="D310" s="15">
        <v>0</v>
      </c>
      <c r="E310" s="15">
        <v>0</v>
      </c>
      <c r="F310" s="15">
        <v>0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324.41000000000003</v>
      </c>
      <c r="O310" t="s">
        <v>75</v>
      </c>
    </row>
    <row r="311" spans="1:15" x14ac:dyDescent="0.25">
      <c r="A311" s="10" t="s">
        <v>720</v>
      </c>
      <c r="B311" s="15">
        <v>2659.74</v>
      </c>
      <c r="C311" s="15">
        <v>977.83</v>
      </c>
      <c r="D311" s="15">
        <v>1538.12</v>
      </c>
      <c r="E311" s="15">
        <v>1595.27</v>
      </c>
      <c r="F311" s="15">
        <v>1855.71</v>
      </c>
      <c r="G311" s="15">
        <v>1582.76</v>
      </c>
      <c r="H311" s="15">
        <v>2189.4</v>
      </c>
      <c r="I311" s="15">
        <v>2298.5300000000002</v>
      </c>
      <c r="J311" s="15">
        <v>1926.39</v>
      </c>
      <c r="K311" s="15">
        <v>1942.15</v>
      </c>
      <c r="L311" s="15">
        <v>2511.5</v>
      </c>
      <c r="M311" s="15">
        <v>1644.64</v>
      </c>
      <c r="N311" s="15">
        <v>1866.22</v>
      </c>
      <c r="O311" t="s">
        <v>75</v>
      </c>
    </row>
    <row r="312" spans="1:15" x14ac:dyDescent="0.25">
      <c r="A312" s="10" t="s">
        <v>722</v>
      </c>
      <c r="B312" s="15">
        <v>2285.86</v>
      </c>
      <c r="C312" s="15">
        <v>2393.7199999999998</v>
      </c>
      <c r="D312" s="15">
        <v>3053.19</v>
      </c>
      <c r="E312" s="15">
        <v>2668.88</v>
      </c>
      <c r="F312" s="15">
        <v>3803.89</v>
      </c>
      <c r="G312" s="15">
        <v>2393.7199999999998</v>
      </c>
      <c r="H312" s="15">
        <v>3732.57</v>
      </c>
      <c r="I312" s="15">
        <v>3172.43</v>
      </c>
      <c r="J312" s="15">
        <v>2723.29</v>
      </c>
      <c r="K312" s="15">
        <v>6853.42</v>
      </c>
      <c r="L312" s="15">
        <v>0</v>
      </c>
      <c r="M312" s="15">
        <v>2658.43</v>
      </c>
      <c r="N312" s="15">
        <v>2943.92</v>
      </c>
      <c r="O312" t="s">
        <v>75</v>
      </c>
    </row>
    <row r="313" spans="1:15" x14ac:dyDescent="0.25">
      <c r="A313" s="10" t="s">
        <v>724</v>
      </c>
      <c r="B313" s="15">
        <v>1468.44</v>
      </c>
      <c r="C313" s="15">
        <v>4170.25</v>
      </c>
      <c r="D313" s="15">
        <v>1126.1400000000001</v>
      </c>
      <c r="E313" s="15">
        <v>1671.32</v>
      </c>
      <c r="F313" s="15">
        <v>1611.38</v>
      </c>
      <c r="G313" s="15">
        <v>1614.56</v>
      </c>
      <c r="H313" s="15">
        <v>2126.5300000000002</v>
      </c>
      <c r="I313" s="15">
        <v>2074.67</v>
      </c>
      <c r="J313" s="15">
        <v>1792.91</v>
      </c>
      <c r="K313" s="15">
        <v>1843.75</v>
      </c>
      <c r="L313" s="15">
        <v>1838.21</v>
      </c>
      <c r="M313" s="15">
        <v>1838.73</v>
      </c>
      <c r="N313" s="15">
        <v>1859.3</v>
      </c>
      <c r="O313" t="s">
        <v>75</v>
      </c>
    </row>
    <row r="314" spans="1:15" x14ac:dyDescent="0.25">
      <c r="A314" s="10" t="s">
        <v>726</v>
      </c>
      <c r="B314" s="15">
        <v>3486</v>
      </c>
      <c r="C314" s="15">
        <v>3486</v>
      </c>
      <c r="D314" s="15">
        <v>3486</v>
      </c>
      <c r="E314" s="15">
        <v>3486</v>
      </c>
      <c r="F314" s="15">
        <v>3501.82</v>
      </c>
      <c r="G314" s="15">
        <v>4622.8</v>
      </c>
      <c r="H314" s="15">
        <v>6396.76</v>
      </c>
      <c r="I314" s="15">
        <v>4760.16</v>
      </c>
      <c r="J314" s="15">
        <v>4045.71</v>
      </c>
      <c r="K314" s="15">
        <v>0</v>
      </c>
      <c r="L314" s="15">
        <v>0</v>
      </c>
      <c r="M314" s="15">
        <v>0</v>
      </c>
      <c r="N314" s="15">
        <v>0</v>
      </c>
      <c r="O314" t="s">
        <v>75</v>
      </c>
    </row>
    <row r="315" spans="1:15" x14ac:dyDescent="0.25">
      <c r="A315" s="10" t="s">
        <v>728</v>
      </c>
      <c r="B315" s="15">
        <v>1587.64</v>
      </c>
      <c r="C315" s="15">
        <v>2268.06</v>
      </c>
      <c r="D315" s="15">
        <v>2391.81</v>
      </c>
      <c r="E315" s="15">
        <v>2268.06</v>
      </c>
      <c r="F315" s="15">
        <v>2372.5100000000002</v>
      </c>
      <c r="G315" s="15">
        <v>2496.2600000000002</v>
      </c>
      <c r="H315" s="15">
        <v>3295.41</v>
      </c>
      <c r="I315" s="15">
        <v>3234.86</v>
      </c>
      <c r="J315" s="15">
        <v>2519.38</v>
      </c>
      <c r="K315" s="15">
        <v>2736.23</v>
      </c>
      <c r="L315" s="15">
        <v>5541.39</v>
      </c>
      <c r="M315" s="15">
        <v>839.79</v>
      </c>
      <c r="N315" s="15">
        <v>2622.33</v>
      </c>
      <c r="O315" t="s">
        <v>75</v>
      </c>
    </row>
    <row r="316" spans="1:15" x14ac:dyDescent="0.25">
      <c r="A316" s="10" t="s">
        <v>730</v>
      </c>
      <c r="B316" s="15">
        <v>1508</v>
      </c>
      <c r="C316" s="15">
        <v>1508</v>
      </c>
      <c r="D316" s="15">
        <v>1508</v>
      </c>
      <c r="E316" s="15">
        <v>1598.19</v>
      </c>
      <c r="F316" s="15">
        <v>1850.55</v>
      </c>
      <c r="G316" s="15">
        <v>1508</v>
      </c>
      <c r="H316" s="15">
        <v>2056.9299999999998</v>
      </c>
      <c r="I316" s="15">
        <v>2009</v>
      </c>
      <c r="J316" s="15">
        <v>1675</v>
      </c>
      <c r="K316" s="15">
        <v>1675</v>
      </c>
      <c r="L316" s="15">
        <v>1675</v>
      </c>
      <c r="M316" s="15">
        <v>2062.2600000000002</v>
      </c>
      <c r="N316" s="15">
        <v>1750.57</v>
      </c>
      <c r="O316" t="s">
        <v>75</v>
      </c>
    </row>
    <row r="317" spans="1:15" x14ac:dyDescent="0.25">
      <c r="A317" s="10" t="s">
        <v>732</v>
      </c>
      <c r="B317" s="15">
        <v>1338.69</v>
      </c>
      <c r="C317" s="15">
        <v>516.66</v>
      </c>
      <c r="D317" s="15">
        <v>0</v>
      </c>
      <c r="E317" s="15">
        <v>0</v>
      </c>
      <c r="F317" s="15">
        <v>0</v>
      </c>
      <c r="G317" s="15">
        <v>0</v>
      </c>
      <c r="H317" s="15">
        <v>0</v>
      </c>
      <c r="I317" s="15">
        <v>0</v>
      </c>
      <c r="J317" s="15">
        <v>0</v>
      </c>
      <c r="K317" s="15">
        <v>0</v>
      </c>
      <c r="L317" s="15">
        <v>0</v>
      </c>
      <c r="M317" s="15">
        <v>0</v>
      </c>
      <c r="N317" s="15">
        <v>323.39</v>
      </c>
      <c r="O317" t="s">
        <v>75</v>
      </c>
    </row>
    <row r="318" spans="1:15" x14ac:dyDescent="0.25">
      <c r="A318" s="10" t="s">
        <v>734</v>
      </c>
      <c r="B318" s="15">
        <v>30920.93</v>
      </c>
      <c r="C318" s="15">
        <v>35678</v>
      </c>
      <c r="D318" s="15">
        <v>35678</v>
      </c>
      <c r="E318" s="15">
        <v>35678</v>
      </c>
      <c r="F318" s="15">
        <v>35678</v>
      </c>
      <c r="G318" s="15">
        <v>41242</v>
      </c>
      <c r="H318" s="15">
        <v>41242</v>
      </c>
      <c r="I318" s="15">
        <v>41242</v>
      </c>
      <c r="J318" s="15">
        <v>41242</v>
      </c>
      <c r="K318" s="15">
        <v>41242</v>
      </c>
      <c r="L318" s="15">
        <v>41242</v>
      </c>
      <c r="M318" s="15">
        <v>41242</v>
      </c>
      <c r="N318" s="15">
        <v>41242</v>
      </c>
      <c r="O318" t="s">
        <v>75</v>
      </c>
    </row>
    <row r="319" spans="1:15" x14ac:dyDescent="0.25">
      <c r="A319" s="10" t="s">
        <v>736</v>
      </c>
      <c r="B319" s="15">
        <v>1508</v>
      </c>
      <c r="C319" s="15">
        <v>1508</v>
      </c>
      <c r="D319" s="15">
        <v>1508</v>
      </c>
      <c r="E319" s="15">
        <v>1508</v>
      </c>
      <c r="F319" s="15">
        <v>1508</v>
      </c>
      <c r="G319" s="15">
        <v>1615.42</v>
      </c>
      <c r="H319" s="15">
        <v>2020.9</v>
      </c>
      <c r="I319" s="15">
        <v>2009</v>
      </c>
      <c r="J319" s="15">
        <v>2689.61</v>
      </c>
      <c r="K319" s="15">
        <v>1451.67</v>
      </c>
      <c r="L319" s="15">
        <v>1675</v>
      </c>
      <c r="M319" s="15">
        <v>1675</v>
      </c>
      <c r="N319" s="15">
        <v>1685.77</v>
      </c>
      <c r="O319" t="s">
        <v>75</v>
      </c>
    </row>
    <row r="320" spans="1:15" x14ac:dyDescent="0.25">
      <c r="A320" s="10" t="s">
        <v>738</v>
      </c>
      <c r="B320" s="15">
        <v>1394.66</v>
      </c>
      <c r="C320" s="15">
        <v>1438.91</v>
      </c>
      <c r="D320" s="15">
        <v>1482.42</v>
      </c>
      <c r="E320" s="15">
        <v>1438.91</v>
      </c>
      <c r="F320" s="15">
        <v>1763.99</v>
      </c>
      <c r="G320" s="15">
        <v>1438.91</v>
      </c>
      <c r="H320" s="15">
        <v>2000.92</v>
      </c>
      <c r="I320" s="15">
        <v>1908.56</v>
      </c>
      <c r="J320" s="15">
        <v>1648.64</v>
      </c>
      <c r="K320" s="15">
        <v>1598.56</v>
      </c>
      <c r="L320" s="15">
        <v>1598.56</v>
      </c>
      <c r="M320" s="15">
        <v>2552.15</v>
      </c>
      <c r="N320" s="15">
        <v>1661.55</v>
      </c>
      <c r="O320" t="s">
        <v>75</v>
      </c>
    </row>
    <row r="321" spans="1:15" x14ac:dyDescent="0.25">
      <c r="A321" s="10" t="s">
        <v>740</v>
      </c>
      <c r="B321" s="15">
        <v>15021</v>
      </c>
      <c r="C321" s="15">
        <v>15021</v>
      </c>
      <c r="D321" s="15">
        <v>15021</v>
      </c>
      <c r="E321" s="15">
        <v>15021</v>
      </c>
      <c r="F321" s="15">
        <v>15021</v>
      </c>
      <c r="G321" s="15">
        <v>15021</v>
      </c>
      <c r="H321" s="15">
        <v>18359</v>
      </c>
      <c r="I321" s="15">
        <v>15021</v>
      </c>
      <c r="J321" s="15">
        <v>17000</v>
      </c>
      <c r="K321" s="15">
        <v>17000</v>
      </c>
      <c r="L321" s="15">
        <v>17000</v>
      </c>
      <c r="M321" s="15">
        <v>17000</v>
      </c>
      <c r="N321" s="15">
        <v>17000</v>
      </c>
      <c r="O321" t="s">
        <v>75</v>
      </c>
    </row>
    <row r="322" spans="1:15" x14ac:dyDescent="0.25">
      <c r="A322" s="10" t="s">
        <v>742</v>
      </c>
      <c r="B322" s="15">
        <v>1108.03</v>
      </c>
      <c r="C322" s="15">
        <v>2393.7199999999998</v>
      </c>
      <c r="D322" s="15">
        <v>2498.21</v>
      </c>
      <c r="E322" s="15">
        <v>2393.7199999999998</v>
      </c>
      <c r="F322" s="15">
        <v>2466.09</v>
      </c>
      <c r="G322" s="15">
        <v>2393.7199999999998</v>
      </c>
      <c r="H322" s="15">
        <v>3752.16</v>
      </c>
      <c r="I322" s="15">
        <v>3172.43</v>
      </c>
      <c r="J322" s="15">
        <v>2658.43</v>
      </c>
      <c r="K322" s="15">
        <v>2658.43</v>
      </c>
      <c r="L322" s="15">
        <v>2658.43</v>
      </c>
      <c r="M322" s="15">
        <v>6685.78</v>
      </c>
      <c r="N322" s="15">
        <v>2750.57</v>
      </c>
      <c r="O322" t="s">
        <v>75</v>
      </c>
    </row>
    <row r="323" spans="1:15" x14ac:dyDescent="0.25">
      <c r="A323" s="10" t="s">
        <v>744</v>
      </c>
      <c r="B323" s="15">
        <v>2268.0300000000002</v>
      </c>
      <c r="C323" s="15">
        <v>30.6</v>
      </c>
      <c r="D323" s="15">
        <v>887.4</v>
      </c>
      <c r="E323" s="15">
        <v>918</v>
      </c>
      <c r="F323" s="15">
        <v>1170</v>
      </c>
      <c r="G323" s="15">
        <v>1170</v>
      </c>
      <c r="H323" s="15">
        <v>1807.25</v>
      </c>
      <c r="I323" s="15">
        <v>1805.63</v>
      </c>
      <c r="J323" s="15">
        <v>1300</v>
      </c>
      <c r="K323" s="15">
        <v>1300</v>
      </c>
      <c r="L323" s="15">
        <v>1308.29</v>
      </c>
      <c r="M323" s="15">
        <v>1300</v>
      </c>
      <c r="N323" s="15">
        <v>1300.83</v>
      </c>
      <c r="O323" t="s">
        <v>75</v>
      </c>
    </row>
    <row r="324" spans="1:15" x14ac:dyDescent="0.25">
      <c r="A324" s="10" t="s">
        <v>746</v>
      </c>
      <c r="B324" s="15">
        <v>2593</v>
      </c>
      <c r="C324" s="15">
        <v>2432</v>
      </c>
      <c r="D324" s="15">
        <v>2888.98</v>
      </c>
      <c r="E324" s="15">
        <v>2521.7399999999998</v>
      </c>
      <c r="F324" s="15">
        <v>2432</v>
      </c>
      <c r="G324" s="15">
        <v>2432</v>
      </c>
      <c r="H324" s="15">
        <v>4833.55</v>
      </c>
      <c r="I324" s="15">
        <v>2428.6999999999998</v>
      </c>
      <c r="J324" s="15">
        <v>3045.03</v>
      </c>
      <c r="K324" s="15">
        <v>2701</v>
      </c>
      <c r="L324" s="15">
        <v>2890.93</v>
      </c>
      <c r="M324" s="15">
        <v>3366.82</v>
      </c>
      <c r="N324" s="15">
        <v>2855.8</v>
      </c>
      <c r="O324" t="s">
        <v>75</v>
      </c>
    </row>
    <row r="325" spans="1:15" x14ac:dyDescent="0.25">
      <c r="A325" s="10" t="s">
        <v>748</v>
      </c>
      <c r="B325" s="15">
        <v>6865.91</v>
      </c>
      <c r="C325" s="15">
        <v>9535.99</v>
      </c>
      <c r="D325" s="15">
        <v>5721.6</v>
      </c>
      <c r="E325" s="15">
        <v>6865.91</v>
      </c>
      <c r="F325" s="15">
        <v>6865.91</v>
      </c>
      <c r="G325" s="15">
        <v>6865.91</v>
      </c>
      <c r="H325" s="15">
        <v>9202.02</v>
      </c>
      <c r="I325" s="15">
        <v>8961.56</v>
      </c>
      <c r="J325" s="15">
        <v>7625.64</v>
      </c>
      <c r="K325" s="15">
        <v>7625.64</v>
      </c>
      <c r="L325" s="15">
        <v>7625.64</v>
      </c>
      <c r="M325" s="15">
        <v>14403.99</v>
      </c>
      <c r="N325" s="15">
        <v>7625.64</v>
      </c>
      <c r="O325" t="s">
        <v>75</v>
      </c>
    </row>
    <row r="326" spans="1:15" x14ac:dyDescent="0.25">
      <c r="A326" s="10" t="s">
        <v>750</v>
      </c>
      <c r="B326" s="15">
        <v>3049.3</v>
      </c>
      <c r="C326" s="15">
        <v>7122.73</v>
      </c>
      <c r="D326" s="15">
        <v>1289.49</v>
      </c>
      <c r="E326" s="15">
        <v>2810.62</v>
      </c>
      <c r="F326" s="15">
        <v>2817.3</v>
      </c>
      <c r="G326" s="15">
        <v>2671.42</v>
      </c>
      <c r="H326" s="15">
        <v>3558</v>
      </c>
      <c r="I326" s="15">
        <v>3433.23</v>
      </c>
      <c r="J326" s="15">
        <v>2976.72</v>
      </c>
      <c r="K326" s="15">
        <v>2966.52</v>
      </c>
      <c r="L326" s="15">
        <v>2967.37</v>
      </c>
      <c r="M326" s="15">
        <v>7661.3</v>
      </c>
      <c r="N326" s="15">
        <v>3040.85</v>
      </c>
      <c r="O326" t="s">
        <v>75</v>
      </c>
    </row>
    <row r="327" spans="1:15" x14ac:dyDescent="0.25">
      <c r="A327" s="10" t="s">
        <v>752</v>
      </c>
      <c r="B327" s="15">
        <v>1120</v>
      </c>
      <c r="C327" s="15">
        <v>1120</v>
      </c>
      <c r="D327" s="15">
        <v>1120</v>
      </c>
      <c r="E327" s="15">
        <v>2598.39</v>
      </c>
      <c r="F327" s="15">
        <v>371.85</v>
      </c>
      <c r="G327" s="15">
        <v>1120</v>
      </c>
      <c r="H327" s="15">
        <v>1772.13</v>
      </c>
      <c r="I327" s="15">
        <v>1430</v>
      </c>
      <c r="J327" s="15">
        <v>1301.54</v>
      </c>
      <c r="K327" s="15">
        <v>1244</v>
      </c>
      <c r="L327" s="15">
        <v>1244</v>
      </c>
      <c r="M327" s="15">
        <v>1244</v>
      </c>
      <c r="N327" s="15">
        <v>1275.3499999999999</v>
      </c>
      <c r="O327" t="s">
        <v>75</v>
      </c>
    </row>
    <row r="328" spans="1:15" x14ac:dyDescent="0.25">
      <c r="A328" s="10" t="s">
        <v>754</v>
      </c>
      <c r="B328" s="15">
        <v>1050.6099999999999</v>
      </c>
      <c r="C328" s="15">
        <v>1423.94</v>
      </c>
      <c r="D328" s="15">
        <v>1458.88</v>
      </c>
      <c r="E328" s="15">
        <v>1433.41</v>
      </c>
      <c r="F328" s="15">
        <v>1368.39</v>
      </c>
      <c r="G328" s="15">
        <v>1373.48</v>
      </c>
      <c r="H328" s="15">
        <v>1842.62</v>
      </c>
      <c r="I328" s="15">
        <v>1802.91</v>
      </c>
      <c r="J328" s="15">
        <v>1468</v>
      </c>
      <c r="K328" s="15">
        <v>1419.07</v>
      </c>
      <c r="L328" s="15">
        <v>1370.13</v>
      </c>
      <c r="M328" s="15">
        <v>2216.0700000000002</v>
      </c>
      <c r="N328" s="15">
        <v>1522.63</v>
      </c>
      <c r="O328" t="s">
        <v>75</v>
      </c>
    </row>
    <row r="329" spans="1:15" x14ac:dyDescent="0.25">
      <c r="A329" s="10" t="s">
        <v>756</v>
      </c>
      <c r="B329" s="15">
        <v>0</v>
      </c>
      <c r="C329" s="15">
        <v>0</v>
      </c>
      <c r="D329" s="15">
        <v>0</v>
      </c>
      <c r="E329" s="15">
        <v>0</v>
      </c>
      <c r="F329" s="15">
        <v>0</v>
      </c>
      <c r="G329" s="15">
        <v>887.4</v>
      </c>
      <c r="H329" s="15">
        <v>1075.48</v>
      </c>
      <c r="I329" s="15">
        <v>1075.48</v>
      </c>
      <c r="J329" s="15">
        <v>1020</v>
      </c>
      <c r="K329" s="15">
        <v>1020</v>
      </c>
      <c r="L329" s="15">
        <v>1020</v>
      </c>
      <c r="M329" s="15">
        <v>1020</v>
      </c>
      <c r="N329" s="15">
        <v>595</v>
      </c>
      <c r="O329" t="s">
        <v>75</v>
      </c>
    </row>
    <row r="330" spans="1:15" x14ac:dyDescent="0.25">
      <c r="A330" s="10" t="s">
        <v>758</v>
      </c>
      <c r="B330" s="15">
        <v>795.6</v>
      </c>
      <c r="C330" s="15">
        <v>918</v>
      </c>
      <c r="D330" s="15">
        <v>918</v>
      </c>
      <c r="E330" s="15">
        <v>918</v>
      </c>
      <c r="F330" s="15">
        <v>918</v>
      </c>
      <c r="G330" s="15">
        <v>918</v>
      </c>
      <c r="H330" s="15">
        <v>1249.56</v>
      </c>
      <c r="I330" s="15">
        <v>1249.56</v>
      </c>
      <c r="J330" s="15">
        <v>1020</v>
      </c>
      <c r="K330" s="15">
        <v>1020</v>
      </c>
      <c r="L330" s="15">
        <v>1020</v>
      </c>
      <c r="M330" s="15">
        <v>1020</v>
      </c>
      <c r="N330" s="15">
        <v>1020</v>
      </c>
      <c r="O330" t="s">
        <v>75</v>
      </c>
    </row>
    <row r="331" spans="1:15" x14ac:dyDescent="0.25">
      <c r="A331" s="10" t="s">
        <v>760</v>
      </c>
      <c r="B331" s="15">
        <v>0</v>
      </c>
      <c r="C331" s="15">
        <v>0</v>
      </c>
      <c r="D331" s="15">
        <v>0</v>
      </c>
      <c r="E331" s="15">
        <v>0</v>
      </c>
      <c r="F331" s="15">
        <v>0</v>
      </c>
      <c r="G331" s="15">
        <v>887.4</v>
      </c>
      <c r="H331" s="15">
        <v>1075.48</v>
      </c>
      <c r="I331" s="15">
        <v>1075.48</v>
      </c>
      <c r="J331" s="15">
        <v>1020</v>
      </c>
      <c r="K331" s="15">
        <v>1020</v>
      </c>
      <c r="L331" s="15">
        <v>1020</v>
      </c>
      <c r="M331" s="15">
        <v>1020</v>
      </c>
      <c r="N331" s="15">
        <v>595</v>
      </c>
      <c r="O331" t="s">
        <v>75</v>
      </c>
    </row>
    <row r="332" spans="1:15" x14ac:dyDescent="0.25">
      <c r="A332" s="10" t="s">
        <v>762</v>
      </c>
      <c r="B332" s="15">
        <v>997.11</v>
      </c>
      <c r="C332" s="15">
        <v>981.24</v>
      </c>
      <c r="D332" s="15">
        <v>1007.46</v>
      </c>
      <c r="E332" s="15">
        <v>974.95</v>
      </c>
      <c r="F332" s="15">
        <v>951.79</v>
      </c>
      <c r="G332" s="15">
        <v>956.26</v>
      </c>
      <c r="H332" s="15">
        <v>1314.94</v>
      </c>
      <c r="I332" s="15">
        <v>1286.55</v>
      </c>
      <c r="J332" s="15">
        <v>1061.81</v>
      </c>
      <c r="K332" s="15">
        <v>2508.5</v>
      </c>
      <c r="L332" s="15">
        <v>18.55</v>
      </c>
      <c r="M332" s="15">
        <v>1040.67</v>
      </c>
      <c r="N332" s="15">
        <v>1071.45</v>
      </c>
      <c r="O332" t="s">
        <v>75</v>
      </c>
    </row>
    <row r="333" spans="1:15" x14ac:dyDescent="0.25">
      <c r="A333" s="10" t="s">
        <v>764</v>
      </c>
      <c r="B333" s="15">
        <v>0</v>
      </c>
      <c r="C333" s="15">
        <v>0</v>
      </c>
      <c r="D333" s="15">
        <v>0</v>
      </c>
      <c r="E333" s="15">
        <v>4624.3999999999996</v>
      </c>
      <c r="F333" s="15">
        <v>12612</v>
      </c>
      <c r="G333" s="15">
        <v>12612</v>
      </c>
      <c r="H333" s="15">
        <v>12612</v>
      </c>
      <c r="I333" s="15">
        <v>12612</v>
      </c>
      <c r="J333" s="15">
        <v>12612</v>
      </c>
      <c r="K333" s="15">
        <v>12612</v>
      </c>
      <c r="L333" s="15">
        <v>12612</v>
      </c>
      <c r="M333" s="15">
        <v>12612</v>
      </c>
      <c r="N333" s="15">
        <v>8408</v>
      </c>
      <c r="O333" t="s">
        <v>75</v>
      </c>
    </row>
    <row r="334" spans="1:15" x14ac:dyDescent="0.25">
      <c r="A334" s="10" t="s">
        <v>766</v>
      </c>
      <c r="B334" s="15">
        <v>5001</v>
      </c>
      <c r="C334" s="15">
        <v>5001</v>
      </c>
      <c r="D334" s="15">
        <v>5001</v>
      </c>
      <c r="E334" s="15">
        <v>2575.52</v>
      </c>
      <c r="F334" s="15">
        <v>0</v>
      </c>
      <c r="G334" s="15">
        <v>0</v>
      </c>
      <c r="H334" s="15">
        <v>0</v>
      </c>
      <c r="I334" s="15">
        <v>2299.29</v>
      </c>
      <c r="J334" s="15">
        <v>0</v>
      </c>
      <c r="K334" s="15">
        <v>0</v>
      </c>
      <c r="L334" s="15">
        <v>0</v>
      </c>
      <c r="M334" s="15">
        <v>0</v>
      </c>
      <c r="N334" s="15">
        <v>2384.02</v>
      </c>
      <c r="O334" t="s">
        <v>75</v>
      </c>
    </row>
    <row r="335" spans="1:15" x14ac:dyDescent="0.25">
      <c r="A335" s="10" t="s">
        <v>768</v>
      </c>
      <c r="B335" s="15">
        <v>1205.0999999999999</v>
      </c>
      <c r="C335" s="15">
        <v>1205.0999999999999</v>
      </c>
      <c r="D335" s="15">
        <v>1205.0999999999999</v>
      </c>
      <c r="E335" s="15">
        <v>1205.0999999999999</v>
      </c>
      <c r="F335" s="15">
        <v>1955.92</v>
      </c>
      <c r="G335" s="15">
        <v>923.91</v>
      </c>
      <c r="H335" s="15">
        <v>1730.1</v>
      </c>
      <c r="I335" s="15">
        <v>1534</v>
      </c>
      <c r="J335" s="15">
        <v>1339</v>
      </c>
      <c r="K335" s="15">
        <v>1339</v>
      </c>
      <c r="L335" s="15">
        <v>1339</v>
      </c>
      <c r="M335" s="15">
        <v>1339</v>
      </c>
      <c r="N335" s="15">
        <v>1339</v>
      </c>
      <c r="O335" t="s">
        <v>75</v>
      </c>
    </row>
    <row r="336" spans="1:15" x14ac:dyDescent="0.25">
      <c r="A336" s="10" t="s">
        <v>770</v>
      </c>
      <c r="B336" s="15">
        <v>1281.8699999999999</v>
      </c>
      <c r="C336" s="15">
        <v>1246.3399999999999</v>
      </c>
      <c r="D336" s="15">
        <v>1278.2</v>
      </c>
      <c r="E336" s="15">
        <v>1242.78</v>
      </c>
      <c r="F336" s="15">
        <v>1213.52</v>
      </c>
      <c r="G336" s="15">
        <v>1217.3900000000001</v>
      </c>
      <c r="H336" s="15">
        <v>1636.79</v>
      </c>
      <c r="I336" s="15">
        <v>1607.69</v>
      </c>
      <c r="J336" s="15">
        <v>1785.08</v>
      </c>
      <c r="K336" s="15">
        <v>1279.77</v>
      </c>
      <c r="L336" s="15">
        <v>1349.23</v>
      </c>
      <c r="M336" s="15">
        <v>1467.29</v>
      </c>
      <c r="N336" s="15">
        <v>1375.84</v>
      </c>
      <c r="O336" t="s">
        <v>75</v>
      </c>
    </row>
    <row r="337" spans="1:15" x14ac:dyDescent="0.25">
      <c r="A337" s="10" t="s">
        <v>772</v>
      </c>
      <c r="B337" s="15">
        <v>3638.99</v>
      </c>
      <c r="C337" s="15">
        <v>3597.14</v>
      </c>
      <c r="D337" s="15">
        <v>3750.11</v>
      </c>
      <c r="E337" s="15">
        <v>3618.06</v>
      </c>
      <c r="F337" s="15">
        <v>3638.99</v>
      </c>
      <c r="G337" s="15">
        <v>3618.06</v>
      </c>
      <c r="H337" s="15">
        <v>9491.14</v>
      </c>
      <c r="I337" s="15">
        <v>1554.54</v>
      </c>
      <c r="J337" s="15">
        <v>4018.22</v>
      </c>
      <c r="K337" s="15">
        <v>4071.48</v>
      </c>
      <c r="L337" s="15">
        <v>4047.27</v>
      </c>
      <c r="M337" s="15">
        <v>4013.75</v>
      </c>
      <c r="N337" s="15">
        <v>4034.69</v>
      </c>
      <c r="O337" t="s">
        <v>75</v>
      </c>
    </row>
    <row r="338" spans="1:15" x14ac:dyDescent="0.25">
      <c r="A338" s="10" t="s">
        <v>774</v>
      </c>
      <c r="B338" s="15">
        <v>2203.6799999999998</v>
      </c>
      <c r="C338" s="15">
        <v>2177.73</v>
      </c>
      <c r="D338" s="15">
        <v>2295.5</v>
      </c>
      <c r="E338" s="15">
        <v>2190.6999999999998</v>
      </c>
      <c r="F338" s="15">
        <v>2291.3200000000002</v>
      </c>
      <c r="G338" s="15">
        <v>2190.6999999999998</v>
      </c>
      <c r="H338" s="15">
        <v>3271.05</v>
      </c>
      <c r="I338" s="15">
        <v>2803.01</v>
      </c>
      <c r="J338" s="15">
        <v>2433.6999999999998</v>
      </c>
      <c r="K338" s="15">
        <v>2466.73</v>
      </c>
      <c r="L338" s="15">
        <v>2702.45</v>
      </c>
      <c r="M338" s="15">
        <v>725.35</v>
      </c>
      <c r="N338" s="15">
        <v>2720.07</v>
      </c>
      <c r="O338" t="s">
        <v>75</v>
      </c>
    </row>
    <row r="339" spans="1:15" x14ac:dyDescent="0.25">
      <c r="A339" s="10" t="s">
        <v>776</v>
      </c>
      <c r="B339" s="15">
        <v>1246.43</v>
      </c>
      <c r="C339" s="15">
        <v>1281.81</v>
      </c>
      <c r="D339" s="15">
        <v>1326.31</v>
      </c>
      <c r="E339" s="15">
        <v>1957.86</v>
      </c>
      <c r="F339" s="15">
        <v>937.36</v>
      </c>
      <c r="G339" s="15">
        <v>1260.4000000000001</v>
      </c>
      <c r="H339" s="15">
        <v>1790.1</v>
      </c>
      <c r="I339" s="15">
        <v>1609.09</v>
      </c>
      <c r="J339" s="15">
        <v>1398.95</v>
      </c>
      <c r="K339" s="15">
        <v>1389.76</v>
      </c>
      <c r="L339" s="15">
        <v>1387.01</v>
      </c>
      <c r="M339" s="15">
        <v>1552.48</v>
      </c>
      <c r="N339" s="15">
        <v>1426.68</v>
      </c>
      <c r="O339" t="s">
        <v>75</v>
      </c>
    </row>
    <row r="340" spans="1:15" x14ac:dyDescent="0.25">
      <c r="A340" s="10" t="s">
        <v>778</v>
      </c>
      <c r="B340" s="15">
        <v>1002.47</v>
      </c>
      <c r="C340" s="15">
        <v>1000.16</v>
      </c>
      <c r="D340" s="15">
        <v>1012.78</v>
      </c>
      <c r="E340" s="15">
        <v>987.25</v>
      </c>
      <c r="F340" s="15">
        <v>1216.5999999999999</v>
      </c>
      <c r="G340" s="15">
        <v>941.81</v>
      </c>
      <c r="H340" s="15">
        <v>1354.05</v>
      </c>
      <c r="I340" s="15">
        <v>1228.99</v>
      </c>
      <c r="J340" s="15">
        <v>1063.81</v>
      </c>
      <c r="K340" s="15">
        <v>1061.95</v>
      </c>
      <c r="L340" s="15">
        <v>1060.8900000000001</v>
      </c>
      <c r="M340" s="15">
        <v>1065.06</v>
      </c>
      <c r="N340" s="15">
        <v>1077.25</v>
      </c>
      <c r="O340" t="s">
        <v>75</v>
      </c>
    </row>
    <row r="341" spans="1:15" x14ac:dyDescent="0.25">
      <c r="A341" s="10" t="s">
        <v>780</v>
      </c>
      <c r="B341" s="15">
        <v>1321</v>
      </c>
      <c r="C341" s="15">
        <v>1321</v>
      </c>
      <c r="D341" s="15">
        <v>1373.97</v>
      </c>
      <c r="E341" s="15">
        <v>1321</v>
      </c>
      <c r="F341" s="15">
        <v>1321</v>
      </c>
      <c r="G341" s="15">
        <v>1600.86</v>
      </c>
      <c r="H341" s="15">
        <v>2163.0100000000002</v>
      </c>
      <c r="I341" s="15">
        <v>1759</v>
      </c>
      <c r="J341" s="15">
        <v>1955.33</v>
      </c>
      <c r="K341" s="15">
        <v>1467</v>
      </c>
      <c r="L341" s="15">
        <v>1711.35</v>
      </c>
      <c r="M341" s="15">
        <v>1735.72</v>
      </c>
      <c r="N341" s="15">
        <v>1573.72</v>
      </c>
      <c r="O341" t="s">
        <v>75</v>
      </c>
    </row>
    <row r="342" spans="1:15" x14ac:dyDescent="0.25">
      <c r="A342" s="10" t="s">
        <v>782</v>
      </c>
      <c r="B342" s="15">
        <v>1508</v>
      </c>
      <c r="C342" s="15">
        <v>1508</v>
      </c>
      <c r="D342" s="15">
        <v>1604.7</v>
      </c>
      <c r="E342" s="15">
        <v>3811.03</v>
      </c>
      <c r="F342" s="15">
        <v>0</v>
      </c>
      <c r="G342" s="15">
        <v>1508</v>
      </c>
      <c r="H342" s="15">
        <v>2212.6999999999998</v>
      </c>
      <c r="I342" s="15">
        <v>1925.5</v>
      </c>
      <c r="J342" s="15">
        <v>1696.74</v>
      </c>
      <c r="K342" s="15">
        <v>1675</v>
      </c>
      <c r="L342" s="15">
        <v>1767.39</v>
      </c>
      <c r="M342" s="15">
        <v>1694.79</v>
      </c>
      <c r="N342" s="15">
        <v>1698.2</v>
      </c>
      <c r="O342" t="s">
        <v>75</v>
      </c>
    </row>
    <row r="343" spans="1:15" x14ac:dyDescent="0.25">
      <c r="A343" s="10" t="s">
        <v>784</v>
      </c>
      <c r="B343" s="15">
        <v>918</v>
      </c>
      <c r="C343" s="15">
        <v>856.8</v>
      </c>
      <c r="D343" s="15">
        <v>673.2</v>
      </c>
      <c r="E343" s="15">
        <v>0</v>
      </c>
      <c r="F343" s="15">
        <v>0</v>
      </c>
      <c r="G343" s="15">
        <v>0</v>
      </c>
      <c r="H343" s="15">
        <v>0</v>
      </c>
      <c r="I343" s="15">
        <v>164.3</v>
      </c>
      <c r="J343" s="15">
        <v>0</v>
      </c>
      <c r="K343" s="15">
        <v>0</v>
      </c>
      <c r="L343" s="15">
        <v>0</v>
      </c>
      <c r="M343" s="15">
        <v>0</v>
      </c>
      <c r="N343" s="15">
        <v>340</v>
      </c>
      <c r="O343" t="s">
        <v>75</v>
      </c>
    </row>
    <row r="344" spans="1:15" x14ac:dyDescent="0.25">
      <c r="A344" s="10" t="s">
        <v>786</v>
      </c>
      <c r="B344" s="15">
        <v>0</v>
      </c>
      <c r="C344" s="15">
        <v>0</v>
      </c>
      <c r="D344" s="15">
        <v>0</v>
      </c>
      <c r="E344" s="15">
        <v>0</v>
      </c>
      <c r="F344" s="15">
        <v>0</v>
      </c>
      <c r="G344" s="15">
        <v>0</v>
      </c>
      <c r="H344" s="15">
        <v>0</v>
      </c>
      <c r="I344" s="15">
        <v>0</v>
      </c>
      <c r="J344" s="15">
        <v>0</v>
      </c>
      <c r="K344" s="15">
        <v>429</v>
      </c>
      <c r="L344" s="15">
        <v>2145</v>
      </c>
      <c r="M344" s="15">
        <v>2342.86</v>
      </c>
      <c r="N344" s="15">
        <v>373.99</v>
      </c>
      <c r="O344" t="s">
        <v>75</v>
      </c>
    </row>
    <row r="345" spans="1:15" x14ac:dyDescent="0.25">
      <c r="A345" s="10" t="s">
        <v>788</v>
      </c>
      <c r="B345" s="15">
        <v>80.34</v>
      </c>
      <c r="C345" s="15">
        <v>1124.76</v>
      </c>
      <c r="D345" s="15">
        <v>1246.93</v>
      </c>
      <c r="E345" s="15">
        <v>1205.0999999999999</v>
      </c>
      <c r="F345" s="15">
        <v>1205.0999999999999</v>
      </c>
      <c r="G345" s="15">
        <v>1255.93</v>
      </c>
      <c r="H345" s="15">
        <v>1824.24</v>
      </c>
      <c r="I345" s="15">
        <v>1647.2</v>
      </c>
      <c r="J345" s="15">
        <v>1391.75</v>
      </c>
      <c r="K345" s="15">
        <v>1380.26</v>
      </c>
      <c r="L345" s="15">
        <v>1387.24</v>
      </c>
      <c r="M345" s="15">
        <v>1504.21</v>
      </c>
      <c r="N345" s="15">
        <v>1395.6</v>
      </c>
      <c r="O345" t="s">
        <v>75</v>
      </c>
    </row>
    <row r="346" spans="1:15" x14ac:dyDescent="0.25">
      <c r="A346" s="10" t="s">
        <v>790</v>
      </c>
      <c r="B346" s="15">
        <v>3770.12</v>
      </c>
      <c r="C346" s="15">
        <v>2702.83</v>
      </c>
      <c r="D346" s="15">
        <v>3935.15</v>
      </c>
      <c r="E346" s="15">
        <v>2824.56</v>
      </c>
      <c r="F346" s="15">
        <v>5994.5</v>
      </c>
      <c r="G346" s="15">
        <v>2066.2600000000002</v>
      </c>
      <c r="H346" s="15">
        <v>5628</v>
      </c>
      <c r="I346" s="15">
        <v>3661.68</v>
      </c>
      <c r="J346" s="15">
        <v>3452.53</v>
      </c>
      <c r="K346" s="15">
        <v>2655.3</v>
      </c>
      <c r="L346" s="15">
        <v>2959.28</v>
      </c>
      <c r="M346" s="15">
        <v>2655.3</v>
      </c>
      <c r="N346" s="15">
        <v>3452.09</v>
      </c>
      <c r="O346" t="s">
        <v>75</v>
      </c>
    </row>
    <row r="347" spans="1:15" x14ac:dyDescent="0.25">
      <c r="A347" s="10" t="s">
        <v>792</v>
      </c>
      <c r="B347" s="15">
        <v>2232.37</v>
      </c>
      <c r="C347" s="15">
        <v>2037</v>
      </c>
      <c r="D347" s="15">
        <v>2292.6999999999998</v>
      </c>
      <c r="E347" s="15">
        <v>2037</v>
      </c>
      <c r="F347" s="15">
        <v>3970.2</v>
      </c>
      <c r="G347" s="15">
        <v>3500</v>
      </c>
      <c r="H347" s="15">
        <v>6408.22</v>
      </c>
      <c r="I347" s="15">
        <v>6124</v>
      </c>
      <c r="J347" s="15">
        <v>3887</v>
      </c>
      <c r="K347" s="15">
        <v>3887</v>
      </c>
      <c r="L347" s="15">
        <v>3887</v>
      </c>
      <c r="M347" s="15">
        <v>3887</v>
      </c>
      <c r="N347" s="15">
        <v>4019.11</v>
      </c>
      <c r="O347" t="s">
        <v>75</v>
      </c>
    </row>
    <row r="348" spans="1:15" x14ac:dyDescent="0.25">
      <c r="A348" s="10" t="s">
        <v>794</v>
      </c>
      <c r="B348" s="15">
        <v>8647.8799999999992</v>
      </c>
      <c r="C348" s="15">
        <v>8647.8799999999992</v>
      </c>
      <c r="D348" s="15">
        <v>8647.8799999999992</v>
      </c>
      <c r="E348" s="15">
        <v>8647.8799999999992</v>
      </c>
      <c r="F348" s="15">
        <v>8647.8799999999992</v>
      </c>
      <c r="G348" s="15">
        <v>8647.8799999999992</v>
      </c>
      <c r="H348" s="15">
        <v>11574.23</v>
      </c>
      <c r="I348" s="15">
        <v>11462.75</v>
      </c>
      <c r="J348" s="15">
        <v>12059.31</v>
      </c>
      <c r="K348" s="15">
        <v>9284.6</v>
      </c>
      <c r="L348" s="15">
        <v>9604.75</v>
      </c>
      <c r="M348" s="15">
        <v>9604.75</v>
      </c>
      <c r="N348" s="15">
        <v>9604.75</v>
      </c>
      <c r="O348" t="s">
        <v>75</v>
      </c>
    </row>
    <row r="349" spans="1:15" x14ac:dyDescent="0.25">
      <c r="A349" s="10" t="s">
        <v>796</v>
      </c>
      <c r="B349" s="15">
        <v>1834.88</v>
      </c>
      <c r="C349" s="15">
        <v>1747</v>
      </c>
      <c r="D349" s="15">
        <v>1830.86</v>
      </c>
      <c r="E349" s="15">
        <v>1747</v>
      </c>
      <c r="F349" s="15">
        <v>2288.17</v>
      </c>
      <c r="G349" s="15">
        <v>2310.41</v>
      </c>
      <c r="H349" s="15">
        <v>3907.97</v>
      </c>
      <c r="I349" s="15">
        <v>3791.27</v>
      </c>
      <c r="J349" s="15">
        <v>2924.33</v>
      </c>
      <c r="K349" s="15">
        <v>2566</v>
      </c>
      <c r="L349" s="15">
        <v>2916.21</v>
      </c>
      <c r="M349" s="15">
        <v>4943.2</v>
      </c>
      <c r="N349" s="15">
        <v>2683.06</v>
      </c>
      <c r="O349" t="s">
        <v>75</v>
      </c>
    </row>
    <row r="350" spans="1:15" x14ac:dyDescent="0.25">
      <c r="A350" s="10" t="s">
        <v>798</v>
      </c>
      <c r="B350" s="15">
        <v>4290.97</v>
      </c>
      <c r="C350" s="15">
        <v>3765.23</v>
      </c>
      <c r="D350" s="15">
        <v>6835.08</v>
      </c>
      <c r="E350" s="15">
        <v>3154.75</v>
      </c>
      <c r="F350" s="15">
        <v>4685.93</v>
      </c>
      <c r="G350" s="15">
        <v>3850.5</v>
      </c>
      <c r="H350" s="15">
        <v>4936.0600000000004</v>
      </c>
      <c r="I350" s="15">
        <v>4325.63</v>
      </c>
      <c r="J350" s="15">
        <v>3911.4</v>
      </c>
      <c r="K350" s="15">
        <v>3753.96</v>
      </c>
      <c r="L350" s="15">
        <v>3911.89</v>
      </c>
      <c r="M350" s="15">
        <v>3753.96</v>
      </c>
      <c r="N350" s="15">
        <v>4235.03</v>
      </c>
      <c r="O350" t="s">
        <v>75</v>
      </c>
    </row>
    <row r="351" spans="1:15" x14ac:dyDescent="0.25">
      <c r="A351" s="10" t="s">
        <v>800</v>
      </c>
      <c r="B351" s="15">
        <v>1508</v>
      </c>
      <c r="C351" s="15">
        <v>1508</v>
      </c>
      <c r="D351" s="15">
        <v>1542.46</v>
      </c>
      <c r="E351" s="15">
        <v>1508</v>
      </c>
      <c r="F351" s="15">
        <v>1508</v>
      </c>
      <c r="G351" s="15">
        <v>3588.43</v>
      </c>
      <c r="H351" s="15">
        <v>678.74</v>
      </c>
      <c r="I351" s="15">
        <v>1897.33</v>
      </c>
      <c r="J351" s="15">
        <v>1691</v>
      </c>
      <c r="K351" s="15">
        <v>1675</v>
      </c>
      <c r="L351" s="15">
        <v>1688.1</v>
      </c>
      <c r="M351" s="15">
        <v>1675</v>
      </c>
      <c r="N351" s="15">
        <v>1680.88</v>
      </c>
      <c r="O351" t="s">
        <v>75</v>
      </c>
    </row>
    <row r="352" spans="1:15" x14ac:dyDescent="0.25">
      <c r="A352" s="10" t="s">
        <v>802</v>
      </c>
      <c r="B352" s="15">
        <v>4453.22</v>
      </c>
      <c r="C352" s="15">
        <v>4683.5200000000004</v>
      </c>
      <c r="D352" s="15">
        <v>8658.31</v>
      </c>
      <c r="E352" s="15">
        <v>3543.05</v>
      </c>
      <c r="F352" s="15">
        <v>5049.3599999999997</v>
      </c>
      <c r="G352" s="15">
        <v>4251.66</v>
      </c>
      <c r="H352" s="15">
        <v>6856.3</v>
      </c>
      <c r="I352" s="15">
        <v>5388.3</v>
      </c>
      <c r="J352" s="15">
        <v>4722.3</v>
      </c>
      <c r="K352" s="15">
        <v>4722.3</v>
      </c>
      <c r="L352" s="15">
        <v>4722.3</v>
      </c>
      <c r="M352" s="15">
        <v>4722.3</v>
      </c>
      <c r="N352" s="15">
        <v>4944.5200000000004</v>
      </c>
      <c r="O352" t="s">
        <v>75</v>
      </c>
    </row>
    <row r="353" spans="1:15" x14ac:dyDescent="0.25">
      <c r="A353" s="10" t="s">
        <v>804</v>
      </c>
      <c r="B353" s="15">
        <v>14033</v>
      </c>
      <c r="C353" s="15">
        <v>32743.67</v>
      </c>
      <c r="D353" s="15">
        <v>0</v>
      </c>
      <c r="E353" s="15">
        <v>14033</v>
      </c>
      <c r="F353" s="15">
        <v>14033</v>
      </c>
      <c r="G353" s="15">
        <v>14033</v>
      </c>
      <c r="H353" s="15">
        <v>17151.439999999999</v>
      </c>
      <c r="I353" s="15">
        <v>14033</v>
      </c>
      <c r="J353" s="15">
        <v>14033</v>
      </c>
      <c r="K353" s="15">
        <v>14033</v>
      </c>
      <c r="L353" s="15">
        <v>14033</v>
      </c>
      <c r="M353" s="15">
        <v>14033</v>
      </c>
      <c r="N353" s="15">
        <v>14033</v>
      </c>
      <c r="O353" t="s">
        <v>75</v>
      </c>
    </row>
    <row r="354" spans="1:15" x14ac:dyDescent="0.25">
      <c r="A354" s="10" t="s">
        <v>806</v>
      </c>
      <c r="B354" s="15">
        <v>1411.14</v>
      </c>
      <c r="C354" s="15">
        <v>1321</v>
      </c>
      <c r="D354" s="15">
        <v>1422.62</v>
      </c>
      <c r="E354" s="15">
        <v>1321</v>
      </c>
      <c r="F354" s="15">
        <v>1389.73</v>
      </c>
      <c r="G354" s="15">
        <v>1434.56</v>
      </c>
      <c r="H354" s="15">
        <v>1790.38</v>
      </c>
      <c r="I354" s="15">
        <v>1761.53</v>
      </c>
      <c r="J354" s="15">
        <v>1528.13</v>
      </c>
      <c r="K354" s="15">
        <v>1526.43</v>
      </c>
      <c r="L354" s="15">
        <v>1520.89</v>
      </c>
      <c r="M354" s="15">
        <v>1652.44</v>
      </c>
      <c r="N354" s="15">
        <v>1533.82</v>
      </c>
      <c r="O354" t="s">
        <v>75</v>
      </c>
    </row>
    <row r="355" spans="1:15" x14ac:dyDescent="0.25">
      <c r="A355" s="10" t="s">
        <v>808</v>
      </c>
      <c r="B355" s="15">
        <v>4846.37</v>
      </c>
      <c r="C355" s="15">
        <v>4614.28</v>
      </c>
      <c r="D355" s="15">
        <v>5272.06</v>
      </c>
      <c r="E355" s="15">
        <v>4469.92</v>
      </c>
      <c r="F355" s="15">
        <v>5048.5</v>
      </c>
      <c r="G355" s="15">
        <v>4469.92</v>
      </c>
      <c r="H355" s="15">
        <v>8935.4500000000007</v>
      </c>
      <c r="I355" s="15">
        <v>5848.96</v>
      </c>
      <c r="J355" s="15">
        <v>4964.96</v>
      </c>
      <c r="K355" s="15">
        <v>4964.96</v>
      </c>
      <c r="L355" s="15">
        <v>5241.13</v>
      </c>
      <c r="M355" s="15">
        <v>4964.96</v>
      </c>
      <c r="N355" s="15">
        <v>5258.56</v>
      </c>
      <c r="O355" t="s">
        <v>75</v>
      </c>
    </row>
    <row r="356" spans="1:15" x14ac:dyDescent="0.25">
      <c r="A356" s="10" t="s">
        <v>810</v>
      </c>
      <c r="B356" s="15">
        <v>642.6</v>
      </c>
      <c r="C356" s="15">
        <v>918</v>
      </c>
      <c r="D356" s="15">
        <v>918</v>
      </c>
      <c r="E356" s="15">
        <v>918</v>
      </c>
      <c r="F356" s="15">
        <v>918</v>
      </c>
      <c r="G356" s="15">
        <v>918</v>
      </c>
      <c r="H356" s="15">
        <v>1296.5999999999999</v>
      </c>
      <c r="I356" s="15">
        <v>1224</v>
      </c>
      <c r="J356" s="15">
        <v>1020</v>
      </c>
      <c r="K356" s="15">
        <v>1020</v>
      </c>
      <c r="L356" s="15">
        <v>1163</v>
      </c>
      <c r="M356" s="15">
        <v>1422.31</v>
      </c>
      <c r="N356" s="15">
        <v>1317.58</v>
      </c>
      <c r="O356" t="s">
        <v>75</v>
      </c>
    </row>
    <row r="357" spans="1:15" x14ac:dyDescent="0.25">
      <c r="A357" s="10" t="s">
        <v>812</v>
      </c>
      <c r="B357" s="15">
        <v>2421.14</v>
      </c>
      <c r="C357" s="15">
        <v>2327.2199999999998</v>
      </c>
      <c r="D357" s="15">
        <v>2187.79</v>
      </c>
      <c r="E357" s="15">
        <v>2749.86</v>
      </c>
      <c r="F357" s="15">
        <v>3013.5</v>
      </c>
      <c r="G357" s="15">
        <v>1932.65</v>
      </c>
      <c r="H357" s="15">
        <v>3103.43</v>
      </c>
      <c r="I357" s="15">
        <v>2857.79</v>
      </c>
      <c r="J357" s="15">
        <v>2357.0700000000002</v>
      </c>
      <c r="K357" s="15">
        <v>3031.26</v>
      </c>
      <c r="L357" s="15">
        <v>364.15</v>
      </c>
      <c r="M357" s="15">
        <v>0</v>
      </c>
      <c r="N357" s="15">
        <v>2368.63</v>
      </c>
      <c r="O357" t="s">
        <v>75</v>
      </c>
    </row>
    <row r="358" spans="1:15" x14ac:dyDescent="0.25">
      <c r="A358" s="10" t="s">
        <v>814</v>
      </c>
      <c r="B358" s="15">
        <v>1508</v>
      </c>
      <c r="C358" s="15">
        <v>1508</v>
      </c>
      <c r="D358" s="15">
        <v>1508</v>
      </c>
      <c r="E358" s="15">
        <v>754</v>
      </c>
      <c r="F358" s="15">
        <v>0</v>
      </c>
      <c r="G358" s="15">
        <v>0</v>
      </c>
      <c r="H358" s="15">
        <v>0</v>
      </c>
      <c r="I358" s="15">
        <v>471.55</v>
      </c>
      <c r="J358" s="15">
        <v>0</v>
      </c>
      <c r="K358" s="15">
        <v>0</v>
      </c>
      <c r="L358" s="15">
        <v>0</v>
      </c>
      <c r="M358" s="15">
        <v>0</v>
      </c>
      <c r="N358" s="15">
        <v>697.92</v>
      </c>
      <c r="O358" t="s">
        <v>75</v>
      </c>
    </row>
    <row r="359" spans="1:15" x14ac:dyDescent="0.25">
      <c r="A359" s="10" t="s">
        <v>816</v>
      </c>
      <c r="B359" s="15">
        <v>795.6</v>
      </c>
      <c r="C359" s="15">
        <v>918</v>
      </c>
      <c r="D359" s="15">
        <v>1130.67</v>
      </c>
      <c r="E359" s="15">
        <v>977.86</v>
      </c>
      <c r="F359" s="15">
        <v>916.92</v>
      </c>
      <c r="G359" s="15">
        <v>818.96</v>
      </c>
      <c r="H359" s="15">
        <v>1195.79</v>
      </c>
      <c r="I359" s="15">
        <v>1067.2</v>
      </c>
      <c r="J359" s="15">
        <v>430.34</v>
      </c>
      <c r="K359" s="15">
        <v>0</v>
      </c>
      <c r="L359" s="15">
        <v>0</v>
      </c>
      <c r="M359" s="15">
        <v>0</v>
      </c>
      <c r="N359" s="15">
        <v>882.01</v>
      </c>
      <c r="O359" t="s">
        <v>75</v>
      </c>
    </row>
    <row r="360" spans="1:15" x14ac:dyDescent="0.25">
      <c r="A360" s="10" t="s">
        <v>818</v>
      </c>
      <c r="B360" s="15">
        <v>918</v>
      </c>
      <c r="C360" s="15">
        <v>918</v>
      </c>
      <c r="D360" s="15">
        <v>918</v>
      </c>
      <c r="E360" s="15">
        <v>918</v>
      </c>
      <c r="F360" s="15">
        <v>918</v>
      </c>
      <c r="G360" s="15">
        <v>2214.7600000000002</v>
      </c>
      <c r="H360" s="15">
        <v>414.6</v>
      </c>
      <c r="I360" s="15">
        <v>1156</v>
      </c>
      <c r="J360" s="15">
        <v>1020</v>
      </c>
      <c r="K360" s="15">
        <v>1020</v>
      </c>
      <c r="L360" s="15">
        <v>1020</v>
      </c>
      <c r="M360" s="15">
        <v>1020</v>
      </c>
      <c r="N360" s="15">
        <v>1020</v>
      </c>
      <c r="O360" t="s">
        <v>75</v>
      </c>
    </row>
    <row r="361" spans="1:15" x14ac:dyDescent="0.25">
      <c r="A361" s="10" t="s">
        <v>820</v>
      </c>
      <c r="B361" s="15">
        <v>1350.75</v>
      </c>
      <c r="C361" s="15">
        <v>1321</v>
      </c>
      <c r="D361" s="15">
        <v>1321</v>
      </c>
      <c r="E361" s="15">
        <v>1321</v>
      </c>
      <c r="F361" s="15">
        <v>1321</v>
      </c>
      <c r="G361" s="15">
        <v>2238.2199999999998</v>
      </c>
      <c r="H361" s="15">
        <v>1700.77</v>
      </c>
      <c r="I361" s="15">
        <v>1698.17</v>
      </c>
      <c r="J361" s="15">
        <v>1469</v>
      </c>
      <c r="K361" s="15">
        <v>1469</v>
      </c>
      <c r="L361" s="15">
        <v>1469</v>
      </c>
      <c r="M361" s="15">
        <v>1569</v>
      </c>
      <c r="N361" s="15">
        <v>1482.38</v>
      </c>
      <c r="O361" t="s">
        <v>75</v>
      </c>
    </row>
    <row r="362" spans="1:15" x14ac:dyDescent="0.25">
      <c r="A362" s="10" t="s">
        <v>822</v>
      </c>
      <c r="B362" s="15">
        <v>829.1</v>
      </c>
      <c r="C362" s="15">
        <v>988.82</v>
      </c>
      <c r="D362" s="15">
        <v>1002.7</v>
      </c>
      <c r="E362" s="15">
        <v>966.19</v>
      </c>
      <c r="F362" s="15">
        <v>918</v>
      </c>
      <c r="G362" s="15">
        <v>918</v>
      </c>
      <c r="H362" s="15">
        <v>1142.6400000000001</v>
      </c>
      <c r="I362" s="15">
        <v>977.56</v>
      </c>
      <c r="J362" s="15">
        <v>0</v>
      </c>
      <c r="K362" s="15">
        <v>0</v>
      </c>
      <c r="L362" s="15">
        <v>0</v>
      </c>
      <c r="M362" s="15">
        <v>0</v>
      </c>
      <c r="N362" s="15">
        <v>790.7</v>
      </c>
      <c r="O362" t="s">
        <v>75</v>
      </c>
    </row>
    <row r="363" spans="1:15" x14ac:dyDescent="0.25">
      <c r="A363" s="10" t="s">
        <v>824</v>
      </c>
      <c r="B363" s="15">
        <v>1696.41</v>
      </c>
      <c r="C363" s="15">
        <v>1696.41</v>
      </c>
      <c r="D363" s="15">
        <v>1733.59</v>
      </c>
      <c r="E363" s="15">
        <v>1859.55</v>
      </c>
      <c r="F363" s="15">
        <v>1950.82</v>
      </c>
      <c r="G363" s="15">
        <v>2067.87</v>
      </c>
      <c r="H363" s="15">
        <v>4084.05</v>
      </c>
      <c r="I363" s="15">
        <v>2699.7</v>
      </c>
      <c r="J363" s="15">
        <v>2296.9</v>
      </c>
      <c r="K363" s="15">
        <v>2296.9</v>
      </c>
      <c r="L363" s="15">
        <v>2296.9</v>
      </c>
      <c r="M363" s="15">
        <v>2296.9</v>
      </c>
      <c r="N363" s="15">
        <v>2325</v>
      </c>
      <c r="O363" t="s">
        <v>75</v>
      </c>
    </row>
    <row r="364" spans="1:15" x14ac:dyDescent="0.25">
      <c r="A364" s="10" t="s">
        <v>826</v>
      </c>
      <c r="B364" s="15">
        <v>918</v>
      </c>
      <c r="C364" s="15">
        <v>918</v>
      </c>
      <c r="D364" s="15">
        <v>918</v>
      </c>
      <c r="E364" s="15">
        <v>918</v>
      </c>
      <c r="F364" s="15">
        <v>835.94</v>
      </c>
      <c r="G364" s="15">
        <v>918</v>
      </c>
      <c r="H364" s="15">
        <v>1291.7</v>
      </c>
      <c r="I364" s="15">
        <v>1224</v>
      </c>
      <c r="J364" s="15">
        <v>1573.67</v>
      </c>
      <c r="K364" s="15">
        <v>884</v>
      </c>
      <c r="L364" s="15">
        <v>1020</v>
      </c>
      <c r="M364" s="15">
        <v>1020</v>
      </c>
      <c r="N364" s="15">
        <v>1026.4000000000001</v>
      </c>
      <c r="O364" t="s">
        <v>75</v>
      </c>
    </row>
    <row r="365" spans="1:15" x14ac:dyDescent="0.25">
      <c r="A365" s="10" t="s">
        <v>828</v>
      </c>
      <c r="B365" s="15">
        <v>1508</v>
      </c>
      <c r="C365" s="15">
        <v>1508</v>
      </c>
      <c r="D365" s="15">
        <v>1508</v>
      </c>
      <c r="E365" s="15">
        <v>1508</v>
      </c>
      <c r="F365" s="15">
        <v>1508</v>
      </c>
      <c r="G365" s="15">
        <v>1508</v>
      </c>
      <c r="H365" s="15">
        <v>2009</v>
      </c>
      <c r="I365" s="15">
        <v>2009</v>
      </c>
      <c r="J365" s="15">
        <v>3929.4</v>
      </c>
      <c r="K365" s="15">
        <v>55.83</v>
      </c>
      <c r="L365" s="15">
        <v>1619.17</v>
      </c>
      <c r="M365" s="15">
        <v>1675</v>
      </c>
      <c r="N365" s="15">
        <v>1675</v>
      </c>
      <c r="O365" t="s">
        <v>75</v>
      </c>
    </row>
    <row r="366" spans="1:15" x14ac:dyDescent="0.25">
      <c r="A366" s="10" t="s">
        <v>830</v>
      </c>
      <c r="B366" s="15">
        <v>1802.86</v>
      </c>
      <c r="C366" s="15">
        <v>1659</v>
      </c>
      <c r="D366" s="15">
        <v>1798.25</v>
      </c>
      <c r="E366" s="15">
        <v>1659</v>
      </c>
      <c r="F366" s="15">
        <v>1814.15</v>
      </c>
      <c r="G366" s="15">
        <v>1659</v>
      </c>
      <c r="H366" s="15">
        <v>2436.31</v>
      </c>
      <c r="I366" s="15">
        <v>2211</v>
      </c>
      <c r="J366" s="15">
        <v>2099.86</v>
      </c>
      <c r="K366" s="15">
        <v>1843</v>
      </c>
      <c r="L366" s="15">
        <v>2142.06</v>
      </c>
      <c r="M366" s="15">
        <v>1843</v>
      </c>
      <c r="N366" s="15">
        <v>1947.93</v>
      </c>
      <c r="O366" t="s">
        <v>75</v>
      </c>
    </row>
    <row r="367" spans="1:15" x14ac:dyDescent="0.25">
      <c r="A367" s="10" t="s">
        <v>832</v>
      </c>
      <c r="B367" s="15">
        <v>993.49</v>
      </c>
      <c r="C367" s="15">
        <v>1002.3</v>
      </c>
      <c r="D367" s="15">
        <v>1002.86</v>
      </c>
      <c r="E367" s="15">
        <v>980.5</v>
      </c>
      <c r="F367" s="15">
        <v>946.07</v>
      </c>
      <c r="G367" s="15">
        <v>948.12</v>
      </c>
      <c r="H367" s="15">
        <v>1311.79</v>
      </c>
      <c r="I367" s="15">
        <v>1282.06</v>
      </c>
      <c r="J367" s="15">
        <v>1616.36</v>
      </c>
      <c r="K367" s="15">
        <v>897.47</v>
      </c>
      <c r="L367" s="15">
        <v>1053.7</v>
      </c>
      <c r="M367" s="15">
        <v>1052.69</v>
      </c>
      <c r="N367" s="15">
        <v>1069.5</v>
      </c>
      <c r="O367" t="s">
        <v>75</v>
      </c>
    </row>
    <row r="368" spans="1:15" x14ac:dyDescent="0.25">
      <c r="A368" s="10" t="s">
        <v>834</v>
      </c>
      <c r="B368" s="15">
        <v>1455.08</v>
      </c>
      <c r="C368" s="15">
        <v>1321</v>
      </c>
      <c r="D368" s="15">
        <v>1381.97</v>
      </c>
      <c r="E368" s="15">
        <v>1321</v>
      </c>
      <c r="F368" s="15">
        <v>1429.6</v>
      </c>
      <c r="G368" s="15">
        <v>1321</v>
      </c>
      <c r="H368" s="15">
        <v>1777.74</v>
      </c>
      <c r="I368" s="15">
        <v>1759</v>
      </c>
      <c r="J368" s="15">
        <v>1467</v>
      </c>
      <c r="K368" s="15">
        <v>1467</v>
      </c>
      <c r="L368" s="15">
        <v>1487.98</v>
      </c>
      <c r="M368" s="15">
        <v>1467</v>
      </c>
      <c r="N368" s="15">
        <v>1497.89</v>
      </c>
      <c r="O368" t="s">
        <v>75</v>
      </c>
    </row>
    <row r="369" spans="1:15" x14ac:dyDescent="0.25">
      <c r="A369" s="10" t="s">
        <v>836</v>
      </c>
      <c r="B369" s="15">
        <v>918</v>
      </c>
      <c r="C369" s="15">
        <v>918</v>
      </c>
      <c r="D369" s="15">
        <v>918</v>
      </c>
      <c r="E369" s="15">
        <v>918</v>
      </c>
      <c r="F369" s="15">
        <v>918</v>
      </c>
      <c r="G369" s="15">
        <v>918</v>
      </c>
      <c r="H369" s="15">
        <v>1249.56</v>
      </c>
      <c r="I369" s="15">
        <v>2156.23</v>
      </c>
      <c r="J369" s="15">
        <v>340</v>
      </c>
      <c r="K369" s="15">
        <v>1020</v>
      </c>
      <c r="L369" s="15">
        <v>1020</v>
      </c>
      <c r="M369" s="15">
        <v>1093.8499999999999</v>
      </c>
      <c r="N369" s="15">
        <v>1026.1500000000001</v>
      </c>
      <c r="O369" t="s">
        <v>75</v>
      </c>
    </row>
    <row r="370" spans="1:15" x14ac:dyDescent="0.25">
      <c r="A370" s="10" t="s">
        <v>838</v>
      </c>
      <c r="B370" s="15">
        <v>0</v>
      </c>
      <c r="C370" s="15">
        <v>0</v>
      </c>
      <c r="D370" s="15">
        <v>0</v>
      </c>
      <c r="E370" s="15">
        <v>0</v>
      </c>
      <c r="F370" s="15">
        <v>673.2</v>
      </c>
      <c r="G370" s="15">
        <v>918</v>
      </c>
      <c r="H370" s="15">
        <v>1119.48</v>
      </c>
      <c r="I370" s="15">
        <v>1119.48</v>
      </c>
      <c r="J370" s="15">
        <v>1020</v>
      </c>
      <c r="K370" s="15">
        <v>1020</v>
      </c>
      <c r="L370" s="15">
        <v>1020</v>
      </c>
      <c r="M370" s="15">
        <v>1097.3900000000001</v>
      </c>
      <c r="N370" s="15">
        <v>686.45</v>
      </c>
      <c r="O370" t="s">
        <v>75</v>
      </c>
    </row>
    <row r="371" spans="1:15" x14ac:dyDescent="0.25">
      <c r="A371" s="10" t="s">
        <v>840</v>
      </c>
      <c r="B371" s="15">
        <v>12749.69</v>
      </c>
      <c r="C371" s="15">
        <v>4271.54</v>
      </c>
      <c r="D371" s="15">
        <v>7538</v>
      </c>
      <c r="E371" s="15">
        <v>7538</v>
      </c>
      <c r="F371" s="15">
        <v>7538</v>
      </c>
      <c r="G371" s="15">
        <v>7538</v>
      </c>
      <c r="H371" s="15">
        <v>9749</v>
      </c>
      <c r="I371" s="15">
        <v>2853.17</v>
      </c>
      <c r="J371" s="15">
        <v>0</v>
      </c>
      <c r="K371" s="15">
        <v>0</v>
      </c>
      <c r="L371" s="15">
        <v>0</v>
      </c>
      <c r="M371" s="15">
        <v>0</v>
      </c>
      <c r="N371" s="15">
        <v>6895.83</v>
      </c>
      <c r="O371" t="s">
        <v>75</v>
      </c>
    </row>
    <row r="372" spans="1:15" x14ac:dyDescent="0.25">
      <c r="A372" s="10" t="s">
        <v>842</v>
      </c>
      <c r="B372" s="15">
        <v>0</v>
      </c>
      <c r="C372" s="15">
        <v>0</v>
      </c>
      <c r="D372" s="15">
        <v>0</v>
      </c>
      <c r="E372" s="15">
        <v>0</v>
      </c>
      <c r="F372" s="15">
        <v>0</v>
      </c>
      <c r="G372" s="15">
        <v>0</v>
      </c>
      <c r="H372" s="15">
        <v>0</v>
      </c>
      <c r="I372" s="15">
        <v>0</v>
      </c>
      <c r="J372" s="15">
        <v>0</v>
      </c>
      <c r="K372" s="15">
        <v>236.4</v>
      </c>
      <c r="L372" s="15">
        <v>1182</v>
      </c>
      <c r="M372" s="15">
        <v>1182</v>
      </c>
      <c r="N372" s="15">
        <v>197</v>
      </c>
      <c r="O372" t="s">
        <v>75</v>
      </c>
    </row>
    <row r="373" spans="1:15" x14ac:dyDescent="0.25">
      <c r="A373" s="10" t="s">
        <v>844</v>
      </c>
      <c r="B373" s="15">
        <v>918</v>
      </c>
      <c r="C373" s="15">
        <v>918</v>
      </c>
      <c r="D373" s="15">
        <v>918</v>
      </c>
      <c r="E373" s="15">
        <v>918</v>
      </c>
      <c r="F373" s="15">
        <v>918</v>
      </c>
      <c r="G373" s="15">
        <v>918</v>
      </c>
      <c r="H373" s="15">
        <v>1224</v>
      </c>
      <c r="I373" s="15">
        <v>1224</v>
      </c>
      <c r="J373" s="15">
        <v>1496</v>
      </c>
      <c r="K373" s="15">
        <v>884</v>
      </c>
      <c r="L373" s="15">
        <v>1020</v>
      </c>
      <c r="M373" s="15">
        <v>1020</v>
      </c>
      <c r="N373" s="15">
        <v>1020</v>
      </c>
      <c r="O373" t="s">
        <v>75</v>
      </c>
    </row>
    <row r="374" spans="1:15" x14ac:dyDescent="0.25">
      <c r="A374" s="10" t="s">
        <v>846</v>
      </c>
      <c r="B374" s="15">
        <v>0</v>
      </c>
      <c r="C374" s="15">
        <v>0</v>
      </c>
      <c r="D374" s="15">
        <v>0</v>
      </c>
      <c r="E374" s="15">
        <v>0</v>
      </c>
      <c r="F374" s="15">
        <v>673.2</v>
      </c>
      <c r="G374" s="15">
        <v>918</v>
      </c>
      <c r="H374" s="15">
        <v>1119.48</v>
      </c>
      <c r="I374" s="15">
        <v>1119.48</v>
      </c>
      <c r="J374" s="15">
        <v>1020</v>
      </c>
      <c r="K374" s="15">
        <v>1020</v>
      </c>
      <c r="L374" s="15">
        <v>1020</v>
      </c>
      <c r="M374" s="15">
        <v>1020</v>
      </c>
      <c r="N374" s="15">
        <v>680</v>
      </c>
      <c r="O374" t="s">
        <v>75</v>
      </c>
    </row>
    <row r="375" spans="1:15" x14ac:dyDescent="0.25">
      <c r="A375" s="10" t="s">
        <v>848</v>
      </c>
      <c r="B375" s="15">
        <v>856.8</v>
      </c>
      <c r="C375" s="15">
        <v>214.2</v>
      </c>
      <c r="D375" s="15">
        <v>459</v>
      </c>
      <c r="E375" s="15">
        <v>459</v>
      </c>
      <c r="F375" s="15">
        <v>459</v>
      </c>
      <c r="G375" s="15">
        <v>153</v>
      </c>
      <c r="H375" s="15">
        <v>0</v>
      </c>
      <c r="I375" s="15">
        <v>238</v>
      </c>
      <c r="J375" s="15">
        <v>0</v>
      </c>
      <c r="K375" s="15">
        <v>214.6</v>
      </c>
      <c r="L375" s="15">
        <v>1073</v>
      </c>
      <c r="M375" s="15">
        <v>1073</v>
      </c>
      <c r="N375" s="15">
        <v>391.33</v>
      </c>
      <c r="O375" t="s">
        <v>75</v>
      </c>
    </row>
    <row r="376" spans="1:15" x14ac:dyDescent="0.25">
      <c r="A376" s="10" t="s">
        <v>850</v>
      </c>
      <c r="B376" s="15">
        <v>2726.55</v>
      </c>
      <c r="C376" s="15">
        <v>5806.85</v>
      </c>
      <c r="D376" s="15">
        <v>1289.49</v>
      </c>
      <c r="E376" s="15">
        <v>3054.17</v>
      </c>
      <c r="F376" s="15">
        <v>2862.02</v>
      </c>
      <c r="G376" s="15">
        <v>2578.98</v>
      </c>
      <c r="H376" s="15">
        <v>3475.2</v>
      </c>
      <c r="I376" s="15">
        <v>3334.87</v>
      </c>
      <c r="J376" s="15">
        <v>2864.12</v>
      </c>
      <c r="K376" s="15">
        <v>2864.12</v>
      </c>
      <c r="L376" s="15">
        <v>2864.12</v>
      </c>
      <c r="M376" s="15">
        <v>6807.03</v>
      </c>
      <c r="N376" s="15">
        <v>2961.51</v>
      </c>
      <c r="O376" t="s">
        <v>75</v>
      </c>
    </row>
    <row r="377" spans="1:15" x14ac:dyDescent="0.25">
      <c r="A377" s="10" t="s">
        <v>852</v>
      </c>
      <c r="B377" s="15">
        <v>1446.25</v>
      </c>
      <c r="C377" s="15">
        <v>1467.72</v>
      </c>
      <c r="D377" s="15">
        <v>1466.04</v>
      </c>
      <c r="E377" s="15">
        <v>1591.65</v>
      </c>
      <c r="F377" s="15">
        <v>1322</v>
      </c>
      <c r="G377" s="15">
        <v>1412.13</v>
      </c>
      <c r="H377" s="15">
        <v>1815.67</v>
      </c>
      <c r="I377" s="15">
        <v>1760</v>
      </c>
      <c r="J377" s="15">
        <v>1468</v>
      </c>
      <c r="K377" s="15">
        <v>1468</v>
      </c>
      <c r="L377" s="15">
        <v>1468</v>
      </c>
      <c r="M377" s="15">
        <v>2986.3</v>
      </c>
      <c r="N377" s="15">
        <v>1549.41</v>
      </c>
      <c r="O377" t="s">
        <v>75</v>
      </c>
    </row>
    <row r="378" spans="1:15" x14ac:dyDescent="0.25">
      <c r="A378" s="10" t="s">
        <v>854</v>
      </c>
      <c r="B378" s="15">
        <v>0</v>
      </c>
      <c r="C378" s="15">
        <v>0</v>
      </c>
      <c r="D378" s="15">
        <v>0</v>
      </c>
      <c r="E378" s="15">
        <v>0</v>
      </c>
      <c r="F378" s="15">
        <v>0</v>
      </c>
      <c r="G378" s="15">
        <v>168.3</v>
      </c>
      <c r="H378" s="15">
        <v>528.70000000000005</v>
      </c>
      <c r="I378" s="15">
        <v>510</v>
      </c>
      <c r="J378" s="15">
        <v>510</v>
      </c>
      <c r="K378" s="15">
        <v>510</v>
      </c>
      <c r="L378" s="15">
        <v>510</v>
      </c>
      <c r="M378" s="15">
        <v>510</v>
      </c>
      <c r="N378" s="15">
        <v>255</v>
      </c>
      <c r="O378" t="s">
        <v>75</v>
      </c>
    </row>
    <row r="379" spans="1:15" x14ac:dyDescent="0.25">
      <c r="A379" s="10" t="s">
        <v>856</v>
      </c>
      <c r="B379" s="15">
        <v>0</v>
      </c>
      <c r="C379" s="15">
        <v>0</v>
      </c>
      <c r="D379" s="15">
        <v>0</v>
      </c>
      <c r="E379" s="15">
        <v>0</v>
      </c>
      <c r="F379" s="15">
        <v>0</v>
      </c>
      <c r="G379" s="15">
        <v>168.3</v>
      </c>
      <c r="H379" s="15">
        <v>528.70000000000005</v>
      </c>
      <c r="I379" s="15">
        <v>510</v>
      </c>
      <c r="J379" s="15">
        <v>510</v>
      </c>
      <c r="K379" s="15">
        <v>510</v>
      </c>
      <c r="L379" s="15">
        <v>510</v>
      </c>
      <c r="M379" s="15">
        <v>510</v>
      </c>
      <c r="N379" s="15">
        <v>255</v>
      </c>
      <c r="O379" t="s">
        <v>75</v>
      </c>
    </row>
    <row r="380" spans="1:15" x14ac:dyDescent="0.25">
      <c r="A380" s="10" t="s">
        <v>858</v>
      </c>
      <c r="B380" s="15">
        <v>995</v>
      </c>
      <c r="C380" s="15">
        <v>995</v>
      </c>
      <c r="D380" s="15">
        <v>995</v>
      </c>
      <c r="E380" s="15">
        <v>995</v>
      </c>
      <c r="F380" s="15">
        <v>995</v>
      </c>
      <c r="G380" s="15">
        <v>995</v>
      </c>
      <c r="H380" s="15">
        <v>1350.56</v>
      </c>
      <c r="I380" s="15">
        <v>1350.56</v>
      </c>
      <c r="J380" s="15">
        <v>1105</v>
      </c>
      <c r="K380" s="15">
        <v>1105</v>
      </c>
      <c r="L380" s="15">
        <v>2602.34</v>
      </c>
      <c r="M380" s="15">
        <v>0</v>
      </c>
      <c r="N380" s="15">
        <v>1107</v>
      </c>
      <c r="O380" t="s">
        <v>75</v>
      </c>
    </row>
    <row r="381" spans="1:15" x14ac:dyDescent="0.25">
      <c r="A381" s="10" t="s">
        <v>860</v>
      </c>
      <c r="B381" s="15">
        <v>795.6</v>
      </c>
      <c r="C381" s="15">
        <v>918</v>
      </c>
      <c r="D381" s="15">
        <v>1135.19</v>
      </c>
      <c r="E381" s="15">
        <v>966.84</v>
      </c>
      <c r="F381" s="15">
        <v>918</v>
      </c>
      <c r="G381" s="15">
        <v>918</v>
      </c>
      <c r="H381" s="15">
        <v>1279.1300000000001</v>
      </c>
      <c r="I381" s="15">
        <v>1249.56</v>
      </c>
      <c r="J381" s="15">
        <v>1020</v>
      </c>
      <c r="K381" s="15">
        <v>1020</v>
      </c>
      <c r="L381" s="15">
        <v>1020</v>
      </c>
      <c r="M381" s="15">
        <v>1020</v>
      </c>
      <c r="N381" s="15">
        <v>1036.78</v>
      </c>
      <c r="O381" t="s">
        <v>75</v>
      </c>
    </row>
    <row r="382" spans="1:15" x14ac:dyDescent="0.25">
      <c r="A382" s="10" t="s">
        <v>862</v>
      </c>
      <c r="B382" s="15">
        <v>1415.3</v>
      </c>
      <c r="C382" s="15">
        <v>1795.31</v>
      </c>
      <c r="D382" s="15">
        <v>1983.63</v>
      </c>
      <c r="E382" s="15">
        <v>1796.87</v>
      </c>
      <c r="F382" s="15">
        <v>1652.19</v>
      </c>
      <c r="G382" s="15">
        <v>1495.12</v>
      </c>
      <c r="H382" s="15">
        <v>1957.7</v>
      </c>
      <c r="I382" s="15">
        <v>1808.31</v>
      </c>
      <c r="J382" s="15">
        <v>4036.51</v>
      </c>
      <c r="K382" s="15">
        <v>137.02000000000001</v>
      </c>
      <c r="L382" s="15">
        <v>96</v>
      </c>
      <c r="M382" s="15">
        <v>0</v>
      </c>
      <c r="N382" s="15">
        <v>1573</v>
      </c>
      <c r="O382" t="s">
        <v>75</v>
      </c>
    </row>
    <row r="383" spans="1:15" x14ac:dyDescent="0.25">
      <c r="A383" s="10" t="s">
        <v>864</v>
      </c>
      <c r="B383" s="15">
        <v>3379.85</v>
      </c>
      <c r="C383" s="15">
        <v>3379.85</v>
      </c>
      <c r="D383" s="15">
        <v>3379.85</v>
      </c>
      <c r="E383" s="15">
        <v>3617.1</v>
      </c>
      <c r="F383" s="15">
        <v>3379.85</v>
      </c>
      <c r="G383" s="15">
        <v>4271.09</v>
      </c>
      <c r="H383" s="15">
        <v>4828.75</v>
      </c>
      <c r="I383" s="15">
        <v>4295.2700000000004</v>
      </c>
      <c r="J383" s="15">
        <v>3753.6</v>
      </c>
      <c r="K383" s="15">
        <v>3753.6</v>
      </c>
      <c r="L383" s="15">
        <v>3753.6</v>
      </c>
      <c r="M383" s="15">
        <v>3753.6</v>
      </c>
      <c r="N383" s="15">
        <v>3780.13</v>
      </c>
      <c r="O383" t="s">
        <v>75</v>
      </c>
    </row>
    <row r="384" spans="1:15" x14ac:dyDescent="0.25">
      <c r="A384" s="10" t="s">
        <v>866</v>
      </c>
      <c r="B384" s="15">
        <v>918</v>
      </c>
      <c r="C384" s="15">
        <v>918</v>
      </c>
      <c r="D384" s="15">
        <v>985.23</v>
      </c>
      <c r="E384" s="15">
        <v>918</v>
      </c>
      <c r="F384" s="15">
        <v>918</v>
      </c>
      <c r="G384" s="15">
        <v>918</v>
      </c>
      <c r="H384" s="15">
        <v>1346.57</v>
      </c>
      <c r="I384" s="15">
        <v>1249.56</v>
      </c>
      <c r="J384" s="15">
        <v>1095</v>
      </c>
      <c r="K384" s="15">
        <v>1020</v>
      </c>
      <c r="L384" s="15">
        <v>1020</v>
      </c>
      <c r="M384" s="15">
        <v>1972.63</v>
      </c>
      <c r="N384" s="15">
        <v>1040.46</v>
      </c>
      <c r="O384" t="s">
        <v>75</v>
      </c>
    </row>
    <row r="385" spans="1:15" x14ac:dyDescent="0.25">
      <c r="A385" s="10" t="s">
        <v>868</v>
      </c>
      <c r="B385" s="15">
        <v>1538.55</v>
      </c>
      <c r="C385" s="15">
        <v>1322</v>
      </c>
      <c r="D385" s="15">
        <v>1438.32</v>
      </c>
      <c r="E385" s="15">
        <v>1322</v>
      </c>
      <c r="F385" s="15">
        <v>1370.52</v>
      </c>
      <c r="G385" s="15">
        <v>1322</v>
      </c>
      <c r="H385" s="15">
        <v>1840.44</v>
      </c>
      <c r="I385" s="15">
        <v>1765.13</v>
      </c>
      <c r="J385" s="15">
        <v>1468</v>
      </c>
      <c r="K385" s="15">
        <v>2510.64</v>
      </c>
      <c r="L385" s="15">
        <v>1030.58</v>
      </c>
      <c r="M385" s="15">
        <v>1468</v>
      </c>
      <c r="N385" s="15">
        <v>1522.89</v>
      </c>
      <c r="O385" t="s">
        <v>75</v>
      </c>
    </row>
    <row r="386" spans="1:15" x14ac:dyDescent="0.25">
      <c r="A386" s="10" t="s">
        <v>870</v>
      </c>
      <c r="B386" s="15">
        <v>918</v>
      </c>
      <c r="C386" s="15">
        <v>918</v>
      </c>
      <c r="D386" s="15">
        <v>950.99</v>
      </c>
      <c r="E386" s="15">
        <v>918</v>
      </c>
      <c r="F386" s="15">
        <v>918</v>
      </c>
      <c r="G386" s="15">
        <v>918</v>
      </c>
      <c r="H386" s="15">
        <v>1253.22</v>
      </c>
      <c r="I386" s="15">
        <v>1249.56</v>
      </c>
      <c r="J386" s="15">
        <v>1020</v>
      </c>
      <c r="K386" s="15">
        <v>1020</v>
      </c>
      <c r="L386" s="15">
        <v>1576.25</v>
      </c>
      <c r="M386" s="15">
        <v>816</v>
      </c>
      <c r="N386" s="15">
        <v>1023.31</v>
      </c>
      <c r="O386" t="s">
        <v>75</v>
      </c>
    </row>
    <row r="387" spans="1:15" x14ac:dyDescent="0.25">
      <c r="A387" s="10" t="s">
        <v>872</v>
      </c>
      <c r="B387" s="15">
        <v>918</v>
      </c>
      <c r="C387" s="15">
        <v>918</v>
      </c>
      <c r="D387" s="15">
        <v>918</v>
      </c>
      <c r="E387" s="15">
        <v>918</v>
      </c>
      <c r="F387" s="15">
        <v>918</v>
      </c>
      <c r="G387" s="15">
        <v>2037.28</v>
      </c>
      <c r="H387" s="15">
        <v>470.83</v>
      </c>
      <c r="I387" s="15">
        <v>1217.2</v>
      </c>
      <c r="J387" s="15">
        <v>1020</v>
      </c>
      <c r="K387" s="15">
        <v>1020</v>
      </c>
      <c r="L387" s="15">
        <v>1020</v>
      </c>
      <c r="M387" s="15">
        <v>1020</v>
      </c>
      <c r="N387" s="15">
        <v>1020</v>
      </c>
      <c r="O387" t="s">
        <v>75</v>
      </c>
    </row>
    <row r="388" spans="1:15" x14ac:dyDescent="0.25">
      <c r="A388" s="10" t="s">
        <v>874</v>
      </c>
      <c r="B388" s="15">
        <v>1001.51</v>
      </c>
      <c r="C388" s="15">
        <v>180.53</v>
      </c>
      <c r="D388" s="15">
        <v>0</v>
      </c>
      <c r="E388" s="15">
        <v>0</v>
      </c>
      <c r="F388" s="15">
        <v>0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15">
        <v>0</v>
      </c>
      <c r="N388" s="15">
        <v>164.2</v>
      </c>
      <c r="O388" t="s">
        <v>75</v>
      </c>
    </row>
    <row r="389" spans="1:15" x14ac:dyDescent="0.25">
      <c r="A389" s="10" t="s">
        <v>876</v>
      </c>
      <c r="B389" s="15">
        <v>2660.98</v>
      </c>
      <c r="C389" s="15">
        <v>7257.22</v>
      </c>
      <c r="D389" s="15">
        <v>7257.22</v>
      </c>
      <c r="E389" s="15">
        <v>7257.22</v>
      </c>
      <c r="F389" s="15">
        <v>7257.22</v>
      </c>
      <c r="G389" s="15">
        <v>10885.83</v>
      </c>
      <c r="H389" s="15">
        <v>9165.2099999999991</v>
      </c>
      <c r="I389" s="15">
        <v>9227.4699999999993</v>
      </c>
      <c r="J389" s="15">
        <v>8060.55</v>
      </c>
      <c r="K389" s="15">
        <v>8060.55</v>
      </c>
      <c r="L389" s="15">
        <v>8060.55</v>
      </c>
      <c r="M389" s="15">
        <v>8060.55</v>
      </c>
      <c r="N389" s="15">
        <v>8060.55</v>
      </c>
      <c r="O389" t="s">
        <v>75</v>
      </c>
    </row>
    <row r="390" spans="1:15" x14ac:dyDescent="0.25">
      <c r="A390" s="10" t="s">
        <v>878</v>
      </c>
      <c r="B390" s="15">
        <v>718.3</v>
      </c>
      <c r="C390" s="15">
        <v>3429.74</v>
      </c>
      <c r="D390" s="15">
        <v>4521.76</v>
      </c>
      <c r="E390" s="15">
        <v>3773.15</v>
      </c>
      <c r="F390" s="15">
        <v>5087.55</v>
      </c>
      <c r="G390" s="15">
        <v>3773.15</v>
      </c>
      <c r="H390" s="15">
        <v>6814.7</v>
      </c>
      <c r="I390" s="15">
        <v>4921.45</v>
      </c>
      <c r="J390" s="15">
        <v>4884.6000000000004</v>
      </c>
      <c r="K390" s="15">
        <v>4190.6000000000004</v>
      </c>
      <c r="L390" s="15">
        <v>4745.9399999999996</v>
      </c>
      <c r="M390" s="15">
        <v>4190.6000000000004</v>
      </c>
      <c r="N390" s="15">
        <v>4721.79</v>
      </c>
      <c r="O390" t="s">
        <v>75</v>
      </c>
    </row>
    <row r="391" spans="1:15" x14ac:dyDescent="0.25">
      <c r="A391" s="10" t="s">
        <v>880</v>
      </c>
      <c r="B391" s="15">
        <v>14033</v>
      </c>
      <c r="C391" s="15">
        <v>14033</v>
      </c>
      <c r="D391" s="15">
        <v>14033</v>
      </c>
      <c r="E391" s="15">
        <v>14033</v>
      </c>
      <c r="F391" s="15">
        <v>14033</v>
      </c>
      <c r="G391" s="15">
        <v>14033</v>
      </c>
      <c r="H391" s="15">
        <v>14033</v>
      </c>
      <c r="I391" s="15">
        <v>4677.67</v>
      </c>
      <c r="J391" s="15">
        <v>0</v>
      </c>
      <c r="K391" s="15">
        <v>0</v>
      </c>
      <c r="L391" s="15">
        <v>0</v>
      </c>
      <c r="M391" s="15">
        <v>0</v>
      </c>
      <c r="N391" s="15">
        <v>9355.34</v>
      </c>
      <c r="O391" t="s">
        <v>75</v>
      </c>
    </row>
    <row r="392" spans="1:15" x14ac:dyDescent="0.25">
      <c r="A392" s="10" t="s">
        <v>885</v>
      </c>
      <c r="B392" s="15">
        <v>2604.71</v>
      </c>
      <c r="C392" s="15">
        <v>2353.0700000000002</v>
      </c>
      <c r="D392" s="15">
        <v>1984.93</v>
      </c>
      <c r="E392" s="15">
        <v>0</v>
      </c>
      <c r="F392" s="15">
        <v>44.8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0</v>
      </c>
      <c r="M392" s="15">
        <v>0</v>
      </c>
      <c r="N392" s="15">
        <v>806.52</v>
      </c>
      <c r="O392" t="s">
        <v>75</v>
      </c>
    </row>
    <row r="393" spans="1:15" x14ac:dyDescent="0.25">
      <c r="A393" s="10" t="s">
        <v>887</v>
      </c>
      <c r="B393" s="15">
        <v>1392.61</v>
      </c>
      <c r="C393" s="15">
        <v>1423.7</v>
      </c>
      <c r="D393" s="15">
        <v>1439.07</v>
      </c>
      <c r="E393" s="15">
        <v>1417</v>
      </c>
      <c r="F393" s="15">
        <v>1369.99</v>
      </c>
      <c r="G393" s="15">
        <v>1375.58</v>
      </c>
      <c r="H393" s="15">
        <v>1737.11</v>
      </c>
      <c r="I393" s="15">
        <v>1481.53</v>
      </c>
      <c r="J393" s="15">
        <v>1507.02</v>
      </c>
      <c r="K393" s="15">
        <v>1508.26</v>
      </c>
      <c r="L393" s="15">
        <v>144.1</v>
      </c>
      <c r="M393" s="15">
        <v>0</v>
      </c>
      <c r="N393" s="15">
        <v>1383.79</v>
      </c>
      <c r="O393" t="s">
        <v>75</v>
      </c>
    </row>
    <row r="394" spans="1:15" x14ac:dyDescent="0.25">
      <c r="A394" s="10" t="s">
        <v>889</v>
      </c>
      <c r="B394" s="15">
        <v>2263.5</v>
      </c>
      <c r="C394" s="15">
        <v>2015.78</v>
      </c>
      <c r="D394" s="15">
        <v>2209.11</v>
      </c>
      <c r="E394" s="15">
        <v>2064.77</v>
      </c>
      <c r="F394" s="15">
        <v>2947.97</v>
      </c>
      <c r="G394" s="15">
        <v>4312.92</v>
      </c>
      <c r="H394" s="15">
        <v>2545.75</v>
      </c>
      <c r="I394" s="15">
        <v>3089.33</v>
      </c>
      <c r="J394" s="15">
        <v>2443.9</v>
      </c>
      <c r="K394" s="15">
        <v>2502.7600000000002</v>
      </c>
      <c r="L394" s="15">
        <v>3259.63</v>
      </c>
      <c r="M394" s="15">
        <v>2459.29</v>
      </c>
      <c r="N394" s="15">
        <v>2652.54</v>
      </c>
      <c r="O394" t="s">
        <v>75</v>
      </c>
    </row>
    <row r="395" spans="1:15" x14ac:dyDescent="0.25">
      <c r="A395" s="10" t="s">
        <v>891</v>
      </c>
      <c r="B395" s="15">
        <v>1321</v>
      </c>
      <c r="C395" s="15">
        <v>792.6</v>
      </c>
      <c r="D395" s="15">
        <v>0</v>
      </c>
      <c r="E395" s="15">
        <v>0</v>
      </c>
      <c r="F395" s="15">
        <v>0</v>
      </c>
      <c r="G395" s="15">
        <v>0</v>
      </c>
      <c r="H395" s="15">
        <v>0</v>
      </c>
      <c r="I395" s="15">
        <v>0</v>
      </c>
      <c r="J395" s="15">
        <v>0</v>
      </c>
      <c r="K395" s="15">
        <v>0</v>
      </c>
      <c r="L395" s="15">
        <v>0</v>
      </c>
      <c r="M395" s="15">
        <v>0</v>
      </c>
      <c r="N395" s="15">
        <v>330.25</v>
      </c>
      <c r="O395" t="s">
        <v>75</v>
      </c>
    </row>
    <row r="396" spans="1:15" x14ac:dyDescent="0.25">
      <c r="A396" s="10" t="s">
        <v>893</v>
      </c>
      <c r="B396" s="15">
        <v>918</v>
      </c>
      <c r="C396" s="15">
        <v>918</v>
      </c>
      <c r="D396" s="15">
        <v>918</v>
      </c>
      <c r="E396" s="15">
        <v>918</v>
      </c>
      <c r="F396" s="15">
        <v>918</v>
      </c>
      <c r="G396" s="15">
        <v>918</v>
      </c>
      <c r="H396" s="15">
        <v>1324.48</v>
      </c>
      <c r="I396" s="15">
        <v>1224</v>
      </c>
      <c r="J396" s="15">
        <v>2081.2800000000002</v>
      </c>
      <c r="K396" s="15">
        <v>408</v>
      </c>
      <c r="L396" s="15">
        <v>1020</v>
      </c>
      <c r="M396" s="15">
        <v>1020</v>
      </c>
      <c r="N396" s="15">
        <v>1035.7</v>
      </c>
      <c r="O396" t="s">
        <v>75</v>
      </c>
    </row>
    <row r="397" spans="1:15" x14ac:dyDescent="0.25">
      <c r="A397" s="10" t="s">
        <v>895</v>
      </c>
      <c r="B397" s="15">
        <v>1799.59</v>
      </c>
      <c r="C397" s="15">
        <v>1799.59</v>
      </c>
      <c r="D397" s="15">
        <v>4286.62</v>
      </c>
      <c r="E397" s="15">
        <v>0</v>
      </c>
      <c r="F397" s="15">
        <v>1878.37</v>
      </c>
      <c r="G397" s="15">
        <v>1799.59</v>
      </c>
      <c r="H397" s="15">
        <v>2714.55</v>
      </c>
      <c r="I397" s="15">
        <v>2273.56</v>
      </c>
      <c r="J397" s="15">
        <v>2142.08</v>
      </c>
      <c r="K397" s="15">
        <v>2510.27</v>
      </c>
      <c r="L397" s="15">
        <v>2734.73</v>
      </c>
      <c r="M397" s="15">
        <v>2639.98</v>
      </c>
      <c r="N397" s="15">
        <v>2698.85</v>
      </c>
      <c r="O397" t="s">
        <v>75</v>
      </c>
    </row>
    <row r="398" spans="1:15" x14ac:dyDescent="0.25">
      <c r="A398" s="10" t="s">
        <v>897</v>
      </c>
      <c r="B398" s="15">
        <v>918</v>
      </c>
      <c r="C398" s="15">
        <v>918</v>
      </c>
      <c r="D398" s="15">
        <v>1148.93</v>
      </c>
      <c r="E398" s="15">
        <v>918</v>
      </c>
      <c r="F398" s="15">
        <v>1060.67</v>
      </c>
      <c r="G398" s="15">
        <v>918</v>
      </c>
      <c r="H398" s="15">
        <v>1323.81</v>
      </c>
      <c r="I398" s="15">
        <v>1249.56</v>
      </c>
      <c r="J398" s="15">
        <v>1090.46</v>
      </c>
      <c r="K398" s="15">
        <v>1020</v>
      </c>
      <c r="L398" s="15">
        <v>1080.8900000000001</v>
      </c>
      <c r="M398" s="15">
        <v>2465.7199999999998</v>
      </c>
      <c r="N398" s="15">
        <v>1071.1300000000001</v>
      </c>
      <c r="O398" t="s">
        <v>75</v>
      </c>
    </row>
    <row r="399" spans="1:15" x14ac:dyDescent="0.25">
      <c r="A399" s="10" t="s">
        <v>899</v>
      </c>
      <c r="B399" s="15">
        <v>3678.92</v>
      </c>
      <c r="C399" s="15">
        <v>3490.58</v>
      </c>
      <c r="D399" s="15">
        <v>3768.19</v>
      </c>
      <c r="E399" s="15">
        <v>3490.58</v>
      </c>
      <c r="F399" s="15">
        <v>4804.9799999999996</v>
      </c>
      <c r="G399" s="15">
        <v>3649</v>
      </c>
      <c r="H399" s="15">
        <v>5850.51</v>
      </c>
      <c r="I399" s="15">
        <v>5115.7700000000004</v>
      </c>
      <c r="J399" s="15">
        <v>2981.25</v>
      </c>
      <c r="K399" s="15">
        <v>0</v>
      </c>
      <c r="L399" s="15">
        <v>0</v>
      </c>
      <c r="M399" s="15">
        <v>0</v>
      </c>
      <c r="N399" s="15">
        <v>3646.46</v>
      </c>
      <c r="O399" t="s">
        <v>75</v>
      </c>
    </row>
    <row r="400" spans="1:15" x14ac:dyDescent="0.25">
      <c r="A400" s="10" t="s">
        <v>901</v>
      </c>
      <c r="B400" s="15">
        <v>1994.49</v>
      </c>
      <c r="C400" s="15">
        <v>1983.36</v>
      </c>
      <c r="D400" s="15">
        <v>1955.92</v>
      </c>
      <c r="E400" s="15">
        <v>1972.8</v>
      </c>
      <c r="F400" s="15">
        <v>1965.78</v>
      </c>
      <c r="G400" s="15">
        <v>1915.71</v>
      </c>
      <c r="H400" s="15">
        <v>2622.45</v>
      </c>
      <c r="I400" s="15">
        <v>2487.67</v>
      </c>
      <c r="J400" s="15">
        <v>2129.16</v>
      </c>
      <c r="K400" s="15">
        <v>2129.34</v>
      </c>
      <c r="L400" s="15">
        <v>2119.08</v>
      </c>
      <c r="M400" s="15">
        <v>3759.27</v>
      </c>
      <c r="N400" s="15">
        <v>2165.6</v>
      </c>
      <c r="O400" t="s">
        <v>75</v>
      </c>
    </row>
    <row r="401" spans="1:15" x14ac:dyDescent="0.25">
      <c r="A401" s="10" t="s">
        <v>903</v>
      </c>
      <c r="B401" s="15">
        <v>1433.19</v>
      </c>
      <c r="C401" s="15">
        <v>1808.96</v>
      </c>
      <c r="D401" s="15">
        <v>2220.0700000000002</v>
      </c>
      <c r="E401" s="15">
        <v>2123.52</v>
      </c>
      <c r="F401" s="15">
        <v>2799.08</v>
      </c>
      <c r="G401" s="15">
        <v>2187.77</v>
      </c>
      <c r="H401" s="15">
        <v>4079.41</v>
      </c>
      <c r="I401" s="15">
        <v>2391.0500000000002</v>
      </c>
      <c r="J401" s="15">
        <v>2458.46</v>
      </c>
      <c r="K401" s="15">
        <v>2026.4</v>
      </c>
      <c r="L401" s="15">
        <v>2931.97</v>
      </c>
      <c r="M401" s="15">
        <v>4318.6000000000004</v>
      </c>
      <c r="N401" s="15">
        <v>2561.04</v>
      </c>
      <c r="O401" t="s">
        <v>75</v>
      </c>
    </row>
    <row r="402" spans="1:15" x14ac:dyDescent="0.25">
      <c r="A402" s="10" t="s">
        <v>905</v>
      </c>
      <c r="B402" s="15">
        <v>2419.0700000000002</v>
      </c>
      <c r="C402" s="15">
        <v>2108.4899999999998</v>
      </c>
      <c r="D402" s="15">
        <v>4824.0600000000004</v>
      </c>
      <c r="E402" s="15">
        <v>1062.75</v>
      </c>
      <c r="F402" s="15">
        <v>3095.01</v>
      </c>
      <c r="G402" s="15">
        <v>2894.49</v>
      </c>
      <c r="H402" s="15">
        <v>2888.6</v>
      </c>
      <c r="I402" s="15">
        <v>3227.6</v>
      </c>
      <c r="J402" s="15">
        <v>2636.92</v>
      </c>
      <c r="K402" s="15">
        <v>3102.16</v>
      </c>
      <c r="L402" s="15">
        <v>373.08</v>
      </c>
      <c r="M402" s="15">
        <v>0</v>
      </c>
      <c r="N402" s="15">
        <v>2675.21</v>
      </c>
      <c r="O402" t="s">
        <v>75</v>
      </c>
    </row>
    <row r="403" spans="1:15" x14ac:dyDescent="0.25">
      <c r="A403" s="10" t="s">
        <v>907</v>
      </c>
      <c r="B403" s="15">
        <v>606.58000000000004</v>
      </c>
      <c r="C403" s="15">
        <v>1611.01</v>
      </c>
      <c r="D403" s="15">
        <v>1719.18</v>
      </c>
      <c r="E403" s="15">
        <v>1726.96</v>
      </c>
      <c r="F403" s="15">
        <v>1686.5</v>
      </c>
      <c r="G403" s="15">
        <v>1725.98</v>
      </c>
      <c r="H403" s="15">
        <v>2320.1799999999998</v>
      </c>
      <c r="I403" s="15">
        <v>2024.65</v>
      </c>
      <c r="J403" s="15">
        <v>1675</v>
      </c>
      <c r="K403" s="15">
        <v>1709.27</v>
      </c>
      <c r="L403" s="15">
        <v>1706.41</v>
      </c>
      <c r="M403" s="15">
        <v>4301.51</v>
      </c>
      <c r="N403" s="15">
        <v>1804.02</v>
      </c>
      <c r="O403" t="s">
        <v>75</v>
      </c>
    </row>
    <row r="404" spans="1:15" x14ac:dyDescent="0.25">
      <c r="A404" s="10" t="s">
        <v>909</v>
      </c>
      <c r="B404" s="15">
        <v>1509</v>
      </c>
      <c r="C404" s="15">
        <v>1509</v>
      </c>
      <c r="D404" s="15">
        <v>1509</v>
      </c>
      <c r="E404" s="15">
        <v>1509</v>
      </c>
      <c r="F404" s="15">
        <v>1509</v>
      </c>
      <c r="G404" s="15">
        <v>1509</v>
      </c>
      <c r="H404" s="15">
        <v>2010</v>
      </c>
      <c r="I404" s="15">
        <v>2010</v>
      </c>
      <c r="J404" s="15">
        <v>2566.9899999999998</v>
      </c>
      <c r="K404" s="15">
        <v>1452.53</v>
      </c>
      <c r="L404" s="15">
        <v>1676</v>
      </c>
      <c r="M404" s="15">
        <v>1877.61</v>
      </c>
      <c r="N404" s="15">
        <v>1739.21</v>
      </c>
      <c r="O404" t="s">
        <v>75</v>
      </c>
    </row>
    <row r="405" spans="1:15" x14ac:dyDescent="0.25">
      <c r="A405" s="10" t="s">
        <v>911</v>
      </c>
      <c r="B405" s="15">
        <v>0</v>
      </c>
      <c r="C405" s="15">
        <v>0</v>
      </c>
      <c r="D405" s="15">
        <v>0</v>
      </c>
      <c r="E405" s="15">
        <v>0</v>
      </c>
      <c r="F405" s="15">
        <v>0</v>
      </c>
      <c r="G405" s="15">
        <v>0</v>
      </c>
      <c r="H405" s="15">
        <v>0</v>
      </c>
      <c r="I405" s="15">
        <v>0</v>
      </c>
      <c r="J405" s="15">
        <v>52.98</v>
      </c>
      <c r="K405" s="15">
        <v>0</v>
      </c>
      <c r="L405" s="15">
        <v>0</v>
      </c>
      <c r="M405" s="15">
        <v>0</v>
      </c>
      <c r="N405" s="15">
        <v>0</v>
      </c>
      <c r="O405" t="s">
        <v>75</v>
      </c>
    </row>
    <row r="406" spans="1:15" x14ac:dyDescent="0.25">
      <c r="A406" s="10" t="s">
        <v>913</v>
      </c>
      <c r="B406" s="15">
        <v>1137.08</v>
      </c>
      <c r="C406" s="15">
        <v>945.54</v>
      </c>
      <c r="D406" s="15">
        <v>1005.58</v>
      </c>
      <c r="E406" s="15">
        <v>945.54</v>
      </c>
      <c r="F406" s="15">
        <v>1309.8</v>
      </c>
      <c r="G406" s="15">
        <v>945.54</v>
      </c>
      <c r="H406" s="15">
        <v>1510.49</v>
      </c>
      <c r="I406" s="15">
        <v>1254.5999999999999</v>
      </c>
      <c r="J406" s="15">
        <v>2656.63</v>
      </c>
      <c r="K406" s="15">
        <v>35.020000000000003</v>
      </c>
      <c r="L406" s="15">
        <v>1063.8599999999999</v>
      </c>
      <c r="M406" s="15">
        <v>1050.5999999999999</v>
      </c>
      <c r="N406" s="15">
        <v>1139.23</v>
      </c>
      <c r="O406" t="s">
        <v>75</v>
      </c>
    </row>
    <row r="407" spans="1:15" x14ac:dyDescent="0.25">
      <c r="A407" s="10" t="s">
        <v>915</v>
      </c>
      <c r="B407" s="15">
        <v>1920.95</v>
      </c>
      <c r="C407" s="15">
        <v>1920.95</v>
      </c>
      <c r="D407" s="15">
        <v>2111.4</v>
      </c>
      <c r="E407" s="15">
        <v>2071.5</v>
      </c>
      <c r="F407" s="15">
        <v>2078.52</v>
      </c>
      <c r="G407" s="15">
        <v>4126.88</v>
      </c>
      <c r="H407" s="15">
        <v>1548.04</v>
      </c>
      <c r="I407" s="15">
        <v>2667.97</v>
      </c>
      <c r="J407" s="15">
        <v>2195.2600000000002</v>
      </c>
      <c r="K407" s="15">
        <v>2195.2600000000002</v>
      </c>
      <c r="L407" s="15">
        <v>2398.84</v>
      </c>
      <c r="M407" s="15">
        <v>2195.2600000000002</v>
      </c>
      <c r="N407" s="15">
        <v>2279.34</v>
      </c>
      <c r="O407" t="s">
        <v>75</v>
      </c>
    </row>
    <row r="408" spans="1:15" x14ac:dyDescent="0.25">
      <c r="A408" s="10" t="s">
        <v>917</v>
      </c>
      <c r="B408" s="15">
        <v>6750</v>
      </c>
      <c r="C408" s="15">
        <v>6750</v>
      </c>
      <c r="D408" s="15">
        <v>9778.36</v>
      </c>
      <c r="E408" s="15">
        <v>6300</v>
      </c>
      <c r="F408" s="15">
        <v>6750</v>
      </c>
      <c r="G408" s="15">
        <v>6750</v>
      </c>
      <c r="H408" s="15">
        <v>9732.64</v>
      </c>
      <c r="I408" s="15">
        <v>8966.91</v>
      </c>
      <c r="J408" s="15">
        <v>7721.91</v>
      </c>
      <c r="K408" s="15">
        <v>7721.91</v>
      </c>
      <c r="L408" s="15">
        <v>7721.91</v>
      </c>
      <c r="M408" s="15">
        <v>7721.91</v>
      </c>
      <c r="N408" s="15">
        <v>7721.91</v>
      </c>
      <c r="O408" t="s">
        <v>75</v>
      </c>
    </row>
    <row r="409" spans="1:15" x14ac:dyDescent="0.25">
      <c r="A409" s="10" t="s">
        <v>919</v>
      </c>
      <c r="B409" s="15">
        <v>954.2</v>
      </c>
      <c r="C409" s="15">
        <v>1209.6500000000001</v>
      </c>
      <c r="D409" s="15">
        <v>1255.99</v>
      </c>
      <c r="E409" s="15">
        <v>1198.76</v>
      </c>
      <c r="F409" s="15">
        <v>1146.4000000000001</v>
      </c>
      <c r="G409" s="15">
        <v>1152.73</v>
      </c>
      <c r="H409" s="15">
        <v>1558</v>
      </c>
      <c r="I409" s="15">
        <v>1522.08</v>
      </c>
      <c r="J409" s="15">
        <v>1277.1300000000001</v>
      </c>
      <c r="K409" s="15">
        <v>1020.41</v>
      </c>
      <c r="L409" s="15">
        <v>1508.6</v>
      </c>
      <c r="M409" s="15">
        <v>1264.5899999999999</v>
      </c>
      <c r="N409" s="15">
        <v>1288.57</v>
      </c>
      <c r="O409" t="s">
        <v>75</v>
      </c>
    </row>
    <row r="410" spans="1:15" x14ac:dyDescent="0.25">
      <c r="A410" s="10" t="s">
        <v>921</v>
      </c>
      <c r="B410" s="15">
        <v>1321</v>
      </c>
      <c r="C410" s="15">
        <v>1321</v>
      </c>
      <c r="D410" s="15">
        <v>1344.25</v>
      </c>
      <c r="E410" s="15">
        <v>1321</v>
      </c>
      <c r="F410" s="15">
        <v>1321</v>
      </c>
      <c r="G410" s="15">
        <v>1321</v>
      </c>
      <c r="H410" s="15">
        <v>1761.56</v>
      </c>
      <c r="I410" s="15">
        <v>1759</v>
      </c>
      <c r="J410" s="15">
        <v>1467</v>
      </c>
      <c r="K410" s="15">
        <v>1467</v>
      </c>
      <c r="L410" s="15">
        <v>1467</v>
      </c>
      <c r="M410" s="15">
        <v>1559.23</v>
      </c>
      <c r="N410" s="15">
        <v>1477.02</v>
      </c>
      <c r="O410" t="s">
        <v>75</v>
      </c>
    </row>
    <row r="411" spans="1:15" x14ac:dyDescent="0.25">
      <c r="A411" s="10" t="s">
        <v>923</v>
      </c>
      <c r="B411" s="15">
        <v>888.97</v>
      </c>
      <c r="C411" s="15">
        <v>881.49</v>
      </c>
      <c r="D411" s="15">
        <v>954.03</v>
      </c>
      <c r="E411" s="15">
        <v>918</v>
      </c>
      <c r="F411" s="15">
        <v>1380.15</v>
      </c>
      <c r="G411" s="15">
        <v>1342.38</v>
      </c>
      <c r="H411" s="15">
        <v>3202.32</v>
      </c>
      <c r="I411" s="15">
        <v>2971.5</v>
      </c>
      <c r="J411" s="15">
        <v>2501.0500000000002</v>
      </c>
      <c r="K411" s="15">
        <v>1451.67</v>
      </c>
      <c r="L411" s="15">
        <v>1608.38</v>
      </c>
      <c r="M411" s="15">
        <v>1675</v>
      </c>
      <c r="N411" s="15">
        <v>1754.1</v>
      </c>
      <c r="O411" t="s">
        <v>75</v>
      </c>
    </row>
    <row r="412" spans="1:15" x14ac:dyDescent="0.25">
      <c r="A412" s="10" t="s">
        <v>925</v>
      </c>
      <c r="B412" s="15">
        <v>17371</v>
      </c>
      <c r="C412" s="15">
        <v>17371</v>
      </c>
      <c r="D412" s="15">
        <v>17371</v>
      </c>
      <c r="E412" s="15">
        <v>17371</v>
      </c>
      <c r="F412" s="15">
        <v>17371</v>
      </c>
      <c r="G412" s="15">
        <v>17371</v>
      </c>
      <c r="H412" s="15">
        <v>17371</v>
      </c>
      <c r="I412" s="15">
        <v>17371</v>
      </c>
      <c r="J412" s="15">
        <v>21810.26</v>
      </c>
      <c r="K412" s="15">
        <v>16791.97</v>
      </c>
      <c r="L412" s="15">
        <v>17371</v>
      </c>
      <c r="M412" s="15">
        <v>17371</v>
      </c>
      <c r="N412" s="15">
        <v>17371</v>
      </c>
      <c r="O412" t="s">
        <v>75</v>
      </c>
    </row>
    <row r="413" spans="1:15" x14ac:dyDescent="0.25">
      <c r="A413" s="10" t="s">
        <v>927</v>
      </c>
      <c r="B413" s="15">
        <v>1591.35</v>
      </c>
      <c r="C413" s="15">
        <v>1591.35</v>
      </c>
      <c r="D413" s="15">
        <v>4734.4399999999996</v>
      </c>
      <c r="E413" s="15">
        <v>0</v>
      </c>
      <c r="F413" s="15">
        <v>1591.35</v>
      </c>
      <c r="G413" s="15">
        <v>1637.7</v>
      </c>
      <c r="H413" s="15">
        <v>2382.4899999999998</v>
      </c>
      <c r="I413" s="15">
        <v>2214.06</v>
      </c>
      <c r="J413" s="15">
        <v>1939.09</v>
      </c>
      <c r="K413" s="15">
        <v>2009.38</v>
      </c>
      <c r="L413" s="15">
        <v>2144.8200000000002</v>
      </c>
      <c r="M413" s="15">
        <v>1818.96</v>
      </c>
      <c r="N413" s="15">
        <v>1930.63</v>
      </c>
      <c r="O413" t="s">
        <v>75</v>
      </c>
    </row>
    <row r="414" spans="1:15" x14ac:dyDescent="0.25">
      <c r="A414" s="10" t="s">
        <v>929</v>
      </c>
      <c r="B414" s="15">
        <v>3779.65</v>
      </c>
      <c r="C414" s="15">
        <v>2700.09</v>
      </c>
      <c r="D414" s="15">
        <v>2483.58</v>
      </c>
      <c r="E414" s="15">
        <v>2483.58</v>
      </c>
      <c r="F414" s="15">
        <v>3699.36</v>
      </c>
      <c r="G414" s="15">
        <v>2536.0500000000002</v>
      </c>
      <c r="H414" s="15">
        <v>3941.9</v>
      </c>
      <c r="I414" s="15">
        <v>3494.61</v>
      </c>
      <c r="J414" s="15">
        <v>3643.47</v>
      </c>
      <c r="K414" s="15">
        <v>2817.35</v>
      </c>
      <c r="L414" s="15">
        <v>3621.86</v>
      </c>
      <c r="M414" s="15">
        <v>3054.18</v>
      </c>
      <c r="N414" s="15">
        <v>3212.88</v>
      </c>
      <c r="O414" t="s">
        <v>75</v>
      </c>
    </row>
    <row r="415" spans="1:15" x14ac:dyDescent="0.25">
      <c r="A415" s="10" t="s">
        <v>931</v>
      </c>
      <c r="B415" s="15">
        <v>4539.49</v>
      </c>
      <c r="C415" s="15">
        <v>3609.7</v>
      </c>
      <c r="D415" s="15">
        <v>7112.58</v>
      </c>
      <c r="E415" s="15">
        <v>2989.17</v>
      </c>
      <c r="F415" s="15">
        <v>3878.86</v>
      </c>
      <c r="G415" s="15">
        <v>3694.61</v>
      </c>
      <c r="H415" s="15">
        <v>6683.92</v>
      </c>
      <c r="I415" s="15">
        <v>4699.0200000000004</v>
      </c>
      <c r="J415" s="15">
        <v>4290.4399999999996</v>
      </c>
      <c r="K415" s="15">
        <v>4103.5200000000004</v>
      </c>
      <c r="L415" s="15">
        <v>4202.03</v>
      </c>
      <c r="M415" s="15">
        <v>4103.5200000000004</v>
      </c>
      <c r="N415" s="15">
        <v>4382.91</v>
      </c>
      <c r="O415" t="s">
        <v>75</v>
      </c>
    </row>
    <row r="416" spans="1:15" x14ac:dyDescent="0.25">
      <c r="A416" s="10" t="s">
        <v>933</v>
      </c>
      <c r="B416" s="15">
        <v>1868.76</v>
      </c>
      <c r="C416" s="15">
        <v>1865</v>
      </c>
      <c r="D416" s="15">
        <v>1868.95</v>
      </c>
      <c r="E416" s="15">
        <v>1865</v>
      </c>
      <c r="F416" s="15">
        <v>1888.77</v>
      </c>
      <c r="G416" s="15">
        <v>4519.97</v>
      </c>
      <c r="H416" s="15">
        <v>879.37</v>
      </c>
      <c r="I416" s="15">
        <v>2344.9299999999998</v>
      </c>
      <c r="J416" s="15">
        <v>2225.62</v>
      </c>
      <c r="K416" s="15">
        <v>2071</v>
      </c>
      <c r="L416" s="15">
        <v>2137.13</v>
      </c>
      <c r="M416" s="15">
        <v>3627.45</v>
      </c>
      <c r="N416" s="15">
        <v>2225.2399999999998</v>
      </c>
      <c r="O416" t="s">
        <v>75</v>
      </c>
    </row>
    <row r="417" spans="1:15" x14ac:dyDescent="0.25">
      <c r="A417" s="10" t="s">
        <v>935</v>
      </c>
      <c r="B417" s="15">
        <v>2002</v>
      </c>
      <c r="C417" s="15">
        <v>2310</v>
      </c>
      <c r="D417" s="15">
        <v>2310</v>
      </c>
      <c r="E417" s="15">
        <v>2432</v>
      </c>
      <c r="F417" s="15">
        <v>2432</v>
      </c>
      <c r="G417" s="15">
        <v>2646.37</v>
      </c>
      <c r="H417" s="15">
        <v>4295.75</v>
      </c>
      <c r="I417" s="15">
        <v>3756.71</v>
      </c>
      <c r="J417" s="15">
        <v>1440.53</v>
      </c>
      <c r="K417" s="15">
        <v>0</v>
      </c>
      <c r="L417" s="15">
        <v>0</v>
      </c>
      <c r="M417" s="15">
        <v>0</v>
      </c>
      <c r="N417" s="15">
        <v>2407</v>
      </c>
      <c r="O417" t="s">
        <v>75</v>
      </c>
    </row>
    <row r="418" spans="1:15" x14ac:dyDescent="0.25">
      <c r="A418" s="10" t="s">
        <v>937</v>
      </c>
      <c r="B418" s="15">
        <v>811.7</v>
      </c>
      <c r="C418" s="15">
        <v>0</v>
      </c>
      <c r="D418" s="15">
        <v>0</v>
      </c>
      <c r="E418" s="15">
        <v>0</v>
      </c>
      <c r="F418" s="15">
        <v>0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15">
        <v>0</v>
      </c>
      <c r="N418" s="15">
        <v>0</v>
      </c>
      <c r="O418" t="s">
        <v>75</v>
      </c>
    </row>
    <row r="419" spans="1:15" x14ac:dyDescent="0.25">
      <c r="A419" s="10" t="s">
        <v>939</v>
      </c>
      <c r="B419" s="15">
        <v>2506.9499999999998</v>
      </c>
      <c r="C419" s="15">
        <v>2444.19</v>
      </c>
      <c r="D419" s="15">
        <v>2782.63</v>
      </c>
      <c r="E419" s="15">
        <v>2444.19</v>
      </c>
      <c r="F419" s="15">
        <v>3986.61</v>
      </c>
      <c r="G419" s="15">
        <v>2096.15</v>
      </c>
      <c r="H419" s="15">
        <v>4176.1499999999996</v>
      </c>
      <c r="I419" s="15">
        <v>3232.5</v>
      </c>
      <c r="J419" s="15">
        <v>3105.32</v>
      </c>
      <c r="K419" s="15">
        <v>2794.16</v>
      </c>
      <c r="L419" s="15">
        <v>3192.65</v>
      </c>
      <c r="M419" s="15">
        <v>3014.64</v>
      </c>
      <c r="N419" s="15">
        <v>3188.31</v>
      </c>
      <c r="O419" t="s">
        <v>75</v>
      </c>
    </row>
    <row r="420" spans="1:15" x14ac:dyDescent="0.25">
      <c r="A420" s="10" t="s">
        <v>941</v>
      </c>
      <c r="B420" s="15">
        <v>1136.24</v>
      </c>
      <c r="C420" s="15">
        <v>2190.67</v>
      </c>
      <c r="D420" s="15">
        <v>2798.16</v>
      </c>
      <c r="E420" s="15">
        <v>2777.12</v>
      </c>
      <c r="F420" s="15">
        <v>2531.8200000000002</v>
      </c>
      <c r="G420" s="15">
        <v>1914.91</v>
      </c>
      <c r="H420" s="15">
        <v>2847.05</v>
      </c>
      <c r="I420" s="15">
        <v>2746.24</v>
      </c>
      <c r="J420" s="15">
        <v>2417.2199999999998</v>
      </c>
      <c r="K420" s="15">
        <v>2584.34</v>
      </c>
      <c r="L420" s="15">
        <v>369.51</v>
      </c>
      <c r="M420" s="15">
        <v>0</v>
      </c>
      <c r="N420" s="15">
        <v>2312.4699999999998</v>
      </c>
      <c r="O420" t="s">
        <v>75</v>
      </c>
    </row>
    <row r="421" spans="1:15" x14ac:dyDescent="0.25">
      <c r="A421" s="10" t="s">
        <v>943</v>
      </c>
      <c r="B421" s="15">
        <v>2080.25</v>
      </c>
      <c r="C421" s="15">
        <v>2106.06</v>
      </c>
      <c r="D421" s="15">
        <v>2152.52</v>
      </c>
      <c r="E421" s="15">
        <v>2099.2800000000002</v>
      </c>
      <c r="F421" s="15">
        <v>2035.82</v>
      </c>
      <c r="G421" s="15">
        <v>4324.0600000000004</v>
      </c>
      <c r="H421" s="15">
        <v>1604.85</v>
      </c>
      <c r="I421" s="15">
        <v>2624.13</v>
      </c>
      <c r="J421" s="15">
        <v>2415.15</v>
      </c>
      <c r="K421" s="15">
        <v>2271.02</v>
      </c>
      <c r="L421" s="15">
        <v>2467.96</v>
      </c>
      <c r="M421" s="15">
        <v>2456.5100000000002</v>
      </c>
      <c r="N421" s="15">
        <v>2362.04</v>
      </c>
      <c r="O421" t="s">
        <v>75</v>
      </c>
    </row>
    <row r="422" spans="1:15" x14ac:dyDescent="0.25">
      <c r="A422" s="10" t="s">
        <v>945</v>
      </c>
      <c r="B422" s="15">
        <v>993.62</v>
      </c>
      <c r="C422" s="15">
        <v>987.46</v>
      </c>
      <c r="D422" s="15">
        <v>990.79</v>
      </c>
      <c r="E422" s="15">
        <v>987.8</v>
      </c>
      <c r="F422" s="15">
        <v>953.72</v>
      </c>
      <c r="G422" s="15">
        <v>951.74</v>
      </c>
      <c r="H422" s="15">
        <v>1293.3599999999999</v>
      </c>
      <c r="I422" s="15">
        <v>1254.8699999999999</v>
      </c>
      <c r="J422" s="15">
        <v>183.16</v>
      </c>
      <c r="K422" s="15">
        <v>0</v>
      </c>
      <c r="L422" s="15">
        <v>0</v>
      </c>
      <c r="M422" s="15">
        <v>0</v>
      </c>
      <c r="N422" s="15">
        <v>717.3</v>
      </c>
      <c r="O422" t="s">
        <v>75</v>
      </c>
    </row>
    <row r="423" spans="1:15" x14ac:dyDescent="0.25">
      <c r="A423" s="10" t="s">
        <v>947</v>
      </c>
      <c r="B423" s="15">
        <v>2587.36</v>
      </c>
      <c r="C423" s="15">
        <v>2587.36</v>
      </c>
      <c r="D423" s="15">
        <v>2693.75</v>
      </c>
      <c r="E423" s="15">
        <v>3405.49</v>
      </c>
      <c r="F423" s="15">
        <v>2684.51</v>
      </c>
      <c r="G423" s="15">
        <v>2662.72</v>
      </c>
      <c r="H423" s="15">
        <v>3754.81</v>
      </c>
      <c r="I423" s="15">
        <v>3420.74</v>
      </c>
      <c r="J423" s="15">
        <v>2957.4</v>
      </c>
      <c r="K423" s="15">
        <v>2957.4</v>
      </c>
      <c r="L423" s="15">
        <v>2957.4</v>
      </c>
      <c r="M423" s="15">
        <v>2957.4</v>
      </c>
      <c r="N423" s="15">
        <v>2978.71</v>
      </c>
      <c r="O423" t="s">
        <v>75</v>
      </c>
    </row>
    <row r="424" spans="1:15" x14ac:dyDescent="0.25">
      <c r="A424" s="10" t="s">
        <v>949</v>
      </c>
      <c r="B424" s="15">
        <v>2453.46</v>
      </c>
      <c r="C424" s="15">
        <v>2453.46</v>
      </c>
      <c r="D424" s="15">
        <v>2453.46</v>
      </c>
      <c r="E424" s="15">
        <v>2453.46</v>
      </c>
      <c r="F424" s="15">
        <v>2683.54</v>
      </c>
      <c r="G424" s="15">
        <v>2453.46</v>
      </c>
      <c r="H424" s="15">
        <v>5610.42</v>
      </c>
      <c r="I424" s="15">
        <v>2435.77</v>
      </c>
      <c r="J424" s="15">
        <v>2812</v>
      </c>
      <c r="K424" s="15">
        <v>2725.38</v>
      </c>
      <c r="L424" s="15">
        <v>3022.62</v>
      </c>
      <c r="M424" s="15">
        <v>2725.38</v>
      </c>
      <c r="N424" s="15">
        <v>2816.26</v>
      </c>
      <c r="O424" t="s">
        <v>75</v>
      </c>
    </row>
    <row r="425" spans="1:15" x14ac:dyDescent="0.25">
      <c r="A425" s="10" t="s">
        <v>951</v>
      </c>
      <c r="B425" s="15">
        <v>0</v>
      </c>
      <c r="C425" s="15">
        <v>0</v>
      </c>
      <c r="D425" s="15">
        <v>0</v>
      </c>
      <c r="E425" s="15">
        <v>0</v>
      </c>
      <c r="F425" s="15">
        <v>0</v>
      </c>
      <c r="G425" s="15">
        <v>0</v>
      </c>
      <c r="H425" s="15">
        <v>0</v>
      </c>
      <c r="I425" s="15">
        <v>0</v>
      </c>
      <c r="J425" s="15">
        <v>0</v>
      </c>
      <c r="K425" s="15">
        <v>0</v>
      </c>
      <c r="L425" s="15">
        <v>0</v>
      </c>
      <c r="M425" s="15">
        <v>2343.79</v>
      </c>
      <c r="N425" s="15">
        <v>195.32</v>
      </c>
      <c r="O425" t="s">
        <v>75</v>
      </c>
    </row>
    <row r="426" spans="1:15" x14ac:dyDescent="0.25">
      <c r="A426" s="10" t="s">
        <v>953</v>
      </c>
      <c r="B426" s="15">
        <v>4996</v>
      </c>
      <c r="C426" s="15">
        <v>4996</v>
      </c>
      <c r="D426" s="15">
        <v>4996</v>
      </c>
      <c r="E426" s="15">
        <v>4996</v>
      </c>
      <c r="F426" s="15">
        <v>9436.89</v>
      </c>
      <c r="G426" s="15">
        <v>1665.33</v>
      </c>
      <c r="H426" s="15">
        <v>6962.22</v>
      </c>
      <c r="I426" s="15">
        <v>6470.67</v>
      </c>
      <c r="J426" s="15">
        <v>2774.5</v>
      </c>
      <c r="K426" s="15">
        <v>0</v>
      </c>
      <c r="L426" s="15">
        <v>0</v>
      </c>
      <c r="M426" s="15">
        <v>0</v>
      </c>
      <c r="N426" s="15">
        <v>4624.17</v>
      </c>
      <c r="O426" t="s">
        <v>75</v>
      </c>
    </row>
    <row r="427" spans="1:15" x14ac:dyDescent="0.25">
      <c r="A427" s="10" t="s">
        <v>955</v>
      </c>
      <c r="B427" s="15">
        <v>5882</v>
      </c>
      <c r="C427" s="15">
        <v>5882</v>
      </c>
      <c r="D427" s="15">
        <v>5882</v>
      </c>
      <c r="E427" s="15">
        <v>5882</v>
      </c>
      <c r="F427" s="15">
        <v>7404.78</v>
      </c>
      <c r="G427" s="15">
        <v>6058.46</v>
      </c>
      <c r="H427" s="15">
        <v>8436.06</v>
      </c>
      <c r="I427" s="15">
        <v>1533.6</v>
      </c>
      <c r="J427" s="15">
        <v>0</v>
      </c>
      <c r="K427" s="15">
        <v>0</v>
      </c>
      <c r="L427" s="15">
        <v>0</v>
      </c>
      <c r="M427" s="15">
        <v>0</v>
      </c>
      <c r="N427" s="15">
        <v>3925.24</v>
      </c>
      <c r="O427" t="s">
        <v>75</v>
      </c>
    </row>
    <row r="428" spans="1:15" x14ac:dyDescent="0.25">
      <c r="A428" s="10" t="s">
        <v>957</v>
      </c>
      <c r="B428" s="15">
        <v>1669.83</v>
      </c>
      <c r="C428" s="15">
        <v>1730.72</v>
      </c>
      <c r="D428" s="15">
        <v>2184.71</v>
      </c>
      <c r="E428" s="15">
        <v>1632.8</v>
      </c>
      <c r="F428" s="15">
        <v>2068.3200000000002</v>
      </c>
      <c r="G428" s="15">
        <v>1630</v>
      </c>
      <c r="H428" s="15">
        <v>2492.5700000000002</v>
      </c>
      <c r="I428" s="15">
        <v>2170</v>
      </c>
      <c r="J428" s="15">
        <v>1847.43</v>
      </c>
      <c r="K428" s="15">
        <v>1810</v>
      </c>
      <c r="L428" s="15">
        <v>1810</v>
      </c>
      <c r="M428" s="15">
        <v>3270.25</v>
      </c>
      <c r="N428" s="15">
        <v>1943.35</v>
      </c>
      <c r="O428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E428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92</v>
      </c>
      <c r="B3" s="10" t="s">
        <v>92</v>
      </c>
      <c r="C3" s="9" t="s">
        <v>93</v>
      </c>
      <c r="D3" s="9" t="s">
        <v>75</v>
      </c>
      <c r="E3" t="s">
        <v>75</v>
      </c>
    </row>
    <row r="4" spans="1:5" x14ac:dyDescent="0.25">
      <c r="A4" s="10" t="s">
        <v>94</v>
      </c>
      <c r="B4" s="10" t="s">
        <v>94</v>
      </c>
      <c r="C4" s="9" t="s">
        <v>95</v>
      </c>
      <c r="D4" s="9" t="s">
        <v>75</v>
      </c>
      <c r="E4" t="s">
        <v>75</v>
      </c>
    </row>
    <row r="5" spans="1:5" x14ac:dyDescent="0.25">
      <c r="A5" s="10" t="s">
        <v>96</v>
      </c>
      <c r="B5" s="10" t="s">
        <v>96</v>
      </c>
      <c r="C5" s="9" t="s">
        <v>97</v>
      </c>
      <c r="D5" s="9" t="s">
        <v>75</v>
      </c>
      <c r="E5" t="s">
        <v>75</v>
      </c>
    </row>
    <row r="6" spans="1:5" x14ac:dyDescent="0.25">
      <c r="A6" s="10" t="s">
        <v>104</v>
      </c>
      <c r="B6" s="10" t="s">
        <v>104</v>
      </c>
      <c r="C6" s="9" t="s">
        <v>105</v>
      </c>
      <c r="D6" s="9" t="s">
        <v>75</v>
      </c>
      <c r="E6" t="s">
        <v>75</v>
      </c>
    </row>
    <row r="7" spans="1:5" x14ac:dyDescent="0.25">
      <c r="A7" s="10" t="s">
        <v>106</v>
      </c>
      <c r="B7" s="10" t="s">
        <v>106</v>
      </c>
      <c r="C7" s="9" t="s">
        <v>107</v>
      </c>
      <c r="D7" s="9" t="s">
        <v>75</v>
      </c>
      <c r="E7" t="s">
        <v>75</v>
      </c>
    </row>
    <row r="8" spans="1:5" x14ac:dyDescent="0.25">
      <c r="A8" s="10" t="s">
        <v>108</v>
      </c>
      <c r="B8" s="10" t="s">
        <v>108</v>
      </c>
      <c r="C8" s="9" t="s">
        <v>109</v>
      </c>
      <c r="D8" s="9" t="s">
        <v>75</v>
      </c>
      <c r="E8" t="s">
        <v>75</v>
      </c>
    </row>
    <row r="9" spans="1:5" x14ac:dyDescent="0.25">
      <c r="A9" s="10" t="s">
        <v>110</v>
      </c>
      <c r="B9" s="10" t="s">
        <v>110</v>
      </c>
      <c r="C9" s="9" t="s">
        <v>111</v>
      </c>
      <c r="D9" s="9" t="s">
        <v>75</v>
      </c>
      <c r="E9" t="s">
        <v>75</v>
      </c>
    </row>
    <row r="10" spans="1:5" x14ac:dyDescent="0.25">
      <c r="A10" s="10" t="s">
        <v>112</v>
      </c>
      <c r="B10" s="10" t="s">
        <v>112</v>
      </c>
      <c r="C10" s="9" t="s">
        <v>113</v>
      </c>
      <c r="D10" s="9" t="s">
        <v>75</v>
      </c>
      <c r="E10" t="s">
        <v>75</v>
      </c>
    </row>
    <row r="11" spans="1:5" x14ac:dyDescent="0.25">
      <c r="A11" s="10" t="s">
        <v>114</v>
      </c>
      <c r="B11" s="10" t="s">
        <v>114</v>
      </c>
      <c r="C11" s="9" t="s">
        <v>115</v>
      </c>
      <c r="D11" s="9" t="s">
        <v>75</v>
      </c>
      <c r="E11" t="s">
        <v>75</v>
      </c>
    </row>
    <row r="12" spans="1:5" x14ac:dyDescent="0.25">
      <c r="A12" s="10" t="s">
        <v>116</v>
      </c>
      <c r="B12" s="10" t="s">
        <v>116</v>
      </c>
      <c r="C12" s="9" t="s">
        <v>117</v>
      </c>
      <c r="D12" s="9" t="s">
        <v>75</v>
      </c>
      <c r="E12" t="s">
        <v>75</v>
      </c>
    </row>
    <row r="13" spans="1:5" x14ac:dyDescent="0.25">
      <c r="A13" s="10" t="s">
        <v>118</v>
      </c>
      <c r="B13" s="10" t="s">
        <v>118</v>
      </c>
      <c r="C13" s="9" t="s">
        <v>119</v>
      </c>
      <c r="D13" s="9" t="s">
        <v>75</v>
      </c>
      <c r="E13" t="s">
        <v>75</v>
      </c>
    </row>
    <row r="14" spans="1:5" x14ac:dyDescent="0.25">
      <c r="A14" s="10" t="s">
        <v>120</v>
      </c>
      <c r="B14" s="10" t="s">
        <v>120</v>
      </c>
      <c r="C14" s="9" t="s">
        <v>121</v>
      </c>
      <c r="D14" s="9" t="s">
        <v>75</v>
      </c>
      <c r="E14" t="s">
        <v>75</v>
      </c>
    </row>
    <row r="15" spans="1:5" x14ac:dyDescent="0.25">
      <c r="A15" s="10" t="s">
        <v>122</v>
      </c>
      <c r="B15" s="10" t="s">
        <v>122</v>
      </c>
      <c r="C15" s="9" t="s">
        <v>123</v>
      </c>
      <c r="D15" s="9" t="s">
        <v>75</v>
      </c>
      <c r="E15" t="s">
        <v>75</v>
      </c>
    </row>
    <row r="16" spans="1:5" x14ac:dyDescent="0.25">
      <c r="A16" s="10" t="s">
        <v>124</v>
      </c>
      <c r="B16" s="10" t="s">
        <v>124</v>
      </c>
      <c r="C16" s="9" t="s">
        <v>125</v>
      </c>
      <c r="D16" s="9" t="s">
        <v>75</v>
      </c>
      <c r="E16" t="s">
        <v>75</v>
      </c>
    </row>
    <row r="17" spans="1:5" x14ac:dyDescent="0.25">
      <c r="A17" s="10" t="s">
        <v>126</v>
      </c>
      <c r="B17" s="10" t="s">
        <v>126</v>
      </c>
      <c r="C17" s="9" t="s">
        <v>127</v>
      </c>
      <c r="D17" s="9" t="s">
        <v>75</v>
      </c>
      <c r="E17" t="s">
        <v>75</v>
      </c>
    </row>
    <row r="18" spans="1:5" x14ac:dyDescent="0.25">
      <c r="A18" s="10" t="s">
        <v>128</v>
      </c>
      <c r="B18" s="10" t="s">
        <v>128</v>
      </c>
      <c r="C18" s="9" t="s">
        <v>129</v>
      </c>
      <c r="D18" s="9" t="s">
        <v>75</v>
      </c>
      <c r="E18" t="s">
        <v>75</v>
      </c>
    </row>
    <row r="19" spans="1:5" x14ac:dyDescent="0.25">
      <c r="A19" s="10" t="s">
        <v>130</v>
      </c>
      <c r="B19" s="10" t="s">
        <v>130</v>
      </c>
      <c r="C19" s="9" t="s">
        <v>131</v>
      </c>
      <c r="D19" s="9" t="s">
        <v>75</v>
      </c>
      <c r="E19" t="s">
        <v>75</v>
      </c>
    </row>
    <row r="20" spans="1:5" x14ac:dyDescent="0.25">
      <c r="A20" s="10" t="s">
        <v>132</v>
      </c>
      <c r="B20" s="10" t="s">
        <v>132</v>
      </c>
      <c r="C20" s="9" t="s">
        <v>133</v>
      </c>
      <c r="D20" s="9" t="s">
        <v>75</v>
      </c>
      <c r="E20" t="s">
        <v>75</v>
      </c>
    </row>
    <row r="21" spans="1:5" x14ac:dyDescent="0.25">
      <c r="A21" s="10" t="s">
        <v>134</v>
      </c>
      <c r="B21" s="10" t="s">
        <v>134</v>
      </c>
      <c r="C21" s="9" t="s">
        <v>135</v>
      </c>
      <c r="D21" s="9" t="s">
        <v>75</v>
      </c>
      <c r="E21" t="s">
        <v>75</v>
      </c>
    </row>
    <row r="22" spans="1:5" x14ac:dyDescent="0.25">
      <c r="A22" s="10" t="s">
        <v>136</v>
      </c>
      <c r="B22" s="10" t="s">
        <v>136</v>
      </c>
      <c r="C22" s="9" t="s">
        <v>137</v>
      </c>
      <c r="D22" s="9" t="s">
        <v>75</v>
      </c>
      <c r="E22" t="s">
        <v>75</v>
      </c>
    </row>
    <row r="23" spans="1:5" x14ac:dyDescent="0.25">
      <c r="A23" s="10" t="s">
        <v>138</v>
      </c>
      <c r="B23" s="10" t="s">
        <v>138</v>
      </c>
      <c r="C23" s="9" t="s">
        <v>139</v>
      </c>
      <c r="D23" s="9" t="s">
        <v>75</v>
      </c>
      <c r="E23" t="s">
        <v>75</v>
      </c>
    </row>
    <row r="24" spans="1:5" x14ac:dyDescent="0.25">
      <c r="A24" s="10" t="s">
        <v>140</v>
      </c>
      <c r="B24" s="10" t="s">
        <v>140</v>
      </c>
      <c r="C24" s="9" t="s">
        <v>141</v>
      </c>
      <c r="D24" s="9" t="s">
        <v>75</v>
      </c>
      <c r="E24" t="s">
        <v>75</v>
      </c>
    </row>
    <row r="25" spans="1:5" x14ac:dyDescent="0.25">
      <c r="A25" s="10" t="s">
        <v>142</v>
      </c>
      <c r="B25" s="10" t="s">
        <v>142</v>
      </c>
      <c r="C25" s="9" t="s">
        <v>143</v>
      </c>
      <c r="D25" s="9" t="s">
        <v>75</v>
      </c>
      <c r="E25" t="s">
        <v>75</v>
      </c>
    </row>
    <row r="26" spans="1:5" x14ac:dyDescent="0.25">
      <c r="A26" s="10" t="s">
        <v>144</v>
      </c>
      <c r="B26" s="10" t="s">
        <v>144</v>
      </c>
      <c r="C26" s="9" t="s">
        <v>145</v>
      </c>
      <c r="D26" s="9" t="s">
        <v>75</v>
      </c>
      <c r="E26" t="s">
        <v>75</v>
      </c>
    </row>
    <row r="27" spans="1:5" x14ac:dyDescent="0.25">
      <c r="A27" s="10" t="s">
        <v>146</v>
      </c>
      <c r="B27" s="10" t="s">
        <v>146</v>
      </c>
      <c r="C27" s="9" t="s">
        <v>147</v>
      </c>
      <c r="D27" s="9" t="s">
        <v>75</v>
      </c>
      <c r="E27" t="s">
        <v>75</v>
      </c>
    </row>
    <row r="28" spans="1:5" x14ac:dyDescent="0.25">
      <c r="A28" s="10" t="s">
        <v>148</v>
      </c>
      <c r="B28" s="10" t="s">
        <v>148</v>
      </c>
      <c r="C28" s="9" t="s">
        <v>149</v>
      </c>
      <c r="D28" s="9" t="s">
        <v>75</v>
      </c>
      <c r="E28" t="s">
        <v>75</v>
      </c>
    </row>
    <row r="29" spans="1:5" x14ac:dyDescent="0.25">
      <c r="A29" s="10" t="s">
        <v>150</v>
      </c>
      <c r="B29" s="10" t="s">
        <v>150</v>
      </c>
      <c r="C29" s="9" t="s">
        <v>151</v>
      </c>
      <c r="D29" s="9" t="s">
        <v>75</v>
      </c>
      <c r="E29" t="s">
        <v>75</v>
      </c>
    </row>
    <row r="30" spans="1:5" x14ac:dyDescent="0.25">
      <c r="A30" s="10" t="s">
        <v>152</v>
      </c>
      <c r="B30" s="10" t="s">
        <v>152</v>
      </c>
      <c r="C30" s="9" t="s">
        <v>153</v>
      </c>
      <c r="D30" s="9" t="s">
        <v>75</v>
      </c>
      <c r="E30" t="s">
        <v>75</v>
      </c>
    </row>
    <row r="31" spans="1:5" x14ac:dyDescent="0.25">
      <c r="A31" s="10" t="s">
        <v>154</v>
      </c>
      <c r="B31" s="10" t="s">
        <v>154</v>
      </c>
      <c r="C31" s="9" t="s">
        <v>155</v>
      </c>
      <c r="D31" s="9" t="s">
        <v>75</v>
      </c>
      <c r="E31" t="s">
        <v>75</v>
      </c>
    </row>
    <row r="32" spans="1:5" x14ac:dyDescent="0.25">
      <c r="A32" s="10" t="s">
        <v>156</v>
      </c>
      <c r="B32" s="10" t="s">
        <v>156</v>
      </c>
      <c r="C32" s="9" t="s">
        <v>157</v>
      </c>
      <c r="D32" s="9" t="s">
        <v>75</v>
      </c>
      <c r="E32" t="s">
        <v>75</v>
      </c>
    </row>
    <row r="33" spans="1:5" x14ac:dyDescent="0.25">
      <c r="A33" s="10" t="s">
        <v>158</v>
      </c>
      <c r="B33" s="10" t="s">
        <v>158</v>
      </c>
      <c r="C33" s="9" t="s">
        <v>159</v>
      </c>
      <c r="D33" s="9" t="s">
        <v>75</v>
      </c>
      <c r="E33" t="s">
        <v>75</v>
      </c>
    </row>
    <row r="34" spans="1:5" x14ac:dyDescent="0.25">
      <c r="A34" s="10" t="s">
        <v>160</v>
      </c>
      <c r="B34" s="10" t="s">
        <v>160</v>
      </c>
      <c r="C34" s="9" t="s">
        <v>161</v>
      </c>
      <c r="D34" s="9" t="s">
        <v>75</v>
      </c>
      <c r="E34" t="s">
        <v>75</v>
      </c>
    </row>
    <row r="35" spans="1:5" x14ac:dyDescent="0.25">
      <c r="A35" s="10" t="s">
        <v>162</v>
      </c>
      <c r="B35" s="10" t="s">
        <v>162</v>
      </c>
      <c r="C35" s="9" t="s">
        <v>163</v>
      </c>
      <c r="D35" s="9" t="s">
        <v>75</v>
      </c>
      <c r="E35" t="s">
        <v>75</v>
      </c>
    </row>
    <row r="36" spans="1:5" x14ac:dyDescent="0.25">
      <c r="A36" s="10" t="s">
        <v>164</v>
      </c>
      <c r="B36" s="10" t="s">
        <v>164</v>
      </c>
      <c r="C36" s="9" t="s">
        <v>165</v>
      </c>
      <c r="D36" s="9" t="s">
        <v>75</v>
      </c>
      <c r="E36" t="s">
        <v>75</v>
      </c>
    </row>
    <row r="37" spans="1:5" x14ac:dyDescent="0.25">
      <c r="A37" s="10" t="s">
        <v>166</v>
      </c>
      <c r="B37" s="10" t="s">
        <v>166</v>
      </c>
      <c r="C37" s="9" t="s">
        <v>167</v>
      </c>
      <c r="D37" s="9" t="s">
        <v>75</v>
      </c>
      <c r="E37" t="s">
        <v>75</v>
      </c>
    </row>
    <row r="38" spans="1:5" x14ac:dyDescent="0.25">
      <c r="A38" s="10" t="s">
        <v>168</v>
      </c>
      <c r="B38" s="10" t="s">
        <v>168</v>
      </c>
      <c r="C38" s="9" t="s">
        <v>169</v>
      </c>
      <c r="D38" s="9" t="s">
        <v>75</v>
      </c>
      <c r="E38" t="s">
        <v>75</v>
      </c>
    </row>
    <row r="39" spans="1:5" x14ac:dyDescent="0.25">
      <c r="A39" s="10" t="s">
        <v>170</v>
      </c>
      <c r="B39" s="10" t="s">
        <v>170</v>
      </c>
      <c r="C39" s="9" t="s">
        <v>171</v>
      </c>
      <c r="D39" s="9" t="s">
        <v>75</v>
      </c>
      <c r="E39" t="s">
        <v>75</v>
      </c>
    </row>
    <row r="40" spans="1:5" x14ac:dyDescent="0.25">
      <c r="A40" s="10" t="s">
        <v>172</v>
      </c>
      <c r="B40" s="10" t="s">
        <v>172</v>
      </c>
      <c r="C40" s="9" t="s">
        <v>173</v>
      </c>
      <c r="D40" s="9" t="s">
        <v>75</v>
      </c>
      <c r="E40" t="s">
        <v>75</v>
      </c>
    </row>
    <row r="41" spans="1:5" x14ac:dyDescent="0.25">
      <c r="A41" s="10" t="s">
        <v>174</v>
      </c>
      <c r="B41" s="10" t="s">
        <v>174</v>
      </c>
      <c r="C41" s="9" t="s">
        <v>175</v>
      </c>
      <c r="D41" s="9" t="s">
        <v>75</v>
      </c>
      <c r="E41" t="s">
        <v>75</v>
      </c>
    </row>
    <row r="42" spans="1:5" x14ac:dyDescent="0.25">
      <c r="A42" s="10" t="s">
        <v>176</v>
      </c>
      <c r="B42" s="10" t="s">
        <v>176</v>
      </c>
      <c r="C42" s="9" t="s">
        <v>177</v>
      </c>
      <c r="D42" s="9" t="s">
        <v>75</v>
      </c>
      <c r="E42" t="s">
        <v>75</v>
      </c>
    </row>
    <row r="43" spans="1:5" x14ac:dyDescent="0.25">
      <c r="A43" s="10" t="s">
        <v>178</v>
      </c>
      <c r="B43" s="10" t="s">
        <v>178</v>
      </c>
      <c r="C43" s="9" t="s">
        <v>179</v>
      </c>
      <c r="D43" s="9" t="s">
        <v>75</v>
      </c>
      <c r="E43" t="s">
        <v>75</v>
      </c>
    </row>
    <row r="44" spans="1:5" x14ac:dyDescent="0.25">
      <c r="A44" s="10" t="s">
        <v>180</v>
      </c>
      <c r="B44" s="10" t="s">
        <v>180</v>
      </c>
      <c r="C44" s="9" t="s">
        <v>181</v>
      </c>
      <c r="D44" s="9" t="s">
        <v>75</v>
      </c>
      <c r="E44" t="s">
        <v>75</v>
      </c>
    </row>
    <row r="45" spans="1:5" x14ac:dyDescent="0.25">
      <c r="A45" s="10" t="s">
        <v>182</v>
      </c>
      <c r="B45" s="10" t="s">
        <v>182</v>
      </c>
      <c r="C45" s="9" t="s">
        <v>183</v>
      </c>
      <c r="D45" s="9" t="s">
        <v>75</v>
      </c>
      <c r="E45" t="s">
        <v>75</v>
      </c>
    </row>
    <row r="46" spans="1:5" x14ac:dyDescent="0.25">
      <c r="A46" s="10" t="s">
        <v>184</v>
      </c>
      <c r="B46" s="10" t="s">
        <v>184</v>
      </c>
      <c r="C46" s="9" t="s">
        <v>185</v>
      </c>
      <c r="D46" s="9" t="s">
        <v>75</v>
      </c>
      <c r="E46" t="s">
        <v>75</v>
      </c>
    </row>
    <row r="47" spans="1:5" x14ac:dyDescent="0.25">
      <c r="A47" s="10" t="s">
        <v>186</v>
      </c>
      <c r="B47" s="10" t="s">
        <v>186</v>
      </c>
      <c r="C47" s="9" t="s">
        <v>187</v>
      </c>
      <c r="D47" s="9" t="s">
        <v>75</v>
      </c>
      <c r="E47" t="s">
        <v>75</v>
      </c>
    </row>
    <row r="48" spans="1:5" x14ac:dyDescent="0.25">
      <c r="A48" s="10" t="s">
        <v>188</v>
      </c>
      <c r="B48" s="10" t="s">
        <v>188</v>
      </c>
      <c r="C48" s="9" t="s">
        <v>189</v>
      </c>
      <c r="D48" s="9" t="s">
        <v>75</v>
      </c>
      <c r="E48" t="s">
        <v>75</v>
      </c>
    </row>
    <row r="49" spans="1:5" x14ac:dyDescent="0.25">
      <c r="A49" s="10" t="s">
        <v>190</v>
      </c>
      <c r="B49" s="10" t="s">
        <v>190</v>
      </c>
      <c r="C49" s="9" t="s">
        <v>191</v>
      </c>
      <c r="D49" s="9" t="s">
        <v>75</v>
      </c>
      <c r="E49" t="s">
        <v>75</v>
      </c>
    </row>
    <row r="50" spans="1:5" x14ac:dyDescent="0.25">
      <c r="A50" s="10" t="s">
        <v>192</v>
      </c>
      <c r="B50" s="10" t="s">
        <v>192</v>
      </c>
      <c r="C50" s="9" t="s">
        <v>193</v>
      </c>
      <c r="D50" s="9" t="s">
        <v>75</v>
      </c>
      <c r="E50" t="s">
        <v>75</v>
      </c>
    </row>
    <row r="51" spans="1:5" x14ac:dyDescent="0.25">
      <c r="A51" s="10" t="s">
        <v>194</v>
      </c>
      <c r="B51" s="10" t="s">
        <v>194</v>
      </c>
      <c r="C51" s="9" t="s">
        <v>195</v>
      </c>
      <c r="D51" s="9" t="s">
        <v>75</v>
      </c>
      <c r="E51" t="s">
        <v>75</v>
      </c>
    </row>
    <row r="52" spans="1:5" x14ac:dyDescent="0.25">
      <c r="A52" s="10" t="s">
        <v>196</v>
      </c>
      <c r="B52" s="10" t="s">
        <v>196</v>
      </c>
      <c r="C52" s="9" t="s">
        <v>197</v>
      </c>
      <c r="D52" s="9" t="s">
        <v>75</v>
      </c>
      <c r="E52" t="s">
        <v>75</v>
      </c>
    </row>
    <row r="53" spans="1:5" x14ac:dyDescent="0.25">
      <c r="A53" s="10" t="s">
        <v>198</v>
      </c>
      <c r="B53" s="10" t="s">
        <v>198</v>
      </c>
      <c r="C53" s="9" t="s">
        <v>199</v>
      </c>
      <c r="D53" s="9" t="s">
        <v>75</v>
      </c>
      <c r="E53" t="s">
        <v>75</v>
      </c>
    </row>
    <row r="54" spans="1:5" x14ac:dyDescent="0.25">
      <c r="A54" s="10" t="s">
        <v>200</v>
      </c>
      <c r="B54" s="10" t="s">
        <v>200</v>
      </c>
      <c r="C54" s="9" t="s">
        <v>201</v>
      </c>
      <c r="D54" s="9" t="s">
        <v>75</v>
      </c>
      <c r="E54" t="s">
        <v>75</v>
      </c>
    </row>
    <row r="55" spans="1:5" x14ac:dyDescent="0.25">
      <c r="A55" s="10" t="s">
        <v>202</v>
      </c>
      <c r="B55" s="10" t="s">
        <v>202</v>
      </c>
      <c r="C55" s="9" t="s">
        <v>203</v>
      </c>
      <c r="D55" s="9" t="s">
        <v>75</v>
      </c>
      <c r="E55" t="s">
        <v>75</v>
      </c>
    </row>
    <row r="56" spans="1:5" x14ac:dyDescent="0.25">
      <c r="A56" s="10" t="s">
        <v>204</v>
      </c>
      <c r="B56" s="10" t="s">
        <v>204</v>
      </c>
      <c r="C56" s="9" t="s">
        <v>205</v>
      </c>
      <c r="D56" s="9" t="s">
        <v>75</v>
      </c>
      <c r="E56" t="s">
        <v>75</v>
      </c>
    </row>
    <row r="57" spans="1:5" x14ac:dyDescent="0.25">
      <c r="A57" s="10" t="s">
        <v>206</v>
      </c>
      <c r="B57" s="10" t="s">
        <v>206</v>
      </c>
      <c r="C57" s="9" t="s">
        <v>207</v>
      </c>
      <c r="D57" s="9" t="s">
        <v>75</v>
      </c>
      <c r="E57" t="s">
        <v>75</v>
      </c>
    </row>
    <row r="58" spans="1:5" x14ac:dyDescent="0.25">
      <c r="A58" s="10" t="s">
        <v>208</v>
      </c>
      <c r="B58" s="10" t="s">
        <v>208</v>
      </c>
      <c r="C58" s="9" t="s">
        <v>209</v>
      </c>
      <c r="D58" s="9" t="s">
        <v>75</v>
      </c>
      <c r="E58" t="s">
        <v>75</v>
      </c>
    </row>
    <row r="59" spans="1:5" x14ac:dyDescent="0.25">
      <c r="A59" s="10" t="s">
        <v>210</v>
      </c>
      <c r="B59" s="10" t="s">
        <v>210</v>
      </c>
      <c r="C59" s="9" t="s">
        <v>211</v>
      </c>
      <c r="D59" s="9" t="s">
        <v>75</v>
      </c>
      <c r="E59" t="s">
        <v>75</v>
      </c>
    </row>
    <row r="60" spans="1:5" x14ac:dyDescent="0.25">
      <c r="A60" s="10" t="s">
        <v>212</v>
      </c>
      <c r="B60" s="10" t="s">
        <v>212</v>
      </c>
      <c r="C60" s="9" t="s">
        <v>213</v>
      </c>
      <c r="D60" s="9" t="s">
        <v>75</v>
      </c>
      <c r="E60" t="s">
        <v>75</v>
      </c>
    </row>
    <row r="61" spans="1:5" x14ac:dyDescent="0.25">
      <c r="A61" s="10" t="s">
        <v>214</v>
      </c>
      <c r="B61" s="10" t="s">
        <v>214</v>
      </c>
      <c r="C61" s="9" t="s">
        <v>215</v>
      </c>
      <c r="D61" s="9" t="s">
        <v>75</v>
      </c>
      <c r="E61" t="s">
        <v>75</v>
      </c>
    </row>
    <row r="62" spans="1:5" x14ac:dyDescent="0.25">
      <c r="A62" s="10" t="s">
        <v>216</v>
      </c>
      <c r="B62" s="10" t="s">
        <v>216</v>
      </c>
      <c r="C62" s="9" t="s">
        <v>217</v>
      </c>
      <c r="D62" s="9" t="s">
        <v>75</v>
      </c>
      <c r="E62" t="s">
        <v>75</v>
      </c>
    </row>
    <row r="63" spans="1:5" x14ac:dyDescent="0.25">
      <c r="A63" s="10" t="s">
        <v>218</v>
      </c>
      <c r="B63" s="10" t="s">
        <v>218</v>
      </c>
      <c r="C63" s="9" t="s">
        <v>219</v>
      </c>
      <c r="D63" s="9" t="s">
        <v>75</v>
      </c>
      <c r="E63" t="s">
        <v>75</v>
      </c>
    </row>
    <row r="64" spans="1:5" x14ac:dyDescent="0.25">
      <c r="A64" s="10" t="s">
        <v>220</v>
      </c>
      <c r="B64" s="10" t="s">
        <v>220</v>
      </c>
      <c r="C64" s="9" t="s">
        <v>221</v>
      </c>
      <c r="D64" s="9" t="s">
        <v>75</v>
      </c>
      <c r="E64" t="s">
        <v>75</v>
      </c>
    </row>
    <row r="65" spans="1:5" x14ac:dyDescent="0.25">
      <c r="A65" s="10" t="s">
        <v>222</v>
      </c>
      <c r="B65" s="10" t="s">
        <v>222</v>
      </c>
      <c r="C65" s="9" t="s">
        <v>223</v>
      </c>
      <c r="D65" s="9" t="s">
        <v>75</v>
      </c>
      <c r="E65" t="s">
        <v>75</v>
      </c>
    </row>
    <row r="66" spans="1:5" x14ac:dyDescent="0.25">
      <c r="A66" s="10" t="s">
        <v>224</v>
      </c>
      <c r="B66" s="10" t="s">
        <v>224</v>
      </c>
      <c r="C66" s="9" t="s">
        <v>225</v>
      </c>
      <c r="D66" s="9" t="s">
        <v>75</v>
      </c>
      <c r="E66" t="s">
        <v>75</v>
      </c>
    </row>
    <row r="67" spans="1:5" x14ac:dyDescent="0.25">
      <c r="A67" s="10" t="s">
        <v>226</v>
      </c>
      <c r="B67" s="10" t="s">
        <v>226</v>
      </c>
      <c r="C67" s="9" t="s">
        <v>227</v>
      </c>
      <c r="D67" s="9" t="s">
        <v>75</v>
      </c>
      <c r="E67" t="s">
        <v>75</v>
      </c>
    </row>
    <row r="68" spans="1:5" x14ac:dyDescent="0.25">
      <c r="A68" s="10" t="s">
        <v>228</v>
      </c>
      <c r="B68" s="10" t="s">
        <v>228</v>
      </c>
      <c r="C68" s="9" t="s">
        <v>229</v>
      </c>
      <c r="D68" s="9" t="s">
        <v>75</v>
      </c>
      <c r="E68" t="s">
        <v>75</v>
      </c>
    </row>
    <row r="69" spans="1:5" x14ac:dyDescent="0.25">
      <c r="A69" s="10" t="s">
        <v>230</v>
      </c>
      <c r="B69" s="10" t="s">
        <v>230</v>
      </c>
      <c r="C69" s="9" t="s">
        <v>231</v>
      </c>
      <c r="D69" s="9" t="s">
        <v>75</v>
      </c>
      <c r="E69" t="s">
        <v>75</v>
      </c>
    </row>
    <row r="70" spans="1:5" x14ac:dyDescent="0.25">
      <c r="A70" s="10" t="s">
        <v>232</v>
      </c>
      <c r="B70" s="10" t="s">
        <v>232</v>
      </c>
      <c r="C70" s="9" t="s">
        <v>233</v>
      </c>
      <c r="D70" s="9" t="s">
        <v>75</v>
      </c>
      <c r="E70" t="s">
        <v>75</v>
      </c>
    </row>
    <row r="71" spans="1:5" x14ac:dyDescent="0.25">
      <c r="A71" s="10" t="s">
        <v>234</v>
      </c>
      <c r="B71" s="10" t="s">
        <v>234</v>
      </c>
      <c r="C71" s="9" t="s">
        <v>235</v>
      </c>
      <c r="D71" s="9" t="s">
        <v>75</v>
      </c>
      <c r="E71" t="s">
        <v>75</v>
      </c>
    </row>
    <row r="72" spans="1:5" x14ac:dyDescent="0.25">
      <c r="A72" s="10" t="s">
        <v>236</v>
      </c>
      <c r="B72" s="10" t="s">
        <v>236</v>
      </c>
      <c r="C72" s="9" t="s">
        <v>237</v>
      </c>
      <c r="D72" s="9" t="s">
        <v>75</v>
      </c>
      <c r="E72" t="s">
        <v>75</v>
      </c>
    </row>
    <row r="73" spans="1:5" x14ac:dyDescent="0.25">
      <c r="A73" s="10" t="s">
        <v>238</v>
      </c>
      <c r="B73" s="10" t="s">
        <v>238</v>
      </c>
      <c r="C73" s="9" t="s">
        <v>239</v>
      </c>
      <c r="D73" s="9" t="s">
        <v>75</v>
      </c>
      <c r="E73" t="s">
        <v>75</v>
      </c>
    </row>
    <row r="74" spans="1:5" x14ac:dyDescent="0.25">
      <c r="A74" s="10" t="s">
        <v>242</v>
      </c>
      <c r="B74" s="10" t="s">
        <v>242</v>
      </c>
      <c r="C74" s="9" t="s">
        <v>243</v>
      </c>
      <c r="D74" s="9" t="s">
        <v>75</v>
      </c>
      <c r="E74" t="s">
        <v>75</v>
      </c>
    </row>
    <row r="75" spans="1:5" x14ac:dyDescent="0.25">
      <c r="A75" s="10" t="s">
        <v>244</v>
      </c>
      <c r="B75" s="10" t="s">
        <v>244</v>
      </c>
      <c r="C75" s="9" t="s">
        <v>245</v>
      </c>
      <c r="D75" s="9" t="s">
        <v>75</v>
      </c>
      <c r="E75" t="s">
        <v>75</v>
      </c>
    </row>
    <row r="76" spans="1:5" x14ac:dyDescent="0.25">
      <c r="A76" s="10" t="s">
        <v>246</v>
      </c>
      <c r="B76" s="10" t="s">
        <v>246</v>
      </c>
      <c r="C76" s="9" t="s">
        <v>247</v>
      </c>
      <c r="D76" s="9" t="s">
        <v>75</v>
      </c>
      <c r="E76" t="s">
        <v>75</v>
      </c>
    </row>
    <row r="77" spans="1:5" x14ac:dyDescent="0.25">
      <c r="A77" s="10" t="s">
        <v>248</v>
      </c>
      <c r="B77" s="10" t="s">
        <v>248</v>
      </c>
      <c r="C77" s="9" t="s">
        <v>249</v>
      </c>
      <c r="D77" s="9" t="s">
        <v>75</v>
      </c>
      <c r="E77" t="s">
        <v>75</v>
      </c>
    </row>
    <row r="78" spans="1:5" x14ac:dyDescent="0.25">
      <c r="A78" s="10" t="s">
        <v>250</v>
      </c>
      <c r="B78" s="10" t="s">
        <v>250</v>
      </c>
      <c r="C78" s="9" t="s">
        <v>251</v>
      </c>
      <c r="D78" s="9" t="s">
        <v>75</v>
      </c>
      <c r="E78" t="s">
        <v>75</v>
      </c>
    </row>
    <row r="79" spans="1:5" x14ac:dyDescent="0.25">
      <c r="A79" s="10" t="s">
        <v>252</v>
      </c>
      <c r="B79" s="10" t="s">
        <v>252</v>
      </c>
      <c r="C79" s="9" t="s">
        <v>253</v>
      </c>
      <c r="D79" s="9" t="s">
        <v>75</v>
      </c>
      <c r="E79" t="s">
        <v>75</v>
      </c>
    </row>
    <row r="80" spans="1:5" x14ac:dyDescent="0.25">
      <c r="A80" s="10" t="s">
        <v>254</v>
      </c>
      <c r="B80" s="10" t="s">
        <v>254</v>
      </c>
      <c r="C80" s="9" t="s">
        <v>255</v>
      </c>
      <c r="D80" s="9" t="s">
        <v>75</v>
      </c>
      <c r="E80" t="s">
        <v>75</v>
      </c>
    </row>
    <row r="81" spans="1:5" x14ac:dyDescent="0.25">
      <c r="A81" s="10" t="s">
        <v>256</v>
      </c>
      <c r="B81" s="10" t="s">
        <v>256</v>
      </c>
      <c r="C81" s="9" t="s">
        <v>257</v>
      </c>
      <c r="D81" s="9" t="s">
        <v>75</v>
      </c>
      <c r="E81" t="s">
        <v>75</v>
      </c>
    </row>
    <row r="82" spans="1:5" x14ac:dyDescent="0.25">
      <c r="A82" s="10" t="s">
        <v>258</v>
      </c>
      <c r="B82" s="10" t="s">
        <v>258</v>
      </c>
      <c r="C82" s="9" t="s">
        <v>259</v>
      </c>
      <c r="D82" s="9" t="s">
        <v>75</v>
      </c>
      <c r="E82" t="s">
        <v>75</v>
      </c>
    </row>
    <row r="83" spans="1:5" x14ac:dyDescent="0.25">
      <c r="A83" s="10" t="s">
        <v>260</v>
      </c>
      <c r="B83" s="10" t="s">
        <v>260</v>
      </c>
      <c r="C83" s="9" t="s">
        <v>261</v>
      </c>
      <c r="D83" s="9" t="s">
        <v>75</v>
      </c>
      <c r="E83" t="s">
        <v>75</v>
      </c>
    </row>
    <row r="84" spans="1:5" x14ac:dyDescent="0.25">
      <c r="A84" s="10" t="s">
        <v>262</v>
      </c>
      <c r="B84" s="10" t="s">
        <v>262</v>
      </c>
      <c r="C84" s="9" t="s">
        <v>263</v>
      </c>
      <c r="D84" s="9" t="s">
        <v>75</v>
      </c>
      <c r="E84" t="s">
        <v>75</v>
      </c>
    </row>
    <row r="85" spans="1:5" x14ac:dyDescent="0.25">
      <c r="A85" s="10" t="s">
        <v>264</v>
      </c>
      <c r="B85" s="10" t="s">
        <v>264</v>
      </c>
      <c r="C85" s="9" t="s">
        <v>265</v>
      </c>
      <c r="D85" s="9" t="s">
        <v>75</v>
      </c>
      <c r="E85" t="s">
        <v>75</v>
      </c>
    </row>
    <row r="86" spans="1:5" x14ac:dyDescent="0.25">
      <c r="A86" s="10" t="s">
        <v>266</v>
      </c>
      <c r="B86" s="10" t="s">
        <v>266</v>
      </c>
      <c r="C86" s="9" t="s">
        <v>267</v>
      </c>
      <c r="D86" s="9" t="s">
        <v>75</v>
      </c>
      <c r="E86" t="s">
        <v>75</v>
      </c>
    </row>
    <row r="87" spans="1:5" x14ac:dyDescent="0.25">
      <c r="A87" s="10" t="s">
        <v>268</v>
      </c>
      <c r="B87" s="10" t="s">
        <v>268</v>
      </c>
      <c r="C87" s="9" t="s">
        <v>269</v>
      </c>
      <c r="D87" s="9" t="s">
        <v>75</v>
      </c>
      <c r="E87" t="s">
        <v>75</v>
      </c>
    </row>
    <row r="88" spans="1:5" x14ac:dyDescent="0.25">
      <c r="A88" s="10" t="s">
        <v>270</v>
      </c>
      <c r="B88" s="10" t="s">
        <v>270</v>
      </c>
      <c r="C88" s="9" t="s">
        <v>271</v>
      </c>
      <c r="D88" s="9" t="s">
        <v>75</v>
      </c>
      <c r="E88" t="s">
        <v>75</v>
      </c>
    </row>
    <row r="89" spans="1:5" x14ac:dyDescent="0.25">
      <c r="A89" s="10" t="s">
        <v>272</v>
      </c>
      <c r="B89" s="10" t="s">
        <v>272</v>
      </c>
      <c r="C89" s="9" t="s">
        <v>273</v>
      </c>
      <c r="D89" s="9" t="s">
        <v>75</v>
      </c>
      <c r="E89" t="s">
        <v>75</v>
      </c>
    </row>
    <row r="90" spans="1:5" x14ac:dyDescent="0.25">
      <c r="A90" s="10" t="s">
        <v>274</v>
      </c>
      <c r="B90" s="10" t="s">
        <v>274</v>
      </c>
      <c r="C90" s="9" t="s">
        <v>275</v>
      </c>
      <c r="D90" s="9" t="s">
        <v>75</v>
      </c>
      <c r="E90" t="s">
        <v>75</v>
      </c>
    </row>
    <row r="91" spans="1:5" x14ac:dyDescent="0.25">
      <c r="A91" s="10" t="s">
        <v>276</v>
      </c>
      <c r="B91" s="10" t="s">
        <v>276</v>
      </c>
      <c r="C91" s="9" t="s">
        <v>277</v>
      </c>
      <c r="D91" s="9" t="s">
        <v>75</v>
      </c>
      <c r="E91" t="s">
        <v>75</v>
      </c>
    </row>
    <row r="92" spans="1:5" x14ac:dyDescent="0.25">
      <c r="A92" s="10" t="s">
        <v>278</v>
      </c>
      <c r="B92" s="10" t="s">
        <v>278</v>
      </c>
      <c r="C92" s="9" t="s">
        <v>279</v>
      </c>
      <c r="D92" s="9" t="s">
        <v>75</v>
      </c>
      <c r="E92" t="s">
        <v>75</v>
      </c>
    </row>
    <row r="93" spans="1:5" x14ac:dyDescent="0.25">
      <c r="A93" s="10" t="s">
        <v>280</v>
      </c>
      <c r="B93" s="10" t="s">
        <v>280</v>
      </c>
      <c r="C93" s="9" t="s">
        <v>281</v>
      </c>
      <c r="D93" s="9" t="s">
        <v>75</v>
      </c>
      <c r="E93" t="s">
        <v>75</v>
      </c>
    </row>
    <row r="94" spans="1:5" x14ac:dyDescent="0.25">
      <c r="A94" s="10" t="s">
        <v>282</v>
      </c>
      <c r="B94" s="10" t="s">
        <v>282</v>
      </c>
      <c r="C94" s="9" t="s">
        <v>283</v>
      </c>
      <c r="D94" s="9" t="s">
        <v>75</v>
      </c>
      <c r="E94" t="s">
        <v>75</v>
      </c>
    </row>
    <row r="95" spans="1:5" x14ac:dyDescent="0.25">
      <c r="A95" s="10" t="s">
        <v>284</v>
      </c>
      <c r="B95" s="10" t="s">
        <v>284</v>
      </c>
      <c r="C95" s="9" t="s">
        <v>285</v>
      </c>
      <c r="D95" s="9" t="s">
        <v>75</v>
      </c>
      <c r="E95" t="s">
        <v>75</v>
      </c>
    </row>
    <row r="96" spans="1:5" x14ac:dyDescent="0.25">
      <c r="A96" s="10" t="s">
        <v>286</v>
      </c>
      <c r="B96" s="10" t="s">
        <v>286</v>
      </c>
      <c r="C96" s="9" t="s">
        <v>287</v>
      </c>
      <c r="D96" s="9" t="s">
        <v>75</v>
      </c>
      <c r="E96" t="s">
        <v>75</v>
      </c>
    </row>
    <row r="97" spans="1:5" x14ac:dyDescent="0.25">
      <c r="A97" s="10" t="s">
        <v>288</v>
      </c>
      <c r="B97" s="10" t="s">
        <v>288</v>
      </c>
      <c r="C97" s="9" t="s">
        <v>289</v>
      </c>
      <c r="D97" s="9" t="s">
        <v>75</v>
      </c>
      <c r="E97" t="s">
        <v>75</v>
      </c>
    </row>
    <row r="98" spans="1:5" x14ac:dyDescent="0.25">
      <c r="A98" s="10" t="s">
        <v>290</v>
      </c>
      <c r="B98" s="10" t="s">
        <v>290</v>
      </c>
      <c r="C98" s="9" t="s">
        <v>291</v>
      </c>
      <c r="D98" s="9" t="s">
        <v>75</v>
      </c>
      <c r="E98" t="s">
        <v>75</v>
      </c>
    </row>
    <row r="99" spans="1:5" x14ac:dyDescent="0.25">
      <c r="A99" s="10" t="s">
        <v>292</v>
      </c>
      <c r="B99" s="10" t="s">
        <v>292</v>
      </c>
      <c r="C99" s="9" t="s">
        <v>293</v>
      </c>
      <c r="D99" s="9" t="s">
        <v>75</v>
      </c>
      <c r="E99" t="s">
        <v>75</v>
      </c>
    </row>
    <row r="100" spans="1:5" x14ac:dyDescent="0.25">
      <c r="A100" s="10" t="s">
        <v>294</v>
      </c>
      <c r="B100" s="10" t="s">
        <v>294</v>
      </c>
      <c r="C100" s="9" t="s">
        <v>295</v>
      </c>
      <c r="D100" s="9" t="s">
        <v>75</v>
      </c>
      <c r="E100" t="s">
        <v>75</v>
      </c>
    </row>
    <row r="101" spans="1:5" x14ac:dyDescent="0.25">
      <c r="A101" s="10" t="s">
        <v>296</v>
      </c>
      <c r="B101" s="10" t="s">
        <v>296</v>
      </c>
      <c r="C101" s="9" t="s">
        <v>297</v>
      </c>
      <c r="D101" s="9" t="s">
        <v>75</v>
      </c>
      <c r="E101" t="s">
        <v>75</v>
      </c>
    </row>
    <row r="102" spans="1:5" x14ac:dyDescent="0.25">
      <c r="A102" s="10" t="s">
        <v>298</v>
      </c>
      <c r="B102" s="10" t="s">
        <v>298</v>
      </c>
      <c r="C102" s="9" t="s">
        <v>299</v>
      </c>
      <c r="D102" s="9" t="s">
        <v>75</v>
      </c>
      <c r="E102" t="s">
        <v>75</v>
      </c>
    </row>
    <row r="103" spans="1:5" x14ac:dyDescent="0.25">
      <c r="A103" s="10" t="s">
        <v>300</v>
      </c>
      <c r="B103" s="10" t="s">
        <v>300</v>
      </c>
      <c r="C103" s="9" t="s">
        <v>301</v>
      </c>
      <c r="D103" s="9" t="s">
        <v>75</v>
      </c>
      <c r="E103" t="s">
        <v>75</v>
      </c>
    </row>
    <row r="104" spans="1:5" x14ac:dyDescent="0.25">
      <c r="A104" s="10" t="s">
        <v>302</v>
      </c>
      <c r="B104" s="10" t="s">
        <v>302</v>
      </c>
      <c r="C104" s="9" t="s">
        <v>303</v>
      </c>
      <c r="D104" s="9" t="s">
        <v>75</v>
      </c>
      <c r="E104" t="s">
        <v>75</v>
      </c>
    </row>
    <row r="105" spans="1:5" x14ac:dyDescent="0.25">
      <c r="A105" s="10" t="s">
        <v>304</v>
      </c>
      <c r="B105" s="10" t="s">
        <v>304</v>
      </c>
      <c r="C105" s="9" t="s">
        <v>305</v>
      </c>
      <c r="D105" s="9" t="s">
        <v>75</v>
      </c>
      <c r="E105" t="s">
        <v>75</v>
      </c>
    </row>
    <row r="106" spans="1:5" x14ac:dyDescent="0.25">
      <c r="A106" s="10" t="s">
        <v>306</v>
      </c>
      <c r="B106" s="10" t="s">
        <v>306</v>
      </c>
      <c r="C106" s="9" t="s">
        <v>307</v>
      </c>
      <c r="D106" s="9" t="s">
        <v>75</v>
      </c>
      <c r="E106" t="s">
        <v>75</v>
      </c>
    </row>
    <row r="107" spans="1:5" x14ac:dyDescent="0.25">
      <c r="A107" s="10" t="s">
        <v>308</v>
      </c>
      <c r="B107" s="10" t="s">
        <v>308</v>
      </c>
      <c r="C107" s="9" t="s">
        <v>309</v>
      </c>
      <c r="D107" s="9" t="s">
        <v>75</v>
      </c>
      <c r="E107" t="s">
        <v>75</v>
      </c>
    </row>
    <row r="108" spans="1:5" x14ac:dyDescent="0.25">
      <c r="A108" s="10" t="s">
        <v>310</v>
      </c>
      <c r="B108" s="10" t="s">
        <v>310</v>
      </c>
      <c r="C108" s="9" t="s">
        <v>311</v>
      </c>
      <c r="D108" s="9" t="s">
        <v>75</v>
      </c>
      <c r="E108" t="s">
        <v>75</v>
      </c>
    </row>
    <row r="109" spans="1:5" x14ac:dyDescent="0.25">
      <c r="A109" s="10" t="s">
        <v>312</v>
      </c>
      <c r="B109" s="10" t="s">
        <v>312</v>
      </c>
      <c r="C109" s="9" t="s">
        <v>313</v>
      </c>
      <c r="D109" s="9" t="s">
        <v>75</v>
      </c>
      <c r="E109" t="s">
        <v>75</v>
      </c>
    </row>
    <row r="110" spans="1:5" x14ac:dyDescent="0.25">
      <c r="A110" s="10" t="s">
        <v>314</v>
      </c>
      <c r="B110" s="10" t="s">
        <v>314</v>
      </c>
      <c r="C110" s="9" t="s">
        <v>315</v>
      </c>
      <c r="D110" s="9" t="s">
        <v>75</v>
      </c>
      <c r="E110" t="s">
        <v>75</v>
      </c>
    </row>
    <row r="111" spans="1:5" x14ac:dyDescent="0.25">
      <c r="A111" s="10" t="s">
        <v>316</v>
      </c>
      <c r="B111" s="10" t="s">
        <v>316</v>
      </c>
      <c r="C111" s="9" t="s">
        <v>317</v>
      </c>
      <c r="D111" s="9" t="s">
        <v>75</v>
      </c>
      <c r="E111" t="s">
        <v>75</v>
      </c>
    </row>
    <row r="112" spans="1:5" x14ac:dyDescent="0.25">
      <c r="A112" s="10" t="s">
        <v>318</v>
      </c>
      <c r="B112" s="10" t="s">
        <v>318</v>
      </c>
      <c r="C112" s="9" t="s">
        <v>319</v>
      </c>
      <c r="D112" s="9" t="s">
        <v>75</v>
      </c>
      <c r="E112" t="s">
        <v>75</v>
      </c>
    </row>
    <row r="113" spans="1:5" x14ac:dyDescent="0.25">
      <c r="A113" s="10" t="s">
        <v>320</v>
      </c>
      <c r="B113" s="10" t="s">
        <v>320</v>
      </c>
      <c r="C113" s="9" t="s">
        <v>321</v>
      </c>
      <c r="D113" s="9" t="s">
        <v>75</v>
      </c>
      <c r="E113" t="s">
        <v>75</v>
      </c>
    </row>
    <row r="114" spans="1:5" x14ac:dyDescent="0.25">
      <c r="A114" s="10" t="s">
        <v>322</v>
      </c>
      <c r="B114" s="10" t="s">
        <v>322</v>
      </c>
      <c r="C114" s="9" t="s">
        <v>323</v>
      </c>
      <c r="D114" s="9" t="s">
        <v>75</v>
      </c>
      <c r="E114" t="s">
        <v>75</v>
      </c>
    </row>
    <row r="115" spans="1:5" x14ac:dyDescent="0.25">
      <c r="A115" s="10" t="s">
        <v>324</v>
      </c>
      <c r="B115" s="10" t="s">
        <v>324</v>
      </c>
      <c r="C115" s="9" t="s">
        <v>325</v>
      </c>
      <c r="D115" s="9" t="s">
        <v>75</v>
      </c>
      <c r="E115" t="s">
        <v>75</v>
      </c>
    </row>
    <row r="116" spans="1:5" x14ac:dyDescent="0.25">
      <c r="A116" s="10" t="s">
        <v>326</v>
      </c>
      <c r="B116" s="10" t="s">
        <v>326</v>
      </c>
      <c r="C116" s="9" t="s">
        <v>327</v>
      </c>
      <c r="D116" s="9" t="s">
        <v>75</v>
      </c>
      <c r="E116" t="s">
        <v>75</v>
      </c>
    </row>
    <row r="117" spans="1:5" x14ac:dyDescent="0.25">
      <c r="A117" s="10" t="s">
        <v>328</v>
      </c>
      <c r="B117" s="10" t="s">
        <v>328</v>
      </c>
      <c r="C117" s="9" t="s">
        <v>329</v>
      </c>
      <c r="D117" s="9" t="s">
        <v>75</v>
      </c>
      <c r="E117" t="s">
        <v>75</v>
      </c>
    </row>
    <row r="118" spans="1:5" x14ac:dyDescent="0.25">
      <c r="A118" s="10" t="s">
        <v>330</v>
      </c>
      <c r="B118" s="10" t="s">
        <v>330</v>
      </c>
      <c r="C118" s="9" t="s">
        <v>331</v>
      </c>
      <c r="D118" s="9" t="s">
        <v>75</v>
      </c>
      <c r="E118" t="s">
        <v>75</v>
      </c>
    </row>
    <row r="119" spans="1:5" x14ac:dyDescent="0.25">
      <c r="A119" s="10" t="s">
        <v>332</v>
      </c>
      <c r="B119" s="10" t="s">
        <v>332</v>
      </c>
      <c r="C119" s="9" t="s">
        <v>333</v>
      </c>
      <c r="D119" s="9" t="s">
        <v>75</v>
      </c>
      <c r="E119" t="s">
        <v>75</v>
      </c>
    </row>
    <row r="120" spans="1:5" x14ac:dyDescent="0.25">
      <c r="A120" s="10" t="s">
        <v>334</v>
      </c>
      <c r="B120" s="10" t="s">
        <v>334</v>
      </c>
      <c r="C120" s="9" t="s">
        <v>335</v>
      </c>
      <c r="D120" s="9" t="s">
        <v>75</v>
      </c>
      <c r="E120" t="s">
        <v>75</v>
      </c>
    </row>
    <row r="121" spans="1:5" x14ac:dyDescent="0.25">
      <c r="A121" s="10" t="s">
        <v>336</v>
      </c>
      <c r="B121" s="10" t="s">
        <v>336</v>
      </c>
      <c r="C121" s="9" t="s">
        <v>337</v>
      </c>
      <c r="D121" s="9" t="s">
        <v>75</v>
      </c>
      <c r="E121" t="s">
        <v>75</v>
      </c>
    </row>
    <row r="122" spans="1:5" x14ac:dyDescent="0.25">
      <c r="A122" s="10" t="s">
        <v>338</v>
      </c>
      <c r="B122" s="10" t="s">
        <v>338</v>
      </c>
      <c r="C122" s="9" t="s">
        <v>339</v>
      </c>
      <c r="D122" s="9" t="s">
        <v>75</v>
      </c>
      <c r="E122" t="s">
        <v>75</v>
      </c>
    </row>
    <row r="123" spans="1:5" x14ac:dyDescent="0.25">
      <c r="A123" s="10" t="s">
        <v>340</v>
      </c>
      <c r="B123" s="10" t="s">
        <v>340</v>
      </c>
      <c r="C123" s="9" t="s">
        <v>341</v>
      </c>
      <c r="D123" s="9" t="s">
        <v>75</v>
      </c>
      <c r="E123" t="s">
        <v>75</v>
      </c>
    </row>
    <row r="124" spans="1:5" x14ac:dyDescent="0.25">
      <c r="A124" s="10" t="s">
        <v>342</v>
      </c>
      <c r="B124" s="10" t="s">
        <v>342</v>
      </c>
      <c r="C124" s="9" t="s">
        <v>343</v>
      </c>
      <c r="D124" s="9" t="s">
        <v>75</v>
      </c>
      <c r="E124" t="s">
        <v>75</v>
      </c>
    </row>
    <row r="125" spans="1:5" x14ac:dyDescent="0.25">
      <c r="A125" s="10" t="s">
        <v>344</v>
      </c>
      <c r="B125" s="10" t="s">
        <v>344</v>
      </c>
      <c r="C125" s="9" t="s">
        <v>345</v>
      </c>
      <c r="D125" s="9" t="s">
        <v>75</v>
      </c>
      <c r="E125" t="s">
        <v>75</v>
      </c>
    </row>
    <row r="126" spans="1:5" x14ac:dyDescent="0.25">
      <c r="A126" s="10" t="s">
        <v>346</v>
      </c>
      <c r="B126" s="10" t="s">
        <v>346</v>
      </c>
      <c r="C126" s="9" t="s">
        <v>347</v>
      </c>
      <c r="D126" s="9" t="s">
        <v>75</v>
      </c>
      <c r="E126" t="s">
        <v>75</v>
      </c>
    </row>
    <row r="127" spans="1:5" x14ac:dyDescent="0.25">
      <c r="A127" s="10" t="s">
        <v>348</v>
      </c>
      <c r="B127" s="10" t="s">
        <v>348</v>
      </c>
      <c r="C127" s="9" t="s">
        <v>349</v>
      </c>
      <c r="D127" s="9" t="s">
        <v>75</v>
      </c>
      <c r="E127" t="s">
        <v>75</v>
      </c>
    </row>
    <row r="128" spans="1:5" x14ac:dyDescent="0.25">
      <c r="A128" s="10" t="s">
        <v>350</v>
      </c>
      <c r="B128" s="10" t="s">
        <v>350</v>
      </c>
      <c r="C128" s="9" t="s">
        <v>351</v>
      </c>
      <c r="D128" s="9" t="s">
        <v>75</v>
      </c>
      <c r="E128" t="s">
        <v>75</v>
      </c>
    </row>
    <row r="129" spans="1:5" x14ac:dyDescent="0.25">
      <c r="A129" s="10" t="s">
        <v>352</v>
      </c>
      <c r="B129" s="10" t="s">
        <v>352</v>
      </c>
      <c r="C129" s="9" t="s">
        <v>353</v>
      </c>
      <c r="D129" s="9" t="s">
        <v>75</v>
      </c>
      <c r="E129" t="s">
        <v>75</v>
      </c>
    </row>
    <row r="130" spans="1:5" x14ac:dyDescent="0.25">
      <c r="A130" s="10" t="s">
        <v>354</v>
      </c>
      <c r="B130" s="10" t="s">
        <v>354</v>
      </c>
      <c r="C130" s="9" t="s">
        <v>355</v>
      </c>
      <c r="D130" s="9" t="s">
        <v>75</v>
      </c>
      <c r="E130" t="s">
        <v>75</v>
      </c>
    </row>
    <row r="131" spans="1:5" x14ac:dyDescent="0.25">
      <c r="A131" s="10" t="s">
        <v>356</v>
      </c>
      <c r="B131" s="10" t="s">
        <v>356</v>
      </c>
      <c r="C131" s="9" t="s">
        <v>357</v>
      </c>
      <c r="D131" s="9" t="s">
        <v>75</v>
      </c>
      <c r="E131" t="s">
        <v>75</v>
      </c>
    </row>
    <row r="132" spans="1:5" x14ac:dyDescent="0.25">
      <c r="A132" s="10" t="s">
        <v>358</v>
      </c>
      <c r="B132" s="10" t="s">
        <v>358</v>
      </c>
      <c r="C132" s="9" t="s">
        <v>359</v>
      </c>
      <c r="D132" s="9" t="s">
        <v>75</v>
      </c>
      <c r="E132" t="s">
        <v>75</v>
      </c>
    </row>
    <row r="133" spans="1:5" x14ac:dyDescent="0.25">
      <c r="A133" s="10" t="s">
        <v>360</v>
      </c>
      <c r="B133" s="10" t="s">
        <v>360</v>
      </c>
      <c r="C133" s="9" t="s">
        <v>361</v>
      </c>
      <c r="D133" s="9" t="s">
        <v>75</v>
      </c>
      <c r="E133" t="s">
        <v>75</v>
      </c>
    </row>
    <row r="134" spans="1:5" x14ac:dyDescent="0.25">
      <c r="A134" s="10" t="s">
        <v>362</v>
      </c>
      <c r="B134" s="10" t="s">
        <v>362</v>
      </c>
      <c r="C134" s="9" t="s">
        <v>363</v>
      </c>
      <c r="D134" s="9" t="s">
        <v>75</v>
      </c>
      <c r="E134" t="s">
        <v>75</v>
      </c>
    </row>
    <row r="135" spans="1:5" x14ac:dyDescent="0.25">
      <c r="A135" s="10" t="s">
        <v>364</v>
      </c>
      <c r="B135" s="10" t="s">
        <v>364</v>
      </c>
      <c r="C135" s="9" t="s">
        <v>365</v>
      </c>
      <c r="D135" s="9" t="s">
        <v>75</v>
      </c>
      <c r="E135" t="s">
        <v>75</v>
      </c>
    </row>
    <row r="136" spans="1:5" x14ac:dyDescent="0.25">
      <c r="A136" s="10" t="s">
        <v>366</v>
      </c>
      <c r="B136" s="10" t="s">
        <v>366</v>
      </c>
      <c r="C136" s="9" t="s">
        <v>367</v>
      </c>
      <c r="D136" s="9" t="s">
        <v>75</v>
      </c>
      <c r="E136" t="s">
        <v>75</v>
      </c>
    </row>
    <row r="137" spans="1:5" x14ac:dyDescent="0.25">
      <c r="A137" s="10" t="s">
        <v>368</v>
      </c>
      <c r="B137" s="10" t="s">
        <v>368</v>
      </c>
      <c r="C137" s="9" t="s">
        <v>369</v>
      </c>
      <c r="D137" s="9" t="s">
        <v>75</v>
      </c>
      <c r="E137" t="s">
        <v>75</v>
      </c>
    </row>
    <row r="138" spans="1:5" x14ac:dyDescent="0.25">
      <c r="A138" s="10" t="s">
        <v>370</v>
      </c>
      <c r="B138" s="10" t="s">
        <v>370</v>
      </c>
      <c r="C138" s="9" t="s">
        <v>371</v>
      </c>
      <c r="D138" s="9" t="s">
        <v>75</v>
      </c>
      <c r="E138" t="s">
        <v>75</v>
      </c>
    </row>
    <row r="139" spans="1:5" x14ac:dyDescent="0.25">
      <c r="A139" s="10" t="s">
        <v>372</v>
      </c>
      <c r="B139" s="10" t="s">
        <v>372</v>
      </c>
      <c r="C139" s="9" t="s">
        <v>373</v>
      </c>
      <c r="D139" s="9" t="s">
        <v>75</v>
      </c>
      <c r="E139" t="s">
        <v>75</v>
      </c>
    </row>
    <row r="140" spans="1:5" x14ac:dyDescent="0.25">
      <c r="A140" s="10" t="s">
        <v>374</v>
      </c>
      <c r="B140" s="10" t="s">
        <v>374</v>
      </c>
      <c r="C140" s="9" t="s">
        <v>375</v>
      </c>
      <c r="D140" s="9" t="s">
        <v>75</v>
      </c>
      <c r="E140" t="s">
        <v>75</v>
      </c>
    </row>
    <row r="141" spans="1:5" x14ac:dyDescent="0.25">
      <c r="A141" s="10" t="s">
        <v>376</v>
      </c>
      <c r="B141" s="10" t="s">
        <v>376</v>
      </c>
      <c r="C141" s="9" t="s">
        <v>377</v>
      </c>
      <c r="D141" s="9" t="s">
        <v>75</v>
      </c>
      <c r="E141" t="s">
        <v>75</v>
      </c>
    </row>
    <row r="142" spans="1:5" x14ac:dyDescent="0.25">
      <c r="A142" s="10" t="s">
        <v>378</v>
      </c>
      <c r="B142" s="10" t="s">
        <v>378</v>
      </c>
      <c r="C142" s="9" t="s">
        <v>379</v>
      </c>
      <c r="D142" s="9" t="s">
        <v>75</v>
      </c>
      <c r="E142" t="s">
        <v>75</v>
      </c>
    </row>
    <row r="143" spans="1:5" x14ac:dyDescent="0.25">
      <c r="A143" s="10" t="s">
        <v>380</v>
      </c>
      <c r="B143" s="10" t="s">
        <v>380</v>
      </c>
      <c r="C143" s="9" t="s">
        <v>381</v>
      </c>
      <c r="D143" s="9" t="s">
        <v>75</v>
      </c>
      <c r="E143" t="s">
        <v>75</v>
      </c>
    </row>
    <row r="144" spans="1:5" x14ac:dyDescent="0.25">
      <c r="A144" s="10" t="s">
        <v>382</v>
      </c>
      <c r="B144" s="10" t="s">
        <v>382</v>
      </c>
      <c r="C144" s="9" t="s">
        <v>383</v>
      </c>
      <c r="D144" s="9" t="s">
        <v>75</v>
      </c>
      <c r="E144" t="s">
        <v>75</v>
      </c>
    </row>
    <row r="145" spans="1:5" x14ac:dyDescent="0.25">
      <c r="A145" s="10" t="s">
        <v>384</v>
      </c>
      <c r="B145" s="10" t="s">
        <v>384</v>
      </c>
      <c r="C145" s="9" t="s">
        <v>385</v>
      </c>
      <c r="D145" s="9" t="s">
        <v>75</v>
      </c>
      <c r="E145" t="s">
        <v>75</v>
      </c>
    </row>
    <row r="146" spans="1:5" x14ac:dyDescent="0.25">
      <c r="A146" s="10" t="s">
        <v>386</v>
      </c>
      <c r="B146" s="10" t="s">
        <v>386</v>
      </c>
      <c r="C146" s="9" t="s">
        <v>387</v>
      </c>
      <c r="D146" s="9" t="s">
        <v>75</v>
      </c>
      <c r="E146" t="s">
        <v>75</v>
      </c>
    </row>
    <row r="147" spans="1:5" x14ac:dyDescent="0.25">
      <c r="A147" s="10" t="s">
        <v>388</v>
      </c>
      <c r="B147" s="10" t="s">
        <v>388</v>
      </c>
      <c r="C147" s="9" t="s">
        <v>389</v>
      </c>
      <c r="D147" s="9" t="s">
        <v>75</v>
      </c>
      <c r="E147" t="s">
        <v>75</v>
      </c>
    </row>
    <row r="148" spans="1:5" x14ac:dyDescent="0.25">
      <c r="A148" s="10" t="s">
        <v>390</v>
      </c>
      <c r="B148" s="10" t="s">
        <v>390</v>
      </c>
      <c r="C148" s="9" t="s">
        <v>391</v>
      </c>
      <c r="D148" s="9" t="s">
        <v>75</v>
      </c>
      <c r="E148" t="s">
        <v>75</v>
      </c>
    </row>
    <row r="149" spans="1:5" x14ac:dyDescent="0.25">
      <c r="A149" s="10" t="s">
        <v>392</v>
      </c>
      <c r="B149" s="10" t="s">
        <v>392</v>
      </c>
      <c r="C149" s="9" t="s">
        <v>393</v>
      </c>
      <c r="D149" s="9" t="s">
        <v>75</v>
      </c>
      <c r="E149" t="s">
        <v>75</v>
      </c>
    </row>
    <row r="150" spans="1:5" x14ac:dyDescent="0.25">
      <c r="A150" s="10" t="s">
        <v>394</v>
      </c>
      <c r="B150" s="10" t="s">
        <v>394</v>
      </c>
      <c r="C150" s="9" t="s">
        <v>395</v>
      </c>
      <c r="D150" s="9" t="s">
        <v>75</v>
      </c>
      <c r="E150" t="s">
        <v>75</v>
      </c>
    </row>
    <row r="151" spans="1:5" x14ac:dyDescent="0.25">
      <c r="A151" s="10" t="s">
        <v>396</v>
      </c>
      <c r="B151" s="10" t="s">
        <v>396</v>
      </c>
      <c r="C151" s="9" t="s">
        <v>397</v>
      </c>
      <c r="D151" s="9" t="s">
        <v>75</v>
      </c>
      <c r="E151" t="s">
        <v>75</v>
      </c>
    </row>
    <row r="152" spans="1:5" x14ac:dyDescent="0.25">
      <c r="A152" s="10" t="s">
        <v>398</v>
      </c>
      <c r="B152" s="10" t="s">
        <v>398</v>
      </c>
      <c r="C152" s="9" t="s">
        <v>399</v>
      </c>
      <c r="D152" s="9" t="s">
        <v>75</v>
      </c>
      <c r="E152" t="s">
        <v>75</v>
      </c>
    </row>
    <row r="153" spans="1:5" x14ac:dyDescent="0.25">
      <c r="A153" s="10" t="s">
        <v>400</v>
      </c>
      <c r="B153" s="10" t="s">
        <v>400</v>
      </c>
      <c r="C153" s="9" t="s">
        <v>401</v>
      </c>
      <c r="D153" s="9" t="s">
        <v>75</v>
      </c>
      <c r="E153" t="s">
        <v>75</v>
      </c>
    </row>
    <row r="154" spans="1:5" x14ac:dyDescent="0.25">
      <c r="A154" s="10" t="s">
        <v>402</v>
      </c>
      <c r="B154" s="10" t="s">
        <v>402</v>
      </c>
      <c r="C154" s="9" t="s">
        <v>403</v>
      </c>
      <c r="D154" s="9" t="s">
        <v>75</v>
      </c>
      <c r="E154" t="s">
        <v>75</v>
      </c>
    </row>
    <row r="155" spans="1:5" x14ac:dyDescent="0.25">
      <c r="A155" s="10" t="s">
        <v>404</v>
      </c>
      <c r="B155" s="10" t="s">
        <v>404</v>
      </c>
      <c r="C155" s="9" t="s">
        <v>405</v>
      </c>
      <c r="D155" s="9" t="s">
        <v>75</v>
      </c>
      <c r="E155" t="s">
        <v>75</v>
      </c>
    </row>
    <row r="156" spans="1:5" x14ac:dyDescent="0.25">
      <c r="A156" s="10" t="s">
        <v>406</v>
      </c>
      <c r="B156" s="10" t="s">
        <v>406</v>
      </c>
      <c r="C156" s="9" t="s">
        <v>407</v>
      </c>
      <c r="D156" s="9" t="s">
        <v>75</v>
      </c>
      <c r="E156" t="s">
        <v>75</v>
      </c>
    </row>
    <row r="157" spans="1:5" x14ac:dyDescent="0.25">
      <c r="A157" s="10" t="s">
        <v>408</v>
      </c>
      <c r="B157" s="10" t="s">
        <v>408</v>
      </c>
      <c r="C157" s="9" t="s">
        <v>409</v>
      </c>
      <c r="D157" s="9" t="s">
        <v>75</v>
      </c>
      <c r="E157" t="s">
        <v>75</v>
      </c>
    </row>
    <row r="158" spans="1:5" x14ac:dyDescent="0.25">
      <c r="A158" s="10" t="s">
        <v>410</v>
      </c>
      <c r="B158" s="10" t="s">
        <v>410</v>
      </c>
      <c r="C158" s="9" t="s">
        <v>411</v>
      </c>
      <c r="D158" s="9" t="s">
        <v>75</v>
      </c>
      <c r="E158" t="s">
        <v>75</v>
      </c>
    </row>
    <row r="159" spans="1:5" x14ac:dyDescent="0.25">
      <c r="A159" s="10" t="s">
        <v>412</v>
      </c>
      <c r="B159" s="10" t="s">
        <v>412</v>
      </c>
      <c r="C159" s="9" t="s">
        <v>413</v>
      </c>
      <c r="D159" s="9" t="s">
        <v>75</v>
      </c>
      <c r="E159" t="s">
        <v>75</v>
      </c>
    </row>
    <row r="160" spans="1:5" x14ac:dyDescent="0.25">
      <c r="A160" s="10" t="s">
        <v>414</v>
      </c>
      <c r="B160" s="10" t="s">
        <v>414</v>
      </c>
      <c r="C160" s="9" t="s">
        <v>415</v>
      </c>
      <c r="D160" s="9" t="s">
        <v>75</v>
      </c>
      <c r="E160" t="s">
        <v>75</v>
      </c>
    </row>
    <row r="161" spans="1:5" x14ac:dyDescent="0.25">
      <c r="A161" s="10" t="s">
        <v>416</v>
      </c>
      <c r="B161" s="10" t="s">
        <v>416</v>
      </c>
      <c r="C161" s="9" t="s">
        <v>417</v>
      </c>
      <c r="D161" s="9" t="s">
        <v>75</v>
      </c>
      <c r="E161" t="s">
        <v>75</v>
      </c>
    </row>
    <row r="162" spans="1:5" x14ac:dyDescent="0.25">
      <c r="A162" s="10" t="s">
        <v>418</v>
      </c>
      <c r="B162" s="10" t="s">
        <v>418</v>
      </c>
      <c r="C162" s="9" t="s">
        <v>419</v>
      </c>
      <c r="D162" s="9" t="s">
        <v>75</v>
      </c>
      <c r="E162" t="s">
        <v>75</v>
      </c>
    </row>
    <row r="163" spans="1:5" x14ac:dyDescent="0.25">
      <c r="A163" s="10" t="s">
        <v>420</v>
      </c>
      <c r="B163" s="10" t="s">
        <v>420</v>
      </c>
      <c r="C163" s="9" t="s">
        <v>421</v>
      </c>
      <c r="D163" s="9" t="s">
        <v>75</v>
      </c>
      <c r="E163" t="s">
        <v>75</v>
      </c>
    </row>
    <row r="164" spans="1:5" x14ac:dyDescent="0.25">
      <c r="A164" s="10" t="s">
        <v>422</v>
      </c>
      <c r="B164" s="10" t="s">
        <v>422</v>
      </c>
      <c r="C164" s="9" t="s">
        <v>423</v>
      </c>
      <c r="D164" s="9" t="s">
        <v>75</v>
      </c>
      <c r="E164" t="s">
        <v>75</v>
      </c>
    </row>
    <row r="165" spans="1:5" x14ac:dyDescent="0.25">
      <c r="A165" s="10" t="s">
        <v>424</v>
      </c>
      <c r="B165" s="10" t="s">
        <v>424</v>
      </c>
      <c r="C165" s="9" t="s">
        <v>425</v>
      </c>
      <c r="D165" s="9" t="s">
        <v>75</v>
      </c>
      <c r="E165" t="s">
        <v>75</v>
      </c>
    </row>
    <row r="166" spans="1:5" x14ac:dyDescent="0.25">
      <c r="A166" s="10" t="s">
        <v>426</v>
      </c>
      <c r="B166" s="10" t="s">
        <v>426</v>
      </c>
      <c r="C166" s="9" t="s">
        <v>427</v>
      </c>
      <c r="D166" s="9" t="s">
        <v>75</v>
      </c>
      <c r="E166" t="s">
        <v>75</v>
      </c>
    </row>
    <row r="167" spans="1:5" x14ac:dyDescent="0.25">
      <c r="A167" s="10" t="s">
        <v>428</v>
      </c>
      <c r="B167" s="10" t="s">
        <v>428</v>
      </c>
      <c r="C167" s="9" t="s">
        <v>429</v>
      </c>
      <c r="D167" s="9" t="s">
        <v>75</v>
      </c>
      <c r="E167" t="s">
        <v>75</v>
      </c>
    </row>
    <row r="168" spans="1:5" x14ac:dyDescent="0.25">
      <c r="A168" s="10" t="s">
        <v>430</v>
      </c>
      <c r="B168" s="10" t="s">
        <v>430</v>
      </c>
      <c r="C168" s="9" t="s">
        <v>431</v>
      </c>
      <c r="D168" s="9" t="s">
        <v>75</v>
      </c>
      <c r="E168" t="s">
        <v>75</v>
      </c>
    </row>
    <row r="169" spans="1:5" x14ac:dyDescent="0.25">
      <c r="A169" s="10" t="s">
        <v>432</v>
      </c>
      <c r="B169" s="10" t="s">
        <v>432</v>
      </c>
      <c r="C169" s="9" t="s">
        <v>433</v>
      </c>
      <c r="D169" s="9" t="s">
        <v>75</v>
      </c>
      <c r="E169" t="s">
        <v>75</v>
      </c>
    </row>
    <row r="170" spans="1:5" x14ac:dyDescent="0.25">
      <c r="A170" s="10" t="s">
        <v>434</v>
      </c>
      <c r="B170" s="10" t="s">
        <v>434</v>
      </c>
      <c r="C170" s="9" t="s">
        <v>435</v>
      </c>
      <c r="D170" s="9" t="s">
        <v>75</v>
      </c>
      <c r="E170" t="s">
        <v>75</v>
      </c>
    </row>
    <row r="171" spans="1:5" x14ac:dyDescent="0.25">
      <c r="A171" s="10" t="s">
        <v>436</v>
      </c>
      <c r="B171" s="10" t="s">
        <v>436</v>
      </c>
      <c r="C171" s="9" t="s">
        <v>437</v>
      </c>
      <c r="D171" s="9" t="s">
        <v>75</v>
      </c>
      <c r="E171" t="s">
        <v>75</v>
      </c>
    </row>
    <row r="172" spans="1:5" x14ac:dyDescent="0.25">
      <c r="A172" s="10" t="s">
        <v>438</v>
      </c>
      <c r="B172" s="10" t="s">
        <v>438</v>
      </c>
      <c r="C172" s="9" t="s">
        <v>439</v>
      </c>
      <c r="D172" s="9" t="s">
        <v>75</v>
      </c>
      <c r="E172" t="s">
        <v>75</v>
      </c>
    </row>
    <row r="173" spans="1:5" x14ac:dyDescent="0.25">
      <c r="A173" s="10" t="s">
        <v>440</v>
      </c>
      <c r="B173" s="10" t="s">
        <v>440</v>
      </c>
      <c r="C173" s="9" t="s">
        <v>441</v>
      </c>
      <c r="D173" s="9" t="s">
        <v>75</v>
      </c>
      <c r="E173" t="s">
        <v>75</v>
      </c>
    </row>
    <row r="174" spans="1:5" x14ac:dyDescent="0.25">
      <c r="A174" s="10" t="s">
        <v>442</v>
      </c>
      <c r="B174" s="10" t="s">
        <v>442</v>
      </c>
      <c r="C174" s="9" t="s">
        <v>443</v>
      </c>
      <c r="D174" s="9" t="s">
        <v>75</v>
      </c>
      <c r="E174" t="s">
        <v>75</v>
      </c>
    </row>
    <row r="175" spans="1:5" x14ac:dyDescent="0.25">
      <c r="A175" s="10" t="s">
        <v>444</v>
      </c>
      <c r="B175" s="10" t="s">
        <v>444</v>
      </c>
      <c r="C175" s="9" t="s">
        <v>445</v>
      </c>
      <c r="D175" s="9" t="s">
        <v>75</v>
      </c>
      <c r="E175" t="s">
        <v>75</v>
      </c>
    </row>
    <row r="176" spans="1:5" x14ac:dyDescent="0.25">
      <c r="A176" s="10" t="s">
        <v>446</v>
      </c>
      <c r="B176" s="10" t="s">
        <v>446</v>
      </c>
      <c r="C176" s="9" t="s">
        <v>447</v>
      </c>
      <c r="D176" s="9" t="s">
        <v>75</v>
      </c>
      <c r="E176" t="s">
        <v>75</v>
      </c>
    </row>
    <row r="177" spans="1:5" x14ac:dyDescent="0.25">
      <c r="A177" s="10" t="s">
        <v>448</v>
      </c>
      <c r="B177" s="10" t="s">
        <v>448</v>
      </c>
      <c r="C177" s="9" t="s">
        <v>449</v>
      </c>
      <c r="D177" s="9" t="s">
        <v>75</v>
      </c>
      <c r="E177" t="s">
        <v>75</v>
      </c>
    </row>
    <row r="178" spans="1:5" x14ac:dyDescent="0.25">
      <c r="A178" s="10" t="s">
        <v>450</v>
      </c>
      <c r="B178" s="10" t="s">
        <v>450</v>
      </c>
      <c r="C178" s="9" t="s">
        <v>451</v>
      </c>
      <c r="D178" s="9" t="s">
        <v>75</v>
      </c>
      <c r="E178" t="s">
        <v>75</v>
      </c>
    </row>
    <row r="179" spans="1:5" x14ac:dyDescent="0.25">
      <c r="A179" s="10" t="s">
        <v>452</v>
      </c>
      <c r="B179" s="10" t="s">
        <v>452</v>
      </c>
      <c r="C179" s="9" t="s">
        <v>453</v>
      </c>
      <c r="D179" s="9" t="s">
        <v>75</v>
      </c>
      <c r="E179" t="s">
        <v>75</v>
      </c>
    </row>
    <row r="180" spans="1:5" x14ac:dyDescent="0.25">
      <c r="A180" s="10" t="s">
        <v>454</v>
      </c>
      <c r="B180" s="10" t="s">
        <v>454</v>
      </c>
      <c r="C180" s="9" t="s">
        <v>455</v>
      </c>
      <c r="D180" s="9" t="s">
        <v>75</v>
      </c>
      <c r="E180" t="s">
        <v>75</v>
      </c>
    </row>
    <row r="181" spans="1:5" x14ac:dyDescent="0.25">
      <c r="A181" s="10" t="s">
        <v>456</v>
      </c>
      <c r="B181" s="10" t="s">
        <v>456</v>
      </c>
      <c r="C181" s="9" t="s">
        <v>457</v>
      </c>
      <c r="D181" s="9" t="s">
        <v>75</v>
      </c>
      <c r="E181" t="s">
        <v>75</v>
      </c>
    </row>
    <row r="182" spans="1:5" x14ac:dyDescent="0.25">
      <c r="A182" s="10" t="s">
        <v>458</v>
      </c>
      <c r="B182" s="10" t="s">
        <v>458</v>
      </c>
      <c r="C182" s="9" t="s">
        <v>459</v>
      </c>
      <c r="D182" s="9" t="s">
        <v>75</v>
      </c>
      <c r="E182" t="s">
        <v>75</v>
      </c>
    </row>
    <row r="183" spans="1:5" x14ac:dyDescent="0.25">
      <c r="A183" s="10" t="s">
        <v>460</v>
      </c>
      <c r="B183" s="10" t="s">
        <v>460</v>
      </c>
      <c r="C183" s="9" t="s">
        <v>461</v>
      </c>
      <c r="D183" s="9" t="s">
        <v>75</v>
      </c>
      <c r="E183" t="s">
        <v>75</v>
      </c>
    </row>
    <row r="184" spans="1:5" x14ac:dyDescent="0.25">
      <c r="A184" s="10" t="s">
        <v>462</v>
      </c>
      <c r="B184" s="10" t="s">
        <v>462</v>
      </c>
      <c r="C184" s="9" t="s">
        <v>463</v>
      </c>
      <c r="D184" s="9" t="s">
        <v>75</v>
      </c>
      <c r="E184" t="s">
        <v>75</v>
      </c>
    </row>
    <row r="185" spans="1:5" x14ac:dyDescent="0.25">
      <c r="A185" s="10" t="s">
        <v>464</v>
      </c>
      <c r="B185" s="10" t="s">
        <v>464</v>
      </c>
      <c r="C185" s="9" t="s">
        <v>465</v>
      </c>
      <c r="D185" s="9" t="s">
        <v>75</v>
      </c>
      <c r="E185" t="s">
        <v>75</v>
      </c>
    </row>
    <row r="186" spans="1:5" x14ac:dyDescent="0.25">
      <c r="A186" s="10" t="s">
        <v>466</v>
      </c>
      <c r="B186" s="10" t="s">
        <v>466</v>
      </c>
      <c r="C186" s="9" t="s">
        <v>467</v>
      </c>
      <c r="D186" s="9" t="s">
        <v>75</v>
      </c>
      <c r="E186" t="s">
        <v>75</v>
      </c>
    </row>
    <row r="187" spans="1:5" x14ac:dyDescent="0.25">
      <c r="A187" s="10" t="s">
        <v>468</v>
      </c>
      <c r="B187" s="10" t="s">
        <v>468</v>
      </c>
      <c r="C187" s="9" t="s">
        <v>469</v>
      </c>
      <c r="D187" s="9" t="s">
        <v>75</v>
      </c>
      <c r="E187" t="s">
        <v>75</v>
      </c>
    </row>
    <row r="188" spans="1:5" x14ac:dyDescent="0.25">
      <c r="A188" s="10" t="s">
        <v>470</v>
      </c>
      <c r="B188" s="10" t="s">
        <v>470</v>
      </c>
      <c r="C188" s="9" t="s">
        <v>471</v>
      </c>
      <c r="D188" s="9" t="s">
        <v>75</v>
      </c>
      <c r="E188" t="s">
        <v>75</v>
      </c>
    </row>
    <row r="189" spans="1:5" x14ac:dyDescent="0.25">
      <c r="A189" s="10" t="s">
        <v>472</v>
      </c>
      <c r="B189" s="10" t="s">
        <v>472</v>
      </c>
      <c r="C189" s="9" t="s">
        <v>473</v>
      </c>
      <c r="D189" s="9" t="s">
        <v>75</v>
      </c>
      <c r="E189" t="s">
        <v>75</v>
      </c>
    </row>
    <row r="190" spans="1:5" x14ac:dyDescent="0.25">
      <c r="A190" s="10" t="s">
        <v>474</v>
      </c>
      <c r="B190" s="10" t="s">
        <v>474</v>
      </c>
      <c r="C190" s="9" t="s">
        <v>475</v>
      </c>
      <c r="D190" s="9" t="s">
        <v>75</v>
      </c>
      <c r="E190" t="s">
        <v>75</v>
      </c>
    </row>
    <row r="191" spans="1:5" x14ac:dyDescent="0.25">
      <c r="A191" s="10" t="s">
        <v>476</v>
      </c>
      <c r="B191" s="10" t="s">
        <v>476</v>
      </c>
      <c r="C191" s="9" t="s">
        <v>477</v>
      </c>
      <c r="D191" s="9" t="s">
        <v>75</v>
      </c>
      <c r="E191" t="s">
        <v>75</v>
      </c>
    </row>
    <row r="192" spans="1:5" x14ac:dyDescent="0.25">
      <c r="A192" s="10" t="s">
        <v>478</v>
      </c>
      <c r="B192" s="10" t="s">
        <v>478</v>
      </c>
      <c r="C192" s="9" t="s">
        <v>479</v>
      </c>
      <c r="D192" s="9" t="s">
        <v>75</v>
      </c>
      <c r="E192" t="s">
        <v>75</v>
      </c>
    </row>
    <row r="193" spans="1:5" x14ac:dyDescent="0.25">
      <c r="A193" s="10" t="s">
        <v>480</v>
      </c>
      <c r="B193" s="10" t="s">
        <v>480</v>
      </c>
      <c r="C193" s="9" t="s">
        <v>481</v>
      </c>
      <c r="D193" s="9" t="s">
        <v>75</v>
      </c>
      <c r="E193" t="s">
        <v>75</v>
      </c>
    </row>
    <row r="194" spans="1:5" x14ac:dyDescent="0.25">
      <c r="A194" s="10" t="s">
        <v>482</v>
      </c>
      <c r="B194" s="10" t="s">
        <v>482</v>
      </c>
      <c r="C194" s="9" t="s">
        <v>483</v>
      </c>
      <c r="D194" s="9" t="s">
        <v>75</v>
      </c>
      <c r="E194" t="s">
        <v>75</v>
      </c>
    </row>
    <row r="195" spans="1:5" x14ac:dyDescent="0.25">
      <c r="A195" s="10" t="s">
        <v>484</v>
      </c>
      <c r="B195" s="10" t="s">
        <v>484</v>
      </c>
      <c r="C195" s="9" t="s">
        <v>485</v>
      </c>
      <c r="D195" s="9" t="s">
        <v>75</v>
      </c>
      <c r="E195" t="s">
        <v>75</v>
      </c>
    </row>
    <row r="196" spans="1:5" x14ac:dyDescent="0.25">
      <c r="A196" s="10" t="s">
        <v>486</v>
      </c>
      <c r="B196" s="10" t="s">
        <v>486</v>
      </c>
      <c r="C196" s="9" t="s">
        <v>487</v>
      </c>
      <c r="D196" s="9" t="s">
        <v>75</v>
      </c>
      <c r="E196" t="s">
        <v>75</v>
      </c>
    </row>
    <row r="197" spans="1:5" x14ac:dyDescent="0.25">
      <c r="A197" s="10" t="s">
        <v>488</v>
      </c>
      <c r="B197" s="10" t="s">
        <v>488</v>
      </c>
      <c r="C197" s="9" t="s">
        <v>489</v>
      </c>
      <c r="D197" s="9" t="s">
        <v>75</v>
      </c>
      <c r="E197" t="s">
        <v>75</v>
      </c>
    </row>
    <row r="198" spans="1:5" x14ac:dyDescent="0.25">
      <c r="A198" s="10" t="s">
        <v>490</v>
      </c>
      <c r="B198" s="10" t="s">
        <v>490</v>
      </c>
      <c r="C198" s="9" t="s">
        <v>491</v>
      </c>
      <c r="D198" s="9" t="s">
        <v>75</v>
      </c>
      <c r="E198" t="s">
        <v>75</v>
      </c>
    </row>
    <row r="199" spans="1:5" x14ac:dyDescent="0.25">
      <c r="A199" s="10" t="s">
        <v>492</v>
      </c>
      <c r="B199" s="10" t="s">
        <v>492</v>
      </c>
      <c r="C199" s="9" t="s">
        <v>493</v>
      </c>
      <c r="D199" s="9" t="s">
        <v>75</v>
      </c>
      <c r="E199" t="s">
        <v>75</v>
      </c>
    </row>
    <row r="200" spans="1:5" x14ac:dyDescent="0.25">
      <c r="A200" s="10" t="s">
        <v>494</v>
      </c>
      <c r="B200" s="10" t="s">
        <v>494</v>
      </c>
      <c r="C200" s="9" t="s">
        <v>495</v>
      </c>
      <c r="D200" s="9" t="s">
        <v>75</v>
      </c>
      <c r="E200" t="s">
        <v>75</v>
      </c>
    </row>
    <row r="201" spans="1:5" x14ac:dyDescent="0.25">
      <c r="A201" s="10" t="s">
        <v>496</v>
      </c>
      <c r="B201" s="10" t="s">
        <v>496</v>
      </c>
      <c r="C201" s="9" t="s">
        <v>497</v>
      </c>
      <c r="D201" s="9" t="s">
        <v>75</v>
      </c>
      <c r="E201" t="s">
        <v>75</v>
      </c>
    </row>
    <row r="202" spans="1:5" x14ac:dyDescent="0.25">
      <c r="A202" s="10" t="s">
        <v>498</v>
      </c>
      <c r="B202" s="10" t="s">
        <v>498</v>
      </c>
      <c r="C202" s="9" t="s">
        <v>499</v>
      </c>
      <c r="D202" s="9" t="s">
        <v>75</v>
      </c>
      <c r="E202" t="s">
        <v>75</v>
      </c>
    </row>
    <row r="203" spans="1:5" x14ac:dyDescent="0.25">
      <c r="A203" s="10" t="s">
        <v>500</v>
      </c>
      <c r="B203" s="10" t="s">
        <v>500</v>
      </c>
      <c r="C203" s="9" t="s">
        <v>501</v>
      </c>
      <c r="D203" s="9" t="s">
        <v>75</v>
      </c>
      <c r="E203" t="s">
        <v>75</v>
      </c>
    </row>
    <row r="204" spans="1:5" x14ac:dyDescent="0.25">
      <c r="A204" s="10" t="s">
        <v>502</v>
      </c>
      <c r="B204" s="10" t="s">
        <v>502</v>
      </c>
      <c r="C204" s="9" t="s">
        <v>503</v>
      </c>
      <c r="D204" s="9" t="s">
        <v>75</v>
      </c>
      <c r="E204" t="s">
        <v>75</v>
      </c>
    </row>
    <row r="205" spans="1:5" x14ac:dyDescent="0.25">
      <c r="A205" s="10" t="s">
        <v>504</v>
      </c>
      <c r="B205" s="10" t="s">
        <v>504</v>
      </c>
      <c r="C205" s="9" t="s">
        <v>505</v>
      </c>
      <c r="D205" s="9" t="s">
        <v>75</v>
      </c>
      <c r="E205" t="s">
        <v>75</v>
      </c>
    </row>
    <row r="206" spans="1:5" x14ac:dyDescent="0.25">
      <c r="A206" s="10" t="s">
        <v>506</v>
      </c>
      <c r="B206" s="10" t="s">
        <v>506</v>
      </c>
      <c r="C206" s="9" t="s">
        <v>507</v>
      </c>
      <c r="D206" s="9" t="s">
        <v>75</v>
      </c>
      <c r="E206" t="s">
        <v>75</v>
      </c>
    </row>
    <row r="207" spans="1:5" x14ac:dyDescent="0.25">
      <c r="A207" s="10" t="s">
        <v>508</v>
      </c>
      <c r="B207" s="10" t="s">
        <v>508</v>
      </c>
      <c r="C207" s="9" t="s">
        <v>509</v>
      </c>
      <c r="D207" s="9" t="s">
        <v>75</v>
      </c>
      <c r="E207" t="s">
        <v>75</v>
      </c>
    </row>
    <row r="208" spans="1:5" x14ac:dyDescent="0.25">
      <c r="A208" s="10" t="s">
        <v>510</v>
      </c>
      <c r="B208" s="10" t="s">
        <v>510</v>
      </c>
      <c r="C208" s="9" t="s">
        <v>511</v>
      </c>
      <c r="D208" s="9" t="s">
        <v>75</v>
      </c>
      <c r="E208" t="s">
        <v>75</v>
      </c>
    </row>
    <row r="209" spans="1:5" x14ac:dyDescent="0.25">
      <c r="A209" s="10" t="s">
        <v>512</v>
      </c>
      <c r="B209" s="10" t="s">
        <v>512</v>
      </c>
      <c r="C209" s="9" t="s">
        <v>513</v>
      </c>
      <c r="D209" s="9" t="s">
        <v>75</v>
      </c>
      <c r="E209" t="s">
        <v>75</v>
      </c>
    </row>
    <row r="210" spans="1:5" x14ac:dyDescent="0.25">
      <c r="A210" s="10" t="s">
        <v>514</v>
      </c>
      <c r="B210" s="10" t="s">
        <v>514</v>
      </c>
      <c r="C210" s="9" t="s">
        <v>515</v>
      </c>
      <c r="D210" s="9" t="s">
        <v>75</v>
      </c>
      <c r="E210" t="s">
        <v>75</v>
      </c>
    </row>
    <row r="211" spans="1:5" x14ac:dyDescent="0.25">
      <c r="A211" s="10" t="s">
        <v>516</v>
      </c>
      <c r="B211" s="10" t="s">
        <v>516</v>
      </c>
      <c r="C211" s="9" t="s">
        <v>517</v>
      </c>
      <c r="D211" s="9" t="s">
        <v>75</v>
      </c>
      <c r="E211" t="s">
        <v>75</v>
      </c>
    </row>
    <row r="212" spans="1:5" x14ac:dyDescent="0.25">
      <c r="A212" s="10" t="s">
        <v>518</v>
      </c>
      <c r="B212" s="10" t="s">
        <v>518</v>
      </c>
      <c r="C212" s="9" t="s">
        <v>519</v>
      </c>
      <c r="D212" s="9" t="s">
        <v>75</v>
      </c>
      <c r="E212" t="s">
        <v>75</v>
      </c>
    </row>
    <row r="213" spans="1:5" x14ac:dyDescent="0.25">
      <c r="A213" s="10" t="s">
        <v>520</v>
      </c>
      <c r="B213" s="10" t="s">
        <v>520</v>
      </c>
      <c r="C213" s="9" t="s">
        <v>521</v>
      </c>
      <c r="D213" s="9" t="s">
        <v>75</v>
      </c>
      <c r="E213" t="s">
        <v>75</v>
      </c>
    </row>
    <row r="214" spans="1:5" x14ac:dyDescent="0.25">
      <c r="A214" s="10" t="s">
        <v>522</v>
      </c>
      <c r="B214" s="10" t="s">
        <v>522</v>
      </c>
      <c r="C214" s="9" t="s">
        <v>523</v>
      </c>
      <c r="D214" s="9" t="s">
        <v>75</v>
      </c>
      <c r="E214" t="s">
        <v>75</v>
      </c>
    </row>
    <row r="215" spans="1:5" x14ac:dyDescent="0.25">
      <c r="A215" s="10" t="s">
        <v>524</v>
      </c>
      <c r="B215" s="10" t="s">
        <v>524</v>
      </c>
      <c r="C215" s="9" t="s">
        <v>525</v>
      </c>
      <c r="D215" s="9" t="s">
        <v>75</v>
      </c>
      <c r="E215" t="s">
        <v>75</v>
      </c>
    </row>
    <row r="216" spans="1:5" x14ac:dyDescent="0.25">
      <c r="A216" s="10" t="s">
        <v>526</v>
      </c>
      <c r="B216" s="10" t="s">
        <v>526</v>
      </c>
      <c r="C216" s="9" t="s">
        <v>527</v>
      </c>
      <c r="D216" s="9" t="s">
        <v>75</v>
      </c>
      <c r="E216" t="s">
        <v>75</v>
      </c>
    </row>
    <row r="217" spans="1:5" x14ac:dyDescent="0.25">
      <c r="A217" s="10" t="s">
        <v>528</v>
      </c>
      <c r="B217" s="10" t="s">
        <v>528</v>
      </c>
      <c r="C217" s="9" t="s">
        <v>529</v>
      </c>
      <c r="D217" s="9" t="s">
        <v>75</v>
      </c>
      <c r="E217" t="s">
        <v>75</v>
      </c>
    </row>
    <row r="218" spans="1:5" x14ac:dyDescent="0.25">
      <c r="A218" s="10" t="s">
        <v>530</v>
      </c>
      <c r="B218" s="10" t="s">
        <v>530</v>
      </c>
      <c r="C218" s="9" t="s">
        <v>531</v>
      </c>
      <c r="D218" s="9" t="s">
        <v>75</v>
      </c>
      <c r="E218" t="s">
        <v>75</v>
      </c>
    </row>
    <row r="219" spans="1:5" x14ac:dyDescent="0.25">
      <c r="A219" s="10" t="s">
        <v>532</v>
      </c>
      <c r="B219" s="10" t="s">
        <v>532</v>
      </c>
      <c r="C219" s="9" t="s">
        <v>533</v>
      </c>
      <c r="D219" s="9" t="s">
        <v>75</v>
      </c>
      <c r="E219" t="s">
        <v>75</v>
      </c>
    </row>
    <row r="220" spans="1:5" x14ac:dyDescent="0.25">
      <c r="A220" s="10" t="s">
        <v>534</v>
      </c>
      <c r="B220" s="10" t="s">
        <v>534</v>
      </c>
      <c r="C220" s="9" t="s">
        <v>535</v>
      </c>
      <c r="D220" s="9" t="s">
        <v>75</v>
      </c>
      <c r="E220" t="s">
        <v>75</v>
      </c>
    </row>
    <row r="221" spans="1:5" x14ac:dyDescent="0.25">
      <c r="A221" s="10" t="s">
        <v>536</v>
      </c>
      <c r="B221" s="10" t="s">
        <v>536</v>
      </c>
      <c r="C221" s="9" t="s">
        <v>537</v>
      </c>
      <c r="D221" s="9" t="s">
        <v>75</v>
      </c>
      <c r="E221" t="s">
        <v>75</v>
      </c>
    </row>
    <row r="222" spans="1:5" x14ac:dyDescent="0.25">
      <c r="A222" s="10" t="s">
        <v>538</v>
      </c>
      <c r="B222" s="10" t="s">
        <v>538</v>
      </c>
      <c r="C222" s="9" t="s">
        <v>539</v>
      </c>
      <c r="D222" s="9" t="s">
        <v>75</v>
      </c>
      <c r="E222" t="s">
        <v>75</v>
      </c>
    </row>
    <row r="223" spans="1:5" x14ac:dyDescent="0.25">
      <c r="A223" s="10" t="s">
        <v>540</v>
      </c>
      <c r="B223" s="10" t="s">
        <v>540</v>
      </c>
      <c r="C223" s="9" t="s">
        <v>541</v>
      </c>
      <c r="D223" s="9" t="s">
        <v>75</v>
      </c>
      <c r="E223" t="s">
        <v>75</v>
      </c>
    </row>
    <row r="224" spans="1:5" x14ac:dyDescent="0.25">
      <c r="A224" s="10" t="s">
        <v>542</v>
      </c>
      <c r="B224" s="10" t="s">
        <v>542</v>
      </c>
      <c r="C224" s="9" t="s">
        <v>543</v>
      </c>
      <c r="D224" s="9" t="s">
        <v>75</v>
      </c>
      <c r="E224" t="s">
        <v>75</v>
      </c>
    </row>
    <row r="225" spans="1:5" x14ac:dyDescent="0.25">
      <c r="A225" s="10" t="s">
        <v>544</v>
      </c>
      <c r="B225" s="10" t="s">
        <v>544</v>
      </c>
      <c r="C225" s="9" t="s">
        <v>545</v>
      </c>
      <c r="D225" s="9" t="s">
        <v>75</v>
      </c>
      <c r="E225" t="s">
        <v>75</v>
      </c>
    </row>
    <row r="226" spans="1:5" x14ac:dyDescent="0.25">
      <c r="A226" s="10" t="s">
        <v>546</v>
      </c>
      <c r="B226" s="10" t="s">
        <v>546</v>
      </c>
      <c r="C226" s="9" t="s">
        <v>547</v>
      </c>
      <c r="D226" s="9" t="s">
        <v>75</v>
      </c>
      <c r="E226" t="s">
        <v>75</v>
      </c>
    </row>
    <row r="227" spans="1:5" x14ac:dyDescent="0.25">
      <c r="A227" s="10" t="s">
        <v>548</v>
      </c>
      <c r="B227" s="10" t="s">
        <v>548</v>
      </c>
      <c r="C227" s="9" t="s">
        <v>549</v>
      </c>
      <c r="D227" s="9" t="s">
        <v>75</v>
      </c>
      <c r="E227" t="s">
        <v>75</v>
      </c>
    </row>
    <row r="228" spans="1:5" x14ac:dyDescent="0.25">
      <c r="A228" s="10" t="s">
        <v>550</v>
      </c>
      <c r="B228" s="10" t="s">
        <v>550</v>
      </c>
      <c r="C228" s="9" t="s">
        <v>551</v>
      </c>
      <c r="D228" s="9" t="s">
        <v>75</v>
      </c>
      <c r="E228" t="s">
        <v>75</v>
      </c>
    </row>
    <row r="229" spans="1:5" x14ac:dyDescent="0.25">
      <c r="A229" s="10" t="s">
        <v>552</v>
      </c>
      <c r="B229" s="10" t="s">
        <v>552</v>
      </c>
      <c r="C229" s="9" t="s">
        <v>553</v>
      </c>
      <c r="D229" s="9" t="s">
        <v>75</v>
      </c>
      <c r="E229" t="s">
        <v>75</v>
      </c>
    </row>
    <row r="230" spans="1:5" x14ac:dyDescent="0.25">
      <c r="A230" s="10" t="s">
        <v>554</v>
      </c>
      <c r="B230" s="10" t="s">
        <v>554</v>
      </c>
      <c r="C230" s="9" t="s">
        <v>555</v>
      </c>
      <c r="D230" s="9" t="s">
        <v>75</v>
      </c>
      <c r="E230" t="s">
        <v>75</v>
      </c>
    </row>
    <row r="231" spans="1:5" x14ac:dyDescent="0.25">
      <c r="A231" s="10" t="s">
        <v>556</v>
      </c>
      <c r="B231" s="10" t="s">
        <v>556</v>
      </c>
      <c r="C231" s="9" t="s">
        <v>557</v>
      </c>
      <c r="D231" s="9" t="s">
        <v>75</v>
      </c>
      <c r="E231" t="s">
        <v>75</v>
      </c>
    </row>
    <row r="232" spans="1:5" x14ac:dyDescent="0.25">
      <c r="A232" s="10" t="s">
        <v>558</v>
      </c>
      <c r="B232" s="10" t="s">
        <v>558</v>
      </c>
      <c r="C232" s="9" t="s">
        <v>559</v>
      </c>
      <c r="D232" s="9" t="s">
        <v>75</v>
      </c>
      <c r="E232" t="s">
        <v>75</v>
      </c>
    </row>
    <row r="233" spans="1:5" x14ac:dyDescent="0.25">
      <c r="A233" s="10" t="s">
        <v>560</v>
      </c>
      <c r="B233" s="10" t="s">
        <v>560</v>
      </c>
      <c r="C233" s="9" t="s">
        <v>561</v>
      </c>
      <c r="D233" s="9" t="s">
        <v>75</v>
      </c>
      <c r="E233" t="s">
        <v>75</v>
      </c>
    </row>
    <row r="234" spans="1:5" x14ac:dyDescent="0.25">
      <c r="A234" s="10" t="s">
        <v>562</v>
      </c>
      <c r="B234" s="10" t="s">
        <v>562</v>
      </c>
      <c r="C234" s="9" t="s">
        <v>563</v>
      </c>
      <c r="D234" s="9" t="s">
        <v>75</v>
      </c>
      <c r="E234" t="s">
        <v>75</v>
      </c>
    </row>
    <row r="235" spans="1:5" x14ac:dyDescent="0.25">
      <c r="A235" s="10" t="s">
        <v>564</v>
      </c>
      <c r="B235" s="10" t="s">
        <v>564</v>
      </c>
      <c r="C235" s="9" t="s">
        <v>565</v>
      </c>
      <c r="D235" s="9" t="s">
        <v>75</v>
      </c>
      <c r="E235" t="s">
        <v>75</v>
      </c>
    </row>
    <row r="236" spans="1:5" x14ac:dyDescent="0.25">
      <c r="A236" s="10" t="s">
        <v>566</v>
      </c>
      <c r="B236" s="10" t="s">
        <v>566</v>
      </c>
      <c r="C236" s="9" t="s">
        <v>567</v>
      </c>
      <c r="D236" s="9" t="s">
        <v>75</v>
      </c>
      <c r="E236" t="s">
        <v>75</v>
      </c>
    </row>
    <row r="237" spans="1:5" x14ac:dyDescent="0.25">
      <c r="A237" s="10" t="s">
        <v>568</v>
      </c>
      <c r="B237" s="10" t="s">
        <v>568</v>
      </c>
      <c r="C237" s="9" t="s">
        <v>569</v>
      </c>
      <c r="D237" s="9" t="s">
        <v>75</v>
      </c>
      <c r="E237" t="s">
        <v>75</v>
      </c>
    </row>
    <row r="238" spans="1:5" x14ac:dyDescent="0.25">
      <c r="A238" s="10" t="s">
        <v>570</v>
      </c>
      <c r="B238" s="10" t="s">
        <v>570</v>
      </c>
      <c r="C238" s="9" t="s">
        <v>571</v>
      </c>
      <c r="D238" s="9" t="s">
        <v>75</v>
      </c>
      <c r="E238" t="s">
        <v>75</v>
      </c>
    </row>
    <row r="239" spans="1:5" x14ac:dyDescent="0.25">
      <c r="A239" s="10" t="s">
        <v>572</v>
      </c>
      <c r="B239" s="10" t="s">
        <v>572</v>
      </c>
      <c r="C239" s="9" t="s">
        <v>573</v>
      </c>
      <c r="D239" s="9" t="s">
        <v>75</v>
      </c>
      <c r="E239" t="s">
        <v>75</v>
      </c>
    </row>
    <row r="240" spans="1:5" x14ac:dyDescent="0.25">
      <c r="A240" s="10" t="s">
        <v>574</v>
      </c>
      <c r="B240" s="10" t="s">
        <v>574</v>
      </c>
      <c r="C240" s="9" t="s">
        <v>575</v>
      </c>
      <c r="D240" s="9" t="s">
        <v>75</v>
      </c>
      <c r="E240" t="s">
        <v>75</v>
      </c>
    </row>
    <row r="241" spans="1:5" x14ac:dyDescent="0.25">
      <c r="A241" s="10" t="s">
        <v>576</v>
      </c>
      <c r="B241" s="10" t="s">
        <v>576</v>
      </c>
      <c r="C241" s="9" t="s">
        <v>577</v>
      </c>
      <c r="D241" s="9" t="s">
        <v>75</v>
      </c>
      <c r="E241" t="s">
        <v>75</v>
      </c>
    </row>
    <row r="242" spans="1:5" x14ac:dyDescent="0.25">
      <c r="A242" s="10" t="s">
        <v>578</v>
      </c>
      <c r="B242" s="10" t="s">
        <v>578</v>
      </c>
      <c r="C242" s="9" t="s">
        <v>579</v>
      </c>
      <c r="D242" s="9" t="s">
        <v>75</v>
      </c>
      <c r="E242" t="s">
        <v>75</v>
      </c>
    </row>
    <row r="243" spans="1:5" x14ac:dyDescent="0.25">
      <c r="A243" s="10" t="s">
        <v>580</v>
      </c>
      <c r="B243" s="10" t="s">
        <v>580</v>
      </c>
      <c r="C243" s="9" t="s">
        <v>581</v>
      </c>
      <c r="D243" s="9" t="s">
        <v>75</v>
      </c>
      <c r="E243" t="s">
        <v>75</v>
      </c>
    </row>
    <row r="244" spans="1:5" x14ac:dyDescent="0.25">
      <c r="A244" s="10" t="s">
        <v>582</v>
      </c>
      <c r="B244" s="10" t="s">
        <v>582</v>
      </c>
      <c r="C244" s="9" t="s">
        <v>583</v>
      </c>
      <c r="D244" s="9" t="s">
        <v>75</v>
      </c>
      <c r="E244" t="s">
        <v>75</v>
      </c>
    </row>
    <row r="245" spans="1:5" x14ac:dyDescent="0.25">
      <c r="A245" s="10" t="s">
        <v>584</v>
      </c>
      <c r="B245" s="10" t="s">
        <v>584</v>
      </c>
      <c r="C245" s="9" t="s">
        <v>585</v>
      </c>
      <c r="D245" s="9" t="s">
        <v>75</v>
      </c>
      <c r="E245" t="s">
        <v>75</v>
      </c>
    </row>
    <row r="246" spans="1:5" x14ac:dyDescent="0.25">
      <c r="A246" s="10" t="s">
        <v>586</v>
      </c>
      <c r="B246" s="10" t="s">
        <v>586</v>
      </c>
      <c r="C246" s="9" t="s">
        <v>587</v>
      </c>
      <c r="D246" s="9" t="s">
        <v>75</v>
      </c>
      <c r="E246" t="s">
        <v>75</v>
      </c>
    </row>
    <row r="247" spans="1:5" x14ac:dyDescent="0.25">
      <c r="A247" s="10" t="s">
        <v>588</v>
      </c>
      <c r="B247" s="10" t="s">
        <v>588</v>
      </c>
      <c r="C247" s="9" t="s">
        <v>589</v>
      </c>
      <c r="D247" s="9" t="s">
        <v>75</v>
      </c>
      <c r="E247" t="s">
        <v>75</v>
      </c>
    </row>
    <row r="248" spans="1:5" x14ac:dyDescent="0.25">
      <c r="A248" s="10" t="s">
        <v>590</v>
      </c>
      <c r="B248" s="10" t="s">
        <v>590</v>
      </c>
      <c r="C248" s="9" t="s">
        <v>591</v>
      </c>
      <c r="D248" s="9" t="s">
        <v>75</v>
      </c>
      <c r="E248" t="s">
        <v>75</v>
      </c>
    </row>
    <row r="249" spans="1:5" x14ac:dyDescent="0.25">
      <c r="A249" s="10" t="s">
        <v>592</v>
      </c>
      <c r="B249" s="10" t="s">
        <v>592</v>
      </c>
      <c r="C249" s="9" t="s">
        <v>593</v>
      </c>
      <c r="D249" s="9" t="s">
        <v>75</v>
      </c>
      <c r="E249" t="s">
        <v>75</v>
      </c>
    </row>
    <row r="250" spans="1:5" x14ac:dyDescent="0.25">
      <c r="A250" s="10" t="s">
        <v>594</v>
      </c>
      <c r="B250" s="10" t="s">
        <v>594</v>
      </c>
      <c r="C250" s="9" t="s">
        <v>595</v>
      </c>
      <c r="D250" s="9" t="s">
        <v>75</v>
      </c>
      <c r="E250" t="s">
        <v>75</v>
      </c>
    </row>
    <row r="251" spans="1:5" x14ac:dyDescent="0.25">
      <c r="A251" s="10" t="s">
        <v>596</v>
      </c>
      <c r="B251" s="10" t="s">
        <v>596</v>
      </c>
      <c r="C251" s="9" t="s">
        <v>597</v>
      </c>
      <c r="D251" s="9" t="s">
        <v>75</v>
      </c>
      <c r="E251" t="s">
        <v>75</v>
      </c>
    </row>
    <row r="252" spans="1:5" x14ac:dyDescent="0.25">
      <c r="A252" s="10" t="s">
        <v>598</v>
      </c>
      <c r="B252" s="10" t="s">
        <v>598</v>
      </c>
      <c r="C252" s="9" t="s">
        <v>599</v>
      </c>
      <c r="D252" s="9" t="s">
        <v>75</v>
      </c>
      <c r="E252" t="s">
        <v>75</v>
      </c>
    </row>
    <row r="253" spans="1:5" x14ac:dyDescent="0.25">
      <c r="A253" s="10" t="s">
        <v>600</v>
      </c>
      <c r="B253" s="10" t="s">
        <v>600</v>
      </c>
      <c r="C253" s="9" t="s">
        <v>601</v>
      </c>
      <c r="D253" s="9" t="s">
        <v>75</v>
      </c>
      <c r="E253" t="s">
        <v>75</v>
      </c>
    </row>
    <row r="254" spans="1:5" x14ac:dyDescent="0.25">
      <c r="A254" s="10" t="s">
        <v>602</v>
      </c>
      <c r="B254" s="10" t="s">
        <v>602</v>
      </c>
      <c r="C254" s="9" t="s">
        <v>603</v>
      </c>
      <c r="D254" s="9" t="s">
        <v>75</v>
      </c>
      <c r="E254" t="s">
        <v>75</v>
      </c>
    </row>
    <row r="255" spans="1:5" x14ac:dyDescent="0.25">
      <c r="A255" s="10" t="s">
        <v>604</v>
      </c>
      <c r="B255" s="10" t="s">
        <v>604</v>
      </c>
      <c r="C255" s="9" t="s">
        <v>605</v>
      </c>
      <c r="D255" s="9" t="s">
        <v>75</v>
      </c>
      <c r="E255" t="s">
        <v>75</v>
      </c>
    </row>
    <row r="256" spans="1:5" x14ac:dyDescent="0.25">
      <c r="A256" s="10" t="s">
        <v>606</v>
      </c>
      <c r="B256" s="10" t="s">
        <v>606</v>
      </c>
      <c r="C256" s="9" t="s">
        <v>607</v>
      </c>
      <c r="D256" s="9" t="s">
        <v>75</v>
      </c>
      <c r="E256" t="s">
        <v>75</v>
      </c>
    </row>
    <row r="257" spans="1:5" x14ac:dyDescent="0.25">
      <c r="A257" s="10" t="s">
        <v>608</v>
      </c>
      <c r="B257" s="10" t="s">
        <v>608</v>
      </c>
      <c r="C257" s="9" t="s">
        <v>609</v>
      </c>
      <c r="D257" s="9" t="s">
        <v>75</v>
      </c>
      <c r="E257" t="s">
        <v>75</v>
      </c>
    </row>
    <row r="258" spans="1:5" x14ac:dyDescent="0.25">
      <c r="A258" s="10" t="s">
        <v>610</v>
      </c>
      <c r="B258" s="10" t="s">
        <v>610</v>
      </c>
      <c r="C258" s="9" t="s">
        <v>611</v>
      </c>
      <c r="D258" s="9" t="s">
        <v>75</v>
      </c>
      <c r="E258" t="s">
        <v>75</v>
      </c>
    </row>
    <row r="259" spans="1:5" x14ac:dyDescent="0.25">
      <c r="A259" s="10" t="s">
        <v>612</v>
      </c>
      <c r="B259" s="10" t="s">
        <v>612</v>
      </c>
      <c r="C259" s="9" t="s">
        <v>613</v>
      </c>
      <c r="D259" s="9" t="s">
        <v>75</v>
      </c>
      <c r="E259" t="s">
        <v>75</v>
      </c>
    </row>
    <row r="260" spans="1:5" x14ac:dyDescent="0.25">
      <c r="A260" s="10" t="s">
        <v>614</v>
      </c>
      <c r="B260" s="10" t="s">
        <v>614</v>
      </c>
      <c r="C260" s="9" t="s">
        <v>615</v>
      </c>
      <c r="D260" s="9" t="s">
        <v>75</v>
      </c>
      <c r="E260" t="s">
        <v>75</v>
      </c>
    </row>
    <row r="261" spans="1:5" x14ac:dyDescent="0.25">
      <c r="A261" s="10" t="s">
        <v>616</v>
      </c>
      <c r="B261" s="10" t="s">
        <v>616</v>
      </c>
      <c r="C261" s="9" t="s">
        <v>617</v>
      </c>
      <c r="D261" s="9" t="s">
        <v>75</v>
      </c>
      <c r="E261" t="s">
        <v>75</v>
      </c>
    </row>
    <row r="262" spans="1:5" x14ac:dyDescent="0.25">
      <c r="A262" s="10" t="s">
        <v>618</v>
      </c>
      <c r="B262" s="10" t="s">
        <v>618</v>
      </c>
      <c r="C262" s="9" t="s">
        <v>619</v>
      </c>
      <c r="D262" s="9" t="s">
        <v>75</v>
      </c>
      <c r="E262" t="s">
        <v>75</v>
      </c>
    </row>
    <row r="263" spans="1:5" x14ac:dyDescent="0.25">
      <c r="A263" s="10" t="s">
        <v>620</v>
      </c>
      <c r="B263" s="10" t="s">
        <v>620</v>
      </c>
      <c r="C263" s="9" t="s">
        <v>621</v>
      </c>
      <c r="D263" s="9" t="s">
        <v>75</v>
      </c>
      <c r="E263" t="s">
        <v>75</v>
      </c>
    </row>
    <row r="264" spans="1:5" x14ac:dyDescent="0.25">
      <c r="A264" s="10" t="s">
        <v>622</v>
      </c>
      <c r="B264" s="10" t="s">
        <v>622</v>
      </c>
      <c r="C264" s="9" t="s">
        <v>623</v>
      </c>
      <c r="D264" s="9" t="s">
        <v>75</v>
      </c>
      <c r="E264" t="s">
        <v>75</v>
      </c>
    </row>
    <row r="265" spans="1:5" x14ac:dyDescent="0.25">
      <c r="A265" s="10" t="s">
        <v>624</v>
      </c>
      <c r="B265" s="10" t="s">
        <v>624</v>
      </c>
      <c r="C265" s="9" t="s">
        <v>625</v>
      </c>
      <c r="D265" s="9" t="s">
        <v>75</v>
      </c>
      <c r="E265" t="s">
        <v>75</v>
      </c>
    </row>
    <row r="266" spans="1:5" x14ac:dyDescent="0.25">
      <c r="A266" s="10" t="s">
        <v>626</v>
      </c>
      <c r="B266" s="10" t="s">
        <v>626</v>
      </c>
      <c r="C266" s="9" t="s">
        <v>627</v>
      </c>
      <c r="D266" s="9" t="s">
        <v>75</v>
      </c>
      <c r="E266" t="s">
        <v>75</v>
      </c>
    </row>
    <row r="267" spans="1:5" x14ac:dyDescent="0.25">
      <c r="A267" s="10" t="s">
        <v>628</v>
      </c>
      <c r="B267" s="10" t="s">
        <v>628</v>
      </c>
      <c r="C267" s="9" t="s">
        <v>629</v>
      </c>
      <c r="D267" s="9" t="s">
        <v>75</v>
      </c>
      <c r="E267" t="s">
        <v>75</v>
      </c>
    </row>
    <row r="268" spans="1:5" x14ac:dyDescent="0.25">
      <c r="A268" s="10" t="s">
        <v>630</v>
      </c>
      <c r="B268" s="10" t="s">
        <v>630</v>
      </c>
      <c r="C268" s="9" t="s">
        <v>631</v>
      </c>
      <c r="D268" s="9" t="s">
        <v>75</v>
      </c>
      <c r="E268" t="s">
        <v>75</v>
      </c>
    </row>
    <row r="269" spans="1:5" x14ac:dyDescent="0.25">
      <c r="A269" s="10" t="s">
        <v>632</v>
      </c>
      <c r="B269" s="10" t="s">
        <v>632</v>
      </c>
      <c r="C269" s="9" t="s">
        <v>633</v>
      </c>
      <c r="D269" s="9" t="s">
        <v>75</v>
      </c>
      <c r="E269" t="s">
        <v>75</v>
      </c>
    </row>
    <row r="270" spans="1:5" x14ac:dyDescent="0.25">
      <c r="A270" s="10" t="s">
        <v>634</v>
      </c>
      <c r="B270" s="10" t="s">
        <v>634</v>
      </c>
      <c r="C270" s="9" t="s">
        <v>635</v>
      </c>
      <c r="D270" s="9" t="s">
        <v>75</v>
      </c>
      <c r="E270" t="s">
        <v>75</v>
      </c>
    </row>
    <row r="271" spans="1:5" x14ac:dyDescent="0.25">
      <c r="A271" s="10" t="s">
        <v>636</v>
      </c>
      <c r="B271" s="10" t="s">
        <v>636</v>
      </c>
      <c r="C271" s="9" t="s">
        <v>637</v>
      </c>
      <c r="D271" s="9" t="s">
        <v>75</v>
      </c>
      <c r="E271" t="s">
        <v>75</v>
      </c>
    </row>
    <row r="272" spans="1:5" x14ac:dyDescent="0.25">
      <c r="A272" s="10" t="s">
        <v>638</v>
      </c>
      <c r="B272" s="10" t="s">
        <v>638</v>
      </c>
      <c r="C272" s="9" t="s">
        <v>639</v>
      </c>
      <c r="D272" s="9" t="s">
        <v>75</v>
      </c>
      <c r="E272" t="s">
        <v>75</v>
      </c>
    </row>
    <row r="273" spans="1:5" x14ac:dyDescent="0.25">
      <c r="A273" s="10" t="s">
        <v>640</v>
      </c>
      <c r="B273" s="10" t="s">
        <v>640</v>
      </c>
      <c r="C273" s="9" t="s">
        <v>641</v>
      </c>
      <c r="D273" s="9" t="s">
        <v>75</v>
      </c>
      <c r="E273" t="s">
        <v>75</v>
      </c>
    </row>
    <row r="274" spans="1:5" x14ac:dyDescent="0.25">
      <c r="A274" s="10" t="s">
        <v>642</v>
      </c>
      <c r="B274" s="10" t="s">
        <v>642</v>
      </c>
      <c r="C274" s="9" t="s">
        <v>643</v>
      </c>
      <c r="D274" s="9" t="s">
        <v>75</v>
      </c>
      <c r="E274" t="s">
        <v>75</v>
      </c>
    </row>
    <row r="275" spans="1:5" x14ac:dyDescent="0.25">
      <c r="A275" s="10" t="s">
        <v>644</v>
      </c>
      <c r="B275" s="10" t="s">
        <v>644</v>
      </c>
      <c r="C275" s="9" t="s">
        <v>645</v>
      </c>
      <c r="D275" s="9" t="s">
        <v>75</v>
      </c>
      <c r="E275" t="s">
        <v>75</v>
      </c>
    </row>
    <row r="276" spans="1:5" x14ac:dyDescent="0.25">
      <c r="A276" s="10" t="s">
        <v>646</v>
      </c>
      <c r="B276" s="10" t="s">
        <v>646</v>
      </c>
      <c r="C276" s="9" t="s">
        <v>647</v>
      </c>
      <c r="D276" s="9" t="s">
        <v>75</v>
      </c>
      <c r="E276" t="s">
        <v>75</v>
      </c>
    </row>
    <row r="277" spans="1:5" x14ac:dyDescent="0.25">
      <c r="A277" s="10" t="s">
        <v>648</v>
      </c>
      <c r="B277" s="10" t="s">
        <v>648</v>
      </c>
      <c r="C277" s="9" t="s">
        <v>649</v>
      </c>
      <c r="D277" s="9" t="s">
        <v>75</v>
      </c>
      <c r="E277" t="s">
        <v>75</v>
      </c>
    </row>
    <row r="278" spans="1:5" x14ac:dyDescent="0.25">
      <c r="A278" s="10" t="s">
        <v>650</v>
      </c>
      <c r="B278" s="10" t="s">
        <v>650</v>
      </c>
      <c r="C278" s="9" t="s">
        <v>651</v>
      </c>
      <c r="D278" s="9" t="s">
        <v>75</v>
      </c>
      <c r="E278" t="s">
        <v>75</v>
      </c>
    </row>
    <row r="279" spans="1:5" x14ac:dyDescent="0.25">
      <c r="A279" s="10" t="s">
        <v>652</v>
      </c>
      <c r="B279" s="10" t="s">
        <v>652</v>
      </c>
      <c r="C279" s="9" t="s">
        <v>653</v>
      </c>
      <c r="D279" s="9" t="s">
        <v>75</v>
      </c>
      <c r="E279" t="s">
        <v>75</v>
      </c>
    </row>
    <row r="280" spans="1:5" x14ac:dyDescent="0.25">
      <c r="A280" s="10" t="s">
        <v>654</v>
      </c>
      <c r="B280" s="10" t="s">
        <v>654</v>
      </c>
      <c r="C280" s="9" t="s">
        <v>655</v>
      </c>
      <c r="D280" s="9" t="s">
        <v>75</v>
      </c>
      <c r="E280" t="s">
        <v>75</v>
      </c>
    </row>
    <row r="281" spans="1:5" x14ac:dyDescent="0.25">
      <c r="A281" s="10" t="s">
        <v>658</v>
      </c>
      <c r="B281" s="10" t="s">
        <v>658</v>
      </c>
      <c r="C281" s="9" t="s">
        <v>659</v>
      </c>
      <c r="D281" s="9" t="s">
        <v>75</v>
      </c>
      <c r="E281" t="s">
        <v>75</v>
      </c>
    </row>
    <row r="282" spans="1:5" x14ac:dyDescent="0.25">
      <c r="A282" s="10" t="s">
        <v>660</v>
      </c>
      <c r="B282" s="10" t="s">
        <v>660</v>
      </c>
      <c r="C282" s="9" t="s">
        <v>661</v>
      </c>
      <c r="D282" s="9" t="s">
        <v>75</v>
      </c>
      <c r="E282" t="s">
        <v>75</v>
      </c>
    </row>
    <row r="283" spans="1:5" x14ac:dyDescent="0.25">
      <c r="A283" s="10" t="s">
        <v>664</v>
      </c>
      <c r="B283" s="10" t="s">
        <v>664</v>
      </c>
      <c r="C283" s="9" t="s">
        <v>665</v>
      </c>
      <c r="D283" s="9" t="s">
        <v>75</v>
      </c>
      <c r="E283" t="s">
        <v>75</v>
      </c>
    </row>
    <row r="284" spans="1:5" x14ac:dyDescent="0.25">
      <c r="A284" s="10" t="s">
        <v>666</v>
      </c>
      <c r="B284" s="10" t="s">
        <v>666</v>
      </c>
      <c r="C284" s="9" t="s">
        <v>667</v>
      </c>
      <c r="D284" s="9" t="s">
        <v>75</v>
      </c>
      <c r="E284" t="s">
        <v>75</v>
      </c>
    </row>
    <row r="285" spans="1:5" x14ac:dyDescent="0.25">
      <c r="A285" s="10" t="s">
        <v>668</v>
      </c>
      <c r="B285" s="10" t="s">
        <v>668</v>
      </c>
      <c r="C285" s="9" t="s">
        <v>669</v>
      </c>
      <c r="D285" s="9" t="s">
        <v>75</v>
      </c>
      <c r="E285" t="s">
        <v>75</v>
      </c>
    </row>
    <row r="286" spans="1:5" x14ac:dyDescent="0.25">
      <c r="A286" s="10" t="s">
        <v>670</v>
      </c>
      <c r="B286" s="10" t="s">
        <v>670</v>
      </c>
      <c r="C286" s="9" t="s">
        <v>671</v>
      </c>
      <c r="D286" s="9" t="s">
        <v>75</v>
      </c>
      <c r="E286" t="s">
        <v>75</v>
      </c>
    </row>
    <row r="287" spans="1:5" x14ac:dyDescent="0.25">
      <c r="A287" s="10" t="s">
        <v>672</v>
      </c>
      <c r="B287" s="10" t="s">
        <v>672</v>
      </c>
      <c r="C287" s="9" t="s">
        <v>673</v>
      </c>
      <c r="D287" s="9" t="s">
        <v>75</v>
      </c>
      <c r="E287" t="s">
        <v>75</v>
      </c>
    </row>
    <row r="288" spans="1:5" x14ac:dyDescent="0.25">
      <c r="A288" s="10" t="s">
        <v>674</v>
      </c>
      <c r="B288" s="10" t="s">
        <v>674</v>
      </c>
      <c r="C288" s="9" t="s">
        <v>675</v>
      </c>
      <c r="D288" s="9" t="s">
        <v>75</v>
      </c>
      <c r="E288" t="s">
        <v>75</v>
      </c>
    </row>
    <row r="289" spans="1:5" x14ac:dyDescent="0.25">
      <c r="A289" s="10" t="s">
        <v>676</v>
      </c>
      <c r="B289" s="10" t="s">
        <v>676</v>
      </c>
      <c r="C289" s="9" t="s">
        <v>677</v>
      </c>
      <c r="D289" s="9" t="s">
        <v>75</v>
      </c>
      <c r="E289" t="s">
        <v>75</v>
      </c>
    </row>
    <row r="290" spans="1:5" x14ac:dyDescent="0.25">
      <c r="A290" s="10" t="s">
        <v>678</v>
      </c>
      <c r="B290" s="10" t="s">
        <v>678</v>
      </c>
      <c r="C290" s="9" t="s">
        <v>679</v>
      </c>
      <c r="D290" s="9" t="s">
        <v>75</v>
      </c>
      <c r="E290" t="s">
        <v>75</v>
      </c>
    </row>
    <row r="291" spans="1:5" x14ac:dyDescent="0.25">
      <c r="A291" s="10" t="s">
        <v>680</v>
      </c>
      <c r="B291" s="10" t="s">
        <v>680</v>
      </c>
      <c r="C291" s="9" t="s">
        <v>681</v>
      </c>
      <c r="D291" s="9" t="s">
        <v>75</v>
      </c>
      <c r="E291" t="s">
        <v>75</v>
      </c>
    </row>
    <row r="292" spans="1:5" x14ac:dyDescent="0.25">
      <c r="A292" s="10" t="s">
        <v>682</v>
      </c>
      <c r="B292" s="10" t="s">
        <v>682</v>
      </c>
      <c r="C292" s="9" t="s">
        <v>683</v>
      </c>
      <c r="D292" s="9" t="s">
        <v>75</v>
      </c>
      <c r="E292" t="s">
        <v>75</v>
      </c>
    </row>
    <row r="293" spans="1:5" x14ac:dyDescent="0.25">
      <c r="A293" s="10" t="s">
        <v>684</v>
      </c>
      <c r="B293" s="10" t="s">
        <v>684</v>
      </c>
      <c r="C293" s="9" t="s">
        <v>685</v>
      </c>
      <c r="D293" s="9" t="s">
        <v>75</v>
      </c>
      <c r="E293" t="s">
        <v>75</v>
      </c>
    </row>
    <row r="294" spans="1:5" x14ac:dyDescent="0.25">
      <c r="A294" s="10" t="s">
        <v>686</v>
      </c>
      <c r="B294" s="10" t="s">
        <v>686</v>
      </c>
      <c r="C294" s="9" t="s">
        <v>687</v>
      </c>
      <c r="D294" s="9" t="s">
        <v>75</v>
      </c>
      <c r="E294" t="s">
        <v>75</v>
      </c>
    </row>
    <row r="295" spans="1:5" x14ac:dyDescent="0.25">
      <c r="A295" s="10" t="s">
        <v>688</v>
      </c>
      <c r="B295" s="10" t="s">
        <v>688</v>
      </c>
      <c r="C295" s="9" t="s">
        <v>689</v>
      </c>
      <c r="D295" s="9" t="s">
        <v>75</v>
      </c>
      <c r="E295" t="s">
        <v>75</v>
      </c>
    </row>
    <row r="296" spans="1:5" x14ac:dyDescent="0.25">
      <c r="A296" s="10" t="s">
        <v>690</v>
      </c>
      <c r="B296" s="10" t="s">
        <v>690</v>
      </c>
      <c r="C296" s="9" t="s">
        <v>691</v>
      </c>
      <c r="D296" s="9" t="s">
        <v>75</v>
      </c>
      <c r="E296" t="s">
        <v>75</v>
      </c>
    </row>
    <row r="297" spans="1:5" x14ac:dyDescent="0.25">
      <c r="A297" s="10" t="s">
        <v>692</v>
      </c>
      <c r="B297" s="10" t="s">
        <v>692</v>
      </c>
      <c r="C297" s="9" t="s">
        <v>693</v>
      </c>
      <c r="D297" s="9" t="s">
        <v>75</v>
      </c>
      <c r="E297" t="s">
        <v>75</v>
      </c>
    </row>
    <row r="298" spans="1:5" x14ac:dyDescent="0.25">
      <c r="A298" s="10" t="s">
        <v>694</v>
      </c>
      <c r="B298" s="10" t="s">
        <v>694</v>
      </c>
      <c r="C298" s="9" t="s">
        <v>695</v>
      </c>
      <c r="D298" s="9" t="s">
        <v>75</v>
      </c>
      <c r="E298" t="s">
        <v>75</v>
      </c>
    </row>
    <row r="299" spans="1:5" x14ac:dyDescent="0.25">
      <c r="A299" s="10" t="s">
        <v>696</v>
      </c>
      <c r="B299" s="10" t="s">
        <v>696</v>
      </c>
      <c r="C299" s="9" t="s">
        <v>697</v>
      </c>
      <c r="D299" s="9" t="s">
        <v>75</v>
      </c>
      <c r="E299" t="s">
        <v>75</v>
      </c>
    </row>
    <row r="300" spans="1:5" x14ac:dyDescent="0.25">
      <c r="A300" s="10" t="s">
        <v>698</v>
      </c>
      <c r="B300" s="10" t="s">
        <v>698</v>
      </c>
      <c r="C300" s="9" t="s">
        <v>699</v>
      </c>
      <c r="D300" s="9" t="s">
        <v>75</v>
      </c>
      <c r="E300" t="s">
        <v>75</v>
      </c>
    </row>
    <row r="301" spans="1:5" x14ac:dyDescent="0.25">
      <c r="A301" s="10" t="s">
        <v>700</v>
      </c>
      <c r="B301" s="10" t="s">
        <v>700</v>
      </c>
      <c r="C301" s="9" t="s">
        <v>701</v>
      </c>
      <c r="D301" s="9" t="s">
        <v>75</v>
      </c>
      <c r="E301" t="s">
        <v>75</v>
      </c>
    </row>
    <row r="302" spans="1:5" x14ac:dyDescent="0.25">
      <c r="A302" s="10" t="s">
        <v>702</v>
      </c>
      <c r="B302" s="10" t="s">
        <v>702</v>
      </c>
      <c r="C302" s="9" t="s">
        <v>703</v>
      </c>
      <c r="D302" s="9" t="s">
        <v>75</v>
      </c>
      <c r="E302" t="s">
        <v>75</v>
      </c>
    </row>
    <row r="303" spans="1:5" x14ac:dyDescent="0.25">
      <c r="A303" s="10" t="s">
        <v>704</v>
      </c>
      <c r="B303" s="10" t="s">
        <v>704</v>
      </c>
      <c r="C303" s="9" t="s">
        <v>705</v>
      </c>
      <c r="D303" s="9" t="s">
        <v>75</v>
      </c>
      <c r="E303" t="s">
        <v>75</v>
      </c>
    </row>
    <row r="304" spans="1:5" x14ac:dyDescent="0.25">
      <c r="A304" s="10" t="s">
        <v>706</v>
      </c>
      <c r="B304" s="10" t="s">
        <v>706</v>
      </c>
      <c r="C304" s="9" t="s">
        <v>707</v>
      </c>
      <c r="D304" s="9" t="s">
        <v>75</v>
      </c>
      <c r="E304" t="s">
        <v>75</v>
      </c>
    </row>
    <row r="305" spans="1:5" x14ac:dyDescent="0.25">
      <c r="A305" s="10" t="s">
        <v>708</v>
      </c>
      <c r="B305" s="10" t="s">
        <v>708</v>
      </c>
      <c r="C305" s="9" t="s">
        <v>709</v>
      </c>
      <c r="D305" s="9" t="s">
        <v>75</v>
      </c>
      <c r="E305" t="s">
        <v>75</v>
      </c>
    </row>
    <row r="306" spans="1:5" x14ac:dyDescent="0.25">
      <c r="A306" s="10" t="s">
        <v>710</v>
      </c>
      <c r="B306" s="10" t="s">
        <v>710</v>
      </c>
      <c r="C306" s="9" t="s">
        <v>711</v>
      </c>
      <c r="D306" s="9" t="s">
        <v>75</v>
      </c>
      <c r="E306" t="s">
        <v>75</v>
      </c>
    </row>
    <row r="307" spans="1:5" x14ac:dyDescent="0.25">
      <c r="A307" s="10" t="s">
        <v>712</v>
      </c>
      <c r="B307" s="10" t="s">
        <v>712</v>
      </c>
      <c r="C307" s="9" t="s">
        <v>713</v>
      </c>
      <c r="D307" s="9" t="s">
        <v>75</v>
      </c>
      <c r="E307" t="s">
        <v>75</v>
      </c>
    </row>
    <row r="308" spans="1:5" x14ac:dyDescent="0.25">
      <c r="A308" s="10" t="s">
        <v>714</v>
      </c>
      <c r="B308" s="10" t="s">
        <v>714</v>
      </c>
      <c r="C308" s="9" t="s">
        <v>715</v>
      </c>
      <c r="D308" s="9" t="s">
        <v>75</v>
      </c>
      <c r="E308" t="s">
        <v>75</v>
      </c>
    </row>
    <row r="309" spans="1:5" x14ac:dyDescent="0.25">
      <c r="A309" s="10" t="s">
        <v>716</v>
      </c>
      <c r="B309" s="10" t="s">
        <v>716</v>
      </c>
      <c r="C309" s="9" t="s">
        <v>717</v>
      </c>
      <c r="D309" s="9" t="s">
        <v>75</v>
      </c>
      <c r="E309" t="s">
        <v>75</v>
      </c>
    </row>
    <row r="310" spans="1:5" x14ac:dyDescent="0.25">
      <c r="A310" s="10" t="s">
        <v>718</v>
      </c>
      <c r="B310" s="10" t="s">
        <v>718</v>
      </c>
      <c r="C310" s="9" t="s">
        <v>719</v>
      </c>
      <c r="D310" s="9" t="s">
        <v>75</v>
      </c>
      <c r="E310" t="s">
        <v>75</v>
      </c>
    </row>
    <row r="311" spans="1:5" x14ac:dyDescent="0.25">
      <c r="A311" s="10" t="s">
        <v>720</v>
      </c>
      <c r="B311" s="10" t="s">
        <v>720</v>
      </c>
      <c r="C311" s="9" t="s">
        <v>721</v>
      </c>
      <c r="D311" s="9" t="s">
        <v>75</v>
      </c>
      <c r="E311" t="s">
        <v>75</v>
      </c>
    </row>
    <row r="312" spans="1:5" x14ac:dyDescent="0.25">
      <c r="A312" s="10" t="s">
        <v>722</v>
      </c>
      <c r="B312" s="10" t="s">
        <v>722</v>
      </c>
      <c r="C312" s="9" t="s">
        <v>723</v>
      </c>
      <c r="D312" s="9" t="s">
        <v>75</v>
      </c>
      <c r="E312" t="s">
        <v>75</v>
      </c>
    </row>
    <row r="313" spans="1:5" x14ac:dyDescent="0.25">
      <c r="A313" s="10" t="s">
        <v>724</v>
      </c>
      <c r="B313" s="10" t="s">
        <v>724</v>
      </c>
      <c r="C313" s="9" t="s">
        <v>725</v>
      </c>
      <c r="D313" s="9" t="s">
        <v>75</v>
      </c>
      <c r="E313" t="s">
        <v>75</v>
      </c>
    </row>
    <row r="314" spans="1:5" x14ac:dyDescent="0.25">
      <c r="A314" s="10" t="s">
        <v>726</v>
      </c>
      <c r="B314" s="10" t="s">
        <v>726</v>
      </c>
      <c r="C314" s="9" t="s">
        <v>727</v>
      </c>
      <c r="D314" s="9" t="s">
        <v>75</v>
      </c>
      <c r="E314" t="s">
        <v>75</v>
      </c>
    </row>
    <row r="315" spans="1:5" x14ac:dyDescent="0.25">
      <c r="A315" s="10" t="s">
        <v>728</v>
      </c>
      <c r="B315" s="10" t="s">
        <v>728</v>
      </c>
      <c r="C315" s="9" t="s">
        <v>729</v>
      </c>
      <c r="D315" s="9" t="s">
        <v>75</v>
      </c>
      <c r="E315" t="s">
        <v>75</v>
      </c>
    </row>
    <row r="316" spans="1:5" x14ac:dyDescent="0.25">
      <c r="A316" s="10" t="s">
        <v>730</v>
      </c>
      <c r="B316" s="10" t="s">
        <v>730</v>
      </c>
      <c r="C316" s="9" t="s">
        <v>731</v>
      </c>
      <c r="D316" s="9" t="s">
        <v>75</v>
      </c>
      <c r="E316" t="s">
        <v>75</v>
      </c>
    </row>
    <row r="317" spans="1:5" x14ac:dyDescent="0.25">
      <c r="A317" s="10" t="s">
        <v>732</v>
      </c>
      <c r="B317" s="10" t="s">
        <v>732</v>
      </c>
      <c r="C317" s="9" t="s">
        <v>733</v>
      </c>
      <c r="D317" s="9" t="s">
        <v>75</v>
      </c>
      <c r="E317" t="s">
        <v>75</v>
      </c>
    </row>
    <row r="318" spans="1:5" x14ac:dyDescent="0.25">
      <c r="A318" s="10" t="s">
        <v>734</v>
      </c>
      <c r="B318" s="10" t="s">
        <v>734</v>
      </c>
      <c r="C318" s="9" t="s">
        <v>735</v>
      </c>
      <c r="D318" s="9" t="s">
        <v>75</v>
      </c>
      <c r="E318" t="s">
        <v>75</v>
      </c>
    </row>
    <row r="319" spans="1:5" x14ac:dyDescent="0.25">
      <c r="A319" s="10" t="s">
        <v>736</v>
      </c>
      <c r="B319" s="10" t="s">
        <v>736</v>
      </c>
      <c r="C319" s="9" t="s">
        <v>737</v>
      </c>
      <c r="D319" s="9" t="s">
        <v>75</v>
      </c>
      <c r="E319" t="s">
        <v>75</v>
      </c>
    </row>
    <row r="320" spans="1:5" x14ac:dyDescent="0.25">
      <c r="A320" s="10" t="s">
        <v>738</v>
      </c>
      <c r="B320" s="10" t="s">
        <v>738</v>
      </c>
      <c r="C320" s="9" t="s">
        <v>739</v>
      </c>
      <c r="D320" s="9" t="s">
        <v>75</v>
      </c>
      <c r="E320" t="s">
        <v>75</v>
      </c>
    </row>
    <row r="321" spans="1:5" x14ac:dyDescent="0.25">
      <c r="A321" s="10" t="s">
        <v>740</v>
      </c>
      <c r="B321" s="10" t="s">
        <v>740</v>
      </c>
      <c r="C321" s="9" t="s">
        <v>741</v>
      </c>
      <c r="D321" s="9" t="s">
        <v>75</v>
      </c>
      <c r="E321" t="s">
        <v>75</v>
      </c>
    </row>
    <row r="322" spans="1:5" x14ac:dyDescent="0.25">
      <c r="A322" s="10" t="s">
        <v>742</v>
      </c>
      <c r="B322" s="10" t="s">
        <v>742</v>
      </c>
      <c r="C322" s="9" t="s">
        <v>743</v>
      </c>
      <c r="D322" s="9" t="s">
        <v>75</v>
      </c>
      <c r="E322" t="s">
        <v>75</v>
      </c>
    </row>
    <row r="323" spans="1:5" x14ac:dyDescent="0.25">
      <c r="A323" s="10" t="s">
        <v>744</v>
      </c>
      <c r="B323" s="10" t="s">
        <v>744</v>
      </c>
      <c r="C323" s="9" t="s">
        <v>745</v>
      </c>
      <c r="D323" s="9" t="s">
        <v>75</v>
      </c>
      <c r="E323" t="s">
        <v>75</v>
      </c>
    </row>
    <row r="324" spans="1:5" x14ac:dyDescent="0.25">
      <c r="A324" s="10" t="s">
        <v>746</v>
      </c>
      <c r="B324" s="10" t="s">
        <v>746</v>
      </c>
      <c r="C324" s="9" t="s">
        <v>747</v>
      </c>
      <c r="D324" s="9" t="s">
        <v>75</v>
      </c>
      <c r="E324" t="s">
        <v>75</v>
      </c>
    </row>
    <row r="325" spans="1:5" x14ac:dyDescent="0.25">
      <c r="A325" s="10" t="s">
        <v>748</v>
      </c>
      <c r="B325" s="10" t="s">
        <v>748</v>
      </c>
      <c r="C325" s="9" t="s">
        <v>749</v>
      </c>
      <c r="D325" s="9" t="s">
        <v>75</v>
      </c>
      <c r="E325" t="s">
        <v>75</v>
      </c>
    </row>
    <row r="326" spans="1:5" x14ac:dyDescent="0.25">
      <c r="A326" s="10" t="s">
        <v>750</v>
      </c>
      <c r="B326" s="10" t="s">
        <v>750</v>
      </c>
      <c r="C326" s="9" t="s">
        <v>751</v>
      </c>
      <c r="D326" s="9" t="s">
        <v>75</v>
      </c>
      <c r="E326" t="s">
        <v>75</v>
      </c>
    </row>
    <row r="327" spans="1:5" x14ac:dyDescent="0.25">
      <c r="A327" s="10" t="s">
        <v>752</v>
      </c>
      <c r="B327" s="10" t="s">
        <v>752</v>
      </c>
      <c r="C327" s="9" t="s">
        <v>753</v>
      </c>
      <c r="D327" s="9" t="s">
        <v>75</v>
      </c>
      <c r="E327" t="s">
        <v>75</v>
      </c>
    </row>
    <row r="328" spans="1:5" x14ac:dyDescent="0.25">
      <c r="A328" s="10" t="s">
        <v>754</v>
      </c>
      <c r="B328" s="10" t="s">
        <v>754</v>
      </c>
      <c r="C328" s="9" t="s">
        <v>755</v>
      </c>
      <c r="D328" s="9" t="s">
        <v>75</v>
      </c>
      <c r="E328" t="s">
        <v>75</v>
      </c>
    </row>
    <row r="329" spans="1:5" x14ac:dyDescent="0.25">
      <c r="A329" s="10" t="s">
        <v>756</v>
      </c>
      <c r="B329" s="10" t="s">
        <v>756</v>
      </c>
      <c r="C329" s="9" t="s">
        <v>757</v>
      </c>
      <c r="D329" s="9" t="s">
        <v>75</v>
      </c>
      <c r="E329" t="s">
        <v>75</v>
      </c>
    </row>
    <row r="330" spans="1:5" x14ac:dyDescent="0.25">
      <c r="A330" s="10" t="s">
        <v>758</v>
      </c>
      <c r="B330" s="10" t="s">
        <v>758</v>
      </c>
      <c r="C330" s="9" t="s">
        <v>759</v>
      </c>
      <c r="D330" s="9" t="s">
        <v>75</v>
      </c>
      <c r="E330" t="s">
        <v>75</v>
      </c>
    </row>
    <row r="331" spans="1:5" x14ac:dyDescent="0.25">
      <c r="A331" s="10" t="s">
        <v>760</v>
      </c>
      <c r="B331" s="10" t="s">
        <v>760</v>
      </c>
      <c r="C331" s="9" t="s">
        <v>761</v>
      </c>
      <c r="D331" s="9" t="s">
        <v>75</v>
      </c>
      <c r="E331" t="s">
        <v>75</v>
      </c>
    </row>
    <row r="332" spans="1:5" x14ac:dyDescent="0.25">
      <c r="A332" s="10" t="s">
        <v>762</v>
      </c>
      <c r="B332" s="10" t="s">
        <v>762</v>
      </c>
      <c r="C332" s="9" t="s">
        <v>763</v>
      </c>
      <c r="D332" s="9" t="s">
        <v>75</v>
      </c>
      <c r="E332" t="s">
        <v>75</v>
      </c>
    </row>
    <row r="333" spans="1:5" x14ac:dyDescent="0.25">
      <c r="A333" s="10" t="s">
        <v>764</v>
      </c>
      <c r="B333" s="10" t="s">
        <v>764</v>
      </c>
      <c r="C333" s="9" t="s">
        <v>765</v>
      </c>
      <c r="D333" s="9" t="s">
        <v>75</v>
      </c>
      <c r="E333" t="s">
        <v>75</v>
      </c>
    </row>
    <row r="334" spans="1:5" x14ac:dyDescent="0.25">
      <c r="A334" s="10" t="s">
        <v>766</v>
      </c>
      <c r="B334" s="10" t="s">
        <v>766</v>
      </c>
      <c r="C334" s="9" t="s">
        <v>767</v>
      </c>
      <c r="D334" s="9" t="s">
        <v>75</v>
      </c>
      <c r="E334" t="s">
        <v>75</v>
      </c>
    </row>
    <row r="335" spans="1:5" x14ac:dyDescent="0.25">
      <c r="A335" s="10" t="s">
        <v>768</v>
      </c>
      <c r="B335" s="10" t="s">
        <v>768</v>
      </c>
      <c r="C335" s="9" t="s">
        <v>769</v>
      </c>
      <c r="D335" s="9" t="s">
        <v>75</v>
      </c>
      <c r="E335" t="s">
        <v>75</v>
      </c>
    </row>
    <row r="336" spans="1:5" x14ac:dyDescent="0.25">
      <c r="A336" s="10" t="s">
        <v>770</v>
      </c>
      <c r="B336" s="10" t="s">
        <v>770</v>
      </c>
      <c r="C336" s="9" t="s">
        <v>771</v>
      </c>
      <c r="D336" s="9" t="s">
        <v>75</v>
      </c>
      <c r="E336" t="s">
        <v>75</v>
      </c>
    </row>
    <row r="337" spans="1:5" x14ac:dyDescent="0.25">
      <c r="A337" s="10" t="s">
        <v>772</v>
      </c>
      <c r="B337" s="10" t="s">
        <v>772</v>
      </c>
      <c r="C337" s="9" t="s">
        <v>773</v>
      </c>
      <c r="D337" s="9" t="s">
        <v>75</v>
      </c>
      <c r="E337" t="s">
        <v>75</v>
      </c>
    </row>
    <row r="338" spans="1:5" x14ac:dyDescent="0.25">
      <c r="A338" s="10" t="s">
        <v>774</v>
      </c>
      <c r="B338" s="10" t="s">
        <v>774</v>
      </c>
      <c r="C338" s="9" t="s">
        <v>775</v>
      </c>
      <c r="D338" s="9" t="s">
        <v>75</v>
      </c>
      <c r="E338" t="s">
        <v>75</v>
      </c>
    </row>
    <row r="339" spans="1:5" x14ac:dyDescent="0.25">
      <c r="A339" s="10" t="s">
        <v>776</v>
      </c>
      <c r="B339" s="10" t="s">
        <v>776</v>
      </c>
      <c r="C339" s="9" t="s">
        <v>777</v>
      </c>
      <c r="D339" s="9" t="s">
        <v>75</v>
      </c>
      <c r="E339" t="s">
        <v>75</v>
      </c>
    </row>
    <row r="340" spans="1:5" x14ac:dyDescent="0.25">
      <c r="A340" s="10" t="s">
        <v>778</v>
      </c>
      <c r="B340" s="10" t="s">
        <v>778</v>
      </c>
      <c r="C340" s="9" t="s">
        <v>779</v>
      </c>
      <c r="D340" s="9" t="s">
        <v>75</v>
      </c>
      <c r="E340" t="s">
        <v>75</v>
      </c>
    </row>
    <row r="341" spans="1:5" x14ac:dyDescent="0.25">
      <c r="A341" s="10" t="s">
        <v>780</v>
      </c>
      <c r="B341" s="10" t="s">
        <v>780</v>
      </c>
      <c r="C341" s="9" t="s">
        <v>781</v>
      </c>
      <c r="D341" s="9" t="s">
        <v>75</v>
      </c>
      <c r="E341" t="s">
        <v>75</v>
      </c>
    </row>
    <row r="342" spans="1:5" x14ac:dyDescent="0.25">
      <c r="A342" s="10" t="s">
        <v>782</v>
      </c>
      <c r="B342" s="10" t="s">
        <v>782</v>
      </c>
      <c r="C342" s="9" t="s">
        <v>783</v>
      </c>
      <c r="D342" s="9" t="s">
        <v>75</v>
      </c>
      <c r="E342" t="s">
        <v>75</v>
      </c>
    </row>
    <row r="343" spans="1:5" x14ac:dyDescent="0.25">
      <c r="A343" s="10" t="s">
        <v>784</v>
      </c>
      <c r="B343" s="10" t="s">
        <v>784</v>
      </c>
      <c r="C343" s="9" t="s">
        <v>785</v>
      </c>
      <c r="D343" s="9" t="s">
        <v>75</v>
      </c>
      <c r="E343" t="s">
        <v>75</v>
      </c>
    </row>
    <row r="344" spans="1:5" x14ac:dyDescent="0.25">
      <c r="A344" s="10" t="s">
        <v>786</v>
      </c>
      <c r="B344" s="10" t="s">
        <v>786</v>
      </c>
      <c r="C344" s="9" t="s">
        <v>787</v>
      </c>
      <c r="D344" s="9" t="s">
        <v>75</v>
      </c>
      <c r="E344" t="s">
        <v>75</v>
      </c>
    </row>
    <row r="345" spans="1:5" x14ac:dyDescent="0.25">
      <c r="A345" s="10" t="s">
        <v>788</v>
      </c>
      <c r="B345" s="10" t="s">
        <v>788</v>
      </c>
      <c r="C345" s="9" t="s">
        <v>789</v>
      </c>
      <c r="D345" s="9" t="s">
        <v>75</v>
      </c>
      <c r="E345" t="s">
        <v>75</v>
      </c>
    </row>
    <row r="346" spans="1:5" x14ac:dyDescent="0.25">
      <c r="A346" s="10" t="s">
        <v>790</v>
      </c>
      <c r="B346" s="10" t="s">
        <v>790</v>
      </c>
      <c r="C346" s="9" t="s">
        <v>791</v>
      </c>
      <c r="D346" s="9" t="s">
        <v>75</v>
      </c>
      <c r="E346" t="s">
        <v>75</v>
      </c>
    </row>
    <row r="347" spans="1:5" x14ac:dyDescent="0.25">
      <c r="A347" s="10" t="s">
        <v>792</v>
      </c>
      <c r="B347" s="10" t="s">
        <v>792</v>
      </c>
      <c r="C347" s="9" t="s">
        <v>793</v>
      </c>
      <c r="D347" s="9" t="s">
        <v>75</v>
      </c>
      <c r="E347" t="s">
        <v>75</v>
      </c>
    </row>
    <row r="348" spans="1:5" x14ac:dyDescent="0.25">
      <c r="A348" s="10" t="s">
        <v>794</v>
      </c>
      <c r="B348" s="10" t="s">
        <v>794</v>
      </c>
      <c r="C348" s="9" t="s">
        <v>795</v>
      </c>
      <c r="D348" s="9" t="s">
        <v>75</v>
      </c>
      <c r="E348" t="s">
        <v>75</v>
      </c>
    </row>
    <row r="349" spans="1:5" x14ac:dyDescent="0.25">
      <c r="A349" s="10" t="s">
        <v>796</v>
      </c>
      <c r="B349" s="10" t="s">
        <v>796</v>
      </c>
      <c r="C349" s="9" t="s">
        <v>797</v>
      </c>
      <c r="D349" s="9" t="s">
        <v>75</v>
      </c>
      <c r="E349" t="s">
        <v>75</v>
      </c>
    </row>
    <row r="350" spans="1:5" x14ac:dyDescent="0.25">
      <c r="A350" s="10" t="s">
        <v>798</v>
      </c>
      <c r="B350" s="10" t="s">
        <v>798</v>
      </c>
      <c r="C350" s="9" t="s">
        <v>799</v>
      </c>
      <c r="D350" s="9" t="s">
        <v>75</v>
      </c>
      <c r="E350" t="s">
        <v>75</v>
      </c>
    </row>
    <row r="351" spans="1:5" x14ac:dyDescent="0.25">
      <c r="A351" s="10" t="s">
        <v>800</v>
      </c>
      <c r="B351" s="10" t="s">
        <v>800</v>
      </c>
      <c r="C351" s="9" t="s">
        <v>801</v>
      </c>
      <c r="D351" s="9" t="s">
        <v>75</v>
      </c>
      <c r="E351" t="s">
        <v>75</v>
      </c>
    </row>
    <row r="352" spans="1:5" x14ac:dyDescent="0.25">
      <c r="A352" s="10" t="s">
        <v>802</v>
      </c>
      <c r="B352" s="10" t="s">
        <v>802</v>
      </c>
      <c r="C352" s="9" t="s">
        <v>803</v>
      </c>
      <c r="D352" s="9" t="s">
        <v>75</v>
      </c>
      <c r="E352" t="s">
        <v>75</v>
      </c>
    </row>
    <row r="353" spans="1:5" x14ac:dyDescent="0.25">
      <c r="A353" s="10" t="s">
        <v>804</v>
      </c>
      <c r="B353" s="10" t="s">
        <v>804</v>
      </c>
      <c r="C353" s="9" t="s">
        <v>805</v>
      </c>
      <c r="D353" s="9" t="s">
        <v>75</v>
      </c>
      <c r="E353" t="s">
        <v>75</v>
      </c>
    </row>
    <row r="354" spans="1:5" x14ac:dyDescent="0.25">
      <c r="A354" s="10" t="s">
        <v>806</v>
      </c>
      <c r="B354" s="10" t="s">
        <v>806</v>
      </c>
      <c r="C354" s="9" t="s">
        <v>807</v>
      </c>
      <c r="D354" s="9" t="s">
        <v>75</v>
      </c>
      <c r="E354" t="s">
        <v>75</v>
      </c>
    </row>
    <row r="355" spans="1:5" x14ac:dyDescent="0.25">
      <c r="A355" s="10" t="s">
        <v>808</v>
      </c>
      <c r="B355" s="10" t="s">
        <v>808</v>
      </c>
      <c r="C355" s="9" t="s">
        <v>809</v>
      </c>
      <c r="D355" s="9" t="s">
        <v>75</v>
      </c>
      <c r="E355" t="s">
        <v>75</v>
      </c>
    </row>
    <row r="356" spans="1:5" x14ac:dyDescent="0.25">
      <c r="A356" s="10" t="s">
        <v>810</v>
      </c>
      <c r="B356" s="10" t="s">
        <v>810</v>
      </c>
      <c r="C356" s="9" t="s">
        <v>811</v>
      </c>
      <c r="D356" s="9" t="s">
        <v>75</v>
      </c>
      <c r="E356" t="s">
        <v>75</v>
      </c>
    </row>
    <row r="357" spans="1:5" x14ac:dyDescent="0.25">
      <c r="A357" s="10" t="s">
        <v>812</v>
      </c>
      <c r="B357" s="10" t="s">
        <v>812</v>
      </c>
      <c r="C357" s="9" t="s">
        <v>813</v>
      </c>
      <c r="D357" s="9" t="s">
        <v>75</v>
      </c>
      <c r="E357" t="s">
        <v>75</v>
      </c>
    </row>
    <row r="358" spans="1:5" x14ac:dyDescent="0.25">
      <c r="A358" s="10" t="s">
        <v>814</v>
      </c>
      <c r="B358" s="10" t="s">
        <v>814</v>
      </c>
      <c r="C358" s="9" t="s">
        <v>815</v>
      </c>
      <c r="D358" s="9" t="s">
        <v>75</v>
      </c>
      <c r="E358" t="s">
        <v>75</v>
      </c>
    </row>
    <row r="359" spans="1:5" x14ac:dyDescent="0.25">
      <c r="A359" s="10" t="s">
        <v>816</v>
      </c>
      <c r="B359" s="10" t="s">
        <v>816</v>
      </c>
      <c r="C359" s="9" t="s">
        <v>817</v>
      </c>
      <c r="D359" s="9" t="s">
        <v>75</v>
      </c>
      <c r="E359" t="s">
        <v>75</v>
      </c>
    </row>
    <row r="360" spans="1:5" x14ac:dyDescent="0.25">
      <c r="A360" s="10" t="s">
        <v>818</v>
      </c>
      <c r="B360" s="10" t="s">
        <v>818</v>
      </c>
      <c r="C360" s="9" t="s">
        <v>819</v>
      </c>
      <c r="D360" s="9" t="s">
        <v>75</v>
      </c>
      <c r="E360" t="s">
        <v>75</v>
      </c>
    </row>
    <row r="361" spans="1:5" x14ac:dyDescent="0.25">
      <c r="A361" s="10" t="s">
        <v>820</v>
      </c>
      <c r="B361" s="10" t="s">
        <v>820</v>
      </c>
      <c r="C361" s="9" t="s">
        <v>821</v>
      </c>
      <c r="D361" s="9" t="s">
        <v>75</v>
      </c>
      <c r="E361" t="s">
        <v>75</v>
      </c>
    </row>
    <row r="362" spans="1:5" x14ac:dyDescent="0.25">
      <c r="A362" s="10" t="s">
        <v>822</v>
      </c>
      <c r="B362" s="10" t="s">
        <v>822</v>
      </c>
      <c r="C362" s="9" t="s">
        <v>823</v>
      </c>
      <c r="D362" s="9" t="s">
        <v>75</v>
      </c>
      <c r="E362" t="s">
        <v>75</v>
      </c>
    </row>
    <row r="363" spans="1:5" x14ac:dyDescent="0.25">
      <c r="A363" s="10" t="s">
        <v>824</v>
      </c>
      <c r="B363" s="10" t="s">
        <v>824</v>
      </c>
      <c r="C363" s="9" t="s">
        <v>825</v>
      </c>
      <c r="D363" s="9" t="s">
        <v>75</v>
      </c>
      <c r="E363" t="s">
        <v>75</v>
      </c>
    </row>
    <row r="364" spans="1:5" x14ac:dyDescent="0.25">
      <c r="A364" s="10" t="s">
        <v>826</v>
      </c>
      <c r="B364" s="10" t="s">
        <v>826</v>
      </c>
      <c r="C364" s="9" t="s">
        <v>827</v>
      </c>
      <c r="D364" s="9" t="s">
        <v>75</v>
      </c>
      <c r="E364" t="s">
        <v>75</v>
      </c>
    </row>
    <row r="365" spans="1:5" x14ac:dyDescent="0.25">
      <c r="A365" s="10" t="s">
        <v>828</v>
      </c>
      <c r="B365" s="10" t="s">
        <v>828</v>
      </c>
      <c r="C365" s="9" t="s">
        <v>829</v>
      </c>
      <c r="D365" s="9" t="s">
        <v>75</v>
      </c>
      <c r="E365" t="s">
        <v>75</v>
      </c>
    </row>
    <row r="366" spans="1:5" x14ac:dyDescent="0.25">
      <c r="A366" s="10" t="s">
        <v>830</v>
      </c>
      <c r="B366" s="10" t="s">
        <v>830</v>
      </c>
      <c r="C366" s="9" t="s">
        <v>831</v>
      </c>
      <c r="D366" s="9" t="s">
        <v>75</v>
      </c>
      <c r="E366" t="s">
        <v>75</v>
      </c>
    </row>
    <row r="367" spans="1:5" x14ac:dyDescent="0.25">
      <c r="A367" s="10" t="s">
        <v>832</v>
      </c>
      <c r="B367" s="10" t="s">
        <v>832</v>
      </c>
      <c r="C367" s="9" t="s">
        <v>833</v>
      </c>
      <c r="D367" s="9" t="s">
        <v>75</v>
      </c>
      <c r="E367" t="s">
        <v>75</v>
      </c>
    </row>
    <row r="368" spans="1:5" x14ac:dyDescent="0.25">
      <c r="A368" s="10" t="s">
        <v>834</v>
      </c>
      <c r="B368" s="10" t="s">
        <v>834</v>
      </c>
      <c r="C368" s="9" t="s">
        <v>835</v>
      </c>
      <c r="D368" s="9" t="s">
        <v>75</v>
      </c>
      <c r="E368" t="s">
        <v>75</v>
      </c>
    </row>
    <row r="369" spans="1:5" x14ac:dyDescent="0.25">
      <c r="A369" s="10" t="s">
        <v>836</v>
      </c>
      <c r="B369" s="10" t="s">
        <v>836</v>
      </c>
      <c r="C369" s="9" t="s">
        <v>837</v>
      </c>
      <c r="D369" s="9" t="s">
        <v>75</v>
      </c>
      <c r="E369" t="s">
        <v>75</v>
      </c>
    </row>
    <row r="370" spans="1:5" x14ac:dyDescent="0.25">
      <c r="A370" s="10" t="s">
        <v>838</v>
      </c>
      <c r="B370" s="10" t="s">
        <v>838</v>
      </c>
      <c r="C370" s="9" t="s">
        <v>839</v>
      </c>
      <c r="D370" s="9" t="s">
        <v>75</v>
      </c>
      <c r="E370" t="s">
        <v>75</v>
      </c>
    </row>
    <row r="371" spans="1:5" x14ac:dyDescent="0.25">
      <c r="A371" s="10" t="s">
        <v>840</v>
      </c>
      <c r="B371" s="10" t="s">
        <v>840</v>
      </c>
      <c r="C371" s="9" t="s">
        <v>841</v>
      </c>
      <c r="D371" s="9" t="s">
        <v>75</v>
      </c>
      <c r="E371" t="s">
        <v>75</v>
      </c>
    </row>
    <row r="372" spans="1:5" x14ac:dyDescent="0.25">
      <c r="A372" s="10" t="s">
        <v>842</v>
      </c>
      <c r="B372" s="10" t="s">
        <v>842</v>
      </c>
      <c r="C372" s="9" t="s">
        <v>843</v>
      </c>
      <c r="D372" s="9" t="s">
        <v>75</v>
      </c>
      <c r="E372" t="s">
        <v>75</v>
      </c>
    </row>
    <row r="373" spans="1:5" x14ac:dyDescent="0.25">
      <c r="A373" s="10" t="s">
        <v>844</v>
      </c>
      <c r="B373" s="10" t="s">
        <v>844</v>
      </c>
      <c r="C373" s="9" t="s">
        <v>845</v>
      </c>
      <c r="D373" s="9" t="s">
        <v>75</v>
      </c>
      <c r="E373" t="s">
        <v>75</v>
      </c>
    </row>
    <row r="374" spans="1:5" x14ac:dyDescent="0.25">
      <c r="A374" s="10" t="s">
        <v>846</v>
      </c>
      <c r="B374" s="10" t="s">
        <v>846</v>
      </c>
      <c r="C374" s="9" t="s">
        <v>847</v>
      </c>
      <c r="D374" s="9" t="s">
        <v>75</v>
      </c>
      <c r="E374" t="s">
        <v>75</v>
      </c>
    </row>
    <row r="375" spans="1:5" x14ac:dyDescent="0.25">
      <c r="A375" s="10" t="s">
        <v>848</v>
      </c>
      <c r="B375" s="10" t="s">
        <v>848</v>
      </c>
      <c r="C375" s="9" t="s">
        <v>849</v>
      </c>
      <c r="D375" s="9" t="s">
        <v>75</v>
      </c>
      <c r="E375" t="s">
        <v>75</v>
      </c>
    </row>
    <row r="376" spans="1:5" x14ac:dyDescent="0.25">
      <c r="A376" s="10" t="s">
        <v>850</v>
      </c>
      <c r="B376" s="10" t="s">
        <v>850</v>
      </c>
      <c r="C376" s="9" t="s">
        <v>851</v>
      </c>
      <c r="D376" s="9" t="s">
        <v>75</v>
      </c>
      <c r="E376" t="s">
        <v>75</v>
      </c>
    </row>
    <row r="377" spans="1:5" x14ac:dyDescent="0.25">
      <c r="A377" s="10" t="s">
        <v>852</v>
      </c>
      <c r="B377" s="10" t="s">
        <v>852</v>
      </c>
      <c r="C377" s="9" t="s">
        <v>853</v>
      </c>
      <c r="D377" s="9" t="s">
        <v>75</v>
      </c>
      <c r="E377" t="s">
        <v>75</v>
      </c>
    </row>
    <row r="378" spans="1:5" x14ac:dyDescent="0.25">
      <c r="A378" s="10" t="s">
        <v>854</v>
      </c>
      <c r="B378" s="10" t="s">
        <v>854</v>
      </c>
      <c r="C378" s="9" t="s">
        <v>855</v>
      </c>
      <c r="D378" s="9" t="s">
        <v>75</v>
      </c>
      <c r="E378" t="s">
        <v>75</v>
      </c>
    </row>
    <row r="379" spans="1:5" x14ac:dyDescent="0.25">
      <c r="A379" s="10" t="s">
        <v>856</v>
      </c>
      <c r="B379" s="10" t="s">
        <v>856</v>
      </c>
      <c r="C379" s="9" t="s">
        <v>857</v>
      </c>
      <c r="D379" s="9" t="s">
        <v>75</v>
      </c>
      <c r="E379" t="s">
        <v>75</v>
      </c>
    </row>
    <row r="380" spans="1:5" x14ac:dyDescent="0.25">
      <c r="A380" s="10" t="s">
        <v>858</v>
      </c>
      <c r="B380" s="10" t="s">
        <v>858</v>
      </c>
      <c r="C380" s="9" t="s">
        <v>859</v>
      </c>
      <c r="D380" s="9" t="s">
        <v>75</v>
      </c>
      <c r="E380" t="s">
        <v>75</v>
      </c>
    </row>
    <row r="381" spans="1:5" x14ac:dyDescent="0.25">
      <c r="A381" s="10" t="s">
        <v>860</v>
      </c>
      <c r="B381" s="10" t="s">
        <v>860</v>
      </c>
      <c r="C381" s="9" t="s">
        <v>861</v>
      </c>
      <c r="D381" s="9" t="s">
        <v>75</v>
      </c>
      <c r="E381" t="s">
        <v>75</v>
      </c>
    </row>
    <row r="382" spans="1:5" x14ac:dyDescent="0.25">
      <c r="A382" s="10" t="s">
        <v>862</v>
      </c>
      <c r="B382" s="10" t="s">
        <v>862</v>
      </c>
      <c r="C382" s="9" t="s">
        <v>863</v>
      </c>
      <c r="D382" s="9" t="s">
        <v>75</v>
      </c>
      <c r="E382" t="s">
        <v>75</v>
      </c>
    </row>
    <row r="383" spans="1:5" x14ac:dyDescent="0.25">
      <c r="A383" s="10" t="s">
        <v>864</v>
      </c>
      <c r="B383" s="10" t="s">
        <v>864</v>
      </c>
      <c r="C383" s="9" t="s">
        <v>865</v>
      </c>
      <c r="D383" s="9" t="s">
        <v>75</v>
      </c>
      <c r="E383" t="s">
        <v>75</v>
      </c>
    </row>
    <row r="384" spans="1:5" x14ac:dyDescent="0.25">
      <c r="A384" s="10" t="s">
        <v>866</v>
      </c>
      <c r="B384" s="10" t="s">
        <v>866</v>
      </c>
      <c r="C384" s="9" t="s">
        <v>867</v>
      </c>
      <c r="D384" s="9" t="s">
        <v>75</v>
      </c>
      <c r="E384" t="s">
        <v>75</v>
      </c>
    </row>
    <row r="385" spans="1:5" x14ac:dyDescent="0.25">
      <c r="A385" s="10" t="s">
        <v>868</v>
      </c>
      <c r="B385" s="10" t="s">
        <v>868</v>
      </c>
      <c r="C385" s="9" t="s">
        <v>869</v>
      </c>
      <c r="D385" s="9" t="s">
        <v>75</v>
      </c>
      <c r="E385" t="s">
        <v>75</v>
      </c>
    </row>
    <row r="386" spans="1:5" x14ac:dyDescent="0.25">
      <c r="A386" s="10" t="s">
        <v>870</v>
      </c>
      <c r="B386" s="10" t="s">
        <v>870</v>
      </c>
      <c r="C386" s="9" t="s">
        <v>871</v>
      </c>
      <c r="D386" s="9" t="s">
        <v>75</v>
      </c>
      <c r="E386" t="s">
        <v>75</v>
      </c>
    </row>
    <row r="387" spans="1:5" x14ac:dyDescent="0.25">
      <c r="A387" s="10" t="s">
        <v>872</v>
      </c>
      <c r="B387" s="10" t="s">
        <v>872</v>
      </c>
      <c r="C387" s="9" t="s">
        <v>873</v>
      </c>
      <c r="D387" s="9" t="s">
        <v>75</v>
      </c>
      <c r="E387" t="s">
        <v>75</v>
      </c>
    </row>
    <row r="388" spans="1:5" x14ac:dyDescent="0.25">
      <c r="A388" s="10" t="s">
        <v>874</v>
      </c>
      <c r="B388" s="10" t="s">
        <v>874</v>
      </c>
      <c r="C388" s="9" t="s">
        <v>875</v>
      </c>
      <c r="D388" s="9" t="s">
        <v>75</v>
      </c>
      <c r="E388" t="s">
        <v>75</v>
      </c>
    </row>
    <row r="389" spans="1:5" x14ac:dyDescent="0.25">
      <c r="A389" s="10" t="s">
        <v>876</v>
      </c>
      <c r="B389" s="10" t="s">
        <v>876</v>
      </c>
      <c r="C389" s="9" t="s">
        <v>877</v>
      </c>
      <c r="D389" s="9" t="s">
        <v>75</v>
      </c>
      <c r="E389" t="s">
        <v>75</v>
      </c>
    </row>
    <row r="390" spans="1:5" x14ac:dyDescent="0.25">
      <c r="A390" s="10" t="s">
        <v>878</v>
      </c>
      <c r="B390" s="10" t="s">
        <v>878</v>
      </c>
      <c r="C390" s="9" t="s">
        <v>879</v>
      </c>
      <c r="D390" s="9" t="s">
        <v>75</v>
      </c>
      <c r="E390" t="s">
        <v>75</v>
      </c>
    </row>
    <row r="391" spans="1:5" x14ac:dyDescent="0.25">
      <c r="A391" s="10" t="s">
        <v>880</v>
      </c>
      <c r="B391" s="10" t="s">
        <v>880</v>
      </c>
      <c r="C391" s="9" t="s">
        <v>881</v>
      </c>
      <c r="D391" s="9" t="s">
        <v>75</v>
      </c>
      <c r="E391" t="s">
        <v>75</v>
      </c>
    </row>
    <row r="392" spans="1:5" x14ac:dyDescent="0.25">
      <c r="A392" s="10" t="s">
        <v>885</v>
      </c>
      <c r="B392" s="10" t="s">
        <v>885</v>
      </c>
      <c r="C392" s="9" t="s">
        <v>886</v>
      </c>
      <c r="D392" s="9" t="s">
        <v>75</v>
      </c>
      <c r="E392" t="s">
        <v>75</v>
      </c>
    </row>
    <row r="393" spans="1:5" x14ac:dyDescent="0.25">
      <c r="A393" s="10" t="s">
        <v>887</v>
      </c>
      <c r="B393" s="10" t="s">
        <v>887</v>
      </c>
      <c r="C393" s="9" t="s">
        <v>888</v>
      </c>
      <c r="D393" s="9" t="s">
        <v>75</v>
      </c>
      <c r="E393" t="s">
        <v>75</v>
      </c>
    </row>
    <row r="394" spans="1:5" x14ac:dyDescent="0.25">
      <c r="A394" s="10" t="s">
        <v>889</v>
      </c>
      <c r="B394" s="10" t="s">
        <v>889</v>
      </c>
      <c r="C394" s="9" t="s">
        <v>890</v>
      </c>
      <c r="D394" s="9" t="s">
        <v>75</v>
      </c>
      <c r="E394" t="s">
        <v>75</v>
      </c>
    </row>
    <row r="395" spans="1:5" x14ac:dyDescent="0.25">
      <c r="A395" s="10" t="s">
        <v>891</v>
      </c>
      <c r="B395" s="10" t="s">
        <v>891</v>
      </c>
      <c r="C395" s="9" t="s">
        <v>892</v>
      </c>
      <c r="D395" s="9" t="s">
        <v>75</v>
      </c>
      <c r="E395" t="s">
        <v>75</v>
      </c>
    </row>
    <row r="396" spans="1:5" x14ac:dyDescent="0.25">
      <c r="A396" s="10" t="s">
        <v>893</v>
      </c>
      <c r="B396" s="10" t="s">
        <v>893</v>
      </c>
      <c r="C396" s="9" t="s">
        <v>894</v>
      </c>
      <c r="D396" s="9" t="s">
        <v>75</v>
      </c>
      <c r="E396" t="s">
        <v>75</v>
      </c>
    </row>
    <row r="397" spans="1:5" x14ac:dyDescent="0.25">
      <c r="A397" s="10" t="s">
        <v>895</v>
      </c>
      <c r="B397" s="10" t="s">
        <v>895</v>
      </c>
      <c r="C397" s="9" t="s">
        <v>896</v>
      </c>
      <c r="D397" s="9" t="s">
        <v>75</v>
      </c>
      <c r="E397" t="s">
        <v>75</v>
      </c>
    </row>
    <row r="398" spans="1:5" x14ac:dyDescent="0.25">
      <c r="A398" s="10" t="s">
        <v>897</v>
      </c>
      <c r="B398" s="10" t="s">
        <v>897</v>
      </c>
      <c r="C398" s="9" t="s">
        <v>898</v>
      </c>
      <c r="D398" s="9" t="s">
        <v>75</v>
      </c>
      <c r="E398" t="s">
        <v>75</v>
      </c>
    </row>
    <row r="399" spans="1:5" x14ac:dyDescent="0.25">
      <c r="A399" s="10" t="s">
        <v>899</v>
      </c>
      <c r="B399" s="10" t="s">
        <v>899</v>
      </c>
      <c r="C399" s="9" t="s">
        <v>900</v>
      </c>
      <c r="D399" s="9" t="s">
        <v>75</v>
      </c>
      <c r="E399" t="s">
        <v>75</v>
      </c>
    </row>
    <row r="400" spans="1:5" x14ac:dyDescent="0.25">
      <c r="A400" s="10" t="s">
        <v>901</v>
      </c>
      <c r="B400" s="10" t="s">
        <v>901</v>
      </c>
      <c r="C400" s="9" t="s">
        <v>902</v>
      </c>
      <c r="D400" s="9" t="s">
        <v>75</v>
      </c>
      <c r="E400" t="s">
        <v>75</v>
      </c>
    </row>
    <row r="401" spans="1:5" x14ac:dyDescent="0.25">
      <c r="A401" s="10" t="s">
        <v>903</v>
      </c>
      <c r="B401" s="10" t="s">
        <v>903</v>
      </c>
      <c r="C401" s="9" t="s">
        <v>904</v>
      </c>
      <c r="D401" s="9" t="s">
        <v>75</v>
      </c>
      <c r="E401" t="s">
        <v>75</v>
      </c>
    </row>
    <row r="402" spans="1:5" x14ac:dyDescent="0.25">
      <c r="A402" s="10" t="s">
        <v>905</v>
      </c>
      <c r="B402" s="10" t="s">
        <v>905</v>
      </c>
      <c r="C402" s="9" t="s">
        <v>906</v>
      </c>
      <c r="D402" s="9" t="s">
        <v>75</v>
      </c>
      <c r="E402" t="s">
        <v>75</v>
      </c>
    </row>
    <row r="403" spans="1:5" x14ac:dyDescent="0.25">
      <c r="A403" s="10" t="s">
        <v>907</v>
      </c>
      <c r="B403" s="10" t="s">
        <v>907</v>
      </c>
      <c r="C403" s="9" t="s">
        <v>908</v>
      </c>
      <c r="D403" s="9" t="s">
        <v>75</v>
      </c>
      <c r="E403" t="s">
        <v>75</v>
      </c>
    </row>
    <row r="404" spans="1:5" x14ac:dyDescent="0.25">
      <c r="A404" s="10" t="s">
        <v>909</v>
      </c>
      <c r="B404" s="10" t="s">
        <v>909</v>
      </c>
      <c r="C404" s="9" t="s">
        <v>910</v>
      </c>
      <c r="D404" s="9" t="s">
        <v>75</v>
      </c>
      <c r="E404" t="s">
        <v>75</v>
      </c>
    </row>
    <row r="405" spans="1:5" x14ac:dyDescent="0.25">
      <c r="A405" s="10" t="s">
        <v>911</v>
      </c>
      <c r="B405" s="10" t="s">
        <v>911</v>
      </c>
      <c r="C405" s="9" t="s">
        <v>912</v>
      </c>
      <c r="D405" s="9" t="s">
        <v>75</v>
      </c>
      <c r="E405" t="s">
        <v>75</v>
      </c>
    </row>
    <row r="406" spans="1:5" x14ac:dyDescent="0.25">
      <c r="A406" s="10" t="s">
        <v>913</v>
      </c>
      <c r="B406" s="10" t="s">
        <v>913</v>
      </c>
      <c r="C406" s="9" t="s">
        <v>914</v>
      </c>
      <c r="D406" s="9" t="s">
        <v>75</v>
      </c>
      <c r="E406" t="s">
        <v>75</v>
      </c>
    </row>
    <row r="407" spans="1:5" x14ac:dyDescent="0.25">
      <c r="A407" s="10" t="s">
        <v>915</v>
      </c>
      <c r="B407" s="10" t="s">
        <v>915</v>
      </c>
      <c r="C407" s="9" t="s">
        <v>916</v>
      </c>
      <c r="D407" s="9" t="s">
        <v>75</v>
      </c>
      <c r="E407" t="s">
        <v>75</v>
      </c>
    </row>
    <row r="408" spans="1:5" x14ac:dyDescent="0.25">
      <c r="A408" s="10" t="s">
        <v>917</v>
      </c>
      <c r="B408" s="10" t="s">
        <v>917</v>
      </c>
      <c r="C408" s="9" t="s">
        <v>918</v>
      </c>
      <c r="D408" s="9" t="s">
        <v>75</v>
      </c>
      <c r="E408" t="s">
        <v>75</v>
      </c>
    </row>
    <row r="409" spans="1:5" x14ac:dyDescent="0.25">
      <c r="A409" s="10" t="s">
        <v>919</v>
      </c>
      <c r="B409" s="10" t="s">
        <v>919</v>
      </c>
      <c r="C409" s="9" t="s">
        <v>920</v>
      </c>
      <c r="D409" s="9" t="s">
        <v>75</v>
      </c>
      <c r="E409" t="s">
        <v>75</v>
      </c>
    </row>
    <row r="410" spans="1:5" x14ac:dyDescent="0.25">
      <c r="A410" s="10" t="s">
        <v>921</v>
      </c>
      <c r="B410" s="10" t="s">
        <v>921</v>
      </c>
      <c r="C410" s="9" t="s">
        <v>922</v>
      </c>
      <c r="D410" s="9" t="s">
        <v>75</v>
      </c>
      <c r="E410" t="s">
        <v>75</v>
      </c>
    </row>
    <row r="411" spans="1:5" x14ac:dyDescent="0.25">
      <c r="A411" s="10" t="s">
        <v>923</v>
      </c>
      <c r="B411" s="10" t="s">
        <v>923</v>
      </c>
      <c r="C411" s="9" t="s">
        <v>924</v>
      </c>
      <c r="D411" s="9" t="s">
        <v>75</v>
      </c>
      <c r="E411" t="s">
        <v>75</v>
      </c>
    </row>
    <row r="412" spans="1:5" x14ac:dyDescent="0.25">
      <c r="A412" s="10" t="s">
        <v>925</v>
      </c>
      <c r="B412" s="10" t="s">
        <v>925</v>
      </c>
      <c r="C412" s="9" t="s">
        <v>926</v>
      </c>
      <c r="D412" s="9" t="s">
        <v>75</v>
      </c>
      <c r="E412" t="s">
        <v>75</v>
      </c>
    </row>
    <row r="413" spans="1:5" x14ac:dyDescent="0.25">
      <c r="A413" s="10" t="s">
        <v>927</v>
      </c>
      <c r="B413" s="10" t="s">
        <v>927</v>
      </c>
      <c r="C413" s="9" t="s">
        <v>928</v>
      </c>
      <c r="D413" s="9" t="s">
        <v>75</v>
      </c>
      <c r="E413" t="s">
        <v>75</v>
      </c>
    </row>
    <row r="414" spans="1:5" x14ac:dyDescent="0.25">
      <c r="A414" s="10" t="s">
        <v>929</v>
      </c>
      <c r="B414" s="10" t="s">
        <v>929</v>
      </c>
      <c r="C414" s="9" t="s">
        <v>930</v>
      </c>
      <c r="D414" s="9" t="s">
        <v>75</v>
      </c>
      <c r="E414" t="s">
        <v>75</v>
      </c>
    </row>
    <row r="415" spans="1:5" x14ac:dyDescent="0.25">
      <c r="A415" s="10" t="s">
        <v>931</v>
      </c>
      <c r="B415" s="10" t="s">
        <v>931</v>
      </c>
      <c r="C415" s="9" t="s">
        <v>932</v>
      </c>
      <c r="D415" s="9" t="s">
        <v>75</v>
      </c>
      <c r="E415" t="s">
        <v>75</v>
      </c>
    </row>
    <row r="416" spans="1:5" x14ac:dyDescent="0.25">
      <c r="A416" s="10" t="s">
        <v>933</v>
      </c>
      <c r="B416" s="10" t="s">
        <v>933</v>
      </c>
      <c r="C416" s="9" t="s">
        <v>934</v>
      </c>
      <c r="D416" s="9" t="s">
        <v>75</v>
      </c>
      <c r="E416" t="s">
        <v>75</v>
      </c>
    </row>
    <row r="417" spans="1:5" x14ac:dyDescent="0.25">
      <c r="A417" s="10" t="s">
        <v>935</v>
      </c>
      <c r="B417" s="10" t="s">
        <v>935</v>
      </c>
      <c r="C417" s="9" t="s">
        <v>936</v>
      </c>
      <c r="D417" s="9" t="s">
        <v>75</v>
      </c>
      <c r="E417" t="s">
        <v>75</v>
      </c>
    </row>
    <row r="418" spans="1:5" x14ac:dyDescent="0.25">
      <c r="A418" s="10" t="s">
        <v>937</v>
      </c>
      <c r="B418" s="10" t="s">
        <v>937</v>
      </c>
      <c r="C418" s="9" t="s">
        <v>938</v>
      </c>
      <c r="D418" s="9" t="s">
        <v>75</v>
      </c>
      <c r="E418" t="s">
        <v>75</v>
      </c>
    </row>
    <row r="419" spans="1:5" x14ac:dyDescent="0.25">
      <c r="A419" s="10" t="s">
        <v>939</v>
      </c>
      <c r="B419" s="10" t="s">
        <v>939</v>
      </c>
      <c r="C419" s="9" t="s">
        <v>940</v>
      </c>
      <c r="D419" s="9" t="s">
        <v>75</v>
      </c>
      <c r="E419" t="s">
        <v>75</v>
      </c>
    </row>
    <row r="420" spans="1:5" x14ac:dyDescent="0.25">
      <c r="A420" s="10" t="s">
        <v>941</v>
      </c>
      <c r="B420" s="10" t="s">
        <v>941</v>
      </c>
      <c r="C420" s="9" t="s">
        <v>942</v>
      </c>
      <c r="D420" s="9" t="s">
        <v>75</v>
      </c>
      <c r="E420" t="s">
        <v>75</v>
      </c>
    </row>
    <row r="421" spans="1:5" x14ac:dyDescent="0.25">
      <c r="A421" s="10" t="s">
        <v>943</v>
      </c>
      <c r="B421" s="10" t="s">
        <v>943</v>
      </c>
      <c r="C421" s="9" t="s">
        <v>944</v>
      </c>
      <c r="D421" s="9" t="s">
        <v>75</v>
      </c>
      <c r="E421" t="s">
        <v>75</v>
      </c>
    </row>
    <row r="422" spans="1:5" x14ac:dyDescent="0.25">
      <c r="A422" s="10" t="s">
        <v>945</v>
      </c>
      <c r="B422" s="10" t="s">
        <v>945</v>
      </c>
      <c r="C422" s="9" t="s">
        <v>946</v>
      </c>
      <c r="D422" s="9" t="s">
        <v>75</v>
      </c>
      <c r="E422" t="s">
        <v>75</v>
      </c>
    </row>
    <row r="423" spans="1:5" x14ac:dyDescent="0.25">
      <c r="A423" s="10" t="s">
        <v>947</v>
      </c>
      <c r="B423" s="10" t="s">
        <v>947</v>
      </c>
      <c r="C423" s="9" t="s">
        <v>948</v>
      </c>
      <c r="D423" s="9" t="s">
        <v>75</v>
      </c>
      <c r="E423" t="s">
        <v>75</v>
      </c>
    </row>
    <row r="424" spans="1:5" x14ac:dyDescent="0.25">
      <c r="A424" s="10" t="s">
        <v>949</v>
      </c>
      <c r="B424" s="10" t="s">
        <v>949</v>
      </c>
      <c r="C424" s="9" t="s">
        <v>950</v>
      </c>
      <c r="D424" s="9" t="s">
        <v>75</v>
      </c>
      <c r="E424" t="s">
        <v>75</v>
      </c>
    </row>
    <row r="425" spans="1:5" x14ac:dyDescent="0.25">
      <c r="A425" s="10" t="s">
        <v>951</v>
      </c>
      <c r="B425" s="10" t="s">
        <v>951</v>
      </c>
      <c r="C425" s="9" t="s">
        <v>952</v>
      </c>
      <c r="D425" s="9" t="s">
        <v>75</v>
      </c>
      <c r="E425" t="s">
        <v>75</v>
      </c>
    </row>
    <row r="426" spans="1:5" x14ac:dyDescent="0.25">
      <c r="A426" s="10" t="s">
        <v>953</v>
      </c>
      <c r="B426" s="10" t="s">
        <v>953</v>
      </c>
      <c r="C426" s="9" t="s">
        <v>954</v>
      </c>
      <c r="D426" s="9" t="s">
        <v>75</v>
      </c>
      <c r="E426" t="s">
        <v>75</v>
      </c>
    </row>
    <row r="427" spans="1:5" x14ac:dyDescent="0.25">
      <c r="A427" s="10" t="s">
        <v>955</v>
      </c>
      <c r="B427" s="10" t="s">
        <v>955</v>
      </c>
      <c r="C427" s="9" t="s">
        <v>956</v>
      </c>
      <c r="D427" s="9" t="s">
        <v>75</v>
      </c>
      <c r="E427" t="s">
        <v>75</v>
      </c>
    </row>
    <row r="428" spans="1:5" x14ac:dyDescent="0.25">
      <c r="A428" s="10" t="s">
        <v>957</v>
      </c>
      <c r="B428" s="10" t="s">
        <v>957</v>
      </c>
      <c r="C428" s="9" t="s">
        <v>958</v>
      </c>
      <c r="D428" s="9" t="s">
        <v>75</v>
      </c>
      <c r="E428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6"/>
  <dimension ref="A1:E67"/>
  <sheetViews>
    <sheetView tabSelected="1" workbookViewId="0">
      <selection activeCell="G9" sqref="G9"/>
    </sheetView>
  </sheetViews>
  <sheetFormatPr defaultRowHeight="15" x14ac:dyDescent="0.25"/>
  <cols>
    <col min="1" max="1" width="10.5" style="10" bestFit="1" customWidth="1"/>
    <col min="2" max="2" width="11.875" style="10" hidden="1" customWidth="1"/>
    <col min="3" max="3" width="11.875" style="15" customWidth="1"/>
    <col min="4" max="4" width="41.625" style="9" customWidth="1"/>
  </cols>
  <sheetData>
    <row r="1" spans="1:5" ht="47.85" customHeight="1" x14ac:dyDescent="0.25">
      <c r="A1" s="26" t="s">
        <v>1215</v>
      </c>
      <c r="B1" s="26"/>
      <c r="C1" s="27"/>
      <c r="D1" s="27"/>
    </row>
    <row r="2" spans="1:5" ht="36" x14ac:dyDescent="0.25">
      <c r="A2" s="4"/>
      <c r="B2" s="4"/>
      <c r="C2" s="14" t="str">
        <f>CONCATENATE("VALOR",CHAR(10),"TOTAL: ",ROUND(SUM(C3:C1048576),2))</f>
        <v>VALOR
TOTAL: 900125,48</v>
      </c>
      <c r="D2" s="4" t="s">
        <v>1216</v>
      </c>
    </row>
    <row r="3" spans="1:5" x14ac:dyDescent="0.25">
      <c r="A3" s="10" t="s">
        <v>960</v>
      </c>
      <c r="C3" s="15">
        <v>570</v>
      </c>
      <c r="D3" s="9" t="s">
        <v>1214</v>
      </c>
      <c r="E3" t="s">
        <v>75</v>
      </c>
    </row>
    <row r="4" spans="1:5" x14ac:dyDescent="0.25">
      <c r="A4" s="10" t="s">
        <v>962</v>
      </c>
      <c r="C4" s="15">
        <v>4000</v>
      </c>
      <c r="D4" s="9" t="s">
        <v>1214</v>
      </c>
      <c r="E4" t="s">
        <v>75</v>
      </c>
    </row>
    <row r="5" spans="1:5" x14ac:dyDescent="0.25">
      <c r="A5" s="10" t="s">
        <v>964</v>
      </c>
      <c r="C5" s="15">
        <v>424.18</v>
      </c>
      <c r="D5" s="9" t="s">
        <v>1214</v>
      </c>
      <c r="E5" t="s">
        <v>75</v>
      </c>
    </row>
    <row r="6" spans="1:5" x14ac:dyDescent="0.25">
      <c r="A6" s="10" t="s">
        <v>966</v>
      </c>
      <c r="C6" s="15">
        <v>12646</v>
      </c>
      <c r="D6" s="9" t="s">
        <v>1214</v>
      </c>
      <c r="E6" t="s">
        <v>75</v>
      </c>
    </row>
    <row r="7" spans="1:5" x14ac:dyDescent="0.25">
      <c r="A7" s="10" t="s">
        <v>968</v>
      </c>
      <c r="C7" s="15">
        <v>450</v>
      </c>
      <c r="D7" s="9" t="s">
        <v>1214</v>
      </c>
      <c r="E7" t="s">
        <v>75</v>
      </c>
    </row>
    <row r="8" spans="1:5" x14ac:dyDescent="0.25">
      <c r="A8" s="10" t="s">
        <v>970</v>
      </c>
      <c r="C8" s="15">
        <v>4787</v>
      </c>
      <c r="D8" s="9" t="s">
        <v>1214</v>
      </c>
      <c r="E8" t="s">
        <v>75</v>
      </c>
    </row>
    <row r="9" spans="1:5" x14ac:dyDescent="0.25">
      <c r="A9" s="10" t="s">
        <v>972</v>
      </c>
      <c r="C9" s="15">
        <v>4000</v>
      </c>
      <c r="D9" s="9" t="s">
        <v>1214</v>
      </c>
      <c r="E9" t="s">
        <v>75</v>
      </c>
    </row>
    <row r="10" spans="1:5" x14ac:dyDescent="0.25">
      <c r="A10" s="10" t="s">
        <v>974</v>
      </c>
      <c r="C10" s="15">
        <v>4000</v>
      </c>
      <c r="D10" s="9" t="s">
        <v>1214</v>
      </c>
      <c r="E10" t="s">
        <v>75</v>
      </c>
    </row>
    <row r="11" spans="1:5" x14ac:dyDescent="0.25">
      <c r="A11" s="10" t="s">
        <v>976</v>
      </c>
      <c r="C11" s="15">
        <v>9363</v>
      </c>
      <c r="D11" s="9" t="s">
        <v>1214</v>
      </c>
      <c r="E11" t="s">
        <v>75</v>
      </c>
    </row>
    <row r="12" spans="1:5" x14ac:dyDescent="0.25">
      <c r="A12" s="10" t="s">
        <v>978</v>
      </c>
      <c r="C12" s="15">
        <v>22360</v>
      </c>
      <c r="D12" s="9" t="s">
        <v>1214</v>
      </c>
      <c r="E12" t="s">
        <v>75</v>
      </c>
    </row>
    <row r="13" spans="1:5" x14ac:dyDescent="0.25">
      <c r="A13" s="10" t="s">
        <v>980</v>
      </c>
      <c r="C13" s="15">
        <v>151770</v>
      </c>
      <c r="D13" s="9" t="s">
        <v>1214</v>
      </c>
      <c r="E13" t="s">
        <v>75</v>
      </c>
    </row>
    <row r="14" spans="1:5" x14ac:dyDescent="0.25">
      <c r="A14" s="10" t="s">
        <v>982</v>
      </c>
      <c r="C14" s="15">
        <v>7692.25</v>
      </c>
      <c r="D14" s="9" t="s">
        <v>1214</v>
      </c>
      <c r="E14" t="s">
        <v>75</v>
      </c>
    </row>
    <row r="15" spans="1:5" x14ac:dyDescent="0.25">
      <c r="A15" s="10" t="s">
        <v>984</v>
      </c>
      <c r="C15" s="15">
        <v>13237</v>
      </c>
      <c r="D15" s="9" t="s">
        <v>1214</v>
      </c>
      <c r="E15" t="s">
        <v>75</v>
      </c>
    </row>
    <row r="16" spans="1:5" x14ac:dyDescent="0.25">
      <c r="A16" s="10" t="s">
        <v>986</v>
      </c>
      <c r="C16" s="15">
        <v>4840</v>
      </c>
      <c r="D16" s="9" t="s">
        <v>1214</v>
      </c>
      <c r="E16" t="s">
        <v>75</v>
      </c>
    </row>
    <row r="17" spans="1:5" x14ac:dyDescent="0.25">
      <c r="A17" s="10" t="s">
        <v>988</v>
      </c>
      <c r="C17" s="15">
        <v>11703.9</v>
      </c>
      <c r="D17" s="9" t="s">
        <v>1214</v>
      </c>
      <c r="E17" t="s">
        <v>75</v>
      </c>
    </row>
    <row r="18" spans="1:5" x14ac:dyDescent="0.25">
      <c r="A18" s="10" t="s">
        <v>990</v>
      </c>
      <c r="C18" s="15">
        <v>640</v>
      </c>
      <c r="D18" s="9" t="s">
        <v>1214</v>
      </c>
      <c r="E18" t="s">
        <v>75</v>
      </c>
    </row>
    <row r="19" spans="1:5" x14ac:dyDescent="0.25">
      <c r="A19" s="10" t="s">
        <v>992</v>
      </c>
      <c r="C19" s="15">
        <v>8497</v>
      </c>
      <c r="D19" s="9" t="s">
        <v>1214</v>
      </c>
      <c r="E19" t="s">
        <v>75</v>
      </c>
    </row>
    <row r="20" spans="1:5" x14ac:dyDescent="0.25">
      <c r="A20" s="10" t="s">
        <v>994</v>
      </c>
      <c r="C20" s="15">
        <v>6008</v>
      </c>
      <c r="D20" s="9" t="s">
        <v>1214</v>
      </c>
      <c r="E20" t="s">
        <v>75</v>
      </c>
    </row>
    <row r="21" spans="1:5" x14ac:dyDescent="0.25">
      <c r="A21" s="10" t="s">
        <v>996</v>
      </c>
      <c r="C21" s="15">
        <v>61098</v>
      </c>
      <c r="D21" s="9" t="s">
        <v>1214</v>
      </c>
      <c r="E21" t="s">
        <v>75</v>
      </c>
    </row>
    <row r="22" spans="1:5" x14ac:dyDescent="0.25">
      <c r="A22" s="10" t="s">
        <v>998</v>
      </c>
      <c r="C22" s="15">
        <v>59220.3</v>
      </c>
      <c r="D22" s="9" t="s">
        <v>1214</v>
      </c>
      <c r="E22" t="s">
        <v>75</v>
      </c>
    </row>
    <row r="23" spans="1:5" x14ac:dyDescent="0.25">
      <c r="A23" s="10" t="s">
        <v>1000</v>
      </c>
      <c r="C23" s="15">
        <v>21205</v>
      </c>
      <c r="D23" s="9" t="s">
        <v>1214</v>
      </c>
      <c r="E23" t="s">
        <v>75</v>
      </c>
    </row>
    <row r="24" spans="1:5" x14ac:dyDescent="0.25">
      <c r="A24" s="10" t="s">
        <v>1002</v>
      </c>
      <c r="C24" s="15">
        <v>3968</v>
      </c>
      <c r="D24" s="9" t="s">
        <v>1214</v>
      </c>
      <c r="E24" t="s">
        <v>75</v>
      </c>
    </row>
    <row r="25" spans="1:5" x14ac:dyDescent="0.25">
      <c r="A25" s="10" t="s">
        <v>1004</v>
      </c>
      <c r="C25" s="15">
        <v>4450</v>
      </c>
      <c r="D25" s="9" t="s">
        <v>1214</v>
      </c>
      <c r="E25" t="s">
        <v>75</v>
      </c>
    </row>
    <row r="26" spans="1:5" x14ac:dyDescent="0.25">
      <c r="A26" s="10" t="s">
        <v>1006</v>
      </c>
      <c r="C26" s="15">
        <v>8847.5</v>
      </c>
      <c r="D26" s="9" t="s">
        <v>1214</v>
      </c>
      <c r="E26" t="s">
        <v>75</v>
      </c>
    </row>
    <row r="27" spans="1:5" x14ac:dyDescent="0.25">
      <c r="A27" s="10" t="s">
        <v>1008</v>
      </c>
      <c r="C27" s="15">
        <v>4000</v>
      </c>
      <c r="D27" s="9" t="s">
        <v>1214</v>
      </c>
      <c r="E27" t="s">
        <v>75</v>
      </c>
    </row>
    <row r="28" spans="1:5" x14ac:dyDescent="0.25">
      <c r="A28" s="10" t="s">
        <v>1010</v>
      </c>
      <c r="C28" s="15">
        <v>4840</v>
      </c>
      <c r="D28" s="9" t="s">
        <v>1214</v>
      </c>
      <c r="E28" t="s">
        <v>75</v>
      </c>
    </row>
    <row r="29" spans="1:5" x14ac:dyDescent="0.25">
      <c r="A29" s="10" t="s">
        <v>1012</v>
      </c>
      <c r="C29" s="15">
        <v>1345</v>
      </c>
      <c r="D29" s="9" t="s">
        <v>1214</v>
      </c>
      <c r="E29" t="s">
        <v>75</v>
      </c>
    </row>
    <row r="30" spans="1:5" x14ac:dyDescent="0.25">
      <c r="A30" s="10" t="s">
        <v>1014</v>
      </c>
      <c r="C30" s="15">
        <v>4117.8999999999996</v>
      </c>
      <c r="D30" s="9" t="s">
        <v>1214</v>
      </c>
      <c r="E30" t="s">
        <v>75</v>
      </c>
    </row>
    <row r="31" spans="1:5" x14ac:dyDescent="0.25">
      <c r="A31" s="10" t="s">
        <v>1016</v>
      </c>
      <c r="C31" s="15">
        <v>132439</v>
      </c>
      <c r="D31" s="9" t="s">
        <v>1214</v>
      </c>
      <c r="E31" t="s">
        <v>75</v>
      </c>
    </row>
    <row r="32" spans="1:5" x14ac:dyDescent="0.25">
      <c r="A32" s="10" t="s">
        <v>1018</v>
      </c>
      <c r="C32" s="15">
        <v>4350</v>
      </c>
      <c r="D32" s="9" t="s">
        <v>1214</v>
      </c>
      <c r="E32" t="s">
        <v>75</v>
      </c>
    </row>
    <row r="33" spans="1:5" x14ac:dyDescent="0.25">
      <c r="A33" s="10" t="s">
        <v>1020</v>
      </c>
      <c r="C33" s="15">
        <v>2192</v>
      </c>
      <c r="D33" s="9" t="s">
        <v>1214</v>
      </c>
      <c r="E33" t="s">
        <v>75</v>
      </c>
    </row>
    <row r="34" spans="1:5" x14ac:dyDescent="0.25">
      <c r="A34" s="10" t="s">
        <v>1022</v>
      </c>
      <c r="C34" s="15">
        <v>4045.9</v>
      </c>
      <c r="D34" s="9" t="s">
        <v>1214</v>
      </c>
      <c r="E34" t="s">
        <v>75</v>
      </c>
    </row>
    <row r="35" spans="1:5" x14ac:dyDescent="0.25">
      <c r="A35" s="10" t="s">
        <v>1024</v>
      </c>
      <c r="C35" s="15">
        <v>12470</v>
      </c>
      <c r="D35" s="9" t="s">
        <v>1214</v>
      </c>
      <c r="E35" t="s">
        <v>75</v>
      </c>
    </row>
    <row r="36" spans="1:5" x14ac:dyDescent="0.25">
      <c r="A36" s="10" t="s">
        <v>1026</v>
      </c>
      <c r="C36" s="15">
        <v>4450</v>
      </c>
      <c r="D36" s="9" t="s">
        <v>1214</v>
      </c>
      <c r="E36" t="s">
        <v>75</v>
      </c>
    </row>
    <row r="37" spans="1:5" x14ac:dyDescent="0.25">
      <c r="A37" s="10" t="s">
        <v>1028</v>
      </c>
      <c r="C37" s="15">
        <v>7646.4</v>
      </c>
      <c r="D37" s="9" t="s">
        <v>1214</v>
      </c>
      <c r="E37" t="s">
        <v>75</v>
      </c>
    </row>
    <row r="38" spans="1:5" x14ac:dyDescent="0.25">
      <c r="A38" s="10" t="s">
        <v>1030</v>
      </c>
      <c r="C38" s="15">
        <v>24014.799999999999</v>
      </c>
      <c r="D38" s="9" t="s">
        <v>1214</v>
      </c>
      <c r="E38" t="s">
        <v>75</v>
      </c>
    </row>
    <row r="39" spans="1:5" x14ac:dyDescent="0.25">
      <c r="A39" s="10" t="s">
        <v>1032</v>
      </c>
      <c r="C39" s="15">
        <v>38006</v>
      </c>
      <c r="D39" s="9" t="s">
        <v>1214</v>
      </c>
      <c r="E39" t="s">
        <v>75</v>
      </c>
    </row>
    <row r="40" spans="1:5" x14ac:dyDescent="0.25">
      <c r="A40" s="10" t="s">
        <v>1034</v>
      </c>
      <c r="C40" s="15">
        <v>33227</v>
      </c>
      <c r="D40" s="9" t="s">
        <v>1214</v>
      </c>
      <c r="E40" t="s">
        <v>75</v>
      </c>
    </row>
    <row r="41" spans="1:5" x14ac:dyDescent="0.25">
      <c r="A41" s="10" t="s">
        <v>1036</v>
      </c>
      <c r="C41" s="15">
        <v>155.5</v>
      </c>
      <c r="D41" s="9" t="s">
        <v>1214</v>
      </c>
      <c r="E41" t="s">
        <v>75</v>
      </c>
    </row>
    <row r="42" spans="1:5" x14ac:dyDescent="0.25">
      <c r="A42" s="10" t="s">
        <v>1038</v>
      </c>
      <c r="C42" s="15">
        <v>370</v>
      </c>
      <c r="D42" s="9" t="s">
        <v>1214</v>
      </c>
      <c r="E42" t="s">
        <v>75</v>
      </c>
    </row>
    <row r="43" spans="1:5" x14ac:dyDescent="0.25">
      <c r="A43" s="10" t="s">
        <v>1040</v>
      </c>
      <c r="C43" s="15">
        <v>9320</v>
      </c>
      <c r="D43" s="9" t="s">
        <v>1214</v>
      </c>
      <c r="E43" t="s">
        <v>75</v>
      </c>
    </row>
    <row r="44" spans="1:5" x14ac:dyDescent="0.25">
      <c r="A44" s="10" t="s">
        <v>1042</v>
      </c>
      <c r="C44" s="15">
        <v>6000</v>
      </c>
      <c r="D44" s="9" t="s">
        <v>1214</v>
      </c>
      <c r="E44" t="s">
        <v>75</v>
      </c>
    </row>
    <row r="45" spans="1:5" x14ac:dyDescent="0.25">
      <c r="A45" s="10" t="s">
        <v>1044</v>
      </c>
      <c r="C45" s="15">
        <v>12362</v>
      </c>
      <c r="D45" s="9" t="s">
        <v>1214</v>
      </c>
      <c r="E45" t="s">
        <v>75</v>
      </c>
    </row>
    <row r="46" spans="1:5" x14ac:dyDescent="0.25">
      <c r="A46" s="10" t="s">
        <v>1046</v>
      </c>
      <c r="C46" s="15">
        <v>3057</v>
      </c>
      <c r="D46" s="9" t="s">
        <v>1214</v>
      </c>
      <c r="E46" t="s">
        <v>75</v>
      </c>
    </row>
    <row r="47" spans="1:5" x14ac:dyDescent="0.25">
      <c r="A47" s="10" t="s">
        <v>1048</v>
      </c>
      <c r="C47" s="15">
        <v>13211</v>
      </c>
      <c r="D47" s="9" t="s">
        <v>1214</v>
      </c>
      <c r="E47" t="s">
        <v>75</v>
      </c>
    </row>
    <row r="48" spans="1:5" x14ac:dyDescent="0.25">
      <c r="A48" s="10" t="s">
        <v>1050</v>
      </c>
      <c r="C48" s="15">
        <v>12058.9</v>
      </c>
      <c r="D48" s="9" t="s">
        <v>1214</v>
      </c>
      <c r="E48" t="s">
        <v>75</v>
      </c>
    </row>
    <row r="49" spans="1:5" x14ac:dyDescent="0.25">
      <c r="A49" s="10" t="s">
        <v>1052</v>
      </c>
      <c r="C49" s="15">
        <v>4330</v>
      </c>
      <c r="D49" s="9" t="s">
        <v>1214</v>
      </c>
      <c r="E49" t="s">
        <v>75</v>
      </c>
    </row>
    <row r="50" spans="1:5" x14ac:dyDescent="0.25">
      <c r="A50" s="10" t="s">
        <v>1054</v>
      </c>
      <c r="C50" s="15">
        <v>4450</v>
      </c>
      <c r="D50" s="9" t="s">
        <v>1214</v>
      </c>
      <c r="E50" t="s">
        <v>75</v>
      </c>
    </row>
    <row r="51" spans="1:5" x14ac:dyDescent="0.25">
      <c r="A51" s="10" t="s">
        <v>1056</v>
      </c>
      <c r="C51" s="15">
        <v>12900</v>
      </c>
      <c r="D51" s="9" t="s">
        <v>1214</v>
      </c>
      <c r="E51" t="s">
        <v>75</v>
      </c>
    </row>
    <row r="52" spans="1:5" x14ac:dyDescent="0.25">
      <c r="A52" s="10" t="s">
        <v>1058</v>
      </c>
      <c r="C52" s="15">
        <v>4840</v>
      </c>
      <c r="D52" s="9" t="s">
        <v>1214</v>
      </c>
      <c r="E52" t="s">
        <v>75</v>
      </c>
    </row>
    <row r="53" spans="1:5" x14ac:dyDescent="0.25">
      <c r="A53" s="10" t="s">
        <v>1060</v>
      </c>
      <c r="C53" s="15">
        <v>8365</v>
      </c>
      <c r="D53" s="9" t="s">
        <v>1214</v>
      </c>
      <c r="E53" t="s">
        <v>75</v>
      </c>
    </row>
    <row r="54" spans="1:5" x14ac:dyDescent="0.25">
      <c r="A54" s="10" t="s">
        <v>1064</v>
      </c>
      <c r="C54" s="15">
        <v>8262.5</v>
      </c>
      <c r="D54" s="9" t="s">
        <v>1214</v>
      </c>
      <c r="E54" t="s">
        <v>75</v>
      </c>
    </row>
    <row r="55" spans="1:5" x14ac:dyDescent="0.25">
      <c r="A55" s="10" t="s">
        <v>1066</v>
      </c>
      <c r="C55" s="15">
        <v>17401.650000000001</v>
      </c>
      <c r="D55" s="9" t="s">
        <v>1214</v>
      </c>
      <c r="E55" t="s">
        <v>75</v>
      </c>
    </row>
    <row r="56" spans="1:5" x14ac:dyDescent="0.25">
      <c r="A56" s="10" t="s">
        <v>1068</v>
      </c>
      <c r="C56" s="15">
        <v>11703.9</v>
      </c>
      <c r="D56" s="9" t="s">
        <v>1214</v>
      </c>
      <c r="E56" t="s">
        <v>75</v>
      </c>
    </row>
    <row r="57" spans="1:5" x14ac:dyDescent="0.25">
      <c r="A57" s="10" t="s">
        <v>1070</v>
      </c>
      <c r="C57" s="15">
        <v>4050.9</v>
      </c>
      <c r="D57" s="9" t="s">
        <v>1214</v>
      </c>
      <c r="E57" t="s">
        <v>75</v>
      </c>
    </row>
    <row r="58" spans="1:5" x14ac:dyDescent="0.25">
      <c r="A58" s="10" t="s">
        <v>1072</v>
      </c>
      <c r="C58" s="15">
        <v>3550.4</v>
      </c>
      <c r="D58" s="9" t="s">
        <v>1214</v>
      </c>
      <c r="E58" t="s">
        <v>75</v>
      </c>
    </row>
    <row r="59" spans="1:5" x14ac:dyDescent="0.25">
      <c r="A59" s="10" t="s">
        <v>1074</v>
      </c>
      <c r="C59" s="15">
        <v>4000</v>
      </c>
      <c r="D59" s="9" t="s">
        <v>1214</v>
      </c>
      <c r="E59" t="s">
        <v>75</v>
      </c>
    </row>
    <row r="60" spans="1:5" x14ac:dyDescent="0.25">
      <c r="A60" s="10" t="s">
        <v>1076</v>
      </c>
      <c r="C60" s="15">
        <v>3611</v>
      </c>
      <c r="D60" s="9" t="s">
        <v>1214</v>
      </c>
      <c r="E60" t="s">
        <v>75</v>
      </c>
    </row>
    <row r="61" spans="1:5" x14ac:dyDescent="0.25">
      <c r="A61" s="10" t="s">
        <v>1080</v>
      </c>
      <c r="C61" s="15">
        <v>13330</v>
      </c>
      <c r="D61" s="9" t="s">
        <v>1214</v>
      </c>
      <c r="E61" t="s">
        <v>75</v>
      </c>
    </row>
    <row r="62" spans="1:5" x14ac:dyDescent="0.25">
      <c r="A62" s="10" t="s">
        <v>1084</v>
      </c>
      <c r="C62" s="15">
        <v>22611</v>
      </c>
      <c r="D62" s="9" t="s">
        <v>1214</v>
      </c>
      <c r="E62" t="s">
        <v>75</v>
      </c>
    </row>
    <row r="63" spans="1:5" x14ac:dyDescent="0.25">
      <c r="A63" s="10" t="s">
        <v>1086</v>
      </c>
      <c r="C63" s="15">
        <v>4840</v>
      </c>
      <c r="D63" s="9" t="s">
        <v>1214</v>
      </c>
      <c r="E63" t="s">
        <v>75</v>
      </c>
    </row>
    <row r="64" spans="1:5" x14ac:dyDescent="0.25">
      <c r="A64" s="10" t="s">
        <v>1088</v>
      </c>
      <c r="C64" s="15">
        <v>4047.6</v>
      </c>
      <c r="D64" s="9" t="s">
        <v>1214</v>
      </c>
      <c r="E64" t="s">
        <v>75</v>
      </c>
    </row>
    <row r="65" spans="1:5" x14ac:dyDescent="0.25">
      <c r="A65" s="10" t="s">
        <v>1090</v>
      </c>
      <c r="C65" s="15">
        <v>4501</v>
      </c>
      <c r="D65" s="9" t="s">
        <v>1214</v>
      </c>
      <c r="E65" t="s">
        <v>75</v>
      </c>
    </row>
    <row r="66" spans="1:5" x14ac:dyDescent="0.25">
      <c r="A66" s="10" t="s">
        <v>1092</v>
      </c>
      <c r="C66" s="15">
        <v>1920</v>
      </c>
      <c r="D66" s="9" t="s">
        <v>1214</v>
      </c>
      <c r="E66" t="s">
        <v>75</v>
      </c>
    </row>
    <row r="67" spans="1:5" x14ac:dyDescent="0.25">
      <c r="A67" s="10" t="s">
        <v>1094</v>
      </c>
      <c r="C67" s="15">
        <v>1955</v>
      </c>
      <c r="D67" s="9" t="s">
        <v>1214</v>
      </c>
      <c r="E67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5"/>
  <dimension ref="A1:O71"/>
  <sheetViews>
    <sheetView workbookViewId="0">
      <selection activeCell="A2" sqref="A2"/>
    </sheetView>
  </sheetViews>
  <sheetFormatPr defaultRowHeight="15" x14ac:dyDescent="0.25"/>
  <cols>
    <col min="1" max="1" width="12.625" style="10" customWidth="1"/>
    <col min="2" max="14" width="11.625" style="15" customWidth="1"/>
  </cols>
  <sheetData>
    <row r="1" spans="1:15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1787,93</v>
      </c>
      <c r="C2" s="14" t="str">
        <f>CONCATENATE("FEVEREIRO",CHAR(10),"TOTAL: ",ROUND(SUM(C3:C1048576),2))</f>
        <v>FEVEREIRO
TOTAL: 1297,99</v>
      </c>
      <c r="D2" s="14" t="str">
        <f>CONCATENATE("MARÇO",CHAR(10),"TOTAL: ",ROUND(SUM(D3:D1048576),2))</f>
        <v>MARÇO
TOTAL: 1258,5</v>
      </c>
      <c r="E2" s="14" t="str">
        <f>CONCATENATE("ABRIL",CHAR(10),"TOTAL: ",ROUND(SUM(E3:E1048576),2))</f>
        <v>ABRIL
TOTAL: 8078,72</v>
      </c>
      <c r="F2" s="14" t="str">
        <f>CONCATENATE("MAIO",CHAR(10),"TOTAL: ",ROUND(SUM(F3:F1048576),2))</f>
        <v>MAIO
TOTAL: 2374,72</v>
      </c>
      <c r="G2" s="14" t="str">
        <f>CONCATENATE("JUNHO",CHAR(10),"TOTAL: ",ROUND(SUM(G3:G1048576),2))</f>
        <v>JUNHO
TOTAL: 1648,94</v>
      </c>
      <c r="H2" s="14" t="str">
        <f>CONCATENATE("JULHO",CHAR(10),"TOTAL: ",ROUND(SUM(H3:H1048576),2))</f>
        <v>JULHO
TOTAL: 2026,94</v>
      </c>
      <c r="I2" s="14" t="str">
        <f>CONCATENATE("AGOSTO",CHAR(10),"TOTAL: ",ROUND(SUM(I3:I1048576),2))</f>
        <v>AGOSTO
TOTAL: 1754,24</v>
      </c>
      <c r="J2" s="14" t="str">
        <f>CONCATENATE("SETEMBRO",CHAR(10),"TOTAL: ",ROUND(SUM(J3:J1048576),2))</f>
        <v>SETEMBRO
TOTAL: 1410,35</v>
      </c>
      <c r="K2" s="14" t="str">
        <f>CONCATENATE("OUTUBRO",CHAR(10),"TOTAL: ",ROUND(SUM(K3:K1048576),2))</f>
        <v>OUTUBRO
TOTAL: 1390,29</v>
      </c>
      <c r="L2" s="14" t="str">
        <f>CONCATENATE("NOVEMBRO",CHAR(10),"TOTAL: ",ROUND(SUM(L3:L1048576),2))</f>
        <v>NOVEMBRO
TOTAL: 1830,04</v>
      </c>
      <c r="M2" s="14" t="str">
        <f>CONCATENATE("DEZEMBRO",CHAR(10),"TOTAL: ",ROUND(SUM(M3:M1048576),2))</f>
        <v>DEZEMBRO
TOTAL: 1364,23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960</v>
      </c>
      <c r="B3" s="15">
        <v>125.4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t="s">
        <v>75</v>
      </c>
    </row>
    <row r="4" spans="1:15" x14ac:dyDescent="0.25">
      <c r="A4" s="10" t="s">
        <v>962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61.6</v>
      </c>
      <c r="I4" s="15">
        <v>26.4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t="s">
        <v>75</v>
      </c>
    </row>
    <row r="5" spans="1:15" x14ac:dyDescent="0.25">
      <c r="A5" s="10" t="s">
        <v>964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9.33</v>
      </c>
      <c r="K5" s="15">
        <v>0</v>
      </c>
      <c r="L5" s="15">
        <v>0</v>
      </c>
      <c r="M5" s="15">
        <v>0</v>
      </c>
      <c r="N5" s="15">
        <v>0</v>
      </c>
      <c r="O5" t="s">
        <v>75</v>
      </c>
    </row>
    <row r="6" spans="1:15" x14ac:dyDescent="0.25">
      <c r="A6" s="10" t="s">
        <v>966</v>
      </c>
      <c r="B6" s="15">
        <v>0</v>
      </c>
      <c r="C6" s="15">
        <v>0</v>
      </c>
      <c r="D6" s="15">
        <v>0</v>
      </c>
      <c r="E6" s="15">
        <v>186.91</v>
      </c>
      <c r="F6" s="15">
        <v>88</v>
      </c>
      <c r="G6" s="15">
        <v>3.3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t="s">
        <v>75</v>
      </c>
    </row>
    <row r="7" spans="1:15" x14ac:dyDescent="0.25">
      <c r="A7" s="10" t="s">
        <v>968</v>
      </c>
      <c r="B7" s="15">
        <v>0</v>
      </c>
      <c r="C7" s="15">
        <v>0</v>
      </c>
      <c r="D7" s="15">
        <v>0</v>
      </c>
      <c r="E7" s="15">
        <v>9.9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t="s">
        <v>75</v>
      </c>
    </row>
    <row r="8" spans="1:15" x14ac:dyDescent="0.25">
      <c r="A8" s="10" t="s">
        <v>970</v>
      </c>
      <c r="B8" s="15">
        <v>0</v>
      </c>
      <c r="C8" s="15">
        <v>0</v>
      </c>
      <c r="D8" s="15">
        <v>0</v>
      </c>
      <c r="E8" s="15">
        <v>105.31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t="s">
        <v>75</v>
      </c>
    </row>
    <row r="9" spans="1:15" x14ac:dyDescent="0.25">
      <c r="A9" s="10" t="s">
        <v>972</v>
      </c>
      <c r="B9" s="15">
        <v>0</v>
      </c>
      <c r="C9" s="15">
        <v>0</v>
      </c>
      <c r="D9" s="15">
        <v>0</v>
      </c>
      <c r="E9" s="15">
        <v>88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t="s">
        <v>75</v>
      </c>
    </row>
    <row r="10" spans="1:15" x14ac:dyDescent="0.25">
      <c r="A10" s="10" t="s">
        <v>974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61.6</v>
      </c>
      <c r="I10" s="15">
        <v>26.4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t="s">
        <v>75</v>
      </c>
    </row>
    <row r="11" spans="1:15" x14ac:dyDescent="0.25">
      <c r="A11" s="10" t="s">
        <v>976</v>
      </c>
      <c r="B11" s="15">
        <v>0</v>
      </c>
      <c r="C11" s="15">
        <v>0</v>
      </c>
      <c r="D11" s="15">
        <v>0</v>
      </c>
      <c r="E11" s="15">
        <v>205.99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t="s">
        <v>75</v>
      </c>
    </row>
    <row r="12" spans="1:15" x14ac:dyDescent="0.25">
      <c r="A12" s="10" t="s">
        <v>978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66.88</v>
      </c>
      <c r="H12" s="15">
        <v>56.32</v>
      </c>
      <c r="I12" s="15">
        <v>138.6</v>
      </c>
      <c r="J12" s="15">
        <v>84.48</v>
      </c>
      <c r="K12" s="15">
        <v>66.88</v>
      </c>
      <c r="L12" s="15">
        <v>31.68</v>
      </c>
      <c r="M12" s="15">
        <v>47.08</v>
      </c>
      <c r="N12" s="15">
        <v>0</v>
      </c>
      <c r="O12" t="s">
        <v>75</v>
      </c>
    </row>
    <row r="13" spans="1:15" x14ac:dyDescent="0.25">
      <c r="A13" s="10" t="s">
        <v>980</v>
      </c>
      <c r="B13" s="15">
        <v>389.4</v>
      </c>
      <c r="C13" s="15">
        <v>435.6</v>
      </c>
      <c r="D13" s="15">
        <v>462</v>
      </c>
      <c r="E13" s="15">
        <v>409.2</v>
      </c>
      <c r="F13" s="15">
        <v>369.6</v>
      </c>
      <c r="G13" s="15">
        <v>198</v>
      </c>
      <c r="H13" s="15">
        <v>244.2</v>
      </c>
      <c r="I13" s="15">
        <v>297</v>
      </c>
      <c r="J13" s="15">
        <v>297</v>
      </c>
      <c r="K13" s="15">
        <v>198</v>
      </c>
      <c r="L13" s="15">
        <v>198</v>
      </c>
      <c r="M13" s="15">
        <v>191.4</v>
      </c>
      <c r="N13" s="15">
        <v>0</v>
      </c>
      <c r="O13" t="s">
        <v>75</v>
      </c>
    </row>
    <row r="14" spans="1:15" x14ac:dyDescent="0.25">
      <c r="A14" s="10" t="s">
        <v>982</v>
      </c>
      <c r="B14" s="15">
        <v>0</v>
      </c>
      <c r="C14" s="15">
        <v>0</v>
      </c>
      <c r="D14" s="15">
        <v>0</v>
      </c>
      <c r="E14" s="15">
        <v>158.86000000000001</v>
      </c>
      <c r="F14" s="15">
        <v>26.4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t="s">
        <v>75</v>
      </c>
    </row>
    <row r="15" spans="1:15" x14ac:dyDescent="0.25">
      <c r="A15" s="10" t="s">
        <v>984</v>
      </c>
      <c r="B15" s="15">
        <v>0</v>
      </c>
      <c r="C15" s="15">
        <v>0</v>
      </c>
      <c r="D15" s="15">
        <v>0</v>
      </c>
      <c r="E15" s="15">
        <v>256.77999999999997</v>
      </c>
      <c r="F15" s="15">
        <v>34.43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t="s">
        <v>75</v>
      </c>
    </row>
    <row r="16" spans="1:15" x14ac:dyDescent="0.25">
      <c r="A16" s="10" t="s">
        <v>986</v>
      </c>
      <c r="B16" s="15">
        <v>0</v>
      </c>
      <c r="C16" s="15">
        <v>0</v>
      </c>
      <c r="D16" s="15">
        <v>0</v>
      </c>
      <c r="E16" s="15">
        <v>106.48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t="s">
        <v>75</v>
      </c>
    </row>
    <row r="17" spans="1:15" x14ac:dyDescent="0.25">
      <c r="A17" s="10" t="s">
        <v>988</v>
      </c>
      <c r="B17" s="15">
        <v>0</v>
      </c>
      <c r="C17" s="15">
        <v>0</v>
      </c>
      <c r="D17" s="15">
        <v>0</v>
      </c>
      <c r="E17" s="15">
        <v>256.76</v>
      </c>
      <c r="F17" s="15">
        <v>26.4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t="s">
        <v>75</v>
      </c>
    </row>
    <row r="18" spans="1:15" x14ac:dyDescent="0.25">
      <c r="A18" s="10" t="s">
        <v>990</v>
      </c>
      <c r="B18" s="15">
        <v>0</v>
      </c>
      <c r="C18" s="15">
        <v>14.08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t="s">
        <v>75</v>
      </c>
    </row>
    <row r="19" spans="1:15" x14ac:dyDescent="0.25">
      <c r="A19" s="10" t="s">
        <v>992</v>
      </c>
      <c r="B19" s="15">
        <v>0</v>
      </c>
      <c r="C19" s="15">
        <v>0</v>
      </c>
      <c r="D19" s="15">
        <v>0</v>
      </c>
      <c r="E19" s="15">
        <v>186.93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t="s">
        <v>75</v>
      </c>
    </row>
    <row r="20" spans="1:15" x14ac:dyDescent="0.25">
      <c r="A20" s="10" t="s">
        <v>994</v>
      </c>
      <c r="B20" s="15">
        <v>107.36</v>
      </c>
      <c r="C20" s="15">
        <v>45.76</v>
      </c>
      <c r="D20" s="15">
        <v>0</v>
      </c>
      <c r="E20" s="15">
        <v>61.6</v>
      </c>
      <c r="F20" s="15">
        <v>0</v>
      </c>
      <c r="G20" s="15">
        <v>0</v>
      </c>
      <c r="H20" s="15">
        <v>0</v>
      </c>
      <c r="I20" s="15">
        <v>14.08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t="s">
        <v>75</v>
      </c>
    </row>
    <row r="21" spans="1:15" x14ac:dyDescent="0.25">
      <c r="A21" s="10" t="s">
        <v>996</v>
      </c>
      <c r="B21" s="15">
        <v>28.16</v>
      </c>
      <c r="C21" s="15">
        <v>67.98</v>
      </c>
      <c r="D21" s="15">
        <v>36.630000000000003</v>
      </c>
      <c r="E21" s="15">
        <v>34.869999999999997</v>
      </c>
      <c r="F21" s="15">
        <v>0</v>
      </c>
      <c r="G21" s="15">
        <v>227</v>
      </c>
      <c r="H21" s="15">
        <v>180.91</v>
      </c>
      <c r="I21" s="15">
        <v>161.61000000000001</v>
      </c>
      <c r="J21" s="15">
        <v>159.26</v>
      </c>
      <c r="K21" s="15">
        <v>125.05</v>
      </c>
      <c r="L21" s="15">
        <v>285.20999999999998</v>
      </c>
      <c r="M21" s="15">
        <v>62.83</v>
      </c>
      <c r="N21" s="15">
        <v>0</v>
      </c>
      <c r="O21" t="s">
        <v>75</v>
      </c>
    </row>
    <row r="22" spans="1:15" x14ac:dyDescent="0.25">
      <c r="A22" s="10" t="s">
        <v>998</v>
      </c>
      <c r="B22" s="15">
        <v>199.61</v>
      </c>
      <c r="C22" s="15">
        <v>154</v>
      </c>
      <c r="D22" s="15">
        <v>175.45</v>
      </c>
      <c r="E22" s="15">
        <v>243.1</v>
      </c>
      <c r="F22" s="15">
        <v>221.1</v>
      </c>
      <c r="G22" s="15">
        <v>262.97000000000003</v>
      </c>
      <c r="H22" s="15">
        <v>226.27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t="s">
        <v>75</v>
      </c>
    </row>
    <row r="23" spans="1:15" x14ac:dyDescent="0.25">
      <c r="A23" s="10" t="s">
        <v>1000</v>
      </c>
      <c r="B23" s="15">
        <v>0</v>
      </c>
      <c r="C23" s="15">
        <v>0</v>
      </c>
      <c r="D23" s="15">
        <v>0</v>
      </c>
      <c r="E23" s="15">
        <v>256.08</v>
      </c>
      <c r="F23" s="15">
        <v>122.43</v>
      </c>
      <c r="G23" s="15">
        <v>0</v>
      </c>
      <c r="H23" s="15">
        <v>61.6</v>
      </c>
      <c r="I23" s="15">
        <v>26.4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t="s">
        <v>75</v>
      </c>
    </row>
    <row r="24" spans="1:15" x14ac:dyDescent="0.25">
      <c r="A24" s="10" t="s">
        <v>1002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87.3</v>
      </c>
      <c r="L24" s="15">
        <v>0</v>
      </c>
      <c r="M24" s="15">
        <v>0</v>
      </c>
      <c r="N24" s="15">
        <v>0</v>
      </c>
      <c r="O24" t="s">
        <v>75</v>
      </c>
    </row>
    <row r="25" spans="1:15" x14ac:dyDescent="0.25">
      <c r="A25" s="10" t="s">
        <v>1004</v>
      </c>
      <c r="B25" s="15">
        <v>0</v>
      </c>
      <c r="C25" s="15">
        <v>0</v>
      </c>
      <c r="D25" s="15">
        <v>0</v>
      </c>
      <c r="E25" s="15">
        <v>97.9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t="s">
        <v>75</v>
      </c>
    </row>
    <row r="26" spans="1:15" x14ac:dyDescent="0.25">
      <c r="A26" s="10" t="s">
        <v>1006</v>
      </c>
      <c r="B26" s="15">
        <v>0</v>
      </c>
      <c r="C26" s="15">
        <v>0</v>
      </c>
      <c r="D26" s="15">
        <v>0</v>
      </c>
      <c r="E26" s="15">
        <v>194.65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t="s">
        <v>75</v>
      </c>
    </row>
    <row r="27" spans="1:15" x14ac:dyDescent="0.25">
      <c r="A27" s="10" t="s">
        <v>1008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61.6</v>
      </c>
      <c r="I27" s="15">
        <v>26.4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t="s">
        <v>75</v>
      </c>
    </row>
    <row r="28" spans="1:15" x14ac:dyDescent="0.25">
      <c r="A28" s="10" t="s">
        <v>1010</v>
      </c>
      <c r="B28" s="15">
        <v>0</v>
      </c>
      <c r="C28" s="15">
        <v>0</v>
      </c>
      <c r="D28" s="15">
        <v>0</v>
      </c>
      <c r="E28" s="15">
        <v>106.48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t="s">
        <v>75</v>
      </c>
    </row>
    <row r="29" spans="1:15" x14ac:dyDescent="0.25">
      <c r="A29" s="10" t="s">
        <v>1012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26.07</v>
      </c>
      <c r="J29" s="15">
        <v>0</v>
      </c>
      <c r="K29" s="15">
        <v>3.52</v>
      </c>
      <c r="L29" s="15">
        <v>0</v>
      </c>
      <c r="M29" s="15">
        <v>0</v>
      </c>
      <c r="N29" s="15">
        <v>0</v>
      </c>
      <c r="O29" t="s">
        <v>75</v>
      </c>
    </row>
    <row r="30" spans="1:15" x14ac:dyDescent="0.25">
      <c r="A30" s="10" t="s">
        <v>1014</v>
      </c>
      <c r="B30" s="15">
        <v>0</v>
      </c>
      <c r="C30" s="15">
        <v>0</v>
      </c>
      <c r="D30" s="15">
        <v>0</v>
      </c>
      <c r="E30" s="15">
        <v>106.48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t="s">
        <v>75</v>
      </c>
    </row>
    <row r="31" spans="1:15" x14ac:dyDescent="0.25">
      <c r="A31" s="10" t="s">
        <v>1016</v>
      </c>
      <c r="B31" s="15">
        <v>0</v>
      </c>
      <c r="C31" s="15">
        <v>83.82</v>
      </c>
      <c r="D31" s="15">
        <v>148.28</v>
      </c>
      <c r="E31" s="15">
        <v>390.94</v>
      </c>
      <c r="F31" s="15">
        <v>178.31</v>
      </c>
      <c r="G31" s="15">
        <v>332.44</v>
      </c>
      <c r="H31" s="15">
        <v>228.93</v>
      </c>
      <c r="I31" s="15">
        <v>301.86</v>
      </c>
      <c r="J31" s="15">
        <v>261.45</v>
      </c>
      <c r="K31" s="15">
        <v>338.89</v>
      </c>
      <c r="L31" s="15">
        <v>348.88</v>
      </c>
      <c r="M31" s="15">
        <v>299.86</v>
      </c>
      <c r="N31" s="15">
        <v>0</v>
      </c>
      <c r="O31" t="s">
        <v>75</v>
      </c>
    </row>
    <row r="32" spans="1:15" x14ac:dyDescent="0.25">
      <c r="A32" s="10" t="s">
        <v>1018</v>
      </c>
      <c r="B32" s="15">
        <v>0</v>
      </c>
      <c r="C32" s="15">
        <v>0</v>
      </c>
      <c r="D32" s="15">
        <v>0</v>
      </c>
      <c r="E32" s="15">
        <v>106.35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t="s">
        <v>75</v>
      </c>
    </row>
    <row r="33" spans="1:15" x14ac:dyDescent="0.25">
      <c r="A33" s="10" t="s">
        <v>1020</v>
      </c>
      <c r="B33" s="15">
        <v>59.84</v>
      </c>
      <c r="C33" s="15">
        <v>42.24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t="s">
        <v>75</v>
      </c>
    </row>
    <row r="34" spans="1:15" x14ac:dyDescent="0.25">
      <c r="A34" s="10" t="s">
        <v>1022</v>
      </c>
      <c r="B34" s="15">
        <v>0</v>
      </c>
      <c r="C34" s="15">
        <v>0</v>
      </c>
      <c r="D34" s="15">
        <v>0</v>
      </c>
      <c r="E34" s="15">
        <v>98.91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t="s">
        <v>75</v>
      </c>
    </row>
    <row r="35" spans="1:15" x14ac:dyDescent="0.25">
      <c r="A35" s="10" t="s">
        <v>1024</v>
      </c>
      <c r="B35" s="15">
        <v>0</v>
      </c>
      <c r="C35" s="15">
        <v>0</v>
      </c>
      <c r="D35" s="15">
        <v>0</v>
      </c>
      <c r="E35" s="15">
        <v>186.34</v>
      </c>
      <c r="F35" s="15">
        <v>88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t="s">
        <v>75</v>
      </c>
    </row>
    <row r="36" spans="1:15" x14ac:dyDescent="0.25">
      <c r="A36" s="10" t="s">
        <v>1026</v>
      </c>
      <c r="B36" s="15">
        <v>0</v>
      </c>
      <c r="C36" s="15">
        <v>0</v>
      </c>
      <c r="D36" s="15">
        <v>0</v>
      </c>
      <c r="E36" s="15">
        <v>97.9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t="s">
        <v>75</v>
      </c>
    </row>
    <row r="37" spans="1:15" x14ac:dyDescent="0.25">
      <c r="A37" s="10" t="s">
        <v>1028</v>
      </c>
      <c r="B37" s="15">
        <v>0</v>
      </c>
      <c r="C37" s="15">
        <v>0</v>
      </c>
      <c r="D37" s="15">
        <v>0</v>
      </c>
      <c r="E37" s="15">
        <v>186.91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t="s">
        <v>75</v>
      </c>
    </row>
    <row r="38" spans="1:15" x14ac:dyDescent="0.25">
      <c r="A38" s="10" t="s">
        <v>1030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89.32</v>
      </c>
      <c r="I38" s="15">
        <v>82.72</v>
      </c>
      <c r="J38" s="15">
        <v>82.72</v>
      </c>
      <c r="K38" s="15">
        <v>38.72</v>
      </c>
      <c r="L38" s="15">
        <v>75.349999999999994</v>
      </c>
      <c r="M38" s="15">
        <v>159.5</v>
      </c>
      <c r="N38" s="15">
        <v>0</v>
      </c>
      <c r="O38" t="s">
        <v>75</v>
      </c>
    </row>
    <row r="39" spans="1:15" x14ac:dyDescent="0.25">
      <c r="A39" s="10" t="s">
        <v>1032</v>
      </c>
      <c r="B39" s="15">
        <v>28.16</v>
      </c>
      <c r="C39" s="15">
        <v>79.2</v>
      </c>
      <c r="D39" s="15">
        <v>33.11</v>
      </c>
      <c r="E39" s="15">
        <v>64.790000000000006</v>
      </c>
      <c r="F39" s="15">
        <v>36.630000000000003</v>
      </c>
      <c r="G39" s="15">
        <v>89.76</v>
      </c>
      <c r="H39" s="15">
        <v>137.72</v>
      </c>
      <c r="I39" s="15">
        <v>100.54</v>
      </c>
      <c r="J39" s="15">
        <v>52.8</v>
      </c>
      <c r="K39" s="15">
        <v>118.43</v>
      </c>
      <c r="L39" s="15">
        <v>82.72</v>
      </c>
      <c r="M39" s="15">
        <v>37.619999999999997</v>
      </c>
      <c r="N39" s="15">
        <v>0</v>
      </c>
      <c r="O39" t="s">
        <v>75</v>
      </c>
    </row>
    <row r="40" spans="1:15" x14ac:dyDescent="0.25">
      <c r="A40" s="10" t="s">
        <v>1034</v>
      </c>
      <c r="B40" s="15">
        <v>0</v>
      </c>
      <c r="C40" s="15">
        <v>0</v>
      </c>
      <c r="D40" s="15">
        <v>0</v>
      </c>
      <c r="E40" s="15">
        <v>256.76</v>
      </c>
      <c r="F40" s="15">
        <v>122.23</v>
      </c>
      <c r="G40" s="15">
        <v>61.6</v>
      </c>
      <c r="H40" s="15">
        <v>176</v>
      </c>
      <c r="I40" s="15">
        <v>26.4</v>
      </c>
      <c r="J40" s="15">
        <v>88</v>
      </c>
      <c r="K40" s="15">
        <v>0</v>
      </c>
      <c r="L40" s="15">
        <v>0</v>
      </c>
      <c r="M40" s="15">
        <v>0</v>
      </c>
      <c r="N40" s="15">
        <v>0</v>
      </c>
      <c r="O40" t="s">
        <v>75</v>
      </c>
    </row>
    <row r="41" spans="1:15" x14ac:dyDescent="0.25">
      <c r="A41" s="10" t="s">
        <v>1036</v>
      </c>
      <c r="B41" s="15">
        <v>34.21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t="s">
        <v>75</v>
      </c>
    </row>
    <row r="42" spans="1:15" x14ac:dyDescent="0.25">
      <c r="A42" s="10" t="s">
        <v>1038</v>
      </c>
      <c r="B42" s="15">
        <v>0</v>
      </c>
      <c r="C42" s="15">
        <v>0</v>
      </c>
      <c r="D42" s="15">
        <v>0</v>
      </c>
      <c r="E42" s="15">
        <v>8.14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t="s">
        <v>75</v>
      </c>
    </row>
    <row r="43" spans="1:15" x14ac:dyDescent="0.25">
      <c r="A43" s="10" t="s">
        <v>1040</v>
      </c>
      <c r="B43" s="15">
        <v>0</v>
      </c>
      <c r="C43" s="15">
        <v>0</v>
      </c>
      <c r="D43" s="15">
        <v>0</v>
      </c>
      <c r="E43" s="15">
        <v>205.04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t="s">
        <v>75</v>
      </c>
    </row>
    <row r="44" spans="1:15" x14ac:dyDescent="0.25">
      <c r="A44" s="10" t="s">
        <v>1042</v>
      </c>
      <c r="B44" s="15">
        <v>0</v>
      </c>
      <c r="C44" s="15">
        <v>0</v>
      </c>
      <c r="D44" s="15">
        <v>0</v>
      </c>
      <c r="E44" s="15">
        <v>0</v>
      </c>
      <c r="F44" s="15">
        <v>74.8</v>
      </c>
      <c r="G44" s="15">
        <v>0</v>
      </c>
      <c r="H44" s="15">
        <v>0</v>
      </c>
      <c r="I44" s="15">
        <v>57.2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t="s">
        <v>75</v>
      </c>
    </row>
    <row r="45" spans="1:15" x14ac:dyDescent="0.25">
      <c r="A45" s="10" t="s">
        <v>1044</v>
      </c>
      <c r="B45" s="15">
        <v>0</v>
      </c>
      <c r="C45" s="15">
        <v>0</v>
      </c>
      <c r="D45" s="15">
        <v>0</v>
      </c>
      <c r="E45" s="15">
        <v>149.6</v>
      </c>
      <c r="F45" s="15">
        <v>122.36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  <c r="O45" t="s">
        <v>75</v>
      </c>
    </row>
    <row r="46" spans="1:15" x14ac:dyDescent="0.25">
      <c r="A46" s="10" t="s">
        <v>1046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67.25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t="s">
        <v>75</v>
      </c>
    </row>
    <row r="47" spans="1:15" x14ac:dyDescent="0.25">
      <c r="A47" s="10" t="s">
        <v>1048</v>
      </c>
      <c r="B47" s="15">
        <v>0</v>
      </c>
      <c r="C47" s="15">
        <v>0</v>
      </c>
      <c r="D47" s="15">
        <v>0</v>
      </c>
      <c r="E47" s="15">
        <v>256.41000000000003</v>
      </c>
      <c r="F47" s="15">
        <v>34.229999999999997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  <c r="O47" t="s">
        <v>75</v>
      </c>
    </row>
    <row r="48" spans="1:15" x14ac:dyDescent="0.25">
      <c r="A48" s="10" t="s">
        <v>1050</v>
      </c>
      <c r="B48" s="15">
        <v>0</v>
      </c>
      <c r="C48" s="15">
        <v>0</v>
      </c>
      <c r="D48" s="15">
        <v>0</v>
      </c>
      <c r="E48" s="15">
        <v>160.33000000000001</v>
      </c>
      <c r="F48" s="15">
        <v>123.66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t="s">
        <v>75</v>
      </c>
    </row>
    <row r="49" spans="1:15" x14ac:dyDescent="0.25">
      <c r="A49" s="10" t="s">
        <v>1052</v>
      </c>
      <c r="B49" s="15">
        <v>133.1</v>
      </c>
      <c r="C49" s="15">
        <v>0</v>
      </c>
      <c r="D49" s="15">
        <v>27.72</v>
      </c>
      <c r="E49" s="15">
        <v>0</v>
      </c>
      <c r="F49" s="15">
        <v>0</v>
      </c>
      <c r="G49" s="15">
        <v>31.68</v>
      </c>
      <c r="H49" s="15">
        <v>22.55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t="s">
        <v>75</v>
      </c>
    </row>
    <row r="50" spans="1:15" x14ac:dyDescent="0.25">
      <c r="A50" s="10" t="s">
        <v>1054</v>
      </c>
      <c r="B50" s="15">
        <v>0</v>
      </c>
      <c r="C50" s="15">
        <v>0</v>
      </c>
      <c r="D50" s="15">
        <v>0</v>
      </c>
      <c r="E50" s="15">
        <v>97.9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t="s">
        <v>75</v>
      </c>
    </row>
    <row r="51" spans="1:15" x14ac:dyDescent="0.25">
      <c r="A51" s="10" t="s">
        <v>1056</v>
      </c>
      <c r="B51" s="15">
        <v>0</v>
      </c>
      <c r="C51" s="15">
        <v>0</v>
      </c>
      <c r="D51" s="15">
        <v>0</v>
      </c>
      <c r="E51" s="15">
        <v>195.8</v>
      </c>
      <c r="F51" s="15">
        <v>88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t="s">
        <v>75</v>
      </c>
    </row>
    <row r="52" spans="1:15" x14ac:dyDescent="0.25">
      <c r="A52" s="10" t="s">
        <v>1058</v>
      </c>
      <c r="B52" s="15">
        <v>0</v>
      </c>
      <c r="C52" s="15">
        <v>0</v>
      </c>
      <c r="D52" s="15">
        <v>0</v>
      </c>
      <c r="E52" s="15">
        <v>106.48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t="s">
        <v>75</v>
      </c>
    </row>
    <row r="53" spans="1:15" x14ac:dyDescent="0.25">
      <c r="A53" s="10" t="s">
        <v>1060</v>
      </c>
      <c r="B53" s="15">
        <v>0</v>
      </c>
      <c r="C53" s="15">
        <v>0</v>
      </c>
      <c r="D53" s="15">
        <v>0</v>
      </c>
      <c r="E53" s="15">
        <v>157.63</v>
      </c>
      <c r="F53" s="15">
        <v>26.4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t="s">
        <v>75</v>
      </c>
    </row>
    <row r="54" spans="1:15" x14ac:dyDescent="0.25">
      <c r="A54" s="10" t="s">
        <v>1062</v>
      </c>
      <c r="B54" s="15">
        <v>386.1</v>
      </c>
      <c r="C54" s="15">
        <v>259.60000000000002</v>
      </c>
      <c r="D54" s="15">
        <v>259.60000000000002</v>
      </c>
      <c r="E54" s="15">
        <v>404.95</v>
      </c>
      <c r="F54" s="15">
        <v>259.60000000000002</v>
      </c>
      <c r="G54" s="15">
        <v>259.60000000000002</v>
      </c>
      <c r="H54" s="15">
        <v>259.60000000000002</v>
      </c>
      <c r="I54" s="15">
        <v>259.60000000000002</v>
      </c>
      <c r="J54" s="15">
        <v>259.60000000000002</v>
      </c>
      <c r="K54" s="15">
        <v>283.37</v>
      </c>
      <c r="L54" s="15">
        <v>283.37</v>
      </c>
      <c r="M54" s="15">
        <v>283.37</v>
      </c>
      <c r="N54" s="15">
        <v>0</v>
      </c>
      <c r="O54" t="s">
        <v>75</v>
      </c>
    </row>
    <row r="55" spans="1:15" x14ac:dyDescent="0.25">
      <c r="A55" s="10" t="s">
        <v>1062</v>
      </c>
      <c r="B55" s="15">
        <v>113.78</v>
      </c>
      <c r="C55" s="15">
        <v>14.73</v>
      </c>
      <c r="D55" s="15">
        <v>14.73</v>
      </c>
      <c r="E55" s="15">
        <v>136.66</v>
      </c>
      <c r="F55" s="15">
        <v>14.73</v>
      </c>
      <c r="G55" s="15">
        <v>14.73</v>
      </c>
      <c r="H55" s="15">
        <v>14.73</v>
      </c>
      <c r="I55" s="15">
        <v>14.73</v>
      </c>
      <c r="J55" s="15">
        <v>14.73</v>
      </c>
      <c r="K55" s="15">
        <v>29.15</v>
      </c>
      <c r="L55" s="15">
        <v>29.15</v>
      </c>
      <c r="M55" s="15">
        <v>29.15</v>
      </c>
      <c r="N55" s="15">
        <v>0</v>
      </c>
      <c r="O55" t="s">
        <v>75</v>
      </c>
    </row>
    <row r="56" spans="1:15" x14ac:dyDescent="0.25">
      <c r="A56" s="10" t="s">
        <v>1064</v>
      </c>
      <c r="B56" s="15">
        <v>0</v>
      </c>
      <c r="C56" s="15">
        <v>0</v>
      </c>
      <c r="D56" s="15">
        <v>0</v>
      </c>
      <c r="E56" s="15">
        <v>187.55</v>
      </c>
      <c r="F56" s="15">
        <v>12.98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t="s">
        <v>75</v>
      </c>
    </row>
    <row r="57" spans="1:15" x14ac:dyDescent="0.25">
      <c r="A57" s="10" t="s">
        <v>1066</v>
      </c>
      <c r="B57" s="15">
        <v>0</v>
      </c>
      <c r="C57" s="15">
        <v>0</v>
      </c>
      <c r="D57" s="15">
        <v>0</v>
      </c>
      <c r="E57" s="15">
        <v>408.51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  <c r="O57" t="s">
        <v>75</v>
      </c>
    </row>
    <row r="58" spans="1:15" x14ac:dyDescent="0.25">
      <c r="A58" s="10" t="s">
        <v>1068</v>
      </c>
      <c r="B58" s="15">
        <v>0</v>
      </c>
      <c r="C58" s="15">
        <v>0</v>
      </c>
      <c r="D58" s="15">
        <v>0</v>
      </c>
      <c r="E58" s="15">
        <v>256.76</v>
      </c>
      <c r="F58" s="15">
        <v>26.4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t="s">
        <v>75</v>
      </c>
    </row>
    <row r="59" spans="1:15" x14ac:dyDescent="0.25">
      <c r="A59" s="10" t="s">
        <v>1070</v>
      </c>
      <c r="B59" s="15">
        <v>0</v>
      </c>
      <c r="C59" s="15">
        <v>0</v>
      </c>
      <c r="D59" s="15">
        <v>0</v>
      </c>
      <c r="E59" s="15">
        <v>99.02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t="s">
        <v>75</v>
      </c>
    </row>
    <row r="60" spans="1:15" x14ac:dyDescent="0.25">
      <c r="A60" s="10" t="s">
        <v>1072</v>
      </c>
      <c r="B60" s="15">
        <v>0</v>
      </c>
      <c r="C60" s="15">
        <v>0</v>
      </c>
      <c r="D60" s="15">
        <v>0</v>
      </c>
      <c r="E60" s="15">
        <v>88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t="s">
        <v>75</v>
      </c>
    </row>
    <row r="61" spans="1:15" x14ac:dyDescent="0.25">
      <c r="A61" s="10" t="s">
        <v>1074</v>
      </c>
      <c r="B61" s="15">
        <v>0</v>
      </c>
      <c r="C61" s="15">
        <v>0</v>
      </c>
      <c r="D61" s="15">
        <v>0</v>
      </c>
      <c r="E61" s="15">
        <v>0</v>
      </c>
      <c r="F61" s="15">
        <v>88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t="s">
        <v>75</v>
      </c>
    </row>
    <row r="62" spans="1:15" x14ac:dyDescent="0.25">
      <c r="A62" s="10" t="s">
        <v>1076</v>
      </c>
      <c r="B62" s="15">
        <v>0</v>
      </c>
      <c r="C62" s="15">
        <v>0</v>
      </c>
      <c r="D62" s="15">
        <v>0</v>
      </c>
      <c r="E62" s="15">
        <v>99.02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t="s">
        <v>75</v>
      </c>
    </row>
    <row r="63" spans="1:15" x14ac:dyDescent="0.25">
      <c r="A63" s="10" t="s">
        <v>1078</v>
      </c>
      <c r="B63" s="15">
        <v>100.98</v>
      </c>
      <c r="C63" s="15">
        <v>100.98</v>
      </c>
      <c r="D63" s="15">
        <v>100.98</v>
      </c>
      <c r="E63" s="15">
        <v>100.98</v>
      </c>
      <c r="F63" s="15">
        <v>100.98</v>
      </c>
      <c r="G63" s="15">
        <v>100.98</v>
      </c>
      <c r="H63" s="15">
        <v>100.98</v>
      </c>
      <c r="I63" s="15">
        <v>100.98</v>
      </c>
      <c r="J63" s="15">
        <v>100.98</v>
      </c>
      <c r="K63" s="15">
        <v>100.98</v>
      </c>
      <c r="L63" s="15">
        <v>100.98</v>
      </c>
      <c r="M63" s="15">
        <v>108.44</v>
      </c>
      <c r="N63" s="15">
        <v>0</v>
      </c>
      <c r="O63" t="s">
        <v>75</v>
      </c>
    </row>
    <row r="64" spans="1:15" x14ac:dyDescent="0.25">
      <c r="A64" s="10" t="s">
        <v>1080</v>
      </c>
      <c r="B64" s="15">
        <v>0</v>
      </c>
      <c r="C64" s="15">
        <v>0</v>
      </c>
      <c r="D64" s="15">
        <v>0</v>
      </c>
      <c r="E64" s="15">
        <v>293.26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t="s">
        <v>75</v>
      </c>
    </row>
    <row r="65" spans="1:15" x14ac:dyDescent="0.25">
      <c r="A65" s="10" t="s">
        <v>1082</v>
      </c>
      <c r="B65" s="15">
        <v>81.83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t="s">
        <v>75</v>
      </c>
    </row>
    <row r="66" spans="1:15" x14ac:dyDescent="0.25">
      <c r="A66" s="10" t="s">
        <v>1084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352.46</v>
      </c>
      <c r="M66" s="15">
        <v>144.97999999999999</v>
      </c>
      <c r="N66" s="15">
        <v>0</v>
      </c>
      <c r="O66" t="s">
        <v>75</v>
      </c>
    </row>
    <row r="67" spans="1:15" x14ac:dyDescent="0.25">
      <c r="A67" s="10" t="s">
        <v>1086</v>
      </c>
      <c r="B67" s="15">
        <v>0</v>
      </c>
      <c r="C67" s="15">
        <v>0</v>
      </c>
      <c r="D67" s="15">
        <v>0</v>
      </c>
      <c r="E67" s="15">
        <v>106.48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t="s">
        <v>75</v>
      </c>
    </row>
    <row r="68" spans="1:15" x14ac:dyDescent="0.25">
      <c r="A68" s="10" t="s">
        <v>1088</v>
      </c>
      <c r="B68" s="15">
        <v>0</v>
      </c>
      <c r="C68" s="15">
        <v>0</v>
      </c>
      <c r="D68" s="15">
        <v>0</v>
      </c>
      <c r="E68" s="15">
        <v>0</v>
      </c>
      <c r="F68" s="15">
        <v>89.05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t="s">
        <v>75</v>
      </c>
    </row>
    <row r="69" spans="1:15" x14ac:dyDescent="0.25">
      <c r="A69" s="10" t="s">
        <v>1090</v>
      </c>
      <c r="B69" s="15">
        <v>0</v>
      </c>
      <c r="C69" s="15">
        <v>0</v>
      </c>
      <c r="D69" s="15">
        <v>0</v>
      </c>
      <c r="E69" s="15">
        <v>99.02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t="s">
        <v>75</v>
      </c>
    </row>
    <row r="70" spans="1:15" x14ac:dyDescent="0.25">
      <c r="A70" s="10" t="s">
        <v>1092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42.24</v>
      </c>
      <c r="M70" s="15">
        <v>0</v>
      </c>
      <c r="N70" s="15">
        <v>0</v>
      </c>
      <c r="O70" t="s">
        <v>75</v>
      </c>
    </row>
    <row r="71" spans="1:15" x14ac:dyDescent="0.25">
      <c r="A71" s="10" t="s">
        <v>1094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43.01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  <c r="O71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4"/>
  <dimension ref="A1:O70"/>
  <sheetViews>
    <sheetView topLeftCell="A2" workbookViewId="0">
      <selection activeCell="A2" sqref="A2"/>
    </sheetView>
  </sheetViews>
  <sheetFormatPr defaultRowHeight="15" x14ac:dyDescent="0.25"/>
  <cols>
    <col min="1" max="1" width="11.875" style="10" customWidth="1"/>
    <col min="2" max="14" width="11.625" style="15" customWidth="1"/>
  </cols>
  <sheetData>
    <row r="1" spans="1:15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50386,13</v>
      </c>
      <c r="C2" s="14" t="str">
        <f>CONCATENATE("FEVEREIRO",CHAR(10),"TOTAL: ",ROUND(SUM(C3:C1048576),2))</f>
        <v>FEVEREIRO
TOTAL: 7472</v>
      </c>
      <c r="D2" s="14" t="str">
        <f>CONCATENATE("MARÇO",CHAR(10),"TOTAL: ",ROUND(SUM(D3:D1048576),2))</f>
        <v>MARÇO
TOTAL: 7292,5</v>
      </c>
      <c r="E2" s="14" t="str">
        <f>CONCATENATE("ABRIL",CHAR(10),"TOTAL: ",ROUND(SUM(E3:E1048576),2))</f>
        <v>ABRIL
TOTAL: 38400,03</v>
      </c>
      <c r="F2" s="14" t="str">
        <f>CONCATENATE("MAIO",CHAR(10),"TOTAL: ",ROUND(SUM(F3:F1048576),2))</f>
        <v>MAIO
TOTAL: 12366,26</v>
      </c>
      <c r="G2" s="14" t="str">
        <f>CONCATENATE("JUNHO",CHAR(10),"TOTAL: ",ROUND(SUM(G3:G1048576),2))</f>
        <v>JUNHO
TOTAL: 9067,2</v>
      </c>
      <c r="H2" s="14" t="str">
        <f>CONCATENATE("JULHO",CHAR(10),"TOTAL: ",ROUND(SUM(H3:H1048576),2))</f>
        <v>JULHO
TOTAL: 10785,38</v>
      </c>
      <c r="I2" s="14" t="str">
        <f>CONCATENATE("AGOSTO",CHAR(10),"TOTAL: ",ROUND(SUM(I3:I1048576),2))</f>
        <v>AGOSTO
TOTAL: 9545,9</v>
      </c>
      <c r="J2" s="14" t="str">
        <f>CONCATENATE("SETEMBRO",CHAR(10),"TOTAL: ",ROUND(SUM(J3:J1048576),2))</f>
        <v>SETEMBRO
TOTAL: 7982,72</v>
      </c>
      <c r="K2" s="14" t="str">
        <f>CONCATENATE("OUTUBRO",CHAR(10),"TOTAL: ",ROUND(SUM(K3:K1048576),2))</f>
        <v>OUTUBRO
TOTAL: 7933,95</v>
      </c>
      <c r="L2" s="14" t="str">
        <f>CONCATENATE("NOVEMBRO",CHAR(10),"TOTAL: ",ROUND(SUM(L3:L1048576),2))</f>
        <v>NOVEMBRO
TOTAL: 9932,85</v>
      </c>
      <c r="M2" s="14" t="str">
        <f>CONCATENATE("DEZEMBRO",CHAR(10),"TOTAL: ",ROUND(SUM(M3:M1048576),2))</f>
        <v>DEZEMBRO
TOTAL: 7849,48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960</v>
      </c>
      <c r="B3" s="15">
        <v>5130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t="s">
        <v>75</v>
      </c>
    </row>
    <row r="4" spans="1:15" x14ac:dyDescent="0.25">
      <c r="A4" s="10" t="s">
        <v>962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280</v>
      </c>
      <c r="I4" s="15">
        <v>120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t="s">
        <v>75</v>
      </c>
    </row>
    <row r="5" spans="1:15" x14ac:dyDescent="0.25">
      <c r="A5" s="10" t="s">
        <v>964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42.42</v>
      </c>
      <c r="K5" s="15">
        <v>0</v>
      </c>
      <c r="L5" s="15">
        <v>0</v>
      </c>
      <c r="M5" s="15">
        <v>0</v>
      </c>
      <c r="N5" s="15">
        <v>0</v>
      </c>
      <c r="O5" t="s">
        <v>75</v>
      </c>
    </row>
    <row r="6" spans="1:15" x14ac:dyDescent="0.25">
      <c r="A6" s="10" t="s">
        <v>966</v>
      </c>
      <c r="B6" s="15">
        <v>0</v>
      </c>
      <c r="C6" s="15">
        <v>0</v>
      </c>
      <c r="D6" s="15">
        <v>0</v>
      </c>
      <c r="E6" s="15">
        <v>849.6</v>
      </c>
      <c r="F6" s="15">
        <v>400</v>
      </c>
      <c r="G6" s="15">
        <v>15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t="s">
        <v>75</v>
      </c>
    </row>
    <row r="7" spans="1:15" x14ac:dyDescent="0.25">
      <c r="A7" s="10" t="s">
        <v>968</v>
      </c>
      <c r="B7" s="15">
        <v>0</v>
      </c>
      <c r="C7" s="15">
        <v>0</v>
      </c>
      <c r="D7" s="15">
        <v>0</v>
      </c>
      <c r="E7" s="15">
        <v>45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t="s">
        <v>75</v>
      </c>
    </row>
    <row r="8" spans="1:15" x14ac:dyDescent="0.25">
      <c r="A8" s="10" t="s">
        <v>970</v>
      </c>
      <c r="B8" s="15">
        <v>0</v>
      </c>
      <c r="C8" s="15">
        <v>0</v>
      </c>
      <c r="D8" s="15">
        <v>0</v>
      </c>
      <c r="E8" s="15">
        <v>478.7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t="s">
        <v>75</v>
      </c>
    </row>
    <row r="9" spans="1:15" x14ac:dyDescent="0.25">
      <c r="A9" s="10" t="s">
        <v>972</v>
      </c>
      <c r="B9" s="15">
        <v>0</v>
      </c>
      <c r="C9" s="15">
        <v>0</v>
      </c>
      <c r="D9" s="15">
        <v>0</v>
      </c>
      <c r="E9" s="15">
        <v>400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t="s">
        <v>75</v>
      </c>
    </row>
    <row r="10" spans="1:15" x14ac:dyDescent="0.25">
      <c r="A10" s="10" t="s">
        <v>974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280</v>
      </c>
      <c r="I10" s="15">
        <v>120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t="s">
        <v>75</v>
      </c>
    </row>
    <row r="11" spans="1:15" x14ac:dyDescent="0.25">
      <c r="A11" s="10" t="s">
        <v>976</v>
      </c>
      <c r="B11" s="15">
        <v>0</v>
      </c>
      <c r="C11" s="15">
        <v>0</v>
      </c>
      <c r="D11" s="15">
        <v>0</v>
      </c>
      <c r="E11" s="15">
        <v>936.3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t="s">
        <v>75</v>
      </c>
    </row>
    <row r="12" spans="1:15" x14ac:dyDescent="0.25">
      <c r="A12" s="10" t="s">
        <v>978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304</v>
      </c>
      <c r="H12" s="15">
        <v>256</v>
      </c>
      <c r="I12" s="15">
        <v>630</v>
      </c>
      <c r="J12" s="15">
        <v>384</v>
      </c>
      <c r="K12" s="15">
        <v>304</v>
      </c>
      <c r="L12" s="15">
        <v>144</v>
      </c>
      <c r="M12" s="15">
        <v>214</v>
      </c>
      <c r="N12" s="15">
        <v>0</v>
      </c>
      <c r="O12" t="s">
        <v>75</v>
      </c>
    </row>
    <row r="13" spans="1:15" x14ac:dyDescent="0.25">
      <c r="A13" s="10" t="s">
        <v>980</v>
      </c>
      <c r="B13" s="15">
        <v>15930</v>
      </c>
      <c r="C13" s="15">
        <v>1980</v>
      </c>
      <c r="D13" s="15">
        <v>2100</v>
      </c>
      <c r="E13" s="15">
        <v>1860</v>
      </c>
      <c r="F13" s="15">
        <v>1680</v>
      </c>
      <c r="G13" s="15">
        <v>900</v>
      </c>
      <c r="H13" s="15">
        <v>1110</v>
      </c>
      <c r="I13" s="15">
        <v>1350</v>
      </c>
      <c r="J13" s="15">
        <v>1350</v>
      </c>
      <c r="K13" s="15">
        <v>900</v>
      </c>
      <c r="L13" s="15">
        <v>900</v>
      </c>
      <c r="M13" s="15">
        <v>870</v>
      </c>
      <c r="N13" s="15">
        <v>0</v>
      </c>
      <c r="O13" t="s">
        <v>75</v>
      </c>
    </row>
    <row r="14" spans="1:15" x14ac:dyDescent="0.25">
      <c r="A14" s="10" t="s">
        <v>982</v>
      </c>
      <c r="B14" s="15">
        <v>0</v>
      </c>
      <c r="C14" s="15">
        <v>0</v>
      </c>
      <c r="D14" s="15">
        <v>0</v>
      </c>
      <c r="E14" s="15">
        <v>722.1</v>
      </c>
      <c r="F14" s="15">
        <v>120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t="s">
        <v>75</v>
      </c>
    </row>
    <row r="15" spans="1:15" x14ac:dyDescent="0.25">
      <c r="A15" s="10" t="s">
        <v>984</v>
      </c>
      <c r="B15" s="15">
        <v>0</v>
      </c>
      <c r="C15" s="15">
        <v>0</v>
      </c>
      <c r="D15" s="15">
        <v>0</v>
      </c>
      <c r="E15" s="15">
        <v>1167.2</v>
      </c>
      <c r="F15" s="15">
        <v>156.5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t="s">
        <v>75</v>
      </c>
    </row>
    <row r="16" spans="1:15" x14ac:dyDescent="0.25">
      <c r="A16" s="10" t="s">
        <v>986</v>
      </c>
      <c r="B16" s="15">
        <v>0</v>
      </c>
      <c r="C16" s="15">
        <v>0</v>
      </c>
      <c r="D16" s="15">
        <v>0</v>
      </c>
      <c r="E16" s="15">
        <v>484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t="s">
        <v>75</v>
      </c>
    </row>
    <row r="17" spans="1:15" x14ac:dyDescent="0.25">
      <c r="A17" s="10" t="s">
        <v>988</v>
      </c>
      <c r="B17" s="15">
        <v>0</v>
      </c>
      <c r="C17" s="15">
        <v>0</v>
      </c>
      <c r="D17" s="15">
        <v>0</v>
      </c>
      <c r="E17" s="15">
        <v>1167.0999999999999</v>
      </c>
      <c r="F17" s="15">
        <v>120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t="s">
        <v>75</v>
      </c>
    </row>
    <row r="18" spans="1:15" x14ac:dyDescent="0.25">
      <c r="A18" s="10" t="s">
        <v>990</v>
      </c>
      <c r="B18" s="15">
        <v>0</v>
      </c>
      <c r="C18" s="15">
        <v>64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t="s">
        <v>75</v>
      </c>
    </row>
    <row r="19" spans="1:15" x14ac:dyDescent="0.25">
      <c r="A19" s="10" t="s">
        <v>992</v>
      </c>
      <c r="B19" s="15">
        <v>0</v>
      </c>
      <c r="C19" s="15">
        <v>0</v>
      </c>
      <c r="D19" s="15">
        <v>0</v>
      </c>
      <c r="E19" s="15">
        <v>849.7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t="s">
        <v>75</v>
      </c>
    </row>
    <row r="20" spans="1:15" x14ac:dyDescent="0.25">
      <c r="A20" s="10" t="s">
        <v>994</v>
      </c>
      <c r="B20" s="15">
        <v>4392</v>
      </c>
      <c r="C20" s="15">
        <v>208</v>
      </c>
      <c r="D20" s="15">
        <v>0</v>
      </c>
      <c r="E20" s="15">
        <v>280</v>
      </c>
      <c r="F20" s="15">
        <v>0</v>
      </c>
      <c r="G20" s="15">
        <v>0</v>
      </c>
      <c r="H20" s="15">
        <v>0</v>
      </c>
      <c r="I20" s="15">
        <v>64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t="s">
        <v>75</v>
      </c>
    </row>
    <row r="21" spans="1:15" x14ac:dyDescent="0.25">
      <c r="A21" s="10" t="s">
        <v>996</v>
      </c>
      <c r="B21" s="15">
        <v>1152</v>
      </c>
      <c r="C21" s="15">
        <v>309</v>
      </c>
      <c r="D21" s="15">
        <v>166.5</v>
      </c>
      <c r="E21" s="15">
        <v>158.5</v>
      </c>
      <c r="F21" s="15">
        <v>0</v>
      </c>
      <c r="G21" s="15">
        <v>1031.8</v>
      </c>
      <c r="H21" s="15">
        <v>822.3</v>
      </c>
      <c r="I21" s="15">
        <v>734.6</v>
      </c>
      <c r="J21" s="15">
        <v>723.9</v>
      </c>
      <c r="K21" s="15">
        <v>568.4</v>
      </c>
      <c r="L21" s="15">
        <v>1296.4000000000001</v>
      </c>
      <c r="M21" s="15">
        <v>285.60000000000002</v>
      </c>
      <c r="N21" s="15">
        <v>0</v>
      </c>
      <c r="O21" t="s">
        <v>75</v>
      </c>
    </row>
    <row r="22" spans="1:15" x14ac:dyDescent="0.25">
      <c r="A22" s="10" t="s">
        <v>998</v>
      </c>
      <c r="B22" s="15">
        <v>8165.7</v>
      </c>
      <c r="C22" s="15">
        <v>700</v>
      </c>
      <c r="D22" s="15">
        <v>797.5</v>
      </c>
      <c r="E22" s="15">
        <v>1105</v>
      </c>
      <c r="F22" s="15">
        <v>1005</v>
      </c>
      <c r="G22" s="15">
        <v>1195.3</v>
      </c>
      <c r="H22" s="15">
        <v>1028.5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t="s">
        <v>75</v>
      </c>
    </row>
    <row r="23" spans="1:15" x14ac:dyDescent="0.25">
      <c r="A23" s="10" t="s">
        <v>1000</v>
      </c>
      <c r="B23" s="15">
        <v>0</v>
      </c>
      <c r="C23" s="15">
        <v>0</v>
      </c>
      <c r="D23" s="15">
        <v>0</v>
      </c>
      <c r="E23" s="15">
        <v>1164</v>
      </c>
      <c r="F23" s="15">
        <v>556.5</v>
      </c>
      <c r="G23" s="15">
        <v>0</v>
      </c>
      <c r="H23" s="15">
        <v>280</v>
      </c>
      <c r="I23" s="15">
        <v>120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t="s">
        <v>75</v>
      </c>
    </row>
    <row r="24" spans="1:15" x14ac:dyDescent="0.25">
      <c r="A24" s="10" t="s">
        <v>1002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396.8</v>
      </c>
      <c r="L24" s="15">
        <v>0</v>
      </c>
      <c r="M24" s="15">
        <v>0</v>
      </c>
      <c r="N24" s="15">
        <v>0</v>
      </c>
      <c r="O24" t="s">
        <v>75</v>
      </c>
    </row>
    <row r="25" spans="1:15" x14ac:dyDescent="0.25">
      <c r="A25" s="10" t="s">
        <v>1004</v>
      </c>
      <c r="B25" s="15">
        <v>0</v>
      </c>
      <c r="C25" s="15">
        <v>0</v>
      </c>
      <c r="D25" s="15">
        <v>0</v>
      </c>
      <c r="E25" s="15">
        <v>445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t="s">
        <v>75</v>
      </c>
    </row>
    <row r="26" spans="1:15" x14ac:dyDescent="0.25">
      <c r="A26" s="10" t="s">
        <v>1006</v>
      </c>
      <c r="B26" s="15">
        <v>0</v>
      </c>
      <c r="C26" s="15">
        <v>0</v>
      </c>
      <c r="D26" s="15">
        <v>0</v>
      </c>
      <c r="E26" s="15">
        <v>884.75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t="s">
        <v>75</v>
      </c>
    </row>
    <row r="27" spans="1:15" x14ac:dyDescent="0.25">
      <c r="A27" s="10" t="s">
        <v>1008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280</v>
      </c>
      <c r="I27" s="15">
        <v>120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t="s">
        <v>75</v>
      </c>
    </row>
    <row r="28" spans="1:15" x14ac:dyDescent="0.25">
      <c r="A28" s="10" t="s">
        <v>1010</v>
      </c>
      <c r="B28" s="15">
        <v>0</v>
      </c>
      <c r="C28" s="15">
        <v>0</v>
      </c>
      <c r="D28" s="15">
        <v>0</v>
      </c>
      <c r="E28" s="15">
        <v>484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t="s">
        <v>75</v>
      </c>
    </row>
    <row r="29" spans="1:15" x14ac:dyDescent="0.25">
      <c r="A29" s="10" t="s">
        <v>1012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118.5</v>
      </c>
      <c r="J29" s="15">
        <v>0</v>
      </c>
      <c r="K29" s="15">
        <v>16</v>
      </c>
      <c r="L29" s="15">
        <v>0</v>
      </c>
      <c r="M29" s="15">
        <v>0</v>
      </c>
      <c r="N29" s="15">
        <v>0</v>
      </c>
      <c r="O29" t="s">
        <v>75</v>
      </c>
    </row>
    <row r="30" spans="1:15" x14ac:dyDescent="0.25">
      <c r="A30" s="10" t="s">
        <v>1014</v>
      </c>
      <c r="B30" s="15">
        <v>0</v>
      </c>
      <c r="C30" s="15">
        <v>0</v>
      </c>
      <c r="D30" s="15">
        <v>0</v>
      </c>
      <c r="E30" s="15">
        <v>484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t="s">
        <v>75</v>
      </c>
    </row>
    <row r="31" spans="1:15" x14ac:dyDescent="0.25">
      <c r="A31" s="10" t="s">
        <v>1016</v>
      </c>
      <c r="B31" s="15">
        <v>0</v>
      </c>
      <c r="C31" s="15">
        <v>381</v>
      </c>
      <c r="D31" s="15">
        <v>674</v>
      </c>
      <c r="E31" s="15">
        <v>1777</v>
      </c>
      <c r="F31" s="15">
        <v>810.5</v>
      </c>
      <c r="G31" s="15">
        <v>1511.1</v>
      </c>
      <c r="H31" s="15">
        <v>1040.5999999999999</v>
      </c>
      <c r="I31" s="15">
        <v>1372.1</v>
      </c>
      <c r="J31" s="15">
        <v>1188.4000000000001</v>
      </c>
      <c r="K31" s="15">
        <v>1540.4</v>
      </c>
      <c r="L31" s="15">
        <v>1585.8</v>
      </c>
      <c r="M31" s="15">
        <v>1363</v>
      </c>
      <c r="N31" s="15">
        <v>0</v>
      </c>
      <c r="O31" t="s">
        <v>75</v>
      </c>
    </row>
    <row r="32" spans="1:15" x14ac:dyDescent="0.25">
      <c r="A32" s="10" t="s">
        <v>1018</v>
      </c>
      <c r="B32" s="15">
        <v>0</v>
      </c>
      <c r="C32" s="15">
        <v>0</v>
      </c>
      <c r="D32" s="15">
        <v>0</v>
      </c>
      <c r="E32" s="15">
        <v>483.4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t="s">
        <v>75</v>
      </c>
    </row>
    <row r="33" spans="1:15" x14ac:dyDescent="0.25">
      <c r="A33" s="10" t="s">
        <v>1020</v>
      </c>
      <c r="B33" s="15">
        <v>2448</v>
      </c>
      <c r="C33" s="15">
        <v>192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t="s">
        <v>75</v>
      </c>
    </row>
    <row r="34" spans="1:15" x14ac:dyDescent="0.25">
      <c r="A34" s="10" t="s">
        <v>1022</v>
      </c>
      <c r="B34" s="15">
        <v>0</v>
      </c>
      <c r="C34" s="15">
        <v>0</v>
      </c>
      <c r="D34" s="15">
        <v>0</v>
      </c>
      <c r="E34" s="15">
        <v>449.6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t="s">
        <v>75</v>
      </c>
    </row>
    <row r="35" spans="1:15" x14ac:dyDescent="0.25">
      <c r="A35" s="10" t="s">
        <v>1024</v>
      </c>
      <c r="B35" s="15">
        <v>0</v>
      </c>
      <c r="C35" s="15">
        <v>0</v>
      </c>
      <c r="D35" s="15">
        <v>0</v>
      </c>
      <c r="E35" s="15">
        <v>847</v>
      </c>
      <c r="F35" s="15">
        <v>400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t="s">
        <v>75</v>
      </c>
    </row>
    <row r="36" spans="1:15" x14ac:dyDescent="0.25">
      <c r="A36" s="10" t="s">
        <v>1026</v>
      </c>
      <c r="B36" s="15">
        <v>0</v>
      </c>
      <c r="C36" s="15">
        <v>0</v>
      </c>
      <c r="D36" s="15">
        <v>0</v>
      </c>
      <c r="E36" s="15">
        <v>445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t="s">
        <v>75</v>
      </c>
    </row>
    <row r="37" spans="1:15" x14ac:dyDescent="0.25">
      <c r="A37" s="10" t="s">
        <v>1028</v>
      </c>
      <c r="B37" s="15">
        <v>0</v>
      </c>
      <c r="C37" s="15">
        <v>0</v>
      </c>
      <c r="D37" s="15">
        <v>0</v>
      </c>
      <c r="E37" s="15">
        <v>849.6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t="s">
        <v>75</v>
      </c>
    </row>
    <row r="38" spans="1:15" x14ac:dyDescent="0.25">
      <c r="A38" s="10" t="s">
        <v>1030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405.98</v>
      </c>
      <c r="I38" s="15">
        <v>376</v>
      </c>
      <c r="J38" s="15">
        <v>376</v>
      </c>
      <c r="K38" s="15">
        <v>176</v>
      </c>
      <c r="L38" s="15">
        <v>342.5</v>
      </c>
      <c r="M38" s="15">
        <v>725</v>
      </c>
      <c r="N38" s="15">
        <v>0</v>
      </c>
      <c r="O38" t="s">
        <v>75</v>
      </c>
    </row>
    <row r="39" spans="1:15" x14ac:dyDescent="0.25">
      <c r="A39" s="10" t="s">
        <v>1032</v>
      </c>
      <c r="B39" s="15">
        <v>1152</v>
      </c>
      <c r="C39" s="15">
        <v>360</v>
      </c>
      <c r="D39" s="15">
        <v>150.5</v>
      </c>
      <c r="E39" s="15">
        <v>294.5</v>
      </c>
      <c r="F39" s="15">
        <v>166.5</v>
      </c>
      <c r="G39" s="15">
        <v>408</v>
      </c>
      <c r="H39" s="15">
        <v>626</v>
      </c>
      <c r="I39" s="15">
        <v>457</v>
      </c>
      <c r="J39" s="15">
        <v>240</v>
      </c>
      <c r="K39" s="15">
        <v>538.29999999999995</v>
      </c>
      <c r="L39" s="15">
        <v>376</v>
      </c>
      <c r="M39" s="15">
        <v>171</v>
      </c>
      <c r="N39" s="15">
        <v>0</v>
      </c>
      <c r="O39" t="s">
        <v>75</v>
      </c>
    </row>
    <row r="40" spans="1:15" x14ac:dyDescent="0.25">
      <c r="A40" s="10" t="s">
        <v>1034</v>
      </c>
      <c r="B40" s="15">
        <v>0</v>
      </c>
      <c r="C40" s="15">
        <v>0</v>
      </c>
      <c r="D40" s="15">
        <v>0</v>
      </c>
      <c r="E40" s="15">
        <v>1167.0999999999999</v>
      </c>
      <c r="F40" s="15">
        <v>555.6</v>
      </c>
      <c r="G40" s="15">
        <v>280</v>
      </c>
      <c r="H40" s="15">
        <v>800</v>
      </c>
      <c r="I40" s="15">
        <v>120</v>
      </c>
      <c r="J40" s="15">
        <v>400</v>
      </c>
      <c r="K40" s="15">
        <v>0</v>
      </c>
      <c r="L40" s="15">
        <v>0</v>
      </c>
      <c r="M40" s="15">
        <v>0</v>
      </c>
      <c r="N40" s="15">
        <v>0</v>
      </c>
      <c r="O40" t="s">
        <v>75</v>
      </c>
    </row>
    <row r="41" spans="1:15" x14ac:dyDescent="0.25">
      <c r="A41" s="10" t="s">
        <v>1036</v>
      </c>
      <c r="B41" s="15">
        <v>1399.5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t="s">
        <v>75</v>
      </c>
    </row>
    <row r="42" spans="1:15" x14ac:dyDescent="0.25">
      <c r="A42" s="10" t="s">
        <v>1038</v>
      </c>
      <c r="B42" s="15">
        <v>0</v>
      </c>
      <c r="C42" s="15">
        <v>0</v>
      </c>
      <c r="D42" s="15">
        <v>0</v>
      </c>
      <c r="E42" s="15">
        <v>37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t="s">
        <v>75</v>
      </c>
    </row>
    <row r="43" spans="1:15" x14ac:dyDescent="0.25">
      <c r="A43" s="10" t="s">
        <v>1040</v>
      </c>
      <c r="B43" s="15">
        <v>0</v>
      </c>
      <c r="C43" s="15">
        <v>0</v>
      </c>
      <c r="D43" s="15">
        <v>0</v>
      </c>
      <c r="E43" s="15">
        <v>932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t="s">
        <v>75</v>
      </c>
    </row>
    <row r="44" spans="1:15" x14ac:dyDescent="0.25">
      <c r="A44" s="10" t="s">
        <v>1042</v>
      </c>
      <c r="B44" s="15">
        <v>0</v>
      </c>
      <c r="C44" s="15">
        <v>0</v>
      </c>
      <c r="D44" s="15">
        <v>0</v>
      </c>
      <c r="E44" s="15">
        <v>0</v>
      </c>
      <c r="F44" s="15">
        <v>340</v>
      </c>
      <c r="G44" s="15">
        <v>0</v>
      </c>
      <c r="H44" s="15">
        <v>0</v>
      </c>
      <c r="I44" s="15">
        <v>260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t="s">
        <v>75</v>
      </c>
    </row>
    <row r="45" spans="1:15" x14ac:dyDescent="0.25">
      <c r="A45" s="10" t="s">
        <v>1044</v>
      </c>
      <c r="B45" s="15">
        <v>0</v>
      </c>
      <c r="C45" s="15">
        <v>0</v>
      </c>
      <c r="D45" s="15">
        <v>0</v>
      </c>
      <c r="E45" s="15">
        <v>680</v>
      </c>
      <c r="F45" s="15">
        <v>556.20000000000005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  <c r="O45" t="s">
        <v>75</v>
      </c>
    </row>
    <row r="46" spans="1:15" x14ac:dyDescent="0.25">
      <c r="A46" s="10" t="s">
        <v>1046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305.7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t="s">
        <v>75</v>
      </c>
    </row>
    <row r="47" spans="1:15" x14ac:dyDescent="0.25">
      <c r="A47" s="10" t="s">
        <v>1048</v>
      </c>
      <c r="B47" s="15">
        <v>0</v>
      </c>
      <c r="C47" s="15">
        <v>0</v>
      </c>
      <c r="D47" s="15">
        <v>0</v>
      </c>
      <c r="E47" s="15">
        <v>1165.5</v>
      </c>
      <c r="F47" s="15">
        <v>155.6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  <c r="O47" t="s">
        <v>75</v>
      </c>
    </row>
    <row r="48" spans="1:15" x14ac:dyDescent="0.25">
      <c r="A48" s="10" t="s">
        <v>1050</v>
      </c>
      <c r="B48" s="15">
        <v>0</v>
      </c>
      <c r="C48" s="15">
        <v>0</v>
      </c>
      <c r="D48" s="15">
        <v>0</v>
      </c>
      <c r="E48" s="15">
        <v>728.75</v>
      </c>
      <c r="F48" s="15">
        <v>562.1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t="s">
        <v>75</v>
      </c>
    </row>
    <row r="49" spans="1:15" x14ac:dyDescent="0.25">
      <c r="A49" s="10" t="s">
        <v>1052</v>
      </c>
      <c r="B49" s="15">
        <v>5445</v>
      </c>
      <c r="C49" s="15">
        <v>0</v>
      </c>
      <c r="D49" s="15">
        <v>126</v>
      </c>
      <c r="E49" s="15">
        <v>0</v>
      </c>
      <c r="F49" s="15">
        <v>0</v>
      </c>
      <c r="G49" s="15">
        <v>144</v>
      </c>
      <c r="H49" s="15">
        <v>102.5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t="s">
        <v>75</v>
      </c>
    </row>
    <row r="50" spans="1:15" x14ac:dyDescent="0.25">
      <c r="A50" s="10" t="s">
        <v>1054</v>
      </c>
      <c r="B50" s="15">
        <v>0</v>
      </c>
      <c r="C50" s="15">
        <v>0</v>
      </c>
      <c r="D50" s="15">
        <v>0</v>
      </c>
      <c r="E50" s="15">
        <v>445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t="s">
        <v>75</v>
      </c>
    </row>
    <row r="51" spans="1:15" x14ac:dyDescent="0.25">
      <c r="A51" s="10" t="s">
        <v>1056</v>
      </c>
      <c r="B51" s="15">
        <v>0</v>
      </c>
      <c r="C51" s="15">
        <v>0</v>
      </c>
      <c r="D51" s="15">
        <v>0</v>
      </c>
      <c r="E51" s="15">
        <v>890</v>
      </c>
      <c r="F51" s="15">
        <v>400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t="s">
        <v>75</v>
      </c>
    </row>
    <row r="52" spans="1:15" x14ac:dyDescent="0.25">
      <c r="A52" s="10" t="s">
        <v>1058</v>
      </c>
      <c r="B52" s="15">
        <v>0</v>
      </c>
      <c r="C52" s="15">
        <v>0</v>
      </c>
      <c r="D52" s="15">
        <v>0</v>
      </c>
      <c r="E52" s="15">
        <v>484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t="s">
        <v>75</v>
      </c>
    </row>
    <row r="53" spans="1:15" x14ac:dyDescent="0.25">
      <c r="A53" s="10" t="s">
        <v>1060</v>
      </c>
      <c r="B53" s="15">
        <v>0</v>
      </c>
      <c r="C53" s="15">
        <v>0</v>
      </c>
      <c r="D53" s="15">
        <v>0</v>
      </c>
      <c r="E53" s="15">
        <v>716.5</v>
      </c>
      <c r="F53" s="15">
        <v>120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t="s">
        <v>75</v>
      </c>
    </row>
    <row r="54" spans="1:15" x14ac:dyDescent="0.25">
      <c r="A54" s="10" t="s">
        <v>1062</v>
      </c>
      <c r="B54" s="15">
        <v>3510</v>
      </c>
      <c r="C54" s="15">
        <v>2360</v>
      </c>
      <c r="D54" s="15">
        <v>2360</v>
      </c>
      <c r="E54" s="15">
        <v>3681.35</v>
      </c>
      <c r="F54" s="15">
        <v>2360</v>
      </c>
      <c r="G54" s="15">
        <v>2360</v>
      </c>
      <c r="H54" s="15">
        <v>2360</v>
      </c>
      <c r="I54" s="15">
        <v>2360</v>
      </c>
      <c r="J54" s="15">
        <v>2360</v>
      </c>
      <c r="K54" s="15">
        <v>2576.0500000000002</v>
      </c>
      <c r="L54" s="15">
        <v>2576.0500000000002</v>
      </c>
      <c r="M54" s="15">
        <v>2576.0500000000002</v>
      </c>
      <c r="N54" s="15">
        <v>0</v>
      </c>
      <c r="O54" t="s">
        <v>75</v>
      </c>
    </row>
    <row r="55" spans="1:15" x14ac:dyDescent="0.25">
      <c r="A55" s="10" t="s">
        <v>1064</v>
      </c>
      <c r="B55" s="15">
        <v>0</v>
      </c>
      <c r="C55" s="15">
        <v>0</v>
      </c>
      <c r="D55" s="15">
        <v>0</v>
      </c>
      <c r="E55" s="15">
        <v>852.5</v>
      </c>
      <c r="F55" s="15">
        <v>59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t="s">
        <v>75</v>
      </c>
    </row>
    <row r="56" spans="1:15" x14ac:dyDescent="0.25">
      <c r="A56" s="10" t="s">
        <v>1066</v>
      </c>
      <c r="B56" s="15">
        <v>0</v>
      </c>
      <c r="C56" s="15">
        <v>0</v>
      </c>
      <c r="D56" s="15">
        <v>0</v>
      </c>
      <c r="E56" s="15">
        <v>1856.88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t="s">
        <v>75</v>
      </c>
    </row>
    <row r="57" spans="1:15" x14ac:dyDescent="0.25">
      <c r="A57" s="10" t="s">
        <v>1068</v>
      </c>
      <c r="B57" s="15">
        <v>0</v>
      </c>
      <c r="C57" s="15">
        <v>0</v>
      </c>
      <c r="D57" s="15">
        <v>0</v>
      </c>
      <c r="E57" s="15">
        <v>1167.0999999999999</v>
      </c>
      <c r="F57" s="15">
        <v>120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  <c r="O57" t="s">
        <v>75</v>
      </c>
    </row>
    <row r="58" spans="1:15" x14ac:dyDescent="0.25">
      <c r="A58" s="10" t="s">
        <v>1070</v>
      </c>
      <c r="B58" s="15">
        <v>0</v>
      </c>
      <c r="C58" s="15">
        <v>0</v>
      </c>
      <c r="D58" s="15">
        <v>0</v>
      </c>
      <c r="E58" s="15">
        <v>450.1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t="s">
        <v>75</v>
      </c>
    </row>
    <row r="59" spans="1:15" x14ac:dyDescent="0.25">
      <c r="A59" s="10" t="s">
        <v>1072</v>
      </c>
      <c r="B59" s="15">
        <v>0</v>
      </c>
      <c r="C59" s="15">
        <v>0</v>
      </c>
      <c r="D59" s="15">
        <v>0</v>
      </c>
      <c r="E59" s="15">
        <v>400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t="s">
        <v>75</v>
      </c>
    </row>
    <row r="60" spans="1:15" x14ac:dyDescent="0.25">
      <c r="A60" s="10" t="s">
        <v>1074</v>
      </c>
      <c r="B60" s="15">
        <v>0</v>
      </c>
      <c r="C60" s="15">
        <v>0</v>
      </c>
      <c r="D60" s="15">
        <v>0</v>
      </c>
      <c r="E60" s="15">
        <v>0</v>
      </c>
      <c r="F60" s="15">
        <v>400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t="s">
        <v>75</v>
      </c>
    </row>
    <row r="61" spans="1:15" x14ac:dyDescent="0.25">
      <c r="A61" s="10" t="s">
        <v>1076</v>
      </c>
      <c r="B61" s="15">
        <v>0</v>
      </c>
      <c r="C61" s="15">
        <v>0</v>
      </c>
      <c r="D61" s="15">
        <v>0</v>
      </c>
      <c r="E61" s="15">
        <v>450.1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t="s">
        <v>75</v>
      </c>
    </row>
    <row r="62" spans="1:15" x14ac:dyDescent="0.25">
      <c r="A62" s="10" t="s">
        <v>1078</v>
      </c>
      <c r="B62" s="15">
        <v>918</v>
      </c>
      <c r="C62" s="15">
        <v>918</v>
      </c>
      <c r="D62" s="15">
        <v>918</v>
      </c>
      <c r="E62" s="15">
        <v>918</v>
      </c>
      <c r="F62" s="15">
        <v>918</v>
      </c>
      <c r="G62" s="15">
        <v>918</v>
      </c>
      <c r="H62" s="15">
        <v>918</v>
      </c>
      <c r="I62" s="15">
        <v>918</v>
      </c>
      <c r="J62" s="15">
        <v>918</v>
      </c>
      <c r="K62" s="15">
        <v>918</v>
      </c>
      <c r="L62" s="15">
        <v>918</v>
      </c>
      <c r="M62" s="15">
        <v>985.83</v>
      </c>
      <c r="N62" s="15">
        <v>0</v>
      </c>
      <c r="O62" t="s">
        <v>75</v>
      </c>
    </row>
    <row r="63" spans="1:15" x14ac:dyDescent="0.25">
      <c r="A63" s="10" t="s">
        <v>1080</v>
      </c>
      <c r="B63" s="15">
        <v>0</v>
      </c>
      <c r="C63" s="15">
        <v>0</v>
      </c>
      <c r="D63" s="15">
        <v>0</v>
      </c>
      <c r="E63" s="15">
        <v>1333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  <c r="O63" t="s">
        <v>75</v>
      </c>
    </row>
    <row r="64" spans="1:15" x14ac:dyDescent="0.25">
      <c r="A64" s="10" t="s">
        <v>1082</v>
      </c>
      <c r="B64" s="15">
        <v>743.93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t="s">
        <v>75</v>
      </c>
    </row>
    <row r="65" spans="1:15" x14ac:dyDescent="0.25">
      <c r="A65" s="10" t="s">
        <v>1084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1602.1</v>
      </c>
      <c r="M65" s="15">
        <v>659</v>
      </c>
      <c r="N65" s="15">
        <v>0</v>
      </c>
      <c r="O65" t="s">
        <v>75</v>
      </c>
    </row>
    <row r="66" spans="1:15" x14ac:dyDescent="0.25">
      <c r="A66" s="10" t="s">
        <v>1086</v>
      </c>
      <c r="B66" s="15">
        <v>0</v>
      </c>
      <c r="C66" s="15">
        <v>0</v>
      </c>
      <c r="D66" s="15">
        <v>0</v>
      </c>
      <c r="E66" s="15">
        <v>484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t="s">
        <v>75</v>
      </c>
    </row>
    <row r="67" spans="1:15" x14ac:dyDescent="0.25">
      <c r="A67" s="10" t="s">
        <v>1088</v>
      </c>
      <c r="B67" s="15">
        <v>0</v>
      </c>
      <c r="C67" s="15">
        <v>0</v>
      </c>
      <c r="D67" s="15">
        <v>0</v>
      </c>
      <c r="E67" s="15">
        <v>0</v>
      </c>
      <c r="F67" s="15">
        <v>404.76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t="s">
        <v>75</v>
      </c>
    </row>
    <row r="68" spans="1:15" x14ac:dyDescent="0.25">
      <c r="A68" s="10" t="s">
        <v>1090</v>
      </c>
      <c r="B68" s="15">
        <v>0</v>
      </c>
      <c r="C68" s="15">
        <v>0</v>
      </c>
      <c r="D68" s="15">
        <v>0</v>
      </c>
      <c r="E68" s="15">
        <v>450.1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t="s">
        <v>75</v>
      </c>
    </row>
    <row r="69" spans="1:15" x14ac:dyDescent="0.25">
      <c r="A69" s="10" t="s">
        <v>1092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192</v>
      </c>
      <c r="M69" s="15">
        <v>0</v>
      </c>
      <c r="N69" s="15">
        <v>0</v>
      </c>
      <c r="O69" t="s">
        <v>75</v>
      </c>
    </row>
    <row r="70" spans="1:15" x14ac:dyDescent="0.25">
      <c r="A70" s="10" t="s">
        <v>1094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195.5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7"/>
  <dimension ref="A1:E70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960</v>
      </c>
      <c r="B3" s="10" t="s">
        <v>960</v>
      </c>
      <c r="C3" s="9" t="s">
        <v>961</v>
      </c>
      <c r="D3" s="9" t="s">
        <v>75</v>
      </c>
      <c r="E3" t="s">
        <v>75</v>
      </c>
    </row>
    <row r="4" spans="1:5" x14ac:dyDescent="0.25">
      <c r="A4" s="10" t="s">
        <v>962</v>
      </c>
      <c r="B4" s="10" t="s">
        <v>962</v>
      </c>
      <c r="C4" s="9" t="s">
        <v>963</v>
      </c>
      <c r="D4" s="9" t="s">
        <v>75</v>
      </c>
      <c r="E4" t="s">
        <v>75</v>
      </c>
    </row>
    <row r="5" spans="1:5" x14ac:dyDescent="0.25">
      <c r="A5" s="10" t="s">
        <v>964</v>
      </c>
      <c r="B5" s="10" t="s">
        <v>964</v>
      </c>
      <c r="C5" s="9" t="s">
        <v>965</v>
      </c>
      <c r="D5" s="9" t="s">
        <v>75</v>
      </c>
      <c r="E5" t="s">
        <v>75</v>
      </c>
    </row>
    <row r="6" spans="1:5" x14ac:dyDescent="0.25">
      <c r="A6" s="10" t="s">
        <v>966</v>
      </c>
      <c r="B6" s="10" t="s">
        <v>966</v>
      </c>
      <c r="C6" s="9" t="s">
        <v>967</v>
      </c>
      <c r="D6" s="9" t="s">
        <v>75</v>
      </c>
      <c r="E6" t="s">
        <v>75</v>
      </c>
    </row>
    <row r="7" spans="1:5" x14ac:dyDescent="0.25">
      <c r="A7" s="10" t="s">
        <v>968</v>
      </c>
      <c r="B7" s="10" t="s">
        <v>968</v>
      </c>
      <c r="C7" s="9" t="s">
        <v>969</v>
      </c>
      <c r="D7" s="9" t="s">
        <v>75</v>
      </c>
      <c r="E7" t="s">
        <v>75</v>
      </c>
    </row>
    <row r="8" spans="1:5" x14ac:dyDescent="0.25">
      <c r="A8" s="10" t="s">
        <v>970</v>
      </c>
      <c r="B8" s="10" t="s">
        <v>970</v>
      </c>
      <c r="C8" s="9" t="s">
        <v>971</v>
      </c>
      <c r="D8" s="9" t="s">
        <v>75</v>
      </c>
      <c r="E8" t="s">
        <v>75</v>
      </c>
    </row>
    <row r="9" spans="1:5" x14ac:dyDescent="0.25">
      <c r="A9" s="10" t="s">
        <v>972</v>
      </c>
      <c r="B9" s="10" t="s">
        <v>972</v>
      </c>
      <c r="C9" s="9" t="s">
        <v>973</v>
      </c>
      <c r="D9" s="9" t="s">
        <v>75</v>
      </c>
      <c r="E9" t="s">
        <v>75</v>
      </c>
    </row>
    <row r="10" spans="1:5" x14ac:dyDescent="0.25">
      <c r="A10" s="10" t="s">
        <v>974</v>
      </c>
      <c r="B10" s="10" t="s">
        <v>974</v>
      </c>
      <c r="C10" s="9" t="s">
        <v>975</v>
      </c>
      <c r="D10" s="9" t="s">
        <v>75</v>
      </c>
      <c r="E10" t="s">
        <v>75</v>
      </c>
    </row>
    <row r="11" spans="1:5" x14ac:dyDescent="0.25">
      <c r="A11" s="10" t="s">
        <v>976</v>
      </c>
      <c r="B11" s="10" t="s">
        <v>976</v>
      </c>
      <c r="C11" s="9" t="s">
        <v>977</v>
      </c>
      <c r="D11" s="9" t="s">
        <v>75</v>
      </c>
      <c r="E11" t="s">
        <v>75</v>
      </c>
    </row>
    <row r="12" spans="1:5" x14ac:dyDescent="0.25">
      <c r="A12" s="10" t="s">
        <v>978</v>
      </c>
      <c r="B12" s="10" t="s">
        <v>978</v>
      </c>
      <c r="C12" s="9" t="s">
        <v>979</v>
      </c>
      <c r="D12" s="9" t="s">
        <v>75</v>
      </c>
      <c r="E12" t="s">
        <v>75</v>
      </c>
    </row>
    <row r="13" spans="1:5" x14ac:dyDescent="0.25">
      <c r="A13" s="10" t="s">
        <v>980</v>
      </c>
      <c r="B13" s="10" t="s">
        <v>980</v>
      </c>
      <c r="C13" s="9" t="s">
        <v>981</v>
      </c>
      <c r="D13" s="9" t="s">
        <v>75</v>
      </c>
      <c r="E13" t="s">
        <v>75</v>
      </c>
    </row>
    <row r="14" spans="1:5" x14ac:dyDescent="0.25">
      <c r="A14" s="10" t="s">
        <v>982</v>
      </c>
      <c r="B14" s="10" t="s">
        <v>982</v>
      </c>
      <c r="C14" s="9" t="s">
        <v>983</v>
      </c>
      <c r="D14" s="9" t="s">
        <v>75</v>
      </c>
      <c r="E14" t="s">
        <v>75</v>
      </c>
    </row>
    <row r="15" spans="1:5" x14ac:dyDescent="0.25">
      <c r="A15" s="10" t="s">
        <v>984</v>
      </c>
      <c r="B15" s="10" t="s">
        <v>984</v>
      </c>
      <c r="C15" s="9" t="s">
        <v>985</v>
      </c>
      <c r="D15" s="9" t="s">
        <v>75</v>
      </c>
      <c r="E15" t="s">
        <v>75</v>
      </c>
    </row>
    <row r="16" spans="1:5" x14ac:dyDescent="0.25">
      <c r="A16" s="10" t="s">
        <v>986</v>
      </c>
      <c r="B16" s="10" t="s">
        <v>986</v>
      </c>
      <c r="C16" s="9" t="s">
        <v>987</v>
      </c>
      <c r="D16" s="9" t="s">
        <v>75</v>
      </c>
      <c r="E16" t="s">
        <v>75</v>
      </c>
    </row>
    <row r="17" spans="1:5" x14ac:dyDescent="0.25">
      <c r="A17" s="10" t="s">
        <v>988</v>
      </c>
      <c r="B17" s="10" t="s">
        <v>988</v>
      </c>
      <c r="C17" s="9" t="s">
        <v>989</v>
      </c>
      <c r="D17" s="9" t="s">
        <v>75</v>
      </c>
      <c r="E17" t="s">
        <v>75</v>
      </c>
    </row>
    <row r="18" spans="1:5" x14ac:dyDescent="0.25">
      <c r="A18" s="10" t="s">
        <v>990</v>
      </c>
      <c r="B18" s="10" t="s">
        <v>990</v>
      </c>
      <c r="C18" s="9" t="s">
        <v>991</v>
      </c>
      <c r="D18" s="9" t="s">
        <v>75</v>
      </c>
      <c r="E18" t="s">
        <v>75</v>
      </c>
    </row>
    <row r="19" spans="1:5" x14ac:dyDescent="0.25">
      <c r="A19" s="10" t="s">
        <v>992</v>
      </c>
      <c r="B19" s="10" t="s">
        <v>992</v>
      </c>
      <c r="C19" s="9" t="s">
        <v>993</v>
      </c>
      <c r="D19" s="9" t="s">
        <v>75</v>
      </c>
      <c r="E19" t="s">
        <v>75</v>
      </c>
    </row>
    <row r="20" spans="1:5" x14ac:dyDescent="0.25">
      <c r="A20" s="10" t="s">
        <v>994</v>
      </c>
      <c r="B20" s="10" t="s">
        <v>994</v>
      </c>
      <c r="C20" s="9" t="s">
        <v>995</v>
      </c>
      <c r="D20" s="9" t="s">
        <v>75</v>
      </c>
      <c r="E20" t="s">
        <v>75</v>
      </c>
    </row>
    <row r="21" spans="1:5" x14ac:dyDescent="0.25">
      <c r="A21" s="10" t="s">
        <v>996</v>
      </c>
      <c r="B21" s="10" t="s">
        <v>996</v>
      </c>
      <c r="C21" s="9" t="s">
        <v>997</v>
      </c>
      <c r="D21" s="9" t="s">
        <v>75</v>
      </c>
      <c r="E21" t="s">
        <v>75</v>
      </c>
    </row>
    <row r="22" spans="1:5" x14ac:dyDescent="0.25">
      <c r="A22" s="10" t="s">
        <v>998</v>
      </c>
      <c r="B22" s="10" t="s">
        <v>998</v>
      </c>
      <c r="C22" s="9" t="s">
        <v>999</v>
      </c>
      <c r="D22" s="9" t="s">
        <v>75</v>
      </c>
      <c r="E22" t="s">
        <v>75</v>
      </c>
    </row>
    <row r="23" spans="1:5" x14ac:dyDescent="0.25">
      <c r="A23" s="10" t="s">
        <v>1000</v>
      </c>
      <c r="B23" s="10" t="s">
        <v>1000</v>
      </c>
      <c r="C23" s="9" t="s">
        <v>1001</v>
      </c>
      <c r="D23" s="9" t="s">
        <v>75</v>
      </c>
      <c r="E23" t="s">
        <v>75</v>
      </c>
    </row>
    <row r="24" spans="1:5" x14ac:dyDescent="0.25">
      <c r="A24" s="10" t="s">
        <v>1002</v>
      </c>
      <c r="B24" s="10" t="s">
        <v>1002</v>
      </c>
      <c r="C24" s="9" t="s">
        <v>1003</v>
      </c>
      <c r="D24" s="9" t="s">
        <v>75</v>
      </c>
      <c r="E24" t="s">
        <v>75</v>
      </c>
    </row>
    <row r="25" spans="1:5" x14ac:dyDescent="0.25">
      <c r="A25" s="10" t="s">
        <v>1004</v>
      </c>
      <c r="B25" s="10" t="s">
        <v>1004</v>
      </c>
      <c r="C25" s="9" t="s">
        <v>1005</v>
      </c>
      <c r="D25" s="9" t="s">
        <v>75</v>
      </c>
      <c r="E25" t="s">
        <v>75</v>
      </c>
    </row>
    <row r="26" spans="1:5" x14ac:dyDescent="0.25">
      <c r="A26" s="10" t="s">
        <v>1006</v>
      </c>
      <c r="B26" s="10" t="s">
        <v>1006</v>
      </c>
      <c r="C26" s="9" t="s">
        <v>1007</v>
      </c>
      <c r="D26" s="9" t="s">
        <v>75</v>
      </c>
      <c r="E26" t="s">
        <v>75</v>
      </c>
    </row>
    <row r="27" spans="1:5" x14ac:dyDescent="0.25">
      <c r="A27" s="10" t="s">
        <v>1008</v>
      </c>
      <c r="B27" s="10" t="s">
        <v>1008</v>
      </c>
      <c r="C27" s="9" t="s">
        <v>1009</v>
      </c>
      <c r="D27" s="9" t="s">
        <v>75</v>
      </c>
      <c r="E27" t="s">
        <v>75</v>
      </c>
    </row>
    <row r="28" spans="1:5" x14ac:dyDescent="0.25">
      <c r="A28" s="10" t="s">
        <v>1010</v>
      </c>
      <c r="B28" s="10" t="s">
        <v>1010</v>
      </c>
      <c r="C28" s="9" t="s">
        <v>1011</v>
      </c>
      <c r="D28" s="9" t="s">
        <v>75</v>
      </c>
      <c r="E28" t="s">
        <v>75</v>
      </c>
    </row>
    <row r="29" spans="1:5" x14ac:dyDescent="0.25">
      <c r="A29" s="10" t="s">
        <v>1012</v>
      </c>
      <c r="B29" s="10" t="s">
        <v>1012</v>
      </c>
      <c r="C29" s="9" t="s">
        <v>1013</v>
      </c>
      <c r="D29" s="9" t="s">
        <v>75</v>
      </c>
      <c r="E29" t="s">
        <v>75</v>
      </c>
    </row>
    <row r="30" spans="1:5" x14ac:dyDescent="0.25">
      <c r="A30" s="10" t="s">
        <v>1014</v>
      </c>
      <c r="B30" s="10" t="s">
        <v>1014</v>
      </c>
      <c r="C30" s="9" t="s">
        <v>1015</v>
      </c>
      <c r="D30" s="9" t="s">
        <v>75</v>
      </c>
      <c r="E30" t="s">
        <v>75</v>
      </c>
    </row>
    <row r="31" spans="1:5" x14ac:dyDescent="0.25">
      <c r="A31" s="10" t="s">
        <v>1016</v>
      </c>
      <c r="B31" s="10" t="s">
        <v>1016</v>
      </c>
      <c r="C31" s="9" t="s">
        <v>1017</v>
      </c>
      <c r="D31" s="9" t="s">
        <v>75</v>
      </c>
      <c r="E31" t="s">
        <v>75</v>
      </c>
    </row>
    <row r="32" spans="1:5" x14ac:dyDescent="0.25">
      <c r="A32" s="10" t="s">
        <v>1018</v>
      </c>
      <c r="B32" s="10" t="s">
        <v>1018</v>
      </c>
      <c r="C32" s="9" t="s">
        <v>1019</v>
      </c>
      <c r="D32" s="9" t="s">
        <v>75</v>
      </c>
      <c r="E32" t="s">
        <v>75</v>
      </c>
    </row>
    <row r="33" spans="1:5" x14ac:dyDescent="0.25">
      <c r="A33" s="10" t="s">
        <v>1020</v>
      </c>
      <c r="B33" s="10" t="s">
        <v>1020</v>
      </c>
      <c r="C33" s="9" t="s">
        <v>1021</v>
      </c>
      <c r="D33" s="9" t="s">
        <v>75</v>
      </c>
      <c r="E33" t="s">
        <v>75</v>
      </c>
    </row>
    <row r="34" spans="1:5" x14ac:dyDescent="0.25">
      <c r="A34" s="10" t="s">
        <v>1022</v>
      </c>
      <c r="B34" s="10" t="s">
        <v>1022</v>
      </c>
      <c r="C34" s="9" t="s">
        <v>1023</v>
      </c>
      <c r="D34" s="9" t="s">
        <v>75</v>
      </c>
      <c r="E34" t="s">
        <v>75</v>
      </c>
    </row>
    <row r="35" spans="1:5" x14ac:dyDescent="0.25">
      <c r="A35" s="10" t="s">
        <v>1024</v>
      </c>
      <c r="B35" s="10" t="s">
        <v>1024</v>
      </c>
      <c r="C35" s="9" t="s">
        <v>1025</v>
      </c>
      <c r="D35" s="9" t="s">
        <v>75</v>
      </c>
      <c r="E35" t="s">
        <v>75</v>
      </c>
    </row>
    <row r="36" spans="1:5" x14ac:dyDescent="0.25">
      <c r="A36" s="10" t="s">
        <v>1026</v>
      </c>
      <c r="B36" s="10" t="s">
        <v>1026</v>
      </c>
      <c r="C36" s="9" t="s">
        <v>1027</v>
      </c>
      <c r="D36" s="9" t="s">
        <v>75</v>
      </c>
      <c r="E36" t="s">
        <v>75</v>
      </c>
    </row>
    <row r="37" spans="1:5" x14ac:dyDescent="0.25">
      <c r="A37" s="10" t="s">
        <v>1028</v>
      </c>
      <c r="B37" s="10" t="s">
        <v>1028</v>
      </c>
      <c r="C37" s="9" t="s">
        <v>1029</v>
      </c>
      <c r="D37" s="9" t="s">
        <v>75</v>
      </c>
      <c r="E37" t="s">
        <v>75</v>
      </c>
    </row>
    <row r="38" spans="1:5" x14ac:dyDescent="0.25">
      <c r="A38" s="10" t="s">
        <v>1030</v>
      </c>
      <c r="B38" s="10" t="s">
        <v>1030</v>
      </c>
      <c r="C38" s="9" t="s">
        <v>1031</v>
      </c>
      <c r="D38" s="9" t="s">
        <v>75</v>
      </c>
      <c r="E38" t="s">
        <v>75</v>
      </c>
    </row>
    <row r="39" spans="1:5" x14ac:dyDescent="0.25">
      <c r="A39" s="10" t="s">
        <v>1032</v>
      </c>
      <c r="B39" s="10" t="s">
        <v>1032</v>
      </c>
      <c r="C39" s="9" t="s">
        <v>1033</v>
      </c>
      <c r="D39" s="9" t="s">
        <v>75</v>
      </c>
      <c r="E39" t="s">
        <v>75</v>
      </c>
    </row>
    <row r="40" spans="1:5" x14ac:dyDescent="0.25">
      <c r="A40" s="10" t="s">
        <v>1034</v>
      </c>
      <c r="B40" s="10" t="s">
        <v>1034</v>
      </c>
      <c r="C40" s="9" t="s">
        <v>1035</v>
      </c>
      <c r="D40" s="9" t="s">
        <v>75</v>
      </c>
      <c r="E40" t="s">
        <v>75</v>
      </c>
    </row>
    <row r="41" spans="1:5" x14ac:dyDescent="0.25">
      <c r="A41" s="10" t="s">
        <v>1036</v>
      </c>
      <c r="B41" s="10" t="s">
        <v>1036</v>
      </c>
      <c r="C41" s="9" t="s">
        <v>1037</v>
      </c>
      <c r="D41" s="9" t="s">
        <v>75</v>
      </c>
      <c r="E41" t="s">
        <v>75</v>
      </c>
    </row>
    <row r="42" spans="1:5" x14ac:dyDescent="0.25">
      <c r="A42" s="10" t="s">
        <v>1038</v>
      </c>
      <c r="B42" s="10" t="s">
        <v>1038</v>
      </c>
      <c r="C42" s="9" t="s">
        <v>1039</v>
      </c>
      <c r="D42" s="9" t="s">
        <v>75</v>
      </c>
      <c r="E42" t="s">
        <v>75</v>
      </c>
    </row>
    <row r="43" spans="1:5" x14ac:dyDescent="0.25">
      <c r="A43" s="10" t="s">
        <v>1040</v>
      </c>
      <c r="B43" s="10" t="s">
        <v>1040</v>
      </c>
      <c r="C43" s="9" t="s">
        <v>1041</v>
      </c>
      <c r="D43" s="9" t="s">
        <v>75</v>
      </c>
      <c r="E43" t="s">
        <v>75</v>
      </c>
    </row>
    <row r="44" spans="1:5" x14ac:dyDescent="0.25">
      <c r="A44" s="10" t="s">
        <v>1042</v>
      </c>
      <c r="B44" s="10" t="s">
        <v>1042</v>
      </c>
      <c r="C44" s="9" t="s">
        <v>1043</v>
      </c>
      <c r="D44" s="9" t="s">
        <v>75</v>
      </c>
      <c r="E44" t="s">
        <v>75</v>
      </c>
    </row>
    <row r="45" spans="1:5" x14ac:dyDescent="0.25">
      <c r="A45" s="10" t="s">
        <v>1044</v>
      </c>
      <c r="B45" s="10" t="s">
        <v>1044</v>
      </c>
      <c r="C45" s="9" t="s">
        <v>1045</v>
      </c>
      <c r="D45" s="9" t="s">
        <v>75</v>
      </c>
      <c r="E45" t="s">
        <v>75</v>
      </c>
    </row>
    <row r="46" spans="1:5" x14ac:dyDescent="0.25">
      <c r="A46" s="10" t="s">
        <v>1046</v>
      </c>
      <c r="B46" s="10" t="s">
        <v>1046</v>
      </c>
      <c r="C46" s="9" t="s">
        <v>1047</v>
      </c>
      <c r="D46" s="9" t="s">
        <v>75</v>
      </c>
      <c r="E46" t="s">
        <v>75</v>
      </c>
    </row>
    <row r="47" spans="1:5" x14ac:dyDescent="0.25">
      <c r="A47" s="10" t="s">
        <v>1048</v>
      </c>
      <c r="B47" s="10" t="s">
        <v>1048</v>
      </c>
      <c r="C47" s="9" t="s">
        <v>1049</v>
      </c>
      <c r="D47" s="9" t="s">
        <v>75</v>
      </c>
      <c r="E47" t="s">
        <v>75</v>
      </c>
    </row>
    <row r="48" spans="1:5" x14ac:dyDescent="0.25">
      <c r="A48" s="10" t="s">
        <v>1050</v>
      </c>
      <c r="B48" s="10" t="s">
        <v>1050</v>
      </c>
      <c r="C48" s="9" t="s">
        <v>1051</v>
      </c>
      <c r="D48" s="9" t="s">
        <v>75</v>
      </c>
      <c r="E48" t="s">
        <v>75</v>
      </c>
    </row>
    <row r="49" spans="1:5" x14ac:dyDescent="0.25">
      <c r="A49" s="10" t="s">
        <v>1052</v>
      </c>
      <c r="B49" s="10" t="s">
        <v>1052</v>
      </c>
      <c r="C49" s="9" t="s">
        <v>1053</v>
      </c>
      <c r="D49" s="9" t="s">
        <v>75</v>
      </c>
      <c r="E49" t="s">
        <v>75</v>
      </c>
    </row>
    <row r="50" spans="1:5" x14ac:dyDescent="0.25">
      <c r="A50" s="10" t="s">
        <v>1054</v>
      </c>
      <c r="B50" s="10" t="s">
        <v>1054</v>
      </c>
      <c r="C50" s="9" t="s">
        <v>1055</v>
      </c>
      <c r="D50" s="9" t="s">
        <v>75</v>
      </c>
      <c r="E50" t="s">
        <v>75</v>
      </c>
    </row>
    <row r="51" spans="1:5" x14ac:dyDescent="0.25">
      <c r="A51" s="10" t="s">
        <v>1056</v>
      </c>
      <c r="B51" s="10" t="s">
        <v>1056</v>
      </c>
      <c r="C51" s="9" t="s">
        <v>1057</v>
      </c>
      <c r="D51" s="9" t="s">
        <v>75</v>
      </c>
      <c r="E51" t="s">
        <v>75</v>
      </c>
    </row>
    <row r="52" spans="1:5" x14ac:dyDescent="0.25">
      <c r="A52" s="10" t="s">
        <v>1058</v>
      </c>
      <c r="B52" s="10" t="s">
        <v>1058</v>
      </c>
      <c r="C52" s="9" t="s">
        <v>1059</v>
      </c>
      <c r="D52" s="9" t="s">
        <v>75</v>
      </c>
      <c r="E52" t="s">
        <v>75</v>
      </c>
    </row>
    <row r="53" spans="1:5" x14ac:dyDescent="0.25">
      <c r="A53" s="10" t="s">
        <v>1060</v>
      </c>
      <c r="B53" s="10" t="s">
        <v>1060</v>
      </c>
      <c r="C53" s="9" t="s">
        <v>1061</v>
      </c>
      <c r="D53" s="9" t="s">
        <v>75</v>
      </c>
      <c r="E53" t="s">
        <v>75</v>
      </c>
    </row>
    <row r="54" spans="1:5" x14ac:dyDescent="0.25">
      <c r="A54" s="10" t="s">
        <v>1062</v>
      </c>
      <c r="B54" s="10" t="s">
        <v>1062</v>
      </c>
      <c r="C54" s="9" t="s">
        <v>1063</v>
      </c>
      <c r="D54" s="9" t="s">
        <v>75</v>
      </c>
      <c r="E54" t="s">
        <v>75</v>
      </c>
    </row>
    <row r="55" spans="1:5" x14ac:dyDescent="0.25">
      <c r="A55" s="10" t="s">
        <v>1064</v>
      </c>
      <c r="B55" s="10" t="s">
        <v>1064</v>
      </c>
      <c r="C55" s="9" t="s">
        <v>1065</v>
      </c>
      <c r="D55" s="9" t="s">
        <v>75</v>
      </c>
      <c r="E55" t="s">
        <v>75</v>
      </c>
    </row>
    <row r="56" spans="1:5" x14ac:dyDescent="0.25">
      <c r="A56" s="10" t="s">
        <v>1066</v>
      </c>
      <c r="B56" s="10" t="s">
        <v>1066</v>
      </c>
      <c r="C56" s="9" t="s">
        <v>1067</v>
      </c>
      <c r="D56" s="9" t="s">
        <v>75</v>
      </c>
      <c r="E56" t="s">
        <v>75</v>
      </c>
    </row>
    <row r="57" spans="1:5" x14ac:dyDescent="0.25">
      <c r="A57" s="10" t="s">
        <v>1068</v>
      </c>
      <c r="B57" s="10" t="s">
        <v>1068</v>
      </c>
      <c r="C57" s="9" t="s">
        <v>1069</v>
      </c>
      <c r="D57" s="9" t="s">
        <v>75</v>
      </c>
      <c r="E57" t="s">
        <v>75</v>
      </c>
    </row>
    <row r="58" spans="1:5" x14ac:dyDescent="0.25">
      <c r="A58" s="10" t="s">
        <v>1070</v>
      </c>
      <c r="B58" s="10" t="s">
        <v>1070</v>
      </c>
      <c r="C58" s="9" t="s">
        <v>1071</v>
      </c>
      <c r="D58" s="9" t="s">
        <v>75</v>
      </c>
      <c r="E58" t="s">
        <v>75</v>
      </c>
    </row>
    <row r="59" spans="1:5" x14ac:dyDescent="0.25">
      <c r="A59" s="10" t="s">
        <v>1072</v>
      </c>
      <c r="B59" s="10" t="s">
        <v>1072</v>
      </c>
      <c r="C59" s="9" t="s">
        <v>1073</v>
      </c>
      <c r="D59" s="9" t="s">
        <v>75</v>
      </c>
      <c r="E59" t="s">
        <v>75</v>
      </c>
    </row>
    <row r="60" spans="1:5" x14ac:dyDescent="0.25">
      <c r="A60" s="10" t="s">
        <v>1074</v>
      </c>
      <c r="B60" s="10" t="s">
        <v>1074</v>
      </c>
      <c r="C60" s="9" t="s">
        <v>1075</v>
      </c>
      <c r="D60" s="9" t="s">
        <v>75</v>
      </c>
      <c r="E60" t="s">
        <v>75</v>
      </c>
    </row>
    <row r="61" spans="1:5" x14ac:dyDescent="0.25">
      <c r="A61" s="10" t="s">
        <v>1076</v>
      </c>
      <c r="B61" s="10" t="s">
        <v>1076</v>
      </c>
      <c r="C61" s="9" t="s">
        <v>1077</v>
      </c>
      <c r="D61" s="9" t="s">
        <v>75</v>
      </c>
      <c r="E61" t="s">
        <v>75</v>
      </c>
    </row>
    <row r="62" spans="1:5" x14ac:dyDescent="0.25">
      <c r="A62" s="10" t="s">
        <v>1078</v>
      </c>
      <c r="B62" s="10" t="s">
        <v>1078</v>
      </c>
      <c r="C62" s="9" t="s">
        <v>1079</v>
      </c>
      <c r="D62" s="9" t="s">
        <v>75</v>
      </c>
      <c r="E62" t="s">
        <v>75</v>
      </c>
    </row>
    <row r="63" spans="1:5" x14ac:dyDescent="0.25">
      <c r="A63" s="10" t="s">
        <v>1080</v>
      </c>
      <c r="B63" s="10" t="s">
        <v>1080</v>
      </c>
      <c r="C63" s="9" t="s">
        <v>1081</v>
      </c>
      <c r="D63" s="9" t="s">
        <v>75</v>
      </c>
      <c r="E63" t="s">
        <v>75</v>
      </c>
    </row>
    <row r="64" spans="1:5" x14ac:dyDescent="0.25">
      <c r="A64" s="10" t="s">
        <v>1082</v>
      </c>
      <c r="B64" s="10" t="s">
        <v>1082</v>
      </c>
      <c r="C64" s="9" t="s">
        <v>1083</v>
      </c>
      <c r="D64" s="9" t="s">
        <v>75</v>
      </c>
      <c r="E64" t="s">
        <v>75</v>
      </c>
    </row>
    <row r="65" spans="1:5" x14ac:dyDescent="0.25">
      <c r="A65" s="10" t="s">
        <v>1084</v>
      </c>
      <c r="B65" s="10" t="s">
        <v>1084</v>
      </c>
      <c r="C65" s="9" t="s">
        <v>1085</v>
      </c>
      <c r="D65" s="9" t="s">
        <v>75</v>
      </c>
      <c r="E65" t="s">
        <v>75</v>
      </c>
    </row>
    <row r="66" spans="1:5" x14ac:dyDescent="0.25">
      <c r="A66" s="10" t="s">
        <v>1086</v>
      </c>
      <c r="B66" s="10" t="s">
        <v>1086</v>
      </c>
      <c r="C66" s="9" t="s">
        <v>1087</v>
      </c>
      <c r="D66" s="9" t="s">
        <v>75</v>
      </c>
      <c r="E66" t="s">
        <v>75</v>
      </c>
    </row>
    <row r="67" spans="1:5" x14ac:dyDescent="0.25">
      <c r="A67" s="10" t="s">
        <v>1088</v>
      </c>
      <c r="B67" s="10" t="s">
        <v>1088</v>
      </c>
      <c r="C67" s="9" t="s">
        <v>1089</v>
      </c>
      <c r="D67" s="9" t="s">
        <v>75</v>
      </c>
      <c r="E67" t="s">
        <v>75</v>
      </c>
    </row>
    <row r="68" spans="1:5" x14ac:dyDescent="0.25">
      <c r="A68" s="10" t="s">
        <v>1090</v>
      </c>
      <c r="B68" s="10" t="s">
        <v>1090</v>
      </c>
      <c r="C68" s="9" t="s">
        <v>1091</v>
      </c>
      <c r="D68" s="9" t="s">
        <v>75</v>
      </c>
      <c r="E68" t="s">
        <v>75</v>
      </c>
    </row>
    <row r="69" spans="1:5" x14ac:dyDescent="0.25">
      <c r="A69" s="10" t="s">
        <v>1092</v>
      </c>
      <c r="B69" s="10" t="s">
        <v>1092</v>
      </c>
      <c r="C69" s="9" t="s">
        <v>1093</v>
      </c>
      <c r="D69" s="9" t="s">
        <v>75</v>
      </c>
      <c r="E69" t="s">
        <v>75</v>
      </c>
    </row>
    <row r="70" spans="1:5" x14ac:dyDescent="0.25">
      <c r="A70" s="10" t="s">
        <v>1094</v>
      </c>
      <c r="B70" s="10" t="s">
        <v>1094</v>
      </c>
      <c r="C70" s="9" t="s">
        <v>1095</v>
      </c>
      <c r="D70" s="9" t="s">
        <v>75</v>
      </c>
      <c r="E70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C5"/>
  <sheetViews>
    <sheetView topLeftCell="B1" workbookViewId="0">
      <selection activeCell="B4" sqref="B4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3" ht="47.85" customHeight="1" x14ac:dyDescent="0.25">
      <c r="A1" s="25" t="s">
        <v>28</v>
      </c>
      <c r="B1" s="25"/>
    </row>
    <row r="2" spans="1:3" x14ac:dyDescent="0.25">
      <c r="A2" s="6"/>
      <c r="B2" s="4" t="s">
        <v>50</v>
      </c>
    </row>
    <row r="3" spans="1:3" x14ac:dyDescent="0.25">
      <c r="B3" s="10" t="s">
        <v>91</v>
      </c>
      <c r="C3" t="s">
        <v>75</v>
      </c>
    </row>
    <row r="4" spans="1:3" x14ac:dyDescent="0.25">
      <c r="A4">
        <v>97982261515</v>
      </c>
      <c r="B4" s="10" t="s">
        <v>959</v>
      </c>
      <c r="C4" t="s">
        <v>75</v>
      </c>
    </row>
    <row r="5" spans="1:3" x14ac:dyDescent="0.25">
      <c r="A5">
        <v>96009462568</v>
      </c>
      <c r="B5" s="10" t="s">
        <v>1096</v>
      </c>
      <c r="C5" t="s">
        <v>75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3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  <row r="3" spans="1:15" x14ac:dyDescent="0.25">
      <c r="B3" s="7" t="s">
        <v>87</v>
      </c>
      <c r="C3" s="7" t="s">
        <v>88</v>
      </c>
      <c r="D3" s="7" t="s">
        <v>89</v>
      </c>
      <c r="E3" s="7" t="s">
        <v>81</v>
      </c>
      <c r="F3" s="7" t="s">
        <v>79</v>
      </c>
      <c r="G3" s="7" t="s">
        <v>79</v>
      </c>
      <c r="H3" s="7" t="s">
        <v>79</v>
      </c>
      <c r="I3" s="7" t="s">
        <v>79</v>
      </c>
      <c r="J3" s="7" t="s">
        <v>90</v>
      </c>
      <c r="K3" s="7" t="s">
        <v>79</v>
      </c>
      <c r="L3" s="7" t="s">
        <v>79</v>
      </c>
      <c r="M3" s="7" t="s">
        <v>75</v>
      </c>
      <c r="N3" s="7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I3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9" ht="45.75" customHeight="1" x14ac:dyDescent="0.25">
      <c r="A1" s="33" t="s">
        <v>51</v>
      </c>
      <c r="B1" s="29"/>
      <c r="C1" s="29"/>
      <c r="D1" s="29"/>
      <c r="E1" s="29"/>
      <c r="F1" s="29"/>
      <c r="G1" s="29"/>
      <c r="H1" s="29"/>
    </row>
    <row r="2" spans="1:9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  <row r="3" spans="1:9" x14ac:dyDescent="0.25">
      <c r="B3" s="7" t="s">
        <v>81</v>
      </c>
      <c r="C3" s="7" t="s">
        <v>82</v>
      </c>
      <c r="D3" s="7" t="s">
        <v>83</v>
      </c>
      <c r="E3" s="7" t="s">
        <v>84</v>
      </c>
      <c r="F3" s="7" t="s">
        <v>85</v>
      </c>
      <c r="G3" s="7" t="s">
        <v>84</v>
      </c>
      <c r="H3" s="7" t="s">
        <v>86</v>
      </c>
      <c r="I3" s="2" t="s">
        <v>75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G3"/>
  <sheetViews>
    <sheetView topLeftCell="B1" workbookViewId="0">
      <selection activeCell="D2" sqref="D2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7" ht="45.75" customHeight="1" x14ac:dyDescent="0.25">
      <c r="A1" s="11"/>
      <c r="B1" s="34" t="s">
        <v>71</v>
      </c>
      <c r="C1" s="35"/>
      <c r="D1" s="35"/>
      <c r="E1" s="35"/>
      <c r="F1" s="36"/>
    </row>
    <row r="2" spans="1:7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  <row r="3" spans="1:7" x14ac:dyDescent="0.25">
      <c r="B3" s="7" t="s">
        <v>77</v>
      </c>
      <c r="C3" s="7" t="s">
        <v>78</v>
      </c>
      <c r="D3" s="7" t="s">
        <v>79</v>
      </c>
      <c r="E3" s="7" t="s">
        <v>75</v>
      </c>
      <c r="F3" s="7" t="s">
        <v>80</v>
      </c>
      <c r="G3" s="1" t="s">
        <v>75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57</vt:i4>
      </vt:variant>
    </vt:vector>
  </HeadingPairs>
  <TitlesOfParts>
    <vt:vector size="57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INFPA</vt:lpstr>
      <vt:lpstr>RTDP_0561</vt:lpstr>
      <vt:lpstr>RTPP_0561</vt:lpstr>
      <vt:lpstr>RTPO_0561</vt:lpstr>
      <vt:lpstr>RTRT_0561</vt:lpstr>
      <vt:lpstr>BPJDEC</vt:lpstr>
      <vt:lpstr>BPFDEC_0561</vt:lpstr>
      <vt:lpstr>RIO</vt:lpstr>
      <vt:lpstr>RTPO_0588</vt:lpstr>
      <vt:lpstr>RTRT_0588</vt:lpstr>
      <vt:lpstr>BPFDEC_0588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2017-02-15T17:16:20Z</dcterms:modified>
</cp:coreProperties>
</file>