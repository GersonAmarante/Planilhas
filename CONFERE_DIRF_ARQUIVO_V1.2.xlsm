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comments10.xml" ContentType="application/vnd.openxmlformats-officedocument.spreadsheetml.comments+xml"/>
  <Override PartName="/xl/comments11.xml" ContentType="application/vnd.openxmlformats-officedocument.spreadsheetml.comments+xml"/>
  <Override PartName="/xl/comments12.xml" ContentType="application/vnd.openxmlformats-officedocument.spreadsheetml.comments+xml"/>
  <Override PartName="/xl/comments13.xml" ContentType="application/vnd.openxmlformats-officedocument.spreadsheetml.comments+xml"/>
  <Override PartName="/xl/comments14.xml" ContentType="application/vnd.openxmlformats-officedocument.spreadsheetml.comments+xml"/>
  <Override PartName="/xl/comments15.xml" ContentType="application/vnd.openxmlformats-officedocument.spreadsheetml.comments+xml"/>
  <Override PartName="/xl/comments16.xml" ContentType="application/vnd.openxmlformats-officedocument.spreadsheetml.comments+xml"/>
  <Override PartName="/xl/comments17.xml" ContentType="application/vnd.openxmlformats-officedocument.spreadsheetml.comments+xml"/>
  <Override PartName="/xl/comments18.xml" ContentType="application/vnd.openxmlformats-officedocument.spreadsheetml.comments+xml"/>
  <Override PartName="/xl/comments19.xml" ContentType="application/vnd.openxmlformats-officedocument.spreadsheetml.comments+xml"/>
  <Override PartName="/xl/comments20.xml" ContentType="application/vnd.openxmlformats-officedocument.spreadsheetml.comments+xml"/>
  <Override PartName="/xl/comments21.xml" ContentType="application/vnd.openxmlformats-officedocument.spreadsheetml.comments+xml"/>
  <Override PartName="/xl/comments22.xml" ContentType="application/vnd.openxmlformats-officedocument.spreadsheetml.comments+xml"/>
  <Override PartName="/xl/comments23.xml" ContentType="application/vnd.openxmlformats-officedocument.spreadsheetml.comments+xml"/>
  <Override PartName="/xl/comments24.xml" ContentType="application/vnd.openxmlformats-officedocument.spreadsheetml.comments+xml"/>
  <Override PartName="/xl/comments25.xml" ContentType="application/vnd.openxmlformats-officedocument.spreadsheetml.comments+xml"/>
  <Override PartName="/xl/comments26.xml" ContentType="application/vnd.openxmlformats-officedocument.spreadsheetml.comments+xml"/>
  <Override PartName="/xl/comments27.xml" ContentType="application/vnd.openxmlformats-officedocument.spreadsheetml.comments+xml"/>
  <Override PartName="/xl/comments28.xml" ContentType="application/vnd.openxmlformats-officedocument.spreadsheetml.comments+xml"/>
  <Override PartName="/xl/comments29.xml" ContentType="application/vnd.openxmlformats-officedocument.spreadsheetml.comments+xml"/>
  <Override PartName="/xl/comments30.xml" ContentType="application/vnd.openxmlformats-officedocument.spreadsheetml.comments+xml"/>
  <Override PartName="/xl/comments31.xml" ContentType="application/vnd.openxmlformats-officedocument.spreadsheetml.comments+xml"/>
  <Override PartName="/xl/comments32.xml" ContentType="application/vnd.openxmlformats-officedocument.spreadsheetml.comments+xml"/>
  <Override PartName="/xl/comments33.xml" ContentType="application/vnd.openxmlformats-officedocument.spreadsheetml.comments+xml"/>
  <Override PartName="/xl/comments34.xml" ContentType="application/vnd.openxmlformats-officedocument.spreadsheetml.comments+xml"/>
  <Override PartName="/xl/comments35.xml" ContentType="application/vnd.openxmlformats-officedocument.spreadsheetml.comments+xml"/>
  <Override PartName="/xl/comments36.xml" ContentType="application/vnd.openxmlformats-officedocument.spreadsheetml.comments+xml"/>
  <Override PartName="/xl/comments37.xml" ContentType="application/vnd.openxmlformats-officedocument.spreadsheetml.comments+xml"/>
  <Override PartName="/xl/comments38.xml" ContentType="application/vnd.openxmlformats-officedocument.spreadsheetml.comments+xml"/>
  <Override PartName="/xl/comments39.xml" ContentType="application/vnd.openxmlformats-officedocument.spreadsheetml.comments+xml"/>
  <Override PartName="/xl/comments40.xml" ContentType="application/vnd.openxmlformats-officedocument.spreadsheetml.comment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embeddings/oleObject1.bin" ContentType="application/vnd.openxmlformats-officedocument.oleObject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7571" codeName="{C999D3B4-68BB-379E-E534-F0D661931E69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gamarante\MACROS\"/>
    </mc:Choice>
  </mc:AlternateContent>
  <bookViews>
    <workbookView xWindow="0" yWindow="0" windowWidth="20490" windowHeight="8115" tabRatio="958" firstSheet="37" activeTab="40"/>
  </bookViews>
  <sheets>
    <sheet name="FIMDIRF" sheetId="3" r:id="rId1"/>
    <sheet name="RDTPSE" sheetId="60" r:id="rId2"/>
    <sheet name="DTPSE" sheetId="4" r:id="rId3"/>
    <sheet name="TPSE" sheetId="5" r:id="rId4"/>
    <sheet name="OPSE" sheetId="6" r:id="rId5"/>
    <sheet name="RIRSR" sheetId="59" r:id="rId6"/>
    <sheet name="RIPSTS" sheetId="58" r:id="rId7"/>
    <sheet name="RIL96" sheetId="9" r:id="rId8"/>
    <sheet name="RIBMR_3562" sheetId="57" state="hidden" r:id="rId9"/>
    <sheet name="RIAP_3562" sheetId="56" state="hidden" r:id="rId10"/>
    <sheet name="RIIRP_3562" sheetId="55" state="hidden" r:id="rId11"/>
    <sheet name="RIDAC_3562" sheetId="54" state="hidden" r:id="rId12"/>
    <sheet name="ESDJ_3562" sheetId="52" state="hidden" r:id="rId13"/>
    <sheet name="ESIR_3562" sheetId="51" state="hidden" r:id="rId14"/>
    <sheet name="ESPA_3562" sheetId="50" state="hidden" r:id="rId15"/>
    <sheet name="ESDP_3562" sheetId="49" state="hidden" r:id="rId16"/>
    <sheet name="ESPP_3562" sheetId="48" state="hidden" r:id="rId17"/>
    <sheet name="ESPO_3562" sheetId="47" state="hidden" r:id="rId18"/>
    <sheet name="ESRT_3562" sheetId="46" state="hidden" r:id="rId19"/>
    <sheet name="CJAA_3562" sheetId="45" state="hidden" r:id="rId20"/>
    <sheet name="CJAC_3562" sheetId="44" state="hidden" r:id="rId21"/>
    <sheet name="RTIRF_3562" sheetId="43" r:id="rId22"/>
    <sheet name="RTPA_3562" sheetId="42" r:id="rId23"/>
    <sheet name="RTDP_3562" sheetId="65" state="hidden" r:id="rId24"/>
    <sheet name="RTRT_3562" sheetId="61" r:id="rId25"/>
    <sheet name="BPFDEC_3562" sheetId="63" r:id="rId26"/>
    <sheet name="RIBMR_0561" sheetId="80" r:id="rId27"/>
    <sheet name="RIAP_0561" sheetId="79" r:id="rId28"/>
    <sheet name="RIIRP_0561" sheetId="78" r:id="rId29"/>
    <sheet name="RIDAC_0561" sheetId="77" r:id="rId30"/>
    <sheet name="ESDJ_0561" sheetId="76" r:id="rId31"/>
    <sheet name="ESPA_0561" sheetId="74" r:id="rId32"/>
    <sheet name="ESDP_0561" sheetId="73" r:id="rId33"/>
    <sheet name="ESPP_0561" sheetId="72" r:id="rId34"/>
    <sheet name="ESPO_0561" sheetId="71" r:id="rId35"/>
    <sheet name="ESIR__0561" sheetId="75" r:id="rId36"/>
    <sheet name="ESRT_0561" sheetId="70" r:id="rId37"/>
    <sheet name="CJAA_0561" sheetId="69" r:id="rId38"/>
    <sheet name="CJAC_0561" sheetId="68" r:id="rId39"/>
    <sheet name="RTIRF_0561" sheetId="67" r:id="rId40"/>
    <sheet name="RTPA_0561" sheetId="66" r:id="rId41"/>
    <sheet name="RTDP_0561" sheetId="41" r:id="rId42"/>
    <sheet name="RTPP_0561" sheetId="40" r:id="rId43"/>
    <sheet name="RTPO_0561" sheetId="39" r:id="rId44"/>
    <sheet name="RTRT_0561" sheetId="28" r:id="rId45"/>
    <sheet name="BPJDEC" sheetId="35" state="hidden" r:id="rId46"/>
    <sheet name="BPFDEC_0561" sheetId="29" r:id="rId47"/>
    <sheet name="IDREC" sheetId="30" r:id="rId48"/>
    <sheet name="DECPJ" sheetId="31" r:id="rId49"/>
    <sheet name="DECPF" sheetId="34" state="hidden" r:id="rId50"/>
    <sheet name="RESPO" sheetId="32" r:id="rId51"/>
    <sheet name="DIRF" sheetId="33" r:id="rId5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N2" i="28" l="1"/>
  <c r="M2" i="28"/>
  <c r="L2" i="28"/>
  <c r="K2" i="28"/>
  <c r="J2" i="28"/>
  <c r="I2" i="28"/>
  <c r="H2" i="28"/>
  <c r="G2" i="28"/>
  <c r="F2" i="28"/>
  <c r="E2" i="28"/>
  <c r="D2" i="28"/>
  <c r="C2" i="28"/>
  <c r="B2" i="28"/>
  <c r="N2" i="39"/>
  <c r="M2" i="39"/>
  <c r="L2" i="39"/>
  <c r="K2" i="39"/>
  <c r="J2" i="39"/>
  <c r="I2" i="39"/>
  <c r="H2" i="39"/>
  <c r="G2" i="39"/>
  <c r="F2" i="39"/>
  <c r="E2" i="39"/>
  <c r="D2" i="39"/>
  <c r="C2" i="39"/>
  <c r="B2" i="39"/>
  <c r="N2" i="40"/>
  <c r="M2" i="40"/>
  <c r="L2" i="40"/>
  <c r="K2" i="40"/>
  <c r="J2" i="40"/>
  <c r="I2" i="40"/>
  <c r="H2" i="40"/>
  <c r="G2" i="40"/>
  <c r="F2" i="40"/>
  <c r="E2" i="40"/>
  <c r="D2" i="40"/>
  <c r="C2" i="40"/>
  <c r="B2" i="40"/>
  <c r="N2" i="41"/>
  <c r="M2" i="41"/>
  <c r="L2" i="41"/>
  <c r="K2" i="41"/>
  <c r="J2" i="41"/>
  <c r="I2" i="41"/>
  <c r="H2" i="41"/>
  <c r="G2" i="41"/>
  <c r="F2" i="41"/>
  <c r="E2" i="41"/>
  <c r="D2" i="41"/>
  <c r="C2" i="41"/>
  <c r="B2" i="41"/>
  <c r="N2" i="66"/>
  <c r="M2" i="66"/>
  <c r="L2" i="66"/>
  <c r="K2" i="66"/>
  <c r="J2" i="66"/>
  <c r="I2" i="66"/>
  <c r="H2" i="66"/>
  <c r="G2" i="66"/>
  <c r="F2" i="66"/>
  <c r="E2" i="66"/>
  <c r="D2" i="66"/>
  <c r="C2" i="66"/>
  <c r="B2" i="66"/>
  <c r="N2" i="67"/>
  <c r="M2" i="67"/>
  <c r="L2" i="67"/>
  <c r="K2" i="67"/>
  <c r="J2" i="67"/>
  <c r="I2" i="67"/>
  <c r="H2" i="67"/>
  <c r="G2" i="67"/>
  <c r="F2" i="67"/>
  <c r="E2" i="67"/>
  <c r="D2" i="67"/>
  <c r="C2" i="67"/>
  <c r="B2" i="67"/>
  <c r="N2" i="68"/>
  <c r="M2" i="68"/>
  <c r="L2" i="68"/>
  <c r="K2" i="68"/>
  <c r="J2" i="68"/>
  <c r="I2" i="68"/>
  <c r="H2" i="68"/>
  <c r="G2" i="68"/>
  <c r="F2" i="68"/>
  <c r="E2" i="68"/>
  <c r="D2" i="68"/>
  <c r="C2" i="68"/>
  <c r="B2" i="68"/>
  <c r="N2" i="69"/>
  <c r="M2" i="69"/>
  <c r="L2" i="69"/>
  <c r="K2" i="69"/>
  <c r="J2" i="69"/>
  <c r="I2" i="69"/>
  <c r="H2" i="69"/>
  <c r="G2" i="69"/>
  <c r="F2" i="69"/>
  <c r="E2" i="69"/>
  <c r="D2" i="69"/>
  <c r="C2" i="69"/>
  <c r="B2" i="69"/>
  <c r="N2" i="70"/>
  <c r="M2" i="70"/>
  <c r="L2" i="70"/>
  <c r="K2" i="70"/>
  <c r="J2" i="70"/>
  <c r="I2" i="70"/>
  <c r="H2" i="70"/>
  <c r="G2" i="70"/>
  <c r="F2" i="70"/>
  <c r="E2" i="70"/>
  <c r="D2" i="70"/>
  <c r="C2" i="70"/>
  <c r="B2" i="70"/>
  <c r="N2" i="75"/>
  <c r="M2" i="75"/>
  <c r="L2" i="75"/>
  <c r="K2" i="75"/>
  <c r="J2" i="75"/>
  <c r="I2" i="75"/>
  <c r="H2" i="75"/>
  <c r="G2" i="75"/>
  <c r="F2" i="75"/>
  <c r="E2" i="75"/>
  <c r="D2" i="75"/>
  <c r="C2" i="75"/>
  <c r="B2" i="75"/>
  <c r="N2" i="71"/>
  <c r="M2" i="71"/>
  <c r="L2" i="71"/>
  <c r="K2" i="71"/>
  <c r="J2" i="71"/>
  <c r="I2" i="71"/>
  <c r="H2" i="71"/>
  <c r="G2" i="71"/>
  <c r="F2" i="71"/>
  <c r="E2" i="71"/>
  <c r="D2" i="71"/>
  <c r="C2" i="71"/>
  <c r="B2" i="71"/>
  <c r="N2" i="72"/>
  <c r="M2" i="72"/>
  <c r="L2" i="72"/>
  <c r="K2" i="72"/>
  <c r="J2" i="72"/>
  <c r="I2" i="72"/>
  <c r="H2" i="72"/>
  <c r="G2" i="72"/>
  <c r="F2" i="72"/>
  <c r="E2" i="72"/>
  <c r="D2" i="72"/>
  <c r="C2" i="72"/>
  <c r="B2" i="72"/>
  <c r="N2" i="73"/>
  <c r="M2" i="73"/>
  <c r="L2" i="73"/>
  <c r="K2" i="73"/>
  <c r="J2" i="73"/>
  <c r="I2" i="73"/>
  <c r="H2" i="73"/>
  <c r="G2" i="73"/>
  <c r="F2" i="73"/>
  <c r="E2" i="73"/>
  <c r="D2" i="73"/>
  <c r="C2" i="73"/>
  <c r="B2" i="73"/>
  <c r="N2" i="74"/>
  <c r="M2" i="74"/>
  <c r="L2" i="74"/>
  <c r="K2" i="74"/>
  <c r="J2" i="74"/>
  <c r="I2" i="74"/>
  <c r="H2" i="74"/>
  <c r="G2" i="74"/>
  <c r="F2" i="74"/>
  <c r="E2" i="74"/>
  <c r="D2" i="74"/>
  <c r="C2" i="74"/>
  <c r="B2" i="74"/>
  <c r="N2" i="76"/>
  <c r="M2" i="76"/>
  <c r="L2" i="76"/>
  <c r="K2" i="76"/>
  <c r="J2" i="76"/>
  <c r="I2" i="76"/>
  <c r="H2" i="76"/>
  <c r="G2" i="76"/>
  <c r="F2" i="76"/>
  <c r="E2" i="76"/>
  <c r="D2" i="76"/>
  <c r="C2" i="76"/>
  <c r="B2" i="76"/>
  <c r="N2" i="77"/>
  <c r="M2" i="77"/>
  <c r="L2" i="77"/>
  <c r="K2" i="77"/>
  <c r="J2" i="77"/>
  <c r="I2" i="77"/>
  <c r="H2" i="77"/>
  <c r="G2" i="77"/>
  <c r="F2" i="77"/>
  <c r="E2" i="77"/>
  <c r="D2" i="77"/>
  <c r="C2" i="77"/>
  <c r="B2" i="77"/>
  <c r="N2" i="78"/>
  <c r="M2" i="78"/>
  <c r="L2" i="78"/>
  <c r="K2" i="78"/>
  <c r="J2" i="78"/>
  <c r="I2" i="78"/>
  <c r="H2" i="78"/>
  <c r="G2" i="78"/>
  <c r="F2" i="78"/>
  <c r="E2" i="78"/>
  <c r="D2" i="78"/>
  <c r="C2" i="78"/>
  <c r="B2" i="78"/>
  <c r="N2" i="79"/>
  <c r="M2" i="79"/>
  <c r="L2" i="79"/>
  <c r="K2" i="79"/>
  <c r="J2" i="79"/>
  <c r="I2" i="79"/>
  <c r="H2" i="79"/>
  <c r="G2" i="79"/>
  <c r="F2" i="79"/>
  <c r="E2" i="79"/>
  <c r="D2" i="79"/>
  <c r="C2" i="79"/>
  <c r="B2" i="79"/>
  <c r="N2" i="80"/>
  <c r="M2" i="80"/>
  <c r="L2" i="80"/>
  <c r="K2" i="80"/>
  <c r="J2" i="80"/>
  <c r="I2" i="80"/>
  <c r="H2" i="80"/>
  <c r="G2" i="80"/>
  <c r="F2" i="80"/>
  <c r="E2" i="80"/>
  <c r="D2" i="80"/>
  <c r="C2" i="80"/>
  <c r="B2" i="80"/>
  <c r="N2" i="61"/>
  <c r="M2" i="61"/>
  <c r="L2" i="61"/>
  <c r="K2" i="61"/>
  <c r="J2" i="61"/>
  <c r="I2" i="61"/>
  <c r="H2" i="61"/>
  <c r="G2" i="61"/>
  <c r="F2" i="61"/>
  <c r="E2" i="61"/>
  <c r="D2" i="61"/>
  <c r="C2" i="61"/>
  <c r="B2" i="61"/>
  <c r="N2" i="42"/>
  <c r="M2" i="42"/>
  <c r="L2" i="42"/>
  <c r="K2" i="42"/>
  <c r="J2" i="42"/>
  <c r="I2" i="42"/>
  <c r="H2" i="42"/>
  <c r="G2" i="42"/>
  <c r="F2" i="42"/>
  <c r="E2" i="42"/>
  <c r="D2" i="42"/>
  <c r="C2" i="42"/>
  <c r="B2" i="42"/>
  <c r="N2" i="43"/>
  <c r="M2" i="43"/>
  <c r="L2" i="43"/>
  <c r="K2" i="43"/>
  <c r="J2" i="43"/>
  <c r="I2" i="43"/>
  <c r="H2" i="43"/>
  <c r="G2" i="43"/>
  <c r="F2" i="43"/>
  <c r="E2" i="43"/>
  <c r="D2" i="43"/>
  <c r="C2" i="43"/>
  <c r="B2" i="43"/>
  <c r="B2" i="9"/>
  <c r="B2" i="58"/>
  <c r="B2" i="59"/>
  <c r="D2" i="5"/>
  <c r="G2" i="4"/>
  <c r="N2" i="65" l="1"/>
  <c r="M2" i="65"/>
  <c r="L2" i="65"/>
  <c r="K2" i="65"/>
  <c r="J2" i="65"/>
  <c r="I2" i="65"/>
  <c r="H2" i="65"/>
  <c r="G2" i="65"/>
  <c r="F2" i="65"/>
  <c r="E2" i="65"/>
  <c r="D2" i="65"/>
  <c r="C2" i="65"/>
  <c r="B2" i="65"/>
  <c r="E2" i="60"/>
  <c r="D2" i="60"/>
  <c r="N2" i="57"/>
  <c r="M2" i="57"/>
  <c r="L2" i="57"/>
  <c r="K2" i="57"/>
  <c r="J2" i="57"/>
  <c r="I2" i="57"/>
  <c r="H2" i="57"/>
  <c r="G2" i="57"/>
  <c r="F2" i="57"/>
  <c r="E2" i="57"/>
  <c r="D2" i="57"/>
  <c r="C2" i="57"/>
  <c r="B2" i="57"/>
  <c r="N2" i="56"/>
  <c r="M2" i="56"/>
  <c r="L2" i="56"/>
  <c r="K2" i="56"/>
  <c r="J2" i="56"/>
  <c r="I2" i="56"/>
  <c r="H2" i="56"/>
  <c r="G2" i="56"/>
  <c r="F2" i="56"/>
  <c r="E2" i="56"/>
  <c r="D2" i="56"/>
  <c r="C2" i="56"/>
  <c r="B2" i="56"/>
  <c r="B2" i="55"/>
  <c r="N2" i="55"/>
  <c r="M2" i="55"/>
  <c r="L2" i="55"/>
  <c r="K2" i="55"/>
  <c r="J2" i="55"/>
  <c r="I2" i="55"/>
  <c r="H2" i="55"/>
  <c r="G2" i="55"/>
  <c r="F2" i="55"/>
  <c r="E2" i="55"/>
  <c r="D2" i="55"/>
  <c r="C2" i="55"/>
  <c r="N2" i="54"/>
  <c r="M2" i="54"/>
  <c r="L2" i="54"/>
  <c r="K2" i="54"/>
  <c r="J2" i="54"/>
  <c r="I2" i="54"/>
  <c r="H2" i="54"/>
  <c r="G2" i="54"/>
  <c r="F2" i="54"/>
  <c r="E2" i="54"/>
  <c r="D2" i="54"/>
  <c r="C2" i="54"/>
  <c r="B2" i="54"/>
  <c r="N2" i="52"/>
  <c r="M2" i="52"/>
  <c r="L2" i="52"/>
  <c r="K2" i="52"/>
  <c r="J2" i="52"/>
  <c r="I2" i="52"/>
  <c r="H2" i="52"/>
  <c r="G2" i="52"/>
  <c r="F2" i="52"/>
  <c r="E2" i="52"/>
  <c r="D2" i="52"/>
  <c r="C2" i="52"/>
  <c r="B2" i="52"/>
  <c r="N2" i="51"/>
  <c r="M2" i="51"/>
  <c r="L2" i="51"/>
  <c r="K2" i="51"/>
  <c r="J2" i="51"/>
  <c r="I2" i="51"/>
  <c r="H2" i="51"/>
  <c r="G2" i="51"/>
  <c r="F2" i="51"/>
  <c r="E2" i="51"/>
  <c r="D2" i="51"/>
  <c r="C2" i="51"/>
  <c r="B2" i="51"/>
  <c r="B2" i="50"/>
  <c r="N2" i="50"/>
  <c r="M2" i="50"/>
  <c r="L2" i="50"/>
  <c r="K2" i="50"/>
  <c r="J2" i="50"/>
  <c r="I2" i="50"/>
  <c r="H2" i="50"/>
  <c r="G2" i="50"/>
  <c r="F2" i="50"/>
  <c r="E2" i="50"/>
  <c r="D2" i="50"/>
  <c r="C2" i="50"/>
  <c r="B2" i="49"/>
  <c r="N2" i="49"/>
  <c r="M2" i="49"/>
  <c r="L2" i="49"/>
  <c r="K2" i="49"/>
  <c r="J2" i="49"/>
  <c r="I2" i="49"/>
  <c r="H2" i="49"/>
  <c r="G2" i="49"/>
  <c r="F2" i="49"/>
  <c r="E2" i="49"/>
  <c r="D2" i="49"/>
  <c r="C2" i="49"/>
  <c r="B2" i="48"/>
  <c r="N2" i="48"/>
  <c r="M2" i="48"/>
  <c r="L2" i="48"/>
  <c r="K2" i="48"/>
  <c r="J2" i="48"/>
  <c r="I2" i="48"/>
  <c r="H2" i="48"/>
  <c r="G2" i="48"/>
  <c r="F2" i="48"/>
  <c r="E2" i="48"/>
  <c r="D2" i="48"/>
  <c r="C2" i="48"/>
  <c r="N2" i="47"/>
  <c r="M2" i="47"/>
  <c r="L2" i="47"/>
  <c r="K2" i="47"/>
  <c r="J2" i="47"/>
  <c r="I2" i="47"/>
  <c r="H2" i="47"/>
  <c r="G2" i="47"/>
  <c r="F2" i="47"/>
  <c r="E2" i="47"/>
  <c r="D2" i="47"/>
  <c r="C2" i="47"/>
  <c r="B2" i="47"/>
  <c r="N2" i="46"/>
  <c r="M2" i="46"/>
  <c r="L2" i="46"/>
  <c r="K2" i="46"/>
  <c r="J2" i="46"/>
  <c r="I2" i="46"/>
  <c r="H2" i="46"/>
  <c r="G2" i="46"/>
  <c r="F2" i="46"/>
  <c r="E2" i="46"/>
  <c r="D2" i="46"/>
  <c r="C2" i="46"/>
  <c r="B2" i="46"/>
  <c r="N2" i="45"/>
  <c r="M2" i="45"/>
  <c r="L2" i="45"/>
  <c r="K2" i="45"/>
  <c r="J2" i="45"/>
  <c r="I2" i="45"/>
  <c r="H2" i="45"/>
  <c r="G2" i="45"/>
  <c r="F2" i="45"/>
  <c r="E2" i="45"/>
  <c r="D2" i="45"/>
  <c r="C2" i="45"/>
  <c r="B2" i="45"/>
  <c r="N2" i="44"/>
  <c r="M2" i="44"/>
  <c r="L2" i="44"/>
  <c r="K2" i="44"/>
  <c r="J2" i="44"/>
  <c r="I2" i="44"/>
  <c r="H2" i="44"/>
  <c r="G2" i="44"/>
  <c r="F2" i="44"/>
  <c r="E2" i="44"/>
  <c r="D2" i="44"/>
  <c r="C2" i="44"/>
  <c r="B2" i="44"/>
</calcChain>
</file>

<file path=xl/comments1.xml><?xml version="1.0" encoding="utf-8"?>
<comments xmlns="http://schemas.openxmlformats.org/spreadsheetml/2006/main">
  <authors>
    <author>Gerson Pinto Amarante</author>
  </authors>
  <commentList>
    <comment ref="B2" authorId="0" shapeId="0">
      <text>
        <r>
          <rPr>
            <sz val="9"/>
            <color indexed="81"/>
            <rFont val="Segoe UI"/>
            <family val="2"/>
          </rPr>
          <t>Preenchimento obrigatório para maiores de 18 anos completos até 31 de dezembro
do ano-calendário da declaração.</t>
        </r>
      </text>
    </comment>
    <comment ref="C2" authorId="0" shapeId="0">
      <text>
        <r>
          <rPr>
            <sz val="9"/>
            <color indexed="81"/>
            <rFont val="Segoe UI"/>
            <family val="2"/>
          </rPr>
          <t>Nome da pessoa física
até 60 posições;
Nome empresarial da
pessoa jurídica até 150
posições.</t>
        </r>
      </text>
    </comment>
  </commentList>
</comments>
</file>

<file path=xl/comments2.xml><?xml version="1.0" encoding="utf-8"?>
<comments xmlns="http://schemas.openxmlformats.org/spreadsheetml/2006/main">
  <authors>
    <author>Gerson Pinto Amarante</author>
  </authors>
  <commentList>
    <comment ref="B2" authorId="0" shapeId="0">
      <text>
        <r>
          <rPr>
            <sz val="9"/>
            <color indexed="81"/>
            <rFont val="Segoe UI"/>
            <family val="2"/>
          </rPr>
          <t>Preenchimento obrigatório para maiores de 18 anos completos até 31 de dezembro
do ano-calendário da declaração.</t>
        </r>
      </text>
    </comment>
    <comment ref="C2" authorId="0" shapeId="0">
      <text>
        <r>
          <rPr>
            <sz val="9"/>
            <color indexed="81"/>
            <rFont val="Segoe UI"/>
            <family val="2"/>
          </rPr>
          <t>Preenchimento obrigatório para maiores de 18 anos completos até 31 de dezembro
do ano-calendário da declaração.</t>
        </r>
      </text>
    </comment>
    <comment ref="D2" authorId="0" shapeId="0">
      <text>
        <r>
          <rPr>
            <b/>
            <sz val="9"/>
            <color indexed="81"/>
            <rFont val="Segoe UI"/>
            <family val="2"/>
          </rPr>
          <t>Preenchimento obrigatório para menores de 18 anos completos até 31 de dezembro
do ano-calendário da declaração, que não tenham informado o CPF.</t>
        </r>
      </text>
    </comment>
    <comment ref="F2" authorId="0" shapeId="0">
      <text>
        <r>
          <rPr>
            <sz val="9"/>
            <color indexed="81"/>
            <rFont val="Segoe UI"/>
            <family val="2"/>
          </rPr>
          <t>03 - Cônjuge/
Companheiro(a)
04 - Filho(a)
06 - Enteado(a)
08 - Pai/Mãe
10 - Agregado/Outros</t>
        </r>
      </text>
    </comment>
  </commentList>
</comments>
</file>

<file path=xl/comments3.xml><?xml version="1.0" encoding="utf-8"?>
<comments xmlns="http://schemas.openxmlformats.org/spreadsheetml/2006/main">
  <authors>
    <author>Gerson Pinto Amarante</author>
  </authors>
  <commentList>
    <comment ref="A2" authorId="0" shapeId="0">
      <text>
        <r>
          <rPr>
            <sz val="9"/>
            <color indexed="81"/>
            <rFont val="Segoe UI"/>
            <family val="2"/>
          </rPr>
          <t xml:space="preserve">Campo definido na importação do leiaute, não faz parte do arquivo DIRF.001
</t>
        </r>
      </text>
    </comment>
  </commentList>
</comments>
</file>

<file path=xl/comments4.xml><?xml version="1.0" encoding="utf-8"?>
<comments xmlns="http://schemas.openxmlformats.org/spreadsheetml/2006/main">
  <authors>
    <author>Gerson Pinto Amarante</author>
  </authors>
  <commentList>
    <comment ref="A2" authorId="0" shapeId="0">
      <text>
        <r>
          <rPr>
            <sz val="9"/>
            <color indexed="81"/>
            <rFont val="Segoe UI"/>
            <family val="2"/>
          </rPr>
          <t xml:space="preserve">Campo definido na importação do leiaute, não faz parte do arquivo DIRF.001
</t>
        </r>
      </text>
    </comment>
  </commentList>
</comments>
</file>

<file path=xl/comments5.xml><?xml version="1.0" encoding="utf-8"?>
<comments xmlns="http://schemas.openxmlformats.org/spreadsheetml/2006/main">
  <authors>
    <author>Gerson Pinto Amarante</author>
  </authors>
  <commentList>
    <comment ref="A2" authorId="0" shapeId="0">
      <text>
        <r>
          <rPr>
            <sz val="9"/>
            <color indexed="81"/>
            <rFont val="Segoe UI"/>
            <family val="2"/>
          </rPr>
          <t xml:space="preserve">Campo definido na importação do leiaute, não faz parte do arquivo DIRF.001
</t>
        </r>
      </text>
    </comment>
  </commentList>
</comments>
</file>

<file path=xl/comments6.xml><?xml version="1.0" encoding="utf-8"?>
<comments xmlns="http://schemas.openxmlformats.org/spreadsheetml/2006/main">
  <authors>
    <author>Gerson Pinto Amarante</author>
  </authors>
  <commentList>
    <comment ref="A2" authorId="0" shapeId="0">
      <text>
        <r>
          <rPr>
            <sz val="9"/>
            <color indexed="81"/>
            <rFont val="Segoe UI"/>
            <family val="2"/>
          </rPr>
          <t xml:space="preserve">Campo definido na importação do leiaute, não faz parte do arquivo DIRF.001
</t>
        </r>
      </text>
    </comment>
  </commentList>
</comments>
</file>

<file path=xl/comments7.xml><?xml version="1.0" encoding="utf-8"?>
<comments xmlns="http://schemas.openxmlformats.org/spreadsheetml/2006/main">
  <authors>
    <author>Gerson Pinto Amarante</author>
  </authors>
  <commentList>
    <comment ref="A2" authorId="0" shapeId="0">
      <text>
        <r>
          <rPr>
            <sz val="9"/>
            <color indexed="81"/>
            <rFont val="Segoe UI"/>
            <family val="2"/>
          </rPr>
          <t xml:space="preserve">Campo definido na importação do leiaute, não faz parte do arquivo DIRF.001
</t>
        </r>
      </text>
    </comment>
  </commentList>
</comments>
</file>

<file path=xl/comments8.xml><?xml version="1.0" encoding="utf-8"?>
<comments xmlns="http://schemas.openxmlformats.org/spreadsheetml/2006/main">
  <authors>
    <author>Gerson Pinto Amarante</author>
  </authors>
  <commentList>
    <comment ref="A2" authorId="0" shapeId="0">
      <text>
        <r>
          <rPr>
            <sz val="9"/>
            <color indexed="81"/>
            <rFont val="Segoe UI"/>
            <family val="2"/>
          </rPr>
          <t xml:space="preserve">Campo definido na importação do leiaute, não faz parte do arquivo DIRF.001
</t>
        </r>
      </text>
    </comment>
  </commentList>
</comments>
</file>

<file path=xl/comments9.xml><?xml version="1.0" encoding="utf-8"?>
<comments xmlns="http://schemas.openxmlformats.org/spreadsheetml/2006/main">
  <authors>
    <author>Gerson Pinto Amarante</author>
  </authors>
  <commentList>
    <comment ref="A2" authorId="0" shapeId="0">
      <text>
        <r>
          <rPr>
            <sz val="9"/>
            <color indexed="81"/>
            <rFont val="Segoe UI"/>
            <family val="2"/>
          </rPr>
          <t xml:space="preserve">Campo definido na importação do leiaute, não faz parte do arquivo DIRF.001
</t>
        </r>
      </text>
    </comment>
  </commentList>
</comments>
</file>

<file path=xl/comments10.xml><?xml version="1.0" encoding="utf-8"?>
<comments xmlns="http://schemas.openxmlformats.org/spreadsheetml/2006/main">
  <authors>
    <author>Gerson Pinto Amarante</author>
  </authors>
  <commentList>
    <comment ref="A2" authorId="0" shapeId="0">
      <text>
        <r>
          <rPr>
            <sz val="9"/>
            <color indexed="81"/>
            <rFont val="Segoe UI"/>
            <family val="2"/>
          </rPr>
          <t xml:space="preserve">Campo definido na importação do leiaute, não faz parte do arquivo DIRF.001
</t>
        </r>
      </text>
    </comment>
  </commentList>
</comments>
</file>

<file path=xl/comments11.xml><?xml version="1.0" encoding="utf-8"?>
<comments xmlns="http://schemas.openxmlformats.org/spreadsheetml/2006/main">
  <authors>
    <author>Gerson Pinto Amarante</author>
  </authors>
  <commentList>
    <comment ref="A2" authorId="0" shapeId="0">
      <text>
        <r>
          <rPr>
            <sz val="9"/>
            <color indexed="81"/>
            <rFont val="Segoe UI"/>
            <family val="2"/>
          </rPr>
          <t xml:space="preserve">Campo definido na importação do leiaute, não faz parte do arquivo DIRF.001
</t>
        </r>
      </text>
    </comment>
  </commentList>
</comments>
</file>

<file path=xl/comments12.xml><?xml version="1.0" encoding="utf-8"?>
<comments xmlns="http://schemas.openxmlformats.org/spreadsheetml/2006/main">
  <authors>
    <author>Gerson Pinto Amarante</author>
  </authors>
  <commentList>
    <comment ref="A2" authorId="0" shapeId="0">
      <text>
        <r>
          <rPr>
            <sz val="9"/>
            <color indexed="81"/>
            <rFont val="Segoe UI"/>
            <family val="2"/>
          </rPr>
          <t xml:space="preserve">Campo definido na importação do leiaute, não faz parte do arquivo DIRF.001
</t>
        </r>
      </text>
    </comment>
  </commentList>
</comments>
</file>

<file path=xl/comments13.xml><?xml version="1.0" encoding="utf-8"?>
<comments xmlns="http://schemas.openxmlformats.org/spreadsheetml/2006/main">
  <authors>
    <author>Gerson Pinto Amarante</author>
  </authors>
  <commentList>
    <comment ref="A2" authorId="0" shapeId="0">
      <text>
        <r>
          <rPr>
            <sz val="9"/>
            <color indexed="81"/>
            <rFont val="Segoe UI"/>
            <family val="2"/>
          </rPr>
          <t xml:space="preserve">Campo definido na importação do leiaute, não faz parte do arquivo DIRF.001
</t>
        </r>
      </text>
    </comment>
  </commentList>
</comments>
</file>

<file path=xl/comments14.xml><?xml version="1.0" encoding="utf-8"?>
<comments xmlns="http://schemas.openxmlformats.org/spreadsheetml/2006/main">
  <authors>
    <author>Gerson Pinto Amarante</author>
  </authors>
  <commentList>
    <comment ref="A2" authorId="0" shapeId="0">
      <text>
        <r>
          <rPr>
            <sz val="9"/>
            <color indexed="81"/>
            <rFont val="Segoe UI"/>
            <family val="2"/>
          </rPr>
          <t xml:space="preserve">Campo definido na importação do leiaute, não faz parte do arquivo DIRF.001
</t>
        </r>
      </text>
    </comment>
  </commentList>
</comments>
</file>

<file path=xl/comments15.xml><?xml version="1.0" encoding="utf-8"?>
<comments xmlns="http://schemas.openxmlformats.org/spreadsheetml/2006/main">
  <authors>
    <author>Gerson Pinto Amarante</author>
  </authors>
  <commentList>
    <comment ref="A2" authorId="0" shapeId="0">
      <text>
        <r>
          <rPr>
            <sz val="9"/>
            <color indexed="81"/>
            <rFont val="Segoe UI"/>
            <family val="2"/>
          </rPr>
          <t xml:space="preserve">Campo definido na importação do leiaute, não faz parte do arquivo DIRF.001
</t>
        </r>
      </text>
    </comment>
  </commentList>
</comments>
</file>

<file path=xl/comments16.xml><?xml version="1.0" encoding="utf-8"?>
<comments xmlns="http://schemas.openxmlformats.org/spreadsheetml/2006/main">
  <authors>
    <author>Gerson Pinto Amarante</author>
  </authors>
  <commentList>
    <comment ref="A2" authorId="0" shapeId="0">
      <text>
        <r>
          <rPr>
            <sz val="9"/>
            <color indexed="81"/>
            <rFont val="Segoe UI"/>
            <family val="2"/>
          </rPr>
          <t xml:space="preserve">Campo definido na importação do leiaute, não faz parte do arquivo DIRF.001
</t>
        </r>
      </text>
    </comment>
  </commentList>
</comments>
</file>

<file path=xl/comments17.xml><?xml version="1.0" encoding="utf-8"?>
<comments xmlns="http://schemas.openxmlformats.org/spreadsheetml/2006/main">
  <authors>
    <author>Gerson Pinto Amarante</author>
  </authors>
  <commentList>
    <comment ref="A2" authorId="0" shapeId="0">
      <text>
        <r>
          <rPr>
            <sz val="9"/>
            <color indexed="81"/>
            <rFont val="Segoe UI"/>
            <family val="2"/>
          </rPr>
          <t xml:space="preserve">Campo definido na importação do leiaute, não faz parte do arquivo DIRF.001
</t>
        </r>
      </text>
    </comment>
  </commentList>
</comments>
</file>

<file path=xl/comments18.xml><?xml version="1.0" encoding="utf-8"?>
<comments xmlns="http://schemas.openxmlformats.org/spreadsheetml/2006/main">
  <authors>
    <author>Gerson Pinto Amarante</author>
  </authors>
  <commentList>
    <comment ref="A2" authorId="0" shapeId="0">
      <text>
        <r>
          <rPr>
            <sz val="9"/>
            <color indexed="81"/>
            <rFont val="Segoe UI"/>
            <family val="2"/>
          </rPr>
          <t xml:space="preserve">Campo definido na importação do leiaute, não faz parte do arquivo DIRF.001
</t>
        </r>
      </text>
    </comment>
  </commentList>
</comments>
</file>

<file path=xl/comments19.xml><?xml version="1.0" encoding="utf-8"?>
<comments xmlns="http://schemas.openxmlformats.org/spreadsheetml/2006/main">
  <authors>
    <author>Gerson Pinto Amarante</author>
  </authors>
  <commentList>
    <comment ref="A2" authorId="0" shapeId="0">
      <text>
        <r>
          <rPr>
            <sz val="9"/>
            <color indexed="81"/>
            <rFont val="Segoe UI"/>
            <family val="2"/>
          </rPr>
          <t xml:space="preserve">Campo definido na importação do leiaute, não faz parte do arquivo DIRF.001
</t>
        </r>
      </text>
    </comment>
  </commentList>
</comments>
</file>

<file path=xl/comments20.xml><?xml version="1.0" encoding="utf-8"?>
<comments xmlns="http://schemas.openxmlformats.org/spreadsheetml/2006/main">
  <authors>
    <author>Gerson Pinto Amarante</author>
  </authors>
  <commentList>
    <comment ref="A2" authorId="0" shapeId="0">
      <text>
        <r>
          <rPr>
            <sz val="9"/>
            <color indexed="81"/>
            <rFont val="Segoe UI"/>
            <family val="2"/>
          </rPr>
          <t xml:space="preserve">Campo definido na importação do leiaute, não faz parte do arquivo DIRF.001
</t>
        </r>
      </text>
    </comment>
  </commentList>
</comments>
</file>

<file path=xl/comments21.xml><?xml version="1.0" encoding="utf-8"?>
<comments xmlns="http://schemas.openxmlformats.org/spreadsheetml/2006/main">
  <authors>
    <author>Gerson Pinto Amarante</author>
  </authors>
  <commentList>
    <comment ref="A2" authorId="0" shapeId="0">
      <text>
        <r>
          <rPr>
            <sz val="9"/>
            <color indexed="81"/>
            <rFont val="Segoe UI"/>
            <family val="2"/>
          </rPr>
          <t xml:space="preserve">Campo definido na importação do leiaute, não faz parte do arquivo DIRF.001
</t>
        </r>
      </text>
    </comment>
  </commentList>
</comments>
</file>

<file path=xl/comments22.xml><?xml version="1.0" encoding="utf-8"?>
<comments xmlns="http://schemas.openxmlformats.org/spreadsheetml/2006/main">
  <authors>
    <author>Gerson Pinto Amarante</author>
  </authors>
  <commentList>
    <comment ref="A2" authorId="0" shapeId="0">
      <text>
        <r>
          <rPr>
            <sz val="9"/>
            <color indexed="81"/>
            <rFont val="Segoe UI"/>
            <family val="2"/>
          </rPr>
          <t xml:space="preserve">Campo definido na importação do leiaute, não faz parte do arquivo DIRF.001
</t>
        </r>
      </text>
    </comment>
  </commentList>
</comments>
</file>

<file path=xl/comments23.xml><?xml version="1.0" encoding="utf-8"?>
<comments xmlns="http://schemas.openxmlformats.org/spreadsheetml/2006/main">
  <authors>
    <author>Gerson Pinto Amarante</author>
  </authors>
  <commentList>
    <comment ref="A2" authorId="0" shapeId="0">
      <text>
        <r>
          <rPr>
            <sz val="9"/>
            <color indexed="81"/>
            <rFont val="Segoe UI"/>
            <family val="2"/>
          </rPr>
          <t xml:space="preserve">Campo definido na importação do leiaute, não faz parte do arquivo DIRF.001
</t>
        </r>
      </text>
    </comment>
  </commentList>
</comments>
</file>

<file path=xl/comments24.xml><?xml version="1.0" encoding="utf-8"?>
<comments xmlns="http://schemas.openxmlformats.org/spreadsheetml/2006/main">
  <authors>
    <author>Gerson Pinto Amarante</author>
  </authors>
  <commentList>
    <comment ref="A2" authorId="0" shapeId="0">
      <text>
        <r>
          <rPr>
            <sz val="9"/>
            <color indexed="81"/>
            <rFont val="Segoe UI"/>
            <family val="2"/>
          </rPr>
          <t xml:space="preserve">Campo definido na importação do leiaute, não faz parte do arquivo DIRF.001
</t>
        </r>
      </text>
    </comment>
  </commentList>
</comments>
</file>

<file path=xl/comments25.xml><?xml version="1.0" encoding="utf-8"?>
<comments xmlns="http://schemas.openxmlformats.org/spreadsheetml/2006/main">
  <authors>
    <author>Gerson Pinto Amarante</author>
  </authors>
  <commentList>
    <comment ref="A2" authorId="0" shapeId="0">
      <text>
        <r>
          <rPr>
            <sz val="9"/>
            <color indexed="81"/>
            <rFont val="Segoe UI"/>
            <family val="2"/>
          </rPr>
          <t xml:space="preserve">Campo definido na importação do leiaute, não faz parte do arquivo DIRF.001
</t>
        </r>
      </text>
    </comment>
  </commentList>
</comments>
</file>

<file path=xl/comments26.xml><?xml version="1.0" encoding="utf-8"?>
<comments xmlns="http://schemas.openxmlformats.org/spreadsheetml/2006/main">
  <authors>
    <author>Gerson Pinto Amarante</author>
  </authors>
  <commentList>
    <comment ref="A2" authorId="0" shapeId="0">
      <text>
        <r>
          <rPr>
            <sz val="9"/>
            <color indexed="81"/>
            <rFont val="Segoe UI"/>
            <family val="2"/>
          </rPr>
          <t xml:space="preserve">Campo definido na importação do leiaute, não faz parte do arquivo DIRF.001
</t>
        </r>
      </text>
    </comment>
  </commentList>
</comments>
</file>

<file path=xl/comments27.xml><?xml version="1.0" encoding="utf-8"?>
<comments xmlns="http://schemas.openxmlformats.org/spreadsheetml/2006/main">
  <authors>
    <author>Gerson Pinto Amarante</author>
  </authors>
  <commentList>
    <comment ref="A2" authorId="0" shapeId="0">
      <text>
        <r>
          <rPr>
            <sz val="9"/>
            <color indexed="81"/>
            <rFont val="Segoe UI"/>
            <family val="2"/>
          </rPr>
          <t xml:space="preserve">Campo definido na importação do leiaute, não faz parte do arquivo DIRF.001
</t>
        </r>
      </text>
    </comment>
  </commentList>
</comments>
</file>

<file path=xl/comments28.xml><?xml version="1.0" encoding="utf-8"?>
<comments xmlns="http://schemas.openxmlformats.org/spreadsheetml/2006/main">
  <authors>
    <author>Gerson Pinto Amarante</author>
  </authors>
  <commentList>
    <comment ref="A2" authorId="0" shapeId="0">
      <text>
        <r>
          <rPr>
            <sz val="9"/>
            <color indexed="81"/>
            <rFont val="Segoe UI"/>
            <family val="2"/>
          </rPr>
          <t xml:space="preserve">Campo definido na importação do leiaute, não faz parte do arquivo DIRF.001
</t>
        </r>
      </text>
    </comment>
  </commentList>
</comments>
</file>

<file path=xl/comments29.xml><?xml version="1.0" encoding="utf-8"?>
<comments xmlns="http://schemas.openxmlformats.org/spreadsheetml/2006/main">
  <authors>
    <author>Gerson Pinto Amarante</author>
  </authors>
  <commentList>
    <comment ref="A2" authorId="0" shapeId="0">
      <text>
        <r>
          <rPr>
            <sz val="9"/>
            <color indexed="81"/>
            <rFont val="Segoe UI"/>
            <family val="2"/>
          </rPr>
          <t xml:space="preserve">Campo definido na importação do leiaute, não faz parte do arquivo DIRF.001
</t>
        </r>
      </text>
    </comment>
  </commentList>
</comments>
</file>

<file path=xl/comments30.xml><?xml version="1.0" encoding="utf-8"?>
<comments xmlns="http://schemas.openxmlformats.org/spreadsheetml/2006/main">
  <authors>
    <author>Gerson Pinto Amarante</author>
  </authors>
  <commentList>
    <comment ref="A2" authorId="0" shapeId="0">
      <text>
        <r>
          <rPr>
            <sz val="9"/>
            <color indexed="81"/>
            <rFont val="Segoe UI"/>
            <family val="2"/>
          </rPr>
          <t xml:space="preserve">Campo definido na importação do leiaute, não faz parte do arquivo DIRF.001
</t>
        </r>
      </text>
    </comment>
  </commentList>
</comments>
</file>

<file path=xl/comments31.xml><?xml version="1.0" encoding="utf-8"?>
<comments xmlns="http://schemas.openxmlformats.org/spreadsheetml/2006/main">
  <authors>
    <author>Gerson Pinto Amarante</author>
  </authors>
  <commentList>
    <comment ref="A2" authorId="0" shapeId="0">
      <text>
        <r>
          <rPr>
            <sz val="9"/>
            <color indexed="81"/>
            <rFont val="Segoe UI"/>
            <family val="2"/>
          </rPr>
          <t xml:space="preserve">Campo definido na importação do leiaute, não faz parte do arquivo DIRF.001
</t>
        </r>
      </text>
    </comment>
  </commentList>
</comments>
</file>

<file path=xl/comments32.xml><?xml version="1.0" encoding="utf-8"?>
<comments xmlns="http://schemas.openxmlformats.org/spreadsheetml/2006/main">
  <authors>
    <author>Gerson Pinto Amarante</author>
  </authors>
  <commentList>
    <comment ref="A2" authorId="0" shapeId="0">
      <text>
        <r>
          <rPr>
            <sz val="9"/>
            <color indexed="81"/>
            <rFont val="Segoe UI"/>
            <family val="2"/>
          </rPr>
          <t xml:space="preserve">Campo definido na importação do leiaute, não faz parte do arquivo DIRF.001
</t>
        </r>
      </text>
    </comment>
  </commentList>
</comments>
</file>

<file path=xl/comments33.xml><?xml version="1.0" encoding="utf-8"?>
<comments xmlns="http://schemas.openxmlformats.org/spreadsheetml/2006/main">
  <authors>
    <author>Gerson Pinto Amarante</author>
  </authors>
  <commentList>
    <comment ref="A2" authorId="0" shapeId="0">
      <text>
        <r>
          <rPr>
            <sz val="9"/>
            <color indexed="81"/>
            <rFont val="Segoe UI"/>
            <family val="2"/>
          </rPr>
          <t xml:space="preserve">Campo definido na importação do leiaute, não faz parte do arquivo DIRF.001
</t>
        </r>
      </text>
    </comment>
  </commentList>
</comments>
</file>

<file path=xl/comments34.xml><?xml version="1.0" encoding="utf-8"?>
<comments xmlns="http://schemas.openxmlformats.org/spreadsheetml/2006/main">
  <authors>
    <author>Gerson Pinto Amarante</author>
  </authors>
  <commentList>
    <comment ref="A2" authorId="0" shapeId="0">
      <text>
        <r>
          <rPr>
            <sz val="9"/>
            <color indexed="81"/>
            <rFont val="Segoe UI"/>
            <family val="2"/>
          </rPr>
          <t xml:space="preserve">Campo definido na importação do leiaute, não faz parte do arquivo DIRF.001
</t>
        </r>
      </text>
    </comment>
  </commentList>
</comments>
</file>

<file path=xl/comments35.xml><?xml version="1.0" encoding="utf-8"?>
<comments xmlns="http://schemas.openxmlformats.org/spreadsheetml/2006/main">
  <authors>
    <author>Gerson Pinto Amarante</author>
  </authors>
  <commentList>
    <comment ref="A2" authorId="0" shapeId="0">
      <text>
        <r>
          <rPr>
            <sz val="9"/>
            <color indexed="81"/>
            <rFont val="Segoe UI"/>
            <family val="2"/>
          </rPr>
          <t xml:space="preserve">Campo definido na importação do leiaute, não faz parte do arquivo DIRF.001
</t>
        </r>
      </text>
    </comment>
  </commentList>
</comments>
</file>

<file path=xl/comments36.xml><?xml version="1.0" encoding="utf-8"?>
<comments xmlns="http://schemas.openxmlformats.org/spreadsheetml/2006/main">
  <authors>
    <author>Gerson Pinto Amarante</author>
  </authors>
  <commentList>
    <comment ref="A2" authorId="0" shapeId="0">
      <text>
        <r>
          <rPr>
            <sz val="9"/>
            <color indexed="81"/>
            <rFont val="Segoe UI"/>
            <family val="2"/>
          </rPr>
          <t xml:space="preserve">Campo definido na importação do leiaute, não faz parte do arquivo DIRF.001
</t>
        </r>
      </text>
    </comment>
  </commentList>
</comments>
</file>

<file path=xl/comments37.xml><?xml version="1.0" encoding="utf-8"?>
<comments xmlns="http://schemas.openxmlformats.org/spreadsheetml/2006/main">
  <authors>
    <author>Gerson Pinto Amarante</author>
  </authors>
  <commentList>
    <comment ref="A2" authorId="0" shapeId="0">
      <text>
        <r>
          <rPr>
            <sz val="9"/>
            <color indexed="81"/>
            <rFont val="Segoe UI"/>
            <family val="2"/>
          </rPr>
          <t xml:space="preserve">Campo definido na importação do leiaute, não faz parte do arquivo DIRF.001
</t>
        </r>
      </text>
    </comment>
  </commentList>
</comments>
</file>

<file path=xl/comments38.xml><?xml version="1.0" encoding="utf-8"?>
<comments xmlns="http://schemas.openxmlformats.org/spreadsheetml/2006/main">
  <authors>
    <author>Gerson Pinto Amarante</author>
  </authors>
  <commentList>
    <comment ref="A2" authorId="0" shapeId="0">
      <text>
        <r>
          <rPr>
            <sz val="9"/>
            <color indexed="81"/>
            <rFont val="Segoe UI"/>
            <family val="2"/>
          </rPr>
          <t xml:space="preserve">Campo definido na importação do leiaute, não faz parte do arquivo DIRF.001
</t>
        </r>
      </text>
    </comment>
  </commentList>
</comments>
</file>

<file path=xl/comments39.xml><?xml version="1.0" encoding="utf-8"?>
<comments xmlns="http://schemas.openxmlformats.org/spreadsheetml/2006/main">
  <authors>
    <author>Gerson Pinto Amarante</author>
  </authors>
  <commentList>
    <comment ref="B2" authorId="0" shapeId="0">
      <text>
        <r>
          <rPr>
            <sz val="9"/>
            <color indexed="81"/>
            <rFont val="Segoe UI"/>
            <family val="2"/>
          </rPr>
          <t>De acordo com a tabela de
códigos de receitas constante
na IN que dispõe sobre a Dirf.</t>
        </r>
      </text>
    </comment>
  </commentList>
</comments>
</file>

<file path=xl/comments40.xml><?xml version="1.0" encoding="utf-8"?>
<comments xmlns="http://schemas.openxmlformats.org/spreadsheetml/2006/main">
  <authors>
    <author>Gerson Pinto Amarante</author>
  </authors>
  <commentList>
    <comment ref="D2" authorId="0" shapeId="0">
      <text>
        <r>
          <rPr>
            <sz val="9"/>
            <color indexed="81"/>
            <rFont val="Segoe UI"/>
            <family val="2"/>
          </rPr>
          <t>0 - Pessoa jurídica de
direito privado.
1 - Órgãos, autarquias e
fundações da
administração pública
federal.
Sim
2 - Órgãos, autarquias e
fundações da
administração pública
estadual, municipal ou do
Distrito Federal.
3 – Empresa pública ou
sociedade de economia
mista federal.
4 - Empresa pública ou
sociedade de economia
mista estadual, municipal
ou do Distrito Federal.
8 – Entidade com
alteração de natureza
jurídica (uso restrito).</t>
        </r>
      </text>
    </comment>
    <comment ref="F2" authorId="0" shapeId="0">
      <text>
        <r>
          <rPr>
            <sz val="9"/>
            <color indexed="81"/>
            <rFont val="Segoe UI"/>
            <family val="2"/>
          </rPr>
          <t xml:space="preserve">S - Sócio ostensivo.
N - Não é sócio ostensivo.
</t>
        </r>
      </text>
    </comment>
    <comment ref="G2" authorId="0" shapeId="0">
      <text>
        <r>
          <rPr>
            <sz val="9"/>
            <color indexed="81"/>
            <rFont val="Segoe UI"/>
            <family val="2"/>
          </rPr>
          <t>S - Depositário de crédito
decorrente de decisão
judicial.
N – Não é depositário de
crédito decorrente de
decisão judicial.</t>
        </r>
      </text>
    </comment>
    <comment ref="H2" authorId="0" shapeId="0">
      <text>
        <r>
          <rPr>
            <sz val="9"/>
            <color indexed="81"/>
            <rFont val="Segoe UI"/>
            <family val="2"/>
          </rPr>
          <t>S - Instituição
administradora ou
intermediadora de fundo
ou clube de investimento.
N – Não é instituição
administradora ou
intermediadora de fundo
ou clube de investimento.</t>
        </r>
      </text>
    </comment>
    <comment ref="I2" authorId="0" shapeId="0">
      <text>
        <r>
          <rPr>
            <sz val="9"/>
            <color indexed="81"/>
            <rFont val="Segoe UI"/>
            <family val="2"/>
          </rPr>
          <t>S - Pagou rendimentos a
residentes ou domiciliados
no exterior.
N - Não pagou
rendimentos a residentes
ou domiciliados no exterior.</t>
        </r>
      </text>
    </comment>
    <comment ref="J2" authorId="0" shapeId="0">
      <text>
        <r>
          <rPr>
            <sz val="9"/>
            <color indexed="81"/>
            <rFont val="Segoe UI"/>
            <family val="2"/>
          </rPr>
          <t>S – Existe pagamento de
valor pelo
titular/dependente do plano
de saúde.
N – Não existe pagamento
de valor pelo
titular/dependente do plano
de saúde.</t>
        </r>
      </text>
    </comment>
    <comment ref="K2" authorId="0" shapeId="0">
      <text>
        <r>
          <rPr>
            <sz val="9"/>
            <color indexed="81"/>
            <rFont val="Segoe UI"/>
            <family val="2"/>
          </rPr>
          <t>S - Existe pagamento
relacionado às Olimpíadas.
N - Não existe pagamento
relacionado às Olimpíadas.</t>
        </r>
      </text>
    </comment>
    <comment ref="L2" authorId="0" shapeId="0">
      <text>
        <r>
          <rPr>
            <sz val="9"/>
            <color indexed="81"/>
            <rFont val="Segoe UI"/>
            <family val="2"/>
          </rPr>
          <t>S - Declaração de situação
especial.
N - Não é declaração de
situação especial.</t>
        </r>
      </text>
    </comment>
  </commentList>
</comments>
</file>

<file path=xl/sharedStrings.xml><?xml version="1.0" encoding="utf-8"?>
<sst xmlns="http://schemas.openxmlformats.org/spreadsheetml/2006/main" count="203" uniqueCount="97">
  <si>
    <t>CPF</t>
  </si>
  <si>
    <t>NOME</t>
  </si>
  <si>
    <t>DDD</t>
  </si>
  <si>
    <t>Indicador de Titular de Serviços
Notariais e de Registros</t>
  </si>
  <si>
    <t>Indicador de declarante de
rendimentos pagos a residentes
ou domiciliados no exterior</t>
  </si>
  <si>
    <t>Indicador de plano privado de
assistência à saúde - coletivo
empresarial</t>
  </si>
  <si>
    <t>Indicador de sócio ostensivo
responsável por sociedade em
conta de participação - SCP</t>
  </si>
  <si>
    <t>Indicador de situação especial da
declaração</t>
  </si>
  <si>
    <t>Data do Evento</t>
  </si>
  <si>
    <t>Tipo de Evento</t>
  </si>
  <si>
    <t>Nome empresarial</t>
  </si>
  <si>
    <t>Natureza do declarante</t>
  </si>
  <si>
    <t>CPF responsável perante o CNPJ</t>
  </si>
  <si>
    <t>Indicador de declarante
depositário de crédito decorrente
de decisão judicial</t>
  </si>
  <si>
    <t>Indicador de declarante de
instituição administradora ou
intermediadora de fundo ou clube
de investimento</t>
  </si>
  <si>
    <t>Indicador de pagamentos
relacionados aos Jogos
Olímpicos de 2016 e aos Jogos
Paraolímpicos de 2016</t>
  </si>
  <si>
    <t>Data do evento</t>
  </si>
  <si>
    <t>Natureza do
declarante</t>
  </si>
  <si>
    <t>Ano referência</t>
  </si>
  <si>
    <t>Ano-calendário</t>
  </si>
  <si>
    <t>Indicador de retificadora</t>
  </si>
  <si>
    <t>Número do recibo</t>
  </si>
  <si>
    <t>Identificador de estrutura do
leiaute</t>
  </si>
  <si>
    <t>Nome</t>
  </si>
  <si>
    <t>Telefone</t>
  </si>
  <si>
    <t>Ramal</t>
  </si>
  <si>
    <t>Fax</t>
  </si>
  <si>
    <t>Correio eletrônico</t>
  </si>
  <si>
    <t>Registro de identificação do código de receita (identificador IDREC)</t>
  </si>
  <si>
    <t>Data atribuída pelo laudo da
moléstia grave</t>
  </si>
  <si>
    <t>CNPJ</t>
  </si>
  <si>
    <t>RTPO - Rendimentos Tributáveis - Dedução - Previdência Oficial</t>
  </si>
  <si>
    <t>RTPP - Rendimentos Tributáveis - Dedução - Previdência Privada</t>
  </si>
  <si>
    <t>RTDP - Rendimentos Tributáveis - Dedução – Dependentes</t>
  </si>
  <si>
    <t>RTPA - Rendimentos Tributáveis - Dedução - Pensão Alimentícia</t>
  </si>
  <si>
    <t>RTIRF - Rendimentos Tributáveis - Imposto sobre a Renda Retido na Fonte</t>
  </si>
  <si>
    <t>CJAC - Compensação de Imposto por Decisão Judicial - Ano-calendário</t>
  </si>
  <si>
    <t>CJAA - Compensação de Imposto por Decisão Judicial - Anos Anteriores</t>
  </si>
  <si>
    <t>ESRT - Tributação com Exigibilidade Suspensa - Rendimento Tributável</t>
  </si>
  <si>
    <t>ESPO - Tributação com Exigibilidade Suspensa - Dedução - Previdência Oficial</t>
  </si>
  <si>
    <t>ESPP - Tributação com Exigibilidade Suspensa - Dedução - Previdência Privada</t>
  </si>
  <si>
    <t>ESDP - Tributação com Exigibilidade Suspensa - Dedução - Dependentes</t>
  </si>
  <si>
    <t>ESPA - Tributação com Exigibilidade Suspensa - Dedução - Pensão Alimentícia</t>
  </si>
  <si>
    <t>ESIR - Tributação com Exigibilidade Suspensa - Imposto sobre a Renda na Fonte</t>
  </si>
  <si>
    <t>ESDJ - Tributação com Exigibilidade Suspensa - Depósito Judicial</t>
  </si>
  <si>
    <t>RIDAC - Rendimentos Isentos - Diária e Ajuda de Custo</t>
  </si>
  <si>
    <t>RIIRP - Rendimentos Isentos - Indenizações por Rescisão de Contrato de Trabalho, inclusive
a título de PDV</t>
  </si>
  <si>
    <t>RIAP - Rendimentos Isentos - Abono Pecuniário</t>
  </si>
  <si>
    <t>RIBMR - Rendimentos Isentos - Bolsa de Estudo Recebida por Médico-Residente</t>
  </si>
  <si>
    <t>Valor pago no ano</t>
  </si>
  <si>
    <t>Código de receita</t>
  </si>
  <si>
    <t>Registro do Responsável pelo preenchimento da declaração 
(identificador RESPO)</t>
  </si>
  <si>
    <t>Registro de identificação do declarante pessoa física 
(identificador DECPF)</t>
  </si>
  <si>
    <t>Registro de identificação do declarante pessoa jurídica 
(identificador DECPJ)</t>
  </si>
  <si>
    <t>RTRT - Rendimentos Tributáveis</t>
  </si>
  <si>
    <t>RIL96 - Rendimentos Isentos Anuais 
Lucros e dividendos pagos a partir de 1996</t>
  </si>
  <si>
    <t>RIPTS - Rendimentos Isentos Anuais 
Valores pagos a titular ou sócio ou empresa de
pequeno porte, exceto pró-labore e aluguéis</t>
  </si>
  <si>
    <t>RIRSR – Rendimentos Isentos Anuais 
 Rendimentos pagos sem retenção do IR na fonte –
Lei nº 10.833/2003</t>
  </si>
  <si>
    <t>Registro de operadora do plano privado de assistência à saúde - coletivo empresarial (identificador OPSE)</t>
  </si>
  <si>
    <t>CNPJ da operadora de plano
privado de assistência à saúde -
coletivo empresarial</t>
  </si>
  <si>
    <t>Registro ANS</t>
  </si>
  <si>
    <t>Registro de titular do plano privado de assistência à saúde - coletivo empresarial (identificador TPSE)</t>
  </si>
  <si>
    <t>CPF do titular</t>
  </si>
  <si>
    <t>CPF do dependente</t>
  </si>
  <si>
    <t>Data de nascimento</t>
  </si>
  <si>
    <t>Relação de dependência</t>
  </si>
  <si>
    <t>CPF/CNPJ do prestador de
serviço</t>
  </si>
  <si>
    <t>Nome/Nome Empresarial do
prestador de serviço</t>
  </si>
  <si>
    <t>Registro de beneficiário pessoa jurídica do declarante (identificador BPJDEC)</t>
  </si>
  <si>
    <t>Registro de beneficiário pessoa física do declarante (identificador BPFDEC)</t>
  </si>
  <si>
    <t>Plano</t>
  </si>
  <si>
    <t>Registro de identificação da declaração (identificador Dirf)</t>
  </si>
  <si>
    <t>CPF Titular</t>
  </si>
  <si>
    <t>2016</t>
  </si>
  <si>
    <t>N</t>
  </si>
  <si>
    <t/>
  </si>
  <si>
    <t>11</t>
  </si>
  <si>
    <t>0</t>
  </si>
  <si>
    <t>S</t>
  </si>
  <si>
    <t>0561</t>
  </si>
  <si>
    <t>3562</t>
  </si>
  <si>
    <t>2017</t>
  </si>
  <si>
    <t>P49VS72</t>
  </si>
  <si>
    <t>12796766802</t>
  </si>
  <si>
    <t>ANA PAULA MARZANO CERQUEIRA</t>
  </si>
  <si>
    <t>21997604</t>
  </si>
  <si>
    <t>7942</t>
  </si>
  <si>
    <t>44614034</t>
  </si>
  <si>
    <t>ANA.CERQUEIRA@PARANAPANEMA.COM.BR</t>
  </si>
  <si>
    <t>67959015000152</t>
  </si>
  <si>
    <t>NEOPLASTIC EMBALAGENS PLASTICAS EIRELI</t>
  </si>
  <si>
    <t>04271108820</t>
  </si>
  <si>
    <t>17697897822</t>
  </si>
  <si>
    <t>ROBERTO CARLOS ALVES TAVEIRA</t>
  </si>
  <si>
    <t>44649812000138</t>
  </si>
  <si>
    <t>INTERMEDICA SISTEMA DE SAUDE S A</t>
  </si>
  <si>
    <t>359017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</si>
</sst>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0" x14ac:knownFonts="1">
    <font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9"/>
      <color indexed="81"/>
      <name val="Segoe UI"/>
      <family val="2"/>
    </font>
    <font>
      <sz val="9"/>
      <color theme="1"/>
      <name val="Arial"/>
      <family val="2"/>
    </font>
    <font>
      <b/>
      <sz val="9"/>
      <color indexed="81"/>
      <name val="Segoe UI"/>
      <family val="2"/>
    </font>
    <font>
      <b/>
      <sz val="12"/>
      <color theme="1"/>
      <name val="Calibri"/>
      <family val="2"/>
      <scheme val="minor"/>
    </font>
    <font>
      <sz val="14"/>
      <color rgb="FF000000"/>
      <name val="Calibri"/>
      <family val="2"/>
    </font>
    <font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2"/>
        <bgColor indexed="64"/>
      </patternFill>
    </fill>
  </fills>
  <borders count="11">
    <border>
      <left/>
      <right/>
      <top/>
      <bottom/>
      <diagonal/>
    </border>
    <border>
      <left style="thin">
        <color theme="2" tint="-0.24994659260841701"/>
      </left>
      <right style="thin">
        <color theme="2" tint="-0.24994659260841701"/>
      </right>
      <top style="thin">
        <color theme="2" tint="-0.24994659260841701"/>
      </top>
      <bottom style="thin">
        <color theme="2" tint="-0.24994659260841701"/>
      </bottom>
      <diagonal/>
    </border>
    <border>
      <left style="thin">
        <color theme="2" tint="-0.249977111117893"/>
      </left>
      <right style="thin">
        <color theme="2" tint="-0.249977111117893"/>
      </right>
      <top style="thin">
        <color theme="2" tint="-0.249977111117893"/>
      </top>
      <bottom style="thin">
        <color theme="2" tint="-0.249977111117893"/>
      </bottom>
      <diagonal/>
    </border>
    <border>
      <left style="thin">
        <color theme="2" tint="-0.249977111117893"/>
      </left>
      <right/>
      <top/>
      <bottom style="thin">
        <color theme="2" tint="-0.249977111117893"/>
      </bottom>
      <diagonal/>
    </border>
    <border>
      <left/>
      <right/>
      <top/>
      <bottom style="thin">
        <color theme="2" tint="-0.249977111117893"/>
      </bottom>
      <diagonal/>
    </border>
    <border>
      <left style="thin">
        <color theme="2" tint="-0.249977111117893"/>
      </left>
      <right/>
      <top style="thin">
        <color theme="2" tint="-0.249977111117893"/>
      </top>
      <bottom style="thin">
        <color theme="2" tint="-0.249977111117893"/>
      </bottom>
      <diagonal/>
    </border>
    <border>
      <left/>
      <right/>
      <top style="thin">
        <color theme="2" tint="-0.249977111117893"/>
      </top>
      <bottom style="thin">
        <color theme="2" tint="-0.249977111117893"/>
      </bottom>
      <diagonal/>
    </border>
    <border>
      <left/>
      <right style="thin">
        <color theme="2" tint="-0.249977111117893"/>
      </right>
      <top style="thin">
        <color theme="2" tint="-0.249977111117893"/>
      </top>
      <bottom style="thin">
        <color theme="2" tint="-0.249977111117893"/>
      </bottom>
      <diagonal/>
    </border>
    <border>
      <left style="thin">
        <color theme="2" tint="-0.24994659260841701"/>
      </left>
      <right/>
      <top style="thin">
        <color theme="2" tint="-0.24994659260841701"/>
      </top>
      <bottom style="thin">
        <color theme="2" tint="-0.24994659260841701"/>
      </bottom>
      <diagonal/>
    </border>
    <border>
      <left/>
      <right/>
      <top style="thin">
        <color theme="2" tint="-0.24994659260841701"/>
      </top>
      <bottom style="thin">
        <color theme="2" tint="-0.24994659260841701"/>
      </bottom>
      <diagonal/>
    </border>
    <border>
      <left/>
      <right style="thin">
        <color theme="2" tint="-0.24994659260841701"/>
      </right>
      <top style="thin">
        <color theme="2" tint="-0.24994659260841701"/>
      </top>
      <bottom style="thin">
        <color theme="2" tint="-0.24994659260841701"/>
      </bottom>
      <diagonal/>
    </border>
  </borders>
  <cellStyleXfs count="1">
    <xf numFmtId="0" fontId="0" fillId="0" borderId="0"/>
  </cellStyleXfs>
  <cellXfs count="34">
    <xf numFmtId="0" fontId="0" fillId="0" borderId="0" xfId="0"/>
    <xf numFmtId="0" fontId="0" fillId="0" borderId="0" xfId="0" applyBorder="1"/>
    <xf numFmtId="49" fontId="0" fillId="0" borderId="0" xfId="0" applyNumberFormat="1" applyBorder="1"/>
    <xf numFmtId="0" fontId="2" fillId="0" borderId="0" xfId="0" applyFont="1" applyBorder="1"/>
    <xf numFmtId="49" fontId="3" fillId="3" borderId="1" xfId="0" applyNumberFormat="1" applyFont="1" applyFill="1" applyBorder="1" applyAlignment="1">
      <alignment horizontal="center" vertical="center" wrapText="1"/>
    </xf>
    <xf numFmtId="49" fontId="3" fillId="3" borderId="1" xfId="0" applyNumberFormat="1" applyFont="1" applyFill="1" applyBorder="1" applyAlignment="1">
      <alignment horizontal="center" vertical="center"/>
    </xf>
    <xf numFmtId="0" fontId="0" fillId="0" borderId="1" xfId="0" applyBorder="1"/>
    <xf numFmtId="49" fontId="5" fillId="0" borderId="0" xfId="0" applyNumberFormat="1" applyFont="1" applyBorder="1"/>
    <xf numFmtId="49" fontId="2" fillId="0" borderId="0" xfId="0" applyNumberFormat="1" applyFont="1" applyBorder="1"/>
    <xf numFmtId="0" fontId="5" fillId="0" borderId="0" xfId="0" applyFont="1"/>
    <xf numFmtId="49" fontId="5" fillId="0" borderId="0" xfId="0" applyNumberFormat="1" applyFont="1"/>
    <xf numFmtId="49" fontId="0" fillId="0" borderId="1" xfId="0" applyNumberFormat="1" applyBorder="1"/>
    <xf numFmtId="49" fontId="3" fillId="3" borderId="2" xfId="0" applyNumberFormat="1" applyFont="1" applyFill="1" applyBorder="1" applyAlignment="1">
      <alignment horizontal="center" vertical="center" wrapText="1"/>
    </xf>
    <xf numFmtId="0" fontId="5" fillId="0" borderId="0" xfId="0" applyNumberFormat="1" applyFont="1"/>
    <xf numFmtId="2" fontId="3" fillId="3" borderId="1" xfId="0" applyNumberFormat="1" applyFont="1" applyFill="1" applyBorder="1" applyAlignment="1">
      <alignment horizontal="center" vertical="center" wrapText="1"/>
    </xf>
    <xf numFmtId="2" fontId="5" fillId="0" borderId="0" xfId="0" applyNumberFormat="1" applyFont="1"/>
    <xf numFmtId="2" fontId="0" fillId="0" borderId="0" xfId="0" applyNumberFormat="1"/>
    <xf numFmtId="2" fontId="3" fillId="3" borderId="2" xfId="0" applyNumberFormat="1" applyFont="1" applyFill="1" applyBorder="1" applyAlignment="1">
      <alignment horizontal="center" vertical="center" wrapText="1"/>
    </xf>
    <xf numFmtId="0" fontId="1" fillId="2" borderId="5" xfId="0" applyFont="1" applyFill="1" applyBorder="1" applyAlignment="1">
      <alignment horizontal="center" vertical="center" wrapText="1"/>
    </xf>
    <xf numFmtId="0" fontId="1" fillId="2" borderId="6" xfId="0" applyFont="1" applyFill="1" applyBorder="1" applyAlignment="1">
      <alignment horizontal="center" vertical="center" wrapText="1"/>
    </xf>
    <xf numFmtId="0" fontId="1" fillId="2" borderId="7" xfId="0" applyFont="1" applyFill="1" applyBorder="1" applyAlignment="1">
      <alignment horizontal="center" vertical="center" wrapText="1"/>
    </xf>
    <xf numFmtId="0" fontId="1" fillId="2" borderId="3" xfId="0" applyFont="1" applyFill="1" applyBorder="1" applyAlignment="1">
      <alignment horizontal="center" vertical="center" wrapText="1"/>
    </xf>
    <xf numFmtId="0" fontId="1" fillId="2" borderId="4" xfId="0" applyFont="1" applyFill="1" applyBorder="1" applyAlignment="1">
      <alignment horizontal="center" vertical="center" wrapText="1"/>
    </xf>
    <xf numFmtId="0" fontId="7" fillId="2" borderId="2" xfId="0" applyFont="1" applyFill="1" applyBorder="1" applyAlignment="1">
      <alignment horizontal="center" vertical="center" wrapText="1"/>
    </xf>
    <xf numFmtId="0" fontId="7" fillId="2" borderId="1" xfId="0" applyFont="1" applyFill="1" applyBorder="1" applyAlignment="1">
      <alignment horizontal="center" vertical="center" wrapText="1"/>
    </xf>
    <xf numFmtId="0" fontId="1" fillId="2" borderId="1" xfId="0" applyFont="1" applyFill="1" applyBorder="1" applyAlignment="1">
      <alignment horizontal="center" vertical="center" wrapText="1"/>
    </xf>
    <xf numFmtId="49" fontId="1" fillId="2" borderId="1" xfId="0" applyNumberFormat="1" applyFont="1" applyFill="1" applyBorder="1" applyAlignment="1">
      <alignment horizontal="center" vertical="center" wrapText="1"/>
    </xf>
    <xf numFmtId="49" fontId="1" fillId="2" borderId="1" xfId="0" applyNumberFormat="1" applyFont="1" applyFill="1" applyBorder="1" applyAlignment="1">
      <alignment horizontal="center" vertical="center"/>
    </xf>
    <xf numFmtId="2" fontId="1" fillId="2" borderId="1" xfId="0" applyNumberFormat="1" applyFont="1" applyFill="1" applyBorder="1" applyAlignment="1">
      <alignment horizontal="center" vertical="center"/>
    </xf>
    <xf numFmtId="49" fontId="1" fillId="2" borderId="0" xfId="0" applyNumberFormat="1" applyFont="1" applyFill="1" applyBorder="1" applyAlignment="1">
      <alignment horizontal="center" vertical="center" wrapText="1"/>
    </xf>
    <xf numFmtId="49" fontId="1" fillId="2" borderId="0" xfId="0" applyNumberFormat="1" applyFont="1" applyFill="1" applyBorder="1" applyAlignment="1">
      <alignment horizontal="center" vertical="center"/>
    </xf>
    <xf numFmtId="49" fontId="1" fillId="2" borderId="8" xfId="0" applyNumberFormat="1" applyFont="1" applyFill="1" applyBorder="1" applyAlignment="1">
      <alignment horizontal="center" vertical="center"/>
    </xf>
    <xf numFmtId="49" fontId="1" fillId="2" borderId="9" xfId="0" applyNumberFormat="1" applyFont="1" applyFill="1" applyBorder="1" applyAlignment="1">
      <alignment horizontal="center" vertical="center"/>
    </xf>
    <xf numFmtId="49" fontId="1" fillId="2" borderId="10" xfId="0" applyNumberFormat="1" applyFont="1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worksheet" Target="worksheets/sheet41.xml"/><Relationship Id="rId54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calcChain" Target="calcChain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vmlDrawing4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390525</xdr:colOff>
          <xdr:row>2</xdr:row>
          <xdr:rowOff>38100</xdr:rowOff>
        </xdr:from>
        <xdr:to>
          <xdr:col>3</xdr:col>
          <xdr:colOff>209550</xdr:colOff>
          <xdr:row>6</xdr:row>
          <xdr:rowOff>66675</xdr:rowOff>
        </xdr:to>
        <xdr:sp macro="" textlink="">
          <xdr:nvSpPr>
            <xdr:cNvPr id="135169" name="Button 1" hidden="1">
              <a:extLst>
                <a:ext uri="{63B3BB69-23CF-44E3-9099-C40C66FF867C}">
                  <a14:compatExt spid="_x0000_s135169"/>
                </a:ext>
                <a:ext uri="{FF2B5EF4-FFF2-40B4-BE49-F238E27FC236}">
                  <a16:creationId xmlns:a16="http://schemas.microsoft.com/office/drawing/2014/main" id="{00000000-0008-0000-0000-0000011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IR PLAN DIRF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304800</xdr:colOff>
          <xdr:row>0</xdr:row>
          <xdr:rowOff>447675</xdr:rowOff>
        </xdr:from>
        <xdr:to>
          <xdr:col>13</xdr:col>
          <xdr:colOff>628650</xdr:colOff>
          <xdr:row>1</xdr:row>
          <xdr:rowOff>742950</xdr:rowOff>
        </xdr:to>
        <xdr:sp macro="" textlink="">
          <xdr:nvSpPr>
            <xdr:cNvPr id="132097" name="Button 1" hidden="1">
              <a:extLst>
                <a:ext uri="{63B3BB69-23CF-44E3-9099-C40C66FF867C}">
                  <a14:compatExt spid="_x0000_s132097"/>
                </a:ext>
                <a:ext uri="{FF2B5EF4-FFF2-40B4-BE49-F238E27FC236}">
                  <a16:creationId xmlns:a16="http://schemas.microsoft.com/office/drawing/2014/main" id="{00000000-0008-0000-3100-0000010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IR PARA PASTA DIRF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285750</xdr:colOff>
          <xdr:row>0</xdr:row>
          <xdr:rowOff>219075</xdr:rowOff>
        </xdr:from>
        <xdr:to>
          <xdr:col>9</xdr:col>
          <xdr:colOff>609600</xdr:colOff>
          <xdr:row>1</xdr:row>
          <xdr:rowOff>533400</xdr:rowOff>
        </xdr:to>
        <xdr:sp macro="" textlink="">
          <xdr:nvSpPr>
            <xdr:cNvPr id="131073" name="Button 1" hidden="1">
              <a:extLst>
                <a:ext uri="{63B3BB69-23CF-44E3-9099-C40C66FF867C}">
                  <a14:compatExt spid="_x0000_s131073"/>
                </a:ext>
                <a:ext uri="{FF2B5EF4-FFF2-40B4-BE49-F238E27FC236}">
                  <a16:creationId xmlns:a16="http://schemas.microsoft.com/office/drawing/2014/main" id="{00000000-0008-0000-3200-0000010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IR PARA PASTA DIRF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676275</xdr:colOff>
          <xdr:row>0</xdr:row>
          <xdr:rowOff>142875</xdr:rowOff>
        </xdr:from>
        <xdr:to>
          <xdr:col>12</xdr:col>
          <xdr:colOff>19050</xdr:colOff>
          <xdr:row>1</xdr:row>
          <xdr:rowOff>504825</xdr:rowOff>
        </xdr:to>
        <xdr:sp macro="" textlink="">
          <xdr:nvSpPr>
            <xdr:cNvPr id="32769" name="Button 1" hidden="1">
              <a:extLst>
                <a:ext uri="{63B3BB69-23CF-44E3-9099-C40C66FF867C}">
                  <a14:compatExt spid="_x0000_s32769"/>
                </a:ext>
                <a:ext uri="{FF2B5EF4-FFF2-40B4-BE49-F238E27FC236}">
                  <a16:creationId xmlns:a16="http://schemas.microsoft.com/office/drawing/2014/main" id="{00000000-0008-0000-3300-00000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Importar Arquivo da DIRF.001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95250</xdr:colOff>
          <xdr:row>3</xdr:row>
          <xdr:rowOff>38100</xdr:rowOff>
        </xdr:from>
        <xdr:to>
          <xdr:col>8</xdr:col>
          <xdr:colOff>323850</xdr:colOff>
          <xdr:row>6</xdr:row>
          <xdr:rowOff>152400</xdr:rowOff>
        </xdr:to>
        <xdr:sp macro="" textlink="">
          <xdr:nvSpPr>
            <xdr:cNvPr id="32775" name="Object 7" hidden="1">
              <a:extLst>
                <a:ext uri="{63B3BB69-23CF-44E3-9099-C40C66FF867C}">
                  <a14:compatExt spid="_x0000_s32775"/>
                </a:ext>
                <a:ext uri="{FF2B5EF4-FFF2-40B4-BE49-F238E27FC236}">
                  <a16:creationId xmlns:a16="http://schemas.microsoft.com/office/drawing/2014/main" id="{00000000-0008-0000-3300-000007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3.v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4.v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5.v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comments" Target="../comments5.xml"/><Relationship Id="rId1" Type="http://schemas.openxmlformats.org/officeDocument/2006/relationships/vmlDrawing" Target="../drawings/vmlDrawing6.v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comments" Target="../comments6.xml"/><Relationship Id="rId1" Type="http://schemas.openxmlformats.org/officeDocument/2006/relationships/vmlDrawing" Target="../drawings/vmlDrawing7.v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comments" Target="../comments7.xml"/><Relationship Id="rId1" Type="http://schemas.openxmlformats.org/officeDocument/2006/relationships/vmlDrawing" Target="../drawings/vmlDrawing8.v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comments" Target="../comments8.xml"/><Relationship Id="rId1" Type="http://schemas.openxmlformats.org/officeDocument/2006/relationships/vmlDrawing" Target="../drawings/vmlDrawing9.v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comments" Target="../comments9.xml"/><Relationship Id="rId1" Type="http://schemas.openxmlformats.org/officeDocument/2006/relationships/vmlDrawing" Target="../drawings/vmlDrawing10.v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comments" Target="../comments10.xml"/><Relationship Id="rId1" Type="http://schemas.openxmlformats.org/officeDocument/2006/relationships/vmlDrawing" Target="../drawings/vmlDrawing11.v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comments" Target="../comments11.xml"/><Relationship Id="rId1" Type="http://schemas.openxmlformats.org/officeDocument/2006/relationships/vmlDrawing" Target="../drawings/vmlDrawing12.vm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comments" Target="../comments12.xml"/><Relationship Id="rId1" Type="http://schemas.openxmlformats.org/officeDocument/2006/relationships/vmlDrawing" Target="../drawings/vmlDrawing13.vml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comments" Target="../comments13.xml"/><Relationship Id="rId1" Type="http://schemas.openxmlformats.org/officeDocument/2006/relationships/vmlDrawing" Target="../drawings/vmlDrawing14.vml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comments" Target="../comments14.xml"/><Relationship Id="rId1" Type="http://schemas.openxmlformats.org/officeDocument/2006/relationships/vmlDrawing" Target="../drawings/vmlDrawing15.vml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5.xml"/><Relationship Id="rId1" Type="http://schemas.openxmlformats.org/officeDocument/2006/relationships/vmlDrawing" Target="../drawings/vmlDrawing16.vml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6.xml"/><Relationship Id="rId1" Type="http://schemas.openxmlformats.org/officeDocument/2006/relationships/vmlDrawing" Target="../drawings/vmlDrawing17.vml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comments" Target="../comments17.xml"/><Relationship Id="rId1" Type="http://schemas.openxmlformats.org/officeDocument/2006/relationships/vmlDrawing" Target="../drawings/vmlDrawing18.vml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comments" Target="../comments18.xml"/><Relationship Id="rId1" Type="http://schemas.openxmlformats.org/officeDocument/2006/relationships/vmlDrawing" Target="../drawings/vmlDrawing19.vml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comments" Target="../comments19.xml"/><Relationship Id="rId1" Type="http://schemas.openxmlformats.org/officeDocument/2006/relationships/vmlDrawing" Target="../drawings/vmlDrawing20.vml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comments" Target="../comments20.xml"/><Relationship Id="rId1" Type="http://schemas.openxmlformats.org/officeDocument/2006/relationships/vmlDrawing" Target="../drawings/vmlDrawing21.vml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comments" Target="../comments21.xml"/><Relationship Id="rId1" Type="http://schemas.openxmlformats.org/officeDocument/2006/relationships/vmlDrawing" Target="../drawings/vmlDrawing22.vml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comments" Target="../comments22.xml"/><Relationship Id="rId1" Type="http://schemas.openxmlformats.org/officeDocument/2006/relationships/vmlDrawing" Target="../drawings/vmlDrawing23.vml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comments" Target="../comments23.xml"/><Relationship Id="rId1" Type="http://schemas.openxmlformats.org/officeDocument/2006/relationships/vmlDrawing" Target="../drawings/vmlDrawing24.vml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comments" Target="../comments24.xml"/><Relationship Id="rId1" Type="http://schemas.openxmlformats.org/officeDocument/2006/relationships/vmlDrawing" Target="../drawings/vmlDrawing25.vml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5.xml"/><Relationship Id="rId1" Type="http://schemas.openxmlformats.org/officeDocument/2006/relationships/vmlDrawing" Target="../drawings/vmlDrawing26.vml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comments" Target="../comments26.xml"/><Relationship Id="rId1" Type="http://schemas.openxmlformats.org/officeDocument/2006/relationships/vmlDrawing" Target="../drawings/vmlDrawing27.vml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comments" Target="../comments27.xml"/><Relationship Id="rId1" Type="http://schemas.openxmlformats.org/officeDocument/2006/relationships/vmlDrawing" Target="../drawings/vmlDrawing28.vml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comments" Target="../comments28.xml"/><Relationship Id="rId1" Type="http://schemas.openxmlformats.org/officeDocument/2006/relationships/vmlDrawing" Target="../drawings/vmlDrawing29.vml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comments" Target="../comments29.xml"/><Relationship Id="rId1" Type="http://schemas.openxmlformats.org/officeDocument/2006/relationships/vmlDrawing" Target="../drawings/vmlDrawing30.vml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comments" Target="../comments30.xml"/><Relationship Id="rId1" Type="http://schemas.openxmlformats.org/officeDocument/2006/relationships/vmlDrawing" Target="../drawings/vmlDrawing31.vml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comments" Target="../comments31.xml"/><Relationship Id="rId1" Type="http://schemas.openxmlformats.org/officeDocument/2006/relationships/vmlDrawing" Target="../drawings/vmlDrawing32.vml"/></Relationships>
</file>

<file path=xl/worksheets/_rels/sheet39.xml.rels><?xml version="1.0" encoding="UTF-8" standalone="yes"?>
<Relationships xmlns="http://schemas.openxmlformats.org/package/2006/relationships"><Relationship Id="rId2" Type="http://schemas.openxmlformats.org/officeDocument/2006/relationships/comments" Target="../comments32.xml"/><Relationship Id="rId1" Type="http://schemas.openxmlformats.org/officeDocument/2006/relationships/vmlDrawing" Target="../drawings/vmlDrawing33.vml"/></Relationships>
</file>

<file path=xl/worksheets/_rels/sheet40.xml.rels><?xml version="1.0" encoding="UTF-8" standalone="yes"?>
<Relationships xmlns="http://schemas.openxmlformats.org/package/2006/relationships"><Relationship Id="rId2" Type="http://schemas.openxmlformats.org/officeDocument/2006/relationships/comments" Target="../comments33.xml"/><Relationship Id="rId1" Type="http://schemas.openxmlformats.org/officeDocument/2006/relationships/vmlDrawing" Target="../drawings/vmlDrawing34.vml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comments" Target="../comments34.xml"/><Relationship Id="rId1" Type="http://schemas.openxmlformats.org/officeDocument/2006/relationships/vmlDrawing" Target="../drawings/vmlDrawing35.vml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comments" Target="../comments35.xml"/><Relationship Id="rId1" Type="http://schemas.openxmlformats.org/officeDocument/2006/relationships/vmlDrawing" Target="../drawings/vmlDrawing36.vml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comments" Target="../comments36.xml"/><Relationship Id="rId1" Type="http://schemas.openxmlformats.org/officeDocument/2006/relationships/vmlDrawing" Target="../drawings/vmlDrawing37.vml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comments" Target="../comments37.xml"/><Relationship Id="rId1" Type="http://schemas.openxmlformats.org/officeDocument/2006/relationships/vmlDrawing" Target="../drawings/vmlDrawing38.vml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comments" Target="../comments38.xml"/><Relationship Id="rId1" Type="http://schemas.openxmlformats.org/officeDocument/2006/relationships/vmlDrawing" Target="../drawings/vmlDrawing39.vml"/></Relationships>
</file>

<file path=xl/worksheets/_rels/sheet4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48.xml.rels><?xml version="1.0" encoding="UTF-8" standalone="yes"?>
<Relationships xmlns="http://schemas.openxmlformats.org/package/2006/relationships"><Relationship Id="rId2" Type="http://schemas.openxmlformats.org/officeDocument/2006/relationships/comments" Target="../comments39.xml"/><Relationship Id="rId1" Type="http://schemas.openxmlformats.org/officeDocument/2006/relationships/vmlDrawing" Target="../drawings/vmlDrawing40.vml"/></Relationships>
</file>

<file path=xl/worksheets/_rels/sheet49.xml.rels><?xml version="1.0" encoding="UTF-8" standalone="yes"?>
<Relationships xmlns="http://schemas.openxmlformats.org/package/2006/relationships"><Relationship Id="rId3" Type="http://schemas.openxmlformats.org/officeDocument/2006/relationships/comments" Target="../comments40.xml"/><Relationship Id="rId2" Type="http://schemas.openxmlformats.org/officeDocument/2006/relationships/vmlDrawing" Target="../drawings/vmlDrawing41.vml"/><Relationship Id="rId1" Type="http://schemas.openxmlformats.org/officeDocument/2006/relationships/printerSettings" Target="../printerSettings/printerSettings5.bin"/></Relationships>
</file>

<file path=xl/worksheets/_rels/sheet5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6.bin"/><Relationship Id="rId4" Type="http://schemas.openxmlformats.org/officeDocument/2006/relationships/ctrlProp" Target="../ctrlProps/ctrlProp2.xml"/></Relationships>
</file>

<file path=xl/worksheets/_rels/sheet5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43.vml"/><Relationship Id="rId1" Type="http://schemas.openxmlformats.org/officeDocument/2006/relationships/drawing" Target="../drawings/drawing3.xml"/></Relationships>
</file>

<file path=xl/worksheets/_rels/sheet5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4.xml"/><Relationship Id="rId5" Type="http://schemas.openxmlformats.org/officeDocument/2006/relationships/image" Target="../media/image1.emf"/><Relationship Id="rId4" Type="http://schemas.openxmlformats.org/officeDocument/2006/relationships/oleObject" Target="../embeddings/oleObject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3"/>
  <dimension ref="A1"/>
  <sheetViews>
    <sheetView workbookViewId="0">
      <selection activeCell="E21" sqref="E21"/>
    </sheetView>
  </sheetViews>
  <sheetFormatPr defaultRowHeight="15" x14ac:dyDescent="0.25"/>
  <sheetData/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5169" r:id="rId4" name="Button 1">
              <controlPr defaultSize="0" print="0" autoFill="0" autoPict="0" macro="[0]!Botão1_PgDIRF">
                <anchor moveWithCells="1" sizeWithCells="1">
                  <from>
                    <xdr:col>0</xdr:col>
                    <xdr:colOff>390525</xdr:colOff>
                    <xdr:row>2</xdr:row>
                    <xdr:rowOff>38100</xdr:rowOff>
                  </from>
                  <to>
                    <xdr:col>3</xdr:col>
                    <xdr:colOff>209550</xdr:colOff>
                    <xdr:row>6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7"/>
  <dimension ref="A1:G2"/>
  <sheetViews>
    <sheetView topLeftCell="B2" workbookViewId="0">
      <selection activeCell="E14" sqref="E14"/>
    </sheetView>
  </sheetViews>
  <sheetFormatPr defaultRowHeight="15" x14ac:dyDescent="0.25"/>
  <cols>
    <col min="1" max="1" width="0" style="9" hidden="1" customWidth="1"/>
    <col min="2" max="2" width="21.5" style="10" customWidth="1"/>
    <col min="3" max="3" width="43.625" style="9" customWidth="1"/>
    <col min="4" max="4" width="16.875" style="15" customWidth="1"/>
    <col min="5" max="6" width="9" style="15"/>
    <col min="7" max="7" width="9" style="9"/>
  </cols>
  <sheetData>
    <row r="1" spans="1:7" ht="47.85" customHeight="1" x14ac:dyDescent="0.25">
      <c r="A1" s="18" t="s">
        <v>61</v>
      </c>
      <c r="B1" s="19"/>
      <c r="C1" s="19"/>
      <c r="D1" s="19"/>
      <c r="E1" s="19"/>
      <c r="F1" s="19"/>
      <c r="G1" s="20"/>
    </row>
    <row r="2" spans="1:7" ht="72" x14ac:dyDescent="0.25">
      <c r="A2" s="12"/>
      <c r="B2" s="12" t="s">
        <v>66</v>
      </c>
      <c r="C2" s="12" t="s">
        <v>67</v>
      </c>
      <c r="D2" s="17" t="str">
        <f>CONCATENATE("Valor do reembolso do anocalendário",CHAR(10),"TOTAL: ",SUM(D3:D1048576))</f>
        <v>Valor do reembolso do anocalendário
TOTAL: 0</v>
      </c>
      <c r="E2" s="17" t="str">
        <f>CONCATENATE("Valor do reembolso do anocalendário",CHAR(10),"TOTAL: ",SUM(E3:E1048576))</f>
        <v>Valor do reembolso do anocalendário
TOTAL: 0</v>
      </c>
      <c r="F2" s="17" t="s">
        <v>49</v>
      </c>
      <c r="G2" s="12" t="s">
        <v>23</v>
      </c>
    </row>
  </sheetData>
  <mergeCells count="1">
    <mergeCell ref="A1:G1"/>
  </mergeCells>
  <pageMargins left="0.511811024" right="0.511811024" top="0.78740157499999996" bottom="0.78740157499999996" header="0.31496062000000002" footer="0.31496062000000002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4"/>
  <dimension ref="A1:G2"/>
  <sheetViews>
    <sheetView workbookViewId="0">
      <selection activeCell="G2" sqref="G2"/>
    </sheetView>
  </sheetViews>
  <sheetFormatPr defaultRowHeight="15" x14ac:dyDescent="0.25"/>
  <cols>
    <col min="1" max="1" width="13.75" style="9" bestFit="1" customWidth="1"/>
    <col min="2" max="2" width="13.75" style="10" customWidth="1"/>
    <col min="3" max="3" width="11.875" style="10" bestFit="1" customWidth="1"/>
    <col min="4" max="4" width="10.5" style="10" bestFit="1" customWidth="1"/>
    <col min="5" max="5" width="28.25" style="10" customWidth="1"/>
    <col min="6" max="6" width="8.75" style="10" customWidth="1"/>
    <col min="7" max="7" width="11.75" style="15" customWidth="1"/>
  </cols>
  <sheetData>
    <row r="1" spans="1:7" ht="47.85" customHeight="1" x14ac:dyDescent="0.25">
      <c r="A1" s="21" t="s">
        <v>61</v>
      </c>
      <c r="B1" s="22"/>
      <c r="C1" s="22"/>
      <c r="D1" s="22"/>
      <c r="E1" s="22"/>
      <c r="F1" s="22"/>
      <c r="G1" s="22"/>
    </row>
    <row r="2" spans="1:7" ht="48" x14ac:dyDescent="0.25">
      <c r="A2" s="12" t="s">
        <v>70</v>
      </c>
      <c r="B2" s="12" t="s">
        <v>72</v>
      </c>
      <c r="C2" s="12" t="s">
        <v>63</v>
      </c>
      <c r="D2" s="12" t="s">
        <v>64</v>
      </c>
      <c r="E2" s="12" t="s">
        <v>23</v>
      </c>
      <c r="F2" s="12" t="s">
        <v>65</v>
      </c>
      <c r="G2" s="17" t="str">
        <f>CONCATENATE("Valor pago no Ano",CHAR(10),"TOTAL: ",ROUND(SUM(G3:G1048576),2))</f>
        <v>Valor pago no Ano
TOTAL: 0</v>
      </c>
    </row>
  </sheetData>
  <mergeCells count="1">
    <mergeCell ref="A1:G1"/>
  </mergeCells>
  <pageMargins left="0.511811024" right="0.511811024" top="0.78740157499999996" bottom="0.78740157499999996" header="0.31496062000000002" footer="0.31496062000000002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5"/>
  <dimension ref="A1:E3"/>
  <sheetViews>
    <sheetView workbookViewId="0">
      <selection activeCell="D3" sqref="D3"/>
    </sheetView>
  </sheetViews>
  <sheetFormatPr defaultRowHeight="15" x14ac:dyDescent="0.25"/>
  <cols>
    <col min="1" max="1" width="9" style="9" customWidth="1"/>
    <col min="2" max="2" width="19.375" style="10" customWidth="1"/>
    <col min="3" max="3" width="37.875" style="9" customWidth="1"/>
    <col min="4" max="4" width="12.125" style="15" bestFit="1" customWidth="1"/>
    <col min="5" max="5" width="13.25" style="13" customWidth="1"/>
  </cols>
  <sheetData>
    <row r="1" spans="1:5" ht="47.85" customHeight="1" x14ac:dyDescent="0.25">
      <c r="A1" s="21" t="s">
        <v>61</v>
      </c>
      <c r="B1" s="22"/>
      <c r="C1" s="22"/>
      <c r="D1" s="22"/>
      <c r="E1"/>
    </row>
    <row r="2" spans="1:5" ht="24" x14ac:dyDescent="0.25">
      <c r="A2" s="12" t="s">
        <v>70</v>
      </c>
      <c r="B2" s="12" t="s">
        <v>62</v>
      </c>
      <c r="C2" s="12" t="s">
        <v>23</v>
      </c>
      <c r="D2" s="17" t="str">
        <f>CONCATENATE("Valor pago no Ano",CHAR(10),"TOTAL: ",ROUND(SUM(D3:D1048576),2))</f>
        <v>Valor pago no Ano
TOTAL: 1109</v>
      </c>
    </row>
    <row r="3" spans="1:5" x14ac:dyDescent="0.25">
      <c r="A3" s="9" t="s">
        <v>95</v>
      </c>
      <c r="B3" s="10" t="s">
        <v>92</v>
      </c>
      <c r="C3" s="9" t="s">
        <v>93</v>
      </c>
      <c r="D3" s="15">
        <v>1109</v>
      </c>
    </row>
  </sheetData>
  <mergeCells count="1">
    <mergeCell ref="A1:D1"/>
  </mergeCells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6"/>
  <dimension ref="A1:D3"/>
  <sheetViews>
    <sheetView topLeftCell="B1" workbookViewId="0">
      <selection activeCell="D3" sqref="D3"/>
    </sheetView>
  </sheetViews>
  <sheetFormatPr defaultRowHeight="15" x14ac:dyDescent="0.25"/>
  <cols>
    <col min="1" max="1" width="11.875" hidden="1" customWidth="1"/>
    <col min="2" max="2" width="16.25" style="10" customWidth="1"/>
    <col min="3" max="3" width="32.125" style="10" customWidth="1"/>
    <col min="4" max="4" width="11.125" style="10" customWidth="1"/>
  </cols>
  <sheetData>
    <row r="1" spans="1:4" ht="47.85" customHeight="1" x14ac:dyDescent="0.25">
      <c r="A1" s="23" t="s">
        <v>58</v>
      </c>
      <c r="B1" s="23"/>
      <c r="C1" s="23"/>
      <c r="D1" s="23"/>
    </row>
    <row r="2" spans="1:4" ht="60" x14ac:dyDescent="0.25">
      <c r="A2" s="12"/>
      <c r="B2" s="12" t="s">
        <v>59</v>
      </c>
      <c r="C2" s="12" t="s">
        <v>10</v>
      </c>
      <c r="D2" s="12" t="s">
        <v>60</v>
      </c>
    </row>
    <row r="3" spans="1:4" x14ac:dyDescent="0.25">
      <c r="A3">
        <v>17697897822</v>
      </c>
      <c r="B3" s="10" t="s">
        <v>94</v>
      </c>
      <c r="C3" s="10" t="s">
        <v>95</v>
      </c>
      <c r="D3" s="10" t="s">
        <v>96</v>
      </c>
    </row>
  </sheetData>
  <mergeCells count="1">
    <mergeCell ref="A1:D1"/>
  </mergeCells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11"/>
  <dimension ref="A1:B2"/>
  <sheetViews>
    <sheetView workbookViewId="0">
      <selection activeCell="B3" sqref="B3"/>
    </sheetView>
  </sheetViews>
  <sheetFormatPr defaultRowHeight="15" x14ac:dyDescent="0.25"/>
  <cols>
    <col min="1" max="1" width="23.75" style="10" customWidth="1"/>
    <col min="2" max="2" width="42.5" style="15" customWidth="1"/>
  </cols>
  <sheetData>
    <row r="1" spans="1:2" ht="47.85" customHeight="1" x14ac:dyDescent="0.25">
      <c r="A1" s="24" t="s">
        <v>57</v>
      </c>
      <c r="B1" s="24"/>
    </row>
    <row r="2" spans="1:2" ht="24" x14ac:dyDescent="0.25">
      <c r="A2" s="4" t="s">
        <v>0</v>
      </c>
      <c r="B2" s="14" t="str">
        <f>CONCATENATE("Valor pago no Ano",CHAR(10),"TOTAL: ",ROUND(SUM(B3:B1048576),2))</f>
        <v>Valor pago no Ano
TOTAL: 0</v>
      </c>
    </row>
  </sheetData>
  <mergeCells count="1">
    <mergeCell ref="A1:B1"/>
  </mergeCells>
  <pageMargins left="0.511811024" right="0.511811024" top="0.78740157499999996" bottom="0.78740157499999996" header="0.31496062000000002" footer="0.3149606200000000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10"/>
  <dimension ref="A1:B2"/>
  <sheetViews>
    <sheetView workbookViewId="0">
      <selection activeCell="B3" sqref="B3"/>
    </sheetView>
  </sheetViews>
  <sheetFormatPr defaultRowHeight="15" x14ac:dyDescent="0.25"/>
  <cols>
    <col min="1" max="1" width="23.75" style="10" customWidth="1"/>
    <col min="2" max="2" width="42.5" style="15" customWidth="1"/>
  </cols>
  <sheetData>
    <row r="1" spans="1:2" ht="47.85" customHeight="1" x14ac:dyDescent="0.25">
      <c r="A1" s="24" t="s">
        <v>56</v>
      </c>
      <c r="B1" s="24"/>
    </row>
    <row r="2" spans="1:2" ht="24" x14ac:dyDescent="0.25">
      <c r="A2" s="4" t="s">
        <v>0</v>
      </c>
      <c r="B2" s="14" t="str">
        <f>CONCATENATE("Valor pago no Ano",CHAR(10),"TOTAL: ",ROUND(SUM(B3:B1048576),2))</f>
        <v>Valor pago no Ano
TOTAL: 0</v>
      </c>
    </row>
  </sheetData>
  <mergeCells count="1">
    <mergeCell ref="A1:B1"/>
  </mergeCells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9"/>
  <dimension ref="A1:B4"/>
  <sheetViews>
    <sheetView workbookViewId="0">
      <selection activeCell="B3" sqref="B3"/>
    </sheetView>
  </sheetViews>
  <sheetFormatPr defaultRowHeight="15" x14ac:dyDescent="0.25"/>
  <cols>
    <col min="1" max="1" width="23.75" style="10" customWidth="1"/>
    <col min="2" max="2" width="42.5" style="15" customWidth="1"/>
  </cols>
  <sheetData>
    <row r="1" spans="1:2" ht="47.85" customHeight="1" x14ac:dyDescent="0.25">
      <c r="A1" s="25" t="s">
        <v>55</v>
      </c>
      <c r="B1" s="25"/>
    </row>
    <row r="2" spans="1:2" ht="24" x14ac:dyDescent="0.25">
      <c r="A2" s="4" t="s">
        <v>0</v>
      </c>
      <c r="B2" s="14" t="str">
        <f>CONCATENATE("Valor pago no Ano",CHAR(10),"TOTAL: ",ROUND(SUM(B3:B1048576),2))</f>
        <v>Valor pago no Ano
TOTAL: 0</v>
      </c>
    </row>
    <row r="3" spans="1:2" x14ac:dyDescent="0.25">
      <c r="A3" s="10" t="s">
        <v>92</v>
      </c>
      <c r="B3" s="15">
        <v>0</v>
      </c>
    </row>
    <row r="4" spans="1:2" x14ac:dyDescent="0.25">
      <c r="A4" s="10" t="s">
        <v>92</v>
      </c>
      <c r="B4" s="15">
        <v>0</v>
      </c>
    </row>
  </sheetData>
  <mergeCells count="1">
    <mergeCell ref="A1:B1"/>
  </mergeCells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53"/>
  <dimension ref="A1:N2"/>
  <sheetViews>
    <sheetView workbookViewId="0">
      <selection activeCell="B2" sqref="B1:N1048576"/>
    </sheetView>
  </sheetViews>
  <sheetFormatPr defaultRowHeight="15" x14ac:dyDescent="0.25"/>
  <cols>
    <col min="1" max="1" width="9" style="10"/>
    <col min="2" max="14" width="11.625" style="15" customWidth="1"/>
  </cols>
  <sheetData>
    <row r="1" spans="1:14" ht="47.85" customHeight="1" x14ac:dyDescent="0.25">
      <c r="A1" s="26" t="s">
        <v>48</v>
      </c>
      <c r="B1" s="27"/>
      <c r="C1" s="27"/>
      <c r="D1" s="27"/>
      <c r="E1" s="27"/>
      <c r="F1" s="27"/>
      <c r="G1" s="27"/>
      <c r="H1" s="27"/>
      <c r="I1" s="27"/>
      <c r="J1" s="27"/>
      <c r="K1" s="27"/>
      <c r="L1" s="27"/>
      <c r="M1" s="27"/>
      <c r="N1" s="27"/>
    </row>
    <row r="2" spans="1:14" ht="43.5" customHeight="1" x14ac:dyDescent="0.25">
      <c r="A2" s="4" t="s">
        <v>0</v>
      </c>
      <c r="B2" s="14" t="str">
        <f>CONCATENATE("JANEIRO",CHAR(10),"TOTAL: ",SUM(B3:B1048576))</f>
        <v>JANEIRO
TOTAL: 0</v>
      </c>
      <c r="C2" s="14" t="str">
        <f>CONCATENATE("FEVEREIRO",CHAR(10),"TOTAL: ",SUM(C3:C1048576))</f>
        <v>FEVEREIRO
TOTAL: 0</v>
      </c>
      <c r="D2" s="14" t="str">
        <f>CONCATENATE("MARÇO",CHAR(10),"TOTAL: ",SUM(D3:D1048576))</f>
        <v>MARÇO
TOTAL: 0</v>
      </c>
      <c r="E2" s="14" t="str">
        <f>CONCATENATE("ABRIL",CHAR(10),"TOTAL: ",SUM(E3:E1048576))</f>
        <v>ABRIL
TOTAL: 0</v>
      </c>
      <c r="F2" s="14" t="str">
        <f>CONCATENATE("MAIO",CHAR(10),"TOTAL: ",SUM(F3:F1048576))</f>
        <v>MAIO
TOTAL: 0</v>
      </c>
      <c r="G2" s="14" t="str">
        <f>CONCATENATE("JUNHO",CHAR(10),"TOTAL: ",SUM(G3:G1048576))</f>
        <v>JUNHO
TOTAL: 0</v>
      </c>
      <c r="H2" s="14" t="str">
        <f>CONCATENATE("JULHO",CHAR(10),"TOTAL: ",SUM(H3:H1048576))</f>
        <v>JULHO
TOTAL: 0</v>
      </c>
      <c r="I2" s="14" t="str">
        <f>CONCATENATE("AGOSTO",CHAR(10),"TOTAL: ",SUM(I3:I1048576))</f>
        <v>AGOSTO
TOTAL: 0</v>
      </c>
      <c r="J2" s="14" t="str">
        <f>CONCATENATE("SETEMBRO",CHAR(10),"TOTAL: ",SUM(J3:J1048576))</f>
        <v>SETEMBRO
TOTAL: 0</v>
      </c>
      <c r="K2" s="14" t="str">
        <f>CONCATENATE("OUTUBRO",CHAR(10),"TOTAL: ",SUM(K3:K1048576))</f>
        <v>OUTUBRO
TOTAL: 0</v>
      </c>
      <c r="L2" s="14" t="str">
        <f>CONCATENATE("NOVEMBRO",CHAR(10),"TOTAL: ",SUM(L3:L1048576))</f>
        <v>NOVEMBRO
TOTAL: 0</v>
      </c>
      <c r="M2" s="14" t="str">
        <f>CONCATENATE("DEZEMBRO",CHAR(10),"TOTAL: ",SUM(M3:M1048576))</f>
        <v>DEZEMBRO
TOTAL: 0</v>
      </c>
      <c r="N2" s="14" t="str">
        <f>CONCATENATE("DEC. TERCEIRO",CHAR(10),"TOTAL: ",SUM(N3:N1048576))</f>
        <v>DEC. TERCEIRO
TOTAL: 0</v>
      </c>
    </row>
  </sheetData>
  <mergeCells count="1">
    <mergeCell ref="A1:N1"/>
  </mergeCells>
  <pageMargins left="0.511811024" right="0.511811024" top="0.78740157499999996" bottom="0.78740157499999996" header="0.31496062000000002" footer="0.31496062000000002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52"/>
  <dimension ref="A1:N2"/>
  <sheetViews>
    <sheetView workbookViewId="0">
      <selection activeCell="B2" sqref="B1:N1048576"/>
    </sheetView>
  </sheetViews>
  <sheetFormatPr defaultRowHeight="15" x14ac:dyDescent="0.25"/>
  <cols>
    <col min="1" max="1" width="9" style="10"/>
    <col min="2" max="14" width="11.625" style="15" customWidth="1"/>
  </cols>
  <sheetData>
    <row r="1" spans="1:14" ht="47.85" customHeight="1" x14ac:dyDescent="0.25">
      <c r="A1" s="26" t="s">
        <v>47</v>
      </c>
      <c r="B1" s="27"/>
      <c r="C1" s="27"/>
      <c r="D1" s="27"/>
      <c r="E1" s="27"/>
      <c r="F1" s="27"/>
      <c r="G1" s="27"/>
      <c r="H1" s="27"/>
      <c r="I1" s="27"/>
      <c r="J1" s="27"/>
      <c r="K1" s="27"/>
      <c r="L1" s="27"/>
      <c r="M1" s="27"/>
      <c r="N1" s="27"/>
    </row>
    <row r="2" spans="1:14" ht="43.5" customHeight="1" x14ac:dyDescent="0.25">
      <c r="A2" s="4" t="s">
        <v>0</v>
      </c>
      <c r="B2" s="14" t="str">
        <f>CONCATENATE("JANEIRO",CHAR(10),"TOTAL: ",SUM(B3:B1048576))</f>
        <v>JANEIRO
TOTAL: 0</v>
      </c>
      <c r="C2" s="14" t="str">
        <f>CONCATENATE("FEVEREIRO",CHAR(10),"TOTAL: ",SUM(C3:C1048576))</f>
        <v>FEVEREIRO
TOTAL: 0</v>
      </c>
      <c r="D2" s="14" t="str">
        <f>CONCATENATE("MARÇO",CHAR(10),"TOTAL: ",SUM(D3:D1048576))</f>
        <v>MARÇO
TOTAL: 0</v>
      </c>
      <c r="E2" s="14" t="str">
        <f>CONCATENATE("ABRIL",CHAR(10),"TOTAL: ",SUM(E3:E1048576))</f>
        <v>ABRIL
TOTAL: 0</v>
      </c>
      <c r="F2" s="14" t="str">
        <f>CONCATENATE("MAIO",CHAR(10),"TOTAL: ",SUM(F3:F1048576))</f>
        <v>MAIO
TOTAL: 0</v>
      </c>
      <c r="G2" s="14" t="str">
        <f>CONCATENATE("JUNHO",CHAR(10),"TOTAL: ",SUM(G3:G1048576))</f>
        <v>JUNHO
TOTAL: 0</v>
      </c>
      <c r="H2" s="14" t="str">
        <f>CONCATENATE("JULHO",CHAR(10),"TOTAL: ",SUM(H3:H1048576))</f>
        <v>JULHO
TOTAL: 0</v>
      </c>
      <c r="I2" s="14" t="str">
        <f>CONCATENATE("AGOSTO",CHAR(10),"TOTAL: ",SUM(I3:I1048576))</f>
        <v>AGOSTO
TOTAL: 0</v>
      </c>
      <c r="J2" s="14" t="str">
        <f>CONCATENATE("SETEMBRO",CHAR(10),"TOTAL: ",SUM(J3:J1048576))</f>
        <v>SETEMBRO
TOTAL: 0</v>
      </c>
      <c r="K2" s="14" t="str">
        <f>CONCATENATE("OUTUBRO",CHAR(10),"TOTAL: ",SUM(K3:K1048576))</f>
        <v>OUTUBRO
TOTAL: 0</v>
      </c>
      <c r="L2" s="14" t="str">
        <f>CONCATENATE("NOVEMBRO",CHAR(10),"TOTAL: ",SUM(L3:L1048576))</f>
        <v>NOVEMBRO
TOTAL: 0</v>
      </c>
      <c r="M2" s="14" t="str">
        <f>CONCATENATE("DEZEMBRO",CHAR(10),"TOTAL: ",SUM(M3:M1048576))</f>
        <v>DEZEMBRO
TOTAL: 0</v>
      </c>
      <c r="N2" s="14" t="str">
        <f>CONCATENATE("DEC. TERCEIRO",CHAR(10),"TOTAL: ",SUM(N3:N1048576))</f>
        <v>DEC. TERCEIRO
TOTAL: 0</v>
      </c>
    </row>
  </sheetData>
  <mergeCells count="1">
    <mergeCell ref="A1:N1"/>
  </mergeCells>
  <pageMargins left="0.511811024" right="0.511811024" top="0.78740157499999996" bottom="0.78740157499999996" header="0.31496062000000002" footer="0.31496062000000002"/>
  <legacy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51"/>
  <dimension ref="A1:N2"/>
  <sheetViews>
    <sheetView workbookViewId="0">
      <selection activeCell="B2" sqref="B1:N1048576"/>
    </sheetView>
  </sheetViews>
  <sheetFormatPr defaultRowHeight="15" x14ac:dyDescent="0.25"/>
  <cols>
    <col min="1" max="1" width="9" style="10"/>
    <col min="2" max="14" width="11.625" style="15" customWidth="1"/>
  </cols>
  <sheetData>
    <row r="1" spans="1:14" ht="47.85" customHeight="1" x14ac:dyDescent="0.25">
      <c r="A1" s="26" t="s">
        <v>46</v>
      </c>
      <c r="B1" s="27"/>
      <c r="C1" s="27"/>
      <c r="D1" s="27"/>
      <c r="E1" s="27"/>
      <c r="F1" s="27"/>
      <c r="G1" s="27"/>
      <c r="H1" s="27"/>
      <c r="I1" s="27"/>
      <c r="J1" s="27"/>
      <c r="K1" s="27"/>
      <c r="L1" s="27"/>
      <c r="M1" s="27"/>
      <c r="N1" s="27"/>
    </row>
    <row r="2" spans="1:14" ht="43.5" customHeight="1" x14ac:dyDescent="0.25">
      <c r="A2" s="4" t="s">
        <v>0</v>
      </c>
      <c r="B2" s="14" t="str">
        <f>CONCATENATE("JANEIRO",CHAR(10),"TOTAL: ",SUM(B3:B1048576))</f>
        <v>JANEIRO
TOTAL: 0</v>
      </c>
      <c r="C2" s="14" t="str">
        <f>CONCATENATE("FEVEREIRO",CHAR(10),"TOTAL: ",SUM(C3:C1048576))</f>
        <v>FEVEREIRO
TOTAL: 0</v>
      </c>
      <c r="D2" s="14" t="str">
        <f>CONCATENATE("MARÇO",CHAR(10),"TOTAL: ",SUM(D3:D1048576))</f>
        <v>MARÇO
TOTAL: 0</v>
      </c>
      <c r="E2" s="14" t="str">
        <f>CONCATENATE("ABRIL",CHAR(10),"TOTAL: ",SUM(E3:E1048576))</f>
        <v>ABRIL
TOTAL: 0</v>
      </c>
      <c r="F2" s="14" t="str">
        <f>CONCATENATE("MAIO",CHAR(10),"TOTAL: ",SUM(F3:F1048576))</f>
        <v>MAIO
TOTAL: 0</v>
      </c>
      <c r="G2" s="14" t="str">
        <f>CONCATENATE("JUNHO",CHAR(10),"TOTAL: ",SUM(G3:G1048576))</f>
        <v>JUNHO
TOTAL: 0</v>
      </c>
      <c r="H2" s="14" t="str">
        <f>CONCATENATE("JULHO",CHAR(10),"TOTAL: ",SUM(H3:H1048576))</f>
        <v>JULHO
TOTAL: 0</v>
      </c>
      <c r="I2" s="14" t="str">
        <f>CONCATENATE("AGOSTO",CHAR(10),"TOTAL: ",SUM(I3:I1048576))</f>
        <v>AGOSTO
TOTAL: 0</v>
      </c>
      <c r="J2" s="14" t="str">
        <f>CONCATENATE("SETEMBRO",CHAR(10),"TOTAL: ",SUM(J3:J1048576))</f>
        <v>SETEMBRO
TOTAL: 0</v>
      </c>
      <c r="K2" s="14" t="str">
        <f>CONCATENATE("OUTUBRO",CHAR(10),"TOTAL: ",SUM(K3:K1048576))</f>
        <v>OUTUBRO
TOTAL: 0</v>
      </c>
      <c r="L2" s="14" t="str">
        <f>CONCATENATE("NOVEMBRO",CHAR(10),"TOTAL: ",SUM(L3:L1048576))</f>
        <v>NOVEMBRO
TOTAL: 0</v>
      </c>
      <c r="M2" s="14" t="str">
        <f>CONCATENATE("DEZEMBRO",CHAR(10),"TOTAL: ",SUM(M3:M1048576))</f>
        <v>DEZEMBRO
TOTAL: 0</v>
      </c>
      <c r="N2" s="14" t="str">
        <f>CONCATENATE("DEC. TERCEIRO",CHAR(10),"TOTAL: ",SUM(N3:N1048576))</f>
        <v>DEC. TERCEIRO
TOTAL: 0</v>
      </c>
    </row>
  </sheetData>
  <mergeCells count="1">
    <mergeCell ref="A1:N1"/>
  </mergeCells>
  <pageMargins left="0.511811024" right="0.511811024" top="0.78740157499999996" bottom="0.78740157499999996" header="0.31496062000000002" footer="0.31496062000000002"/>
  <legacy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50"/>
  <dimension ref="A1:N2"/>
  <sheetViews>
    <sheetView workbookViewId="0">
      <selection activeCell="B2" sqref="B1:N1048576"/>
    </sheetView>
  </sheetViews>
  <sheetFormatPr defaultRowHeight="15" x14ac:dyDescent="0.25"/>
  <cols>
    <col min="1" max="1" width="9" style="10"/>
    <col min="2" max="14" width="11.625" style="15" customWidth="1"/>
  </cols>
  <sheetData>
    <row r="1" spans="1:14" ht="47.85" customHeight="1" x14ac:dyDescent="0.25">
      <c r="A1" s="27" t="s">
        <v>45</v>
      </c>
      <c r="B1" s="27"/>
      <c r="C1" s="27"/>
      <c r="D1" s="27"/>
      <c r="E1" s="27"/>
      <c r="F1" s="27"/>
      <c r="G1" s="27"/>
      <c r="H1" s="27"/>
      <c r="I1" s="27"/>
      <c r="J1" s="27"/>
      <c r="K1" s="27"/>
      <c r="L1" s="27"/>
      <c r="M1" s="27"/>
      <c r="N1" s="27"/>
    </row>
    <row r="2" spans="1:14" ht="43.5" customHeight="1" x14ac:dyDescent="0.25">
      <c r="A2" s="4" t="s">
        <v>0</v>
      </c>
      <c r="B2" s="14" t="str">
        <f>CONCATENATE("JANEIRO",CHAR(10),"TOTAL: ",SUM(B3:B1048576))</f>
        <v>JANEIRO
TOTAL: 0</v>
      </c>
      <c r="C2" s="14" t="str">
        <f>CONCATENATE("FEVEREIRO",CHAR(10),"TOTAL: ",SUM(C3:C1048576))</f>
        <v>FEVEREIRO
TOTAL: 0</v>
      </c>
      <c r="D2" s="14" t="str">
        <f>CONCATENATE("MARÇO",CHAR(10),"TOTAL: ",SUM(D3:D1048576))</f>
        <v>MARÇO
TOTAL: 0</v>
      </c>
      <c r="E2" s="14" t="str">
        <f>CONCATENATE("ABRIL",CHAR(10),"TOTAL: ",SUM(E3:E1048576))</f>
        <v>ABRIL
TOTAL: 0</v>
      </c>
      <c r="F2" s="14" t="str">
        <f>CONCATENATE("MAIO",CHAR(10),"TOTAL: ",SUM(F3:F1048576))</f>
        <v>MAIO
TOTAL: 0</v>
      </c>
      <c r="G2" s="14" t="str">
        <f>CONCATENATE("JUNHO",CHAR(10),"TOTAL: ",SUM(G3:G1048576))</f>
        <v>JUNHO
TOTAL: 0</v>
      </c>
      <c r="H2" s="14" t="str">
        <f>CONCATENATE("JULHO",CHAR(10),"TOTAL: ",SUM(H3:H1048576))</f>
        <v>JULHO
TOTAL: 0</v>
      </c>
      <c r="I2" s="14" t="str">
        <f>CONCATENATE("AGOSTO",CHAR(10),"TOTAL: ",SUM(I3:I1048576))</f>
        <v>AGOSTO
TOTAL: 0</v>
      </c>
      <c r="J2" s="14" t="str">
        <f>CONCATENATE("SETEMBRO",CHAR(10),"TOTAL: ",SUM(J3:J1048576))</f>
        <v>SETEMBRO
TOTAL: 0</v>
      </c>
      <c r="K2" s="14" t="str">
        <f>CONCATENATE("OUTUBRO",CHAR(10),"TOTAL: ",SUM(K3:K1048576))</f>
        <v>OUTUBRO
TOTAL: 0</v>
      </c>
      <c r="L2" s="14" t="str">
        <f>CONCATENATE("NOVEMBRO",CHAR(10),"TOTAL: ",SUM(L3:L1048576))</f>
        <v>NOVEMBRO
TOTAL: 0</v>
      </c>
      <c r="M2" s="14" t="str">
        <f>CONCATENATE("DEZEMBRO",CHAR(10),"TOTAL: ",SUM(M3:M1048576))</f>
        <v>DEZEMBRO
TOTAL: 0</v>
      </c>
      <c r="N2" s="14" t="str">
        <f>CONCATENATE("DEC. TERCEIRO",CHAR(10),"TOTAL: ",SUM(N3:N1048576))</f>
        <v>DEC. TERCEIRO
TOTAL: 0</v>
      </c>
    </row>
  </sheetData>
  <mergeCells count="1">
    <mergeCell ref="A1:N1"/>
  </mergeCells>
  <pageMargins left="0.511811024" right="0.511811024" top="0.78740157499999996" bottom="0.78740157499999996" header="0.31496062000000002" footer="0.31496062000000002"/>
  <legacy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49"/>
  <dimension ref="A1:N2"/>
  <sheetViews>
    <sheetView workbookViewId="0">
      <selection activeCell="B2" sqref="B1:N1048576"/>
    </sheetView>
  </sheetViews>
  <sheetFormatPr defaultRowHeight="15" x14ac:dyDescent="0.25"/>
  <cols>
    <col min="1" max="1" width="9" style="10"/>
    <col min="2" max="14" width="11.625" style="15" customWidth="1"/>
  </cols>
  <sheetData>
    <row r="1" spans="1:14" ht="47.85" customHeight="1" x14ac:dyDescent="0.25">
      <c r="A1" s="27" t="s">
        <v>44</v>
      </c>
      <c r="B1" s="27"/>
      <c r="C1" s="27"/>
      <c r="D1" s="27"/>
      <c r="E1" s="27"/>
      <c r="F1" s="27"/>
      <c r="G1" s="27"/>
      <c r="H1" s="27"/>
      <c r="I1" s="27"/>
      <c r="J1" s="27"/>
      <c r="K1" s="27"/>
      <c r="L1" s="27"/>
      <c r="M1" s="27"/>
      <c r="N1" s="27"/>
    </row>
    <row r="2" spans="1:14" ht="43.5" customHeight="1" x14ac:dyDescent="0.25">
      <c r="A2" s="4" t="s">
        <v>0</v>
      </c>
      <c r="B2" s="14" t="str">
        <f>CONCATENATE("JANEIRO",CHAR(10),"TOTAL: ",SUM(B3:B1048576))</f>
        <v>JANEIRO
TOTAL: 0</v>
      </c>
      <c r="C2" s="14" t="str">
        <f>CONCATENATE("FEVEREIRO",CHAR(10),"TOTAL: ",SUM(C3:C1048576))</f>
        <v>FEVEREIRO
TOTAL: 0</v>
      </c>
      <c r="D2" s="14" t="str">
        <f>CONCATENATE("MARÇO",CHAR(10),"TOTAL: ",SUM(D3:D1048576))</f>
        <v>MARÇO
TOTAL: 0</v>
      </c>
      <c r="E2" s="14" t="str">
        <f>CONCATENATE("ABRIL",CHAR(10),"TOTAL: ",SUM(E3:E1048576))</f>
        <v>ABRIL
TOTAL: 0</v>
      </c>
      <c r="F2" s="14" t="str">
        <f>CONCATENATE("MAIO",CHAR(10),"TOTAL: ",SUM(F3:F1048576))</f>
        <v>MAIO
TOTAL: 0</v>
      </c>
      <c r="G2" s="14" t="str">
        <f>CONCATENATE("JUNHO",CHAR(10),"TOTAL: ",SUM(G3:G1048576))</f>
        <v>JUNHO
TOTAL: 0</v>
      </c>
      <c r="H2" s="14" t="str">
        <f>CONCATENATE("JULHO",CHAR(10),"TOTAL: ",SUM(H3:H1048576))</f>
        <v>JULHO
TOTAL: 0</v>
      </c>
      <c r="I2" s="14" t="str">
        <f>CONCATENATE("AGOSTO",CHAR(10),"TOTAL: ",SUM(I3:I1048576))</f>
        <v>AGOSTO
TOTAL: 0</v>
      </c>
      <c r="J2" s="14" t="str">
        <f>CONCATENATE("SETEMBRO",CHAR(10),"TOTAL: ",SUM(J3:J1048576))</f>
        <v>SETEMBRO
TOTAL: 0</v>
      </c>
      <c r="K2" s="14" t="str">
        <f>CONCATENATE("OUTUBRO",CHAR(10),"TOTAL: ",SUM(K3:K1048576))</f>
        <v>OUTUBRO
TOTAL: 0</v>
      </c>
      <c r="L2" s="14" t="str">
        <f>CONCATENATE("NOVEMBRO",CHAR(10),"TOTAL: ",SUM(L3:L1048576))</f>
        <v>NOVEMBRO
TOTAL: 0</v>
      </c>
      <c r="M2" s="14" t="str">
        <f>CONCATENATE("DEZEMBRO",CHAR(10),"TOTAL: ",SUM(M3:M1048576))</f>
        <v>DEZEMBRO
TOTAL: 0</v>
      </c>
      <c r="N2" s="14" t="str">
        <f>CONCATENATE("DEC. TERCEIRO",CHAR(10),"TOTAL: ",SUM(N3:N1048576))</f>
        <v>DEC. TERCEIRO
TOTAL: 0</v>
      </c>
    </row>
  </sheetData>
  <mergeCells count="1">
    <mergeCell ref="A1:N1"/>
  </mergeCells>
  <pageMargins left="0.511811024" right="0.511811024" top="0.78740157499999996" bottom="0.78740157499999996" header="0.31496062000000002" footer="0.31496062000000002"/>
  <legacy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48"/>
  <dimension ref="A1:N2"/>
  <sheetViews>
    <sheetView workbookViewId="0">
      <selection activeCell="B2" sqref="B1:N1048576"/>
    </sheetView>
  </sheetViews>
  <sheetFormatPr defaultRowHeight="15" x14ac:dyDescent="0.25"/>
  <cols>
    <col min="1" max="1" width="9" style="10"/>
    <col min="2" max="14" width="11.625" style="15" customWidth="1"/>
  </cols>
  <sheetData>
    <row r="1" spans="1:14" ht="47.85" customHeight="1" x14ac:dyDescent="0.25">
      <c r="A1" s="27" t="s">
        <v>43</v>
      </c>
      <c r="B1" s="27"/>
      <c r="C1" s="27"/>
      <c r="D1" s="27"/>
      <c r="E1" s="27"/>
      <c r="F1" s="27"/>
      <c r="G1" s="27"/>
      <c r="H1" s="27"/>
      <c r="I1" s="27"/>
      <c r="J1" s="27"/>
      <c r="K1" s="27"/>
      <c r="L1" s="27"/>
      <c r="M1" s="27"/>
      <c r="N1" s="27"/>
    </row>
    <row r="2" spans="1:14" ht="43.5" customHeight="1" x14ac:dyDescent="0.25">
      <c r="A2" s="4" t="s">
        <v>0</v>
      </c>
      <c r="B2" s="14" t="str">
        <f>CONCATENATE("JANEIRO",CHAR(10),"TOTAL: ",SUM(B3:B1048576))</f>
        <v>JANEIRO
TOTAL: 0</v>
      </c>
      <c r="C2" s="14" t="str">
        <f>CONCATENATE("FEVEREIRO",CHAR(10),"TOTAL: ",SUM(C3:C1048576))</f>
        <v>FEVEREIRO
TOTAL: 0</v>
      </c>
      <c r="D2" s="14" t="str">
        <f>CONCATENATE("MARÇO",CHAR(10),"TOTAL: ",SUM(D3:D1048576))</f>
        <v>MARÇO
TOTAL: 0</v>
      </c>
      <c r="E2" s="14" t="str">
        <f>CONCATENATE("ABRIL",CHAR(10),"TOTAL: ",SUM(E3:E1048576))</f>
        <v>ABRIL
TOTAL: 0</v>
      </c>
      <c r="F2" s="14" t="str">
        <f>CONCATENATE("MAIO",CHAR(10),"TOTAL: ",SUM(F3:F1048576))</f>
        <v>MAIO
TOTAL: 0</v>
      </c>
      <c r="G2" s="14" t="str">
        <f>CONCATENATE("JUNHO",CHAR(10),"TOTAL: ",SUM(G3:G1048576))</f>
        <v>JUNHO
TOTAL: 0</v>
      </c>
      <c r="H2" s="14" t="str">
        <f>CONCATENATE("JULHO",CHAR(10),"TOTAL: ",SUM(H3:H1048576))</f>
        <v>JULHO
TOTAL: 0</v>
      </c>
      <c r="I2" s="14" t="str">
        <f>CONCATENATE("AGOSTO",CHAR(10),"TOTAL: ",SUM(I3:I1048576))</f>
        <v>AGOSTO
TOTAL: 0</v>
      </c>
      <c r="J2" s="14" t="str">
        <f>CONCATENATE("SETEMBRO",CHAR(10),"TOTAL: ",SUM(J3:J1048576))</f>
        <v>SETEMBRO
TOTAL: 0</v>
      </c>
      <c r="K2" s="14" t="str">
        <f>CONCATENATE("OUTUBRO",CHAR(10),"TOTAL: ",SUM(K3:K1048576))</f>
        <v>OUTUBRO
TOTAL: 0</v>
      </c>
      <c r="L2" s="14" t="str">
        <f>CONCATENATE("NOVEMBRO",CHAR(10),"TOTAL: ",SUM(L3:L1048576))</f>
        <v>NOVEMBRO
TOTAL: 0</v>
      </c>
      <c r="M2" s="14" t="str">
        <f>CONCATENATE("DEZEMBRO",CHAR(10),"TOTAL: ",SUM(M3:M1048576))</f>
        <v>DEZEMBRO
TOTAL: 0</v>
      </c>
      <c r="N2" s="14" t="str">
        <f>CONCATENATE("DEC. TERCEIRO",CHAR(10),"TOTAL: ",SUM(N3:N1048576))</f>
        <v>DEC. TERCEIRO
TOTAL: 0</v>
      </c>
    </row>
  </sheetData>
  <mergeCells count="1">
    <mergeCell ref="A1:N1"/>
  </mergeCells>
  <pageMargins left="0.511811024" right="0.511811024" top="0.78740157499999996" bottom="0.78740157499999996" header="0.31496062000000002" footer="0.31496062000000002"/>
  <legacy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47"/>
  <dimension ref="A1:N2"/>
  <sheetViews>
    <sheetView workbookViewId="0">
      <selection activeCell="B2" sqref="B1:N1048576"/>
    </sheetView>
  </sheetViews>
  <sheetFormatPr defaultRowHeight="15" x14ac:dyDescent="0.25"/>
  <cols>
    <col min="1" max="1" width="9" style="10"/>
    <col min="2" max="14" width="11.625" style="15" customWidth="1"/>
  </cols>
  <sheetData>
    <row r="1" spans="1:14" ht="47.85" customHeight="1" x14ac:dyDescent="0.25">
      <c r="A1" s="27" t="s">
        <v>42</v>
      </c>
      <c r="B1" s="27"/>
      <c r="C1" s="27"/>
      <c r="D1" s="27"/>
      <c r="E1" s="27"/>
      <c r="F1" s="27"/>
      <c r="G1" s="27"/>
      <c r="H1" s="27"/>
      <c r="I1" s="27"/>
      <c r="J1" s="27"/>
      <c r="K1" s="27"/>
      <c r="L1" s="27"/>
      <c r="M1" s="27"/>
      <c r="N1" s="27"/>
    </row>
    <row r="2" spans="1:14" ht="43.5" customHeight="1" x14ac:dyDescent="0.25">
      <c r="A2" s="4" t="s">
        <v>0</v>
      </c>
      <c r="B2" s="14" t="str">
        <f>CONCATENATE("JANEIRO",CHAR(10),"TOTAL: ",SUM(B3:B1048576))</f>
        <v>JANEIRO
TOTAL: 0</v>
      </c>
      <c r="C2" s="14" t="str">
        <f>CONCATENATE("FEVEREIRO",CHAR(10),"TOTAL: ",SUM(C3:C1048576))</f>
        <v>FEVEREIRO
TOTAL: 0</v>
      </c>
      <c r="D2" s="14" t="str">
        <f>CONCATENATE("MARÇO",CHAR(10),"TOTAL: ",SUM(D3:D1048576))</f>
        <v>MARÇO
TOTAL: 0</v>
      </c>
      <c r="E2" s="14" t="str">
        <f>CONCATENATE("ABRIL",CHAR(10),"TOTAL: ",SUM(E3:E1048576))</f>
        <v>ABRIL
TOTAL: 0</v>
      </c>
      <c r="F2" s="14" t="str">
        <f>CONCATENATE("MAIO",CHAR(10),"TOTAL: ",SUM(F3:F1048576))</f>
        <v>MAIO
TOTAL: 0</v>
      </c>
      <c r="G2" s="14" t="str">
        <f>CONCATENATE("JUNHO",CHAR(10),"TOTAL: ",SUM(G3:G1048576))</f>
        <v>JUNHO
TOTAL: 0</v>
      </c>
      <c r="H2" s="14" t="str">
        <f>CONCATENATE("JULHO",CHAR(10),"TOTAL: ",SUM(H3:H1048576))</f>
        <v>JULHO
TOTAL: 0</v>
      </c>
      <c r="I2" s="14" t="str">
        <f>CONCATENATE("AGOSTO",CHAR(10),"TOTAL: ",SUM(I3:I1048576))</f>
        <v>AGOSTO
TOTAL: 0</v>
      </c>
      <c r="J2" s="14" t="str">
        <f>CONCATENATE("SETEMBRO",CHAR(10),"TOTAL: ",SUM(J3:J1048576))</f>
        <v>SETEMBRO
TOTAL: 0</v>
      </c>
      <c r="K2" s="14" t="str">
        <f>CONCATENATE("OUTUBRO",CHAR(10),"TOTAL: ",SUM(K3:K1048576))</f>
        <v>OUTUBRO
TOTAL: 0</v>
      </c>
      <c r="L2" s="14" t="str">
        <f>CONCATENATE("NOVEMBRO",CHAR(10),"TOTAL: ",SUM(L3:L1048576))</f>
        <v>NOVEMBRO
TOTAL: 0</v>
      </c>
      <c r="M2" s="14" t="str">
        <f>CONCATENATE("DEZEMBRO",CHAR(10),"TOTAL: ",SUM(M3:M1048576))</f>
        <v>DEZEMBRO
TOTAL: 0</v>
      </c>
      <c r="N2" s="14" t="str">
        <f>CONCATENATE("DEC. TERCEIRO",CHAR(10),"TOTAL: ",SUM(N3:N1048576))</f>
        <v>DEC. TERCEIRO
TOTAL: 0</v>
      </c>
    </row>
  </sheetData>
  <mergeCells count="1">
    <mergeCell ref="A1:N1"/>
  </mergeCells>
  <pageMargins left="0.511811024" right="0.511811024" top="0.78740157499999996" bottom="0.78740157499999996" header="0.31496062000000002" footer="0.31496062000000002"/>
  <legacy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46"/>
  <dimension ref="A1:N2"/>
  <sheetViews>
    <sheetView workbookViewId="0">
      <selection activeCell="B2" sqref="B1:N1048576"/>
    </sheetView>
  </sheetViews>
  <sheetFormatPr defaultRowHeight="15" x14ac:dyDescent="0.25"/>
  <cols>
    <col min="1" max="1" width="9" style="10"/>
    <col min="2" max="14" width="11.625" style="15" customWidth="1"/>
  </cols>
  <sheetData>
    <row r="1" spans="1:14" ht="47.85" customHeight="1" x14ac:dyDescent="0.25">
      <c r="A1" s="27" t="s">
        <v>41</v>
      </c>
      <c r="B1" s="27"/>
      <c r="C1" s="27"/>
      <c r="D1" s="27"/>
      <c r="E1" s="27"/>
      <c r="F1" s="27"/>
      <c r="G1" s="27"/>
      <c r="H1" s="27"/>
      <c r="I1" s="27"/>
      <c r="J1" s="27"/>
      <c r="K1" s="27"/>
      <c r="L1" s="27"/>
      <c r="M1" s="27"/>
      <c r="N1" s="27"/>
    </row>
    <row r="2" spans="1:14" ht="43.5" customHeight="1" x14ac:dyDescent="0.25">
      <c r="A2" s="4" t="s">
        <v>0</v>
      </c>
      <c r="B2" s="14" t="str">
        <f>CONCATENATE("JANEIRO",CHAR(10),"TOTAL: ",SUM(B3:B1048576))</f>
        <v>JANEIRO
TOTAL: 0</v>
      </c>
      <c r="C2" s="14" t="str">
        <f>CONCATENATE("FEVEREIRO",CHAR(10),"TOTAL: ",SUM(C3:C1048576))</f>
        <v>FEVEREIRO
TOTAL: 0</v>
      </c>
      <c r="D2" s="14" t="str">
        <f>CONCATENATE("MARÇO",CHAR(10),"TOTAL: ",SUM(D3:D1048576))</f>
        <v>MARÇO
TOTAL: 0</v>
      </c>
      <c r="E2" s="14" t="str">
        <f>CONCATENATE("ABRIL",CHAR(10),"TOTAL: ",SUM(E3:E1048576))</f>
        <v>ABRIL
TOTAL: 0</v>
      </c>
      <c r="F2" s="14" t="str">
        <f>CONCATENATE("MAIO",CHAR(10),"TOTAL: ",SUM(F3:F1048576))</f>
        <v>MAIO
TOTAL: 0</v>
      </c>
      <c r="G2" s="14" t="str">
        <f>CONCATENATE("JUNHO",CHAR(10),"TOTAL: ",SUM(G3:G1048576))</f>
        <v>JUNHO
TOTAL: 0</v>
      </c>
      <c r="H2" s="14" t="str">
        <f>CONCATENATE("JULHO",CHAR(10),"TOTAL: ",SUM(H3:H1048576))</f>
        <v>JULHO
TOTAL: 0</v>
      </c>
      <c r="I2" s="14" t="str">
        <f>CONCATENATE("AGOSTO",CHAR(10),"TOTAL: ",SUM(I3:I1048576))</f>
        <v>AGOSTO
TOTAL: 0</v>
      </c>
      <c r="J2" s="14" t="str">
        <f>CONCATENATE("SETEMBRO",CHAR(10),"TOTAL: ",SUM(J3:J1048576))</f>
        <v>SETEMBRO
TOTAL: 0</v>
      </c>
      <c r="K2" s="14" t="str">
        <f>CONCATENATE("OUTUBRO",CHAR(10),"TOTAL: ",SUM(K3:K1048576))</f>
        <v>OUTUBRO
TOTAL: 0</v>
      </c>
      <c r="L2" s="14" t="str">
        <f>CONCATENATE("NOVEMBRO",CHAR(10),"TOTAL: ",SUM(L3:L1048576))</f>
        <v>NOVEMBRO
TOTAL: 0</v>
      </c>
      <c r="M2" s="14" t="str">
        <f>CONCATENATE("DEZEMBRO",CHAR(10),"TOTAL: ",SUM(M3:M1048576))</f>
        <v>DEZEMBRO
TOTAL: 0</v>
      </c>
      <c r="N2" s="14" t="str">
        <f>CONCATENATE("DEC. TERCEIRO",CHAR(10),"TOTAL: ",SUM(N3:N1048576))</f>
        <v>DEC. TERCEIRO
TOTAL: 0</v>
      </c>
    </row>
  </sheetData>
  <mergeCells count="1">
    <mergeCell ref="A1:N1"/>
  </mergeCells>
  <pageMargins left="0.511811024" right="0.511811024" top="0.78740157499999996" bottom="0.78740157499999996" header="0.31496062000000002" footer="0.31496062000000002"/>
  <legacy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45"/>
  <dimension ref="A1:N2"/>
  <sheetViews>
    <sheetView workbookViewId="0">
      <selection activeCell="B2" sqref="B1:N1048576"/>
    </sheetView>
  </sheetViews>
  <sheetFormatPr defaultRowHeight="15" x14ac:dyDescent="0.25"/>
  <cols>
    <col min="1" max="1" width="9" style="10"/>
    <col min="2" max="14" width="11.625" style="15" customWidth="1"/>
  </cols>
  <sheetData>
    <row r="1" spans="1:14" ht="47.85" customHeight="1" x14ac:dyDescent="0.25">
      <c r="A1" s="27" t="s">
        <v>40</v>
      </c>
      <c r="B1" s="27"/>
      <c r="C1" s="27"/>
      <c r="D1" s="27"/>
      <c r="E1" s="27"/>
      <c r="F1" s="27"/>
      <c r="G1" s="27"/>
      <c r="H1" s="27"/>
      <c r="I1" s="27"/>
      <c r="J1" s="27"/>
      <c r="K1" s="27"/>
      <c r="L1" s="27"/>
      <c r="M1" s="27"/>
      <c r="N1" s="27"/>
    </row>
    <row r="2" spans="1:14" ht="47.85" customHeight="1" x14ac:dyDescent="0.25">
      <c r="A2" s="4" t="s">
        <v>0</v>
      </c>
      <c r="B2" s="14" t="str">
        <f>CONCATENATE("JANEIRO",CHAR(10),"TOTAL: ",SUM(B3:B1048576))</f>
        <v>JANEIRO
TOTAL: 0</v>
      </c>
      <c r="C2" s="14" t="str">
        <f>CONCATENATE("FEVEREIRO",CHAR(10),"TOTAL: ",SUM(C3:C1048576))</f>
        <v>FEVEREIRO
TOTAL: 0</v>
      </c>
      <c r="D2" s="14" t="str">
        <f>CONCATENATE("MARÇO",CHAR(10),"TOTAL: ",SUM(D3:D1048576))</f>
        <v>MARÇO
TOTAL: 0</v>
      </c>
      <c r="E2" s="14" t="str">
        <f>CONCATENATE("ABRIL",CHAR(10),"TOTAL: ",SUM(E3:E1048576))</f>
        <v>ABRIL
TOTAL: 0</v>
      </c>
      <c r="F2" s="14" t="str">
        <f>CONCATENATE("MAIO",CHAR(10),"TOTAL: ",SUM(F3:F1048576))</f>
        <v>MAIO
TOTAL: 0</v>
      </c>
      <c r="G2" s="14" t="str">
        <f>CONCATENATE("JUNHO",CHAR(10),"TOTAL: ",SUM(G3:G1048576))</f>
        <v>JUNHO
TOTAL: 0</v>
      </c>
      <c r="H2" s="14" t="str">
        <f>CONCATENATE("JULHO",CHAR(10),"TOTAL: ",SUM(H3:H1048576))</f>
        <v>JULHO
TOTAL: 0</v>
      </c>
      <c r="I2" s="14" t="str">
        <f>CONCATENATE("AGOSTO",CHAR(10),"TOTAL: ",SUM(I3:I1048576))</f>
        <v>AGOSTO
TOTAL: 0</v>
      </c>
      <c r="J2" s="14" t="str">
        <f>CONCATENATE("SETEMBRO",CHAR(10),"TOTAL: ",SUM(J3:J1048576))</f>
        <v>SETEMBRO
TOTAL: 0</v>
      </c>
      <c r="K2" s="14" t="str">
        <f>CONCATENATE("OUTUBRO",CHAR(10),"TOTAL: ",SUM(K3:K1048576))</f>
        <v>OUTUBRO
TOTAL: 0</v>
      </c>
      <c r="L2" s="14" t="str">
        <f>CONCATENATE("NOVEMBRO",CHAR(10),"TOTAL: ",SUM(L3:L1048576))</f>
        <v>NOVEMBRO
TOTAL: 0</v>
      </c>
      <c r="M2" s="14" t="str">
        <f>CONCATENATE("DEZEMBRO",CHAR(10),"TOTAL: ",SUM(M3:M1048576))</f>
        <v>DEZEMBRO
TOTAL: 0</v>
      </c>
      <c r="N2" s="14" t="str">
        <f>CONCATENATE("DEC. TERCEIRO",CHAR(10),"TOTAL: ",SUM(N3:N1048576))</f>
        <v>DEC. TERCEIRO
TOTAL: 0</v>
      </c>
    </row>
  </sheetData>
  <mergeCells count="1">
    <mergeCell ref="A1:N1"/>
  </mergeCells>
  <pageMargins left="0.511811024" right="0.511811024" top="0.78740157499999996" bottom="0.78740157499999996" header="0.31496062000000002" footer="0.31496062000000002"/>
  <legacy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44"/>
  <dimension ref="A1:N2"/>
  <sheetViews>
    <sheetView workbookViewId="0">
      <selection activeCell="B2" sqref="B1:N1048576"/>
    </sheetView>
  </sheetViews>
  <sheetFormatPr defaultRowHeight="15" x14ac:dyDescent="0.25"/>
  <cols>
    <col min="1" max="1" width="9" style="10"/>
    <col min="2" max="14" width="11.625" style="15" customWidth="1"/>
  </cols>
  <sheetData>
    <row r="1" spans="1:14" ht="47.85" customHeight="1" x14ac:dyDescent="0.25">
      <c r="A1" s="27" t="s">
        <v>39</v>
      </c>
      <c r="B1" s="27"/>
      <c r="C1" s="27"/>
      <c r="D1" s="27"/>
      <c r="E1" s="27"/>
      <c r="F1" s="27"/>
      <c r="G1" s="27"/>
      <c r="H1" s="27"/>
      <c r="I1" s="27"/>
      <c r="J1" s="27"/>
      <c r="K1" s="27"/>
      <c r="L1" s="27"/>
      <c r="M1" s="27"/>
      <c r="N1" s="27"/>
    </row>
    <row r="2" spans="1:14" ht="43.5" customHeight="1" x14ac:dyDescent="0.25">
      <c r="A2" s="4" t="s">
        <v>0</v>
      </c>
      <c r="B2" s="14" t="str">
        <f>CONCATENATE("JANEIRO",CHAR(10),"TOTAL: ",SUM(B3:B1048576))</f>
        <v>JANEIRO
TOTAL: 0</v>
      </c>
      <c r="C2" s="14" t="str">
        <f>CONCATENATE("FEVEREIRO",CHAR(10),"TOTAL: ",SUM(C3:C1048576))</f>
        <v>FEVEREIRO
TOTAL: 0</v>
      </c>
      <c r="D2" s="14" t="str">
        <f>CONCATENATE("MARÇO",CHAR(10),"TOTAL: ",SUM(D3:D1048576))</f>
        <v>MARÇO
TOTAL: 0</v>
      </c>
      <c r="E2" s="14" t="str">
        <f>CONCATENATE("ABRIL",CHAR(10),"TOTAL: ",SUM(E3:E1048576))</f>
        <v>ABRIL
TOTAL: 0</v>
      </c>
      <c r="F2" s="14" t="str">
        <f>CONCATENATE("MAIO",CHAR(10),"TOTAL: ",SUM(F3:F1048576))</f>
        <v>MAIO
TOTAL: 0</v>
      </c>
      <c r="G2" s="14" t="str">
        <f>CONCATENATE("JUNHO",CHAR(10),"TOTAL: ",SUM(G3:G1048576))</f>
        <v>JUNHO
TOTAL: 0</v>
      </c>
      <c r="H2" s="14" t="str">
        <f>CONCATENATE("JULHO",CHAR(10),"TOTAL: ",SUM(H3:H1048576))</f>
        <v>JULHO
TOTAL: 0</v>
      </c>
      <c r="I2" s="14" t="str">
        <f>CONCATENATE("AGOSTO",CHAR(10),"TOTAL: ",SUM(I3:I1048576))</f>
        <v>AGOSTO
TOTAL: 0</v>
      </c>
      <c r="J2" s="14" t="str">
        <f>CONCATENATE("SETEMBRO",CHAR(10),"TOTAL: ",SUM(J3:J1048576))</f>
        <v>SETEMBRO
TOTAL: 0</v>
      </c>
      <c r="K2" s="14" t="str">
        <f>CONCATENATE("OUTUBRO",CHAR(10),"TOTAL: ",SUM(K3:K1048576))</f>
        <v>OUTUBRO
TOTAL: 0</v>
      </c>
      <c r="L2" s="14" t="str">
        <f>CONCATENATE("NOVEMBRO",CHAR(10),"TOTAL: ",SUM(L3:L1048576))</f>
        <v>NOVEMBRO
TOTAL: 0</v>
      </c>
      <c r="M2" s="14" t="str">
        <f>CONCATENATE("DEZEMBRO",CHAR(10),"TOTAL: ",SUM(M3:M1048576))</f>
        <v>DEZEMBRO
TOTAL: 0</v>
      </c>
      <c r="N2" s="14" t="str">
        <f>CONCATENATE("DEC. TERCEIRO",CHAR(10),"TOTAL: ",SUM(N3:N1048576))</f>
        <v>DEC. TERCEIRO
TOTAL: 0</v>
      </c>
    </row>
  </sheetData>
  <mergeCells count="1">
    <mergeCell ref="A1:N1"/>
  </mergeCells>
  <pageMargins left="0.511811024" right="0.511811024" top="0.78740157499999996" bottom="0.78740157499999996" header="0.31496062000000002" footer="0.31496062000000002"/>
  <legacy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43"/>
  <dimension ref="A1:N2"/>
  <sheetViews>
    <sheetView workbookViewId="0">
      <selection activeCell="B2" sqref="B1:N1048576"/>
    </sheetView>
  </sheetViews>
  <sheetFormatPr defaultRowHeight="15" x14ac:dyDescent="0.25"/>
  <cols>
    <col min="1" max="1" width="9" style="10"/>
    <col min="2" max="14" width="11.625" style="15" customWidth="1"/>
  </cols>
  <sheetData>
    <row r="1" spans="1:14" ht="47.85" customHeight="1" x14ac:dyDescent="0.25">
      <c r="A1" s="27" t="s">
        <v>38</v>
      </c>
      <c r="B1" s="27"/>
      <c r="C1" s="27"/>
      <c r="D1" s="27"/>
      <c r="E1" s="27"/>
      <c r="F1" s="27"/>
      <c r="G1" s="27"/>
      <c r="H1" s="27"/>
      <c r="I1" s="27"/>
      <c r="J1" s="27"/>
      <c r="K1" s="27"/>
      <c r="L1" s="27"/>
      <c r="M1" s="27"/>
      <c r="N1" s="27"/>
    </row>
    <row r="2" spans="1:14" ht="43.5" customHeight="1" x14ac:dyDescent="0.25">
      <c r="A2" s="4" t="s">
        <v>0</v>
      </c>
      <c r="B2" s="14" t="str">
        <f>CONCATENATE("JANEIRO",CHAR(10),"TOTAL: ",SUM(B3:B1048576))</f>
        <v>JANEIRO
TOTAL: 0</v>
      </c>
      <c r="C2" s="14" t="str">
        <f>CONCATENATE("FEVEREIRO",CHAR(10),"TOTAL: ",SUM(C3:C1048576))</f>
        <v>FEVEREIRO
TOTAL: 0</v>
      </c>
      <c r="D2" s="14" t="str">
        <f>CONCATENATE("MARÇO",CHAR(10),"TOTAL: ",SUM(D3:D1048576))</f>
        <v>MARÇO
TOTAL: 0</v>
      </c>
      <c r="E2" s="14" t="str">
        <f>CONCATENATE("ABRIL",CHAR(10),"TOTAL: ",SUM(E3:E1048576))</f>
        <v>ABRIL
TOTAL: 0</v>
      </c>
      <c r="F2" s="14" t="str">
        <f>CONCATENATE("MAIO",CHAR(10),"TOTAL: ",SUM(F3:F1048576))</f>
        <v>MAIO
TOTAL: 0</v>
      </c>
      <c r="G2" s="14" t="str">
        <f>CONCATENATE("JUNHO",CHAR(10),"TOTAL: ",SUM(G3:G1048576))</f>
        <v>JUNHO
TOTAL: 0</v>
      </c>
      <c r="H2" s="14" t="str">
        <f>CONCATENATE("JULHO",CHAR(10),"TOTAL: ",SUM(H3:H1048576))</f>
        <v>JULHO
TOTAL: 0</v>
      </c>
      <c r="I2" s="14" t="str">
        <f>CONCATENATE("AGOSTO",CHAR(10),"TOTAL: ",SUM(I3:I1048576))</f>
        <v>AGOSTO
TOTAL: 0</v>
      </c>
      <c r="J2" s="14" t="str">
        <f>CONCATENATE("SETEMBRO",CHAR(10),"TOTAL: ",SUM(J3:J1048576))</f>
        <v>SETEMBRO
TOTAL: 0</v>
      </c>
      <c r="K2" s="14" t="str">
        <f>CONCATENATE("OUTUBRO",CHAR(10),"TOTAL: ",SUM(K3:K1048576))</f>
        <v>OUTUBRO
TOTAL: 0</v>
      </c>
      <c r="L2" s="14" t="str">
        <f>CONCATENATE("NOVEMBRO",CHAR(10),"TOTAL: ",SUM(L3:L1048576))</f>
        <v>NOVEMBRO
TOTAL: 0</v>
      </c>
      <c r="M2" s="14" t="str">
        <f>CONCATENATE("DEZEMBRO",CHAR(10),"TOTAL: ",SUM(M3:M1048576))</f>
        <v>DEZEMBRO
TOTAL: 0</v>
      </c>
      <c r="N2" s="14" t="str">
        <f>CONCATENATE("DEC. TERCEIRO",CHAR(10),"TOTAL: ",SUM(N3:N1048576))</f>
        <v>DEC. TERCEIRO
TOTAL: 0</v>
      </c>
    </row>
  </sheetData>
  <mergeCells count="1">
    <mergeCell ref="A1:N1"/>
  </mergeCells>
  <pageMargins left="0.511811024" right="0.511811024" top="0.78740157499999996" bottom="0.78740157499999996" header="0.31496062000000002" footer="0.31496062000000002"/>
  <legacy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42"/>
  <dimension ref="A1:N2"/>
  <sheetViews>
    <sheetView workbookViewId="0">
      <selection activeCell="B2" sqref="B1:N1048576"/>
    </sheetView>
  </sheetViews>
  <sheetFormatPr defaultRowHeight="15" x14ac:dyDescent="0.25"/>
  <cols>
    <col min="1" max="1" width="9" style="10"/>
    <col min="2" max="14" width="11.625" style="15" customWidth="1"/>
  </cols>
  <sheetData>
    <row r="1" spans="1:14" ht="47.85" customHeight="1" x14ac:dyDescent="0.25">
      <c r="A1" s="27" t="s">
        <v>37</v>
      </c>
      <c r="B1" s="27"/>
      <c r="C1" s="27"/>
      <c r="D1" s="27"/>
      <c r="E1" s="27"/>
      <c r="F1" s="27"/>
      <c r="G1" s="27"/>
      <c r="H1" s="27"/>
      <c r="I1" s="27"/>
      <c r="J1" s="27"/>
      <c r="K1" s="27"/>
      <c r="L1" s="27"/>
      <c r="M1" s="27"/>
      <c r="N1" s="27"/>
    </row>
    <row r="2" spans="1:14" ht="43.5" customHeight="1" x14ac:dyDescent="0.25">
      <c r="A2" s="4" t="s">
        <v>0</v>
      </c>
      <c r="B2" s="14" t="str">
        <f>CONCATENATE("JANEIRO",CHAR(10),"TOTAL: ",SUM(B3:B1048576))</f>
        <v>JANEIRO
TOTAL: 0</v>
      </c>
      <c r="C2" s="14" t="str">
        <f>CONCATENATE("FEVEREIRO",CHAR(10),"TOTAL: ",SUM(C3:C1048576))</f>
        <v>FEVEREIRO
TOTAL: 0</v>
      </c>
      <c r="D2" s="14" t="str">
        <f>CONCATENATE("MARÇO",CHAR(10),"TOTAL: ",SUM(D3:D1048576))</f>
        <v>MARÇO
TOTAL: 0</v>
      </c>
      <c r="E2" s="14" t="str">
        <f>CONCATENATE("ABRIL",CHAR(10),"TOTAL: ",SUM(E3:E1048576))</f>
        <v>ABRIL
TOTAL: 0</v>
      </c>
      <c r="F2" s="14" t="str">
        <f>CONCATENATE("MAIO",CHAR(10),"TOTAL: ",SUM(F3:F1048576))</f>
        <v>MAIO
TOTAL: 0</v>
      </c>
      <c r="G2" s="14" t="str">
        <f>CONCATENATE("JUNHO",CHAR(10),"TOTAL: ",SUM(G3:G1048576))</f>
        <v>JUNHO
TOTAL: 0</v>
      </c>
      <c r="H2" s="14" t="str">
        <f>CONCATENATE("JULHO",CHAR(10),"TOTAL: ",SUM(H3:H1048576))</f>
        <v>JULHO
TOTAL: 0</v>
      </c>
      <c r="I2" s="14" t="str">
        <f>CONCATENATE("AGOSTO",CHAR(10),"TOTAL: ",SUM(I3:I1048576))</f>
        <v>AGOSTO
TOTAL: 0</v>
      </c>
      <c r="J2" s="14" t="str">
        <f>CONCATENATE("SETEMBRO",CHAR(10),"TOTAL: ",SUM(J3:J1048576))</f>
        <v>SETEMBRO
TOTAL: 0</v>
      </c>
      <c r="K2" s="14" t="str">
        <f>CONCATENATE("OUTUBRO",CHAR(10),"TOTAL: ",SUM(K3:K1048576))</f>
        <v>OUTUBRO
TOTAL: 0</v>
      </c>
      <c r="L2" s="14" t="str">
        <f>CONCATENATE("NOVEMBRO",CHAR(10),"TOTAL: ",SUM(L3:L1048576))</f>
        <v>NOVEMBRO
TOTAL: 0</v>
      </c>
      <c r="M2" s="14" t="str">
        <f>CONCATENATE("DEZEMBRO",CHAR(10),"TOTAL: ",SUM(M3:M1048576))</f>
        <v>DEZEMBRO
TOTAL: 0</v>
      </c>
      <c r="N2" s="14" t="str">
        <f>CONCATENATE("DEC. TERCEIRO",CHAR(10),"TOTAL: ",SUM(N3:N1048576))</f>
        <v>DEC. TERCEIRO
TOTAL: 0</v>
      </c>
    </row>
  </sheetData>
  <mergeCells count="1">
    <mergeCell ref="A1:N1"/>
  </mergeCells>
  <pageMargins left="0.511811024" right="0.511811024" top="0.78740157499999996" bottom="0.78740157499999996" header="0.31496062000000002" footer="0.31496062000000002"/>
  <legacy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41"/>
  <dimension ref="A1:N2"/>
  <sheetViews>
    <sheetView workbookViewId="0">
      <selection activeCell="B2" sqref="B1:N1048576"/>
    </sheetView>
  </sheetViews>
  <sheetFormatPr defaultRowHeight="15" x14ac:dyDescent="0.25"/>
  <cols>
    <col min="1" max="1" width="9" style="10"/>
    <col min="2" max="14" width="11.625" style="15" customWidth="1"/>
  </cols>
  <sheetData>
    <row r="1" spans="1:14" ht="47.85" customHeight="1" x14ac:dyDescent="0.25">
      <c r="A1" s="27" t="s">
        <v>36</v>
      </c>
      <c r="B1" s="27"/>
      <c r="C1" s="27"/>
      <c r="D1" s="27"/>
      <c r="E1" s="27"/>
      <c r="F1" s="27"/>
      <c r="G1" s="27"/>
      <c r="H1" s="27"/>
      <c r="I1" s="27"/>
      <c r="J1" s="27"/>
      <c r="K1" s="27"/>
      <c r="L1" s="27"/>
      <c r="M1" s="27"/>
      <c r="N1" s="27"/>
    </row>
    <row r="2" spans="1:14" ht="43.5" customHeight="1" x14ac:dyDescent="0.25">
      <c r="A2" s="4" t="s">
        <v>0</v>
      </c>
      <c r="B2" s="14" t="str">
        <f>CONCATENATE("JANEIRO",CHAR(10),"TOTAL: ",SUM(B3:B1048576))</f>
        <v>JANEIRO
TOTAL: 0</v>
      </c>
      <c r="C2" s="14" t="str">
        <f>CONCATENATE("FEVEREIRO",CHAR(10),"TOTAL: ",SUM(C3:C1048576))</f>
        <v>FEVEREIRO
TOTAL: 0</v>
      </c>
      <c r="D2" s="14" t="str">
        <f>CONCATENATE("MARÇO",CHAR(10),"TOTAL: ",SUM(D3:D1048576))</f>
        <v>MARÇO
TOTAL: 0</v>
      </c>
      <c r="E2" s="14" t="str">
        <f>CONCATENATE("ABRIL",CHAR(10),"TOTAL: ",SUM(E3:E1048576))</f>
        <v>ABRIL
TOTAL: 0</v>
      </c>
      <c r="F2" s="14" t="str">
        <f>CONCATENATE("MAIO",CHAR(10),"TOTAL: ",SUM(F3:F1048576))</f>
        <v>MAIO
TOTAL: 0</v>
      </c>
      <c r="G2" s="14" t="str">
        <f>CONCATENATE("JUNHO",CHAR(10),"TOTAL: ",SUM(G3:G1048576))</f>
        <v>JUNHO
TOTAL: 0</v>
      </c>
      <c r="H2" s="14" t="str">
        <f>CONCATENATE("JULHO",CHAR(10),"TOTAL: ",SUM(H3:H1048576))</f>
        <v>JULHO
TOTAL: 0</v>
      </c>
      <c r="I2" s="14" t="str">
        <f>CONCATENATE("AGOSTO",CHAR(10),"TOTAL: ",SUM(I3:I1048576))</f>
        <v>AGOSTO
TOTAL: 0</v>
      </c>
      <c r="J2" s="14" t="str">
        <f>CONCATENATE("SETEMBRO",CHAR(10),"TOTAL: ",SUM(J3:J1048576))</f>
        <v>SETEMBRO
TOTAL: 0</v>
      </c>
      <c r="K2" s="14" t="str">
        <f>CONCATENATE("OUTUBRO",CHAR(10),"TOTAL: ",SUM(K3:K1048576))</f>
        <v>OUTUBRO
TOTAL: 0</v>
      </c>
      <c r="L2" s="14" t="str">
        <f>CONCATENATE("NOVEMBRO",CHAR(10),"TOTAL: ",SUM(L3:L1048576))</f>
        <v>NOVEMBRO
TOTAL: 0</v>
      </c>
      <c r="M2" s="14" t="str">
        <f>CONCATENATE("DEZEMBRO",CHAR(10),"TOTAL: ",SUM(M3:M1048576))</f>
        <v>DEZEMBRO
TOTAL: 0</v>
      </c>
      <c r="N2" s="14" t="str">
        <f>CONCATENATE("DEC. TERCEIRO",CHAR(10),"TOTAL: ",SUM(N3:N1048576))</f>
        <v>DEC. TERCEIRO
TOTAL: 0</v>
      </c>
    </row>
  </sheetData>
  <mergeCells count="1">
    <mergeCell ref="A1:N1"/>
  </mergeCells>
  <pageMargins left="0.511811024" right="0.511811024" top="0.78740157499999996" bottom="0.78740157499999996" header="0.31496062000000002" footer="0.31496062000000002"/>
  <legacy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40"/>
  <dimension ref="A1:N2"/>
  <sheetViews>
    <sheetView workbookViewId="0">
      <selection activeCell="B2" sqref="B2:N2"/>
    </sheetView>
  </sheetViews>
  <sheetFormatPr defaultRowHeight="15" x14ac:dyDescent="0.25"/>
  <cols>
    <col min="1" max="1" width="10.5" style="10" bestFit="1" customWidth="1"/>
    <col min="2" max="14" width="11.625" style="15" customWidth="1"/>
  </cols>
  <sheetData>
    <row r="1" spans="1:14" ht="47.85" customHeight="1" x14ac:dyDescent="0.25">
      <c r="A1" s="27" t="s">
        <v>35</v>
      </c>
      <c r="B1" s="27"/>
      <c r="C1" s="27"/>
      <c r="D1" s="27"/>
      <c r="E1" s="27"/>
      <c r="F1" s="27"/>
      <c r="G1" s="27"/>
      <c r="H1" s="27"/>
      <c r="I1" s="27"/>
      <c r="J1" s="27"/>
      <c r="K1" s="27"/>
      <c r="L1" s="27"/>
      <c r="M1" s="27"/>
      <c r="N1" s="27"/>
    </row>
    <row r="2" spans="1:14" ht="43.5" customHeight="1" x14ac:dyDescent="0.25">
      <c r="A2" s="4" t="s">
        <v>0</v>
      </c>
      <c r="B2" s="14" t="str">
        <f>CONCATENATE("JANEIRO",CHAR(10),"TOTAL: ",ROUND(SUM(B3:B1048576),2))</f>
        <v>JANEIRO
TOTAL: 0</v>
      </c>
      <c r="C2" s="14" t="str">
        <f>CONCATENATE("FEVEREIRO",CHAR(10),"TOTAL: ",ROUND(SUM(C3:C1048576),2))</f>
        <v>FEVEREIRO
TOTAL: 0</v>
      </c>
      <c r="D2" s="14" t="str">
        <f>CONCATENATE("MARÇO",CHAR(10),"TOTAL: ",ROUND(SUM(D3:D1048576),2))</f>
        <v>MARÇO
TOTAL: 0</v>
      </c>
      <c r="E2" s="14" t="str">
        <f>CONCATENATE("ABRIL",CHAR(10),"TOTAL: ",ROUND(SUM(E3:E1048576),2))</f>
        <v>ABRIL
TOTAL: 0</v>
      </c>
      <c r="F2" s="14" t="str">
        <f>CONCATENATE("MAIO",CHAR(10),"TOTAL: ",ROUND(SUM(F3:F1048576),2))</f>
        <v>MAIO
TOTAL: 0</v>
      </c>
      <c r="G2" s="14" t="str">
        <f>CONCATENATE("JUNHO",CHAR(10),"TOTAL: ",ROUND(SUM(G3:G1048576),2))</f>
        <v>JUNHO
TOTAL: 0</v>
      </c>
      <c r="H2" s="14" t="str">
        <f>CONCATENATE("JULHO",CHAR(10),"TOTAL: ",ROUND(SUM(H3:H1048576),2))</f>
        <v>JULHO
TOTAL: 0</v>
      </c>
      <c r="I2" s="14" t="str">
        <f>CONCATENATE("AGOSTO",CHAR(10),"TOTAL: ",ROUND(SUM(I3:I1048576),2))</f>
        <v>AGOSTO
TOTAL: 0</v>
      </c>
      <c r="J2" s="14" t="str">
        <f>CONCATENATE("SETEMBRO",CHAR(10),"TOTAL: ",ROUND(SUM(J3:J1048576),2))</f>
        <v>SETEMBRO
TOTAL: 0</v>
      </c>
      <c r="K2" s="14" t="str">
        <f>CONCATENATE("OUTUBRO",CHAR(10),"TOTAL: ",ROUND(SUM(K3:K1048576),2))</f>
        <v>OUTUBRO
TOTAL: 0</v>
      </c>
      <c r="L2" s="14" t="str">
        <f>CONCATENATE("NOVEMBRO",CHAR(10),"TOTAL: ",ROUND(SUM(L3:L1048576),2))</f>
        <v>NOVEMBRO
TOTAL: 0</v>
      </c>
      <c r="M2" s="14" t="str">
        <f>CONCATENATE("DEZEMBRO",CHAR(10),"TOTAL: ",ROUND(SUM(M3:M1048576),2))</f>
        <v>DEZEMBRO
TOTAL: 0</v>
      </c>
      <c r="N2" s="14" t="str">
        <f>CONCATENATE("DEC. TERCEIRO",CHAR(10),"TOTAL: ",ROUND(SUM(N3:N1048576),2))</f>
        <v>DEC. TERCEIRO
TOTAL: 0</v>
      </c>
    </row>
  </sheetData>
  <mergeCells count="1">
    <mergeCell ref="A1:N1"/>
  </mergeCells>
  <pageMargins left="0.511811024" right="0.511811024" top="0.78740157499999996" bottom="0.78740157499999996" header="0.31496062000000002" footer="0.31496062000000002"/>
  <legacyDrawing r:id="rId1"/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39"/>
  <dimension ref="A1:N2"/>
  <sheetViews>
    <sheetView workbookViewId="0">
      <selection activeCell="B2" sqref="B2:N2"/>
    </sheetView>
  </sheetViews>
  <sheetFormatPr defaultRowHeight="15" x14ac:dyDescent="0.25"/>
  <cols>
    <col min="1" max="1" width="10.5" style="10" bestFit="1" customWidth="1"/>
    <col min="2" max="14" width="11.625" style="15" customWidth="1"/>
  </cols>
  <sheetData>
    <row r="1" spans="1:14" ht="47.85" customHeight="1" x14ac:dyDescent="0.25">
      <c r="A1" s="27" t="s">
        <v>34</v>
      </c>
      <c r="B1" s="27"/>
      <c r="C1" s="27"/>
      <c r="D1" s="27"/>
      <c r="E1" s="27"/>
      <c r="F1" s="27"/>
      <c r="G1" s="27"/>
      <c r="H1" s="27"/>
      <c r="I1" s="27"/>
      <c r="J1" s="27"/>
      <c r="K1" s="27"/>
      <c r="L1" s="27"/>
      <c r="M1" s="27"/>
      <c r="N1" s="27"/>
    </row>
    <row r="2" spans="1:14" ht="43.5" customHeight="1" x14ac:dyDescent="0.25">
      <c r="A2" s="4" t="s">
        <v>0</v>
      </c>
      <c r="B2" s="14" t="str">
        <f>CONCATENATE("JANEIRO",CHAR(10),"TOTAL: ",ROUND(SUM(B3:B1048576),2))</f>
        <v>JANEIRO
TOTAL: 0</v>
      </c>
      <c r="C2" s="14" t="str">
        <f>CONCATENATE("FEVEREIRO",CHAR(10),"TOTAL: ",ROUND(SUM(C3:C1048576),2))</f>
        <v>FEVEREIRO
TOTAL: 0</v>
      </c>
      <c r="D2" s="14" t="str">
        <f>CONCATENATE("MARÇO",CHAR(10),"TOTAL: ",ROUND(SUM(D3:D1048576),2))</f>
        <v>MARÇO
TOTAL: 0</v>
      </c>
      <c r="E2" s="14" t="str">
        <f>CONCATENATE("ABRIL",CHAR(10),"TOTAL: ",ROUND(SUM(E3:E1048576),2))</f>
        <v>ABRIL
TOTAL: 0</v>
      </c>
      <c r="F2" s="14" t="str">
        <f>CONCATENATE("MAIO",CHAR(10),"TOTAL: ",ROUND(SUM(F3:F1048576),2))</f>
        <v>MAIO
TOTAL: 0</v>
      </c>
      <c r="G2" s="14" t="str">
        <f>CONCATENATE("JUNHO",CHAR(10),"TOTAL: ",ROUND(SUM(G3:G1048576),2))</f>
        <v>JUNHO
TOTAL: 0</v>
      </c>
      <c r="H2" s="14" t="str">
        <f>CONCATENATE("JULHO",CHAR(10),"TOTAL: ",ROUND(SUM(H3:H1048576),2))</f>
        <v>JULHO
TOTAL: 0</v>
      </c>
      <c r="I2" s="14" t="str">
        <f>CONCATENATE("AGOSTO",CHAR(10),"TOTAL: ",ROUND(SUM(I3:I1048576),2))</f>
        <v>AGOSTO
TOTAL: 0</v>
      </c>
      <c r="J2" s="14" t="str">
        <f>CONCATENATE("SETEMBRO",CHAR(10),"TOTAL: ",ROUND(SUM(J3:J1048576),2))</f>
        <v>SETEMBRO
TOTAL: 0</v>
      </c>
      <c r="K2" s="14" t="str">
        <f>CONCATENATE("OUTUBRO",CHAR(10),"TOTAL: ",ROUND(SUM(K3:K1048576),2))</f>
        <v>OUTUBRO
TOTAL: 0</v>
      </c>
      <c r="L2" s="14" t="str">
        <f>CONCATENATE("NOVEMBRO",CHAR(10),"TOTAL: ",ROUND(SUM(L3:L1048576),2))</f>
        <v>NOVEMBRO
TOTAL: 0</v>
      </c>
      <c r="M2" s="14" t="str">
        <f>CONCATENATE("DEZEMBRO",CHAR(10),"TOTAL: ",ROUND(SUM(M3:M1048576),2))</f>
        <v>DEZEMBRO
TOTAL: 0</v>
      </c>
      <c r="N2" s="14" t="str">
        <f>CONCATENATE("DEC. TERCEIRO",CHAR(10),"TOTAL: ",ROUND(SUM(N3:N1048576),2))</f>
        <v>DEC. TERCEIRO
TOTAL: 0</v>
      </c>
    </row>
  </sheetData>
  <mergeCells count="1">
    <mergeCell ref="A1:N1"/>
  </mergeCells>
  <pageMargins left="0.511811024" right="0.511811024" top="0.78740157499999996" bottom="0.78740157499999996" header="0.31496062000000002" footer="0.31496062000000002"/>
  <legacyDrawing r:id="rId1"/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58"/>
  <dimension ref="A1:N2"/>
  <sheetViews>
    <sheetView workbookViewId="0">
      <selection activeCell="B2" sqref="B1:N1048576"/>
    </sheetView>
  </sheetViews>
  <sheetFormatPr defaultRowHeight="15" x14ac:dyDescent="0.25"/>
  <cols>
    <col min="1" max="1" width="9" style="10"/>
    <col min="2" max="14" width="11.625" style="15" customWidth="1"/>
  </cols>
  <sheetData>
    <row r="1" spans="1:14" ht="47.85" customHeight="1" x14ac:dyDescent="0.25">
      <c r="A1" s="27" t="s">
        <v>33</v>
      </c>
      <c r="B1" s="27"/>
      <c r="C1" s="27"/>
      <c r="D1" s="27"/>
      <c r="E1" s="27"/>
      <c r="F1" s="27"/>
      <c r="G1" s="27"/>
      <c r="H1" s="27"/>
      <c r="I1" s="27"/>
      <c r="J1" s="27"/>
      <c r="K1" s="27"/>
      <c r="L1" s="27"/>
      <c r="M1" s="27"/>
      <c r="N1" s="27"/>
    </row>
    <row r="2" spans="1:14" ht="43.5" customHeight="1" x14ac:dyDescent="0.25">
      <c r="A2" s="4" t="s">
        <v>0</v>
      </c>
      <c r="B2" s="14" t="str">
        <f>CONCATENATE("JANEIRO",CHAR(10),"TOTAL: ",SUM(B3:B1048576))</f>
        <v>JANEIRO
TOTAL: 0</v>
      </c>
      <c r="C2" s="14" t="str">
        <f>CONCATENATE("FEVEREIRO",CHAR(10),"TOTAL: ",SUM(C3:C1048576))</f>
        <v>FEVEREIRO
TOTAL: 0</v>
      </c>
      <c r="D2" s="14" t="str">
        <f>CONCATENATE("MARÇO",CHAR(10),"TOTAL: ",SUM(D3:D1048576))</f>
        <v>MARÇO
TOTAL: 0</v>
      </c>
      <c r="E2" s="14" t="str">
        <f>CONCATENATE("ABRIL",CHAR(10),"TOTAL: ",SUM(E3:E1048576))</f>
        <v>ABRIL
TOTAL: 0</v>
      </c>
      <c r="F2" s="14" t="str">
        <f>CONCATENATE("MAIO",CHAR(10),"TOTAL: ",SUM(F3:F1048576))</f>
        <v>MAIO
TOTAL: 0</v>
      </c>
      <c r="G2" s="14" t="str">
        <f>CONCATENATE("JUNHO",CHAR(10),"TOTAL: ",SUM(G3:G1048576))</f>
        <v>JUNHO
TOTAL: 0</v>
      </c>
      <c r="H2" s="14" t="str">
        <f>CONCATENATE("JULHO",CHAR(10),"TOTAL: ",SUM(H3:H1048576))</f>
        <v>JULHO
TOTAL: 0</v>
      </c>
      <c r="I2" s="14" t="str">
        <f>CONCATENATE("AGOSTO",CHAR(10),"TOTAL: ",SUM(I3:I1048576))</f>
        <v>AGOSTO
TOTAL: 0</v>
      </c>
      <c r="J2" s="14" t="str">
        <f>CONCATENATE("SETEMBRO",CHAR(10),"TOTAL: ",SUM(J3:J1048576))</f>
        <v>SETEMBRO
TOTAL: 0</v>
      </c>
      <c r="K2" s="14" t="str">
        <f>CONCATENATE("OUTUBRO",CHAR(10),"TOTAL: ",SUM(K3:K1048576))</f>
        <v>OUTUBRO
TOTAL: 0</v>
      </c>
      <c r="L2" s="14" t="str">
        <f>CONCATENATE("NOVEMBRO",CHAR(10),"TOTAL: ",SUM(L3:L1048576))</f>
        <v>NOVEMBRO
TOTAL: 0</v>
      </c>
      <c r="M2" s="14" t="str">
        <f>CONCATENATE("DEZEMBRO",CHAR(10),"TOTAL: ",SUM(M3:M1048576))</f>
        <v>DEZEMBRO
TOTAL: 0</v>
      </c>
      <c r="N2" s="14" t="str">
        <f>CONCATENATE("DEC. TERCEIRO",CHAR(10),"TOTAL: ",SUM(N3:N1048576))</f>
        <v>DEC. TERCEIRO
TOTAL: 0</v>
      </c>
    </row>
  </sheetData>
  <mergeCells count="1">
    <mergeCell ref="A1:N1"/>
  </mergeCells>
  <pageMargins left="0.511811024" right="0.511811024" top="0.78740157499999996" bottom="0.78740157499999996" header="0.31496062000000002" footer="0.31496062000000002"/>
  <legacyDrawing r:id="rId1"/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54"/>
  <dimension ref="A1:N3"/>
  <sheetViews>
    <sheetView workbookViewId="0">
      <selection activeCell="B2" sqref="B2:N2"/>
    </sheetView>
  </sheetViews>
  <sheetFormatPr defaultRowHeight="12" x14ac:dyDescent="0.2"/>
  <cols>
    <col min="1" max="1" width="11.875" style="10" customWidth="1"/>
    <col min="2" max="14" width="11.625" style="15" customWidth="1"/>
    <col min="15" max="16384" width="9" style="9"/>
  </cols>
  <sheetData>
    <row r="1" spans="1:14" customFormat="1" ht="47.85" customHeight="1" x14ac:dyDescent="0.25">
      <c r="A1" s="27" t="s">
        <v>54</v>
      </c>
      <c r="B1" s="27"/>
      <c r="C1" s="27"/>
      <c r="D1" s="27"/>
      <c r="E1" s="27"/>
      <c r="F1" s="27"/>
      <c r="G1" s="27"/>
      <c r="H1" s="27"/>
      <c r="I1" s="27"/>
      <c r="J1" s="27"/>
      <c r="K1" s="27"/>
      <c r="L1" s="27"/>
      <c r="M1" s="27"/>
      <c r="N1" s="27"/>
    </row>
    <row r="2" spans="1:14" customFormat="1" ht="43.5" customHeight="1" x14ac:dyDescent="0.25">
      <c r="A2" s="4" t="s">
        <v>0</v>
      </c>
      <c r="B2" s="14" t="str">
        <f>CONCATENATE("JANEIRO",CHAR(10),"TOTAL: ",ROUND(SUM(B3:B1048576),2))</f>
        <v>JANEIRO
TOTAL: 0</v>
      </c>
      <c r="C2" s="14" t="str">
        <f>CONCATENATE("FEVEREIRO",CHAR(10),"TOTAL: ",ROUND(SUM(C3:C1048576),2))</f>
        <v>FEVEREIRO
TOTAL: 0</v>
      </c>
      <c r="D2" s="14" t="str">
        <f>CONCATENATE("MARÇO",CHAR(10),"TOTAL: ",ROUND(SUM(D3:D1048576),2))</f>
        <v>MARÇO
TOTAL: 1030</v>
      </c>
      <c r="E2" s="14" t="str">
        <f>CONCATENATE("ABRIL",CHAR(10),"TOTAL: ",ROUND(SUM(E3:E1048576),2))</f>
        <v>ABRIL
TOTAL: 0</v>
      </c>
      <c r="F2" s="14" t="str">
        <f>CONCATENATE("MAIO",CHAR(10),"TOTAL: ",ROUND(SUM(F3:F1048576),2))</f>
        <v>MAIO
TOTAL: 0</v>
      </c>
      <c r="G2" s="14" t="str">
        <f>CONCATENATE("JUNHO",CHAR(10),"TOTAL: ",ROUND(SUM(G3:G1048576),2))</f>
        <v>JUNHO
TOTAL: 0</v>
      </c>
      <c r="H2" s="14" t="str">
        <f>CONCATENATE("JULHO",CHAR(10),"TOTAL: ",ROUND(SUM(H3:H1048576),2))</f>
        <v>JULHO
TOTAL: 0</v>
      </c>
      <c r="I2" s="14" t="str">
        <f>CONCATENATE("AGOSTO",CHAR(10),"TOTAL: ",ROUND(SUM(I3:I1048576),2))</f>
        <v>AGOSTO
TOTAL: 0</v>
      </c>
      <c r="J2" s="14" t="str">
        <f>CONCATENATE("SETEMBRO",CHAR(10),"TOTAL: ",ROUND(SUM(J3:J1048576),2))</f>
        <v>SETEMBRO
TOTAL: 0</v>
      </c>
      <c r="K2" s="14" t="str">
        <f>CONCATENATE("OUTUBRO",CHAR(10),"TOTAL: ",ROUND(SUM(K3:K1048576),2))</f>
        <v>OUTUBRO
TOTAL: 0</v>
      </c>
      <c r="L2" s="14" t="str">
        <f>CONCATENATE("NOVEMBRO",CHAR(10),"TOTAL: ",ROUND(SUM(L3:L1048576),2))</f>
        <v>NOVEMBRO
TOTAL: 0</v>
      </c>
      <c r="M2" s="14" t="str">
        <f>CONCATENATE("DEZEMBRO",CHAR(10),"TOTAL: ",ROUND(SUM(M3:M1048576),2))</f>
        <v>DEZEMBRO
TOTAL: 0</v>
      </c>
      <c r="N2" s="14" t="str">
        <f>CONCATENATE("DEC. TERCEIRO",CHAR(10),"TOTAL: ",ROUND(SUM(N3:N1048576),2))</f>
        <v>DEC. TERCEIRO
TOTAL: 0</v>
      </c>
    </row>
    <row r="3" spans="1:14" x14ac:dyDescent="0.2">
      <c r="A3" s="10" t="s">
        <v>92</v>
      </c>
      <c r="B3" s="15">
        <v>0</v>
      </c>
      <c r="C3" s="15">
        <v>0</v>
      </c>
      <c r="D3" s="15">
        <v>1030</v>
      </c>
      <c r="E3" s="15">
        <v>0</v>
      </c>
      <c r="F3" s="15">
        <v>0</v>
      </c>
      <c r="G3" s="15">
        <v>0</v>
      </c>
      <c r="H3" s="15">
        <v>0</v>
      </c>
      <c r="I3" s="15">
        <v>0</v>
      </c>
      <c r="J3" s="15">
        <v>0</v>
      </c>
      <c r="K3" s="15">
        <v>0</v>
      </c>
      <c r="L3" s="15">
        <v>0</v>
      </c>
      <c r="M3" s="15">
        <v>0</v>
      </c>
    </row>
  </sheetData>
  <mergeCells count="1">
    <mergeCell ref="A1:N1"/>
  </mergeCells>
  <pageMargins left="0.511811024" right="0.511811024" top="0.78740157499999996" bottom="0.78740157499999996" header="0.31496062000000002" footer="0.31496062000000002"/>
  <legacyDrawing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56"/>
  <dimension ref="A1:D3"/>
  <sheetViews>
    <sheetView topLeftCell="B1" workbookViewId="0">
      <selection activeCell="B7" sqref="B7"/>
    </sheetView>
  </sheetViews>
  <sheetFormatPr defaultRowHeight="15" x14ac:dyDescent="0.25"/>
  <cols>
    <col min="1" max="1" width="11.875" style="10" hidden="1" customWidth="1"/>
    <col min="2" max="2" width="11.875" style="10" customWidth="1"/>
    <col min="3" max="3" width="41.625" style="9" customWidth="1"/>
    <col min="4" max="4" width="9.375" style="9" customWidth="1"/>
  </cols>
  <sheetData>
    <row r="1" spans="1:4" ht="47.85" customHeight="1" x14ac:dyDescent="0.25">
      <c r="A1" s="26" t="s">
        <v>69</v>
      </c>
      <c r="B1" s="27"/>
      <c r="C1" s="27"/>
      <c r="D1" s="27"/>
    </row>
    <row r="2" spans="1:4" ht="60" x14ac:dyDescent="0.25">
      <c r="A2" s="4"/>
      <c r="B2" s="4" t="s">
        <v>0</v>
      </c>
      <c r="C2" s="4" t="s">
        <v>23</v>
      </c>
      <c r="D2" s="4" t="s">
        <v>29</v>
      </c>
    </row>
    <row r="3" spans="1:4" x14ac:dyDescent="0.25">
      <c r="A3" s="10" t="s">
        <v>92</v>
      </c>
      <c r="B3" s="10" t="s">
        <v>92</v>
      </c>
      <c r="C3" s="9" t="s">
        <v>93</v>
      </c>
    </row>
  </sheetData>
  <mergeCells count="1">
    <mergeCell ref="A1:D1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73"/>
  <dimension ref="A1:N2"/>
  <sheetViews>
    <sheetView workbookViewId="0">
      <selection activeCell="I8" sqref="I8"/>
    </sheetView>
  </sheetViews>
  <sheetFormatPr defaultRowHeight="15" x14ac:dyDescent="0.25"/>
  <cols>
    <col min="1" max="1" width="10.5" style="10" bestFit="1" customWidth="1"/>
    <col min="2" max="14" width="11.625" style="15" customWidth="1"/>
  </cols>
  <sheetData>
    <row r="1" spans="1:14" ht="47.85" customHeight="1" x14ac:dyDescent="0.25">
      <c r="A1" s="26" t="s">
        <v>48</v>
      </c>
      <c r="B1" s="27"/>
      <c r="C1" s="27"/>
      <c r="D1" s="27"/>
      <c r="E1" s="27"/>
      <c r="F1" s="27"/>
      <c r="G1" s="27"/>
      <c r="H1" s="27"/>
      <c r="I1" s="27"/>
      <c r="J1" s="27"/>
      <c r="K1" s="27"/>
      <c r="L1" s="27"/>
      <c r="M1" s="27"/>
      <c r="N1" s="27"/>
    </row>
    <row r="2" spans="1:14" ht="43.5" customHeight="1" x14ac:dyDescent="0.25">
      <c r="A2" s="4" t="s">
        <v>0</v>
      </c>
      <c r="B2" s="14" t="str">
        <f>CONCATENATE("JANEIRO",CHAR(10),"TOTAL: ",ROUND(SUM(B3:B1048576),2))</f>
        <v>JANEIRO
TOTAL: 0</v>
      </c>
      <c r="C2" s="14" t="str">
        <f>CONCATENATE("FEVEREIRO",CHAR(10),"TOTAL: ",ROUND(SUM(C3:C1048576),2))</f>
        <v>FEVEREIRO
TOTAL: 0</v>
      </c>
      <c r="D2" s="14" t="str">
        <f>CONCATENATE("MARÇO",CHAR(10),"TOTAL: ",ROUND(SUM(D3:D1048576),2))</f>
        <v>MARÇO
TOTAL: 0</v>
      </c>
      <c r="E2" s="14" t="str">
        <f>CONCATENATE("ABRIL",CHAR(10),"TOTAL: ",ROUND(SUM(E3:E1048576),2))</f>
        <v>ABRIL
TOTAL: 0</v>
      </c>
      <c r="F2" s="14" t="str">
        <f>CONCATENATE("MAIO",CHAR(10),"TOTAL: ",ROUND(SUM(F3:F1048576),2))</f>
        <v>MAIO
TOTAL: 0</v>
      </c>
      <c r="G2" s="14" t="str">
        <f>CONCATENATE("JUNHO",CHAR(10),"TOTAL: ",ROUND(SUM(G3:G1048576),2))</f>
        <v>JUNHO
TOTAL: 0</v>
      </c>
      <c r="H2" s="14" t="str">
        <f>CONCATENATE("JULHO",CHAR(10),"TOTAL: ",ROUND(SUM(H3:H1048576),2))</f>
        <v>JULHO
TOTAL: 0</v>
      </c>
      <c r="I2" s="14" t="str">
        <f>CONCATENATE("AGOSTO",CHAR(10),"TOTAL: ",ROUND(SUM(I3:I1048576),2))</f>
        <v>AGOSTO
TOTAL: 0</v>
      </c>
      <c r="J2" s="14" t="str">
        <f>CONCATENATE("SETEMBRO",CHAR(10),"TOTAL: ",ROUND(SUM(J3:J1048576),2))</f>
        <v>SETEMBRO
TOTAL: 0</v>
      </c>
      <c r="K2" s="14" t="str">
        <f>CONCATENATE("OUTUBRO",CHAR(10),"TOTAL: ",ROUND(SUM(K3:K1048576),2))</f>
        <v>OUTUBRO
TOTAL: 0</v>
      </c>
      <c r="L2" s="14" t="str">
        <f>CONCATENATE("NOVEMBRO",CHAR(10),"TOTAL: ",ROUND(SUM(L3:L1048576),2))</f>
        <v>NOVEMBRO
TOTAL: 0</v>
      </c>
      <c r="M2" s="14" t="str">
        <f>CONCATENATE("DEZEMBRO",CHAR(10),"TOTAL: ",ROUND(SUM(M3:M1048576),2))</f>
        <v>DEZEMBRO
TOTAL: 0</v>
      </c>
      <c r="N2" s="14" t="str">
        <f>CONCATENATE("DEC. TERCEIRO",CHAR(10),"TOTAL: ",ROUND(SUM(N3:N1048576),2))</f>
        <v>DEC. TERCEIRO
TOTAL: 0</v>
      </c>
    </row>
  </sheetData>
  <mergeCells count="1">
    <mergeCell ref="A1:N1"/>
  </mergeCells>
  <pageMargins left="0.511811024" right="0.511811024" top="0.78740157499999996" bottom="0.78740157499999996" header="0.31496062000000002" footer="0.31496062000000002"/>
  <legacyDrawing r:id="rId1"/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72"/>
  <dimension ref="A1:N2"/>
  <sheetViews>
    <sheetView workbookViewId="0">
      <selection activeCell="B2" sqref="B2:N2"/>
    </sheetView>
  </sheetViews>
  <sheetFormatPr defaultRowHeight="15" x14ac:dyDescent="0.25"/>
  <cols>
    <col min="1" max="1" width="10.5" style="10" bestFit="1" customWidth="1"/>
    <col min="2" max="14" width="11.625" style="15" customWidth="1"/>
  </cols>
  <sheetData>
    <row r="1" spans="1:14" ht="47.85" customHeight="1" x14ac:dyDescent="0.25">
      <c r="A1" s="26" t="s">
        <v>47</v>
      </c>
      <c r="B1" s="27"/>
      <c r="C1" s="27"/>
      <c r="D1" s="27"/>
      <c r="E1" s="27"/>
      <c r="F1" s="27"/>
      <c r="G1" s="27"/>
      <c r="H1" s="27"/>
      <c r="I1" s="27"/>
      <c r="J1" s="27"/>
      <c r="K1" s="27"/>
      <c r="L1" s="27"/>
      <c r="M1" s="27"/>
      <c r="N1" s="27"/>
    </row>
    <row r="2" spans="1:14" ht="43.5" customHeight="1" x14ac:dyDescent="0.25">
      <c r="A2" s="4" t="s">
        <v>0</v>
      </c>
      <c r="B2" s="14" t="str">
        <f>CONCATENATE("JANEIRO",CHAR(10),"TOTAL: ",ROUND(SUM(B3:B1048576),2))</f>
        <v>JANEIRO
TOTAL: 0</v>
      </c>
      <c r="C2" s="14" t="str">
        <f>CONCATENATE("FEVEREIRO",CHAR(10),"TOTAL: ",ROUND(SUM(C3:C1048576),2))</f>
        <v>FEVEREIRO
TOTAL: 0</v>
      </c>
      <c r="D2" s="14" t="str">
        <f>CONCATENATE("MARÇO",CHAR(10),"TOTAL: ",ROUND(SUM(D3:D1048576),2))</f>
        <v>MARÇO
TOTAL: 0</v>
      </c>
      <c r="E2" s="14" t="str">
        <f>CONCATENATE("ABRIL",CHAR(10),"TOTAL: ",ROUND(SUM(E3:E1048576),2))</f>
        <v>ABRIL
TOTAL: 0</v>
      </c>
      <c r="F2" s="14" t="str">
        <f>CONCATENATE("MAIO",CHAR(10),"TOTAL: ",ROUND(SUM(F3:F1048576),2))</f>
        <v>MAIO
TOTAL: 0</v>
      </c>
      <c r="G2" s="14" t="str">
        <f>CONCATENATE("JUNHO",CHAR(10),"TOTAL: ",ROUND(SUM(G3:G1048576),2))</f>
        <v>JUNHO
TOTAL: 0</v>
      </c>
      <c r="H2" s="14" t="str">
        <f>CONCATENATE("JULHO",CHAR(10),"TOTAL: ",ROUND(SUM(H3:H1048576),2))</f>
        <v>JULHO
TOTAL: 0</v>
      </c>
      <c r="I2" s="14" t="str">
        <f>CONCATENATE("AGOSTO",CHAR(10),"TOTAL: ",ROUND(SUM(I3:I1048576),2))</f>
        <v>AGOSTO
TOTAL: 0</v>
      </c>
      <c r="J2" s="14" t="str">
        <f>CONCATENATE("SETEMBRO",CHAR(10),"TOTAL: ",ROUND(SUM(J3:J1048576),2))</f>
        <v>SETEMBRO
TOTAL: 0</v>
      </c>
      <c r="K2" s="14" t="str">
        <f>CONCATENATE("OUTUBRO",CHAR(10),"TOTAL: ",ROUND(SUM(K3:K1048576),2))</f>
        <v>OUTUBRO
TOTAL: 0</v>
      </c>
      <c r="L2" s="14" t="str">
        <f>CONCATENATE("NOVEMBRO",CHAR(10),"TOTAL: ",ROUND(SUM(L3:L1048576),2))</f>
        <v>NOVEMBRO
TOTAL: 0</v>
      </c>
      <c r="M2" s="14" t="str">
        <f>CONCATENATE("DEZEMBRO",CHAR(10),"TOTAL: ",ROUND(SUM(M3:M1048576),2))</f>
        <v>DEZEMBRO
TOTAL: 0</v>
      </c>
      <c r="N2" s="14" t="str">
        <f>CONCATENATE("DEC. TERCEIRO",CHAR(10),"TOTAL: ",ROUND(SUM(N3:N1048576),2))</f>
        <v>DEC. TERCEIRO
TOTAL: 0</v>
      </c>
    </row>
  </sheetData>
  <mergeCells count="1">
    <mergeCell ref="A1:N1"/>
  </mergeCells>
  <pageMargins left="0.511811024" right="0.511811024" top="0.78740157499999996" bottom="0.78740157499999996" header="0.31496062000000002" footer="0.31496062000000002"/>
  <legacyDrawing r:id="rId1"/>
</worksheet>
</file>

<file path=xl/worksheets/sheet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71"/>
  <dimension ref="A1:N2"/>
  <sheetViews>
    <sheetView workbookViewId="0">
      <selection activeCell="B2" sqref="B2:N2"/>
    </sheetView>
  </sheetViews>
  <sheetFormatPr defaultRowHeight="15" x14ac:dyDescent="0.25"/>
  <cols>
    <col min="1" max="1" width="10.5" style="10" bestFit="1" customWidth="1"/>
    <col min="2" max="14" width="11.625" style="15" customWidth="1"/>
  </cols>
  <sheetData>
    <row r="1" spans="1:14" ht="47.85" customHeight="1" x14ac:dyDescent="0.25">
      <c r="A1" s="26" t="s">
        <v>46</v>
      </c>
      <c r="B1" s="27"/>
      <c r="C1" s="27"/>
      <c r="D1" s="27"/>
      <c r="E1" s="27"/>
      <c r="F1" s="27"/>
      <c r="G1" s="27"/>
      <c r="H1" s="27"/>
      <c r="I1" s="27"/>
      <c r="J1" s="27"/>
      <c r="K1" s="27"/>
      <c r="L1" s="27"/>
      <c r="M1" s="27"/>
      <c r="N1" s="27"/>
    </row>
    <row r="2" spans="1:14" ht="43.5" customHeight="1" x14ac:dyDescent="0.25">
      <c r="A2" s="4" t="s">
        <v>0</v>
      </c>
      <c r="B2" s="14" t="str">
        <f>CONCATENATE("JANEIRO",CHAR(10),"TOTAL: ",ROUND(SUM(B3:B1048576),2))</f>
        <v>JANEIRO
TOTAL: 0</v>
      </c>
      <c r="C2" s="14" t="str">
        <f>CONCATENATE("FEVEREIRO",CHAR(10),"TOTAL: ",ROUND(SUM(C3:C1048576),2))</f>
        <v>FEVEREIRO
TOTAL: 0</v>
      </c>
      <c r="D2" s="14" t="str">
        <f>CONCATENATE("MARÇO",CHAR(10),"TOTAL: ",ROUND(SUM(D3:D1048576),2))</f>
        <v>MARÇO
TOTAL: 0</v>
      </c>
      <c r="E2" s="14" t="str">
        <f>CONCATENATE("ABRIL",CHAR(10),"TOTAL: ",ROUND(SUM(E3:E1048576),2))</f>
        <v>ABRIL
TOTAL: 0</v>
      </c>
      <c r="F2" s="14" t="str">
        <f>CONCATENATE("MAIO",CHAR(10),"TOTAL: ",ROUND(SUM(F3:F1048576),2))</f>
        <v>MAIO
TOTAL: 0</v>
      </c>
      <c r="G2" s="14" t="str">
        <f>CONCATENATE("JUNHO",CHAR(10),"TOTAL: ",ROUND(SUM(G3:G1048576),2))</f>
        <v>JUNHO
TOTAL: 0</v>
      </c>
      <c r="H2" s="14" t="str">
        <f>CONCATENATE("JULHO",CHAR(10),"TOTAL: ",ROUND(SUM(H3:H1048576),2))</f>
        <v>JULHO
TOTAL: 0</v>
      </c>
      <c r="I2" s="14" t="str">
        <f>CONCATENATE("AGOSTO",CHAR(10),"TOTAL: ",ROUND(SUM(I3:I1048576),2))</f>
        <v>AGOSTO
TOTAL: 0</v>
      </c>
      <c r="J2" s="14" t="str">
        <f>CONCATENATE("SETEMBRO",CHAR(10),"TOTAL: ",ROUND(SUM(J3:J1048576),2))</f>
        <v>SETEMBRO
TOTAL: 0</v>
      </c>
      <c r="K2" s="14" t="str">
        <f>CONCATENATE("OUTUBRO",CHAR(10),"TOTAL: ",ROUND(SUM(K3:K1048576),2))</f>
        <v>OUTUBRO
TOTAL: 0</v>
      </c>
      <c r="L2" s="14" t="str">
        <f>CONCATENATE("NOVEMBRO",CHAR(10),"TOTAL: ",ROUND(SUM(L3:L1048576),2))</f>
        <v>NOVEMBRO
TOTAL: 0</v>
      </c>
      <c r="M2" s="14" t="str">
        <f>CONCATENATE("DEZEMBRO",CHAR(10),"TOTAL: ",ROUND(SUM(M3:M1048576),2))</f>
        <v>DEZEMBRO
TOTAL: 0</v>
      </c>
      <c r="N2" s="14" t="str">
        <f>CONCATENATE("DEC. TERCEIRO",CHAR(10),"TOTAL: ",ROUND(SUM(N3:N1048576),2))</f>
        <v>DEC. TERCEIRO
TOTAL: 0</v>
      </c>
    </row>
  </sheetData>
  <mergeCells count="1">
    <mergeCell ref="A1:N1"/>
  </mergeCells>
  <pageMargins left="0.511811024" right="0.511811024" top="0.78740157499999996" bottom="0.78740157499999996" header="0.31496062000000002" footer="0.31496062000000002"/>
  <legacyDrawing r:id="rId1"/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70"/>
  <dimension ref="A1:N2"/>
  <sheetViews>
    <sheetView workbookViewId="0">
      <selection activeCell="B2" sqref="B2:N2"/>
    </sheetView>
  </sheetViews>
  <sheetFormatPr defaultRowHeight="15" x14ac:dyDescent="0.25"/>
  <cols>
    <col min="1" max="1" width="10.5" style="10" bestFit="1" customWidth="1"/>
    <col min="2" max="14" width="11.625" style="15" customWidth="1"/>
  </cols>
  <sheetData>
    <row r="1" spans="1:14" ht="47.85" customHeight="1" x14ac:dyDescent="0.25">
      <c r="A1" s="27" t="s">
        <v>45</v>
      </c>
      <c r="B1" s="27"/>
      <c r="C1" s="27"/>
      <c r="D1" s="27"/>
      <c r="E1" s="27"/>
      <c r="F1" s="27"/>
      <c r="G1" s="27"/>
      <c r="H1" s="27"/>
      <c r="I1" s="27"/>
      <c r="J1" s="27"/>
      <c r="K1" s="27"/>
      <c r="L1" s="27"/>
      <c r="M1" s="27"/>
      <c r="N1" s="27"/>
    </row>
    <row r="2" spans="1:14" ht="43.5" customHeight="1" x14ac:dyDescent="0.25">
      <c r="A2" s="4" t="s">
        <v>0</v>
      </c>
      <c r="B2" s="14" t="str">
        <f>CONCATENATE("JANEIRO",CHAR(10),"TOTAL: ",ROUND(SUM(B3:B1048576),2))</f>
        <v>JANEIRO
TOTAL: 0</v>
      </c>
      <c r="C2" s="14" t="str">
        <f>CONCATENATE("FEVEREIRO",CHAR(10),"TOTAL: ",ROUND(SUM(C3:C1048576),2))</f>
        <v>FEVEREIRO
TOTAL: 0</v>
      </c>
      <c r="D2" s="14" t="str">
        <f>CONCATENATE("MARÇO",CHAR(10),"TOTAL: ",ROUND(SUM(D3:D1048576),2))</f>
        <v>MARÇO
TOTAL: 0</v>
      </c>
      <c r="E2" s="14" t="str">
        <f>CONCATENATE("ABRIL",CHAR(10),"TOTAL: ",ROUND(SUM(E3:E1048576),2))</f>
        <v>ABRIL
TOTAL: 0</v>
      </c>
      <c r="F2" s="14" t="str">
        <f>CONCATENATE("MAIO",CHAR(10),"TOTAL: ",ROUND(SUM(F3:F1048576),2))</f>
        <v>MAIO
TOTAL: 0</v>
      </c>
      <c r="G2" s="14" t="str">
        <f>CONCATENATE("JUNHO",CHAR(10),"TOTAL: ",ROUND(SUM(G3:G1048576),2))</f>
        <v>JUNHO
TOTAL: 0</v>
      </c>
      <c r="H2" s="14" t="str">
        <f>CONCATENATE("JULHO",CHAR(10),"TOTAL: ",ROUND(SUM(H3:H1048576),2))</f>
        <v>JULHO
TOTAL: 0</v>
      </c>
      <c r="I2" s="14" t="str">
        <f>CONCATENATE("AGOSTO",CHAR(10),"TOTAL: ",ROUND(SUM(I3:I1048576),2))</f>
        <v>AGOSTO
TOTAL: 0</v>
      </c>
      <c r="J2" s="14" t="str">
        <f>CONCATENATE("SETEMBRO",CHAR(10),"TOTAL: ",ROUND(SUM(J3:J1048576),2))</f>
        <v>SETEMBRO
TOTAL: 0</v>
      </c>
      <c r="K2" s="14" t="str">
        <f>CONCATENATE("OUTUBRO",CHAR(10),"TOTAL: ",ROUND(SUM(K3:K1048576),2))</f>
        <v>OUTUBRO
TOTAL: 0</v>
      </c>
      <c r="L2" s="14" t="str">
        <f>CONCATENATE("NOVEMBRO",CHAR(10),"TOTAL: ",ROUND(SUM(L3:L1048576),2))</f>
        <v>NOVEMBRO
TOTAL: 0</v>
      </c>
      <c r="M2" s="14" t="str">
        <f>CONCATENATE("DEZEMBRO",CHAR(10),"TOTAL: ",ROUND(SUM(M3:M1048576),2))</f>
        <v>DEZEMBRO
TOTAL: 0</v>
      </c>
      <c r="N2" s="14" t="str">
        <f>CONCATENATE("DEC. TERCEIRO",CHAR(10),"TOTAL: ",ROUND(SUM(N3:N1048576),2))</f>
        <v>DEC. TERCEIRO
TOTAL: 0</v>
      </c>
    </row>
  </sheetData>
  <mergeCells count="1">
    <mergeCell ref="A1:N1"/>
  </mergeCells>
  <pageMargins left="0.511811024" right="0.511811024" top="0.78740157499999996" bottom="0.78740157499999996" header="0.31496062000000002" footer="0.31496062000000002"/>
  <legacyDrawing r:id="rId1"/>
</worksheet>
</file>

<file path=xl/worksheets/sheet3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69"/>
  <dimension ref="A1:N2"/>
  <sheetViews>
    <sheetView workbookViewId="0">
      <selection activeCell="B2" sqref="B2:N2"/>
    </sheetView>
  </sheetViews>
  <sheetFormatPr defaultRowHeight="15" x14ac:dyDescent="0.25"/>
  <cols>
    <col min="1" max="1" width="10.5" style="10" bestFit="1" customWidth="1"/>
    <col min="2" max="14" width="11.625" style="15" customWidth="1"/>
  </cols>
  <sheetData>
    <row r="1" spans="1:14" ht="47.85" customHeight="1" x14ac:dyDescent="0.25">
      <c r="A1" s="27" t="s">
        <v>44</v>
      </c>
      <c r="B1" s="27"/>
      <c r="C1" s="27"/>
      <c r="D1" s="27"/>
      <c r="E1" s="27"/>
      <c r="F1" s="27"/>
      <c r="G1" s="27"/>
      <c r="H1" s="27"/>
      <c r="I1" s="27"/>
      <c r="J1" s="27"/>
      <c r="K1" s="27"/>
      <c r="L1" s="27"/>
      <c r="M1" s="27"/>
      <c r="N1" s="27"/>
    </row>
    <row r="2" spans="1:14" ht="43.5" customHeight="1" x14ac:dyDescent="0.25">
      <c r="A2" s="4" t="s">
        <v>0</v>
      </c>
      <c r="B2" s="14" t="str">
        <f>CONCATENATE("JANEIRO",CHAR(10),"TOTAL: ",ROUND(SUM(B3:B1048576),2))</f>
        <v>JANEIRO
TOTAL: 0</v>
      </c>
      <c r="C2" s="14" t="str">
        <f>CONCATENATE("FEVEREIRO",CHAR(10),"TOTAL: ",ROUND(SUM(C3:C1048576),2))</f>
        <v>FEVEREIRO
TOTAL: 0</v>
      </c>
      <c r="D2" s="14" t="str">
        <f>CONCATENATE("MARÇO",CHAR(10),"TOTAL: ",ROUND(SUM(D3:D1048576),2))</f>
        <v>MARÇO
TOTAL: 0</v>
      </c>
      <c r="E2" s="14" t="str">
        <f>CONCATENATE("ABRIL",CHAR(10),"TOTAL: ",ROUND(SUM(E3:E1048576),2))</f>
        <v>ABRIL
TOTAL: 0</v>
      </c>
      <c r="F2" s="14" t="str">
        <f>CONCATENATE("MAIO",CHAR(10),"TOTAL: ",ROUND(SUM(F3:F1048576),2))</f>
        <v>MAIO
TOTAL: 0</v>
      </c>
      <c r="G2" s="14" t="str">
        <f>CONCATENATE("JUNHO",CHAR(10),"TOTAL: ",ROUND(SUM(G3:G1048576),2))</f>
        <v>JUNHO
TOTAL: 0</v>
      </c>
      <c r="H2" s="14" t="str">
        <f>CONCATENATE("JULHO",CHAR(10),"TOTAL: ",ROUND(SUM(H3:H1048576),2))</f>
        <v>JULHO
TOTAL: 0</v>
      </c>
      <c r="I2" s="14" t="str">
        <f>CONCATENATE("AGOSTO",CHAR(10),"TOTAL: ",ROUND(SUM(I3:I1048576),2))</f>
        <v>AGOSTO
TOTAL: 0</v>
      </c>
      <c r="J2" s="14" t="str">
        <f>CONCATENATE("SETEMBRO",CHAR(10),"TOTAL: ",ROUND(SUM(J3:J1048576),2))</f>
        <v>SETEMBRO
TOTAL: 0</v>
      </c>
      <c r="K2" s="14" t="str">
        <f>CONCATENATE("OUTUBRO",CHAR(10),"TOTAL: ",ROUND(SUM(K3:K1048576),2))</f>
        <v>OUTUBRO
TOTAL: 0</v>
      </c>
      <c r="L2" s="14" t="str">
        <f>CONCATENATE("NOVEMBRO",CHAR(10),"TOTAL: ",ROUND(SUM(L3:L1048576),2))</f>
        <v>NOVEMBRO
TOTAL: 0</v>
      </c>
      <c r="M2" s="14" t="str">
        <f>CONCATENATE("DEZEMBRO",CHAR(10),"TOTAL: ",ROUND(SUM(M3:M1048576),2))</f>
        <v>DEZEMBRO
TOTAL: 0</v>
      </c>
      <c r="N2" s="14" t="str">
        <f>CONCATENATE("DEC. TERCEIRO",CHAR(10),"TOTAL: ",ROUND(SUM(N3:N1048576),2))</f>
        <v>DEC. TERCEIRO
TOTAL: 0</v>
      </c>
    </row>
  </sheetData>
  <mergeCells count="1">
    <mergeCell ref="A1:N1"/>
  </mergeCells>
  <pageMargins left="0.511811024" right="0.511811024" top="0.78740157499999996" bottom="0.78740157499999996" header="0.31496062000000002" footer="0.31496062000000002"/>
  <legacyDrawing r:id="rId1"/>
</worksheet>
</file>

<file path=xl/worksheets/sheet3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67"/>
  <dimension ref="A1:N2"/>
  <sheetViews>
    <sheetView workbookViewId="0">
      <selection activeCell="B2" sqref="B2:N2"/>
    </sheetView>
  </sheetViews>
  <sheetFormatPr defaultRowHeight="15" x14ac:dyDescent="0.25"/>
  <cols>
    <col min="1" max="1" width="10.5" style="10" bestFit="1" customWidth="1"/>
    <col min="2" max="14" width="11.625" style="15" customWidth="1"/>
  </cols>
  <sheetData>
    <row r="1" spans="1:14" ht="47.85" customHeight="1" x14ac:dyDescent="0.25">
      <c r="A1" s="27" t="s">
        <v>42</v>
      </c>
      <c r="B1" s="27"/>
      <c r="C1" s="27"/>
      <c r="D1" s="27"/>
      <c r="E1" s="27"/>
      <c r="F1" s="27"/>
      <c r="G1" s="27"/>
      <c r="H1" s="27"/>
      <c r="I1" s="27"/>
      <c r="J1" s="27"/>
      <c r="K1" s="27"/>
      <c r="L1" s="27"/>
      <c r="M1" s="27"/>
      <c r="N1" s="27"/>
    </row>
    <row r="2" spans="1:14" ht="43.5" customHeight="1" x14ac:dyDescent="0.25">
      <c r="A2" s="4" t="s">
        <v>0</v>
      </c>
      <c r="B2" s="14" t="str">
        <f>CONCATENATE("JANEIRO",CHAR(10),"TOTAL: ",ROUND(SUM(B3:B1048576),2))</f>
        <v>JANEIRO
TOTAL: 0</v>
      </c>
      <c r="C2" s="14" t="str">
        <f>CONCATENATE("FEVEREIRO",CHAR(10),"TOTAL: ",ROUND(SUM(C3:C1048576),2))</f>
        <v>FEVEREIRO
TOTAL: 0</v>
      </c>
      <c r="D2" s="14" t="str">
        <f>CONCATENATE("MARÇO",CHAR(10),"TOTAL: ",ROUND(SUM(D3:D1048576),2))</f>
        <v>MARÇO
TOTAL: 0</v>
      </c>
      <c r="E2" s="14" t="str">
        <f>CONCATENATE("ABRIL",CHAR(10),"TOTAL: ",ROUND(SUM(E3:E1048576),2))</f>
        <v>ABRIL
TOTAL: 0</v>
      </c>
      <c r="F2" s="14" t="str">
        <f>CONCATENATE("MAIO",CHAR(10),"TOTAL: ",ROUND(SUM(F3:F1048576),2))</f>
        <v>MAIO
TOTAL: 0</v>
      </c>
      <c r="G2" s="14" t="str">
        <f>CONCATENATE("JUNHO",CHAR(10),"TOTAL: ",ROUND(SUM(G3:G1048576),2))</f>
        <v>JUNHO
TOTAL: 0</v>
      </c>
      <c r="H2" s="14" t="str">
        <f>CONCATENATE("JULHO",CHAR(10),"TOTAL: ",ROUND(SUM(H3:H1048576),2))</f>
        <v>JULHO
TOTAL: 0</v>
      </c>
      <c r="I2" s="14" t="str">
        <f>CONCATENATE("AGOSTO",CHAR(10),"TOTAL: ",ROUND(SUM(I3:I1048576),2))</f>
        <v>AGOSTO
TOTAL: 0</v>
      </c>
      <c r="J2" s="14" t="str">
        <f>CONCATENATE("SETEMBRO",CHAR(10),"TOTAL: ",ROUND(SUM(J3:J1048576),2))</f>
        <v>SETEMBRO
TOTAL: 0</v>
      </c>
      <c r="K2" s="14" t="str">
        <f>CONCATENATE("OUTUBRO",CHAR(10),"TOTAL: ",ROUND(SUM(K3:K1048576),2))</f>
        <v>OUTUBRO
TOTAL: 0</v>
      </c>
      <c r="L2" s="14" t="str">
        <f>CONCATENATE("NOVEMBRO",CHAR(10),"TOTAL: ",ROUND(SUM(L3:L1048576),2))</f>
        <v>NOVEMBRO
TOTAL: 0</v>
      </c>
      <c r="M2" s="14" t="str">
        <f>CONCATENATE("DEZEMBRO",CHAR(10),"TOTAL: ",ROUND(SUM(M3:M1048576),2))</f>
        <v>DEZEMBRO
TOTAL: 0</v>
      </c>
      <c r="N2" s="14" t="str">
        <f>CONCATENATE("DEC. TERCEIRO",CHAR(10),"TOTAL: ",ROUND(SUM(N3:N1048576),2))</f>
        <v>DEC. TERCEIRO
TOTAL: 0</v>
      </c>
    </row>
  </sheetData>
  <mergeCells count="1">
    <mergeCell ref="A1:N1"/>
  </mergeCells>
  <pageMargins left="0.511811024" right="0.511811024" top="0.78740157499999996" bottom="0.78740157499999996" header="0.31496062000000002" footer="0.31496062000000002"/>
  <legacyDrawing r:id="rId1"/>
</worksheet>
</file>

<file path=xl/worksheets/sheet3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66"/>
  <dimension ref="A1:N2"/>
  <sheetViews>
    <sheetView workbookViewId="0">
      <selection activeCell="B2" sqref="B2:N2"/>
    </sheetView>
  </sheetViews>
  <sheetFormatPr defaultRowHeight="15" x14ac:dyDescent="0.25"/>
  <cols>
    <col min="1" max="1" width="10.5" style="10" bestFit="1" customWidth="1"/>
    <col min="2" max="14" width="11.625" style="15" customWidth="1"/>
  </cols>
  <sheetData>
    <row r="1" spans="1:14" ht="47.85" customHeight="1" x14ac:dyDescent="0.25">
      <c r="A1" s="27" t="s">
        <v>41</v>
      </c>
      <c r="B1" s="27"/>
      <c r="C1" s="27"/>
      <c r="D1" s="27"/>
      <c r="E1" s="27"/>
      <c r="F1" s="27"/>
      <c r="G1" s="27"/>
      <c r="H1" s="27"/>
      <c r="I1" s="27"/>
      <c r="J1" s="27"/>
      <c r="K1" s="27"/>
      <c r="L1" s="27"/>
      <c r="M1" s="27"/>
      <c r="N1" s="27"/>
    </row>
    <row r="2" spans="1:14" ht="43.5" customHeight="1" x14ac:dyDescent="0.25">
      <c r="A2" s="4" t="s">
        <v>0</v>
      </c>
      <c r="B2" s="14" t="str">
        <f>CONCATENATE("JANEIRO",CHAR(10),"TOTAL: ",ROUND(SUM(B3:B1048576),2))</f>
        <v>JANEIRO
TOTAL: 0</v>
      </c>
      <c r="C2" s="14" t="str">
        <f>CONCATENATE("FEVEREIRO",CHAR(10),"TOTAL: ",ROUND(SUM(C3:C1048576),2))</f>
        <v>FEVEREIRO
TOTAL: 0</v>
      </c>
      <c r="D2" s="14" t="str">
        <f>CONCATENATE("MARÇO",CHAR(10),"TOTAL: ",ROUND(SUM(D3:D1048576),2))</f>
        <v>MARÇO
TOTAL: 0</v>
      </c>
      <c r="E2" s="14" t="str">
        <f>CONCATENATE("ABRIL",CHAR(10),"TOTAL: ",ROUND(SUM(E3:E1048576),2))</f>
        <v>ABRIL
TOTAL: 0</v>
      </c>
      <c r="F2" s="14" t="str">
        <f>CONCATENATE("MAIO",CHAR(10),"TOTAL: ",ROUND(SUM(F3:F1048576),2))</f>
        <v>MAIO
TOTAL: 0</v>
      </c>
      <c r="G2" s="14" t="str">
        <f>CONCATENATE("JUNHO",CHAR(10),"TOTAL: ",ROUND(SUM(G3:G1048576),2))</f>
        <v>JUNHO
TOTAL: 0</v>
      </c>
      <c r="H2" s="14" t="str">
        <f>CONCATENATE("JULHO",CHAR(10),"TOTAL: ",ROUND(SUM(H3:H1048576),2))</f>
        <v>JULHO
TOTAL: 0</v>
      </c>
      <c r="I2" s="14" t="str">
        <f>CONCATENATE("AGOSTO",CHAR(10),"TOTAL: ",ROUND(SUM(I3:I1048576),2))</f>
        <v>AGOSTO
TOTAL: 0</v>
      </c>
      <c r="J2" s="14" t="str">
        <f>CONCATENATE("SETEMBRO",CHAR(10),"TOTAL: ",ROUND(SUM(J3:J1048576),2))</f>
        <v>SETEMBRO
TOTAL: 0</v>
      </c>
      <c r="K2" s="14" t="str">
        <f>CONCATENATE("OUTUBRO",CHAR(10),"TOTAL: ",ROUND(SUM(K3:K1048576),2))</f>
        <v>OUTUBRO
TOTAL: 0</v>
      </c>
      <c r="L2" s="14" t="str">
        <f>CONCATENATE("NOVEMBRO",CHAR(10),"TOTAL: ",ROUND(SUM(L3:L1048576),2))</f>
        <v>NOVEMBRO
TOTAL: 0</v>
      </c>
      <c r="M2" s="14" t="str">
        <f>CONCATENATE("DEZEMBRO",CHAR(10),"TOTAL: ",ROUND(SUM(M3:M1048576),2))</f>
        <v>DEZEMBRO
TOTAL: 0</v>
      </c>
      <c r="N2" s="14" t="str">
        <f>CONCATENATE("DEC. TERCEIRO",CHAR(10),"TOTAL: ",ROUND(SUM(N3:N1048576),2))</f>
        <v>DEC. TERCEIRO
TOTAL: 0</v>
      </c>
    </row>
  </sheetData>
  <mergeCells count="1">
    <mergeCell ref="A1:N1"/>
  </mergeCells>
  <pageMargins left="0.511811024" right="0.511811024" top="0.78740157499999996" bottom="0.78740157499999996" header="0.31496062000000002" footer="0.31496062000000002"/>
  <legacyDrawing r:id="rId1"/>
</worksheet>
</file>

<file path=xl/worksheets/sheet3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65"/>
  <dimension ref="A1:N2"/>
  <sheetViews>
    <sheetView workbookViewId="0">
      <selection activeCell="B2" sqref="B2:N2"/>
    </sheetView>
  </sheetViews>
  <sheetFormatPr defaultRowHeight="15" x14ac:dyDescent="0.25"/>
  <cols>
    <col min="1" max="1" width="10.5" style="10" bestFit="1" customWidth="1"/>
    <col min="2" max="14" width="11.625" style="15" customWidth="1"/>
  </cols>
  <sheetData>
    <row r="1" spans="1:14" ht="47.85" customHeight="1" x14ac:dyDescent="0.25">
      <c r="A1" s="27" t="s">
        <v>40</v>
      </c>
      <c r="B1" s="27"/>
      <c r="C1" s="27"/>
      <c r="D1" s="27"/>
      <c r="E1" s="27"/>
      <c r="F1" s="27"/>
      <c r="G1" s="27"/>
      <c r="H1" s="27"/>
      <c r="I1" s="27"/>
      <c r="J1" s="27"/>
      <c r="K1" s="27"/>
      <c r="L1" s="27"/>
      <c r="M1" s="27"/>
      <c r="N1" s="27"/>
    </row>
    <row r="2" spans="1:14" ht="47.85" customHeight="1" x14ac:dyDescent="0.25">
      <c r="A2" s="4" t="s">
        <v>0</v>
      </c>
      <c r="B2" s="14" t="str">
        <f>CONCATENATE("JANEIRO",CHAR(10),"TOTAL: ",ROUND(SUM(B3:B1048576),2))</f>
        <v>JANEIRO
TOTAL: 0</v>
      </c>
      <c r="C2" s="14" t="str">
        <f>CONCATENATE("FEVEREIRO",CHAR(10),"TOTAL: ",ROUND(SUM(C3:C1048576),2))</f>
        <v>FEVEREIRO
TOTAL: 0</v>
      </c>
      <c r="D2" s="14" t="str">
        <f>CONCATENATE("MARÇO",CHAR(10),"TOTAL: ",ROUND(SUM(D3:D1048576),2))</f>
        <v>MARÇO
TOTAL: 0</v>
      </c>
      <c r="E2" s="14" t="str">
        <f>CONCATENATE("ABRIL",CHAR(10),"TOTAL: ",ROUND(SUM(E3:E1048576),2))</f>
        <v>ABRIL
TOTAL: 0</v>
      </c>
      <c r="F2" s="14" t="str">
        <f>CONCATENATE("MAIO",CHAR(10),"TOTAL: ",ROUND(SUM(F3:F1048576),2))</f>
        <v>MAIO
TOTAL: 0</v>
      </c>
      <c r="G2" s="14" t="str">
        <f>CONCATENATE("JUNHO",CHAR(10),"TOTAL: ",ROUND(SUM(G3:G1048576),2))</f>
        <v>JUNHO
TOTAL: 0</v>
      </c>
      <c r="H2" s="14" t="str">
        <f>CONCATENATE("JULHO",CHAR(10),"TOTAL: ",ROUND(SUM(H3:H1048576),2))</f>
        <v>JULHO
TOTAL: 0</v>
      </c>
      <c r="I2" s="14" t="str">
        <f>CONCATENATE("AGOSTO",CHAR(10),"TOTAL: ",ROUND(SUM(I3:I1048576),2))</f>
        <v>AGOSTO
TOTAL: 0</v>
      </c>
      <c r="J2" s="14" t="str">
        <f>CONCATENATE("SETEMBRO",CHAR(10),"TOTAL: ",ROUND(SUM(J3:J1048576),2))</f>
        <v>SETEMBRO
TOTAL: 0</v>
      </c>
      <c r="K2" s="14" t="str">
        <f>CONCATENATE("OUTUBRO",CHAR(10),"TOTAL: ",ROUND(SUM(K3:K1048576),2))</f>
        <v>OUTUBRO
TOTAL: 0</v>
      </c>
      <c r="L2" s="14" t="str">
        <f>CONCATENATE("NOVEMBRO",CHAR(10),"TOTAL: ",ROUND(SUM(L3:L1048576),2))</f>
        <v>NOVEMBRO
TOTAL: 0</v>
      </c>
      <c r="M2" s="14" t="str">
        <f>CONCATENATE("DEZEMBRO",CHAR(10),"TOTAL: ",ROUND(SUM(M3:M1048576),2))</f>
        <v>DEZEMBRO
TOTAL: 0</v>
      </c>
      <c r="N2" s="14" t="str">
        <f>CONCATENATE("DEC. TERCEIRO",CHAR(10),"TOTAL: ",ROUND(SUM(N3:N1048576),2))</f>
        <v>DEC. TERCEIRO
TOTAL: 0</v>
      </c>
    </row>
  </sheetData>
  <mergeCells count="1">
    <mergeCell ref="A1:N1"/>
  </mergeCells>
  <pageMargins left="0.511811024" right="0.511811024" top="0.78740157499999996" bottom="0.78740157499999996" header="0.31496062000000002" footer="0.31496062000000002"/>
  <legacyDrawing r:id="rId1"/>
</worksheet>
</file>

<file path=xl/worksheets/sheet3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64"/>
  <dimension ref="A1:N2"/>
  <sheetViews>
    <sheetView workbookViewId="0">
      <selection activeCell="B2" sqref="B2:N2"/>
    </sheetView>
  </sheetViews>
  <sheetFormatPr defaultRowHeight="15" x14ac:dyDescent="0.25"/>
  <cols>
    <col min="1" max="1" width="10.5" style="10" bestFit="1" customWidth="1"/>
    <col min="2" max="14" width="11.625" style="15" customWidth="1"/>
  </cols>
  <sheetData>
    <row r="1" spans="1:14" ht="47.85" customHeight="1" x14ac:dyDescent="0.25">
      <c r="A1" s="27" t="s">
        <v>39</v>
      </c>
      <c r="B1" s="27"/>
      <c r="C1" s="27"/>
      <c r="D1" s="27"/>
      <c r="E1" s="27"/>
      <c r="F1" s="27"/>
      <c r="G1" s="27"/>
      <c r="H1" s="27"/>
      <c r="I1" s="27"/>
      <c r="J1" s="27"/>
      <c r="K1" s="27"/>
      <c r="L1" s="27"/>
      <c r="M1" s="27"/>
      <c r="N1" s="27"/>
    </row>
    <row r="2" spans="1:14" ht="43.5" customHeight="1" x14ac:dyDescent="0.25">
      <c r="A2" s="4" t="s">
        <v>0</v>
      </c>
      <c r="B2" s="14" t="str">
        <f>CONCATENATE("JANEIRO",CHAR(10),"TOTAL: ",ROUND(SUM(B3:B1048576),2))</f>
        <v>JANEIRO
TOTAL: 0</v>
      </c>
      <c r="C2" s="14" t="str">
        <f>CONCATENATE("FEVEREIRO",CHAR(10),"TOTAL: ",ROUND(SUM(C3:C1048576),2))</f>
        <v>FEVEREIRO
TOTAL: 0</v>
      </c>
      <c r="D2" s="14" t="str">
        <f>CONCATENATE("MARÇO",CHAR(10),"TOTAL: ",ROUND(SUM(D3:D1048576),2))</f>
        <v>MARÇO
TOTAL: 0</v>
      </c>
      <c r="E2" s="14" t="str">
        <f>CONCATENATE("ABRIL",CHAR(10),"TOTAL: ",ROUND(SUM(E3:E1048576),2))</f>
        <v>ABRIL
TOTAL: 0</v>
      </c>
      <c r="F2" s="14" t="str">
        <f>CONCATENATE("MAIO",CHAR(10),"TOTAL: ",ROUND(SUM(F3:F1048576),2))</f>
        <v>MAIO
TOTAL: 0</v>
      </c>
      <c r="G2" s="14" t="str">
        <f>CONCATENATE("JUNHO",CHAR(10),"TOTAL: ",ROUND(SUM(G3:G1048576),2))</f>
        <v>JUNHO
TOTAL: 0</v>
      </c>
      <c r="H2" s="14" t="str">
        <f>CONCATENATE("JULHO",CHAR(10),"TOTAL: ",ROUND(SUM(H3:H1048576),2))</f>
        <v>JULHO
TOTAL: 0</v>
      </c>
      <c r="I2" s="14" t="str">
        <f>CONCATENATE("AGOSTO",CHAR(10),"TOTAL: ",ROUND(SUM(I3:I1048576),2))</f>
        <v>AGOSTO
TOTAL: 0</v>
      </c>
      <c r="J2" s="14" t="str">
        <f>CONCATENATE("SETEMBRO",CHAR(10),"TOTAL: ",ROUND(SUM(J3:J1048576),2))</f>
        <v>SETEMBRO
TOTAL: 0</v>
      </c>
      <c r="K2" s="14" t="str">
        <f>CONCATENATE("OUTUBRO",CHAR(10),"TOTAL: ",ROUND(SUM(K3:K1048576),2))</f>
        <v>OUTUBRO
TOTAL: 0</v>
      </c>
      <c r="L2" s="14" t="str">
        <f>CONCATENATE("NOVEMBRO",CHAR(10),"TOTAL: ",ROUND(SUM(L3:L1048576),2))</f>
        <v>NOVEMBRO
TOTAL: 0</v>
      </c>
      <c r="M2" s="14" t="str">
        <f>CONCATENATE("DEZEMBRO",CHAR(10),"TOTAL: ",ROUND(SUM(M3:M1048576),2))</f>
        <v>DEZEMBRO
TOTAL: 0</v>
      </c>
      <c r="N2" s="14" t="str">
        <f>CONCATENATE("DEC. TERCEIRO",CHAR(10),"TOTAL: ",ROUND(SUM(N3:N1048576),2))</f>
        <v>DEC. TERCEIRO
TOTAL: 0</v>
      </c>
    </row>
  </sheetData>
  <mergeCells count="1">
    <mergeCell ref="A1:N1"/>
  </mergeCells>
  <pageMargins left="0.511811024" right="0.511811024" top="0.78740157499999996" bottom="0.78740157499999996" header="0.31496062000000002" footer="0.31496062000000002"/>
  <legacyDrawing r:id="rId1"/>
</worksheet>
</file>

<file path=xl/worksheets/sheet3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68"/>
  <dimension ref="A1:O2"/>
  <sheetViews>
    <sheetView workbookViewId="0">
      <selection activeCell="B2" sqref="B2:N2"/>
    </sheetView>
  </sheetViews>
  <sheetFormatPr defaultRowHeight="12" x14ac:dyDescent="0.2"/>
  <cols>
    <col min="1" max="1" width="11.375" style="10" customWidth="1"/>
    <col min="2" max="14" width="11.625" style="15" customWidth="1"/>
    <col min="15" max="15" width="9" style="15"/>
    <col min="16" max="16384" width="9" style="9"/>
  </cols>
  <sheetData>
    <row r="1" spans="1:15" customFormat="1" ht="47.85" customHeight="1" x14ac:dyDescent="0.25">
      <c r="A1" s="27" t="s">
        <v>43</v>
      </c>
      <c r="B1" s="27"/>
      <c r="C1" s="27"/>
      <c r="D1" s="27"/>
      <c r="E1" s="27"/>
      <c r="F1" s="27"/>
      <c r="G1" s="27"/>
      <c r="H1" s="27"/>
      <c r="I1" s="27"/>
      <c r="J1" s="27"/>
      <c r="K1" s="27"/>
      <c r="L1" s="27"/>
      <c r="M1" s="27"/>
      <c r="N1" s="27"/>
      <c r="O1" s="16"/>
    </row>
    <row r="2" spans="1:15" customFormat="1" ht="43.5" customHeight="1" x14ac:dyDescent="0.25">
      <c r="A2" s="4" t="s">
        <v>0</v>
      </c>
      <c r="B2" s="14" t="str">
        <f>CONCATENATE("JANEIRO",CHAR(10),"TOTAL: ",ROUND(SUM(B3:B1048576),2))</f>
        <v>JANEIRO
TOTAL: 0</v>
      </c>
      <c r="C2" s="14" t="str">
        <f>CONCATENATE("FEVEREIRO",CHAR(10),"TOTAL: ",ROUND(SUM(C3:C1048576),2))</f>
        <v>FEVEREIRO
TOTAL: 0</v>
      </c>
      <c r="D2" s="14" t="str">
        <f>CONCATENATE("MARÇO",CHAR(10),"TOTAL: ",ROUND(SUM(D3:D1048576),2))</f>
        <v>MARÇO
TOTAL: 0</v>
      </c>
      <c r="E2" s="14" t="str">
        <f>CONCATENATE("ABRIL",CHAR(10),"TOTAL: ",ROUND(SUM(E3:E1048576),2))</f>
        <v>ABRIL
TOTAL: 0</v>
      </c>
      <c r="F2" s="14" t="str">
        <f>CONCATENATE("MAIO",CHAR(10),"TOTAL: ",ROUND(SUM(F3:F1048576),2))</f>
        <v>MAIO
TOTAL: 0</v>
      </c>
      <c r="G2" s="14" t="str">
        <f>CONCATENATE("JUNHO",CHAR(10),"TOTAL: ",ROUND(SUM(G3:G1048576),2))</f>
        <v>JUNHO
TOTAL: 0</v>
      </c>
      <c r="H2" s="14" t="str">
        <f>CONCATENATE("JULHO",CHAR(10),"TOTAL: ",ROUND(SUM(H3:H1048576),2))</f>
        <v>JULHO
TOTAL: 0</v>
      </c>
      <c r="I2" s="14" t="str">
        <f>CONCATENATE("AGOSTO",CHAR(10),"TOTAL: ",ROUND(SUM(I3:I1048576),2))</f>
        <v>AGOSTO
TOTAL: 0</v>
      </c>
      <c r="J2" s="14" t="str">
        <f>CONCATENATE("SETEMBRO",CHAR(10),"TOTAL: ",ROUND(SUM(J3:J1048576),2))</f>
        <v>SETEMBRO
TOTAL: 0</v>
      </c>
      <c r="K2" s="14" t="str">
        <f>CONCATENATE("OUTUBRO",CHAR(10),"TOTAL: ",ROUND(SUM(K3:K1048576),2))</f>
        <v>OUTUBRO
TOTAL: 0</v>
      </c>
      <c r="L2" s="14" t="str">
        <f>CONCATENATE("NOVEMBRO",CHAR(10),"TOTAL: ",ROUND(SUM(L3:L1048576),2))</f>
        <v>NOVEMBRO
TOTAL: 0</v>
      </c>
      <c r="M2" s="14" t="str">
        <f>CONCATENATE("DEZEMBRO",CHAR(10),"TOTAL: ",ROUND(SUM(M3:M1048576),2))</f>
        <v>DEZEMBRO
TOTAL: 0</v>
      </c>
      <c r="N2" s="14" t="str">
        <f>CONCATENATE("DEC. TERCEIRO",CHAR(10),"TOTAL: ",ROUND(SUM(N3:N1048576),2))</f>
        <v>DEC. TERCEIRO
TOTAL: 0</v>
      </c>
      <c r="O2" s="16"/>
    </row>
  </sheetData>
  <mergeCells count="1">
    <mergeCell ref="A1:N1"/>
  </mergeCells>
  <pageMargins left="0.511811024" right="0.511811024" top="0.78740157499999996" bottom="0.78740157499999996" header="0.31496062000000002" footer="0.31496062000000002"/>
  <legacyDrawing r:id="rId1"/>
</worksheet>
</file>

<file path=xl/worksheets/sheet3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63"/>
  <dimension ref="A1:N2"/>
  <sheetViews>
    <sheetView workbookViewId="0">
      <selection activeCell="B2" sqref="B2:N2"/>
    </sheetView>
  </sheetViews>
  <sheetFormatPr defaultRowHeight="15" x14ac:dyDescent="0.25"/>
  <cols>
    <col min="1" max="1" width="10.5" style="10" bestFit="1" customWidth="1"/>
    <col min="2" max="14" width="11.625" style="15" customWidth="1"/>
  </cols>
  <sheetData>
    <row r="1" spans="1:14" ht="47.85" customHeight="1" x14ac:dyDescent="0.25">
      <c r="A1" s="27" t="s">
        <v>38</v>
      </c>
      <c r="B1" s="27"/>
      <c r="C1" s="27"/>
      <c r="D1" s="27"/>
      <c r="E1" s="27"/>
      <c r="F1" s="27"/>
      <c r="G1" s="27"/>
      <c r="H1" s="27"/>
      <c r="I1" s="27"/>
      <c r="J1" s="27"/>
      <c r="K1" s="27"/>
      <c r="L1" s="27"/>
      <c r="M1" s="27"/>
      <c r="N1" s="27"/>
    </row>
    <row r="2" spans="1:14" ht="43.5" customHeight="1" x14ac:dyDescent="0.25">
      <c r="A2" s="4" t="s">
        <v>0</v>
      </c>
      <c r="B2" s="14" t="str">
        <f>CONCATENATE("JANEIRO",CHAR(10),"TOTAL: ",ROUND(SUM(B3:B1048576),2))</f>
        <v>JANEIRO
TOTAL: 0</v>
      </c>
      <c r="C2" s="14" t="str">
        <f>CONCATENATE("FEVEREIRO",CHAR(10),"TOTAL: ",ROUND(SUM(C3:C1048576),2))</f>
        <v>FEVEREIRO
TOTAL: 0</v>
      </c>
      <c r="D2" s="14" t="str">
        <f>CONCATENATE("MARÇO",CHAR(10),"TOTAL: ",ROUND(SUM(D3:D1048576),2))</f>
        <v>MARÇO
TOTAL: 0</v>
      </c>
      <c r="E2" s="14" t="str">
        <f>CONCATENATE("ABRIL",CHAR(10),"TOTAL: ",ROUND(SUM(E3:E1048576),2))</f>
        <v>ABRIL
TOTAL: 0</v>
      </c>
      <c r="F2" s="14" t="str">
        <f>CONCATENATE("MAIO",CHAR(10),"TOTAL: ",ROUND(SUM(F3:F1048576),2))</f>
        <v>MAIO
TOTAL: 0</v>
      </c>
      <c r="G2" s="14" t="str">
        <f>CONCATENATE("JUNHO",CHAR(10),"TOTAL: ",ROUND(SUM(G3:G1048576),2))</f>
        <v>JUNHO
TOTAL: 0</v>
      </c>
      <c r="H2" s="14" t="str">
        <f>CONCATENATE("JULHO",CHAR(10),"TOTAL: ",ROUND(SUM(H3:H1048576),2))</f>
        <v>JULHO
TOTAL: 0</v>
      </c>
      <c r="I2" s="14" t="str">
        <f>CONCATENATE("AGOSTO",CHAR(10),"TOTAL: ",ROUND(SUM(I3:I1048576),2))</f>
        <v>AGOSTO
TOTAL: 0</v>
      </c>
      <c r="J2" s="14" t="str">
        <f>CONCATENATE("SETEMBRO",CHAR(10),"TOTAL: ",ROUND(SUM(J3:J1048576),2))</f>
        <v>SETEMBRO
TOTAL: 0</v>
      </c>
      <c r="K2" s="14" t="str">
        <f>CONCATENATE("OUTUBRO",CHAR(10),"TOTAL: ",ROUND(SUM(K3:K1048576),2))</f>
        <v>OUTUBRO
TOTAL: 0</v>
      </c>
      <c r="L2" s="14" t="str">
        <f>CONCATENATE("NOVEMBRO",CHAR(10),"TOTAL: ",ROUND(SUM(L3:L1048576),2))</f>
        <v>NOVEMBRO
TOTAL: 0</v>
      </c>
      <c r="M2" s="14" t="str">
        <f>CONCATENATE("DEZEMBRO",CHAR(10),"TOTAL: ",ROUND(SUM(M3:M1048576),2))</f>
        <v>DEZEMBRO
TOTAL: 0</v>
      </c>
      <c r="N2" s="14" t="str">
        <f>CONCATENATE("DEC. TERCEIRO",CHAR(10),"TOTAL: ",ROUND(SUM(N3:N1048576),2))</f>
        <v>DEC. TERCEIRO
TOTAL: 0</v>
      </c>
    </row>
  </sheetData>
  <mergeCells count="1">
    <mergeCell ref="A1:N1"/>
  </mergeCells>
  <pageMargins left="0.511811024" right="0.511811024" top="0.78740157499999996" bottom="0.78740157499999996" header="0.31496062000000002" footer="0.31496062000000002"/>
  <legacyDrawing r:id="rId1"/>
</worksheet>
</file>

<file path=xl/worksheets/sheet3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62"/>
  <dimension ref="A1:N2"/>
  <sheetViews>
    <sheetView workbookViewId="0">
      <selection activeCell="B2" sqref="B2:N2"/>
    </sheetView>
  </sheetViews>
  <sheetFormatPr defaultRowHeight="15" x14ac:dyDescent="0.25"/>
  <cols>
    <col min="1" max="1" width="10.5" style="10" bestFit="1" customWidth="1"/>
    <col min="2" max="14" width="11.625" style="15" customWidth="1"/>
  </cols>
  <sheetData>
    <row r="1" spans="1:14" ht="47.85" customHeight="1" x14ac:dyDescent="0.25">
      <c r="A1" s="27" t="s">
        <v>37</v>
      </c>
      <c r="B1" s="27"/>
      <c r="C1" s="27"/>
      <c r="D1" s="27"/>
      <c r="E1" s="27"/>
      <c r="F1" s="27"/>
      <c r="G1" s="27"/>
      <c r="H1" s="27"/>
      <c r="I1" s="27"/>
      <c r="J1" s="27"/>
      <c r="K1" s="27"/>
      <c r="L1" s="27"/>
      <c r="M1" s="27"/>
      <c r="N1" s="27"/>
    </row>
    <row r="2" spans="1:14" ht="43.5" customHeight="1" x14ac:dyDescent="0.25">
      <c r="A2" s="4" t="s">
        <v>0</v>
      </c>
      <c r="B2" s="14" t="str">
        <f>CONCATENATE("JANEIRO",CHAR(10),"TOTAL: ",ROUND(SUM(B3:B1048576),2))</f>
        <v>JANEIRO
TOTAL: 0</v>
      </c>
      <c r="C2" s="14" t="str">
        <f>CONCATENATE("FEVEREIRO",CHAR(10),"TOTAL: ",ROUND(SUM(C3:C1048576),2))</f>
        <v>FEVEREIRO
TOTAL: 0</v>
      </c>
      <c r="D2" s="14" t="str">
        <f>CONCATENATE("MARÇO",CHAR(10),"TOTAL: ",ROUND(SUM(D3:D1048576),2))</f>
        <v>MARÇO
TOTAL: 0</v>
      </c>
      <c r="E2" s="14" t="str">
        <f>CONCATENATE("ABRIL",CHAR(10),"TOTAL: ",ROUND(SUM(E3:E1048576),2))</f>
        <v>ABRIL
TOTAL: 0</v>
      </c>
      <c r="F2" s="14" t="str">
        <f>CONCATENATE("MAIO",CHAR(10),"TOTAL: ",ROUND(SUM(F3:F1048576),2))</f>
        <v>MAIO
TOTAL: 0</v>
      </c>
      <c r="G2" s="14" t="str">
        <f>CONCATENATE("JUNHO",CHAR(10),"TOTAL: ",ROUND(SUM(G3:G1048576),2))</f>
        <v>JUNHO
TOTAL: 0</v>
      </c>
      <c r="H2" s="14" t="str">
        <f>CONCATENATE("JULHO",CHAR(10),"TOTAL: ",ROUND(SUM(H3:H1048576),2))</f>
        <v>JULHO
TOTAL: 0</v>
      </c>
      <c r="I2" s="14" t="str">
        <f>CONCATENATE("AGOSTO",CHAR(10),"TOTAL: ",ROUND(SUM(I3:I1048576),2))</f>
        <v>AGOSTO
TOTAL: 0</v>
      </c>
      <c r="J2" s="14" t="str">
        <f>CONCATENATE("SETEMBRO",CHAR(10),"TOTAL: ",ROUND(SUM(J3:J1048576),2))</f>
        <v>SETEMBRO
TOTAL: 0</v>
      </c>
      <c r="K2" s="14" t="str">
        <f>CONCATENATE("OUTUBRO",CHAR(10),"TOTAL: ",ROUND(SUM(K3:K1048576),2))</f>
        <v>OUTUBRO
TOTAL: 0</v>
      </c>
      <c r="L2" s="14" t="str">
        <f>CONCATENATE("NOVEMBRO",CHAR(10),"TOTAL: ",ROUND(SUM(L3:L1048576),2))</f>
        <v>NOVEMBRO
TOTAL: 0</v>
      </c>
      <c r="M2" s="14" t="str">
        <f>CONCATENATE("DEZEMBRO",CHAR(10),"TOTAL: ",ROUND(SUM(M3:M1048576),2))</f>
        <v>DEZEMBRO
TOTAL: 0</v>
      </c>
      <c r="N2" s="14" t="str">
        <f>CONCATENATE("DEC. TERCEIRO",CHAR(10),"TOTAL: ",ROUND(SUM(N3:N1048576),2))</f>
        <v>DEC. TERCEIRO
TOTAL: 0</v>
      </c>
    </row>
  </sheetData>
  <mergeCells count="1">
    <mergeCell ref="A1:N1"/>
  </mergeCells>
  <pageMargins left="0.511811024" right="0.511811024" top="0.78740157499999996" bottom="0.78740157499999996" header="0.31496062000000002" footer="0.31496062000000002"/>
  <legacyDrawing r:id="rId1"/>
</worksheet>
</file>

<file path=xl/worksheets/sheet3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61"/>
  <dimension ref="A1:N2"/>
  <sheetViews>
    <sheetView workbookViewId="0">
      <selection sqref="A1:N1"/>
    </sheetView>
  </sheetViews>
  <sheetFormatPr defaultRowHeight="15" x14ac:dyDescent="0.25"/>
  <cols>
    <col min="1" max="1" width="10.5" style="10" bestFit="1" customWidth="1"/>
    <col min="2" max="14" width="11.625" style="15" customWidth="1"/>
  </cols>
  <sheetData>
    <row r="1" spans="1:14" ht="47.85" customHeight="1" x14ac:dyDescent="0.25">
      <c r="A1" s="27" t="s">
        <v>36</v>
      </c>
      <c r="B1" s="27"/>
      <c r="C1" s="27"/>
      <c r="D1" s="27"/>
      <c r="E1" s="27"/>
      <c r="F1" s="27"/>
      <c r="G1" s="27"/>
      <c r="H1" s="27"/>
      <c r="I1" s="27"/>
      <c r="J1" s="27"/>
      <c r="K1" s="27"/>
      <c r="L1" s="27"/>
      <c r="M1" s="27"/>
      <c r="N1" s="27"/>
    </row>
    <row r="2" spans="1:14" ht="43.5" customHeight="1" x14ac:dyDescent="0.25">
      <c r="A2" s="4" t="s">
        <v>0</v>
      </c>
      <c r="B2" s="14" t="str">
        <f>CONCATENATE("JANEIRO",CHAR(10),"TOTAL: ",ROUND(SUM(B3:B1048576),2))</f>
        <v>JANEIRO
TOTAL: 0</v>
      </c>
      <c r="C2" s="14" t="str">
        <f>CONCATENATE("FEVEREIRO",CHAR(10),"TOTAL: ",ROUND(SUM(C3:C1048576),2))</f>
        <v>FEVEREIRO
TOTAL: 0</v>
      </c>
      <c r="D2" s="14" t="str">
        <f>CONCATENATE("MARÇO",CHAR(10),"TOTAL: ",ROUND(SUM(D3:D1048576),2))</f>
        <v>MARÇO
TOTAL: 0</v>
      </c>
      <c r="E2" s="14" t="str">
        <f>CONCATENATE("ABRIL",CHAR(10),"TOTAL: ",ROUND(SUM(E3:E1048576),2))</f>
        <v>ABRIL
TOTAL: 0</v>
      </c>
      <c r="F2" s="14" t="str">
        <f>CONCATENATE("MAIO",CHAR(10),"TOTAL: ",ROUND(SUM(F3:F1048576),2))</f>
        <v>MAIO
TOTAL: 0</v>
      </c>
      <c r="G2" s="14" t="str">
        <f>CONCATENATE("JUNHO",CHAR(10),"TOTAL: ",ROUND(SUM(G3:G1048576),2))</f>
        <v>JUNHO
TOTAL: 0</v>
      </c>
      <c r="H2" s="14" t="str">
        <f>CONCATENATE("JULHO",CHAR(10),"TOTAL: ",ROUND(SUM(H3:H1048576),2))</f>
        <v>JULHO
TOTAL: 0</v>
      </c>
      <c r="I2" s="14" t="str">
        <f>CONCATENATE("AGOSTO",CHAR(10),"TOTAL: ",ROUND(SUM(I3:I1048576),2))</f>
        <v>AGOSTO
TOTAL: 0</v>
      </c>
      <c r="J2" s="14" t="str">
        <f>CONCATENATE("SETEMBRO",CHAR(10),"TOTAL: ",ROUND(SUM(J3:J1048576),2))</f>
        <v>SETEMBRO
TOTAL: 0</v>
      </c>
      <c r="K2" s="14" t="str">
        <f>CONCATENATE("OUTUBRO",CHAR(10),"TOTAL: ",ROUND(SUM(K3:K1048576),2))</f>
        <v>OUTUBRO
TOTAL: 0</v>
      </c>
      <c r="L2" s="14" t="str">
        <f>CONCATENATE("NOVEMBRO",CHAR(10),"TOTAL: ",ROUND(SUM(L3:L1048576),2))</f>
        <v>NOVEMBRO
TOTAL: 0</v>
      </c>
      <c r="M2" s="14" t="str">
        <f>CONCATENATE("DEZEMBRO",CHAR(10),"TOTAL: ",ROUND(SUM(M3:M1048576),2))</f>
        <v>DEZEMBRO
TOTAL: 0</v>
      </c>
      <c r="N2" s="14" t="str">
        <f>CONCATENATE("DEC. TERCEIRO",CHAR(10),"TOTAL: ",ROUND(SUM(N3:N1048576),2))</f>
        <v>DEC. TERCEIRO
TOTAL: 0</v>
      </c>
    </row>
  </sheetData>
  <mergeCells count="1">
    <mergeCell ref="A1:N1"/>
  </mergeCells>
  <pageMargins left="0.511811024" right="0.511811024" top="0.78740157499999996" bottom="0.78740157499999996" header="0.31496062000000002" footer="0.31496062000000002"/>
  <legacyDrawing r:id="rId1"/>
</worksheet>
</file>

<file path=xl/worksheets/sheet4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60"/>
  <dimension ref="A1:N4"/>
  <sheetViews>
    <sheetView workbookViewId="0">
      <selection activeCell="B2" sqref="B2:N2"/>
    </sheetView>
  </sheetViews>
  <sheetFormatPr defaultRowHeight="15" x14ac:dyDescent="0.25"/>
  <cols>
    <col min="1" max="1" width="10.5" style="10" bestFit="1" customWidth="1"/>
    <col min="2" max="14" width="11.625" style="15" customWidth="1"/>
  </cols>
  <sheetData>
    <row r="1" spans="1:14" ht="47.85" customHeight="1" x14ac:dyDescent="0.25">
      <c r="A1" s="27" t="s">
        <v>35</v>
      </c>
      <c r="B1" s="27"/>
      <c r="C1" s="27"/>
      <c r="D1" s="27"/>
      <c r="E1" s="27"/>
      <c r="F1" s="27"/>
      <c r="G1" s="27"/>
      <c r="H1" s="27"/>
      <c r="I1" s="27"/>
      <c r="J1" s="27"/>
      <c r="K1" s="27"/>
      <c r="L1" s="27"/>
      <c r="M1" s="27"/>
      <c r="N1" s="27"/>
    </row>
    <row r="2" spans="1:14" ht="43.5" customHeight="1" x14ac:dyDescent="0.25">
      <c r="A2" s="4" t="s">
        <v>0</v>
      </c>
      <c r="B2" s="14" t="str">
        <f>CONCATENATE("JANEIRO",CHAR(10),"TOTAL: ",ROUND(SUM(B3:B1048576),2))</f>
        <v>JANEIRO
TOTAL: 222747998,14</v>
      </c>
      <c r="C2" s="14" t="str">
        <f>CONCATENATE("FEVEREIRO",CHAR(10),"TOTAL: ",ROUND(SUM(C3:C1048576),2))</f>
        <v>FEVEREIRO
TOTAL: 200411,05</v>
      </c>
      <c r="D2" s="14" t="str">
        <f>CONCATENATE("MARÇO",CHAR(10),"TOTAL: ",ROUND(SUM(D3:D1048576),2))</f>
        <v>MARÇO
TOTAL: 0</v>
      </c>
      <c r="E2" s="14" t="str">
        <f>CONCATENATE("ABRIL",CHAR(10),"TOTAL: ",ROUND(SUM(E3:E1048576),2))</f>
        <v>ABRIL
TOTAL: 0,04</v>
      </c>
      <c r="F2" s="14" t="str">
        <f>CONCATENATE("MAIO",CHAR(10),"TOTAL: ",ROUND(SUM(F3:F1048576),2))</f>
        <v>MAIO
TOTAL: 0</v>
      </c>
      <c r="G2" s="14" t="str">
        <f>CONCATENATE("JUNHO",CHAR(10),"TOTAL: ",ROUND(SUM(G3:G1048576),2))</f>
        <v>JUNHO
TOTAL: 0</v>
      </c>
      <c r="H2" s="14" t="str">
        <f>CONCATENATE("JULHO",CHAR(10),"TOTAL: ",ROUND(SUM(H3:H1048576),2))</f>
        <v>JULHO
TOTAL: 0</v>
      </c>
      <c r="I2" s="14" t="str">
        <f>CONCATENATE("AGOSTO",CHAR(10),"TOTAL: ",ROUND(SUM(I3:I1048576),2))</f>
        <v>AGOSTO
TOTAL: 0</v>
      </c>
      <c r="J2" s="14" t="str">
        <f>CONCATENATE("SETEMBRO",CHAR(10),"TOTAL: ",ROUND(SUM(J3:J1048576),2))</f>
        <v>SETEMBRO
TOTAL: 47,58</v>
      </c>
      <c r="K2" s="14" t="str">
        <f>CONCATENATE("OUTUBRO",CHAR(10),"TOTAL: ",ROUND(SUM(K3:K1048576),2))</f>
        <v>OUTUBRO
TOTAL: 0</v>
      </c>
      <c r="L2" s="14" t="str">
        <f>CONCATENATE("NOVEMBRO",CHAR(10),"TOTAL: ",ROUND(SUM(L3:L1048576),2))</f>
        <v>NOVEMBRO
TOTAL: 0</v>
      </c>
      <c r="M2" s="14" t="str">
        <f>CONCATENATE("DEZEMBRO",CHAR(10),"TOTAL: ",ROUND(SUM(M3:M1048576),2))</f>
        <v>DEZEMBRO
TOTAL: 0</v>
      </c>
      <c r="N2" s="14" t="str">
        <f>CONCATENATE("DEC. TERCEIRO",CHAR(10),"TOTAL: ",ROUND(SUM(N3:N1048576),2))</f>
        <v>DEC. TERCEIRO
TOTAL: 0</v>
      </c>
    </row>
    <row r="3" spans="1:14" x14ac:dyDescent="0.25">
      <c r="A3" s="10" t="s">
        <v>92</v>
      </c>
      <c r="B3" s="15">
        <v>0</v>
      </c>
      <c r="C3" s="15">
        <v>0</v>
      </c>
      <c r="D3" s="15">
        <v>0</v>
      </c>
      <c r="E3" s="15">
        <v>0</v>
      </c>
      <c r="F3" s="15">
        <v>0</v>
      </c>
      <c r="G3" s="15">
        <v>0</v>
      </c>
      <c r="H3" s="15">
        <v>0</v>
      </c>
      <c r="I3" s="15">
        <v>0</v>
      </c>
      <c r="J3" s="15">
        <v>47.58</v>
      </c>
      <c r="K3" s="15">
        <v>0</v>
      </c>
      <c r="L3" s="15">
        <v>0</v>
      </c>
      <c r="M3" s="15">
        <v>0</v>
      </c>
      <c r="N3" s="15">
        <v>0</v>
      </c>
    </row>
    <row r="4" spans="1:14" x14ac:dyDescent="0.25">
      <c r="A4" s="10" t="s">
        <v>92</v>
      </c>
      <c r="B4" s="15">
        <v>222747998.13999999</v>
      </c>
      <c r="C4" s="15">
        <v>200411.05</v>
      </c>
      <c r="E4" s="15">
        <v>0.04</v>
      </c>
    </row>
  </sheetData>
  <mergeCells count="1">
    <mergeCell ref="A1:N1"/>
  </mergeCells>
  <pageMargins left="0.511811024" right="0.511811024" top="0.78740157499999996" bottom="0.78740157499999996" header="0.31496062000000002" footer="0.31496062000000002"/>
  <legacyDrawing r:id="rId1"/>
</worksheet>
</file>

<file path=xl/worksheets/sheet4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59"/>
  <dimension ref="A1:N5"/>
  <sheetViews>
    <sheetView tabSelected="1" workbookViewId="0">
      <selection activeCell="C4" sqref="C4"/>
    </sheetView>
  </sheetViews>
  <sheetFormatPr defaultRowHeight="15" x14ac:dyDescent="0.25"/>
  <cols>
    <col min="1" max="1" width="10.5" style="10" bestFit="1" customWidth="1"/>
    <col min="2" max="14" width="11.625" style="15" customWidth="1"/>
  </cols>
  <sheetData>
    <row r="1" spans="1:14" ht="47.85" customHeight="1" x14ac:dyDescent="0.25">
      <c r="A1" s="27" t="s">
        <v>34</v>
      </c>
      <c r="B1" s="27"/>
      <c r="C1" s="27"/>
      <c r="D1" s="27"/>
      <c r="E1" s="27"/>
      <c r="F1" s="27"/>
      <c r="G1" s="27"/>
      <c r="H1" s="27"/>
      <c r="I1" s="27"/>
      <c r="J1" s="27"/>
      <c r="K1" s="27"/>
      <c r="L1" s="27"/>
      <c r="M1" s="27"/>
      <c r="N1" s="27"/>
    </row>
    <row r="2" spans="1:14" ht="43.5" customHeight="1" x14ac:dyDescent="0.25">
      <c r="A2" s="4" t="s">
        <v>0</v>
      </c>
      <c r="B2" s="14" t="str">
        <f>CONCATENATE("JANEIRO",CHAR(10),"TOTAL: ",ROUND(SUM(B3:B1048576),2))</f>
        <v>JANEIRO
TOTAL: 480407832,42</v>
      </c>
      <c r="C2" s="14" t="str">
        <f>CONCATENATE("FEVEREIRO",CHAR(10),"TOTAL: ",ROUND(SUM(C3:C1048576),2))</f>
        <v>FEVEREIRO
TOTAL: 200349,18</v>
      </c>
      <c r="D2" s="14" t="str">
        <f>CONCATENATE("MARÇO",CHAR(10),"TOTAL: ",ROUND(SUM(D3:D1048576),2))</f>
        <v>MARÇO
TOTAL: 440</v>
      </c>
      <c r="E2" s="14" t="str">
        <f>CONCATENATE("ABRIL",CHAR(10),"TOTAL: ",ROUND(SUM(E3:E1048576),2))</f>
        <v>ABRIL
TOTAL: 440,04</v>
      </c>
      <c r="F2" s="14" t="str">
        <f>CONCATENATE("MAIO",CHAR(10),"TOTAL: ",ROUND(SUM(F3:F1048576),2))</f>
        <v>MAIO
TOTAL: 440</v>
      </c>
      <c r="G2" s="14" t="str">
        <f>CONCATENATE("JUNHO",CHAR(10),"TOTAL: ",ROUND(SUM(G3:G1048576),2))</f>
        <v>JUNHO
TOTAL: 440</v>
      </c>
      <c r="H2" s="14" t="str">
        <f>CONCATENATE("JULHO",CHAR(10),"TOTAL: ",ROUND(SUM(H3:H1048576),2))</f>
        <v>JULHO
TOTAL: 440</v>
      </c>
      <c r="I2" s="14" t="str">
        <f>CONCATENATE("AGOSTO",CHAR(10),"TOTAL: ",ROUND(SUM(I3:I1048576),2))</f>
        <v>AGOSTO
TOTAL: 440</v>
      </c>
      <c r="J2" s="14" t="str">
        <f>CONCATENATE("SETEMBRO",CHAR(10),"TOTAL: ",ROUND(SUM(J3:J1048576),2))</f>
        <v>SETEMBRO
TOTAL: 440</v>
      </c>
      <c r="K2" s="14" t="str">
        <f>CONCATENATE("OUTUBRO",CHAR(10),"TOTAL: ",ROUND(SUM(K3:K1048576),2))</f>
        <v>OUTUBRO
TOTAL: 440</v>
      </c>
      <c r="L2" s="14" t="str">
        <f>CONCATENATE("NOVEMBRO",CHAR(10),"TOTAL: ",ROUND(SUM(L3:L1048576),2))</f>
        <v>NOVEMBRO
TOTAL: 440</v>
      </c>
      <c r="M2" s="14" t="str">
        <f>CONCATENATE("DEZEMBRO",CHAR(10),"TOTAL: ",ROUND(SUM(M3:M1048576),2))</f>
        <v>DEZEMBRO
TOTAL: 440</v>
      </c>
      <c r="N2" s="14" t="str">
        <f>CONCATENATE("DEC. TERCEIRO",CHAR(10),"TOTAL: ",ROUND(SUM(N3:N1048576),2))</f>
        <v>DEC. TERCEIRO
TOTAL: 438,18</v>
      </c>
    </row>
    <row r="3" spans="1:14" x14ac:dyDescent="0.25">
      <c r="A3" s="10" t="s">
        <v>92</v>
      </c>
      <c r="B3" s="15">
        <v>197</v>
      </c>
      <c r="C3" s="15">
        <v>220</v>
      </c>
      <c r="D3" s="15">
        <v>220</v>
      </c>
      <c r="E3" s="15">
        <v>220</v>
      </c>
      <c r="F3" s="15">
        <v>220</v>
      </c>
      <c r="G3" s="15">
        <v>220</v>
      </c>
      <c r="H3" s="15">
        <v>220</v>
      </c>
      <c r="I3" s="15">
        <v>220</v>
      </c>
      <c r="J3" s="15">
        <v>220</v>
      </c>
      <c r="K3" s="15">
        <v>220</v>
      </c>
      <c r="L3" s="15">
        <v>220</v>
      </c>
      <c r="M3" s="15">
        <v>220</v>
      </c>
      <c r="N3" s="15">
        <v>219.09</v>
      </c>
    </row>
    <row r="4" spans="1:14" x14ac:dyDescent="0.25">
      <c r="A4" s="10" t="s">
        <v>92</v>
      </c>
      <c r="B4" s="15">
        <v>480407438.42000002</v>
      </c>
      <c r="C4" s="15">
        <v>199909.18</v>
      </c>
      <c r="E4" s="15">
        <v>0.04</v>
      </c>
    </row>
    <row r="5" spans="1:14" x14ac:dyDescent="0.25">
      <c r="A5" s="10" t="s">
        <v>92</v>
      </c>
      <c r="B5" s="15">
        <v>197</v>
      </c>
      <c r="C5" s="15">
        <v>220</v>
      </c>
      <c r="D5" s="15">
        <v>220</v>
      </c>
      <c r="E5" s="15">
        <v>220</v>
      </c>
      <c r="F5" s="15">
        <v>220</v>
      </c>
      <c r="G5" s="15">
        <v>220</v>
      </c>
      <c r="H5" s="15">
        <v>220</v>
      </c>
      <c r="I5" s="15">
        <v>220</v>
      </c>
      <c r="J5" s="15">
        <v>220</v>
      </c>
      <c r="K5" s="15">
        <v>220</v>
      </c>
      <c r="L5" s="15">
        <v>220</v>
      </c>
      <c r="M5" s="15">
        <v>220</v>
      </c>
      <c r="N5" s="15">
        <v>219.09</v>
      </c>
    </row>
  </sheetData>
  <mergeCells count="1">
    <mergeCell ref="A1:N1"/>
  </mergeCells>
  <pageMargins left="0.511811024" right="0.511811024" top="0.78740157499999996" bottom="0.78740157499999996" header="0.31496062000000002" footer="0.31496062000000002"/>
  <legacyDrawing r:id="rId1"/>
</worksheet>
</file>

<file path=xl/worksheets/sheet4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38"/>
  <dimension ref="A1:N3"/>
  <sheetViews>
    <sheetView workbookViewId="0">
      <selection activeCell="B2" sqref="B2:N2"/>
    </sheetView>
  </sheetViews>
  <sheetFormatPr defaultRowHeight="15" x14ac:dyDescent="0.25"/>
  <cols>
    <col min="1" max="1" width="10.5" style="10" bestFit="1" customWidth="1"/>
    <col min="2" max="14" width="11.625" style="15" customWidth="1"/>
  </cols>
  <sheetData>
    <row r="1" spans="1:14" ht="47.85" customHeight="1" x14ac:dyDescent="0.25">
      <c r="A1" s="27" t="s">
        <v>33</v>
      </c>
      <c r="B1" s="27"/>
      <c r="C1" s="27"/>
      <c r="D1" s="27"/>
      <c r="E1" s="27"/>
      <c r="F1" s="27"/>
      <c r="G1" s="27"/>
      <c r="H1" s="27"/>
      <c r="I1" s="27"/>
      <c r="J1" s="27"/>
      <c r="K1" s="27"/>
      <c r="L1" s="27"/>
      <c r="M1" s="27"/>
      <c r="N1" s="27"/>
    </row>
    <row r="2" spans="1:14" ht="43.5" customHeight="1" x14ac:dyDescent="0.25">
      <c r="A2" s="4" t="s">
        <v>0</v>
      </c>
      <c r="B2" s="14" t="str">
        <f>CONCATENATE("JANEIRO",CHAR(10),"TOTAL: ",ROUND(SUM(B3:B1048576),2))</f>
        <v>JANEIRO
TOTAL: 568,77</v>
      </c>
      <c r="C2" s="14" t="str">
        <f>CONCATENATE("FEVEREIRO",CHAR(10),"TOTAL: ",ROUND(SUM(C3:C1048576),2))</f>
        <v>FEVEREIRO
TOTAL: 568,77</v>
      </c>
      <c r="D2" s="14" t="str">
        <f>CONCATENATE("MARÇO",CHAR(10),"TOTAL: ",ROUND(SUM(D3:D1048576),2))</f>
        <v>MARÇO
TOTAL: 568,77</v>
      </c>
      <c r="E2" s="14" t="str">
        <f>CONCATENATE("ABRIL",CHAR(10),"TOTAL: ",ROUND(SUM(E3:E1048576),2))</f>
        <v>ABRIL
TOTAL: 568,77</v>
      </c>
      <c r="F2" s="14" t="str">
        <f>CONCATENATE("MAIO",CHAR(10),"TOTAL: ",ROUND(SUM(F3:F1048576),2))</f>
        <v>MAIO
TOTAL: 568,77</v>
      </c>
      <c r="G2" s="14" t="str">
        <f>CONCATENATE("JUNHO",CHAR(10),"TOTAL: ",ROUND(SUM(G3:G1048576),2))</f>
        <v>JUNHO
TOTAL: 568,77</v>
      </c>
      <c r="H2" s="14" t="str">
        <f>CONCATENATE("JULHO",CHAR(10),"TOTAL: ",ROUND(SUM(H3:H1048576),2))</f>
        <v>JULHO
TOTAL: 568,77</v>
      </c>
      <c r="I2" s="14" t="str">
        <f>CONCATENATE("AGOSTO",CHAR(10),"TOTAL: ",ROUND(SUM(I3:I1048576),2))</f>
        <v>AGOSTO
TOTAL: 568,77</v>
      </c>
      <c r="J2" s="14" t="str">
        <f>CONCATENATE("SETEMBRO",CHAR(10),"TOTAL: ",ROUND(SUM(J3:J1048576),2))</f>
        <v>SETEMBRO
TOTAL: 1137,54</v>
      </c>
      <c r="K2" s="14" t="str">
        <f>CONCATENATE("OUTUBRO",CHAR(10),"TOTAL: ",ROUND(SUM(K3:K1048576),2))</f>
        <v>OUTUBRO
TOTAL: 568,77</v>
      </c>
      <c r="L2" s="14" t="str">
        <f>CONCATENATE("NOVEMBRO",CHAR(10),"TOTAL: ",ROUND(SUM(L3:L1048576),2))</f>
        <v>NOVEMBRO
TOTAL: 568,77</v>
      </c>
      <c r="M2" s="14" t="str">
        <f>CONCATENATE("DEZEMBRO",CHAR(10),"TOTAL: ",ROUND(SUM(M3:M1048576),2))</f>
        <v>DEZEMBRO
TOTAL: 568,77</v>
      </c>
      <c r="N2" s="14" t="str">
        <f>CONCATENATE("DEC. TERCEIRO",CHAR(10),"TOTAL: ",ROUND(SUM(N3:N1048576),2))</f>
        <v>DEC. TERCEIRO
TOTAL: 568,77</v>
      </c>
    </row>
    <row r="3" spans="1:14" x14ac:dyDescent="0.25">
      <c r="A3" s="10" t="s">
        <v>92</v>
      </c>
      <c r="B3" s="15">
        <v>568.77</v>
      </c>
      <c r="C3" s="15">
        <v>568.77</v>
      </c>
      <c r="D3" s="15">
        <v>568.77</v>
      </c>
      <c r="E3" s="15">
        <v>568.77</v>
      </c>
      <c r="F3" s="15">
        <v>568.77</v>
      </c>
      <c r="G3" s="15">
        <v>568.77</v>
      </c>
      <c r="H3" s="15">
        <v>568.77</v>
      </c>
      <c r="I3" s="15">
        <v>568.77</v>
      </c>
      <c r="J3" s="15">
        <v>1137.54</v>
      </c>
      <c r="K3" s="15">
        <v>568.77</v>
      </c>
      <c r="L3" s="15">
        <v>568.77</v>
      </c>
      <c r="M3" s="15">
        <v>568.77</v>
      </c>
      <c r="N3" s="15">
        <v>568.77</v>
      </c>
    </row>
  </sheetData>
  <mergeCells count="1">
    <mergeCell ref="A1:N1"/>
  </mergeCells>
  <pageMargins left="0.511811024" right="0.511811024" top="0.78740157499999996" bottom="0.78740157499999996" header="0.31496062000000002" footer="0.31496062000000002"/>
  <legacyDrawing r:id="rId1"/>
</worksheet>
</file>

<file path=xl/worksheets/sheet4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37"/>
  <dimension ref="A1:N2"/>
  <sheetViews>
    <sheetView workbookViewId="0">
      <selection activeCell="B2" sqref="B2:N2"/>
    </sheetView>
  </sheetViews>
  <sheetFormatPr defaultRowHeight="15" x14ac:dyDescent="0.25"/>
  <cols>
    <col min="1" max="1" width="10.5" style="10" bestFit="1" customWidth="1"/>
    <col min="2" max="14" width="11.625" style="15" customWidth="1"/>
  </cols>
  <sheetData>
    <row r="1" spans="1:14" ht="47.85" customHeight="1" x14ac:dyDescent="0.25">
      <c r="A1" s="27" t="s">
        <v>32</v>
      </c>
      <c r="B1" s="27"/>
      <c r="C1" s="27"/>
      <c r="D1" s="27"/>
      <c r="E1" s="27"/>
      <c r="F1" s="27"/>
      <c r="G1" s="27"/>
      <c r="H1" s="27"/>
      <c r="I1" s="27"/>
      <c r="J1" s="27"/>
      <c r="K1" s="27"/>
      <c r="L1" s="27"/>
      <c r="M1" s="27"/>
      <c r="N1" s="27"/>
    </row>
    <row r="2" spans="1:14" ht="43.5" customHeight="1" x14ac:dyDescent="0.25">
      <c r="A2" s="4" t="s">
        <v>0</v>
      </c>
      <c r="B2" s="14" t="str">
        <f>CONCATENATE("JANEIRO",CHAR(10),"TOTAL: ",ROUND(SUM(B3:B1048576),2))</f>
        <v>JANEIRO
TOTAL: 0</v>
      </c>
      <c r="C2" s="14" t="str">
        <f>CONCATENATE("FEVEREIRO",CHAR(10),"TOTAL: ",ROUND(SUM(C3:C1048576),2))</f>
        <v>FEVEREIRO
TOTAL: 0</v>
      </c>
      <c r="D2" s="14" t="str">
        <f>CONCATENATE("MARÇO",CHAR(10),"TOTAL: ",ROUND(SUM(D3:D1048576),2))</f>
        <v>MARÇO
TOTAL: 0</v>
      </c>
      <c r="E2" s="14" t="str">
        <f>CONCATENATE("ABRIL",CHAR(10),"TOTAL: ",ROUND(SUM(E3:E1048576),2))</f>
        <v>ABRIL
TOTAL: 0</v>
      </c>
      <c r="F2" s="14" t="str">
        <f>CONCATENATE("MAIO",CHAR(10),"TOTAL: ",ROUND(SUM(F3:F1048576),2))</f>
        <v>MAIO
TOTAL: 0</v>
      </c>
      <c r="G2" s="14" t="str">
        <f>CONCATENATE("JUNHO",CHAR(10),"TOTAL: ",ROUND(SUM(G3:G1048576),2))</f>
        <v>JUNHO
TOTAL: 0</v>
      </c>
      <c r="H2" s="14" t="str">
        <f>CONCATENATE("JULHO",CHAR(10),"TOTAL: ",ROUND(SUM(H3:H1048576),2))</f>
        <v>JULHO
TOTAL: 0</v>
      </c>
      <c r="I2" s="14" t="str">
        <f>CONCATENATE("AGOSTO",CHAR(10),"TOTAL: ",ROUND(SUM(I3:I1048576),2))</f>
        <v>AGOSTO
TOTAL: 0</v>
      </c>
      <c r="J2" s="14" t="str">
        <f>CONCATENATE("SETEMBRO",CHAR(10),"TOTAL: ",ROUND(SUM(J3:J1048576),2))</f>
        <v>SETEMBRO
TOTAL: 0</v>
      </c>
      <c r="K2" s="14" t="str">
        <f>CONCATENATE("OUTUBRO",CHAR(10),"TOTAL: ",ROUND(SUM(K3:K1048576),2))</f>
        <v>OUTUBRO
TOTAL: 0</v>
      </c>
      <c r="L2" s="14" t="str">
        <f>CONCATENATE("NOVEMBRO",CHAR(10),"TOTAL: ",ROUND(SUM(L3:L1048576),2))</f>
        <v>NOVEMBRO
TOTAL: 0</v>
      </c>
      <c r="M2" s="14" t="str">
        <f>CONCATENATE("DEZEMBRO",CHAR(10),"TOTAL: ",ROUND(SUM(M3:M1048576),2))</f>
        <v>DEZEMBRO
TOTAL: 0</v>
      </c>
      <c r="N2" s="14" t="str">
        <f>CONCATENATE("DEC. TERCEIRO",CHAR(10),"TOTAL: ",ROUND(SUM(N3:N1048576),2))</f>
        <v>DEC. TERCEIRO
TOTAL: 0</v>
      </c>
    </row>
  </sheetData>
  <mergeCells count="1">
    <mergeCell ref="A1:N1"/>
  </mergeCells>
  <pageMargins left="0.511811024" right="0.511811024" top="0.78740157499999996" bottom="0.78740157499999996" header="0.31496062000000002" footer="0.31496062000000002"/>
  <legacyDrawing r:id="rId1"/>
</worksheet>
</file>

<file path=xl/worksheets/sheet4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36"/>
  <dimension ref="A1:N3"/>
  <sheetViews>
    <sheetView workbookViewId="0">
      <selection activeCell="B2" sqref="B2:N2"/>
    </sheetView>
  </sheetViews>
  <sheetFormatPr defaultRowHeight="15" x14ac:dyDescent="0.25"/>
  <cols>
    <col min="1" max="1" width="12.625" style="10" bestFit="1" customWidth="1"/>
    <col min="2" max="14" width="11.625" style="15" customWidth="1"/>
  </cols>
  <sheetData>
    <row r="1" spans="1:14" ht="47.85" customHeight="1" x14ac:dyDescent="0.25">
      <c r="A1" s="28" t="s">
        <v>31</v>
      </c>
      <c r="B1" s="28"/>
      <c r="C1" s="28"/>
      <c r="D1" s="28"/>
      <c r="E1" s="28"/>
      <c r="F1" s="28"/>
      <c r="G1" s="28"/>
      <c r="H1" s="28"/>
      <c r="I1" s="28"/>
      <c r="J1" s="28"/>
      <c r="K1" s="28"/>
      <c r="L1" s="28"/>
      <c r="M1" s="28"/>
      <c r="N1" s="28"/>
    </row>
    <row r="2" spans="1:14" ht="43.5" customHeight="1" x14ac:dyDescent="0.25">
      <c r="A2" s="4" t="s">
        <v>0</v>
      </c>
      <c r="B2" s="14" t="str">
        <f>CONCATENATE("JANEIRO",CHAR(10),"TOTAL: ",ROUND(SUM(B3:B1048576),2))</f>
        <v>JANEIRO
TOTAL: 311,22</v>
      </c>
      <c r="C2" s="14" t="str">
        <f>CONCATENATE("FEVEREIRO",CHAR(10),"TOTAL: ",ROUND(SUM(C3:C1048576),2))</f>
        <v>FEVEREIRO
TOTAL: 122,74</v>
      </c>
      <c r="D2" s="14" t="str">
        <f>CONCATENATE("MARÇO",CHAR(10),"TOTAL: ",ROUND(SUM(D3:D1048576),2))</f>
        <v>MARÇO
TOTAL: 210,01</v>
      </c>
      <c r="E2" s="14" t="str">
        <f>CONCATENATE("ABRIL",CHAR(10),"TOTAL: ",ROUND(SUM(E3:E1048576),2))</f>
        <v>ABRIL
TOTAL: 213,38</v>
      </c>
      <c r="F2" s="14" t="str">
        <f>CONCATENATE("MAIO",CHAR(10),"TOTAL: ",ROUND(SUM(F3:F1048576),2))</f>
        <v>MAIO
TOTAL: 228,87</v>
      </c>
      <c r="G2" s="14" t="str">
        <f>CONCATENATE("JUNHO",CHAR(10),"TOTAL: ",ROUND(SUM(G3:G1048576),2))</f>
        <v>JUNHO
TOTAL: 197,71</v>
      </c>
      <c r="H2" s="14" t="str">
        <f>CONCATENATE("JULHO",CHAR(10),"TOTAL: ",ROUND(SUM(H3:H1048576),2))</f>
        <v>JULHO
TOTAL: 197,91</v>
      </c>
      <c r="I2" s="14" t="str">
        <f>CONCATENATE("AGOSTO",CHAR(10),"TOTAL: ",ROUND(SUM(I3:I1048576),2))</f>
        <v>AGOSTO
TOTAL: 294</v>
      </c>
      <c r="J2" s="14" t="str">
        <f>CONCATENATE("SETEMBRO",CHAR(10),"TOTAL: ",ROUND(SUM(J3:J1048576),2))</f>
        <v>SETEMBRO
TOTAL: 571,42</v>
      </c>
      <c r="K2" s="14" t="str">
        <f>CONCATENATE("OUTUBRO",CHAR(10),"TOTAL: ",ROUND(SUM(K3:K1048576),2))</f>
        <v>OUTUBRO
TOTAL: 202,2</v>
      </c>
      <c r="L2" s="14" t="str">
        <f>CONCATENATE("NOVEMBRO",CHAR(10),"TOTAL: ",ROUND(SUM(L3:L1048576),2))</f>
        <v>NOVEMBRO
TOTAL: 8,49</v>
      </c>
      <c r="M2" s="14" t="str">
        <f>CONCATENATE("DEZEMBRO",CHAR(10),"TOTAL: ",ROUND(SUM(M3:M1048576),2))</f>
        <v>DEZEMBRO
TOTAL: 276,93</v>
      </c>
      <c r="N2" s="14" t="str">
        <f>CONCATENATE("DEC. TERCEIRO",CHAR(10),"TOTAL: ",ROUND(SUM(N3:N1048576),2))</f>
        <v>DEC. TERCEIRO
TOTAL: 227,46</v>
      </c>
    </row>
    <row r="3" spans="1:14" x14ac:dyDescent="0.25">
      <c r="A3" s="10" t="s">
        <v>92</v>
      </c>
      <c r="B3" s="15">
        <v>311.22000000000003</v>
      </c>
      <c r="C3" s="15">
        <v>122.74</v>
      </c>
      <c r="D3" s="15">
        <v>210.01</v>
      </c>
      <c r="E3" s="15">
        <v>213.38</v>
      </c>
      <c r="F3" s="15">
        <v>228.87</v>
      </c>
      <c r="G3" s="15">
        <v>197.71</v>
      </c>
      <c r="H3" s="15">
        <v>197.91</v>
      </c>
      <c r="I3" s="15">
        <v>294</v>
      </c>
      <c r="J3" s="15">
        <v>571.41999999999996</v>
      </c>
      <c r="K3" s="15">
        <v>202.2</v>
      </c>
      <c r="L3" s="15">
        <v>8.49</v>
      </c>
      <c r="M3" s="15">
        <v>276.93</v>
      </c>
      <c r="N3" s="15">
        <v>227.46</v>
      </c>
    </row>
  </sheetData>
  <mergeCells count="1">
    <mergeCell ref="A1:N1"/>
  </mergeCells>
  <pageMargins left="0.511811024" right="0.511811024" top="0.78740157499999996" bottom="0.78740157499999996" header="0.31496062000000002" footer="0.31496062000000002"/>
  <legacyDrawing r:id="rId1"/>
</worksheet>
</file>

<file path=xl/worksheets/sheet4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28"/>
  <dimension ref="A1:N3"/>
  <sheetViews>
    <sheetView workbookViewId="0">
      <selection activeCell="B2" sqref="B2:N2"/>
    </sheetView>
  </sheetViews>
  <sheetFormatPr defaultRowHeight="15" x14ac:dyDescent="0.25"/>
  <cols>
    <col min="1" max="1" width="11.875" style="10" bestFit="1" customWidth="1"/>
    <col min="2" max="14" width="11.625" style="15" customWidth="1"/>
  </cols>
  <sheetData>
    <row r="1" spans="1:14" ht="47.85" customHeight="1" x14ac:dyDescent="0.25">
      <c r="A1" s="27" t="s">
        <v>54</v>
      </c>
      <c r="B1" s="27"/>
      <c r="C1" s="27"/>
      <c r="D1" s="27"/>
      <c r="E1" s="27"/>
      <c r="F1" s="27"/>
      <c r="G1" s="27"/>
      <c r="H1" s="27"/>
      <c r="I1" s="27"/>
      <c r="J1" s="27"/>
      <c r="K1" s="27"/>
      <c r="L1" s="27"/>
      <c r="M1" s="27"/>
      <c r="N1" s="27"/>
    </row>
    <row r="2" spans="1:14" ht="43.5" customHeight="1" x14ac:dyDescent="0.25">
      <c r="A2" s="4" t="s">
        <v>0</v>
      </c>
      <c r="B2" s="14" t="str">
        <f>CONCATENATE("JANEIRO",CHAR(10),"TOTAL: ",ROUND(SUM(B3:B1048576),2))</f>
        <v>JANEIRO
TOTAL: 2006,04</v>
      </c>
      <c r="C2" s="14" t="str">
        <f>CONCATENATE("FEVEREIRO",CHAR(10),"TOTAL: ",ROUND(SUM(C3:C1048576),2))</f>
        <v>FEVEREIRO
TOTAL: 1939,07</v>
      </c>
      <c r="D2" s="14" t="str">
        <f>CONCATENATE("MARÇO",CHAR(10),"TOTAL: ",ROUND(SUM(D3:D1048576),2))</f>
        <v>MARÇO
TOTAL: 2333,51</v>
      </c>
      <c r="E2" s="14" t="str">
        <f>CONCATENATE("ABRIL",CHAR(10),"TOTAL: ",ROUND(SUM(E3:E1048576),2))</f>
        <v>ABRIL
TOTAL: 2370,92</v>
      </c>
      <c r="F2" s="14" t="str">
        <f>CONCATENATE("MAIO",CHAR(10),"TOTAL: ",ROUND(SUM(F3:F1048576),2))</f>
        <v>MAIO
TOTAL: 2543,1</v>
      </c>
      <c r="G2" s="14" t="str">
        <f>CONCATENATE("JUNHO",CHAR(10),"TOTAL: ",ROUND(SUM(G3:G1048576),2))</f>
        <v>JUNHO
TOTAL: 2196,82</v>
      </c>
      <c r="H2" s="14" t="str">
        <f>CONCATENATE("JULHO",CHAR(10),"TOTAL: ",ROUND(SUM(H3:H1048576),2))</f>
        <v>JULHO
TOTAL: 2199,08</v>
      </c>
      <c r="I2" s="14" t="str">
        <f>CONCATENATE("AGOSTO",CHAR(10),"TOTAL: ",ROUND(SUM(I3:I1048576),2))</f>
        <v>AGOSTO
TOTAL: 2672,76</v>
      </c>
      <c r="J2" s="14" t="str">
        <f>CONCATENATE("SETEMBRO",CHAR(10),"TOTAL: ",ROUND(SUM(J3:J1048576),2))</f>
        <v>SETEMBRO
TOTAL: 5613,02</v>
      </c>
      <c r="K2" s="14" t="str">
        <f>CONCATENATE("OUTUBRO",CHAR(10),"TOTAL: ",ROUND(SUM(K3:K1048576),2))</f>
        <v>OUTUBRO
TOTAL: 1423,37</v>
      </c>
      <c r="L2" s="14" t="str">
        <f>CONCATENATE("NOVEMBRO",CHAR(10),"TOTAL: ",ROUND(SUM(L3:L1048576),2))</f>
        <v>NOVEMBRO
TOTAL: 873,06</v>
      </c>
      <c r="M2" s="14" t="str">
        <f>CONCATENATE("DEZEMBRO",CHAR(10),"TOTAL: ",ROUND(SUM(M3:M1048576),2))</f>
        <v>DEZEMBRO
TOTAL: 1690</v>
      </c>
      <c r="N2" s="14" t="str">
        <f>CONCATENATE("DEC. TERCEIRO",CHAR(10),"TOTAL: ",ROUND(SUM(N3:N1048576),2))</f>
        <v>DEC. TERCEIRO
TOTAL: 2505,44</v>
      </c>
    </row>
    <row r="3" spans="1:14" x14ac:dyDescent="0.25">
      <c r="A3" s="10" t="s">
        <v>92</v>
      </c>
      <c r="B3" s="15">
        <v>2006.04</v>
      </c>
      <c r="C3" s="15">
        <v>1939.07</v>
      </c>
      <c r="D3" s="15">
        <v>2333.5100000000002</v>
      </c>
      <c r="E3" s="15">
        <v>2370.92</v>
      </c>
      <c r="F3" s="15">
        <v>2543.1</v>
      </c>
      <c r="G3" s="15">
        <v>2196.8200000000002</v>
      </c>
      <c r="H3" s="15">
        <v>2199.08</v>
      </c>
      <c r="I3" s="15">
        <v>2672.76</v>
      </c>
      <c r="J3" s="15">
        <v>5613.02</v>
      </c>
      <c r="K3" s="15">
        <v>1423.37</v>
      </c>
      <c r="L3" s="15">
        <v>873.06</v>
      </c>
      <c r="M3" s="15">
        <v>1690</v>
      </c>
      <c r="N3" s="15">
        <v>2505.44</v>
      </c>
    </row>
  </sheetData>
  <mergeCells count="1">
    <mergeCell ref="A1:N1"/>
  </mergeCells>
  <pageMargins left="0.511811024" right="0.511811024" top="0.78740157499999996" bottom="0.78740157499999996" header="0.31496062000000002" footer="0.31496062000000002"/>
  <legacyDrawing r:id="rId1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35"/>
  <dimension ref="A1:C2"/>
  <sheetViews>
    <sheetView topLeftCell="B1" workbookViewId="0">
      <selection activeCell="A3" sqref="A3"/>
    </sheetView>
  </sheetViews>
  <sheetFormatPr defaultRowHeight="15" x14ac:dyDescent="0.25"/>
  <cols>
    <col min="1" max="1" width="11.875" style="10" hidden="1" customWidth="1"/>
    <col min="2" max="2" width="11.875" style="10" customWidth="1"/>
    <col min="3" max="3" width="41.625" style="9" customWidth="1"/>
  </cols>
  <sheetData>
    <row r="1" spans="1:3" ht="47.85" customHeight="1" x14ac:dyDescent="0.25">
      <c r="A1" s="26" t="s">
        <v>68</v>
      </c>
      <c r="B1" s="26"/>
      <c r="C1" s="26"/>
    </row>
    <row r="2" spans="1:3" x14ac:dyDescent="0.25">
      <c r="A2" s="4"/>
      <c r="B2" s="4" t="s">
        <v>30</v>
      </c>
      <c r="C2" s="4" t="s">
        <v>10</v>
      </c>
    </row>
  </sheetData>
  <mergeCells count="1">
    <mergeCell ref="A1:C1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29"/>
  <dimension ref="A1:D3"/>
  <sheetViews>
    <sheetView topLeftCell="B1" workbookViewId="0">
      <selection activeCell="A2" sqref="A2"/>
    </sheetView>
  </sheetViews>
  <sheetFormatPr defaultRowHeight="15" x14ac:dyDescent="0.25"/>
  <cols>
    <col min="1" max="1" width="11.875" style="10" hidden="1" customWidth="1"/>
    <col min="2" max="2" width="11.875" style="10" bestFit="1" customWidth="1"/>
    <col min="3" max="3" width="41.625" style="9" bestFit="1" customWidth="1"/>
    <col min="4" max="4" width="9.375" style="9" customWidth="1"/>
  </cols>
  <sheetData>
    <row r="1" spans="1:4" ht="47.85" customHeight="1" x14ac:dyDescent="0.25">
      <c r="A1" s="26" t="s">
        <v>69</v>
      </c>
      <c r="B1" s="27"/>
      <c r="C1" s="27"/>
      <c r="D1" s="27"/>
    </row>
    <row r="2" spans="1:4" ht="60" x14ac:dyDescent="0.25">
      <c r="A2" s="4"/>
      <c r="B2" s="4" t="s">
        <v>0</v>
      </c>
      <c r="C2" s="4" t="s">
        <v>23</v>
      </c>
      <c r="D2" s="4" t="s">
        <v>29</v>
      </c>
    </row>
    <row r="3" spans="1:4" x14ac:dyDescent="0.25">
      <c r="A3" s="10" t="s">
        <v>92</v>
      </c>
      <c r="B3" s="10" t="s">
        <v>92</v>
      </c>
      <c r="C3" s="9" t="s">
        <v>93</v>
      </c>
    </row>
  </sheetData>
  <mergeCells count="1">
    <mergeCell ref="A1:D1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4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30"/>
  <dimension ref="A1:B4"/>
  <sheetViews>
    <sheetView topLeftCell="B1" workbookViewId="0">
      <selection activeCell="C3" sqref="C3"/>
    </sheetView>
  </sheetViews>
  <sheetFormatPr defaultRowHeight="15" x14ac:dyDescent="0.25"/>
  <cols>
    <col min="1" max="1" width="8.875" hidden="1" customWidth="1"/>
    <col min="2" max="2" width="46.125" style="10" customWidth="1"/>
  </cols>
  <sheetData>
    <row r="1" spans="1:2" ht="47.85" customHeight="1" x14ac:dyDescent="0.25">
      <c r="A1" s="25" t="s">
        <v>28</v>
      </c>
      <c r="B1" s="25"/>
    </row>
    <row r="2" spans="1:2" x14ac:dyDescent="0.25">
      <c r="A2" s="6"/>
      <c r="B2" s="4" t="s">
        <v>50</v>
      </c>
    </row>
    <row r="3" spans="1:2" x14ac:dyDescent="0.25">
      <c r="B3" s="10" t="s">
        <v>79</v>
      </c>
    </row>
    <row r="4" spans="1:2" x14ac:dyDescent="0.25">
      <c r="A4">
        <v>17697897822</v>
      </c>
      <c r="B4" s="10" t="s">
        <v>80</v>
      </c>
    </row>
  </sheetData>
  <mergeCells count="1">
    <mergeCell ref="A1:B1"/>
  </mergeCells>
  <pageMargins left="0.511811024" right="0.511811024" top="0.78740157499999996" bottom="0.78740157499999996" header="0.31496062000000002" footer="0.31496062000000002"/>
  <legacyDrawing r:id="rId1"/>
</worksheet>
</file>

<file path=xl/worksheets/sheet4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31"/>
  <dimension ref="A1:O3"/>
  <sheetViews>
    <sheetView topLeftCell="B1" workbookViewId="0">
      <selection sqref="A1:O1"/>
    </sheetView>
  </sheetViews>
  <sheetFormatPr defaultRowHeight="15" x14ac:dyDescent="0.25"/>
  <cols>
    <col min="1" max="1" width="1.125" style="7" hidden="1" customWidth="1"/>
    <col min="2" max="2" width="15" style="7" bestFit="1" customWidth="1"/>
    <col min="3" max="3" width="21" style="7" bestFit="1" customWidth="1"/>
    <col min="4" max="4" width="12.875" style="7" customWidth="1"/>
    <col min="5" max="5" width="11.875" style="7" bestFit="1" customWidth="1"/>
    <col min="6" max="6" width="9.875" style="7" customWidth="1"/>
    <col min="7" max="7" width="8.25" style="7" customWidth="1"/>
    <col min="8" max="8" width="10.75" style="7" customWidth="1"/>
    <col min="9" max="9" width="10" style="7" customWidth="1"/>
    <col min="10" max="10" width="8.5" style="7" customWidth="1"/>
    <col min="11" max="11" width="9.75" style="7" customWidth="1"/>
    <col min="12" max="12" width="8" style="7" customWidth="1"/>
    <col min="13" max="13" width="8.25" style="7" customWidth="1"/>
    <col min="14" max="14" width="8.875" style="7" bestFit="1" customWidth="1"/>
    <col min="15" max="15" width="9.5" style="7" customWidth="1"/>
    <col min="16" max="16384" width="9" style="1"/>
  </cols>
  <sheetData>
    <row r="1" spans="1:15" ht="47.85" customHeight="1" x14ac:dyDescent="0.25">
      <c r="A1" s="26" t="s">
        <v>53</v>
      </c>
      <c r="B1" s="27"/>
      <c r="C1" s="27"/>
      <c r="D1" s="27"/>
      <c r="E1" s="27"/>
      <c r="F1" s="27"/>
      <c r="G1" s="27"/>
      <c r="H1" s="27"/>
      <c r="I1" s="27"/>
      <c r="J1" s="27"/>
      <c r="K1" s="27"/>
      <c r="L1" s="27"/>
      <c r="M1" s="27"/>
      <c r="N1" s="27"/>
      <c r="O1" s="27"/>
    </row>
    <row r="2" spans="1:15" ht="120" x14ac:dyDescent="0.25">
      <c r="A2" s="4"/>
      <c r="B2" s="4" t="s">
        <v>0</v>
      </c>
      <c r="C2" s="4" t="s">
        <v>10</v>
      </c>
      <c r="D2" s="4" t="s">
        <v>11</v>
      </c>
      <c r="E2" s="4" t="s">
        <v>12</v>
      </c>
      <c r="F2" s="4" t="s">
        <v>6</v>
      </c>
      <c r="G2" s="4" t="s">
        <v>13</v>
      </c>
      <c r="H2" s="4" t="s">
        <v>14</v>
      </c>
      <c r="I2" s="4" t="s">
        <v>4</v>
      </c>
      <c r="J2" s="4" t="s">
        <v>5</v>
      </c>
      <c r="K2" s="4" t="s">
        <v>15</v>
      </c>
      <c r="L2" s="4" t="s">
        <v>7</v>
      </c>
      <c r="M2" s="4" t="s">
        <v>16</v>
      </c>
      <c r="N2" s="4" t="s">
        <v>17</v>
      </c>
      <c r="O2" s="4" t="s">
        <v>16</v>
      </c>
    </row>
    <row r="3" spans="1:15" x14ac:dyDescent="0.25">
      <c r="B3" s="7" t="s">
        <v>89</v>
      </c>
      <c r="C3" s="7" t="s">
        <v>90</v>
      </c>
      <c r="D3" s="7" t="s">
        <v>77</v>
      </c>
      <c r="E3" s="7" t="s">
        <v>91</v>
      </c>
      <c r="F3" s="7" t="s">
        <v>74</v>
      </c>
      <c r="G3" s="7" t="s">
        <v>74</v>
      </c>
      <c r="H3" s="7" t="s">
        <v>74</v>
      </c>
      <c r="I3" s="7" t="s">
        <v>74</v>
      </c>
      <c r="J3" s="7" t="s">
        <v>78</v>
      </c>
      <c r="K3" s="7" t="s">
        <v>74</v>
      </c>
      <c r="L3" s="7" t="s">
        <v>74</v>
      </c>
      <c r="M3" s="7" t="s">
        <v>75</v>
      </c>
      <c r="N3" s="7" t="s">
        <v>75</v>
      </c>
    </row>
  </sheetData>
  <mergeCells count="1">
    <mergeCell ref="A1:O1"/>
  </mergeCells>
  <pageMargins left="0.511811024" right="0.511811024" top="0.78740157499999996" bottom="0.78740157499999996" header="0.31496062000000002" footer="0.31496062000000002"/>
  <pageSetup paperSize="9" orientation="portrait" r:id="rId1"/>
  <legacyDrawing r:id="rId2"/>
</worksheet>
</file>

<file path=xl/worksheets/sheet5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34"/>
  <dimension ref="A1:L2"/>
  <sheetViews>
    <sheetView workbookViewId="0">
      <selection activeCell="N5" sqref="N5"/>
    </sheetView>
  </sheetViews>
  <sheetFormatPr defaultRowHeight="15" x14ac:dyDescent="0.25"/>
  <cols>
    <col min="1" max="3" width="11" style="8" customWidth="1"/>
    <col min="4" max="4" width="12.875" style="8" customWidth="1"/>
    <col min="5" max="12" width="11" style="8" customWidth="1"/>
    <col min="13" max="16384" width="9" style="1"/>
  </cols>
  <sheetData>
    <row r="1" spans="1:12" ht="47.85" customHeight="1" x14ac:dyDescent="0.25">
      <c r="A1" s="26" t="s">
        <v>52</v>
      </c>
      <c r="B1" s="27"/>
      <c r="C1" s="27"/>
      <c r="D1" s="27"/>
      <c r="E1" s="27"/>
      <c r="F1" s="27"/>
      <c r="G1" s="27"/>
      <c r="H1" s="27"/>
      <c r="I1" s="27"/>
      <c r="J1" s="27"/>
      <c r="K1" s="27"/>
      <c r="L1" s="27"/>
    </row>
    <row r="2" spans="1:12" s="3" customFormat="1" ht="84" x14ac:dyDescent="0.2">
      <c r="A2" s="4"/>
      <c r="B2" s="4" t="s">
        <v>0</v>
      </c>
      <c r="C2" s="4" t="s">
        <v>1</v>
      </c>
      <c r="D2" s="4" t="s">
        <v>4</v>
      </c>
      <c r="E2" s="4" t="s">
        <v>3</v>
      </c>
      <c r="F2" s="4" t="s">
        <v>5</v>
      </c>
      <c r="G2" s="4" t="s">
        <v>6</v>
      </c>
      <c r="H2" s="4" t="s">
        <v>7</v>
      </c>
      <c r="I2" s="4" t="s">
        <v>8</v>
      </c>
      <c r="J2" s="4" t="s">
        <v>9</v>
      </c>
      <c r="K2" s="4" t="s">
        <v>8</v>
      </c>
      <c r="L2" s="4" t="s">
        <v>9</v>
      </c>
    </row>
  </sheetData>
  <mergeCells count="1">
    <mergeCell ref="A1:L1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2097" r:id="rId4" name="Button 1">
              <controlPr defaultSize="0" print="0" autoFill="0" autoPict="0" macro="[0]!Botão1_PgDIRF">
                <anchor moveWithCells="1" sizeWithCells="1">
                  <from>
                    <xdr:col>12</xdr:col>
                    <xdr:colOff>304800</xdr:colOff>
                    <xdr:row>0</xdr:row>
                    <xdr:rowOff>447675</xdr:rowOff>
                  </from>
                  <to>
                    <xdr:col>13</xdr:col>
                    <xdr:colOff>628650</xdr:colOff>
                    <xdr:row>1</xdr:row>
                    <xdr:rowOff>742950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32"/>
  <dimension ref="A1:I3"/>
  <sheetViews>
    <sheetView topLeftCell="B1" workbookViewId="0">
      <selection activeCell="I3" sqref="I3"/>
    </sheetView>
  </sheetViews>
  <sheetFormatPr defaultRowHeight="15" x14ac:dyDescent="0.25"/>
  <cols>
    <col min="1" max="1" width="10" style="7" hidden="1" customWidth="1"/>
    <col min="2" max="2" width="10.5" style="7" bestFit="1" customWidth="1"/>
    <col min="3" max="3" width="30.625" style="7" bestFit="1" customWidth="1"/>
    <col min="4" max="4" width="4.25" style="7" bestFit="1" customWidth="1"/>
    <col min="5" max="5" width="7.875" style="7" bestFit="1" customWidth="1"/>
    <col min="6" max="6" width="5.625" style="7" bestFit="1" customWidth="1"/>
    <col min="7" max="7" width="7.875" style="7" bestFit="1" customWidth="1"/>
    <col min="8" max="8" width="31.75" style="7" bestFit="1" customWidth="1"/>
    <col min="9" max="16384" width="9" style="2"/>
  </cols>
  <sheetData>
    <row r="1" spans="1:9" ht="45.75" customHeight="1" x14ac:dyDescent="0.25">
      <c r="A1" s="29" t="s">
        <v>51</v>
      </c>
      <c r="B1" s="30"/>
      <c r="C1" s="30"/>
      <c r="D1" s="30"/>
      <c r="E1" s="30"/>
      <c r="F1" s="30"/>
      <c r="G1" s="30"/>
      <c r="H1" s="30"/>
    </row>
    <row r="2" spans="1:9" ht="45" customHeight="1" x14ac:dyDescent="0.25">
      <c r="A2" s="4"/>
      <c r="B2" s="4" t="s">
        <v>0</v>
      </c>
      <c r="C2" s="4" t="s">
        <v>23</v>
      </c>
      <c r="D2" s="4" t="s">
        <v>2</v>
      </c>
      <c r="E2" s="4" t="s">
        <v>24</v>
      </c>
      <c r="F2" s="4" t="s">
        <v>25</v>
      </c>
      <c r="G2" s="4" t="s">
        <v>26</v>
      </c>
      <c r="H2" s="4" t="s">
        <v>27</v>
      </c>
    </row>
    <row r="3" spans="1:9" x14ac:dyDescent="0.25">
      <c r="B3" s="7" t="s">
        <v>83</v>
      </c>
      <c r="C3" s="7" t="s">
        <v>84</v>
      </c>
      <c r="D3" s="7" t="s">
        <v>76</v>
      </c>
      <c r="E3" s="7" t="s">
        <v>85</v>
      </c>
      <c r="F3" s="7" t="s">
        <v>86</v>
      </c>
      <c r="G3" s="7" t="s">
        <v>87</v>
      </c>
      <c r="H3" s="7" t="s">
        <v>88</v>
      </c>
      <c r="I3" s="2" t="s">
        <v>75</v>
      </c>
    </row>
  </sheetData>
  <mergeCells count="1">
    <mergeCell ref="A1:H1"/>
  </mergeCells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1073" r:id="rId3" name="Button 1">
              <controlPr defaultSize="0" print="0" autoFill="0" autoPict="0" macro="[0]!Botão1_PgDIRF">
                <anchor moveWithCells="1" sizeWithCells="1">
                  <from>
                    <xdr:col>8</xdr:col>
                    <xdr:colOff>285750</xdr:colOff>
                    <xdr:row>0</xdr:row>
                    <xdr:rowOff>219075</xdr:rowOff>
                  </from>
                  <to>
                    <xdr:col>9</xdr:col>
                    <xdr:colOff>609600</xdr:colOff>
                    <xdr:row>1</xdr:row>
                    <xdr:rowOff>533400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33"/>
  <dimension ref="A1:F3"/>
  <sheetViews>
    <sheetView topLeftCell="B1" workbookViewId="0">
      <selection activeCell="L9" sqref="L9"/>
    </sheetView>
  </sheetViews>
  <sheetFormatPr defaultRowHeight="15" x14ac:dyDescent="0.25"/>
  <cols>
    <col min="1" max="1" width="9" style="2" hidden="1" customWidth="1"/>
    <col min="2" max="2" width="10" style="7" customWidth="1"/>
    <col min="3" max="3" width="11" style="7" customWidth="1"/>
    <col min="4" max="4" width="10.25" style="7" customWidth="1"/>
    <col min="5" max="5" width="13" style="7" customWidth="1"/>
    <col min="6" max="6" width="15" style="7" customWidth="1"/>
    <col min="7" max="16384" width="9" style="1"/>
  </cols>
  <sheetData>
    <row r="1" spans="1:6" ht="45.75" customHeight="1" x14ac:dyDescent="0.25">
      <c r="A1" s="11"/>
      <c r="B1" s="31" t="s">
        <v>71</v>
      </c>
      <c r="C1" s="32"/>
      <c r="D1" s="32"/>
      <c r="E1" s="32"/>
      <c r="F1" s="33"/>
    </row>
    <row r="2" spans="1:6" ht="45" customHeight="1" x14ac:dyDescent="0.25">
      <c r="B2" s="4" t="s">
        <v>18</v>
      </c>
      <c r="C2" s="4" t="s">
        <v>19</v>
      </c>
      <c r="D2" s="4" t="s">
        <v>20</v>
      </c>
      <c r="E2" s="5" t="s">
        <v>21</v>
      </c>
      <c r="F2" s="4" t="s">
        <v>22</v>
      </c>
    </row>
    <row r="3" spans="1:6" x14ac:dyDescent="0.25">
      <c r="B3" s="7" t="s">
        <v>81</v>
      </c>
      <c r="C3" s="7" t="s">
        <v>73</v>
      </c>
      <c r="D3" s="7" t="s">
        <v>74</v>
      </c>
      <c r="E3" s="7" t="s">
        <v>75</v>
      </c>
      <c r="F3" s="7" t="s">
        <v>82</v>
      </c>
    </row>
  </sheetData>
  <mergeCells count="1">
    <mergeCell ref="B1:F1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oleObjects>
    <mc:AlternateContent xmlns:mc="http://schemas.openxmlformats.org/markup-compatibility/2006">
      <mc:Choice Requires="x14">
        <oleObject progId="AcroExch.Document.DC" dvAspect="DVASPECT_ICON" shapeId="32775" r:id="rId4">
          <objectPr defaultSize="0" r:id="rId5">
            <anchor moveWithCells="1">
              <from>
                <xdr:col>7</xdr:col>
                <xdr:colOff>95250</xdr:colOff>
                <xdr:row>3</xdr:row>
                <xdr:rowOff>38100</xdr:rowOff>
              </from>
              <to>
                <xdr:col>8</xdr:col>
                <xdr:colOff>323850</xdr:colOff>
                <xdr:row>6</xdr:row>
                <xdr:rowOff>152400</xdr:rowOff>
              </to>
            </anchor>
          </objectPr>
        </oleObject>
      </mc:Choice>
      <mc:Fallback>
        <oleObject progId="AcroExch.Document.DC" dvAspect="DVASPECT_ICON" shapeId="32775" r:id="rId4"/>
      </mc:Fallback>
    </mc:AlternateContent>
  </oleObjects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769" r:id="rId6" name="Button 1">
              <controlPr defaultSize="0" print="0" autoFill="0" autoPict="0" macro="[0]!Planilha33.ImportarTexto">
                <anchor moveWithCells="1" sizeWithCells="1">
                  <from>
                    <xdr:col>6</xdr:col>
                    <xdr:colOff>676275</xdr:colOff>
                    <xdr:row>0</xdr:row>
                    <xdr:rowOff>142875</xdr:rowOff>
                  </from>
                  <to>
                    <xdr:col>12</xdr:col>
                    <xdr:colOff>19050</xdr:colOff>
                    <xdr:row>1</xdr:row>
                    <xdr:rowOff>504825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52</vt:i4>
      </vt:variant>
    </vt:vector>
  </HeadingPairs>
  <TitlesOfParts>
    <vt:vector size="52" baseType="lpstr">
      <vt:lpstr>FIMDIRF</vt:lpstr>
      <vt:lpstr>RDTPSE</vt:lpstr>
      <vt:lpstr>DTPSE</vt:lpstr>
      <vt:lpstr>TPSE</vt:lpstr>
      <vt:lpstr>OPSE</vt:lpstr>
      <vt:lpstr>RIRSR</vt:lpstr>
      <vt:lpstr>RIPSTS</vt:lpstr>
      <vt:lpstr>RIL96</vt:lpstr>
      <vt:lpstr>RIBMR_3562</vt:lpstr>
      <vt:lpstr>RIAP_3562</vt:lpstr>
      <vt:lpstr>RIIRP_3562</vt:lpstr>
      <vt:lpstr>RIDAC_3562</vt:lpstr>
      <vt:lpstr>ESDJ_3562</vt:lpstr>
      <vt:lpstr>ESIR_3562</vt:lpstr>
      <vt:lpstr>ESPA_3562</vt:lpstr>
      <vt:lpstr>ESDP_3562</vt:lpstr>
      <vt:lpstr>ESPP_3562</vt:lpstr>
      <vt:lpstr>ESPO_3562</vt:lpstr>
      <vt:lpstr>ESRT_3562</vt:lpstr>
      <vt:lpstr>CJAA_3562</vt:lpstr>
      <vt:lpstr>CJAC_3562</vt:lpstr>
      <vt:lpstr>RTIRF_3562</vt:lpstr>
      <vt:lpstr>RTPA_3562</vt:lpstr>
      <vt:lpstr>RTDP_3562</vt:lpstr>
      <vt:lpstr>RTRT_3562</vt:lpstr>
      <vt:lpstr>BPFDEC_3562</vt:lpstr>
      <vt:lpstr>RIBMR_0561</vt:lpstr>
      <vt:lpstr>RIAP_0561</vt:lpstr>
      <vt:lpstr>RIIRP_0561</vt:lpstr>
      <vt:lpstr>RIDAC_0561</vt:lpstr>
      <vt:lpstr>ESDJ_0561</vt:lpstr>
      <vt:lpstr>ESPA_0561</vt:lpstr>
      <vt:lpstr>ESDP_0561</vt:lpstr>
      <vt:lpstr>ESPP_0561</vt:lpstr>
      <vt:lpstr>ESPO_0561</vt:lpstr>
      <vt:lpstr>ESIR__0561</vt:lpstr>
      <vt:lpstr>ESRT_0561</vt:lpstr>
      <vt:lpstr>CJAA_0561</vt:lpstr>
      <vt:lpstr>CJAC_0561</vt:lpstr>
      <vt:lpstr>RTIRF_0561</vt:lpstr>
      <vt:lpstr>RTPA_0561</vt:lpstr>
      <vt:lpstr>RTDP_0561</vt:lpstr>
      <vt:lpstr>RTPP_0561</vt:lpstr>
      <vt:lpstr>RTPO_0561</vt:lpstr>
      <vt:lpstr>RTRT_0561</vt:lpstr>
      <vt:lpstr>BPJDEC</vt:lpstr>
      <vt:lpstr>BPFDEC_0561</vt:lpstr>
      <vt:lpstr>IDREC</vt:lpstr>
      <vt:lpstr>DECPJ</vt:lpstr>
      <vt:lpstr>DECPF</vt:lpstr>
      <vt:lpstr>RESPO</vt:lpstr>
      <vt:lpstr>DIRF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Gerson Pinto Amarante</dc:creator>
  <cp:lastModifiedBy>Gerson Pinto Amarante</cp:lastModifiedBy>
  <cp:lastPrinted>2017-01-17T18:58:23Z</cp:lastPrinted>
  <dcterms:created xsi:type="dcterms:W3CDTF">2017-01-17T18:31:29Z</dcterms:created>
  <dcterms:modified xsi:type="dcterms:W3CDTF">2017-02-15T11:00:23Z</dcterms:modified>
</cp:coreProperties>
</file>